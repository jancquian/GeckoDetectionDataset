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cko" sheetId="1" state="visible" r:id="rId3"/>
    <sheet name="Non-geck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<sst xmlns="http://schemas.openxmlformats.org/spreadsheetml/2006/main" count="34874" uniqueCount="15614">
  <si>
    <t xml:space="preserve">Addition Date</t>
  </si>
  <si>
    <t xml:space="preserve">Image Reference</t>
  </si>
  <si>
    <t xml:space="preserve">Family</t>
  </si>
  <si>
    <t xml:space="preserve">Genus</t>
  </si>
  <si>
    <t xml:space="preserve">Title</t>
  </si>
  <si>
    <t xml:space="preserve">Author</t>
  </si>
  <si>
    <t xml:space="preserve">License</t>
  </si>
  <si>
    <t xml:space="preserve">Source</t>
  </si>
  <si>
    <t xml:space="preserve">GECKO 0001</t>
  </si>
  <si>
    <t xml:space="preserve">Eublepharidae</t>
  </si>
  <si>
    <t xml:space="preserve">Coleonyx</t>
  </si>
  <si>
    <t xml:space="preserve">Coleonyx variegatus</t>
  </si>
  <si>
    <t xml:space="preserve">alekhaag</t>
  </si>
  <si>
    <t xml:space="preserve">Deed - Attribution-NonCommercial 4.0 International - Creative Commons</t>
  </si>
  <si>
    <t xml:space="preserve">https://www.inaturalist.org/observations/377146344</t>
  </si>
  <si>
    <t xml:space="preserve">GECKO 0002</t>
  </si>
  <si>
    <t xml:space="preserve">GECKO 0003</t>
  </si>
  <si>
    <t xml:space="preserve">joemdo</t>
  </si>
  <si>
    <t xml:space="preserve">https://www.inaturalist.org/observations/376916735</t>
  </si>
  <si>
    <t xml:space="preserve">GECKO 0004</t>
  </si>
  <si>
    <t xml:space="preserve">aniedes</t>
  </si>
  <si>
    <t xml:space="preserve">https://www.inaturalist.org/observations/376604804</t>
  </si>
  <si>
    <t xml:space="preserve">GECKO 0005</t>
  </si>
  <si>
    <t xml:space="preserve">https://www.inaturalist.org/observations/376604772</t>
  </si>
  <si>
    <t xml:space="preserve">GECKO 0006</t>
  </si>
  <si>
    <t xml:space="preserve">https://www.inaturalist.org/observations/376604739</t>
  </si>
  <si>
    <t xml:space="preserve">GECKO 0007</t>
  </si>
  <si>
    <t xml:space="preserve">temminicki</t>
  </si>
  <si>
    <t xml:space="preserve">https://www.inaturalist.org/observations/376588655</t>
  </si>
  <si>
    <t xml:space="preserve">GECKO 0008</t>
  </si>
  <si>
    <t xml:space="preserve">https://www.inaturalist.org/observations/376588648</t>
  </si>
  <si>
    <t xml:space="preserve">GECKO 0009</t>
  </si>
  <si>
    <t xml:space="preserve">skink182</t>
  </si>
  <si>
    <t xml:space="preserve">https://www.inaturalist.org/observations/376094536</t>
  </si>
  <si>
    <t xml:space="preserve">GECKO 0010</t>
  </si>
  <si>
    <t xml:space="preserve">GECKO 0011</t>
  </si>
  <si>
    <t xml:space="preserve">GECKO 0012</t>
  </si>
  <si>
    <t xml:space="preserve">https://www.inaturalist.org/observations/375901277</t>
  </si>
  <si>
    <t xml:space="preserve">GECKO 0013</t>
  </si>
  <si>
    <t xml:space="preserve">GECKO 0014</t>
  </si>
  <si>
    <t xml:space="preserve">GECKO 0015</t>
  </si>
  <si>
    <t xml:space="preserve">arquitectodefecto</t>
  </si>
  <si>
    <t xml:space="preserve">https://www.inaturalist.org/observations/375727997</t>
  </si>
  <si>
    <t xml:space="preserve">GECKO 0016</t>
  </si>
  <si>
    <t xml:space="preserve">eric_hough</t>
  </si>
  <si>
    <t xml:space="preserve">https://www.inaturalist.org/observations/375472195</t>
  </si>
  <si>
    <t xml:space="preserve">GECKO 0017</t>
  </si>
  <si>
    <t xml:space="preserve">GECKO 0018</t>
  </si>
  <si>
    <t xml:space="preserve">bioprats</t>
  </si>
  <si>
    <t xml:space="preserve">https://www.inaturalist.org/observations/375467914</t>
  </si>
  <si>
    <t xml:space="preserve">GECKO 0019</t>
  </si>
  <si>
    <t xml:space="preserve">saraschneider</t>
  </si>
  <si>
    <t xml:space="preserve">https://www.inaturalist.org/observations/375441989</t>
  </si>
  <si>
    <t xml:space="preserve">GECKO 0020</t>
  </si>
  <si>
    <t xml:space="preserve">kiwifruitsc</t>
  </si>
  <si>
    <t xml:space="preserve">https://www.inaturalist.org/observations/375353286</t>
  </si>
  <si>
    <t xml:space="preserve">GECKO 0021</t>
  </si>
  <si>
    <t xml:space="preserve">naturalistnkc</t>
  </si>
  <si>
    <t xml:space="preserve">https://www.inaturalist.org/observations/374833502</t>
  </si>
  <si>
    <t xml:space="preserve">GECKO 0022</t>
  </si>
  <si>
    <t xml:space="preserve">lutes</t>
  </si>
  <si>
    <t xml:space="preserve">https://www.inaturalist.org/observations/374808199</t>
  </si>
  <si>
    <t xml:space="preserve">GECKO 0023</t>
  </si>
  <si>
    <t xml:space="preserve">nomolosx</t>
  </si>
  <si>
    <t xml:space="preserve">https://www.inaturalist.org/observations/374422924</t>
  </si>
  <si>
    <t xml:space="preserve">GECKO 0024</t>
  </si>
  <si>
    <t xml:space="preserve">GECKO 0025</t>
  </si>
  <si>
    <t xml:space="preserve">cassalata</t>
  </si>
  <si>
    <t xml:space="preserve">https://www.inaturalist.org/observations/374312186</t>
  </si>
  <si>
    <t xml:space="preserve">GECKO 0026</t>
  </si>
  <si>
    <t xml:space="preserve">herpdanner</t>
  </si>
  <si>
    <t xml:space="preserve">https://www.inaturalist.org/observations/374146377</t>
  </si>
  <si>
    <t xml:space="preserve">GECKO 0027</t>
  </si>
  <si>
    <t xml:space="preserve">cs1011928410</t>
  </si>
  <si>
    <t xml:space="preserve">https://www.inaturalist.org/observations/373820338</t>
  </si>
  <si>
    <t xml:space="preserve">GECKO 0028</t>
  </si>
  <si>
    <t xml:space="preserve">hybronius</t>
  </si>
  <si>
    <t xml:space="preserve">https://www.inaturalist.org/observations/373471442</t>
  </si>
  <si>
    <t xml:space="preserve">GECKO 0029</t>
  </si>
  <si>
    <t xml:space="preserve">logan33430</t>
  </si>
  <si>
    <t xml:space="preserve">https://www.inaturalist.org/observations/373293964</t>
  </si>
  <si>
    <t xml:space="preserve">GECKO 0030</t>
  </si>
  <si>
    <t xml:space="preserve">econaturalistdotcom</t>
  </si>
  <si>
    <t xml:space="preserve">https://www.inaturalist.org/observations/373099109</t>
  </si>
  <si>
    <t xml:space="preserve">GECKO 0031</t>
  </si>
  <si>
    <t xml:space="preserve">faebugsz</t>
  </si>
  <si>
    <t xml:space="preserve">https://www.inaturalist.org/observations/372944069</t>
  </si>
  <si>
    <t xml:space="preserve">GECKO 0032</t>
  </si>
  <si>
    <t xml:space="preserve">agavepup</t>
  </si>
  <si>
    <t xml:space="preserve">https://www.inaturalist.org/observations/372688320</t>
  </si>
  <si>
    <t xml:space="preserve">GECKO 0033</t>
  </si>
  <si>
    <t xml:space="preserve">crtracy</t>
  </si>
  <si>
    <t xml:space="preserve">https://www.inaturalist.org/observations/372528453</t>
  </si>
  <si>
    <t xml:space="preserve">GECKO 0034</t>
  </si>
  <si>
    <t xml:space="preserve">https://www.inaturalist.org/observations/372528104</t>
  </si>
  <si>
    <t xml:space="preserve">GECKO 0035</t>
  </si>
  <si>
    <t xml:space="preserve">rdaz</t>
  </si>
  <si>
    <t xml:space="preserve">https://www.inaturalist.org/observations/372193442</t>
  </si>
  <si>
    <t xml:space="preserve">GECKO 0036</t>
  </si>
  <si>
    <t xml:space="preserve">Coleonyx elegans</t>
  </si>
  <si>
    <t xml:space="preserve">david_broek</t>
  </si>
  <si>
    <t xml:space="preserve">https://www.inaturalist.org/observations/377234694</t>
  </si>
  <si>
    <t xml:space="preserve">GECKO 0037</t>
  </si>
  <si>
    <t xml:space="preserve">xochieta</t>
  </si>
  <si>
    <t xml:space="preserve">https://www.inaturalist.org/observations/376826626</t>
  </si>
  <si>
    <t xml:space="preserve">GECKO 0038</t>
  </si>
  <si>
    <t xml:space="preserve">GECKO 0039</t>
  </si>
  <si>
    <t xml:space="preserve">GECKO 0040</t>
  </si>
  <si>
    <t xml:space="preserve">ragkannan</t>
  </si>
  <si>
    <t xml:space="preserve">https://www.inaturalist.org/observations/376729533</t>
  </si>
  <si>
    <t xml:space="preserve">GECKO 0041</t>
  </si>
  <si>
    <t xml:space="preserve">GECKO 0042</t>
  </si>
  <si>
    <t xml:space="preserve">ty37678</t>
  </si>
  <si>
    <t xml:space="preserve">https://www.inaturalist.org/observations/376577144</t>
  </si>
  <si>
    <t xml:space="preserve">GECKO 0043</t>
  </si>
  <si>
    <t xml:space="preserve">cshure</t>
  </si>
  <si>
    <t xml:space="preserve">https://www.inaturalist.org/observations/376528185</t>
  </si>
  <si>
    <t xml:space="preserve">GECKO 0044</t>
  </si>
  <si>
    <t xml:space="preserve">https://www.inaturalist.org/observations/376504857</t>
  </si>
  <si>
    <t xml:space="preserve">GECKO 0045</t>
  </si>
  <si>
    <t xml:space="preserve">szink00</t>
  </si>
  <si>
    <t xml:space="preserve">https://www.inaturalist.org/observations/376502992</t>
  </si>
  <si>
    <t xml:space="preserve">GECKO 0046</t>
  </si>
  <si>
    <t xml:space="preserve">tnriverpuma</t>
  </si>
  <si>
    <t xml:space="preserve">https://www.inaturalist.org/observations/369519513</t>
  </si>
  <si>
    <t xml:space="preserve">GECKO 0047</t>
  </si>
  <si>
    <t xml:space="preserve">eddy20636</t>
  </si>
  <si>
    <t xml:space="preserve">https://www.inaturalist.org/observations/368675832</t>
  </si>
  <si>
    <t xml:space="preserve">GECKO 0048</t>
  </si>
  <si>
    <t xml:space="preserve">GECKO 0049</t>
  </si>
  <si>
    <t xml:space="preserve">GECKO 0050</t>
  </si>
  <si>
    <t xml:space="preserve">https://www.inaturalist.org/observations/366838413</t>
  </si>
  <si>
    <t xml:space="preserve">GECKO 0051</t>
  </si>
  <si>
    <t xml:space="preserve">brookjameus</t>
  </si>
  <si>
    <t xml:space="preserve">https://www.inaturalist.org/observations/365252950</t>
  </si>
  <si>
    <t xml:space="preserve">GECKO 0052</t>
  </si>
  <si>
    <t xml:space="preserve">del_nanacatl</t>
  </si>
  <si>
    <t xml:space="preserve">https://www.inaturalist.org/observations/362215892</t>
  </si>
  <si>
    <t xml:space="preserve">GECKO 0053</t>
  </si>
  <si>
    <t xml:space="preserve">GECKO 0054</t>
  </si>
  <si>
    <t xml:space="preserve">GECKO 0055</t>
  </si>
  <si>
    <t xml:space="preserve">olivia_rose5</t>
  </si>
  <si>
    <t xml:space="preserve">https://www.inaturalist.org/observations/361348462</t>
  </si>
  <si>
    <t xml:space="preserve">GECKO 0056</t>
  </si>
  <si>
    <t xml:space="preserve">dani_drn_a</t>
  </si>
  <si>
    <t xml:space="preserve">https://www.inaturalist.org/observations/361342904</t>
  </si>
  <si>
    <t xml:space="preserve">GECKO 0057</t>
  </si>
  <si>
    <t xml:space="preserve">GECKO 0058</t>
  </si>
  <si>
    <t xml:space="preserve">chaacreekbze</t>
  </si>
  <si>
    <t xml:space="preserve">https://www.inaturalist.org/observations/361318211</t>
  </si>
  <si>
    <t xml:space="preserve">GECKO 0059</t>
  </si>
  <si>
    <t xml:space="preserve">kascopic</t>
  </si>
  <si>
    <t xml:space="preserve">https://www.inaturalist.org/observations/360588784</t>
  </si>
  <si>
    <t xml:space="preserve">GECKO 0060</t>
  </si>
  <si>
    <t xml:space="preserve">alexis_lora</t>
  </si>
  <si>
    <t xml:space="preserve">https://www.inaturalist.org/observations/359066182</t>
  </si>
  <si>
    <t xml:space="preserve">GECKO 0061</t>
  </si>
  <si>
    <t xml:space="preserve">luis_mendez05</t>
  </si>
  <si>
    <t xml:space="preserve">https://www.inaturalist.org/observations/357272595</t>
  </si>
  <si>
    <t xml:space="preserve">GECKO 0062</t>
  </si>
  <si>
    <t xml:space="preserve">victoriacontreras_25</t>
  </si>
  <si>
    <t xml:space="preserve">https://www.inaturalist.org/observations/356771211</t>
  </si>
  <si>
    <t xml:space="preserve">GECKO 0063</t>
  </si>
  <si>
    <t xml:space="preserve">sandradzul</t>
  </si>
  <si>
    <t xml:space="preserve">https://www.inaturalist.org/observations/356701906</t>
  </si>
  <si>
    <t xml:space="preserve">GECKO 0064</t>
  </si>
  <si>
    <t xml:space="preserve">milohongo76</t>
  </si>
  <si>
    <t xml:space="preserve">https://www.inaturalist.org/observations/356634498</t>
  </si>
  <si>
    <t xml:space="preserve">GECKO 0065</t>
  </si>
  <si>
    <t xml:space="preserve">cesarkauil</t>
  </si>
  <si>
    <t xml:space="preserve">https://www.inaturalist.org/observations/356319207</t>
  </si>
  <si>
    <t xml:space="preserve">GECKO 0066</t>
  </si>
  <si>
    <t xml:space="preserve">angelio29</t>
  </si>
  <si>
    <t xml:space="preserve">https://www.inaturalist.org/observations/356316582</t>
  </si>
  <si>
    <t xml:space="preserve">GECKO 0067</t>
  </si>
  <si>
    <t xml:space="preserve">carlanoh</t>
  </si>
  <si>
    <t xml:space="preserve">https://www.inaturalist.org/observations/356280679</t>
  </si>
  <si>
    <t xml:space="preserve">GECKO 0068</t>
  </si>
  <si>
    <t xml:space="preserve">kevin_morales_mclernon</t>
  </si>
  <si>
    <t xml:space="preserve">https://www.inaturalist.org/observations/356223919</t>
  </si>
  <si>
    <t xml:space="preserve">GECKO 0069</t>
  </si>
  <si>
    <t xml:space="preserve">angel_ac</t>
  </si>
  <si>
    <t xml:space="preserve">https://www.inaturalist.org/observations/356132377</t>
  </si>
  <si>
    <t xml:space="preserve">GECKO 0070</t>
  </si>
  <si>
    <t xml:space="preserve">GECKO 0071</t>
  </si>
  <si>
    <t xml:space="preserve">Coleonyx brevis</t>
  </si>
  <si>
    <t xml:space="preserve">nebraska_fish</t>
  </si>
  <si>
    <t xml:space="preserve">https://www.inaturalist.org/observations/377341039</t>
  </si>
  <si>
    <t xml:space="preserve">GECKO 0072</t>
  </si>
  <si>
    <t xml:space="preserve">ismael_carreon</t>
  </si>
  <si>
    <t xml:space="preserve">https://www.inaturalist.org/observations/374839439</t>
  </si>
  <si>
    <t xml:space="preserve">GECKO 0073</t>
  </si>
  <si>
    <t xml:space="preserve">jasonguozichen</t>
  </si>
  <si>
    <t xml:space="preserve">https://www.inaturalist.org/observations/374363437</t>
  </si>
  <si>
    <t xml:space="preserve">GECKO 0074</t>
  </si>
  <si>
    <t xml:space="preserve">hammondhou</t>
  </si>
  <si>
    <t xml:space="preserve">https://www.inaturalist.org/observations/374189787</t>
  </si>
  <si>
    <t xml:space="preserve">GECKO 0075</t>
  </si>
  <si>
    <t xml:space="preserve">nickie1212</t>
  </si>
  <si>
    <t xml:space="preserve">https://www.inaturalist.org/observations/374055567</t>
  </si>
  <si>
    <t xml:space="preserve">GECKO 0076</t>
  </si>
  <si>
    <t xml:space="preserve">diomedea_exulans_li</t>
  </si>
  <si>
    <t xml:space="preserve">https://www.inaturalist.org/observations/374048415</t>
  </si>
  <si>
    <t xml:space="preserve">GECKO 0077</t>
  </si>
  <si>
    <t xml:space="preserve">GECKO 0078</t>
  </si>
  <si>
    <t xml:space="preserve">GECKO 0079</t>
  </si>
  <si>
    <t xml:space="preserve">mako252</t>
  </si>
  <si>
    <t xml:space="preserve">https://www.inaturalist.org/observations/371592600</t>
  </si>
  <si>
    <t xml:space="preserve">GECKO 0080</t>
  </si>
  <si>
    <t xml:space="preserve">dmiller423</t>
  </si>
  <si>
    <t xml:space="preserve">https://www.inaturalist.org/observations/371325188</t>
  </si>
  <si>
    <t xml:space="preserve">GECKO 0081</t>
  </si>
  <si>
    <t xml:space="preserve">bjdw03</t>
  </si>
  <si>
    <t xml:space="preserve">https://www.inaturalist.org/observations/370504851</t>
  </si>
  <si>
    <t xml:space="preserve">GECKO 0082</t>
  </si>
  <si>
    <t xml:space="preserve">jvzel</t>
  </si>
  <si>
    <t xml:space="preserve">https://www.inaturalist.org/observations/370087127</t>
  </si>
  <si>
    <t xml:space="preserve">GECKO 0083</t>
  </si>
  <si>
    <t xml:space="preserve">jorden_perrett</t>
  </si>
  <si>
    <t xml:space="preserve">https://www.inaturalist.org/observations/367942679</t>
  </si>
  <si>
    <t xml:space="preserve">GECKO 0084</t>
  </si>
  <si>
    <t xml:space="preserve">mothington</t>
  </si>
  <si>
    <t xml:space="preserve">https://www.inaturalist.org/observations/367320503</t>
  </si>
  <si>
    <t xml:space="preserve">GECKO 0085</t>
  </si>
  <si>
    <t xml:space="preserve">ulyssesboulton</t>
  </si>
  <si>
    <t xml:space="preserve">https://www.inaturalist.org/observations/366399238</t>
  </si>
  <si>
    <t xml:space="preserve">GECKO 0086</t>
  </si>
  <si>
    <t xml:space="preserve">https://www.inaturalist.org/observations/366397434</t>
  </si>
  <si>
    <t xml:space="preserve">GECKO 0087</t>
  </si>
  <si>
    <t xml:space="preserve">pecosvalleydiamond</t>
  </si>
  <si>
    <t xml:space="preserve">https://www.inaturalist.org/observations/364757369</t>
  </si>
  <si>
    <t xml:space="preserve">GECKO 0088</t>
  </si>
  <si>
    <t xml:space="preserve">GECKO 0089</t>
  </si>
  <si>
    <t xml:space="preserve">crotrox</t>
  </si>
  <si>
    <t xml:space="preserve">https://www.inaturalist.org/observations/364748528</t>
  </si>
  <si>
    <t xml:space="preserve">GECKO 0090</t>
  </si>
  <si>
    <t xml:space="preserve">katherine_lentz</t>
  </si>
  <si>
    <t xml:space="preserve">https://www.inaturalist.org/observations/363558639</t>
  </si>
  <si>
    <t xml:space="preserve">GECKO 0091</t>
  </si>
  <si>
    <t xml:space="preserve">jugbayjs</t>
  </si>
  <si>
    <t xml:space="preserve">https://www.inaturalist.org/observations/362344791</t>
  </si>
  <si>
    <t xml:space="preserve">GECKO 0092</t>
  </si>
  <si>
    <t xml:space="preserve">doofnschmutz</t>
  </si>
  <si>
    <t xml:space="preserve">https://www.inaturalist.org/observations/361354968</t>
  </si>
  <si>
    <t xml:space="preserve">GECKO 0093</t>
  </si>
  <si>
    <t xml:space="preserve">GECKO 0094</t>
  </si>
  <si>
    <t xml:space="preserve">Coleonyx mitratus</t>
  </si>
  <si>
    <t xml:space="preserve">claudiamuc</t>
  </si>
  <si>
    <t xml:space="preserve">https://www.inaturalist.org/observations/331350963</t>
  </si>
  <si>
    <t xml:space="preserve">GECKO 0095</t>
  </si>
  <si>
    <t xml:space="preserve">https://www.inaturalist.org/observations/359064173</t>
  </si>
  <si>
    <t xml:space="preserve">GECKO 0096</t>
  </si>
  <si>
    <t xml:space="preserve">mooniemagnum</t>
  </si>
  <si>
    <t xml:space="preserve">https://www.inaturalist.org/observations/358660505</t>
  </si>
  <si>
    <t xml:space="preserve">GECKO 0097</t>
  </si>
  <si>
    <t xml:space="preserve">agzzc</t>
  </si>
  <si>
    <t xml:space="preserve">https://www.inaturalist.org/observations/357409939</t>
  </si>
  <si>
    <t xml:space="preserve">GECKO 0098</t>
  </si>
  <si>
    <t xml:space="preserve">dey_29dio</t>
  </si>
  <si>
    <t xml:space="preserve">https://www.inaturalist.org/observations/357364616</t>
  </si>
  <si>
    <t xml:space="preserve">GECKO 0099</t>
  </si>
  <si>
    <t xml:space="preserve">eldoradospencer</t>
  </si>
  <si>
    <t xml:space="preserve">https://www.inaturalist.org/observations/352609417</t>
  </si>
  <si>
    <t xml:space="preserve">GECKO 0100</t>
  </si>
  <si>
    <t xml:space="preserve">jacksonb03</t>
  </si>
  <si>
    <t xml:space="preserve">https://www.inaturalist.org/observations/350903356</t>
  </si>
  <si>
    <t xml:space="preserve">GECKO 0101</t>
  </si>
  <si>
    <t xml:space="preserve">hillisdm</t>
  </si>
  <si>
    <t xml:space="preserve">https://www.inaturalist.org/observations/350702720</t>
  </si>
  <si>
    <t xml:space="preserve">GECKO 0102</t>
  </si>
  <si>
    <t xml:space="preserve">GECKO 0103</t>
  </si>
  <si>
    <t xml:space="preserve">dbh</t>
  </si>
  <si>
    <t xml:space="preserve">https://www.inaturalist.org/observations/348368877</t>
  </si>
  <si>
    <t xml:space="preserve">GECKO 0104</t>
  </si>
  <si>
    <t xml:space="preserve">jonwebb2</t>
  </si>
  <si>
    <t xml:space="preserve">https://www.inaturalist.org/observations/345965985</t>
  </si>
  <si>
    <t xml:space="preserve">GECKO 0105</t>
  </si>
  <si>
    <t xml:space="preserve">GECKO 0106</t>
  </si>
  <si>
    <t xml:space="preserve">Eublepharis</t>
  </si>
  <si>
    <t xml:space="preserve">Eublepharis pictus</t>
  </si>
  <si>
    <t xml:space="preserve">siddhanta23</t>
  </si>
  <si>
    <t xml:space="preserve">https://www.inaturalist.org/observations/363055925</t>
  </si>
  <si>
    <t xml:space="preserve">GECKO 0107</t>
  </si>
  <si>
    <t xml:space="preserve">rakeshkumarmohalik</t>
  </si>
  <si>
    <t xml:space="preserve">https://www.inaturalist.org/observations/314069485</t>
  </si>
  <si>
    <t xml:space="preserve">GECKO 0108</t>
  </si>
  <si>
    <t xml:space="preserve">biswajit_1995</t>
  </si>
  <si>
    <t xml:space="preserve">https://www.inaturalist.org/observations/311624616</t>
  </si>
  <si>
    <t xml:space="preserve">GECKO 0109</t>
  </si>
  <si>
    <t xml:space="preserve">GECKO 0110</t>
  </si>
  <si>
    <t xml:space="preserve">https://www.inaturalist.org/observations/311624050</t>
  </si>
  <si>
    <t xml:space="preserve">GECKO 0111</t>
  </si>
  <si>
    <t xml:space="preserve">GECKO 0112</t>
  </si>
  <si>
    <t xml:space="preserve">GECKO 0113</t>
  </si>
  <si>
    <t xml:space="preserve">thamizh</t>
  </si>
  <si>
    <t xml:space="preserve">https://www.inaturalist.org/observations/305729195</t>
  </si>
  <si>
    <t xml:space="preserve">GECKO 0114</t>
  </si>
  <si>
    <t xml:space="preserve">https://www.inaturalist.org/observations/303338257</t>
  </si>
  <si>
    <t xml:space="preserve">GECKO 0115</t>
  </si>
  <si>
    <t xml:space="preserve">https://www.inaturalist.org/observations/300733898</t>
  </si>
  <si>
    <t xml:space="preserve">GECKO 0116</t>
  </si>
  <si>
    <t xml:space="preserve">GECKO 0117</t>
  </si>
  <si>
    <t xml:space="preserve">GECKO 0118</t>
  </si>
  <si>
    <t xml:space="preserve">https://www.inaturalist.org/observations/300731785</t>
  </si>
  <si>
    <t xml:space="preserve">GECKO 0119</t>
  </si>
  <si>
    <t xml:space="preserve">chandra_sekhar_</t>
  </si>
  <si>
    <t xml:space="preserve">https://www.inaturalist.org/observations/299734329</t>
  </si>
  <si>
    <t xml:space="preserve">GECKO 0120</t>
  </si>
  <si>
    <t xml:space="preserve">GECKO 0121</t>
  </si>
  <si>
    <t xml:space="preserve">chaitanya_t</t>
  </si>
  <si>
    <t xml:space="preserve">https://www.inaturalist.org/observations/297518629</t>
  </si>
  <si>
    <t xml:space="preserve">GECKO 0122</t>
  </si>
  <si>
    <t xml:space="preserve">GECKO 0123</t>
  </si>
  <si>
    <t xml:space="preserve">GECKO 0124</t>
  </si>
  <si>
    <t xml:space="preserve">https://www.inaturalist.org/observations/296288856</t>
  </si>
  <si>
    <t xml:space="preserve">GECKO 0125</t>
  </si>
  <si>
    <t xml:space="preserve">arunkumar_thyadi1</t>
  </si>
  <si>
    <t xml:space="preserve">https://www.inaturalist.org/observations/284208292</t>
  </si>
  <si>
    <t xml:space="preserve">GECKO 0126</t>
  </si>
  <si>
    <t xml:space="preserve">komarraju</t>
  </si>
  <si>
    <t xml:space="preserve">https://www.inaturalist.org/observations/280234684</t>
  </si>
  <si>
    <t xml:space="preserve">GECKO 0127</t>
  </si>
  <si>
    <t xml:space="preserve">https://www.inaturalist.org/observations/255283246</t>
  </si>
  <si>
    <t xml:space="preserve">GECKO 0128</t>
  </si>
  <si>
    <t xml:space="preserve">GECKO 0129</t>
  </si>
  <si>
    <t xml:space="preserve">https://www.inaturalist.org/observations/241301145</t>
  </si>
  <si>
    <t xml:space="preserve">GECKO 0130</t>
  </si>
  <si>
    <t xml:space="preserve">GECKO 0131</t>
  </si>
  <si>
    <t xml:space="preserve">https://www.inaturalist.org/observations/240367094</t>
  </si>
  <si>
    <t xml:space="preserve">GECKO 0132</t>
  </si>
  <si>
    <t xml:space="preserve">GECKO 0133</t>
  </si>
  <si>
    <t xml:space="preserve">GECKO 0134</t>
  </si>
  <si>
    <t xml:space="preserve">https://www.inaturalist.org/observations/239327238</t>
  </si>
  <si>
    <t xml:space="preserve">GECKO 0135</t>
  </si>
  <si>
    <t xml:space="preserve">GECKO 0136</t>
  </si>
  <si>
    <t xml:space="preserve">GECKO 0137</t>
  </si>
  <si>
    <t xml:space="preserve">avrajjal</t>
  </si>
  <si>
    <t xml:space="preserve">https://www.inaturalist.org/observations/225693409</t>
  </si>
  <si>
    <t xml:space="preserve">GECKO 0138</t>
  </si>
  <si>
    <t xml:space="preserve">https://www.inaturalist.org/observations/207334921</t>
  </si>
  <si>
    <t xml:space="preserve">GECKO 0139</t>
  </si>
  <si>
    <t xml:space="preserve">https://www.inaturalist.org/observations/169206892</t>
  </si>
  <si>
    <t xml:space="preserve">GECKO 0140</t>
  </si>
  <si>
    <t xml:space="preserve">dr_deepu_visweswar</t>
  </si>
  <si>
    <t xml:space="preserve">https://www.inaturalist.org/observations/163797975</t>
  </si>
  <si>
    <t xml:space="preserve">GECKO 0141</t>
  </si>
  <si>
    <t xml:space="preserve">Eublepharis fuscus</t>
  </si>
  <si>
    <t xml:space="preserve">ankitha_jayanth</t>
  </si>
  <si>
    <t xml:space="preserve">https://www.inaturalist.org/observations/331935514</t>
  </si>
  <si>
    <t xml:space="preserve">GECKO 0142</t>
  </si>
  <si>
    <t xml:space="preserve">joshiag</t>
  </si>
  <si>
    <t xml:space="preserve">https://www.inaturalist.org/observations/327402352</t>
  </si>
  <si>
    <t xml:space="preserve">GECKO 0143</t>
  </si>
  <si>
    <t xml:space="preserve">GECKO 0144</t>
  </si>
  <si>
    <t xml:space="preserve">naushadtheba</t>
  </si>
  <si>
    <t xml:space="preserve">https://www.inaturalist.org/observations/326152169</t>
  </si>
  <si>
    <t xml:space="preserve">GECKO 0145</t>
  </si>
  <si>
    <t xml:space="preserve">siddhantmhetre09</t>
  </si>
  <si>
    <t xml:space="preserve">https://www.inaturalist.org/observations/281267885</t>
  </si>
  <si>
    <t xml:space="preserve">GECKO 0146</t>
  </si>
  <si>
    <t xml:space="preserve">avishkar</t>
  </si>
  <si>
    <t xml:space="preserve">https://www.inaturalist.org/observations/254727066</t>
  </si>
  <si>
    <t xml:space="preserve">GECKO 0147</t>
  </si>
  <si>
    <t xml:space="preserve">ritul</t>
  </si>
  <si>
    <t xml:space="preserve">https://www.inaturalist.org/observations/244652501</t>
  </si>
  <si>
    <t xml:space="preserve">GECKO 0148</t>
  </si>
  <si>
    <t xml:space="preserve">GECKO 0149</t>
  </si>
  <si>
    <t xml:space="preserve">GECKO 0150</t>
  </si>
  <si>
    <t xml:space="preserve">GECKO 0151</t>
  </si>
  <si>
    <t xml:space="preserve">avinashbhagat2</t>
  </si>
  <si>
    <t xml:space="preserve">https://www.inaturalist.org/observations/188702529</t>
  </si>
  <si>
    <t xml:space="preserve">GECKO 0152</t>
  </si>
  <si>
    <t xml:space="preserve">https://www.inaturalist.org/observations/188127741</t>
  </si>
  <si>
    <t xml:space="preserve">GECKO 0153</t>
  </si>
  <si>
    <t xml:space="preserve">GECKO 0154</t>
  </si>
  <si>
    <t xml:space="preserve">karan_7</t>
  </si>
  <si>
    <t xml:space="preserve">https://www.inaturalist.org/observations/184822942</t>
  </si>
  <si>
    <t xml:space="preserve">GECKO 0155</t>
  </si>
  <si>
    <t xml:space="preserve">jonhakim</t>
  </si>
  <si>
    <t xml:space="preserve">https://www.inaturalist.org/observations/176969378</t>
  </si>
  <si>
    <t xml:space="preserve">GECKO 0156</t>
  </si>
  <si>
    <t xml:space="preserve">https://www.inaturalist.org/observations/176969357</t>
  </si>
  <si>
    <t xml:space="preserve">GECKO 0157</t>
  </si>
  <si>
    <t xml:space="preserve">https://www.inaturalist.org/observations/176862948</t>
  </si>
  <si>
    <t xml:space="preserve">GECKO 0158</t>
  </si>
  <si>
    <t xml:space="preserve">GECKO 0159</t>
  </si>
  <si>
    <t xml:space="preserve">GECKO 0160</t>
  </si>
  <si>
    <t xml:space="preserve">jayantdeshpande</t>
  </si>
  <si>
    <t xml:space="preserve">https://www.inaturalist.org/observations/121993372</t>
  </si>
  <si>
    <t xml:space="preserve">GECKO 0161</t>
  </si>
  <si>
    <t xml:space="preserve">pittatours</t>
  </si>
  <si>
    <t xml:space="preserve">https://www.inaturalist.org/observations/109499645</t>
  </si>
  <si>
    <t xml:space="preserve">GECKO 0162</t>
  </si>
  <si>
    <t xml:space="preserve">pramodmahanubhav</t>
  </si>
  <si>
    <t xml:space="preserve">https://www.inaturalist.org/observations/91107487</t>
  </si>
  <si>
    <t xml:space="preserve">GECKO 0163</t>
  </si>
  <si>
    <t xml:space="preserve">shaileshg1806</t>
  </si>
  <si>
    <t xml:space="preserve">https://www.inaturalist.org/observations/78623420</t>
  </si>
  <si>
    <t xml:space="preserve">GECKO 0164</t>
  </si>
  <si>
    <t xml:space="preserve">udayagashe</t>
  </si>
  <si>
    <t xml:space="preserve">https://www.inaturalist.org/observations/56207056</t>
  </si>
  <si>
    <t xml:space="preserve">GECKO 0165</t>
  </si>
  <si>
    <t xml:space="preserve">https://www.inaturalist.org/observations/56207055</t>
  </si>
  <si>
    <t xml:space="preserve">GECKO 0166</t>
  </si>
  <si>
    <t xml:space="preserve">https://www.inaturalist.org/observations/56201102</t>
  </si>
  <si>
    <t xml:space="preserve">GECKO 0167</t>
  </si>
  <si>
    <t xml:space="preserve">ygurjar</t>
  </si>
  <si>
    <t xml:space="preserve">https://www.inaturalist.org/observations/55768159</t>
  </si>
  <si>
    <t xml:space="preserve">GECKO 0168</t>
  </si>
  <si>
    <t xml:space="preserve">https://www.inaturalist.org/observations/55768158</t>
  </si>
  <si>
    <t xml:space="preserve">GECKO 0169</t>
  </si>
  <si>
    <t xml:space="preserve">https://www.inaturalist.org/observations/55766991</t>
  </si>
  <si>
    <t xml:space="preserve">GECKO 0170</t>
  </si>
  <si>
    <t xml:space="preserve">https://www.inaturalist.org/observations/55682487</t>
  </si>
  <si>
    <t xml:space="preserve">GECKO 0171</t>
  </si>
  <si>
    <t xml:space="preserve">https://www.inaturalist.org/observations/55585094</t>
  </si>
  <si>
    <t xml:space="preserve">GECKO 0172</t>
  </si>
  <si>
    <t xml:space="preserve">swanand</t>
  </si>
  <si>
    <t xml:space="preserve">https://www.inaturalist.org/observations/52831058</t>
  </si>
  <si>
    <t xml:space="preserve">GECKO 0173</t>
  </si>
  <si>
    <t xml:space="preserve">rujutavinod</t>
  </si>
  <si>
    <t xml:space="preserve">https://www.inaturalist.org/observations/52662646</t>
  </si>
  <si>
    <t xml:space="preserve">GECKO 0174</t>
  </si>
  <si>
    <t xml:space="preserve">https://www.inaturalist.org/observations/52662645</t>
  </si>
  <si>
    <t xml:space="preserve">GECKO 0175</t>
  </si>
  <si>
    <t xml:space="preserve">https://www.inaturalist.org/observations/39147735</t>
  </si>
  <si>
    <t xml:space="preserve">GECKO 0176</t>
  </si>
  <si>
    <t xml:space="preserve">Eublepharis macularius</t>
  </si>
  <si>
    <t xml:space="preserve">faustoalexei</t>
  </si>
  <si>
    <t xml:space="preserve">https://www.inaturalist.org/observations/377054599</t>
  </si>
  <si>
    <t xml:space="preserve">GECKO 0177</t>
  </si>
  <si>
    <t xml:space="preserve">GECKO 0178</t>
  </si>
  <si>
    <t xml:space="preserve">burgundyreptilesjr</t>
  </si>
  <si>
    <t xml:space="preserve">https://www.inaturalist.org/observations/331015415</t>
  </si>
  <si>
    <t xml:space="preserve">GECKO 0179</t>
  </si>
  <si>
    <t xml:space="preserve">GECKO 0180</t>
  </si>
  <si>
    <t xml:space="preserve">fateh_sher</t>
  </si>
  <si>
    <t xml:space="preserve">https://www.inaturalist.org/observations/323453492</t>
  </si>
  <si>
    <t xml:space="preserve">GECKO 0181</t>
  </si>
  <si>
    <t xml:space="preserve">astrapia</t>
  </si>
  <si>
    <t xml:space="preserve">https://www.inaturalist.org/observations/287027399</t>
  </si>
  <si>
    <t xml:space="preserve">GECKO 0182</t>
  </si>
  <si>
    <t xml:space="preserve">GECKO 0183</t>
  </si>
  <si>
    <t xml:space="preserve">GECKO 0184</t>
  </si>
  <si>
    <t xml:space="preserve">GECKO 0185</t>
  </si>
  <si>
    <t xml:space="preserve">aary</t>
  </si>
  <si>
    <t xml:space="preserve">https://www.inaturalist.org/observations/271474107</t>
  </si>
  <si>
    <t xml:space="preserve">GECKO 0186</t>
  </si>
  <si>
    <t xml:space="preserve">khateebsherani</t>
  </si>
  <si>
    <t xml:space="preserve">https://www.inaturalist.org/observations/267159284</t>
  </si>
  <si>
    <t xml:space="preserve">GECKO 0187</t>
  </si>
  <si>
    <t xml:space="preserve">zafeershaikh</t>
  </si>
  <si>
    <t xml:space="preserve">https://www.inaturalist.org/observations/235312839</t>
  </si>
  <si>
    <t xml:space="preserve">GECKO 0188</t>
  </si>
  <si>
    <t xml:space="preserve">GECKO 0189</t>
  </si>
  <si>
    <t xml:space="preserve">GECKO 0190</t>
  </si>
  <si>
    <t xml:space="preserve">GECKO 0191</t>
  </si>
  <si>
    <t xml:space="preserve">GECKO 0192</t>
  </si>
  <si>
    <t xml:space="preserve">GECKO 0193</t>
  </si>
  <si>
    <t xml:space="preserve">GECKO 0194</t>
  </si>
  <si>
    <t xml:space="preserve">GECKO 0195</t>
  </si>
  <si>
    <t xml:space="preserve">GECKO 0196</t>
  </si>
  <si>
    <t xml:space="preserve">GECKO 0197</t>
  </si>
  <si>
    <t xml:space="preserve">wildsam_16</t>
  </si>
  <si>
    <t xml:space="preserve">https://www.inaturalist.org/observations/178502708</t>
  </si>
  <si>
    <t xml:space="preserve">GECKO 0198</t>
  </si>
  <si>
    <t xml:space="preserve">GECKO 0199</t>
  </si>
  <si>
    <t xml:space="preserve">grahamarmstrong</t>
  </si>
  <si>
    <t xml:space="preserve">https://www.inaturalist.org/observations/107355755</t>
  </si>
  <si>
    <t xml:space="preserve">GECKO 0200</t>
  </si>
  <si>
    <t xml:space="preserve">https://www.inaturalist.org/observations/107355360</t>
  </si>
  <si>
    <t xml:space="preserve">GECKO 0201</t>
  </si>
  <si>
    <t xml:space="preserve">magicwombat</t>
  </si>
  <si>
    <t xml:space="preserve">https://www.inaturalist.org/observations/30469162</t>
  </si>
  <si>
    <t xml:space="preserve">GECKO 0202</t>
  </si>
  <si>
    <t xml:space="preserve">GECKO 0203</t>
  </si>
  <si>
    <t xml:space="preserve">GECKO 0204</t>
  </si>
  <si>
    <t xml:space="preserve">dodomae98</t>
  </si>
  <si>
    <t xml:space="preserve">https://www.inaturalist.org/observations/13658491</t>
  </si>
  <si>
    <t xml:space="preserve">GECKO 0205</t>
  </si>
  <si>
    <t xml:space="preserve">cmus</t>
  </si>
  <si>
    <t xml:space="preserve">https://www.inaturalist.org/observations/1669419</t>
  </si>
  <si>
    <t xml:space="preserve">GECKO 0206</t>
  </si>
  <si>
    <t xml:space="preserve">Juan Carlos Garcia Jimenez</t>
  </si>
  <si>
    <t xml:space="preserve">Personal collection</t>
  </si>
  <si>
    <t xml:space="preserve">GECKO 0207</t>
  </si>
  <si>
    <t xml:space="preserve">GECKO 0208</t>
  </si>
  <si>
    <t xml:space="preserve">GECKO 0209</t>
  </si>
  <si>
    <t xml:space="preserve">GECKO 0210</t>
  </si>
  <si>
    <t xml:space="preserve">GECKO 0211</t>
  </si>
  <si>
    <t xml:space="preserve">Goniurosaurus</t>
  </si>
  <si>
    <t xml:space="preserve">Goniurosaurus varius</t>
  </si>
  <si>
    <t xml:space="preserve">beizi125</t>
  </si>
  <si>
    <t xml:space="preserve">https://www.inaturalist.org/observations/374513494</t>
  </si>
  <si>
    <t xml:space="preserve">GECKO 0212</t>
  </si>
  <si>
    <t xml:space="preserve">o-o2002</t>
  </si>
  <si>
    <t xml:space="preserve">https://www.inaturalist.org/observations/357912640</t>
  </si>
  <si>
    <t xml:space="preserve">GECKO 0213</t>
  </si>
  <si>
    <t xml:space="preserve">fugee</t>
  </si>
  <si>
    <t xml:space="preserve">https://www.inaturalist.org/observations/342874388</t>
  </si>
  <si>
    <t xml:space="preserve">GECKO 0214</t>
  </si>
  <si>
    <t xml:space="preserve">chinesepaddlefish</t>
  </si>
  <si>
    <t xml:space="preserve">https://www.inaturalist.org/observations/333889464</t>
  </si>
  <si>
    <t xml:space="preserve">GECKO 0215</t>
  </si>
  <si>
    <t xml:space="preserve">GECKO 0216</t>
  </si>
  <si>
    <t xml:space="preserve">shensike</t>
  </si>
  <si>
    <t xml:space="preserve">https://www.inaturalist.org/observations/325141068</t>
  </si>
  <si>
    <t xml:space="preserve">GECKO 0217</t>
  </si>
  <si>
    <t xml:space="preserve">GECKO 0218</t>
  </si>
  <si>
    <t xml:space="preserve">GECKO 0219</t>
  </si>
  <si>
    <t xml:space="preserve">haitongyu</t>
  </si>
  <si>
    <t xml:space="preserve">https://www.inaturalist.org/observations/313470140</t>
  </si>
  <si>
    <t xml:space="preserve">GECKO 0220</t>
  </si>
  <si>
    <t xml:space="preserve">yexingcha</t>
  </si>
  <si>
    <t xml:space="preserve">https://www.inaturalist.org/observations/304155023</t>
  </si>
  <si>
    <t xml:space="preserve">GECKO 0221</t>
  </si>
  <si>
    <t xml:space="preserve">haocong_cat</t>
  </si>
  <si>
    <t xml:space="preserve">https://www.inaturalist.org/observations/303431938</t>
  </si>
  <si>
    <t xml:space="preserve">GECKO 0222</t>
  </si>
  <si>
    <t xml:space="preserve">GECKO 0223</t>
  </si>
  <si>
    <t xml:space="preserve">byd_sb</t>
  </si>
  <si>
    <t xml:space="preserve">https://www.inaturalist.org/observations/300725590</t>
  </si>
  <si>
    <t xml:space="preserve">GECKO 0224</t>
  </si>
  <si>
    <t xml:space="preserve">rainbowlkc</t>
  </si>
  <si>
    <t xml:space="preserve">https://www.inaturalist.org/observations/299116747</t>
  </si>
  <si>
    <t xml:space="preserve">GECKO 0225</t>
  </si>
  <si>
    <t xml:space="preserve">https://www.inaturalist.org/observations/299116723</t>
  </si>
  <si>
    <t xml:space="preserve">GECKO 0226</t>
  </si>
  <si>
    <t xml:space="preserve">https://www.inaturalist.org/observations/299116693</t>
  </si>
  <si>
    <t xml:space="preserve">GECKO 0227</t>
  </si>
  <si>
    <t xml:space="preserve">https://www.inaturalist.org/observations/299116646</t>
  </si>
  <si>
    <t xml:space="preserve">GECKO 0228</t>
  </si>
  <si>
    <t xml:space="preserve">https://www.inaturalist.org/observations/299116622</t>
  </si>
  <si>
    <t xml:space="preserve">GECKO 0229</t>
  </si>
  <si>
    <t xml:space="preserve">https://www.inaturalist.org/observations/299116606</t>
  </si>
  <si>
    <t xml:space="preserve">GECKO 0230</t>
  </si>
  <si>
    <t xml:space="preserve">https://www.inaturalist.org/observations/299116569</t>
  </si>
  <si>
    <t xml:space="preserve">GECKO 0231</t>
  </si>
  <si>
    <t xml:space="preserve">https://www.inaturalist.org/observations/299116516</t>
  </si>
  <si>
    <t xml:space="preserve">GECKO 0232</t>
  </si>
  <si>
    <t xml:space="preserve">https://www.inaturalist.org/observations/299116493</t>
  </si>
  <si>
    <t xml:space="preserve">GECKO 0233</t>
  </si>
  <si>
    <t xml:space="preserve">https://www.inaturalist.org/observations/299116466</t>
  </si>
  <si>
    <t xml:space="preserve">GECKO 0234</t>
  </si>
  <si>
    <t xml:space="preserve">https://www.inaturalist.org/observations/299116435</t>
  </si>
  <si>
    <t xml:space="preserve">GECKO 0235</t>
  </si>
  <si>
    <t xml:space="preserve">islander_iskander</t>
  </si>
  <si>
    <t xml:space="preserve">https://www.inaturalist.org/observations/299010601</t>
  </si>
  <si>
    <t xml:space="preserve">GECKO 0236</t>
  </si>
  <si>
    <t xml:space="preserve">https://www.inaturalist.org/observations/299010499</t>
  </si>
  <si>
    <t xml:space="preserve">GECKO 0237</t>
  </si>
  <si>
    <t xml:space="preserve">https://www.inaturalist.org/observations/299010420</t>
  </si>
  <si>
    <t xml:space="preserve">GECKO 0238</t>
  </si>
  <si>
    <t xml:space="preserve">https://www.inaturalist.org/observations/299010299</t>
  </si>
  <si>
    <t xml:space="preserve">GECKO 0239</t>
  </si>
  <si>
    <t xml:space="preserve">https://www.inaturalist.org/observations/299010150</t>
  </si>
  <si>
    <t xml:space="preserve">GECKO 0240</t>
  </si>
  <si>
    <t xml:space="preserve">https://www.inaturalist.org/observations/299010024</t>
  </si>
  <si>
    <t xml:space="preserve">GECKO 0241</t>
  </si>
  <si>
    <t xml:space="preserve">https://www.inaturalist.org/observations/299009947</t>
  </si>
  <si>
    <t xml:space="preserve">GECKO 0242</t>
  </si>
  <si>
    <t xml:space="preserve">https://www.inaturalist.org/observations/299009856</t>
  </si>
  <si>
    <t xml:space="preserve">GECKO 0243</t>
  </si>
  <si>
    <t xml:space="preserve">https://www.inaturalist.org/observations/299009754</t>
  </si>
  <si>
    <t xml:space="preserve">GECKO 0244</t>
  </si>
  <si>
    <t xml:space="preserve">leekelai</t>
  </si>
  <si>
    <t xml:space="preserve">https://www.inaturalist.org/observations/287790924</t>
  </si>
  <si>
    <t xml:space="preserve">GECKO 0245</t>
  </si>
  <si>
    <t xml:space="preserve">GECKO 0246</t>
  </si>
  <si>
    <t xml:space="preserve">Goniurosaurus liboensis</t>
  </si>
  <si>
    <t xml:space="preserve">yizhidegua</t>
  </si>
  <si>
    <t xml:space="preserve">https://www.inaturalist.org/observations/379140983</t>
  </si>
  <si>
    <t xml:space="preserve">GECKO 0247</t>
  </si>
  <si>
    <t xml:space="preserve">GECKO 0248</t>
  </si>
  <si>
    <t xml:space="preserve">GECKO 0249</t>
  </si>
  <si>
    <t xml:space="preserve">GECKO 0250</t>
  </si>
  <si>
    <t xml:space="preserve">nianian</t>
  </si>
  <si>
    <t xml:space="preserve">https://www.inaturalist.org/observations/361087273</t>
  </si>
  <si>
    <t xml:space="preserve">GECKO 0251</t>
  </si>
  <si>
    <t xml:space="preserve">GECKO 0252</t>
  </si>
  <si>
    <t xml:space="preserve">GECKO 0253</t>
  </si>
  <si>
    <t xml:space="preserve">GECKO 0254</t>
  </si>
  <si>
    <t xml:space="preserve">liushi</t>
  </si>
  <si>
    <t xml:space="preserve">https://www.inaturalist.org/observations/349134751</t>
  </si>
  <si>
    <t xml:space="preserve">GECKO 0255</t>
  </si>
  <si>
    <t xml:space="preserve">kragikuak</t>
  </si>
  <si>
    <t xml:space="preserve">https://www.inaturalist.org/observations/347329292</t>
  </si>
  <si>
    <t xml:space="preserve">GECKO 0256</t>
  </si>
  <si>
    <t xml:space="preserve">https://www.inaturalist.org/observations/346838252</t>
  </si>
  <si>
    <t xml:space="preserve">GECKO 0257</t>
  </si>
  <si>
    <t xml:space="preserve">GECKO 0258</t>
  </si>
  <si>
    <t xml:space="preserve">GECKO 0259</t>
  </si>
  <si>
    <t xml:space="preserve">GECKO 0260</t>
  </si>
  <si>
    <t xml:space="preserve">GECKO 0261</t>
  </si>
  <si>
    <t xml:space="preserve">merdeux</t>
  </si>
  <si>
    <t xml:space="preserve">https://www.inaturalist.org/observations/321042679</t>
  </si>
  <si>
    <t xml:space="preserve">GECKO 0262</t>
  </si>
  <si>
    <t xml:space="preserve">GECKO 0263</t>
  </si>
  <si>
    <t xml:space="preserve">GECKO 0264</t>
  </si>
  <si>
    <t xml:space="preserve">GECKO 0265</t>
  </si>
  <si>
    <t xml:space="preserve">https://www.inaturalist.org/observations/320580731</t>
  </si>
  <si>
    <t xml:space="preserve">GECKO 0266</t>
  </si>
  <si>
    <t xml:space="preserve">GECKO 0267</t>
  </si>
  <si>
    <t xml:space="preserve">https://www.inaturalist.org/observations/319870609</t>
  </si>
  <si>
    <t xml:space="preserve">GECKO 0268</t>
  </si>
  <si>
    <t xml:space="preserve">psyduckey</t>
  </si>
  <si>
    <t xml:space="preserve">https://www.inaturalist.org/observations/319322821</t>
  </si>
  <si>
    <t xml:space="preserve">GECKO 0269</t>
  </si>
  <si>
    <t xml:space="preserve">https://www.inaturalist.org/observations/318537436</t>
  </si>
  <si>
    <t xml:space="preserve">GECKO 0270</t>
  </si>
  <si>
    <t xml:space="preserve">https://www.inaturalist.org/observations/318537433</t>
  </si>
  <si>
    <t xml:space="preserve">GECKO 0271</t>
  </si>
  <si>
    <t xml:space="preserve">xx2023</t>
  </si>
  <si>
    <t xml:space="preserve">https://www.inaturalist.org/observations/316918437</t>
  </si>
  <si>
    <t xml:space="preserve">GECKO 0272</t>
  </si>
  <si>
    <t xml:space="preserve">https://www.inaturalist.org/observations/316918383</t>
  </si>
  <si>
    <t xml:space="preserve">GECKO 0273</t>
  </si>
  <si>
    <t xml:space="preserve">GECKO 0274</t>
  </si>
  <si>
    <t xml:space="preserve">mohubuqing</t>
  </si>
  <si>
    <t xml:space="preserve">https://www.inaturalist.org/observations/308231308</t>
  </si>
  <si>
    <t xml:space="preserve">GECKO 0275</t>
  </si>
  <si>
    <t xml:space="preserve">https://www.inaturalist.org/observations/308231172</t>
  </si>
  <si>
    <t xml:space="preserve">GECKO 0276</t>
  </si>
  <si>
    <t xml:space="preserve">https://www.inaturalist.org/observations/308229194</t>
  </si>
  <si>
    <t xml:space="preserve">GECKO 0277</t>
  </si>
  <si>
    <t xml:space="preserve">GECKO 0278</t>
  </si>
  <si>
    <t xml:space="preserve">jame_jian</t>
  </si>
  <si>
    <t xml:space="preserve">https://www.inaturalist.org/observations/306927742</t>
  </si>
  <si>
    <t xml:space="preserve">GECKO 0279</t>
  </si>
  <si>
    <t xml:space="preserve">yexiao</t>
  </si>
  <si>
    <t xml:space="preserve">https://www.inaturalist.org/observations/306033904</t>
  </si>
  <si>
    <t xml:space="preserve">GECKO 0280</t>
  </si>
  <si>
    <t xml:space="preserve">https://www.inaturalist.org/observations/306033893</t>
  </si>
  <si>
    <t xml:space="preserve">GECKO 0281</t>
  </si>
  <si>
    <t xml:space="preserve">Goniurosaurus bawanglingensis</t>
  </si>
  <si>
    <t xml:space="preserve">https://www.inaturalist.org/observations/371697030</t>
  </si>
  <si>
    <t xml:space="preserve">GECKO 0282</t>
  </si>
  <si>
    <t xml:space="preserve">GECKO 0283</t>
  </si>
  <si>
    <t xml:space="preserve">GECKO 0284</t>
  </si>
  <si>
    <t xml:space="preserve">miles1221</t>
  </si>
  <si>
    <t xml:space="preserve">https://www.inaturalist.org/observations/364179417</t>
  </si>
  <si>
    <t xml:space="preserve">GECKO 0285</t>
  </si>
  <si>
    <t xml:space="preserve">daisy_tardis</t>
  </si>
  <si>
    <t xml:space="preserve">https://www.inaturalist.org/observations/353792114</t>
  </si>
  <si>
    <t xml:space="preserve">GECKO 0286</t>
  </si>
  <si>
    <t xml:space="preserve">https://www.inaturalist.org/observations/349580059</t>
  </si>
  <si>
    <t xml:space="preserve">GECKO 0287</t>
  </si>
  <si>
    <t xml:space="preserve">https://www.inaturalist.org/observations/349580042</t>
  </si>
  <si>
    <t xml:space="preserve">GECKO 0288</t>
  </si>
  <si>
    <t xml:space="preserve">GECKO 0289</t>
  </si>
  <si>
    <t xml:space="preserve">https://www.inaturalist.org/observations/349580041</t>
  </si>
  <si>
    <t xml:space="preserve">GECKO 0290</t>
  </si>
  <si>
    <t xml:space="preserve">https://www.inaturalist.org/observations/349580034</t>
  </si>
  <si>
    <t xml:space="preserve">GECKO 0291</t>
  </si>
  <si>
    <t xml:space="preserve">https://www.inaturalist.org/observations/349580031</t>
  </si>
  <si>
    <t xml:space="preserve">GECKO 0292</t>
  </si>
  <si>
    <t xml:space="preserve">manfu</t>
  </si>
  <si>
    <t xml:space="preserve">https://www.inaturalist.org/observations/340269769</t>
  </si>
  <si>
    <t xml:space="preserve">GECKO 0293</t>
  </si>
  <si>
    <t xml:space="preserve">yufufu</t>
  </si>
  <si>
    <t xml:space="preserve">https://www.inaturalist.org/observations/339855028</t>
  </si>
  <si>
    <t xml:space="preserve">GECKO 0294</t>
  </si>
  <si>
    <t xml:space="preserve">vinitor</t>
  </si>
  <si>
    <t xml:space="preserve">https://www.inaturalist.org/observations/336207246</t>
  </si>
  <si>
    <t xml:space="preserve">GECKO 0295</t>
  </si>
  <si>
    <t xml:space="preserve">GECKO 0296</t>
  </si>
  <si>
    <t xml:space="preserve">yamato_desu</t>
  </si>
  <si>
    <t xml:space="preserve">https://www.inaturalist.org/observations/333466651</t>
  </si>
  <si>
    <t xml:space="preserve">GECKO 0297</t>
  </si>
  <si>
    <t xml:space="preserve">esther28230</t>
  </si>
  <si>
    <t xml:space="preserve">https://www.inaturalist.org/observations/333446690</t>
  </si>
  <si>
    <t xml:space="preserve">GECKO 0298</t>
  </si>
  <si>
    <t xml:space="preserve">https://www.inaturalist.org/observations/330211347</t>
  </si>
  <si>
    <t xml:space="preserve">GECKO 0299</t>
  </si>
  <si>
    <t xml:space="preserve">michaelzheng</t>
  </si>
  <si>
    <t xml:space="preserve">https://www.inaturalist.org/observations/261229501</t>
  </si>
  <si>
    <t xml:space="preserve">GECKO 0300</t>
  </si>
  <si>
    <t xml:space="preserve">https://www.inaturalist.org/observations/242503261</t>
  </si>
  <si>
    <t xml:space="preserve">GECKO 0301</t>
  </si>
  <si>
    <t xml:space="preserve">xiongge</t>
  </si>
  <si>
    <t xml:space="preserve">https://www.inaturalist.org/observations/238378792</t>
  </si>
  <si>
    <t xml:space="preserve">GECKO 0302</t>
  </si>
  <si>
    <t xml:space="preserve">GECKO 0303</t>
  </si>
  <si>
    <t xml:space="preserve">GECKO 0304</t>
  </si>
  <si>
    <t xml:space="preserve">k0ng</t>
  </si>
  <si>
    <t xml:space="preserve">https://www.inaturalist.org/observations/233630553</t>
  </si>
  <si>
    <t xml:space="preserve">GECKO 0305</t>
  </si>
  <si>
    <t xml:space="preserve">GECKO 0306</t>
  </si>
  <si>
    <t xml:space="preserve">https://www.inaturalist.org/observations/233630427</t>
  </si>
  <si>
    <t xml:space="preserve">GECKO 0307</t>
  </si>
  <si>
    <t xml:space="preserve">GECKO 0308</t>
  </si>
  <si>
    <t xml:space="preserve">gaogao123</t>
  </si>
  <si>
    <t xml:space="preserve">https://www.inaturalist.org/observations/228017155</t>
  </si>
  <si>
    <t xml:space="preserve">GECKO 0309</t>
  </si>
  <si>
    <t xml:space="preserve">rook_fu</t>
  </si>
  <si>
    <t xml:space="preserve">https://www.inaturalist.org/observations/226834432</t>
  </si>
  <si>
    <t xml:space="preserve">GECKO 0310</t>
  </si>
  <si>
    <t xml:space="preserve">https://www.inaturalist.org/observations/226834192</t>
  </si>
  <si>
    <t xml:space="preserve">GECKO 0311</t>
  </si>
  <si>
    <t xml:space="preserve">observe-syz</t>
  </si>
  <si>
    <t xml:space="preserve">https://www.inaturalist.org/observations/196888281</t>
  </si>
  <si>
    <t xml:space="preserve">GECKO 0312</t>
  </si>
  <si>
    <t xml:space="preserve">cypselurus</t>
  </si>
  <si>
    <t xml:space="preserve">https://www.inaturalist.org/observations/195668182</t>
  </si>
  <si>
    <t xml:space="preserve">GECKO 0313</t>
  </si>
  <si>
    <t xml:space="preserve">GECKO 0314</t>
  </si>
  <si>
    <t xml:space="preserve">GECKO 0315</t>
  </si>
  <si>
    <t xml:space="preserve">GECKO 0316</t>
  </si>
  <si>
    <t xml:space="preserve">Aeluroscalabotes</t>
  </si>
  <si>
    <t xml:space="preserve">Aeluroscalabotes felinus</t>
  </si>
  <si>
    <t xml:space="preserve">insecta666</t>
  </si>
  <si>
    <t xml:space="preserve">https://www.inaturalist.org/observations/379069457</t>
  </si>
  <si>
    <t xml:space="preserve">GECKO 0317</t>
  </si>
  <si>
    <t xml:space="preserve">serang</t>
  </si>
  <si>
    <t xml:space="preserve">https://www.inaturalist.org/observations/376441261</t>
  </si>
  <si>
    <t xml:space="preserve">GECKO 0318</t>
  </si>
  <si>
    <t xml:space="preserve">yapjg</t>
  </si>
  <si>
    <t xml:space="preserve">https://www.inaturalist.org/observations/375238525</t>
  </si>
  <si>
    <t xml:space="preserve">GECKO 0319</t>
  </si>
  <si>
    <t xml:space="preserve">GECKO 0320</t>
  </si>
  <si>
    <t xml:space="preserve">peterchristiaen</t>
  </si>
  <si>
    <t xml:space="preserve">https://www.inaturalist.org/observations/374826359</t>
  </si>
  <si>
    <t xml:space="preserve">GECKO 0321</t>
  </si>
  <si>
    <t xml:space="preserve">GECKO 0322</t>
  </si>
  <si>
    <t xml:space="preserve">bobzakaria</t>
  </si>
  <si>
    <t xml:space="preserve">https://www.inaturalist.org/observations/374599201</t>
  </si>
  <si>
    <t xml:space="preserve">GECKO 0323</t>
  </si>
  <si>
    <t xml:space="preserve">https://www.inaturalist.org/observations/374252224</t>
  </si>
  <si>
    <t xml:space="preserve">GECKO 0324</t>
  </si>
  <si>
    <t xml:space="preserve">https://www.inaturalist.org/observations/373867408</t>
  </si>
  <si>
    <t xml:space="preserve">GECKO 0325</t>
  </si>
  <si>
    <t xml:space="preserve">https://www.inaturalist.org/observations/372918777</t>
  </si>
  <si>
    <t xml:space="preserve">GECKO 0326</t>
  </si>
  <si>
    <t xml:space="preserve">https://www.inaturalist.org/observations/372917282</t>
  </si>
  <si>
    <t xml:space="preserve">GECKO 0327</t>
  </si>
  <si>
    <t xml:space="preserve">baotruong999</t>
  </si>
  <si>
    <t xml:space="preserve">https://www.inaturalist.org/observations/371691435</t>
  </si>
  <si>
    <t xml:space="preserve">GECKO 0328</t>
  </si>
  <si>
    <t xml:space="preserve">shawayliu</t>
  </si>
  <si>
    <t xml:space="preserve">https://www.inaturalist.org/observations/371517587</t>
  </si>
  <si>
    <t xml:space="preserve">GECKO 0329</t>
  </si>
  <si>
    <t xml:space="preserve">rahmand8</t>
  </si>
  <si>
    <t xml:space="preserve">https://www.inaturalist.org/observations/370609900</t>
  </si>
  <si>
    <t xml:space="preserve">GECKO 0330</t>
  </si>
  <si>
    <t xml:space="preserve">ayuwat</t>
  </si>
  <si>
    <t xml:space="preserve">https://www.inaturalist.org/observations/258916002</t>
  </si>
  <si>
    <t xml:space="preserve">GECKO 0331</t>
  </si>
  <si>
    <t xml:space="preserve">oliverben92</t>
  </si>
  <si>
    <t xml:space="preserve">https://www.inaturalist.org/observations/238739409</t>
  </si>
  <si>
    <t xml:space="preserve">GECKO 0332</t>
  </si>
  <si>
    <t xml:space="preserve">ingkayut</t>
  </si>
  <si>
    <t xml:space="preserve">https://www.inaturalist.org/observations/369192743</t>
  </si>
  <si>
    <t xml:space="preserve">GECKO 0333</t>
  </si>
  <si>
    <t xml:space="preserve">GECKO 0334</t>
  </si>
  <si>
    <t xml:space="preserve">biom</t>
  </si>
  <si>
    <t xml:space="preserve">https://www.inaturalist.org/observations/367994927</t>
  </si>
  <si>
    <t xml:space="preserve">GECKO 0335</t>
  </si>
  <si>
    <t xml:space="preserve">https://www.inaturalist.org/observations/364586629</t>
  </si>
  <si>
    <t xml:space="preserve">GECKO 0336</t>
  </si>
  <si>
    <t xml:space="preserve">seb_rea</t>
  </si>
  <si>
    <t xml:space="preserve">https://www.inaturalist.org/observations/359118781</t>
  </si>
  <si>
    <t xml:space="preserve">GECKO 0337</t>
  </si>
  <si>
    <t xml:space="preserve">liyoyo</t>
  </si>
  <si>
    <t xml:space="preserve">https://www.inaturalist.org/observations/347791544</t>
  </si>
  <si>
    <t xml:space="preserve">GECKO 0338</t>
  </si>
  <si>
    <t xml:space="preserve">GECKO 0339</t>
  </si>
  <si>
    <t xml:space="preserve">GECKO 0340</t>
  </si>
  <si>
    <t xml:space="preserve">oorthuysen</t>
  </si>
  <si>
    <t xml:space="preserve">https://www.inaturalist.org/observations/347051049</t>
  </si>
  <si>
    <t xml:space="preserve">GECKO 0341</t>
  </si>
  <si>
    <t xml:space="preserve">antoine_vespe</t>
  </si>
  <si>
    <t xml:space="preserve">https://www.inaturalist.org/observations/343752012</t>
  </si>
  <si>
    <t xml:space="preserve">GECKO 0342</t>
  </si>
  <si>
    <t xml:space="preserve">GECKO 0343</t>
  </si>
  <si>
    <t xml:space="preserve">https://www.inaturalist.org/observations/343619155</t>
  </si>
  <si>
    <t xml:space="preserve">GECKO 0344</t>
  </si>
  <si>
    <t xml:space="preserve">fjwlhk</t>
  </si>
  <si>
    <t xml:space="preserve">https://www.inaturalist.org/observations/343097686</t>
  </si>
  <si>
    <t xml:space="preserve">GECKO 0345</t>
  </si>
  <si>
    <t xml:space="preserve">smegmarc</t>
  </si>
  <si>
    <t xml:space="preserve">https://www.inaturalist.org/observations/342559584</t>
  </si>
  <si>
    <t xml:space="preserve">GECKO 0346</t>
  </si>
  <si>
    <t xml:space="preserve">andrea93iga</t>
  </si>
  <si>
    <t xml:space="preserve">https://www.inaturalist.org/observations/341885201</t>
  </si>
  <si>
    <t xml:space="preserve">GECKO 0347</t>
  </si>
  <si>
    <t xml:space="preserve">https://www.inaturalist.org/observations/341885063</t>
  </si>
  <si>
    <t xml:space="preserve">GECKO 0348</t>
  </si>
  <si>
    <t xml:space="preserve">https://www.inaturalist.org/observations/341884413</t>
  </si>
  <si>
    <t xml:space="preserve">GECKO 0349</t>
  </si>
  <si>
    <t xml:space="preserve">rimbawan_37</t>
  </si>
  <si>
    <t xml:space="preserve">https://www.inaturalist.org/observations/341063794</t>
  </si>
  <si>
    <t xml:space="preserve">GECKO 0350</t>
  </si>
  <si>
    <t xml:space="preserve">kdvorhies</t>
  </si>
  <si>
    <t xml:space="preserve">https://www.inaturalist.org/observations/339024072</t>
  </si>
  <si>
    <t xml:space="preserve">GECKO 0351</t>
  </si>
  <si>
    <t xml:space="preserve">Hemitheconyx</t>
  </si>
  <si>
    <t xml:space="preserve">Hemitheconyx caudicinctus</t>
  </si>
  <si>
    <t xml:space="preserve">flyfof</t>
  </si>
  <si>
    <t xml:space="preserve">https://www.inaturalist.org/observations/363112705</t>
  </si>
  <si>
    <t xml:space="preserve">GECKO 0352</t>
  </si>
  <si>
    <t xml:space="preserve">aloys_pichard</t>
  </si>
  <si>
    <t xml:space="preserve">https://www.inaturalist.org/observations/362724881</t>
  </si>
  <si>
    <t xml:space="preserve">GECKO 0353</t>
  </si>
  <si>
    <t xml:space="preserve">lucas-moreaux</t>
  </si>
  <si>
    <t xml:space="preserve">https://www.inaturalist.org/observations/362061712</t>
  </si>
  <si>
    <t xml:space="preserve">GECKO 0354</t>
  </si>
  <si>
    <t xml:space="preserve">https://www.inaturalist.org/observations/362061710</t>
  </si>
  <si>
    <t xml:space="preserve">GECKO 0355</t>
  </si>
  <si>
    <t xml:space="preserve">tarmand</t>
  </si>
  <si>
    <t xml:space="preserve">https://www.inaturalist.org/observations/347920514</t>
  </si>
  <si>
    <t xml:space="preserve">GECKO 0356</t>
  </si>
  <si>
    <t xml:space="preserve">schnurmacher_richard</t>
  </si>
  <si>
    <t xml:space="preserve">https://www.inaturalist.org/observations/341416585</t>
  </si>
  <si>
    <t xml:space="preserve">GECKO 0357</t>
  </si>
  <si>
    <t xml:space="preserve">GECKO 0358</t>
  </si>
  <si>
    <t xml:space="preserve">GECKO 0359</t>
  </si>
  <si>
    <t xml:space="preserve">GECKO 0360</t>
  </si>
  <si>
    <t xml:space="preserve">misikmilo</t>
  </si>
  <si>
    <t xml:space="preserve">https://www.inaturalist.org/observations/340579425</t>
  </si>
  <si>
    <t xml:space="preserve">GECKO 0361</t>
  </si>
  <si>
    <t xml:space="preserve">GECKO 0362</t>
  </si>
  <si>
    <t xml:space="preserve">GECKO 0363</t>
  </si>
  <si>
    <t xml:space="preserve">GECKO 0364</t>
  </si>
  <si>
    <t xml:space="preserve">mikeadams_13</t>
  </si>
  <si>
    <t xml:space="preserve">https://www.inaturalist.org/observations/250654384</t>
  </si>
  <si>
    <t xml:space="preserve">GECKO 0365</t>
  </si>
  <si>
    <t xml:space="preserve">alexheffernan</t>
  </si>
  <si>
    <t xml:space="preserve">https://www.inaturalist.org/observations/330902233</t>
  </si>
  <si>
    <t xml:space="preserve">GECKO 0366</t>
  </si>
  <si>
    <t xml:space="preserve">lesbectrotters</t>
  </si>
  <si>
    <t xml:space="preserve">https://www.inaturalist.org/observations/249886842</t>
  </si>
  <si>
    <t xml:space="preserve">GECKO 0367</t>
  </si>
  <si>
    <t xml:space="preserve">GECKO 0368</t>
  </si>
  <si>
    <t xml:space="preserve">va_saison</t>
  </si>
  <si>
    <t xml:space="preserve">https://www.inaturalist.org/observations/248989699</t>
  </si>
  <si>
    <t xml:space="preserve">GECKO 0369</t>
  </si>
  <si>
    <t xml:space="preserve">aaronjo</t>
  </si>
  <si>
    <t xml:space="preserve">https://www.inaturalist.org/observations/340893661</t>
  </si>
  <si>
    <t xml:space="preserve">GECKO 0370</t>
  </si>
  <si>
    <t xml:space="preserve">mppwildlife</t>
  </si>
  <si>
    <t xml:space="preserve"> </t>
  </si>
  <si>
    <t xml:space="preserve">GECKO 0371</t>
  </si>
  <si>
    <t xml:space="preserve">clement_lgrs</t>
  </si>
  <si>
    <t xml:space="preserve">https://www.inaturalist.org/observations/339960955</t>
  </si>
  <si>
    <t xml:space="preserve">GECKO 0372</t>
  </si>
  <si>
    <t xml:space="preserve">villagedawn</t>
  </si>
  <si>
    <t xml:space="preserve">https://www.inaturalist.org/observations/246989551</t>
  </si>
  <si>
    <t xml:space="preserve">GECKO 0373</t>
  </si>
  <si>
    <t xml:space="preserve">m_nicolas</t>
  </si>
  <si>
    <t xml:space="preserve">https://www.inaturalist.org/observations/215045095</t>
  </si>
  <si>
    <t xml:space="preserve">GECKO 0374</t>
  </si>
  <si>
    <t xml:space="preserve">GECKO 0375</t>
  </si>
  <si>
    <t xml:space="preserve">cephasmongs</t>
  </si>
  <si>
    <t xml:space="preserve">https://www.inaturalist.org/observations/198710945</t>
  </si>
  <si>
    <t xml:space="preserve">GECKO 0376</t>
  </si>
  <si>
    <t xml:space="preserve">camcam7</t>
  </si>
  <si>
    <t xml:space="preserve">https://www.inaturalist.org/observations/198676037</t>
  </si>
  <si>
    <t xml:space="preserve">GECKO 0377</t>
  </si>
  <si>
    <t xml:space="preserve">afropavo</t>
  </si>
  <si>
    <t xml:space="preserve">https://www.inaturalist.org/observations/165705572</t>
  </si>
  <si>
    <t xml:space="preserve">GECKO 0378</t>
  </si>
  <si>
    <t xml:space="preserve">bahleman</t>
  </si>
  <si>
    <t xml:space="preserve">https://www.inaturalist.org/observations/69083015</t>
  </si>
  <si>
    <t xml:space="preserve">GECKO 0379</t>
  </si>
  <si>
    <t xml:space="preserve">lydiamulvaney</t>
  </si>
  <si>
    <t xml:space="preserve">https://www.inaturalist.org/observations/40153507</t>
  </si>
  <si>
    <t xml:space="preserve">GECKO 0380</t>
  </si>
  <si>
    <t xml:space="preserve">GECKO 0381</t>
  </si>
  <si>
    <t xml:space="preserve">mwatts</t>
  </si>
  <si>
    <t xml:space="preserve">https://www.inaturalist.org/observations/22363061</t>
  </si>
  <si>
    <t xml:space="preserve">GECKO 0382</t>
  </si>
  <si>
    <t xml:space="preserve">toganim</t>
  </si>
  <si>
    <t xml:space="preserve">https://www.inaturalist.org/observations/20112280</t>
  </si>
  <si>
    <t xml:space="preserve">GECKO 0383</t>
  </si>
  <si>
    <t xml:space="preserve">rangeldiaz</t>
  </si>
  <si>
    <t xml:space="preserve">https://www.inaturalist.org/observations/358173383</t>
  </si>
  <si>
    <t xml:space="preserve">GECKO 0384</t>
  </si>
  <si>
    <t xml:space="preserve">steven1993</t>
  </si>
  <si>
    <t xml:space="preserve">https://www.inaturalist.org/observations/359104834</t>
  </si>
  <si>
    <t xml:space="preserve">GECKO 0385</t>
  </si>
  <si>
    <t xml:space="preserve">julian_leiva</t>
  </si>
  <si>
    <t xml:space="preserve">https://www.inaturalist.org/observations/359507166</t>
  </si>
  <si>
    <t xml:space="preserve">GECKO 0386</t>
  </si>
  <si>
    <t xml:space="preserve">Holodactylus</t>
  </si>
  <si>
    <t xml:space="preserve">Holodactylus africanus</t>
  </si>
  <si>
    <t xml:space="preserve">ethankinsey</t>
  </si>
  <si>
    <t xml:space="preserve">https://www.inaturalist.org/observations/345868678</t>
  </si>
  <si>
    <t xml:space="preserve">GECKO 0387</t>
  </si>
  <si>
    <t xml:space="preserve">blackdogto</t>
  </si>
  <si>
    <t xml:space="preserve">https://www.inaturalist.org/observations/335599574</t>
  </si>
  <si>
    <t xml:space="preserve">GECKO 0388</t>
  </si>
  <si>
    <t xml:space="preserve">GECKO 0389</t>
  </si>
  <si>
    <t xml:space="preserve">peadarbrehony</t>
  </si>
  <si>
    <t xml:space="preserve">https://www.inaturalist.org/observations/280832128</t>
  </si>
  <si>
    <t xml:space="preserve">GECKO 0390</t>
  </si>
  <si>
    <t xml:space="preserve">rainbowli</t>
  </si>
  <si>
    <t xml:space="preserve">https://www.inaturalist.org/observations/243027475</t>
  </si>
  <si>
    <t xml:space="preserve">GECKO 0391</t>
  </si>
  <si>
    <t xml:space="preserve">michal_sulc1</t>
  </si>
  <si>
    <t xml:space="preserve">https://www.inaturalist.org/observations/230314205</t>
  </si>
  <si>
    <t xml:space="preserve">GECKO 0392</t>
  </si>
  <si>
    <t xml:space="preserve">chemp</t>
  </si>
  <si>
    <t xml:space="preserve">https://www.inaturalist.org/observations/139865426</t>
  </si>
  <si>
    <t xml:space="preserve">GECKO 0393</t>
  </si>
  <si>
    <t xml:space="preserve">glorysummay</t>
  </si>
  <si>
    <t xml:space="preserve">https://www.inaturalist.org/observations/34055338</t>
  </si>
  <si>
    <t xml:space="preserve">GECKO 0394</t>
  </si>
  <si>
    <t xml:space="preserve">mefupa</t>
  </si>
  <si>
    <t xml:space="preserve">https://www.inaturalist.org/observations/22205872</t>
  </si>
  <si>
    <t xml:space="preserve">GECKO 0395</t>
  </si>
  <si>
    <t xml:space="preserve">kerejoo</t>
  </si>
  <si>
    <t xml:space="preserve">https://www.inaturalist.org/observations/293327</t>
  </si>
  <si>
    <t xml:space="preserve">GECKO 0396</t>
  </si>
  <si>
    <t xml:space="preserve">edwinr21</t>
  </si>
  <si>
    <t xml:space="preserve">https://www.inaturalist.org/observations/360588567</t>
  </si>
  <si>
    <t xml:space="preserve">GECKO 0397</t>
  </si>
  <si>
    <t xml:space="preserve">GECKO 0398</t>
  </si>
  <si>
    <t xml:space="preserve">snakelover2011</t>
  </si>
  <si>
    <t xml:space="preserve">https://www.inaturalist.org/observations/367158040</t>
  </si>
  <si>
    <t xml:space="preserve">GECKO 0399</t>
  </si>
  <si>
    <t xml:space="preserve">caroceren</t>
  </si>
  <si>
    <t xml:space="preserve">https://www.inaturalist.org/observations/367766149</t>
  </si>
  <si>
    <t xml:space="preserve">GECKO 0400</t>
  </si>
  <si>
    <t xml:space="preserve">annabreww</t>
  </si>
  <si>
    <t xml:space="preserve">https://www.inaturalist.org/observations/368534439</t>
  </si>
  <si>
    <t xml:space="preserve">GECKO 0401</t>
  </si>
  <si>
    <t xml:space="preserve">jasanchez</t>
  </si>
  <si>
    <t xml:space="preserve">https://www.inaturalist.org/observations/368842600</t>
  </si>
  <si>
    <t xml:space="preserve">GECKO 0402</t>
  </si>
  <si>
    <t xml:space="preserve">anamvallecillo</t>
  </si>
  <si>
    <t xml:space="preserve">https://www.inaturalist.org/observations/371585454</t>
  </si>
  <si>
    <t xml:space="preserve">GECKO 0403</t>
  </si>
  <si>
    <t xml:space="preserve">GECKO 0404</t>
  </si>
  <si>
    <t xml:space="preserve">jmoya</t>
  </si>
  <si>
    <t xml:space="preserve">https://www.inaturalist.org/observations/371603026</t>
  </si>
  <si>
    <t xml:space="preserve">GECKO 0405</t>
  </si>
  <si>
    <t xml:space="preserve">jakelin_sg</t>
  </si>
  <si>
    <t xml:space="preserve">https://www.inaturalist.org/observations/371711277</t>
  </si>
  <si>
    <t xml:space="preserve">GECKO 0406</t>
  </si>
  <si>
    <t xml:space="preserve">GECKO 0407</t>
  </si>
  <si>
    <t xml:space="preserve">suitanarvaez</t>
  </si>
  <si>
    <t xml:space="preserve">https://www.inaturalist.org/observations/371841818</t>
  </si>
  <si>
    <t xml:space="preserve">GECKO 0408</t>
  </si>
  <si>
    <t xml:space="preserve">rubendariobio</t>
  </si>
  <si>
    <t xml:space="preserve">https://www.inaturalist.org/observations/371858269</t>
  </si>
  <si>
    <t xml:space="preserve">GECKO 0409</t>
  </si>
  <si>
    <t xml:space="preserve">replicon</t>
  </si>
  <si>
    <t xml:space="preserve">https://www.inaturalist.org/observations/373577828</t>
  </si>
  <si>
    <t xml:space="preserve">GECKO 0410</t>
  </si>
  <si>
    <t xml:space="preserve">GECKO 0411</t>
  </si>
  <si>
    <t xml:space="preserve">josuergg</t>
  </si>
  <si>
    <t xml:space="preserve">https://www.inaturalist.org/observations/374641405</t>
  </si>
  <si>
    <t xml:space="preserve">GECKO 0412</t>
  </si>
  <si>
    <t xml:space="preserve">ocurex</t>
  </si>
  <si>
    <t xml:space="preserve">https://www.inaturalist.org/observations/375081438</t>
  </si>
  <si>
    <t xml:space="preserve">GECKO 0413</t>
  </si>
  <si>
    <t xml:space="preserve">https://www.inaturalist.org/observations/378593632</t>
  </si>
  <si>
    <t xml:space="preserve">GECKO 0414</t>
  </si>
  <si>
    <t xml:space="preserve">kajdeg</t>
  </si>
  <si>
    <t xml:space="preserve">https://www.inaturalist.org/observations/379587630</t>
  </si>
  <si>
    <t xml:space="preserve">GECKO 0415</t>
  </si>
  <si>
    <t xml:space="preserve">antye</t>
  </si>
  <si>
    <t xml:space="preserve">https://www.inaturalist.org/observations/381882471</t>
  </si>
  <si>
    <t xml:space="preserve">GECKO 0416</t>
  </si>
  <si>
    <t xml:space="preserve">pglaouto</t>
  </si>
  <si>
    <t xml:space="preserve">https://www.inaturalist.org/observations/383204889</t>
  </si>
  <si>
    <t xml:space="preserve">GECKO 0417</t>
  </si>
  <si>
    <t xml:space="preserve">jmcca08</t>
  </si>
  <si>
    <t xml:space="preserve">https://www.inaturalist.org/observations/385979832</t>
  </si>
  <si>
    <t xml:space="preserve">GECKO 0418</t>
  </si>
  <si>
    <t xml:space="preserve">antonioleala</t>
  </si>
  <si>
    <t xml:space="preserve">https://www.inaturalist.org/observations/387386551</t>
  </si>
  <si>
    <t xml:space="preserve">GECKO 0419</t>
  </si>
  <si>
    <t xml:space="preserve">GECKO 0420</t>
  </si>
  <si>
    <t xml:space="preserve">https://www.inaturalist.org/observations/330902232</t>
  </si>
  <si>
    <t xml:space="preserve">GECKO 0421</t>
  </si>
  <si>
    <t xml:space="preserve">Gekkonidae</t>
  </si>
  <si>
    <t xml:space="preserve">Gekko</t>
  </si>
  <si>
    <t xml:space="preserve">Gekko gecko</t>
  </si>
  <si>
    <t xml:space="preserve">noansv</t>
  </si>
  <si>
    <t xml:space="preserve">https://www.inaturalist.org/observations/375789439</t>
  </si>
  <si>
    <t xml:space="preserve">GECKO 0422</t>
  </si>
  <si>
    <t xml:space="preserve">maggie_blonski</t>
  </si>
  <si>
    <t xml:space="preserve">https://www.inaturalist.org/observations/375765932</t>
  </si>
  <si>
    <t xml:space="preserve">GECKO 0423</t>
  </si>
  <si>
    <t xml:space="preserve">uetz</t>
  </si>
  <si>
    <t xml:space="preserve">Deed - Attribution 4.0 International - Creative Commons</t>
  </si>
  <si>
    <t xml:space="preserve">https://www.inaturalist.org/observations/375757987</t>
  </si>
  <si>
    <t xml:space="preserve">GECKO 0424</t>
  </si>
  <si>
    <t xml:space="preserve">robotpie</t>
  </si>
  <si>
    <t xml:space="preserve">https://www.inaturalist.org/observations/375554693</t>
  </si>
  <si>
    <t xml:space="preserve">GECKO 0425</t>
  </si>
  <si>
    <t xml:space="preserve">abdul_hanif</t>
  </si>
  <si>
    <t xml:space="preserve">https://www.inaturalist.org/observations/375523509</t>
  </si>
  <si>
    <t xml:space="preserve">GECKO 0426</t>
  </si>
  <si>
    <t xml:space="preserve">https://www.inaturalist.org/observations/375523136</t>
  </si>
  <si>
    <t xml:space="preserve">GECKO 0427</t>
  </si>
  <si>
    <t xml:space="preserve">https://www.inaturalist.org/observations/375522948</t>
  </si>
  <si>
    <t xml:space="preserve">GECKO 0428</t>
  </si>
  <si>
    <t xml:space="preserve">observervietnam</t>
  </si>
  <si>
    <t xml:space="preserve">https://www.inaturalist.org/observations/375475702</t>
  </si>
  <si>
    <t xml:space="preserve">GECKO 0429</t>
  </si>
  <si>
    <t xml:space="preserve">hugo_yip</t>
  </si>
  <si>
    <t xml:space="preserve">https://www.inaturalist.org/observations/375419772</t>
  </si>
  <si>
    <t xml:space="preserve">GECKO 0430</t>
  </si>
  <si>
    <t xml:space="preserve">patrik_naturalist</t>
  </si>
  <si>
    <t xml:space="preserve">https://www.inaturalist.org/observations/375328276</t>
  </si>
  <si>
    <t xml:space="preserve">GECKO 0431</t>
  </si>
  <si>
    <t xml:space="preserve">adirahman</t>
  </si>
  <si>
    <t xml:space="preserve">https://www.inaturalist.org/observations/360612456</t>
  </si>
  <si>
    <t xml:space="preserve">GECKO 0432</t>
  </si>
  <si>
    <t xml:space="preserve">phytopranav</t>
  </si>
  <si>
    <t xml:space="preserve">https://www.inaturalist.org/observations/360131513</t>
  </si>
  <si>
    <t xml:space="preserve">GECKO 0433</t>
  </si>
  <si>
    <t xml:space="preserve">sylviem76</t>
  </si>
  <si>
    <t xml:space="preserve">https://www.inaturalist.org/observations/375239316</t>
  </si>
  <si>
    <t xml:space="preserve">GECKO 0434</t>
  </si>
  <si>
    <t xml:space="preserve">https://www.inaturalist.org/observations/375118180</t>
  </si>
  <si>
    <t xml:space="preserve">GECKO 0435</t>
  </si>
  <si>
    <t xml:space="preserve">https://www.inaturalist.org/observations/374988285</t>
  </si>
  <si>
    <t xml:space="preserve">GECKO 0436</t>
  </si>
  <si>
    <t xml:space="preserve">GECKO 0437</t>
  </si>
  <si>
    <t xml:space="preserve">chalida</t>
  </si>
  <si>
    <t xml:space="preserve">https://www.inaturalist.org/observations/350756010</t>
  </si>
  <si>
    <t xml:space="preserve">GECKO 0438</t>
  </si>
  <si>
    <t xml:space="preserve">rockycreature</t>
  </si>
  <si>
    <t xml:space="preserve">https://www.inaturalist.org/observations/350560093</t>
  </si>
  <si>
    <t xml:space="preserve">GECKO 0439</t>
  </si>
  <si>
    <t xml:space="preserve">christopherreiger</t>
  </si>
  <si>
    <t xml:space="preserve">https://www.inaturalist.org/observations/374899262</t>
  </si>
  <si>
    <t xml:space="preserve">GECKO 0440</t>
  </si>
  <si>
    <t xml:space="preserve">https://www.inaturalist.org/observations/374859268</t>
  </si>
  <si>
    <t xml:space="preserve">GECKO 0441</t>
  </si>
  <si>
    <t xml:space="preserve">peter54448</t>
  </si>
  <si>
    <t xml:space="preserve">https://www.inaturalist.org/observations/350395892</t>
  </si>
  <si>
    <t xml:space="preserve">GECKO 0442</t>
  </si>
  <si>
    <t xml:space="preserve">https://www.inaturalist.org/observations/374810760</t>
  </si>
  <si>
    <t xml:space="preserve">GECKO 0443</t>
  </si>
  <si>
    <t xml:space="preserve">GECKO 0444</t>
  </si>
  <si>
    <t xml:space="preserve">GECKO 0445</t>
  </si>
  <si>
    <t xml:space="preserve">GECKO 0446</t>
  </si>
  <si>
    <t xml:space="preserve">GECKO 0447</t>
  </si>
  <si>
    <t xml:space="preserve">jules_cadiou</t>
  </si>
  <si>
    <t xml:space="preserve">https://www.inaturalist.org/observations/374803357</t>
  </si>
  <si>
    <t xml:space="preserve">GECKO 0448</t>
  </si>
  <si>
    <t xml:space="preserve">kintankhn</t>
  </si>
  <si>
    <t xml:space="preserve">https://www.inaturalist.org/observations/374794952</t>
  </si>
  <si>
    <t xml:space="preserve">GECKO 0449</t>
  </si>
  <si>
    <t xml:space="preserve">djerf67</t>
  </si>
  <si>
    <t xml:space="preserve">https://www.inaturalist.org/observations/374573033</t>
  </si>
  <si>
    <t xml:space="preserve">GECKO 0450</t>
  </si>
  <si>
    <t xml:space="preserve">cyka008</t>
  </si>
  <si>
    <t xml:space="preserve">https://www.inaturalist.org/observations/374468574</t>
  </si>
  <si>
    <t xml:space="preserve">GECKO 0451</t>
  </si>
  <si>
    <t xml:space="preserve">emmatch</t>
  </si>
  <si>
    <t xml:space="preserve">https://www.inaturalist.org/observations/374301140</t>
  </si>
  <si>
    <t xml:space="preserve">GECKO 0452</t>
  </si>
  <si>
    <t xml:space="preserve">animal_jeds</t>
  </si>
  <si>
    <t xml:space="preserve">https://www.inaturalist.org/observations/374182816</t>
  </si>
  <si>
    <t xml:space="preserve">GECKO 0453</t>
  </si>
  <si>
    <t xml:space="preserve">evgenii_zinner</t>
  </si>
  <si>
    <t xml:space="preserve">https://www.inaturalist.org/observations/374030751</t>
  </si>
  <si>
    <t xml:space="preserve">GECKO 0454</t>
  </si>
  <si>
    <t xml:space="preserve">https://www.inaturalist.org/observations/373936535</t>
  </si>
  <si>
    <t xml:space="preserve">GECKO 0455</t>
  </si>
  <si>
    <t xml:space="preserve">marlaform</t>
  </si>
  <si>
    <t xml:space="preserve">https://www.inaturalist.org/observations/373922730</t>
  </si>
  <si>
    <t xml:space="preserve">GECKO 0456</t>
  </si>
  <si>
    <t xml:space="preserve">Gekko japonicus</t>
  </si>
  <si>
    <t xml:space="preserve">falco_lou</t>
  </si>
  <si>
    <t xml:space="preserve">https://www.inaturalist.org/observations/379399729</t>
  </si>
  <si>
    <t xml:space="preserve">GECKO 0457</t>
  </si>
  <si>
    <t xml:space="preserve">vargasbrando9</t>
  </si>
  <si>
    <t xml:space="preserve">https://www.inaturalist.org/observations/379391237</t>
  </si>
  <si>
    <t xml:space="preserve">GECKO 0458</t>
  </si>
  <si>
    <t xml:space="preserve">becchi_tokyo</t>
  </si>
  <si>
    <t xml:space="preserve">https://www.inaturalist.org/observations/379387960</t>
  </si>
  <si>
    <t xml:space="preserve">GECKO 0459</t>
  </si>
  <si>
    <t xml:space="preserve">jmoles</t>
  </si>
  <si>
    <t xml:space="preserve">https://www.inaturalist.org/observations/379380146</t>
  </si>
  <si>
    <t xml:space="preserve">GECKO 0460</t>
  </si>
  <si>
    <t xml:space="preserve">maza_</t>
  </si>
  <si>
    <t xml:space="preserve">https://www.inaturalist.org/observations/379234261</t>
  </si>
  <si>
    <t xml:space="preserve">GECKO 0461</t>
  </si>
  <si>
    <t xml:space="preserve">GECKO 0462</t>
  </si>
  <si>
    <t xml:space="preserve">umeboshiboys</t>
  </si>
  <si>
    <t xml:space="preserve">https://www.inaturalist.org/observations/379076510</t>
  </si>
  <si>
    <t xml:space="preserve">GECKO 0463</t>
  </si>
  <si>
    <t xml:space="preserve">spiderpalooza</t>
  </si>
  <si>
    <t xml:space="preserve">https://www.inaturalist.org/observations/378334252</t>
  </si>
  <si>
    <t xml:space="preserve">GECKO 0464</t>
  </si>
  <si>
    <t xml:space="preserve">smalltown_huang</t>
  </si>
  <si>
    <t xml:space="preserve">https://www.inaturalist.org/observations/378075625</t>
  </si>
  <si>
    <t xml:space="preserve">GECKO 0465</t>
  </si>
  <si>
    <t xml:space="preserve">naturalist126241</t>
  </si>
  <si>
    <t xml:space="preserve">https://www.inaturalist.org/observations/377691855</t>
  </si>
  <si>
    <t xml:space="preserve">GECKO 0466</t>
  </si>
  <si>
    <t xml:space="preserve">chikencababldo</t>
  </si>
  <si>
    <t xml:space="preserve">https://www.inaturalist.org/observations/377683757</t>
  </si>
  <si>
    <t xml:space="preserve">GECKO 0467</t>
  </si>
  <si>
    <t xml:space="preserve">takuyatamura</t>
  </si>
  <si>
    <t xml:space="preserve">https://www.inaturalist.org/observations/377677903</t>
  </si>
  <si>
    <t xml:space="preserve">GECKO 0468</t>
  </si>
  <si>
    <t xml:space="preserve">quailsandpsyllids</t>
  </si>
  <si>
    <t xml:space="preserve">https://www.inaturalist.org/observations/377461183</t>
  </si>
  <si>
    <t xml:space="preserve">GECKO 0469</t>
  </si>
  <si>
    <t xml:space="preserve">sakkusaku</t>
  </si>
  <si>
    <t xml:space="preserve">https://www.inaturalist.org/observations/377344464</t>
  </si>
  <si>
    <t xml:space="preserve">GECKO 0470</t>
  </si>
  <si>
    <t xml:space="preserve">qaq523</t>
  </si>
  <si>
    <t xml:space="preserve">https://www.inaturalist.org/observations/377063987</t>
  </si>
  <si>
    <t xml:space="preserve">GECKO 0471</t>
  </si>
  <si>
    <t xml:space="preserve">GECKO 0472</t>
  </si>
  <si>
    <t xml:space="preserve">naturalist159746</t>
  </si>
  <si>
    <t xml:space="preserve">https://www.inaturalist.org/observations/376803592</t>
  </si>
  <si>
    <t xml:space="preserve">GECKO 0473</t>
  </si>
  <si>
    <t xml:space="preserve">nittan_lover</t>
  </si>
  <si>
    <t xml:space="preserve">https://www.inaturalist.org/observations/376756884</t>
  </si>
  <si>
    <t xml:space="preserve">GECKO 0474</t>
  </si>
  <si>
    <t xml:space="preserve">shino_san</t>
  </si>
  <si>
    <t xml:space="preserve">https://www.inaturalist.org/observations/376755754</t>
  </si>
  <si>
    <t xml:space="preserve">GECKO 0475</t>
  </si>
  <si>
    <t xml:space="preserve">bucky533</t>
  </si>
  <si>
    <t xml:space="preserve">https://www.inaturalist.org/observations/376162896</t>
  </si>
  <si>
    <t xml:space="preserve">GECKO 0476</t>
  </si>
  <si>
    <t xml:space="preserve">waterdeer</t>
  </si>
  <si>
    <t xml:space="preserve">https://www.inaturalist.org/observations/376128098</t>
  </si>
  <si>
    <t xml:space="preserve">GECKO 0477</t>
  </si>
  <si>
    <t xml:space="preserve">https://www.inaturalist.org/observations/375886645</t>
  </si>
  <si>
    <t xml:space="preserve">GECKO 0478</t>
  </si>
  <si>
    <t xml:space="preserve">fuyodo_san</t>
  </si>
  <si>
    <t xml:space="preserve">https://www.inaturalist.org/observations/375243864</t>
  </si>
  <si>
    <t xml:space="preserve">GECKO 0479</t>
  </si>
  <si>
    <t xml:space="preserve">https://www.inaturalist.org/observations/375243862</t>
  </si>
  <si>
    <t xml:space="preserve">GECKO 0480</t>
  </si>
  <si>
    <t xml:space="preserve">https://www.inaturalist.org/observations/375243860</t>
  </si>
  <si>
    <t xml:space="preserve">GECKO 0481</t>
  </si>
  <si>
    <t xml:space="preserve">soyorin_</t>
  </si>
  <si>
    <t xml:space="preserve">https://www.inaturalist.org/observations/375209989</t>
  </si>
  <si>
    <t xml:space="preserve">GECKO 0482</t>
  </si>
  <si>
    <t xml:space="preserve">alanbrod</t>
  </si>
  <si>
    <t xml:space="preserve">https://www.inaturalist.org/observations/374709622</t>
  </si>
  <si>
    <t xml:space="preserve">GECKO 0483</t>
  </si>
  <si>
    <t xml:space="preserve">marina2797</t>
  </si>
  <si>
    <t xml:space="preserve">https://www.inaturalist.org/observations/374573757</t>
  </si>
  <si>
    <t xml:space="preserve">GECKO 0484</t>
  </si>
  <si>
    <t xml:space="preserve">akanekoch</t>
  </si>
  <si>
    <t xml:space="preserve">https://www.inaturalist.org/observations/374279390</t>
  </si>
  <si>
    <t xml:space="preserve">GECKO 0485</t>
  </si>
  <si>
    <t xml:space="preserve">baishi</t>
  </si>
  <si>
    <t xml:space="preserve">https://www.inaturalist.org/observations/374236766</t>
  </si>
  <si>
    <t xml:space="preserve">GECKO 0486</t>
  </si>
  <si>
    <t xml:space="preserve">lice_on_rice</t>
  </si>
  <si>
    <t xml:space="preserve">https://www.inaturalist.org/observations/374154995</t>
  </si>
  <si>
    <t xml:space="preserve">GECKO 0487</t>
  </si>
  <si>
    <t xml:space="preserve">tangxing</t>
  </si>
  <si>
    <t xml:space="preserve">https://www.inaturalist.org/observations/373216594</t>
  </si>
  <si>
    <t xml:space="preserve">GECKO 0488</t>
  </si>
  <si>
    <t xml:space="preserve">https://www.inaturalist.org/observations/373203725</t>
  </si>
  <si>
    <t xml:space="preserve">GECKO 0489</t>
  </si>
  <si>
    <t xml:space="preserve">milky_lzn</t>
  </si>
  <si>
    <t xml:space="preserve">https://www.inaturalist.org/observations/373014126</t>
  </si>
  <si>
    <t xml:space="preserve">GECKO 0490</t>
  </si>
  <si>
    <t xml:space="preserve">ydyd</t>
  </si>
  <si>
    <t xml:space="preserve">https://www.inaturalist.org/observations/372775893</t>
  </si>
  <si>
    <t xml:space="preserve">GECKO 0491</t>
  </si>
  <si>
    <t xml:space="preserve">Gekko monarchus</t>
  </si>
  <si>
    <t xml:space="preserve">cressgil</t>
  </si>
  <si>
    <t xml:space="preserve">https://www.inaturalist.org/observations/378362456</t>
  </si>
  <si>
    <t xml:space="preserve">GECKO 0492</t>
  </si>
  <si>
    <t xml:space="preserve">allansander</t>
  </si>
  <si>
    <t xml:space="preserve">https://www.inaturalist.org/observations/378245106</t>
  </si>
  <si>
    <t xml:space="preserve">GECKO 0493</t>
  </si>
  <si>
    <t xml:space="preserve">GECKO 0494</t>
  </si>
  <si>
    <t xml:space="preserve">https://www.inaturalist.org/observations/378024451</t>
  </si>
  <si>
    <t xml:space="preserve">GECKO 0495</t>
  </si>
  <si>
    <t xml:space="preserve">harumeku12</t>
  </si>
  <si>
    <t xml:space="preserve">https://www.inaturalist.org/observations/376417856</t>
  </si>
  <si>
    <t xml:space="preserve">GECKO 0496</t>
  </si>
  <si>
    <t xml:space="preserve">chugbug111</t>
  </si>
  <si>
    <t xml:space="preserve">https://www.inaturalist.org/observations/376050768</t>
  </si>
  <si>
    <t xml:space="preserve">GECKO 0497</t>
  </si>
  <si>
    <t xml:space="preserve">marcel-silvius</t>
  </si>
  <si>
    <t xml:space="preserve">https://www.inaturalist.org/observations/375516354</t>
  </si>
  <si>
    <t xml:space="preserve">GECKO 0498</t>
  </si>
  <si>
    <t xml:space="preserve">ctilapia</t>
  </si>
  <si>
    <t xml:space="preserve">https://www.inaturalist.org/observations/374948132</t>
  </si>
  <si>
    <t xml:space="preserve">GECKO 0499</t>
  </si>
  <si>
    <t xml:space="preserve">kareopadi</t>
  </si>
  <si>
    <t xml:space="preserve">https://www.inaturalist.org/observations/374879109</t>
  </si>
  <si>
    <t xml:space="preserve">GECKO 0500</t>
  </si>
  <si>
    <t xml:space="preserve">GECKO 0501</t>
  </si>
  <si>
    <t xml:space="preserve">philbenstead</t>
  </si>
  <si>
    <t xml:space="preserve">https://www.inaturalist.org/observations/374614220</t>
  </si>
  <si>
    <t xml:space="preserve">GECKO 0502</t>
  </si>
  <si>
    <t xml:space="preserve">https://www.inaturalist.org/observations/374524484</t>
  </si>
  <si>
    <t xml:space="preserve">GECKO 0503</t>
  </si>
  <si>
    <t xml:space="preserve">GECKO 0504</t>
  </si>
  <si>
    <t xml:space="preserve">ftnabilah</t>
  </si>
  <si>
    <t xml:space="preserve">https://www.inaturalist.org/observations/374293183</t>
  </si>
  <si>
    <t xml:space="preserve">GECKO 0505</t>
  </si>
  <si>
    <t xml:space="preserve">fomalout</t>
  </si>
  <si>
    <t xml:space="preserve">https://www.inaturalist.org/observations/374255956</t>
  </si>
  <si>
    <t xml:space="preserve">GECKO 0506</t>
  </si>
  <si>
    <t xml:space="preserve">fraserboyd91</t>
  </si>
  <si>
    <t xml:space="preserve">https://www.inaturalist.org/observations/373879322</t>
  </si>
  <si>
    <t xml:space="preserve">GECKO 0507</t>
  </si>
  <si>
    <t xml:space="preserve">lukib32</t>
  </si>
  <si>
    <t xml:space="preserve">https://www.inaturalist.org/observations/373209923</t>
  </si>
  <si>
    <t xml:space="preserve">GECKO 0508</t>
  </si>
  <si>
    <t xml:space="preserve">maxreptileroom</t>
  </si>
  <si>
    <t xml:space="preserve">https://www.inaturalist.org/observations/370721984</t>
  </si>
  <si>
    <t xml:space="preserve">GECKO 0509</t>
  </si>
  <si>
    <t xml:space="preserve">sandylingchoo</t>
  </si>
  <si>
    <t xml:space="preserve">https://www.inaturalist.org/observations/369325895</t>
  </si>
  <si>
    <t xml:space="preserve">GECKO 0510</t>
  </si>
  <si>
    <t xml:space="preserve">norbert_cs</t>
  </si>
  <si>
    <t xml:space="preserve">https://www.inaturalist.org/observations/369228759</t>
  </si>
  <si>
    <t xml:space="preserve">GECKO 0511</t>
  </si>
  <si>
    <t xml:space="preserve">maltesellin</t>
  </si>
  <si>
    <t xml:space="preserve">https://www.inaturalist.org/observations/366544153</t>
  </si>
  <si>
    <t xml:space="preserve">GECKO 0512</t>
  </si>
  <si>
    <t xml:space="preserve">whelantang</t>
  </si>
  <si>
    <t xml:space="preserve">https://www.inaturalist.org/observations/366000777</t>
  </si>
  <si>
    <t xml:space="preserve">GECKO 0513</t>
  </si>
  <si>
    <t xml:space="preserve">cirolana</t>
  </si>
  <si>
    <t xml:space="preserve">https://www.inaturalist.org/observations/365941056</t>
  </si>
  <si>
    <t xml:space="preserve">GECKO 0514</t>
  </si>
  <si>
    <t xml:space="preserve">marcdomenech</t>
  </si>
  <si>
    <t xml:space="preserve">https://www.inaturalist.org/observations/365195005</t>
  </si>
  <si>
    <t xml:space="preserve">GECKO 0515</t>
  </si>
  <si>
    <t xml:space="preserve">https://www.inaturalist.org/observations/365194998</t>
  </si>
  <si>
    <t xml:space="preserve">GECKO 0516</t>
  </si>
  <si>
    <t xml:space="preserve">yourlocalcarwash</t>
  </si>
  <si>
    <t xml:space="preserve">https://www.inaturalist.org/observations/363725592</t>
  </si>
  <si>
    <t xml:space="preserve">GECKO 0517</t>
  </si>
  <si>
    <t xml:space="preserve">athenebrama</t>
  </si>
  <si>
    <t xml:space="preserve">https://www.inaturalist.org/observations/363539460</t>
  </si>
  <si>
    <t xml:space="preserve">GECKO 0518</t>
  </si>
  <si>
    <t xml:space="preserve">exploring_the_world</t>
  </si>
  <si>
    <t xml:space="preserve">https://www.inaturalist.org/observations/363538659</t>
  </si>
  <si>
    <t xml:space="preserve">GECKO 0519</t>
  </si>
  <si>
    <t xml:space="preserve">fourleafklover</t>
  </si>
  <si>
    <t xml:space="preserve">https://www.inaturalist.org/observations/361966258</t>
  </si>
  <si>
    <t xml:space="preserve">GECKO 0520</t>
  </si>
  <si>
    <t xml:space="preserve">GECKO 0521</t>
  </si>
  <si>
    <t xml:space="preserve">kengkittipon28</t>
  </si>
  <si>
    <t xml:space="preserve">https://www.inaturalist.org/observations/361235731</t>
  </si>
  <si>
    <t xml:space="preserve">GECKO 0522</t>
  </si>
  <si>
    <t xml:space="preserve">GECKO 0523</t>
  </si>
  <si>
    <t xml:space="preserve">jamg0121</t>
  </si>
  <si>
    <t xml:space="preserve">https://www.inaturalist.org/observations/360514573</t>
  </si>
  <si>
    <t xml:space="preserve">GECKO 0524</t>
  </si>
  <si>
    <t xml:space="preserve">https://www.inaturalist.org/observations/360228971</t>
  </si>
  <si>
    <t xml:space="preserve">GECKO 0525</t>
  </si>
  <si>
    <t xml:space="preserve">loomins_zoomins</t>
  </si>
  <si>
    <t xml:space="preserve">https://www.inaturalist.org/observations/359827471</t>
  </si>
  <si>
    <t xml:space="preserve">GECKO 0526</t>
  </si>
  <si>
    <t xml:space="preserve">Hemidactylus</t>
  </si>
  <si>
    <t xml:space="preserve">Hemidactylus frenatus</t>
  </si>
  <si>
    <t xml:space="preserve">xdjcz</t>
  </si>
  <si>
    <t xml:space="preserve">https://www.inaturalist.org/observations/376064069</t>
  </si>
  <si>
    <t xml:space="preserve">GECKO 0527</t>
  </si>
  <si>
    <t xml:space="preserve">https://www.inaturalist.org/observations/376063921</t>
  </si>
  <si>
    <t xml:space="preserve">GECKO 0528</t>
  </si>
  <si>
    <t xml:space="preserve">hpenrod2</t>
  </si>
  <si>
    <t xml:space="preserve">https://www.inaturalist.org/observations/376055934</t>
  </si>
  <si>
    <t xml:space="preserve">GECKO 0529</t>
  </si>
  <si>
    <t xml:space="preserve">GECKO 0530</t>
  </si>
  <si>
    <t xml:space="preserve">tbs_wilderness</t>
  </si>
  <si>
    <t xml:space="preserve">https://www.inaturalist.org/observations/376027313</t>
  </si>
  <si>
    <t xml:space="preserve">GECKO 0531</t>
  </si>
  <si>
    <t xml:space="preserve">aeithalis</t>
  </si>
  <si>
    <t xml:space="preserve">https://www.inaturalist.org/observations/376009317</t>
  </si>
  <si>
    <t xml:space="preserve">GECKO 0532</t>
  </si>
  <si>
    <t xml:space="preserve">zakry7</t>
  </si>
  <si>
    <t xml:space="preserve">https://www.inaturalist.org/observations/375985961</t>
  </si>
  <si>
    <t xml:space="preserve">GECKO 0533</t>
  </si>
  <si>
    <t xml:space="preserve">GECKO 0534</t>
  </si>
  <si>
    <t xml:space="preserve">edgar-f-maldonado</t>
  </si>
  <si>
    <t xml:space="preserve">https://www.inaturalist.org/observations/375901166</t>
  </si>
  <si>
    <t xml:space="preserve">GECKO 0535</t>
  </si>
  <si>
    <t xml:space="preserve">maltebroecker</t>
  </si>
  <si>
    <t xml:space="preserve">https://www.inaturalist.org/observations/375797684</t>
  </si>
  <si>
    <t xml:space="preserve">GECKO 0536</t>
  </si>
  <si>
    <t xml:space="preserve">alazon</t>
  </si>
  <si>
    <t xml:space="preserve">https://www.inaturalist.org/observations/375631008</t>
  </si>
  <si>
    <t xml:space="preserve">GECKO 0537</t>
  </si>
  <si>
    <t xml:space="preserve">squib25</t>
  </si>
  <si>
    <t xml:space="preserve">https://www.inaturalist.org/observations/375620816</t>
  </si>
  <si>
    <t xml:space="preserve">GECKO 0538</t>
  </si>
  <si>
    <t xml:space="preserve">king2004</t>
  </si>
  <si>
    <t xml:space="preserve">https://www.inaturalist.org/observations/375610260</t>
  </si>
  <si>
    <t xml:space="preserve">GECKO 0539</t>
  </si>
  <si>
    <t xml:space="preserve">observatorio1873</t>
  </si>
  <si>
    <t xml:space="preserve">https://www.inaturalist.org/observations/375598304</t>
  </si>
  <si>
    <t xml:space="preserve">GECKO 0540</t>
  </si>
  <si>
    <t xml:space="preserve">wklo</t>
  </si>
  <si>
    <t xml:space="preserve">https://www.inaturalist.org/observations/375552773</t>
  </si>
  <si>
    <t xml:space="preserve">GECKO 0541</t>
  </si>
  <si>
    <t xml:space="preserve">amir2010</t>
  </si>
  <si>
    <t xml:space="preserve">https://www.inaturalist.org/observations/375499709</t>
  </si>
  <si>
    <t xml:space="preserve">GECKO 0542</t>
  </si>
  <si>
    <t xml:space="preserve">garlice99</t>
  </si>
  <si>
    <t xml:space="preserve">https://www.inaturalist.org/observations/375489034</t>
  </si>
  <si>
    <t xml:space="preserve">GECKO 0543</t>
  </si>
  <si>
    <t xml:space="preserve">owen65</t>
  </si>
  <si>
    <t xml:space="preserve">https://www.inaturalist.org/observations/375480523</t>
  </si>
  <si>
    <t xml:space="preserve">GECKO 0544</t>
  </si>
  <si>
    <t xml:space="preserve">benwalters</t>
  </si>
  <si>
    <t xml:space="preserve">https://www.inaturalist.org/observations/375462222</t>
  </si>
  <si>
    <t xml:space="preserve">GECKO 0545</t>
  </si>
  <si>
    <t xml:space="preserve">sirlarus</t>
  </si>
  <si>
    <t xml:space="preserve">https://www.inaturalist.org/observations/375459683</t>
  </si>
  <si>
    <t xml:space="preserve">GECKO 0546</t>
  </si>
  <si>
    <t xml:space="preserve">https://www.inaturalist.org/observations/375444741</t>
  </si>
  <si>
    <t xml:space="preserve">GECKO 0547</t>
  </si>
  <si>
    <t xml:space="preserve">wohlrab</t>
  </si>
  <si>
    <t xml:space="preserve">https://www.inaturalist.org/observations/375429585</t>
  </si>
  <si>
    <t xml:space="preserve">GECKO 0548</t>
  </si>
  <si>
    <t xml:space="preserve">leytonjfreid</t>
  </si>
  <si>
    <t xml:space="preserve">https://www.inaturalist.org/observations/375427361</t>
  </si>
  <si>
    <t xml:space="preserve">GECKO 0549</t>
  </si>
  <si>
    <t xml:space="preserve">yangae</t>
  </si>
  <si>
    <t xml:space="preserve">https://www.inaturalist.org/observations/375420315</t>
  </si>
  <si>
    <t xml:space="preserve">GECKO 0550</t>
  </si>
  <si>
    <t xml:space="preserve">tetraponera_attenuata</t>
  </si>
  <si>
    <t xml:space="preserve">https://www.inaturalist.org/observations/375416216</t>
  </si>
  <si>
    <t xml:space="preserve">GECKO 0551</t>
  </si>
  <si>
    <t xml:space="preserve">wssailor</t>
  </si>
  <si>
    <t xml:space="preserve">https://www.inaturalist.org/observations/375375557</t>
  </si>
  <si>
    <t xml:space="preserve">GECKO 0552</t>
  </si>
  <si>
    <t xml:space="preserve">archiedowdeswell</t>
  </si>
  <si>
    <t xml:space="preserve">https://www.inaturalist.org/observations/375351009</t>
  </si>
  <si>
    <t xml:space="preserve">GECKO 0553</t>
  </si>
  <si>
    <t xml:space="preserve">prosenjit</t>
  </si>
  <si>
    <t xml:space="preserve">https://www.inaturalist.org/observations/375322336</t>
  </si>
  <si>
    <t xml:space="preserve">GECKO 0554</t>
  </si>
  <si>
    <t xml:space="preserve">meatw0rmri</t>
  </si>
  <si>
    <t xml:space="preserve">https://www.inaturalist.org/observations/375306367</t>
  </si>
  <si>
    <t xml:space="preserve">GECKO 0555</t>
  </si>
  <si>
    <t xml:space="preserve">https://www.inaturalist.org/observations/375282875</t>
  </si>
  <si>
    <t xml:space="preserve">GECKO 0556</t>
  </si>
  <si>
    <t xml:space="preserve">GECKO 0557</t>
  </si>
  <si>
    <t xml:space="preserve">vlad64893</t>
  </si>
  <si>
    <t xml:space="preserve">https://www.inaturalist.org/observations/375263552</t>
  </si>
  <si>
    <t xml:space="preserve">GECKO 0558</t>
  </si>
  <si>
    <t xml:space="preserve">https://www.inaturalist.org/observations/375263225</t>
  </si>
  <si>
    <t xml:space="preserve">GECKO 0559</t>
  </si>
  <si>
    <t xml:space="preserve">mschuang</t>
  </si>
  <si>
    <t xml:space="preserve">https://www.inaturalist.org/observations/375237464</t>
  </si>
  <si>
    <t xml:space="preserve">GECKO 0560</t>
  </si>
  <si>
    <t xml:space="preserve">https://www.inaturalist.org/observations/375231455</t>
  </si>
  <si>
    <t xml:space="preserve">GECKO 0561</t>
  </si>
  <si>
    <t xml:space="preserve">Hemidactylus turcicus</t>
  </si>
  <si>
    <t xml:space="preserve">m_hoekwater</t>
  </si>
  <si>
    <t xml:space="preserve">https://www.inaturalist.org/observations/379843142</t>
  </si>
  <si>
    <t xml:space="preserve">GECKO 0562</t>
  </si>
  <si>
    <t xml:space="preserve">utfarmstand</t>
  </si>
  <si>
    <t xml:space="preserve">https://www.inaturalist.org/observations/379837353</t>
  </si>
  <si>
    <t xml:space="preserve">GECKO 0563</t>
  </si>
  <si>
    <t xml:space="preserve">riley_bieker</t>
  </si>
  <si>
    <t xml:space="preserve">https://www.inaturalist.org/observations/379832540</t>
  </si>
  <si>
    <t xml:space="preserve">GECKO 0564</t>
  </si>
  <si>
    <t xml:space="preserve">evarant</t>
  </si>
  <si>
    <t xml:space="preserve">https://www.inaturalist.org/observations/379822000</t>
  </si>
  <si>
    <t xml:space="preserve">GECKO 0565</t>
  </si>
  <si>
    <t xml:space="preserve">mokasworld</t>
  </si>
  <si>
    <t xml:space="preserve">https://www.inaturalist.org/observations/379818336</t>
  </si>
  <si>
    <t xml:space="preserve">GECKO 0566</t>
  </si>
  <si>
    <t xml:space="preserve">alexia_pavard</t>
  </si>
  <si>
    <t xml:space="preserve">https://www.inaturalist.org/observations/379814122</t>
  </si>
  <si>
    <t xml:space="preserve">GECKO 0567</t>
  </si>
  <si>
    <t xml:space="preserve">pschmitz</t>
  </si>
  <si>
    <t xml:space="preserve">https://www.inaturalist.org/observations/379790118</t>
  </si>
  <si>
    <t xml:space="preserve">GECKO 0568</t>
  </si>
  <si>
    <t xml:space="preserve">cynsternberg</t>
  </si>
  <si>
    <t xml:space="preserve">https://www.inaturalist.org/observations/379782880</t>
  </si>
  <si>
    <t xml:space="preserve">GECKO 0569</t>
  </si>
  <si>
    <t xml:space="preserve">yan_tonz</t>
  </si>
  <si>
    <t xml:space="preserve">https://www.inaturalist.org/observations/379766325</t>
  </si>
  <si>
    <t xml:space="preserve">GECKO 0570</t>
  </si>
  <si>
    <t xml:space="preserve">millipedeman56</t>
  </si>
  <si>
    <t xml:space="preserve">https://www.inaturalist.org/observations/379765940</t>
  </si>
  <si>
    <t xml:space="preserve">GECKO 0571</t>
  </si>
  <si>
    <t xml:space="preserve">ciaracastro09</t>
  </si>
  <si>
    <t xml:space="preserve">https://www.inaturalist.org/observations/379761730</t>
  </si>
  <si>
    <t xml:space="preserve">GECKO 0572</t>
  </si>
  <si>
    <t xml:space="preserve">dwilliams95</t>
  </si>
  <si>
    <t xml:space="preserve">https://www.inaturalist.org/observations/379745406</t>
  </si>
  <si>
    <t xml:space="preserve">GECKO 0573</t>
  </si>
  <si>
    <t xml:space="preserve">oscar66139</t>
  </si>
  <si>
    <t xml:space="preserve">https://www.inaturalist.org/observations/379719638</t>
  </si>
  <si>
    <t xml:space="preserve">GECKO 0574</t>
  </si>
  <si>
    <t xml:space="preserve">aaron3431</t>
  </si>
  <si>
    <t xml:space="preserve">https://www.inaturalist.org/observations/379710128</t>
  </si>
  <si>
    <t xml:space="preserve">GECKO 0575</t>
  </si>
  <si>
    <t xml:space="preserve">greenturtleeee</t>
  </si>
  <si>
    <t xml:space="preserve">https://www.inaturalist.org/observations/379698800</t>
  </si>
  <si>
    <t xml:space="preserve">GECKO 0576</t>
  </si>
  <si>
    <t xml:space="preserve">rexstutter</t>
  </si>
  <si>
    <t xml:space="preserve">https://www.inaturalist.org/observations/379689369</t>
  </si>
  <si>
    <t xml:space="preserve">GECKO 0577</t>
  </si>
  <si>
    <t xml:space="preserve">katylou90</t>
  </si>
  <si>
    <t xml:space="preserve">https://www.inaturalist.org/observations/379615749</t>
  </si>
  <si>
    <t xml:space="preserve">GECKO 0578</t>
  </si>
  <si>
    <t xml:space="preserve">angelruiz303</t>
  </si>
  <si>
    <t xml:space="preserve">https://www.inaturalist.org/observations/379595470</t>
  </si>
  <si>
    <t xml:space="preserve">GECKO 0579</t>
  </si>
  <si>
    <t xml:space="preserve">GECKO 0580</t>
  </si>
  <si>
    <t xml:space="preserve">https://www.inaturalist.org/observations/379591938</t>
  </si>
  <si>
    <t xml:space="preserve">GECKO 0581</t>
  </si>
  <si>
    <t xml:space="preserve">luca44</t>
  </si>
  <si>
    <t xml:space="preserve">https://www.inaturalist.org/observations/379591785</t>
  </si>
  <si>
    <t xml:space="preserve">GECKO 0582</t>
  </si>
  <si>
    <t xml:space="preserve">johanagf</t>
  </si>
  <si>
    <t xml:space="preserve">https://www.inaturalist.org/observations/379587883</t>
  </si>
  <si>
    <t xml:space="preserve">GECKO 0583</t>
  </si>
  <si>
    <t xml:space="preserve">benzerante</t>
  </si>
  <si>
    <t xml:space="preserve">https://www.inaturalist.org/observations/379587818</t>
  </si>
  <si>
    <t xml:space="preserve">GECKO 0584</t>
  </si>
  <si>
    <t xml:space="preserve">murkiness2537</t>
  </si>
  <si>
    <t xml:space="preserve">https://www.inaturalist.org/observations/379566113</t>
  </si>
  <si>
    <t xml:space="preserve">GECKO 0585</t>
  </si>
  <si>
    <t xml:space="preserve">https://www.inaturalist.org/observations/379560363</t>
  </si>
  <si>
    <t xml:space="preserve">GECKO 0586</t>
  </si>
  <si>
    <t xml:space="preserve">sbuglug</t>
  </si>
  <si>
    <t xml:space="preserve">https://www.inaturalist.org/observations/379541235</t>
  </si>
  <si>
    <t xml:space="preserve">GECKO 0587</t>
  </si>
  <si>
    <t xml:space="preserve">natasha777</t>
  </si>
  <si>
    <t xml:space="preserve">https://www.inaturalist.org/observations/379531274</t>
  </si>
  <si>
    <t xml:space="preserve">GECKO 0588</t>
  </si>
  <si>
    <t xml:space="preserve">theslowloris</t>
  </si>
  <si>
    <t xml:space="preserve">https://www.inaturalist.org/observations/379514706</t>
  </si>
  <si>
    <t xml:space="preserve">GECKO 0589</t>
  </si>
  <si>
    <t xml:space="preserve">martinwettges</t>
  </si>
  <si>
    <t xml:space="preserve">https://www.inaturalist.org/observations/379484927</t>
  </si>
  <si>
    <t xml:space="preserve">GECKO 0590</t>
  </si>
  <si>
    <t xml:space="preserve">sam-i-am429</t>
  </si>
  <si>
    <t xml:space="preserve">https://www.inaturalist.org/observations/379467631</t>
  </si>
  <si>
    <t xml:space="preserve">GECKO 0591</t>
  </si>
  <si>
    <t xml:space="preserve">neomyte</t>
  </si>
  <si>
    <t xml:space="preserve">https://www.inaturalist.org/observations/379433320</t>
  </si>
  <si>
    <t xml:space="preserve">GECKO 0592</t>
  </si>
  <si>
    <t xml:space="preserve">majo4s</t>
  </si>
  <si>
    <t xml:space="preserve">https://www.inaturalist.org/observations/379423115</t>
  </si>
  <si>
    <t xml:space="preserve">GECKO 0593</t>
  </si>
  <si>
    <t xml:space="preserve">radia6</t>
  </si>
  <si>
    <t xml:space="preserve">https://www.inaturalist.org/observations/379382430</t>
  </si>
  <si>
    <t xml:space="preserve">GECKO 0594</t>
  </si>
  <si>
    <t xml:space="preserve">wildlife-conservation-steph</t>
  </si>
  <si>
    <t xml:space="preserve">https://www.inaturalist.org/observations/379357641</t>
  </si>
  <si>
    <t xml:space="preserve">GECKO 0595</t>
  </si>
  <si>
    <t xml:space="preserve">vkohan</t>
  </si>
  <si>
    <t xml:space="preserve">https://www.inaturalist.org/observations/379299543</t>
  </si>
  <si>
    <t xml:space="preserve">GECKO 0596</t>
  </si>
  <si>
    <t xml:space="preserve">Hemidactylus parvimaculatus</t>
  </si>
  <si>
    <t xml:space="preserve">merle-gara</t>
  </si>
  <si>
    <t xml:space="preserve">https://www.inaturalist.org/observations/379646456</t>
  </si>
  <si>
    <t xml:space="preserve">GECKO 0597</t>
  </si>
  <si>
    <t xml:space="preserve">analisase</t>
  </si>
  <si>
    <t xml:space="preserve">https://www.inaturalist.org/observations/379595645</t>
  </si>
  <si>
    <t xml:space="preserve">GECKO 0598</t>
  </si>
  <si>
    <t xml:space="preserve">louisette3</t>
  </si>
  <si>
    <t xml:space="preserve">https://www.inaturalist.org/observations/379544146</t>
  </si>
  <si>
    <t xml:space="preserve">GECKO 0599</t>
  </si>
  <si>
    <t xml:space="preserve">maria74031</t>
  </si>
  <si>
    <t xml:space="preserve">https://www.inaturalist.org/observations/379259136</t>
  </si>
  <si>
    <t xml:space="preserve">GECKO 0600</t>
  </si>
  <si>
    <t xml:space="preserve">egow222</t>
  </si>
  <si>
    <t xml:space="preserve">https://www.inaturalist.org/observations/378594754</t>
  </si>
  <si>
    <t xml:space="preserve">GECKO 0601</t>
  </si>
  <si>
    <t xml:space="preserve">GECKO 0602</t>
  </si>
  <si>
    <t xml:space="preserve">steviekgold</t>
  </si>
  <si>
    <t xml:space="preserve">https://www.inaturalist.org/observations/378282919</t>
  </si>
  <si>
    <t xml:space="preserve">GECKO 0603</t>
  </si>
  <si>
    <t xml:space="preserve">kristybaker</t>
  </si>
  <si>
    <t xml:space="preserve">https://www.inaturalist.org/observations/378117874</t>
  </si>
  <si>
    <t xml:space="preserve">GECKO 0604</t>
  </si>
  <si>
    <t xml:space="preserve">GECKO 0605</t>
  </si>
  <si>
    <t xml:space="preserve">thisula_shehan</t>
  </si>
  <si>
    <t xml:space="preserve">https://www.inaturalist.org/observations/378096394</t>
  </si>
  <si>
    <t xml:space="preserve">GECKO 0606</t>
  </si>
  <si>
    <t xml:space="preserve">cassreynolds</t>
  </si>
  <si>
    <t xml:space="preserve">https://www.inaturalist.org/observations/377924132</t>
  </si>
  <si>
    <t xml:space="preserve">GECKO 0607</t>
  </si>
  <si>
    <t xml:space="preserve">chaangnoy</t>
  </si>
  <si>
    <t xml:space="preserve">https://www.inaturalist.org/observations/377691227</t>
  </si>
  <si>
    <t xml:space="preserve">GECKO 0608</t>
  </si>
  <si>
    <t xml:space="preserve">salticidude</t>
  </si>
  <si>
    <t xml:space="preserve">https://www.inaturalist.org/observations/377297863</t>
  </si>
  <si>
    <t xml:space="preserve">GECKO 0609</t>
  </si>
  <si>
    <t xml:space="preserve">clauderdale</t>
  </si>
  <si>
    <t xml:space="preserve">https://www.inaturalist.org/observations/376652949</t>
  </si>
  <si>
    <t xml:space="preserve">GECKO 0610</t>
  </si>
  <si>
    <t xml:space="preserve">junpark2</t>
  </si>
  <si>
    <t xml:space="preserve">https://www.inaturalist.org/observations/376538391</t>
  </si>
  <si>
    <t xml:space="preserve">GECKO 0611</t>
  </si>
  <si>
    <t xml:space="preserve">mitchderise</t>
  </si>
  <si>
    <t xml:space="preserve">https://www.inaturalist.org/observations/376433869</t>
  </si>
  <si>
    <t xml:space="preserve">GECKO 0612</t>
  </si>
  <si>
    <t xml:space="preserve">nahualconsarna</t>
  </si>
  <si>
    <t xml:space="preserve">https://www.inaturalist.org/observations/375818182</t>
  </si>
  <si>
    <t xml:space="preserve">GECKO 0613</t>
  </si>
  <si>
    <t xml:space="preserve">GECKO 0614</t>
  </si>
  <si>
    <t xml:space="preserve">selachimorpha</t>
  </si>
  <si>
    <t xml:space="preserve">https://www.inaturalist.org/observations/375751119</t>
  </si>
  <si>
    <t xml:space="preserve">GECKO 0615</t>
  </si>
  <si>
    <t xml:space="preserve">bender_real</t>
  </si>
  <si>
    <t xml:space="preserve">https://www.inaturalist.org/observations/375731955</t>
  </si>
  <si>
    <t xml:space="preserve">GECKO 0616</t>
  </si>
  <si>
    <t xml:space="preserve">kshirodini</t>
  </si>
  <si>
    <t xml:space="preserve">https://www.inaturalist.org/observations/375382355</t>
  </si>
  <si>
    <t xml:space="preserve">GECKO 0617</t>
  </si>
  <si>
    <t xml:space="preserve">hhrewilding</t>
  </si>
  <si>
    <t xml:space="preserve">https://www.inaturalist.org/observations/375191300</t>
  </si>
  <si>
    <t xml:space="preserve">GECKO 0618</t>
  </si>
  <si>
    <t xml:space="preserve">wombatgarden</t>
  </si>
  <si>
    <t xml:space="preserve">https://www.inaturalist.org/observations/374914897</t>
  </si>
  <si>
    <t xml:space="preserve">GECKO 0619</t>
  </si>
  <si>
    <t xml:space="preserve">britanylynne91</t>
  </si>
  <si>
    <t xml:space="preserve">https://www.inaturalist.org/observations/374663370</t>
  </si>
  <si>
    <t xml:space="preserve">GECKO 0620</t>
  </si>
  <si>
    <t xml:space="preserve">GECKO 0621</t>
  </si>
  <si>
    <t xml:space="preserve">na_ti</t>
  </si>
  <si>
    <t xml:space="preserve">https://www.inaturalist.org/observations/372425201</t>
  </si>
  <si>
    <t xml:space="preserve">GECKO 0622</t>
  </si>
  <si>
    <t xml:space="preserve">corah1312</t>
  </si>
  <si>
    <t xml:space="preserve">https://www.inaturalist.org/observations/371853159</t>
  </si>
  <si>
    <t xml:space="preserve">GECKO 0623</t>
  </si>
  <si>
    <t xml:space="preserve">priyanshu_chowdhary</t>
  </si>
  <si>
    <t xml:space="preserve">https://www.inaturalist.org/observations/371259711</t>
  </si>
  <si>
    <t xml:space="preserve">GECKO 0624</t>
  </si>
  <si>
    <t xml:space="preserve">sandrissima</t>
  </si>
  <si>
    <t xml:space="preserve">https://www.inaturalist.org/observations/369983264</t>
  </si>
  <si>
    <t xml:space="preserve">GECKO 0625</t>
  </si>
  <si>
    <t xml:space="preserve">cobal</t>
  </si>
  <si>
    <t xml:space="preserve">https://www.inaturalist.org/observations/369832462</t>
  </si>
  <si>
    <t xml:space="preserve">GECKO 0626</t>
  </si>
  <si>
    <t xml:space="preserve">elainamckay</t>
  </si>
  <si>
    <t xml:space="preserve">https://www.inaturalist.org/observations/369574499</t>
  </si>
  <si>
    <t xml:space="preserve">GECKO 0627</t>
  </si>
  <si>
    <t xml:space="preserve">kritadi</t>
  </si>
  <si>
    <t xml:space="preserve">https://www.inaturalist.org/observations/369297422</t>
  </si>
  <si>
    <t xml:space="preserve">GECKO 0628</t>
  </si>
  <si>
    <t xml:space="preserve">sylviab14</t>
  </si>
  <si>
    <t xml:space="preserve">https://www.inaturalist.org/observations/369193886</t>
  </si>
  <si>
    <t xml:space="preserve">GECKO 0629</t>
  </si>
  <si>
    <t xml:space="preserve">alenalex</t>
  </si>
  <si>
    <t xml:space="preserve">https://www.inaturalist.org/observations/368638025</t>
  </si>
  <si>
    <t xml:space="preserve">GECKO 0630</t>
  </si>
  <si>
    <t xml:space="preserve">https://www.inaturalist.org/observations/367169030</t>
  </si>
  <si>
    <t xml:space="preserve">GECKO 0631</t>
  </si>
  <si>
    <t xml:space="preserve">Cyrtodactylus</t>
  </si>
  <si>
    <t xml:space="preserve">Cyrtodactylus pulchellus</t>
  </si>
  <si>
    <t xml:space="preserve">erich_volschenk</t>
  </si>
  <si>
    <t xml:space="preserve">https://www.inaturalist.org/observations/327076080</t>
  </si>
  <si>
    <t xml:space="preserve">GECKO 0632</t>
  </si>
  <si>
    <t xml:space="preserve">standapavouk</t>
  </si>
  <si>
    <t xml:space="preserve">https://www.inaturalist.org/observations/321282348</t>
  </si>
  <si>
    <t xml:space="preserve">GECKO 0633</t>
  </si>
  <si>
    <t xml:space="preserve">https://www.inaturalist.org/observations/269280828</t>
  </si>
  <si>
    <t xml:space="preserve">GECKO 0634</t>
  </si>
  <si>
    <t xml:space="preserve">https://www.inaturalist.org/observations/253176417</t>
  </si>
  <si>
    <t xml:space="preserve">GECKO 0635</t>
  </si>
  <si>
    <t xml:space="preserve">https://www.inaturalist.org/observations/251324950</t>
  </si>
  <si>
    <t xml:space="preserve">GECKO 0636</t>
  </si>
  <si>
    <t xml:space="preserve">muehehe_hehe_cat</t>
  </si>
  <si>
    <t xml:space="preserve">https://www.inaturalist.org/observations/248853715</t>
  </si>
  <si>
    <t xml:space="preserve">GECKO 0637</t>
  </si>
  <si>
    <t xml:space="preserve">lee_meow</t>
  </si>
  <si>
    <t xml:space="preserve">https://www.inaturalist.org/observations/245229475</t>
  </si>
  <si>
    <t xml:space="preserve">GECKO 0638</t>
  </si>
  <si>
    <t xml:space="preserve">wingcarrie</t>
  </si>
  <si>
    <t xml:space="preserve">https://www.inaturalist.org/observations/237314302</t>
  </si>
  <si>
    <t xml:space="preserve">GECKO 0639</t>
  </si>
  <si>
    <t xml:space="preserve">GECKO 0640</t>
  </si>
  <si>
    <t xml:space="preserve">royc614</t>
  </si>
  <si>
    <t xml:space="preserve">https://www.inaturalist.org/observations/236855729</t>
  </si>
  <si>
    <t xml:space="preserve">GECKO 0641</t>
  </si>
  <si>
    <t xml:space="preserve">https://www.inaturalist.org/observations/231228547</t>
  </si>
  <si>
    <t xml:space="preserve">GECKO 0642</t>
  </si>
  <si>
    <t xml:space="preserve">GECKO 0643</t>
  </si>
  <si>
    <t xml:space="preserve">nickvolpe</t>
  </si>
  <si>
    <t xml:space="preserve">https://www.inaturalist.org/observations/205446900</t>
  </si>
  <si>
    <t xml:space="preserve">GECKO 0644</t>
  </si>
  <si>
    <t xml:space="preserve">https://www.inaturalist.org/observations/200898220</t>
  </si>
  <si>
    <t xml:space="preserve">GECKO 0645</t>
  </si>
  <si>
    <t xml:space="preserve">GECKO 0646</t>
  </si>
  <si>
    <t xml:space="preserve">GECKO 0647</t>
  </si>
  <si>
    <t xml:space="preserve">https://www.inaturalist.org/observations/194631105</t>
  </si>
  <si>
    <t xml:space="preserve">GECKO 0648</t>
  </si>
  <si>
    <t xml:space="preserve">faizolhakimi</t>
  </si>
  <si>
    <t xml:space="preserve">https://www.inaturalist.org/observations/193352826</t>
  </si>
  <si>
    <t xml:space="preserve">GECKO 0649</t>
  </si>
  <si>
    <t xml:space="preserve">glendakhoo</t>
  </si>
  <si>
    <t xml:space="preserve">https://www.inaturalist.org/observations/187797874</t>
  </si>
  <si>
    <t xml:space="preserve">GECKO 0650</t>
  </si>
  <si>
    <t xml:space="preserve">thomas_bader</t>
  </si>
  <si>
    <t xml:space="preserve">https://www.inaturalist.org/observations/168715180</t>
  </si>
  <si>
    <t xml:space="preserve">GECKO 0651</t>
  </si>
  <si>
    <t xml:space="preserve">https://www.inaturalist.org/observations/147513617</t>
  </si>
  <si>
    <t xml:space="preserve">GECKO 0652</t>
  </si>
  <si>
    <t xml:space="preserve">https://www.inaturalist.org/observations/120932176</t>
  </si>
  <si>
    <t xml:space="preserve">GECKO 0653</t>
  </si>
  <si>
    <t xml:space="preserve">https://www.inaturalist.org/observations/115296692</t>
  </si>
  <si>
    <t xml:space="preserve">GECKO 0654</t>
  </si>
  <si>
    <t xml:space="preserve">albertkang</t>
  </si>
  <si>
    <t xml:space="preserve">https://www.inaturalist.org/observations/91477873</t>
  </si>
  <si>
    <t xml:space="preserve">GECKO 0655</t>
  </si>
  <si>
    <t xml:space="preserve">https://www.inaturalist.org/observations/79113699</t>
  </si>
  <si>
    <t xml:space="preserve">GECKO 0656</t>
  </si>
  <si>
    <t xml:space="preserve">knotsnake</t>
  </si>
  <si>
    <t xml:space="preserve">https://www.inaturalist.org/observations/73408762</t>
  </si>
  <si>
    <t xml:space="preserve">GECKO 0657</t>
  </si>
  <si>
    <t xml:space="preserve">https://www.inaturalist.org/observations/72662236</t>
  </si>
  <si>
    <t xml:space="preserve">GECKO 0658</t>
  </si>
  <si>
    <t xml:space="preserve">https://www.inaturalist.org/observations/67390180</t>
  </si>
  <si>
    <t xml:space="preserve">GECKO 0659</t>
  </si>
  <si>
    <t xml:space="preserve">https://www.inaturalist.org/observations/66863473</t>
  </si>
  <si>
    <t xml:space="preserve">GECKO 0660</t>
  </si>
  <si>
    <t xml:space="preserve">https://www.inaturalist.org/observations/64919932</t>
  </si>
  <si>
    <t xml:space="preserve">GECKO 0661</t>
  </si>
  <si>
    <t xml:space="preserve">celine_ng</t>
  </si>
  <si>
    <t xml:space="preserve">https://www.inaturalist.org/observations/45867203</t>
  </si>
  <si>
    <t xml:space="preserve">GECKO 0662</t>
  </si>
  <si>
    <t xml:space="preserve">gcgan</t>
  </si>
  <si>
    <t xml:space="preserve">https://www.inaturalist.org/observations/27021572</t>
  </si>
  <si>
    <t xml:space="preserve">GECKO 0663</t>
  </si>
  <si>
    <t xml:space="preserve">nazirulmusidi</t>
  </si>
  <si>
    <t xml:space="preserve">https://www.inaturalist.org/observations/23940106</t>
  </si>
  <si>
    <t xml:space="preserve">GECKO 0664</t>
  </si>
  <si>
    <t xml:space="preserve">hamrish_singh</t>
  </si>
  <si>
    <t xml:space="preserve">https://www.inaturalist.org/observations/21784706</t>
  </si>
  <si>
    <t xml:space="preserve">GECKO 0665</t>
  </si>
  <si>
    <t xml:space="preserve">https://www.inaturalist.org/observations/21625618</t>
  </si>
  <si>
    <t xml:space="preserve">GECKO 0666</t>
  </si>
  <si>
    <t xml:space="preserve">Cyrtodactylus oldhami</t>
  </si>
  <si>
    <t xml:space="preserve">zspyk007</t>
  </si>
  <si>
    <t xml:space="preserve">https://www.inaturalist.org/observations/367673515</t>
  </si>
  <si>
    <t xml:space="preserve">GECKO 0667</t>
  </si>
  <si>
    <t xml:space="preserve">giuliacelotto03</t>
  </si>
  <si>
    <t xml:space="preserve">https://www.inaturalist.org/observations/365410748</t>
  </si>
  <si>
    <t xml:space="preserve">GECKO 0668</t>
  </si>
  <si>
    <t xml:space="preserve">https://www.inaturalist.org/observations/364359175</t>
  </si>
  <si>
    <t xml:space="preserve">GECKO 0669</t>
  </si>
  <si>
    <t xml:space="preserve">jorge_abad</t>
  </si>
  <si>
    <t xml:space="preserve">https://www.inaturalist.org/observations/358632860</t>
  </si>
  <si>
    <t xml:space="preserve">GECKO 0670</t>
  </si>
  <si>
    <t xml:space="preserve">https://www.inaturalist.org/observations/358632859</t>
  </si>
  <si>
    <t xml:space="preserve">GECKO 0671</t>
  </si>
  <si>
    <t xml:space="preserve">https://www.inaturalist.org/observations/356023877</t>
  </si>
  <si>
    <t xml:space="preserve">GECKO 0672</t>
  </si>
  <si>
    <t xml:space="preserve">vic663</t>
  </si>
  <si>
    <t xml:space="preserve">https://www.inaturalist.org/observations/338730830</t>
  </si>
  <si>
    <t xml:space="preserve">GECKO 0673</t>
  </si>
  <si>
    <t xml:space="preserve">franchie</t>
  </si>
  <si>
    <t xml:space="preserve">https://www.inaturalist.org/observations/338562892</t>
  </si>
  <si>
    <t xml:space="preserve">GECKO 0674</t>
  </si>
  <si>
    <t xml:space="preserve">ededwarddd</t>
  </si>
  <si>
    <t xml:space="preserve">https://www.inaturalist.org/observations/336947375</t>
  </si>
  <si>
    <t xml:space="preserve">GECKO 0675</t>
  </si>
  <si>
    <t xml:space="preserve">feriet</t>
  </si>
  <si>
    <t xml:space="preserve">https://www.inaturalist.org/observations/333119677</t>
  </si>
  <si>
    <t xml:space="preserve">GECKO 0676</t>
  </si>
  <si>
    <t xml:space="preserve">frelj</t>
  </si>
  <si>
    <t xml:space="preserve">https://www.inaturalist.org/observations/328205099</t>
  </si>
  <si>
    <t xml:space="preserve">GECKO 0677</t>
  </si>
  <si>
    <t xml:space="preserve">christonis</t>
  </si>
  <si>
    <t xml:space="preserve">https://www.inaturalist.org/observations/324697261</t>
  </si>
  <si>
    <t xml:space="preserve">GECKO 0678</t>
  </si>
  <si>
    <t xml:space="preserve">m_wilms</t>
  </si>
  <si>
    <t xml:space="preserve">https://www.inaturalist.org/observations/324400972</t>
  </si>
  <si>
    <t xml:space="preserve">GECKO 0679</t>
  </si>
  <si>
    <t xml:space="preserve">GECKO 0680</t>
  </si>
  <si>
    <t xml:space="preserve">GECKO 0681</t>
  </si>
  <si>
    <t xml:space="preserve">GECKO 0682</t>
  </si>
  <si>
    <t xml:space="preserve">https://www.inaturalist.org/observations/316377452</t>
  </si>
  <si>
    <t xml:space="preserve">GECKO 0683</t>
  </si>
  <si>
    <t xml:space="preserve">https://www.inaturalist.org/observations/316375562</t>
  </si>
  <si>
    <t xml:space="preserve">GECKO 0684</t>
  </si>
  <si>
    <t xml:space="preserve">GECKO 0685</t>
  </si>
  <si>
    <t xml:space="preserve">GECKO 0686</t>
  </si>
  <si>
    <t xml:space="preserve">https://www.inaturalist.org/observations/315904559</t>
  </si>
  <si>
    <t xml:space="preserve">GECKO 0687</t>
  </si>
  <si>
    <t xml:space="preserve">oilezzsk</t>
  </si>
  <si>
    <t xml:space="preserve">https://www.inaturalist.org/observations/308142930</t>
  </si>
  <si>
    <t xml:space="preserve">GECKO 0688</t>
  </si>
  <si>
    <t xml:space="preserve">sukanya_thanombuddha</t>
  </si>
  <si>
    <t xml:space="preserve">https://www.inaturalist.org/observations/307730636</t>
  </si>
  <si>
    <t xml:space="preserve">GECKO 0689</t>
  </si>
  <si>
    <t xml:space="preserve">ou_wildlife</t>
  </si>
  <si>
    <t xml:space="preserve">https://www.inaturalist.org/observations/307229783</t>
  </si>
  <si>
    <t xml:space="preserve">GECKO 0690</t>
  </si>
  <si>
    <t xml:space="preserve">GECKO 0691</t>
  </si>
  <si>
    <t xml:space="preserve">https://www.inaturalist.org/observations/307229098</t>
  </si>
  <si>
    <t xml:space="preserve">GECKO 0692</t>
  </si>
  <si>
    <t xml:space="preserve">GECKO 0693</t>
  </si>
  <si>
    <t xml:space="preserve">https://www.inaturalist.org/observations/307013601</t>
  </si>
  <si>
    <t xml:space="preserve">GECKO 0694</t>
  </si>
  <si>
    <t xml:space="preserve">GECKO 0695</t>
  </si>
  <si>
    <t xml:space="preserve">rusik-r2d2</t>
  </si>
  <si>
    <t xml:space="preserve">https://www.inaturalist.org/observations/276669192</t>
  </si>
  <si>
    <t xml:space="preserve">GECKO 0696</t>
  </si>
  <si>
    <t xml:space="preserve">scalabotes</t>
  </si>
  <si>
    <t xml:space="preserve">https://www.inaturalist.org/observations/265425990</t>
  </si>
  <si>
    <t xml:space="preserve">GECKO 0697</t>
  </si>
  <si>
    <t xml:space="preserve">fabiominati</t>
  </si>
  <si>
    <t xml:space="preserve">https://www.inaturalist.org/observations/263179619</t>
  </si>
  <si>
    <t xml:space="preserve">GECKO 0698</t>
  </si>
  <si>
    <t xml:space="preserve">https://www.inaturalist.org/observations/263176384</t>
  </si>
  <si>
    <t xml:space="preserve">GECKO 0699</t>
  </si>
  <si>
    <t xml:space="preserve">lennart_schmid</t>
  </si>
  <si>
    <t xml:space="preserve">https://www.inaturalist.org/observations/260176714</t>
  </si>
  <si>
    <t xml:space="preserve">GECKO 0700</t>
  </si>
  <si>
    <t xml:space="preserve">pavelkornev</t>
  </si>
  <si>
    <t xml:space="preserve">https://www.inaturalist.org/observations/251788733</t>
  </si>
  <si>
    <t xml:space="preserve">GECKO 0701</t>
  </si>
  <si>
    <t xml:space="preserve">Cyrtodactylus zebraicus</t>
  </si>
  <si>
    <t xml:space="preserve">https://www.inaturalist.org/observations/373713176</t>
  </si>
  <si>
    <t xml:space="preserve">GECKO 0702</t>
  </si>
  <si>
    <t xml:space="preserve">thanyarat_bo</t>
  </si>
  <si>
    <t xml:space="preserve">https://www.inaturalist.org/observations/366318763</t>
  </si>
  <si>
    <t xml:space="preserve">GECKO 0703</t>
  </si>
  <si>
    <t xml:space="preserve">GECKO 0704</t>
  </si>
  <si>
    <t xml:space="preserve">GECKO 0705</t>
  </si>
  <si>
    <t xml:space="preserve">siriwatdangsri</t>
  </si>
  <si>
    <t xml:space="preserve">https://www.inaturalist.org/observations/364545319</t>
  </si>
  <si>
    <t xml:space="preserve">GECKO 0706</t>
  </si>
  <si>
    <t xml:space="preserve">charliev</t>
  </si>
  <si>
    <t xml:space="preserve">https://www.inaturalist.org/observations/353465221</t>
  </si>
  <si>
    <t xml:space="preserve">GECKO 0707</t>
  </si>
  <si>
    <t xml:space="preserve">emily_tusnadi</t>
  </si>
  <si>
    <t xml:space="preserve">https://www.inaturalist.org/observations/330744192</t>
  </si>
  <si>
    <t xml:space="preserve">GECKO 0708</t>
  </si>
  <si>
    <t xml:space="preserve">GECKO 0709</t>
  </si>
  <si>
    <t xml:space="preserve">megans67</t>
  </si>
  <si>
    <t xml:space="preserve">https://www.inaturalist.org/observations/330471590</t>
  </si>
  <si>
    <t xml:space="preserve">GECKO 0710</t>
  </si>
  <si>
    <t xml:space="preserve">GECKO 0711</t>
  </si>
  <si>
    <t xml:space="preserve">GECKO 0712</t>
  </si>
  <si>
    <t xml:space="preserve">GECKO 0713</t>
  </si>
  <si>
    <t xml:space="preserve">marcel_wildlife</t>
  </si>
  <si>
    <t xml:space="preserve">https://www.inaturalist.org/observations/327105993</t>
  </si>
  <si>
    <t xml:space="preserve">GECKO 0714</t>
  </si>
  <si>
    <t xml:space="preserve">https://www.inaturalist.org/observations/325706628</t>
  </si>
  <si>
    <t xml:space="preserve">GECKO 0715</t>
  </si>
  <si>
    <t xml:space="preserve">emilymendel</t>
  </si>
  <si>
    <t xml:space="preserve">https://www.inaturalist.org/observations/324319957</t>
  </si>
  <si>
    <t xml:space="preserve">GECKO 0716</t>
  </si>
  <si>
    <t xml:space="preserve">https://www.inaturalist.org/observations/316156118</t>
  </si>
  <si>
    <t xml:space="preserve">GECKO 0717</t>
  </si>
  <si>
    <t xml:space="preserve">GECKO 0718</t>
  </si>
  <si>
    <t xml:space="preserve">rueangritp</t>
  </si>
  <si>
    <t xml:space="preserve">https://www.inaturalist.org/observations/308441046</t>
  </si>
  <si>
    <t xml:space="preserve">GECKO 0719</t>
  </si>
  <si>
    <t xml:space="preserve">https://www.inaturalist.org/observations/307731821</t>
  </si>
  <si>
    <t xml:space="preserve">GECKO 0720</t>
  </si>
  <si>
    <t xml:space="preserve">andrewpierce</t>
  </si>
  <si>
    <t xml:space="preserve">https://www.inaturalist.org/observations/301843397</t>
  </si>
  <si>
    <t xml:space="preserve">GECKO 0721</t>
  </si>
  <si>
    <t xml:space="preserve">GECKO 0722</t>
  </si>
  <si>
    <t xml:space="preserve">devinbyrne</t>
  </si>
  <si>
    <t xml:space="preserve">https://www.inaturalist.org/observations/299696072</t>
  </si>
  <si>
    <t xml:space="preserve">GECKO 0723</t>
  </si>
  <si>
    <t xml:space="preserve">punvius_othmerius</t>
  </si>
  <si>
    <t xml:space="preserve">https://www.inaturalist.org/observations/292570133</t>
  </si>
  <si>
    <t xml:space="preserve">GECKO 0724</t>
  </si>
  <si>
    <t xml:space="preserve">https://www.inaturalist.org/observations/291958862</t>
  </si>
  <si>
    <t xml:space="preserve">GECKO 0725</t>
  </si>
  <si>
    <t xml:space="preserve">https://www.inaturalist.org/observations/283815120</t>
  </si>
  <si>
    <t xml:space="preserve">GECKO 0726</t>
  </si>
  <si>
    <t xml:space="preserve">hattaya1</t>
  </si>
  <si>
    <t xml:space="preserve">https://www.inaturalist.org/observations/276715623</t>
  </si>
  <si>
    <t xml:space="preserve">GECKO 0727</t>
  </si>
  <si>
    <t xml:space="preserve">https://www.inaturalist.org/observations/273853660</t>
  </si>
  <si>
    <t xml:space="preserve">GECKO 0728</t>
  </si>
  <si>
    <t xml:space="preserve">setaphong</t>
  </si>
  <si>
    <t xml:space="preserve">https://www.inaturalist.org/observations/262378078</t>
  </si>
  <si>
    <t xml:space="preserve">GECKO 0729</t>
  </si>
  <si>
    <t xml:space="preserve">jtreacy</t>
  </si>
  <si>
    <t xml:space="preserve">https://www.inaturalist.org/observations/260651713</t>
  </si>
  <si>
    <t xml:space="preserve">GECKO 0730</t>
  </si>
  <si>
    <t xml:space="preserve">https://www.inaturalist.org/observations/260176712</t>
  </si>
  <si>
    <t xml:space="preserve">GECKO 0731</t>
  </si>
  <si>
    <t xml:space="preserve">https://www.inaturalist.org/observations/258474128</t>
  </si>
  <si>
    <t xml:space="preserve">GECKO 0732</t>
  </si>
  <si>
    <t xml:space="preserve">piyapong</t>
  </si>
  <si>
    <t xml:space="preserve">https://www.inaturalist.org/observations/258032110</t>
  </si>
  <si>
    <t xml:space="preserve">GECKO 0733</t>
  </si>
  <si>
    <t xml:space="preserve">https://www.inaturalist.org/observations/251744686</t>
  </si>
  <si>
    <t xml:space="preserve">GECKO 0734</t>
  </si>
  <si>
    <t xml:space="preserve">https://www.inaturalist.org/observations/248866931</t>
  </si>
  <si>
    <t xml:space="preserve">GECKO 0735</t>
  </si>
  <si>
    <t xml:space="preserve">https://www.inaturalist.org/observations/237836804</t>
  </si>
  <si>
    <t xml:space="preserve">GECKO 0736</t>
  </si>
  <si>
    <t xml:space="preserve">Phelsuma</t>
  </si>
  <si>
    <t xml:space="preserve">Phelsuma grandis</t>
  </si>
  <si>
    <t xml:space="preserve">natviniamin</t>
  </si>
  <si>
    <t xml:space="preserve">https://www.inaturalist.org/observations/379317902</t>
  </si>
  <si>
    <t xml:space="preserve">GECKO 0737</t>
  </si>
  <si>
    <t xml:space="preserve">https://www.inaturalist.org/observations/379315342</t>
  </si>
  <si>
    <t xml:space="preserve">GECKO 0738</t>
  </si>
  <si>
    <t xml:space="preserve">ecuwaidis</t>
  </si>
  <si>
    <t xml:space="preserve">https://www.inaturalist.org/observations/378211573</t>
  </si>
  <si>
    <t xml:space="preserve">GECKO 0739</t>
  </si>
  <si>
    <t xml:space="preserve">angelomg</t>
  </si>
  <si>
    <t xml:space="preserve">https://www.inaturalist.org/observations/376925113</t>
  </si>
  <si>
    <t xml:space="preserve">GECKO 0740</t>
  </si>
  <si>
    <t xml:space="preserve">aschmidt95</t>
  </si>
  <si>
    <t xml:space="preserve">https://www.inaturalist.org/observations/374299156</t>
  </si>
  <si>
    <t xml:space="preserve">GECKO 0741</t>
  </si>
  <si>
    <t xml:space="preserve">kellym301</t>
  </si>
  <si>
    <t xml:space="preserve">https://www.inaturalist.org/observations/374001724</t>
  </si>
  <si>
    <t xml:space="preserve">GECKO 0742</t>
  </si>
  <si>
    <t xml:space="preserve">ktschmid</t>
  </si>
  <si>
    <t xml:space="preserve">https://www.inaturalist.org/observations/372653415</t>
  </si>
  <si>
    <t xml:space="preserve">GECKO 0743</t>
  </si>
  <si>
    <t xml:space="preserve">myrog333</t>
  </si>
  <si>
    <t xml:space="preserve">https://www.inaturalist.org/observations/372629666</t>
  </si>
  <si>
    <t xml:space="preserve">GECKO 0744</t>
  </si>
  <si>
    <t xml:space="preserve">bakerboy92</t>
  </si>
  <si>
    <t xml:space="preserve">https://www.inaturalist.org/observations/370998226</t>
  </si>
  <si>
    <t xml:space="preserve">GECKO 0745</t>
  </si>
  <si>
    <t xml:space="preserve">samuel28632</t>
  </si>
  <si>
    <t xml:space="preserve">https://www.inaturalist.org/observations/370842365</t>
  </si>
  <si>
    <t xml:space="preserve">GECKO 0746</t>
  </si>
  <si>
    <t xml:space="preserve">jairo_uribarri</t>
  </si>
  <si>
    <t xml:space="preserve">https://www.inaturalist.org/observations/370604931</t>
  </si>
  <si>
    <t xml:space="preserve">GECKO 0747</t>
  </si>
  <si>
    <t xml:space="preserve">morgans_finds</t>
  </si>
  <si>
    <t xml:space="preserve">https://www.inaturalist.org/observations/370332037</t>
  </si>
  <si>
    <t xml:space="preserve">GECKO 0748</t>
  </si>
  <si>
    <t xml:space="preserve">hi_ocean</t>
  </si>
  <si>
    <t xml:space="preserve">https://www.inaturalist.org/observations/369847777</t>
  </si>
  <si>
    <t xml:space="preserve">GECKO 0749</t>
  </si>
  <si>
    <t xml:space="preserve">surftheworld</t>
  </si>
  <si>
    <t xml:space="preserve">https://www.inaturalist.org/observations/368924926</t>
  </si>
  <si>
    <t xml:space="preserve">GECKO 0750</t>
  </si>
  <si>
    <t xml:space="preserve">saty2</t>
  </si>
  <si>
    <t xml:space="preserve">https://www.inaturalist.org/observations/368514915</t>
  </si>
  <si>
    <t xml:space="preserve">GECKO 0751</t>
  </si>
  <si>
    <t xml:space="preserve">ormr</t>
  </si>
  <si>
    <t xml:space="preserve">https://www.inaturalist.org/observations/368014724</t>
  </si>
  <si>
    <t xml:space="preserve">GECKO 0752</t>
  </si>
  <si>
    <t xml:space="preserve">https://www.inaturalist.org/observations/368014717</t>
  </si>
  <si>
    <t xml:space="preserve">GECKO 0753</t>
  </si>
  <si>
    <t xml:space="preserve">https://www.inaturalist.org/observations/368014699</t>
  </si>
  <si>
    <t xml:space="preserve">GECKO 0754</t>
  </si>
  <si>
    <t xml:space="preserve">bmbratt</t>
  </si>
  <si>
    <t xml:space="preserve">https://www.inaturalist.org/observations/367252413</t>
  </si>
  <si>
    <t xml:space="preserve">GECKO 0755</t>
  </si>
  <si>
    <t xml:space="preserve">https://www.inaturalist.org/observations/366921875</t>
  </si>
  <si>
    <t xml:space="preserve">GECKO 0756</t>
  </si>
  <si>
    <t xml:space="preserve">zouldiego</t>
  </si>
  <si>
    <t xml:space="preserve">https://www.inaturalist.org/observations/366590406</t>
  </si>
  <si>
    <t xml:space="preserve">GECKO 0757</t>
  </si>
  <si>
    <t xml:space="preserve">sandboa</t>
  </si>
  <si>
    <t xml:space="preserve">https://www.inaturalist.org/observations/366481723</t>
  </si>
  <si>
    <t xml:space="preserve">GECKO 0758</t>
  </si>
  <si>
    <t xml:space="preserve">albert-leaflovesafari</t>
  </si>
  <si>
    <t xml:space="preserve">https://www.inaturalist.org/observations/364286586</t>
  </si>
  <si>
    <t xml:space="preserve">GECKO 0759</t>
  </si>
  <si>
    <t xml:space="preserve">calamity_jane808</t>
  </si>
  <si>
    <t xml:space="preserve">https://www.inaturalist.org/observations/362569779</t>
  </si>
  <si>
    <t xml:space="preserve">GECKO 0760</t>
  </si>
  <si>
    <t xml:space="preserve">danielblanco521</t>
  </si>
  <si>
    <t xml:space="preserve">https://www.inaturalist.org/observations/361056200</t>
  </si>
  <si>
    <t xml:space="preserve">GECKO 0761</t>
  </si>
  <si>
    <t xml:space="preserve">https://www.inaturalist.org/observations/361027596</t>
  </si>
  <si>
    <t xml:space="preserve">GECKO 0762</t>
  </si>
  <si>
    <t xml:space="preserve">sophiegp</t>
  </si>
  <si>
    <t xml:space="preserve">https://www.inaturalist.org/observations/360961451</t>
  </si>
  <si>
    <t xml:space="preserve">GECKO 0763</t>
  </si>
  <si>
    <t xml:space="preserve">tmcroydon2002</t>
  </si>
  <si>
    <t xml:space="preserve">https://www.inaturalist.org/observations/360797519</t>
  </si>
  <si>
    <t xml:space="preserve">GECKO 0764</t>
  </si>
  <si>
    <t xml:space="preserve">waelbenaba</t>
  </si>
  <si>
    <t xml:space="preserve">https://www.inaturalist.org/observations/360379603</t>
  </si>
  <si>
    <t xml:space="preserve">GECKO 0765</t>
  </si>
  <si>
    <t xml:space="preserve">https://www.inaturalist.org/observations/360369705</t>
  </si>
  <si>
    <t xml:space="preserve">GECKO 0766</t>
  </si>
  <si>
    <t xml:space="preserve">https://www.inaturalist.org/observations/358633001</t>
  </si>
  <si>
    <t xml:space="preserve">GECKO 0767</t>
  </si>
  <si>
    <t xml:space="preserve">nicole27903</t>
  </si>
  <si>
    <t xml:space="preserve">https://www.inaturalist.org/observations/356550940</t>
  </si>
  <si>
    <t xml:space="preserve">GECKO 0768</t>
  </si>
  <si>
    <t xml:space="preserve">hasenzahn</t>
  </si>
  <si>
    <t xml:space="preserve">https://www.inaturalist.org/observations/357851949</t>
  </si>
  <si>
    <t xml:space="preserve">GECKO 0769</t>
  </si>
  <si>
    <t xml:space="preserve">https://www.inaturalist.org/observations/355474330</t>
  </si>
  <si>
    <t xml:space="preserve">GECKO 0770</t>
  </si>
  <si>
    <t xml:space="preserve">juliencw</t>
  </si>
  <si>
    <t xml:space="preserve">https://www.inaturalist.org/observations/353274211</t>
  </si>
  <si>
    <t xml:space="preserve">GECKO 0771</t>
  </si>
  <si>
    <t xml:space="preserve">Phelsuma laticuda</t>
  </si>
  <si>
    <t xml:space="preserve">gremlinteeth</t>
  </si>
  <si>
    <t xml:space="preserve">https://www.inaturalist.org/observations/379612010</t>
  </si>
  <si>
    <t xml:space="preserve">GECKO 0772</t>
  </si>
  <si>
    <t xml:space="preserve">erebus_odora</t>
  </si>
  <si>
    <t xml:space="preserve">https://www.inaturalist.org/observations/379492740</t>
  </si>
  <si>
    <t xml:space="preserve">GECKO 0773</t>
  </si>
  <si>
    <t xml:space="preserve">https://www.inaturalist.org/observations/379492717</t>
  </si>
  <si>
    <t xml:space="preserve">GECKO 0774</t>
  </si>
  <si>
    <t xml:space="preserve">https://www.inaturalist.org/observations/379492508</t>
  </si>
  <si>
    <t xml:space="preserve">GECKO 0775</t>
  </si>
  <si>
    <t xml:space="preserve">jeremy52048</t>
  </si>
  <si>
    <t xml:space="preserve">https://www.inaturalist.org/observations/379265375</t>
  </si>
  <si>
    <t xml:space="preserve">GECKO 0776</t>
  </si>
  <si>
    <t xml:space="preserve">kathyguerra25</t>
  </si>
  <si>
    <t xml:space="preserve">https://www.inaturalist.org/observations/379262822</t>
  </si>
  <si>
    <t xml:space="preserve">GECKO 0777</t>
  </si>
  <si>
    <t xml:space="preserve">https://www.inaturalist.org/observations/379262553</t>
  </si>
  <si>
    <t xml:space="preserve">GECKO 0778</t>
  </si>
  <si>
    <t xml:space="preserve">michaela-ann</t>
  </si>
  <si>
    <t xml:space="preserve">https://www.inaturalist.org/observations/379239430</t>
  </si>
  <si>
    <t xml:space="preserve">GECKO 0779</t>
  </si>
  <si>
    <t xml:space="preserve">benjamin_k_603</t>
  </si>
  <si>
    <t xml:space="preserve">https://www.inaturalist.org/observations/379214607</t>
  </si>
  <si>
    <t xml:space="preserve">GECKO 0780</t>
  </si>
  <si>
    <t xml:space="preserve">michele86005</t>
  </si>
  <si>
    <t xml:space="preserve">https://www.inaturalist.org/observations/379147545</t>
  </si>
  <si>
    <t xml:space="preserve">GECKO 0781</t>
  </si>
  <si>
    <t xml:space="preserve">hopemielke</t>
  </si>
  <si>
    <t xml:space="preserve">https://www.inaturalist.org/observations/379130538</t>
  </si>
  <si>
    <t xml:space="preserve">GECKO 0782</t>
  </si>
  <si>
    <t xml:space="preserve">tdad</t>
  </si>
  <si>
    <t xml:space="preserve">https://www.inaturalist.org/observations/379044768</t>
  </si>
  <si>
    <t xml:space="preserve">GECKO 0783</t>
  </si>
  <si>
    <t xml:space="preserve">adamstinks</t>
  </si>
  <si>
    <t xml:space="preserve">https://www.inaturalist.org/observations/378987535</t>
  </si>
  <si>
    <t xml:space="preserve">GECKO 0784</t>
  </si>
  <si>
    <t xml:space="preserve">mermaidmagic</t>
  </si>
  <si>
    <t xml:space="preserve">https://www.inaturalist.org/observations/378978726</t>
  </si>
  <si>
    <t xml:space="preserve">GECKO 0785</t>
  </si>
  <si>
    <t xml:space="preserve">life_observer</t>
  </si>
  <si>
    <t xml:space="preserve">https://www.inaturalist.org/observations/378976642</t>
  </si>
  <si>
    <t xml:space="preserve">GECKO 0786</t>
  </si>
  <si>
    <t xml:space="preserve">https://www.inaturalist.org/observations/378976506</t>
  </si>
  <si>
    <t xml:space="preserve">GECKO 0787</t>
  </si>
  <si>
    <t xml:space="preserve">trishx</t>
  </si>
  <si>
    <t xml:space="preserve">https://www.inaturalist.org/observations/378940972</t>
  </si>
  <si>
    <t xml:space="preserve">GECKO 0788</t>
  </si>
  <si>
    <t xml:space="preserve">howder</t>
  </si>
  <si>
    <t xml:space="preserve">https://www.inaturalist.org/observations/378914368</t>
  </si>
  <si>
    <t xml:space="preserve">GECKO 0789</t>
  </si>
  <si>
    <t xml:space="preserve">seanconway2</t>
  </si>
  <si>
    <t xml:space="preserve">https://www.inaturalist.org/observations/378680761</t>
  </si>
  <si>
    <t xml:space="preserve">GECKO 0790</t>
  </si>
  <si>
    <t xml:space="preserve">roobydoo</t>
  </si>
  <si>
    <t xml:space="preserve">https://www.inaturalist.org/observations/378237585</t>
  </si>
  <si>
    <t xml:space="preserve">GECKO 0791</t>
  </si>
  <si>
    <t xml:space="preserve">https://www.inaturalist.org/observations/377842262</t>
  </si>
  <si>
    <t xml:space="preserve">GECKO 0792</t>
  </si>
  <si>
    <t xml:space="preserve">https://www.inaturalist.org/observations/377633912</t>
  </si>
  <si>
    <t xml:space="preserve">GECKO 0793</t>
  </si>
  <si>
    <t xml:space="preserve">korbynhoerner</t>
  </si>
  <si>
    <t xml:space="preserve">https://www.inaturalist.org/observations/377608828</t>
  </si>
  <si>
    <t xml:space="preserve">GECKO 0794</t>
  </si>
  <si>
    <t xml:space="preserve">hsampson96</t>
  </si>
  <si>
    <t xml:space="preserve">https://www.inaturalist.org/observations/377551951</t>
  </si>
  <si>
    <t xml:space="preserve">GECKO 0795</t>
  </si>
  <si>
    <t xml:space="preserve">lguindon</t>
  </si>
  <si>
    <t xml:space="preserve">https://www.inaturalist.org/observations/377548938</t>
  </si>
  <si>
    <t xml:space="preserve">GECKO 0796</t>
  </si>
  <si>
    <t xml:space="preserve">sarek05</t>
  </si>
  <si>
    <t xml:space="preserve">https://www.inaturalist.org/observations/377259796</t>
  </si>
  <si>
    <t xml:space="preserve">GECKO 0797</t>
  </si>
  <si>
    <t xml:space="preserve">timbir5</t>
  </si>
  <si>
    <t xml:space="preserve">https://www.inaturalist.org/observations/377182829</t>
  </si>
  <si>
    <t xml:space="preserve">GECKO 0798</t>
  </si>
  <si>
    <t xml:space="preserve">https://www.inaturalist.org/observations/377045661</t>
  </si>
  <si>
    <t xml:space="preserve">GECKO 0799</t>
  </si>
  <si>
    <t xml:space="preserve">ava_buxton</t>
  </si>
  <si>
    <t xml:space="preserve">https://www.inaturalist.org/observations/377035594</t>
  </si>
  <si>
    <t xml:space="preserve">GECKO 0800</t>
  </si>
  <si>
    <t xml:space="preserve">max_gus_minnie</t>
  </si>
  <si>
    <t xml:space="preserve">https://www.inaturalist.org/observations/376940959</t>
  </si>
  <si>
    <t xml:space="preserve">GECKO 0801</t>
  </si>
  <si>
    <t xml:space="preserve">slkalish</t>
  </si>
  <si>
    <t xml:space="preserve">https://www.inaturalist.org/observations/376873282</t>
  </si>
  <si>
    <t xml:space="preserve">GECKO 0802</t>
  </si>
  <si>
    <t xml:space="preserve">mathieu_dmf</t>
  </si>
  <si>
    <t xml:space="preserve">https://www.inaturalist.org/observations/376852948</t>
  </si>
  <si>
    <t xml:space="preserve">GECKO 0803</t>
  </si>
  <si>
    <t xml:space="preserve">friendofafern</t>
  </si>
  <si>
    <t xml:space="preserve">https://www.inaturalist.org/observations/376751959</t>
  </si>
  <si>
    <t xml:space="preserve">GECKO 0804</t>
  </si>
  <si>
    <t xml:space="preserve">kwat</t>
  </si>
  <si>
    <t xml:space="preserve">https://www.inaturalist.org/observations/376735536</t>
  </si>
  <si>
    <t xml:space="preserve">GECKO 0805</t>
  </si>
  <si>
    <t xml:space="preserve">sethalopod</t>
  </si>
  <si>
    <t xml:space="preserve">https://www.inaturalist.org/observations/376431074</t>
  </si>
  <si>
    <t xml:space="preserve">GECKO 0806</t>
  </si>
  <si>
    <t xml:space="preserve">Phelsuma mutabilis</t>
  </si>
  <si>
    <t xml:space="preserve">kjaeger</t>
  </si>
  <si>
    <t xml:space="preserve">https://www.inaturalist.org/observations/376810412</t>
  </si>
  <si>
    <t xml:space="preserve">GECKO 0807</t>
  </si>
  <si>
    <t xml:space="preserve">forosix</t>
  </si>
  <si>
    <t xml:space="preserve">https://www.inaturalist.org/observations/371864866</t>
  </si>
  <si>
    <t xml:space="preserve">GECKO 0808</t>
  </si>
  <si>
    <t xml:space="preserve">cwlonie</t>
  </si>
  <si>
    <t xml:space="preserve">https://www.inaturalist.org/observations/371533808</t>
  </si>
  <si>
    <t xml:space="preserve">GECKO 0809</t>
  </si>
  <si>
    <t xml:space="preserve">chrihi</t>
  </si>
  <si>
    <t xml:space="preserve">https://www.inaturalist.org/observations/371529790</t>
  </si>
  <si>
    <t xml:space="preserve">GECKO 0810</t>
  </si>
  <si>
    <t xml:space="preserve">GECKO 0811</t>
  </si>
  <si>
    <t xml:space="preserve">jsulan</t>
  </si>
  <si>
    <t xml:space="preserve">https://www.inaturalist.org/observations/370623596</t>
  </si>
  <si>
    <t xml:space="preserve">GECKO 0812</t>
  </si>
  <si>
    <t xml:space="preserve">naturalistchu</t>
  </si>
  <si>
    <t xml:space="preserve">https://www.inaturalist.org/observations/370602692</t>
  </si>
  <si>
    <t xml:space="preserve">GECKO 0813</t>
  </si>
  <si>
    <t xml:space="preserve">GECKO 0814</t>
  </si>
  <si>
    <t xml:space="preserve">silversea_starsong</t>
  </si>
  <si>
    <t xml:space="preserve">https://www.inaturalist.org/observations/363521200</t>
  </si>
  <si>
    <t xml:space="preserve">GECKO 0815</t>
  </si>
  <si>
    <t xml:space="preserve">GECKO 0816</t>
  </si>
  <si>
    <t xml:space="preserve">https://www.inaturalist.org/observations/357971573</t>
  </si>
  <si>
    <t xml:space="preserve">GECKO 0817</t>
  </si>
  <si>
    <t xml:space="preserve">rietlex</t>
  </si>
  <si>
    <t xml:space="preserve">https://www.inaturalist.org/observations/354182540</t>
  </si>
  <si>
    <t xml:space="preserve">GECKO 0818</t>
  </si>
  <si>
    <t xml:space="preserve">nickbuys</t>
  </si>
  <si>
    <t xml:space="preserve">https://www.inaturalist.org/observations/350770666</t>
  </si>
  <si>
    <t xml:space="preserve">GECKO 0819</t>
  </si>
  <si>
    <t xml:space="preserve">markus_b</t>
  </si>
  <si>
    <t xml:space="preserve">https://www.inaturalist.org/observations/350232820</t>
  </si>
  <si>
    <t xml:space="preserve">GECKO 0820</t>
  </si>
  <si>
    <t xml:space="preserve">https://www.inaturalist.org/observations/349928360</t>
  </si>
  <si>
    <t xml:space="preserve">GECKO 0821</t>
  </si>
  <si>
    <t xml:space="preserve">GECKO 0822</t>
  </si>
  <si>
    <t xml:space="preserve">https://www.inaturalist.org/observations/349864150</t>
  </si>
  <si>
    <t xml:space="preserve">GECKO 0823</t>
  </si>
  <si>
    <t xml:space="preserve">GECKO 0824</t>
  </si>
  <si>
    <t xml:space="preserve">https://www.inaturalist.org/observations/348663163</t>
  </si>
  <si>
    <t xml:space="preserve">GECKO 0825</t>
  </si>
  <si>
    <t xml:space="preserve">mannkaii</t>
  </si>
  <si>
    <t xml:space="preserve">https://www.inaturalist.org/observations/348477003</t>
  </si>
  <si>
    <t xml:space="preserve">GECKO 0826</t>
  </si>
  <si>
    <t xml:space="preserve">GECKO 0827</t>
  </si>
  <si>
    <t xml:space="preserve">saemmi</t>
  </si>
  <si>
    <t xml:space="preserve">https://www.inaturalist.org/observations/346113856</t>
  </si>
  <si>
    <t xml:space="preserve">GECKO 0828</t>
  </si>
  <si>
    <t xml:space="preserve">botaneek</t>
  </si>
  <si>
    <t xml:space="preserve">https://www.inaturalist.org/observations/344889080</t>
  </si>
  <si>
    <t xml:space="preserve">GECKO 0829</t>
  </si>
  <si>
    <t xml:space="preserve">GECKO 0830</t>
  </si>
  <si>
    <t xml:space="preserve">eec2022</t>
  </si>
  <si>
    <t xml:space="preserve">https://www.inaturalist.org/observations/342419219</t>
  </si>
  <si>
    <t xml:space="preserve">GECKO 0831</t>
  </si>
  <si>
    <t xml:space="preserve">GECKO 0832</t>
  </si>
  <si>
    <t xml:space="preserve">https://www.inaturalist.org/observations/340003122</t>
  </si>
  <si>
    <t xml:space="preserve">GECKO 0833</t>
  </si>
  <si>
    <t xml:space="preserve">wouterbeukema</t>
  </si>
  <si>
    <t xml:space="preserve">https://www.inaturalist.org/observations/339766212</t>
  </si>
  <si>
    <t xml:space="preserve">GECKO 0834</t>
  </si>
  <si>
    <t xml:space="preserve">leo_gentile</t>
  </si>
  <si>
    <t xml:space="preserve">https://www.inaturalist.org/observations/339701230</t>
  </si>
  <si>
    <t xml:space="preserve">GECKO 0835</t>
  </si>
  <si>
    <t xml:space="preserve">hollythefrog</t>
  </si>
  <si>
    <t xml:space="preserve">https://www.inaturalist.org/observations/334457944</t>
  </si>
  <si>
    <t xml:space="preserve">GECKO 0836</t>
  </si>
  <si>
    <t xml:space="preserve">https://www.inaturalist.org/observations/334457921</t>
  </si>
  <si>
    <t xml:space="preserve">GECKO 0837</t>
  </si>
  <si>
    <t xml:space="preserve">merec0</t>
  </si>
  <si>
    <t xml:space="preserve">https://www.inaturalist.org/observations/333442316</t>
  </si>
  <si>
    <t xml:space="preserve">GECKO 0838</t>
  </si>
  <si>
    <t xml:space="preserve">pierre</t>
  </si>
  <si>
    <t xml:space="preserve">https://www.inaturalist.org/observations/332270041</t>
  </si>
  <si>
    <t xml:space="preserve">GECKO 0839</t>
  </si>
  <si>
    <t xml:space="preserve">https://www.inaturalist.org/observations/329830895</t>
  </si>
  <si>
    <t xml:space="preserve">GECKO 0840</t>
  </si>
  <si>
    <t xml:space="preserve">aandmg</t>
  </si>
  <si>
    <t xml:space="preserve">https://www.inaturalist.org/observations/328289981</t>
  </si>
  <si>
    <t xml:space="preserve">GECKO 0841</t>
  </si>
  <si>
    <t xml:space="preserve">Carphodactylidae</t>
  </si>
  <si>
    <t xml:space="preserve">Nephrurus</t>
  </si>
  <si>
    <t xml:space="preserve">Nephrurus levis</t>
  </si>
  <si>
    <t xml:space="preserve">fharrihill</t>
  </si>
  <si>
    <t xml:space="preserve">https://www.inaturalist.org/observations/378679041</t>
  </si>
  <si>
    <t xml:space="preserve">GECKO 0842</t>
  </si>
  <si>
    <t xml:space="preserve">kenty_8881</t>
  </si>
  <si>
    <t xml:space="preserve">https://www.inaturalist.org/observations/368942249</t>
  </si>
  <si>
    <t xml:space="preserve">GECKO 0843</t>
  </si>
  <si>
    <t xml:space="preserve">lmk96</t>
  </si>
  <si>
    <t xml:space="preserve">https://www.inaturalist.org/observations/361939589</t>
  </si>
  <si>
    <t xml:space="preserve">GECKO 0844</t>
  </si>
  <si>
    <t xml:space="preserve">GECKO 0845</t>
  </si>
  <si>
    <t xml:space="preserve">misoa</t>
  </si>
  <si>
    <t xml:space="preserve">https://www.inaturalist.org/observations/354372448</t>
  </si>
  <si>
    <t xml:space="preserve">GECKO 0846</t>
  </si>
  <si>
    <t xml:space="preserve">hardyhancock</t>
  </si>
  <si>
    <t xml:space="preserve">https://www.inaturalist.org/observations/351076587</t>
  </si>
  <si>
    <t xml:space="preserve">GECKO 0847</t>
  </si>
  <si>
    <t xml:space="preserve">merbadger</t>
  </si>
  <si>
    <t xml:space="preserve">https://www.inaturalist.org/observations/349170259</t>
  </si>
  <si>
    <t xml:space="preserve">GECKO 0848</t>
  </si>
  <si>
    <t xml:space="preserve">anatinus</t>
  </si>
  <si>
    <t xml:space="preserve">https://www.inaturalist.org/observations/342523184</t>
  </si>
  <si>
    <t xml:space="preserve">GECKO 0849</t>
  </si>
  <si>
    <t xml:space="preserve">GECKO 0850</t>
  </si>
  <si>
    <t xml:space="preserve">n_white</t>
  </si>
  <si>
    <t xml:space="preserve">https://www.inaturalist.org/observations/341618974</t>
  </si>
  <si>
    <t xml:space="preserve">GECKO 0851</t>
  </si>
  <si>
    <t xml:space="preserve">https://www.inaturalist.org/observations/341525333</t>
  </si>
  <si>
    <t xml:space="preserve">GECKO 0852</t>
  </si>
  <si>
    <t xml:space="preserve">GECKO 0853</t>
  </si>
  <si>
    <t xml:space="preserve">nicomoll</t>
  </si>
  <si>
    <t xml:space="preserve">https://www.inaturalist.org/observations/339889261</t>
  </si>
  <si>
    <t xml:space="preserve">GECKO 0854</t>
  </si>
  <si>
    <t xml:space="preserve">guigzzz</t>
  </si>
  <si>
    <t xml:space="preserve">https://www.inaturalist.org/observations/339254655</t>
  </si>
  <si>
    <t xml:space="preserve">GECKO 0855</t>
  </si>
  <si>
    <t xml:space="preserve">GECKO 0856</t>
  </si>
  <si>
    <t xml:space="preserve">amelielague</t>
  </si>
  <si>
    <t xml:space="preserve">https://www.inaturalist.org/observations/335601949</t>
  </si>
  <si>
    <t xml:space="preserve">GECKO 0857</t>
  </si>
  <si>
    <t xml:space="preserve">https://www.inaturalist.org/observations/335214881</t>
  </si>
  <si>
    <t xml:space="preserve">GECKO 0858</t>
  </si>
  <si>
    <t xml:space="preserve">ennis_de_vos</t>
  </si>
  <si>
    <t xml:space="preserve">https://www.inaturalist.org/observations/332991314</t>
  </si>
  <si>
    <t xml:space="preserve">GECKO 0859</t>
  </si>
  <si>
    <t xml:space="preserve">GECKO 0860</t>
  </si>
  <si>
    <t xml:space="preserve">forresthe</t>
  </si>
  <si>
    <t xml:space="preserve">https://www.inaturalist.org/observations/331198239</t>
  </si>
  <si>
    <t xml:space="preserve">GECKO 0861</t>
  </si>
  <si>
    <t xml:space="preserve">micaela19720</t>
  </si>
  <si>
    <t xml:space="preserve">https://www.inaturalist.org/observations/330342641</t>
  </si>
  <si>
    <t xml:space="preserve">GECKO 0862</t>
  </si>
  <si>
    <t xml:space="preserve">aville</t>
  </si>
  <si>
    <t xml:space="preserve">https://www.inaturalist.org/observations/329831402</t>
  </si>
  <si>
    <t xml:space="preserve">GECKO 0863</t>
  </si>
  <si>
    <t xml:space="preserve">mariodriesen</t>
  </si>
  <si>
    <t xml:space="preserve">https://www.inaturalist.org/observations/328450451</t>
  </si>
  <si>
    <t xml:space="preserve">GECKO 0864</t>
  </si>
  <si>
    <t xml:space="preserve">womby</t>
  </si>
  <si>
    <t xml:space="preserve">https://www.inaturalist.org/observations/328336912</t>
  </si>
  <si>
    <t xml:space="preserve">GECKO 0865</t>
  </si>
  <si>
    <t xml:space="preserve">https://www.inaturalist.org/observations/327234193</t>
  </si>
  <si>
    <t xml:space="preserve">GECKO 0866</t>
  </si>
  <si>
    <t xml:space="preserve">https://www.inaturalist.org/observations/327064796</t>
  </si>
  <si>
    <t xml:space="preserve">GECKO 0867</t>
  </si>
  <si>
    <t xml:space="preserve">rreams</t>
  </si>
  <si>
    <t xml:space="preserve">https://www.inaturalist.org/observations/326733099</t>
  </si>
  <si>
    <t xml:space="preserve">GECKO 0868</t>
  </si>
  <si>
    <t xml:space="preserve">https://www.inaturalist.org/observations/326580710</t>
  </si>
  <si>
    <t xml:space="preserve">GECKO 0869</t>
  </si>
  <si>
    <t xml:space="preserve">https://www.inaturalist.org/observations/326169109</t>
  </si>
  <si>
    <t xml:space="preserve">GECKO 0870</t>
  </si>
  <si>
    <t xml:space="preserve">GECKO 0871</t>
  </si>
  <si>
    <t xml:space="preserve">emmafitzy</t>
  </si>
  <si>
    <t xml:space="preserve">https://www.inaturalist.org/observations/325975854</t>
  </si>
  <si>
    <t xml:space="preserve">GECKO 0872</t>
  </si>
  <si>
    <t xml:space="preserve">GECKO 0873</t>
  </si>
  <si>
    <t xml:space="preserve">GECKO 0874</t>
  </si>
  <si>
    <t xml:space="preserve">delanyd</t>
  </si>
  <si>
    <t xml:space="preserve">https://www.inaturalist.org/observations/325476231</t>
  </si>
  <si>
    <t xml:space="preserve">GECKO 0875</t>
  </si>
  <si>
    <t xml:space="preserve">GECKO 0876</t>
  </si>
  <si>
    <t xml:space="preserve">Nephrurus asper</t>
  </si>
  <si>
    <t xml:space="preserve">finnhall</t>
  </si>
  <si>
    <t xml:space="preserve">https://www.inaturalist.org/observations/371091163</t>
  </si>
  <si>
    <t xml:space="preserve">GECKO 0877</t>
  </si>
  <si>
    <t xml:space="preserve">boardy1</t>
  </si>
  <si>
    <t xml:space="preserve">https://www.inaturalist.org/observations/363898306</t>
  </si>
  <si>
    <t xml:space="preserve">GECKO 0878</t>
  </si>
  <si>
    <t xml:space="preserve">GECKO 0879</t>
  </si>
  <si>
    <t xml:space="preserve">gregory38317</t>
  </si>
  <si>
    <t xml:space="preserve">https://www.inaturalist.org/observations/359186652</t>
  </si>
  <si>
    <t xml:space="preserve">GECKO 0880</t>
  </si>
  <si>
    <t xml:space="preserve">jasvink</t>
  </si>
  <si>
    <t xml:space="preserve">https://www.inaturalist.org/observations/346475996</t>
  </si>
  <si>
    <t xml:space="preserve">GECKO 0881</t>
  </si>
  <si>
    <t xml:space="preserve">jackcaleo09</t>
  </si>
  <si>
    <t xml:space="preserve">https://www.inaturalist.org/observations/336443799</t>
  </si>
  <si>
    <t xml:space="preserve">GECKO 0882</t>
  </si>
  <si>
    <t xml:space="preserve">GECKO 0883</t>
  </si>
  <si>
    <t xml:space="preserve">narbethong</t>
  </si>
  <si>
    <t xml:space="preserve">https://www.inaturalist.org/observations/336050483</t>
  </si>
  <si>
    <t xml:space="preserve">GECKO 0884</t>
  </si>
  <si>
    <t xml:space="preserve">abiepatt</t>
  </si>
  <si>
    <t xml:space="preserve">https://www.inaturalist.org/observations/334324844</t>
  </si>
  <si>
    <t xml:space="preserve">GECKO 0885</t>
  </si>
  <si>
    <t xml:space="preserve">mick76663</t>
  </si>
  <si>
    <t xml:space="preserve">https://www.inaturalist.org/observations/331524662</t>
  </si>
  <si>
    <t xml:space="preserve">GECKO 0886</t>
  </si>
  <si>
    <t xml:space="preserve">GECKO 0887</t>
  </si>
  <si>
    <t xml:space="preserve">brother-nature</t>
  </si>
  <si>
    <t xml:space="preserve">https://www.inaturalist.org/observations/331183501</t>
  </si>
  <si>
    <t xml:space="preserve">GECKO 0888</t>
  </si>
  <si>
    <t xml:space="preserve">jeff55746</t>
  </si>
  <si>
    <t xml:space="preserve">https://www.inaturalist.org/observations/329366114</t>
  </si>
  <si>
    <t xml:space="preserve">GECKO 0889</t>
  </si>
  <si>
    <t xml:space="preserve">GECKO 0890</t>
  </si>
  <si>
    <t xml:space="preserve">faunabytes</t>
  </si>
  <si>
    <t xml:space="preserve">https://www.inaturalist.org/observations/322691668</t>
  </si>
  <si>
    <t xml:space="preserve">GECKO 0891</t>
  </si>
  <si>
    <t xml:space="preserve">GECKO 0892</t>
  </si>
  <si>
    <t xml:space="preserve">sophiemah</t>
  </si>
  <si>
    <t xml:space="preserve">https://www.inaturalist.org/observations/322564766</t>
  </si>
  <si>
    <t xml:space="preserve">GECKO 0893</t>
  </si>
  <si>
    <t xml:space="preserve">https://www.inaturalist.org/observations/314913365</t>
  </si>
  <si>
    <t xml:space="preserve">GECKO 0894</t>
  </si>
  <si>
    <t xml:space="preserve">lorcanmc</t>
  </si>
  <si>
    <t xml:space="preserve">https://www.inaturalist.org/observations/290831069</t>
  </si>
  <si>
    <t xml:space="preserve">GECKO 0895</t>
  </si>
  <si>
    <t xml:space="preserve">michael_chay_photography</t>
  </si>
  <si>
    <t xml:space="preserve">https://www.inaturalist.org/observations/290082030</t>
  </si>
  <si>
    <t xml:space="preserve">GECKO 0896</t>
  </si>
  <si>
    <t xml:space="preserve">rufusgrandis</t>
  </si>
  <si>
    <t xml:space="preserve">https://www.inaturalist.org/observations/286914236</t>
  </si>
  <si>
    <t xml:space="preserve">GECKO 0897</t>
  </si>
  <si>
    <t xml:space="preserve">GECKO 0898</t>
  </si>
  <si>
    <t xml:space="preserve">stephen_zozaya</t>
  </si>
  <si>
    <t xml:space="preserve">https://www.inaturalist.org/observations/276960750</t>
  </si>
  <si>
    <t xml:space="preserve">GECKO 0899</t>
  </si>
  <si>
    <t xml:space="preserve">braden1</t>
  </si>
  <si>
    <t xml:space="preserve">https://www.inaturalist.org/observations/273743917</t>
  </si>
  <si>
    <t xml:space="preserve">GECKO 0900</t>
  </si>
  <si>
    <t xml:space="preserve">https://www.inaturalist.org/observations/273414615</t>
  </si>
  <si>
    <t xml:space="preserve">GECKO 0901</t>
  </si>
  <si>
    <t xml:space="preserve">roxylaz</t>
  </si>
  <si>
    <t xml:space="preserve">https://www.inaturalist.org/observations/264667987</t>
  </si>
  <si>
    <t xml:space="preserve">GECKO 0902</t>
  </si>
  <si>
    <t xml:space="preserve">GECKO 0903</t>
  </si>
  <si>
    <t xml:space="preserve">camille10687</t>
  </si>
  <si>
    <t xml:space="preserve">https://www.inaturalist.org/observations/264467030</t>
  </si>
  <si>
    <t xml:space="preserve">GECKO 0904</t>
  </si>
  <si>
    <t xml:space="preserve">GECKO 0905</t>
  </si>
  <si>
    <t xml:space="preserve">beaustock350</t>
  </si>
  <si>
    <t xml:space="preserve">https://www.inaturalist.org/observations/258946011</t>
  </si>
  <si>
    <t xml:space="preserve">GECKO 0906</t>
  </si>
  <si>
    <t xml:space="preserve">brucewannan</t>
  </si>
  <si>
    <t xml:space="preserve">https://www.inaturalist.org/observations/256730297</t>
  </si>
  <si>
    <t xml:space="preserve">GECKO 0907</t>
  </si>
  <si>
    <t xml:space="preserve">lucaslego</t>
  </si>
  <si>
    <t xml:space="preserve">https://www.inaturalist.org/observations/256162286</t>
  </si>
  <si>
    <t xml:space="preserve">GECKO 0908</t>
  </si>
  <si>
    <t xml:space="preserve">GECKO 0909</t>
  </si>
  <si>
    <t xml:space="preserve">GECKO 0910</t>
  </si>
  <si>
    <t xml:space="preserve">indrabone</t>
  </si>
  <si>
    <t xml:space="preserve">https://www.inaturalist.org/observations/248034708</t>
  </si>
  <si>
    <t xml:space="preserve">GECKO 0911</t>
  </si>
  <si>
    <t xml:space="preserve">Nephrurus stellatus</t>
  </si>
  <si>
    <t xml:space="preserve">niamhdouglas</t>
  </si>
  <si>
    <t xml:space="preserve">https://www.inaturalist.org/observations/360536734</t>
  </si>
  <si>
    <t xml:space="preserve">GECKO 0912</t>
  </si>
  <si>
    <t xml:space="preserve">zebsphotography</t>
  </si>
  <si>
    <t xml:space="preserve">https://www.inaturalist.org/observations/348870546</t>
  </si>
  <si>
    <t xml:space="preserve">GECKO 0913</t>
  </si>
  <si>
    <t xml:space="preserve">GECKO 0914</t>
  </si>
  <si>
    <t xml:space="preserve">dusk38</t>
  </si>
  <si>
    <t xml:space="preserve">https://www.inaturalist.org/observations/343736768</t>
  </si>
  <si>
    <t xml:space="preserve">GECKO 0915</t>
  </si>
  <si>
    <t xml:space="preserve">GECKO 0916</t>
  </si>
  <si>
    <t xml:space="preserve">GECKO 0917</t>
  </si>
  <si>
    <t xml:space="preserve">chuditch</t>
  </si>
  <si>
    <t xml:space="preserve">https://www.inaturalist.org/observations/338870556</t>
  </si>
  <si>
    <t xml:space="preserve">GECKO 0918</t>
  </si>
  <si>
    <t xml:space="preserve">https://www.inaturalist.org/observations/330566457</t>
  </si>
  <si>
    <t xml:space="preserve">GECKO 0919</t>
  </si>
  <si>
    <t xml:space="preserve">https://www.inaturalist.org/observations/325462202</t>
  </si>
  <si>
    <t xml:space="preserve">GECKO 0920</t>
  </si>
  <si>
    <t xml:space="preserve">adrianuren</t>
  </si>
  <si>
    <t xml:space="preserve">https://www.inaturalist.org/observations/324321075</t>
  </si>
  <si>
    <t xml:space="preserve">GECKO 0921</t>
  </si>
  <si>
    <t xml:space="preserve">GECKO 0922</t>
  </si>
  <si>
    <t xml:space="preserve">GECKO 0923</t>
  </si>
  <si>
    <t xml:space="preserve">mbrobbins</t>
  </si>
  <si>
    <t xml:space="preserve">https://www.inaturalist.org/observations/321684336</t>
  </si>
  <si>
    <t xml:space="preserve">GECKO 0924</t>
  </si>
  <si>
    <t xml:space="preserve">GECKO 0925</t>
  </si>
  <si>
    <t xml:space="preserve">naturerichmond</t>
  </si>
  <si>
    <t xml:space="preserve">https://www.inaturalist.org/observations/302055528</t>
  </si>
  <si>
    <t xml:space="preserve">GECKO 0926</t>
  </si>
  <si>
    <t xml:space="preserve">GECKO 0927</t>
  </si>
  <si>
    <t xml:space="preserve">callani</t>
  </si>
  <si>
    <t xml:space="preserve">https://www.inaturalist.org/observations/277523984</t>
  </si>
  <si>
    <t xml:space="preserve">GECKO 0928</t>
  </si>
  <si>
    <t xml:space="preserve">nick_vine</t>
  </si>
  <si>
    <t xml:space="preserve">https://www.inaturalist.org/observations/265332905</t>
  </si>
  <si>
    <t xml:space="preserve">GECKO 0929</t>
  </si>
  <si>
    <t xml:space="preserve">jbilby</t>
  </si>
  <si>
    <t xml:space="preserve">https://www.inaturalist.org/observations/260597401</t>
  </si>
  <si>
    <t xml:space="preserve">GECKO 0930</t>
  </si>
  <si>
    <t xml:space="preserve">https://www.inaturalist.org/observations/257440460</t>
  </si>
  <si>
    <t xml:space="preserve">GECKO 0931</t>
  </si>
  <si>
    <t xml:space="preserve">jvanweenen</t>
  </si>
  <si>
    <t xml:space="preserve">https://www.inaturalist.org/observations/257414639</t>
  </si>
  <si>
    <t xml:space="preserve">GECKO 0932</t>
  </si>
  <si>
    <t xml:space="preserve">GECKO 0933</t>
  </si>
  <si>
    <t xml:space="preserve">GECKO 0934</t>
  </si>
  <si>
    <t xml:space="preserve">isaacclarey</t>
  </si>
  <si>
    <t xml:space="preserve">https://www.inaturalist.org/observations/257342001</t>
  </si>
  <si>
    <t xml:space="preserve">GECKO 0935</t>
  </si>
  <si>
    <t xml:space="preserve">GECKO 0936</t>
  </si>
  <si>
    <t xml:space="preserve">lilbobaggins19</t>
  </si>
  <si>
    <t xml:space="preserve">https://www.inaturalist.org/observations/257109044</t>
  </si>
  <si>
    <t xml:space="preserve">GECKO 0937</t>
  </si>
  <si>
    <t xml:space="preserve">GECKO 0938</t>
  </si>
  <si>
    <t xml:space="preserve">GECKO 0939</t>
  </si>
  <si>
    <t xml:space="preserve">eliap</t>
  </si>
  <si>
    <t xml:space="preserve">https://www.inaturalist.org/observations/250556550</t>
  </si>
  <si>
    <t xml:space="preserve">GECKO 0940</t>
  </si>
  <si>
    <t xml:space="preserve">GECKO 0941</t>
  </si>
  <si>
    <t xml:space="preserve">https://www.inaturalist.org/observations/250556515</t>
  </si>
  <si>
    <t xml:space="preserve">GECKO 0942</t>
  </si>
  <si>
    <t xml:space="preserve">GECKO 0943</t>
  </si>
  <si>
    <t xml:space="preserve">https://www.inaturalist.org/observations/204895490</t>
  </si>
  <si>
    <t xml:space="preserve">GECKO 0944</t>
  </si>
  <si>
    <t xml:space="preserve">GECKO 0945</t>
  </si>
  <si>
    <t xml:space="preserve">GECKO 0946</t>
  </si>
  <si>
    <t xml:space="preserve">Underwoodisaurus</t>
  </si>
  <si>
    <t xml:space="preserve">Underwoodisaurus milii</t>
  </si>
  <si>
    <t xml:space="preserve">hannahdc</t>
  </si>
  <si>
    <t xml:space="preserve">https://www.inaturalist.org/observations/379574224</t>
  </si>
  <si>
    <t xml:space="preserve">GECKO 0947</t>
  </si>
  <si>
    <t xml:space="preserve">GECKO 0948</t>
  </si>
  <si>
    <t xml:space="preserve">marshal451</t>
  </si>
  <si>
    <t xml:space="preserve">https://www.inaturalist.org/observations/378732559</t>
  </si>
  <si>
    <t xml:space="preserve">GECKO 0949</t>
  </si>
  <si>
    <t xml:space="preserve">kalec</t>
  </si>
  <si>
    <t xml:space="preserve">https://www.inaturalist.org/observations/376769909</t>
  </si>
  <si>
    <t xml:space="preserve">GECKO 0950</t>
  </si>
  <si>
    <t xml:space="preserve">sausagemahonie</t>
  </si>
  <si>
    <t xml:space="preserve">https://www.inaturalist.org/observations/373178100</t>
  </si>
  <si>
    <t xml:space="preserve">GECKO 0951</t>
  </si>
  <si>
    <t xml:space="preserve">GECKO 0952</t>
  </si>
  <si>
    <t xml:space="preserve">wandering_the_hills</t>
  </si>
  <si>
    <t xml:space="preserve">https://www.inaturalist.org/observations/372859067</t>
  </si>
  <si>
    <t xml:space="preserve">GECKO 0953</t>
  </si>
  <si>
    <t xml:space="preserve">mikrakov</t>
  </si>
  <si>
    <t xml:space="preserve">https://www.inaturalist.org/observations/372614411</t>
  </si>
  <si>
    <t xml:space="preserve">GECKO 0954</t>
  </si>
  <si>
    <t xml:space="preserve">samuel_beerkens</t>
  </si>
  <si>
    <t xml:space="preserve">https://www.inaturalist.org/observations/371872433</t>
  </si>
  <si>
    <t xml:space="preserve">GECKO 0955</t>
  </si>
  <si>
    <t xml:space="preserve">lana92247</t>
  </si>
  <si>
    <t xml:space="preserve">https://www.inaturalist.org/observations/370917264</t>
  </si>
  <si>
    <t xml:space="preserve">GECKO 0956</t>
  </si>
  <si>
    <t xml:space="preserve">GECKO 0957</t>
  </si>
  <si>
    <t xml:space="preserve">axeholmes</t>
  </si>
  <si>
    <t xml:space="preserve">https://www.inaturalist.org/observations/370317441</t>
  </si>
  <si>
    <t xml:space="preserve">GECKO 0958</t>
  </si>
  <si>
    <t xml:space="preserve">ba_damson</t>
  </si>
  <si>
    <t xml:space="preserve">https://www.inaturalist.org/observations/370008342</t>
  </si>
  <si>
    <t xml:space="preserve">GECKO 0959</t>
  </si>
  <si>
    <t xml:space="preserve">GECKO 0960</t>
  </si>
  <si>
    <t xml:space="preserve">waynechaffey</t>
  </si>
  <si>
    <t xml:space="preserve">https://www.inaturalist.org/observations/369634468</t>
  </si>
  <si>
    <t xml:space="preserve">GECKO 0961</t>
  </si>
  <si>
    <t xml:space="preserve">GECKO 0962</t>
  </si>
  <si>
    <t xml:space="preserve">asmolbugobserver</t>
  </si>
  <si>
    <t xml:space="preserve">https://www.inaturalist.org/observations/369601431</t>
  </si>
  <si>
    <t xml:space="preserve">GECKO 0963</t>
  </si>
  <si>
    <t xml:space="preserve">johnsear</t>
  </si>
  <si>
    <t xml:space="preserve">https://www.inaturalist.org/observations/367976771</t>
  </si>
  <si>
    <t xml:space="preserve">GECKO 0964</t>
  </si>
  <si>
    <t xml:space="preserve">helinurse</t>
  </si>
  <si>
    <t xml:space="preserve">https://www.inaturalist.org/observations/367948387</t>
  </si>
  <si>
    <t xml:space="preserve">GECKO 0965</t>
  </si>
  <si>
    <t xml:space="preserve">cladocalyx</t>
  </si>
  <si>
    <t xml:space="preserve">https://www.inaturalist.org/observations/366304174</t>
  </si>
  <si>
    <t xml:space="preserve">GECKO 0966</t>
  </si>
  <si>
    <t xml:space="preserve">snowdennis</t>
  </si>
  <si>
    <t xml:space="preserve">https://www.inaturalist.org/observations/366256617</t>
  </si>
  <si>
    <t xml:space="preserve">GECKO 0967</t>
  </si>
  <si>
    <t xml:space="preserve">https://www.inaturalist.org/observations/365904043</t>
  </si>
  <si>
    <t xml:space="preserve">GECKO 0968</t>
  </si>
  <si>
    <t xml:space="preserve">twohawk</t>
  </si>
  <si>
    <t xml:space="preserve">https://www.inaturalist.org/observations/365606196</t>
  </si>
  <si>
    <t xml:space="preserve">GECKO 0969</t>
  </si>
  <si>
    <t xml:space="preserve">mad_exotics_and_reptile_care</t>
  </si>
  <si>
    <t xml:space="preserve">https://www.inaturalist.org/observations/364479411</t>
  </si>
  <si>
    <t xml:space="preserve">GECKO 0970</t>
  </si>
  <si>
    <t xml:space="preserve">https://www.inaturalist.org/observations/364172304</t>
  </si>
  <si>
    <t xml:space="preserve">GECKO 0971</t>
  </si>
  <si>
    <t xml:space="preserve">johnlread</t>
  </si>
  <si>
    <t xml:space="preserve">https://www.inaturalist.org/observations/363931896</t>
  </si>
  <si>
    <t xml:space="preserve">GECKO 0972</t>
  </si>
  <si>
    <t xml:space="preserve">llllllllll</t>
  </si>
  <si>
    <t xml:space="preserve">https://www.inaturalist.org/observations/363800813</t>
  </si>
  <si>
    <t xml:space="preserve">GECKO 0973</t>
  </si>
  <si>
    <t xml:space="preserve">wa_island_havens</t>
  </si>
  <si>
    <t xml:space="preserve">https://www.inaturalist.org/observations/363293625</t>
  </si>
  <si>
    <t xml:space="preserve">GECKO 0974</t>
  </si>
  <si>
    <t xml:space="preserve">https://www.inaturalist.org/observations/362654963</t>
  </si>
  <si>
    <t xml:space="preserve">GECKO 0975</t>
  </si>
  <si>
    <t xml:space="preserve">igviljoen</t>
  </si>
  <si>
    <t xml:space="preserve">https://www.inaturalist.org/observations/361670731</t>
  </si>
  <si>
    <t xml:space="preserve">GECKO 0976</t>
  </si>
  <si>
    <t xml:space="preserve">GECKO 0977</t>
  </si>
  <si>
    <t xml:space="preserve">moose0505</t>
  </si>
  <si>
    <t xml:space="preserve">https://www.inaturalist.org/observations/361417198</t>
  </si>
  <si>
    <t xml:space="preserve">GECKO 0978</t>
  </si>
  <si>
    <t xml:space="preserve">j_beatts</t>
  </si>
  <si>
    <t xml:space="preserve">https://www.inaturalist.org/observations/361153219</t>
  </si>
  <si>
    <t xml:space="preserve">GECKO 0979</t>
  </si>
  <si>
    <t xml:space="preserve">https://www.inaturalist.org/observations/361085986</t>
  </si>
  <si>
    <t xml:space="preserve">GECKO 0980</t>
  </si>
  <si>
    <t xml:space="preserve">https://www.inaturalist.org/observations/360537324</t>
  </si>
  <si>
    <t xml:space="preserve">GECKO 0981</t>
  </si>
  <si>
    <t xml:space="preserve">Carphodactylus </t>
  </si>
  <si>
    <t xml:space="preserve">Carphodactylus laevis</t>
  </si>
  <si>
    <t xml:space="preserve">mashalevene</t>
  </si>
  <si>
    <t xml:space="preserve">https://www.inaturalist.org/observations/378727309</t>
  </si>
  <si>
    <t xml:space="preserve">GECKO 0982</t>
  </si>
  <si>
    <t xml:space="preserve">adahlby</t>
  </si>
  <si>
    <t xml:space="preserve">https://www.inaturalist.org/observations/368210274</t>
  </si>
  <si>
    <t xml:space="preserve">GECKO 0983</t>
  </si>
  <si>
    <t xml:space="preserve">kym1959</t>
  </si>
  <si>
    <t xml:space="preserve">https://www.inaturalist.org/observations/363495093</t>
  </si>
  <si>
    <t xml:space="preserve">GECKO 0984</t>
  </si>
  <si>
    <t xml:space="preserve">lread</t>
  </si>
  <si>
    <t xml:space="preserve">https://www.inaturalist.org/observations/362385283</t>
  </si>
  <si>
    <t xml:space="preserve">GECKO 0985</t>
  </si>
  <si>
    <t xml:space="preserve">rowt</t>
  </si>
  <si>
    <t xml:space="preserve">https://www.inaturalist.org/observations/360765054</t>
  </si>
  <si>
    <t xml:space="preserve">GECKO 0986</t>
  </si>
  <si>
    <t xml:space="preserve">https://www.inaturalist.org/observations/360712715</t>
  </si>
  <si>
    <t xml:space="preserve">GECKO 0987</t>
  </si>
  <si>
    <t xml:space="preserve">https://www.inaturalist.org/observations/360703494</t>
  </si>
  <si>
    <t xml:space="preserve">GECKO 0988</t>
  </si>
  <si>
    <t xml:space="preserve">meganslade96</t>
  </si>
  <si>
    <t xml:space="preserve">https://www.inaturalist.org/observations/346346126</t>
  </si>
  <si>
    <t xml:space="preserve">GECKO 0989</t>
  </si>
  <si>
    <t xml:space="preserve">peterwest</t>
  </si>
  <si>
    <t xml:space="preserve">https://www.inaturalist.org/observations/343967623</t>
  </si>
  <si>
    <t xml:space="preserve">GECKO 0990</t>
  </si>
  <si>
    <t xml:space="preserve">GECKO 0991</t>
  </si>
  <si>
    <t xml:space="preserve">chienyu1</t>
  </si>
  <si>
    <t xml:space="preserve">https://www.inaturalist.org/observations/342744757</t>
  </si>
  <si>
    <t xml:space="preserve">GECKO 0992</t>
  </si>
  <si>
    <t xml:space="preserve">samantha85628</t>
  </si>
  <si>
    <t xml:space="preserve">https://www.inaturalist.org/observations/341597581</t>
  </si>
  <si>
    <t xml:space="preserve">GECKO 0993</t>
  </si>
  <si>
    <t xml:space="preserve">mwhoran</t>
  </si>
  <si>
    <t xml:space="preserve">https://www.inaturalist.org/observations/339152837</t>
  </si>
  <si>
    <t xml:space="preserve">GECKO 0994</t>
  </si>
  <si>
    <t xml:space="preserve">rob12410</t>
  </si>
  <si>
    <t xml:space="preserve">https://www.inaturalist.org/observations/336730361</t>
  </si>
  <si>
    <t xml:space="preserve">GECKO 0995</t>
  </si>
  <si>
    <t xml:space="preserve">beccbbbec</t>
  </si>
  <si>
    <t xml:space="preserve">https://www.inaturalist.org/observations/336051427</t>
  </si>
  <si>
    <t xml:space="preserve">GECKO 0996</t>
  </si>
  <si>
    <t xml:space="preserve">lethalspread</t>
  </si>
  <si>
    <t xml:space="preserve">https://www.inaturalist.org/observations/335428205</t>
  </si>
  <si>
    <t xml:space="preserve">GECKO 0997</t>
  </si>
  <si>
    <t xml:space="preserve">https://www.inaturalist.org/observations/335427633</t>
  </si>
  <si>
    <t xml:space="preserve">GECKO 0998</t>
  </si>
  <si>
    <t xml:space="preserve">owenlishmund</t>
  </si>
  <si>
    <t xml:space="preserve">https://www.inaturalist.org/observations/330793944</t>
  </si>
  <si>
    <t xml:space="preserve">GECKO 0999</t>
  </si>
  <si>
    <t xml:space="preserve">https://www.inaturalist.org/observations/330793940</t>
  </si>
  <si>
    <t xml:space="preserve">GECKO 1000</t>
  </si>
  <si>
    <t xml:space="preserve">https://www.inaturalist.org/observations/330793933</t>
  </si>
  <si>
    <t xml:space="preserve">GECKO 1001</t>
  </si>
  <si>
    <t xml:space="preserve">https://www.inaturalist.org/observations/330793931</t>
  </si>
  <si>
    <t xml:space="preserve">GECKO 1002</t>
  </si>
  <si>
    <t xml:space="preserve">p35530</t>
  </si>
  <si>
    <t xml:space="preserve">https://www.inaturalist.org/observations/330694671</t>
  </si>
  <si>
    <t xml:space="preserve">GECKO 1003</t>
  </si>
  <si>
    <t xml:space="preserve">GECKO 1004</t>
  </si>
  <si>
    <t xml:space="preserve">rattus_magneticus</t>
  </si>
  <si>
    <t xml:space="preserve">https://www.inaturalist.org/observations/327984201</t>
  </si>
  <si>
    <t xml:space="preserve">GECKO 1005</t>
  </si>
  <si>
    <t xml:space="preserve">GECKO 1006</t>
  </si>
  <si>
    <t xml:space="preserve">GECKO 1007</t>
  </si>
  <si>
    <t xml:space="preserve">GECKO 1008</t>
  </si>
  <si>
    <t xml:space="preserve">nat_is_a_lost</t>
  </si>
  <si>
    <t xml:space="preserve">https://www.inaturalist.org/observations/327443298</t>
  </si>
  <si>
    <t xml:space="preserve">GECKO 1009</t>
  </si>
  <si>
    <t xml:space="preserve">https://www.inaturalist.org/observations/327033749</t>
  </si>
  <si>
    <t xml:space="preserve">GECKO 1010</t>
  </si>
  <si>
    <t xml:space="preserve">https://www.inaturalist.org/observations/326391831</t>
  </si>
  <si>
    <t xml:space="preserve">GECKO 1011</t>
  </si>
  <si>
    <t xml:space="preserve">GECKO 1012</t>
  </si>
  <si>
    <t xml:space="preserve">econeighbour_</t>
  </si>
  <si>
    <t xml:space="preserve">https://www.inaturalist.org/observations/326325537</t>
  </si>
  <si>
    <t xml:space="preserve">GECKO 1013</t>
  </si>
  <si>
    <t xml:space="preserve">https://www.inaturalist.org/observations/326325535</t>
  </si>
  <si>
    <t xml:space="preserve">GECKO 1014</t>
  </si>
  <si>
    <t xml:space="preserve">https://www.inaturalist.org/observations/326325529</t>
  </si>
  <si>
    <t xml:space="preserve">GECKO 1015</t>
  </si>
  <si>
    <t xml:space="preserve">https://www.inaturalist.org/observations/326325521</t>
  </si>
  <si>
    <t xml:space="preserve">GECKO 1016</t>
  </si>
  <si>
    <t xml:space="preserve">Uvidicolus</t>
  </si>
  <si>
    <t xml:space="preserve">Uvidicolus sphyrurus</t>
  </si>
  <si>
    <t xml:space="preserve">richardllewellyn</t>
  </si>
  <si>
    <t xml:space="preserve">https://www.inaturalist.org/observations/366555987</t>
  </si>
  <si>
    <t xml:space="preserve">GECKO 1017</t>
  </si>
  <si>
    <t xml:space="preserve">https://www.inaturalist.org/observations/348565322</t>
  </si>
  <si>
    <t xml:space="preserve">GECKO 1018</t>
  </si>
  <si>
    <t xml:space="preserve">GECKO 1019</t>
  </si>
  <si>
    <t xml:space="preserve">GECKO 1020</t>
  </si>
  <si>
    <t xml:space="preserve">GECKO 1021</t>
  </si>
  <si>
    <t xml:space="preserve">GECKO 1022</t>
  </si>
  <si>
    <t xml:space="preserve">sally364</t>
  </si>
  <si>
    <t xml:space="preserve">https://www.inaturalist.org/observations/347744842</t>
  </si>
  <si>
    <t xml:space="preserve">GECKO 1023</t>
  </si>
  <si>
    <t xml:space="preserve">GECKO 1024</t>
  </si>
  <si>
    <t xml:space="preserve">GECKO 1025</t>
  </si>
  <si>
    <t xml:space="preserve">GECKO 1026</t>
  </si>
  <si>
    <t xml:space="preserve">ross_coupland</t>
  </si>
  <si>
    <t xml:space="preserve">https://www.inaturalist.org/observations/340015516</t>
  </si>
  <si>
    <t xml:space="preserve">GECKO 1027</t>
  </si>
  <si>
    <t xml:space="preserve">gordon-loomberah</t>
  </si>
  <si>
    <t xml:space="preserve">https://www.inaturalist.org/observations/332560566</t>
  </si>
  <si>
    <t xml:space="preserve">GECKO 1028</t>
  </si>
  <si>
    <t xml:space="preserve">lisekool</t>
  </si>
  <si>
    <t xml:space="preserve">https://www.inaturalist.org/observations/321989121</t>
  </si>
  <si>
    <t xml:space="preserve">GECKO 1029</t>
  </si>
  <si>
    <t xml:space="preserve">springdalerd</t>
  </si>
  <si>
    <t xml:space="preserve">https://www.inaturalist.org/observations/264902592</t>
  </si>
  <si>
    <t xml:space="preserve">GECKO 1030</t>
  </si>
  <si>
    <t xml:space="preserve">petegrono</t>
  </si>
  <si>
    <t xml:space="preserve">https://www.inaturalist.org/observations/264641994</t>
  </si>
  <si>
    <t xml:space="preserve">GECKO 1031</t>
  </si>
  <si>
    <t xml:space="preserve">millyinthebush</t>
  </si>
  <si>
    <t xml:space="preserve">https://www.inaturalist.org/observations/257746991</t>
  </si>
  <si>
    <t xml:space="preserve">GECKO 1032</t>
  </si>
  <si>
    <t xml:space="preserve">GECKO 1033</t>
  </si>
  <si>
    <t xml:space="preserve">GECKO 1034</t>
  </si>
  <si>
    <t xml:space="preserve">oktaylor</t>
  </si>
  <si>
    <t xml:space="preserve">https://www.inaturalist.org/observations/254949059</t>
  </si>
  <si>
    <t xml:space="preserve">GECKO 1035</t>
  </si>
  <si>
    <t xml:space="preserve">GECKO 1036</t>
  </si>
  <si>
    <t xml:space="preserve">GECKO 1037</t>
  </si>
  <si>
    <t xml:space="preserve">GECKO 1038</t>
  </si>
  <si>
    <t xml:space="preserve">darren_fielder</t>
  </si>
  <si>
    <t xml:space="preserve">https://www.inaturalist.org/observations/248218135</t>
  </si>
  <si>
    <t xml:space="preserve">GECKO 1039</t>
  </si>
  <si>
    <t xml:space="preserve">GECKO 1040</t>
  </si>
  <si>
    <t xml:space="preserve">https://www.inaturalist.org/observations/248209312</t>
  </si>
  <si>
    <t xml:space="preserve">GECKO 1041</t>
  </si>
  <si>
    <t xml:space="preserve">GECKO 1042</t>
  </si>
  <si>
    <t xml:space="preserve">https://www.inaturalist.org/observations/247734148</t>
  </si>
  <si>
    <t xml:space="preserve">GECKO 1043</t>
  </si>
  <si>
    <t xml:space="preserve">https://www.inaturalist.org/observations/247291762</t>
  </si>
  <si>
    <t xml:space="preserve">GECKO 1044</t>
  </si>
  <si>
    <t xml:space="preserve">GECKO 1045</t>
  </si>
  <si>
    <t xml:space="preserve">https://www.inaturalist.org/observations/202895610</t>
  </si>
  <si>
    <t xml:space="preserve">GECKO 1046</t>
  </si>
  <si>
    <t xml:space="preserve">GECKO 1047</t>
  </si>
  <si>
    <t xml:space="preserve">Oedura</t>
  </si>
  <si>
    <t xml:space="preserve">Oedura tryoni</t>
  </si>
  <si>
    <t xml:space="preserve">lintukoto</t>
  </si>
  <si>
    <t xml:space="preserve">https://www.inaturalist.org/observations/385009141</t>
  </si>
  <si>
    <t xml:space="preserve">GECKO 1048</t>
  </si>
  <si>
    <t xml:space="preserve">https://www.inaturalist.org/observations/187741008</t>
  </si>
  <si>
    <t xml:space="preserve">GECKO 1049</t>
  </si>
  <si>
    <t xml:space="preserve">spookpadda</t>
  </si>
  <si>
    <t xml:space="preserve">https://www.inaturalist.org/observations/147857440</t>
  </si>
  <si>
    <t xml:space="preserve">GECKO 1050</t>
  </si>
  <si>
    <t xml:space="preserve">GECKO 1051</t>
  </si>
  <si>
    <t xml:space="preserve">Phyllurus</t>
  </si>
  <si>
    <t xml:space="preserve">Phyllurus platurus</t>
  </si>
  <si>
    <t xml:space="preserve">superbum2</t>
  </si>
  <si>
    <t xml:space="preserve">https://www.inaturalist.org/observations/379055040</t>
  </si>
  <si>
    <t xml:space="preserve">GECKO 1052</t>
  </si>
  <si>
    <t xml:space="preserve">angusf</t>
  </si>
  <si>
    <t xml:space="preserve">https://www.inaturalist.org/observations/378992418</t>
  </si>
  <si>
    <t xml:space="preserve">GECKO 1053</t>
  </si>
  <si>
    <t xml:space="preserve">pin_</t>
  </si>
  <si>
    <t xml:space="preserve">https://www.inaturalist.org/observations/377418539</t>
  </si>
  <si>
    <t xml:space="preserve">GECKO 1054</t>
  </si>
  <si>
    <t xml:space="preserve">elysia_desille</t>
  </si>
  <si>
    <t xml:space="preserve">https://www.inaturalist.org/observations/375726835</t>
  </si>
  <si>
    <t xml:space="preserve">GECKO 1055</t>
  </si>
  <si>
    <t xml:space="preserve">jennytathome</t>
  </si>
  <si>
    <t xml:space="preserve">https://www.inaturalist.org/observations/375437013</t>
  </si>
  <si>
    <t xml:space="preserve">GECKO 1056</t>
  </si>
  <si>
    <t xml:space="preserve">bellack</t>
  </si>
  <si>
    <t xml:space="preserve">https://www.inaturalist.org/observations/374514673</t>
  </si>
  <si>
    <t xml:space="preserve">GECKO 1057</t>
  </si>
  <si>
    <t xml:space="preserve">jesbarbz</t>
  </si>
  <si>
    <t xml:space="preserve">https://www.inaturalist.org/observations/373509166</t>
  </si>
  <si>
    <t xml:space="preserve">GECKO 1058</t>
  </si>
  <si>
    <t xml:space="preserve">bargosnows</t>
  </si>
  <si>
    <t xml:space="preserve">https://www.inaturalist.org/observations/373124095</t>
  </si>
  <si>
    <t xml:space="preserve">GECKO 1059</t>
  </si>
  <si>
    <t xml:space="preserve">jackwoodswildlife</t>
  </si>
  <si>
    <t xml:space="preserve">https://www.inaturalist.org/observations/369570748</t>
  </si>
  <si>
    <t xml:space="preserve">GECKO 1060</t>
  </si>
  <si>
    <t xml:space="preserve">pkelgren</t>
  </si>
  <si>
    <t xml:space="preserve">https://www.inaturalist.org/observations/369557632</t>
  </si>
  <si>
    <t xml:space="preserve">GECKO 1061</t>
  </si>
  <si>
    <t xml:space="preserve">donglerthrongler</t>
  </si>
  <si>
    <t xml:space="preserve">https://www.inaturalist.org/observations/366511137</t>
  </si>
  <si>
    <t xml:space="preserve">GECKO 1062</t>
  </si>
  <si>
    <t xml:space="preserve">bpscicada</t>
  </si>
  <si>
    <t xml:space="preserve">https://www.inaturalist.org/observations/366317439</t>
  </si>
  <si>
    <t xml:space="preserve">GECKO 1063</t>
  </si>
  <si>
    <t xml:space="preserve">jhd_australia</t>
  </si>
  <si>
    <t xml:space="preserve">https://www.inaturalist.org/observations/365961598</t>
  </si>
  <si>
    <t xml:space="preserve">GECKO 1064</t>
  </si>
  <si>
    <t xml:space="preserve">GECKO 1065</t>
  </si>
  <si>
    <t xml:space="preserve">GECKO 1066</t>
  </si>
  <si>
    <t xml:space="preserve">purplesneakers</t>
  </si>
  <si>
    <t xml:space="preserve">https://www.inaturalist.org/observations/365960182</t>
  </si>
  <si>
    <t xml:space="preserve">GECKO 1067</t>
  </si>
  <si>
    <t xml:space="preserve">alexmsc</t>
  </si>
  <si>
    <t xml:space="preserve">https://www.inaturalist.org/observations/365899350</t>
  </si>
  <si>
    <t xml:space="preserve">GECKO 1068</t>
  </si>
  <si>
    <t xml:space="preserve">jess11107</t>
  </si>
  <si>
    <t xml:space="preserve">https://www.inaturalist.org/observations/365510710</t>
  </si>
  <si>
    <t xml:space="preserve">GECKO 1069</t>
  </si>
  <si>
    <t xml:space="preserve">sije</t>
  </si>
  <si>
    <t xml:space="preserve">https://www.inaturalist.org/observations/365367395</t>
  </si>
  <si>
    <t xml:space="preserve">GECKO 1070</t>
  </si>
  <si>
    <t xml:space="preserve">https://www.inaturalist.org/observations/365367370</t>
  </si>
  <si>
    <t xml:space="preserve">GECKO 1071</t>
  </si>
  <si>
    <t xml:space="preserve">chris16887</t>
  </si>
  <si>
    <t xml:space="preserve">https://www.inaturalist.org/observations/365016910</t>
  </si>
  <si>
    <t xml:space="preserve">GECKO 1072</t>
  </si>
  <si>
    <t xml:space="preserve">jilllist</t>
  </si>
  <si>
    <t xml:space="preserve">https://www.inaturalist.org/observations/364594183</t>
  </si>
  <si>
    <t xml:space="preserve">GECKO 1073</t>
  </si>
  <si>
    <t xml:space="preserve">beckie_gee</t>
  </si>
  <si>
    <t xml:space="preserve">https://www.inaturalist.org/observations/364242410</t>
  </si>
  <si>
    <t xml:space="preserve">GECKO 1074</t>
  </si>
  <si>
    <t xml:space="preserve">meygels</t>
  </si>
  <si>
    <t xml:space="preserve">https://www.inaturalist.org/observations/363302317</t>
  </si>
  <si>
    <t xml:space="preserve">GECKO 1075</t>
  </si>
  <si>
    <t xml:space="preserve">aussiemarg</t>
  </si>
  <si>
    <t xml:space="preserve">https://www.inaturalist.org/observations/362717668</t>
  </si>
  <si>
    <t xml:space="preserve">GECKO 1076</t>
  </si>
  <si>
    <t xml:space="preserve">jamesjosephroberts</t>
  </si>
  <si>
    <t xml:space="preserve">https://www.inaturalist.org/observations/362264514</t>
  </si>
  <si>
    <t xml:space="preserve">GECKO 1077</t>
  </si>
  <si>
    <t xml:space="preserve">almaandalan</t>
  </si>
  <si>
    <t xml:space="preserve">https://www.inaturalist.org/observations/362186510</t>
  </si>
  <si>
    <t xml:space="preserve">GECKO 1078</t>
  </si>
  <si>
    <t xml:space="preserve">https://www.inaturalist.org/observations/361964389</t>
  </si>
  <si>
    <t xml:space="preserve">GECKO 1079</t>
  </si>
  <si>
    <t xml:space="preserve">chrissie-ids</t>
  </si>
  <si>
    <t xml:space="preserve">https://www.inaturalist.org/observations/361613229</t>
  </si>
  <si>
    <t xml:space="preserve">GECKO 1080</t>
  </si>
  <si>
    <t xml:space="preserve">nutsaboutplants</t>
  </si>
  <si>
    <t xml:space="preserve">https://www.inaturalist.org/observations/361571368</t>
  </si>
  <si>
    <t xml:space="preserve">GECKO 1081</t>
  </si>
  <si>
    <t xml:space="preserve">veliidae</t>
  </si>
  <si>
    <t xml:space="preserve">https://www.inaturalist.org/observations/361549020</t>
  </si>
  <si>
    <t xml:space="preserve">GECKO 1082</t>
  </si>
  <si>
    <t xml:space="preserve">joshua38131</t>
  </si>
  <si>
    <t xml:space="preserve">https://www.inaturalist.org/observations/361063647</t>
  </si>
  <si>
    <t xml:space="preserve">GECKO 1083</t>
  </si>
  <si>
    <t xml:space="preserve">scib123</t>
  </si>
  <si>
    <t xml:space="preserve">https://www.inaturalist.org/observations/360836994</t>
  </si>
  <si>
    <t xml:space="preserve">GECKO 1084</t>
  </si>
  <si>
    <t xml:space="preserve">littledino</t>
  </si>
  <si>
    <t xml:space="preserve">https://www.inaturalist.org/observations/360835082</t>
  </si>
  <si>
    <t xml:space="preserve">GECKO 1085</t>
  </si>
  <si>
    <t xml:space="preserve">andrewpavlov</t>
  </si>
  <si>
    <t xml:space="preserve">https://www.inaturalist.org/observations/360542359</t>
  </si>
  <si>
    <t xml:space="preserve">GECKO 1086</t>
  </si>
  <si>
    <t xml:space="preserve">Phyllurus nepthys</t>
  </si>
  <si>
    <t xml:space="preserve">https://www.inaturalist.org/observations/367915983</t>
  </si>
  <si>
    <t xml:space="preserve">GECKO 1087</t>
  </si>
  <si>
    <t xml:space="preserve">gjn</t>
  </si>
  <si>
    <t xml:space="preserve">https://www.inaturalist.org/observations/362257718</t>
  </si>
  <si>
    <t xml:space="preserve">GECKO 1088</t>
  </si>
  <si>
    <t xml:space="preserve">GECKO 1089</t>
  </si>
  <si>
    <t xml:space="preserve">wyliecath</t>
  </si>
  <si>
    <t xml:space="preserve">https://www.inaturalist.org/observations/360466833</t>
  </si>
  <si>
    <t xml:space="preserve">GECKO 1090</t>
  </si>
  <si>
    <t xml:space="preserve">anniesn</t>
  </si>
  <si>
    <t xml:space="preserve">https://www.inaturalist.org/observations/359131393</t>
  </si>
  <si>
    <t xml:space="preserve">GECKO 1091</t>
  </si>
  <si>
    <t xml:space="preserve">https://www.inaturalist.org/observations/340761369</t>
  </si>
  <si>
    <t xml:space="preserve">GECKO 1092</t>
  </si>
  <si>
    <t xml:space="preserve">gratitude888</t>
  </si>
  <si>
    <t xml:space="preserve">https://www.inaturalist.org/observations/296364852</t>
  </si>
  <si>
    <t xml:space="preserve">GECKO 1093</t>
  </si>
  <si>
    <t xml:space="preserve">GECKO 1094</t>
  </si>
  <si>
    <t xml:space="preserve">cannon_family</t>
  </si>
  <si>
    <t xml:space="preserve">https://www.inaturalist.org/observations/288136534</t>
  </si>
  <si>
    <t xml:space="preserve">GECKO 1095</t>
  </si>
  <si>
    <t xml:space="preserve">alexdaviesz</t>
  </si>
  <si>
    <t xml:space="preserve">https://www.inaturalist.org/observations/284437006</t>
  </si>
  <si>
    <t xml:space="preserve">GECKO 1096</t>
  </si>
  <si>
    <t xml:space="preserve">ijacopo</t>
  </si>
  <si>
    <t xml:space="preserve">https://www.inaturalist.org/observations/266838103</t>
  </si>
  <si>
    <t xml:space="preserve">GECKO 1097</t>
  </si>
  <si>
    <t xml:space="preserve">twooldies</t>
  </si>
  <si>
    <t xml:space="preserve">https://www.inaturalist.org/observations/260563268</t>
  </si>
  <si>
    <t xml:space="preserve">GECKO 1098</t>
  </si>
  <si>
    <t xml:space="preserve">https://www.inaturalist.org/observations/260185658</t>
  </si>
  <si>
    <t xml:space="preserve">GECKO 1099</t>
  </si>
  <si>
    <t xml:space="preserve">https://www.inaturalist.org/observations/252843117</t>
  </si>
  <si>
    <t xml:space="preserve">GECKO 1100</t>
  </si>
  <si>
    <t xml:space="preserve">beaniana08</t>
  </si>
  <si>
    <t xml:space="preserve">https://www.inaturalist.org/observations/251484849</t>
  </si>
  <si>
    <t xml:space="preserve">GECKO 1101</t>
  </si>
  <si>
    <t xml:space="preserve">https://www.inaturalist.org/observations/251484848</t>
  </si>
  <si>
    <t xml:space="preserve">GECKO 1102</t>
  </si>
  <si>
    <t xml:space="preserve">GECKO 1103</t>
  </si>
  <si>
    <t xml:space="preserve">https://www.inaturalist.org/observations/251484844</t>
  </si>
  <si>
    <t xml:space="preserve">GECKO 1104</t>
  </si>
  <si>
    <t xml:space="preserve">https://www.inaturalist.org/observations/251484841</t>
  </si>
  <si>
    <t xml:space="preserve">GECKO 1105</t>
  </si>
  <si>
    <t xml:space="preserve">https://www.inaturalist.org/observations/251484840</t>
  </si>
  <si>
    <t xml:space="preserve">GECKO 1106</t>
  </si>
  <si>
    <t xml:space="preserve">https://www.inaturalist.org/observations/251484838</t>
  </si>
  <si>
    <t xml:space="preserve">GECKO 1107</t>
  </si>
  <si>
    <t xml:space="preserve">https://www.inaturalist.org/observations/246214906</t>
  </si>
  <si>
    <t xml:space="preserve">GECKO 1108</t>
  </si>
  <si>
    <t xml:space="preserve">gabsun</t>
  </si>
  <si>
    <t xml:space="preserve">https://www.inaturalist.org/observations/218865723</t>
  </si>
  <si>
    <t xml:space="preserve">GECKO 1109</t>
  </si>
  <si>
    <t xml:space="preserve">GECKO 1110</t>
  </si>
  <si>
    <t xml:space="preserve">GECKO 1111</t>
  </si>
  <si>
    <t xml:space="preserve">trakka53</t>
  </si>
  <si>
    <t xml:space="preserve">https://www.inaturalist.org/observations/215674256</t>
  </si>
  <si>
    <t xml:space="preserve">GECKO 1112</t>
  </si>
  <si>
    <t xml:space="preserve">https://www.inaturalist.org/observations/214752263</t>
  </si>
  <si>
    <t xml:space="preserve">GECKO 1113</t>
  </si>
  <si>
    <t xml:space="preserve">GECKO 1114</t>
  </si>
  <si>
    <t xml:space="preserve">wildflowergirl</t>
  </si>
  <si>
    <t xml:space="preserve">https://www.inaturalist.org/observations/387355244</t>
  </si>
  <si>
    <t xml:space="preserve">GECKO 1115</t>
  </si>
  <si>
    <t xml:space="preserve">ethanmoon</t>
  </si>
  <si>
    <t xml:space="preserve">https://www.inaturalist.org/observations/195427296</t>
  </si>
  <si>
    <t xml:space="preserve">GECKO 1116</t>
  </si>
  <si>
    <t xml:space="preserve">lucegoose</t>
  </si>
  <si>
    <t xml:space="preserve">https://www.inaturalist.org/observations/193295887</t>
  </si>
  <si>
    <t xml:space="preserve">GECKO 1117</t>
  </si>
  <si>
    <t xml:space="preserve">GECKO 1118</t>
  </si>
  <si>
    <t xml:space="preserve">jordan_a_mulder</t>
  </si>
  <si>
    <t xml:space="preserve">https://www.inaturalist.org/observations/192910066</t>
  </si>
  <si>
    <t xml:space="preserve">GECKO 1119</t>
  </si>
  <si>
    <t xml:space="preserve">https://www.inaturalist.org/observations/157536042</t>
  </si>
  <si>
    <t xml:space="preserve">GECKO 1120</t>
  </si>
  <si>
    <t xml:space="preserve">jonpleizier</t>
  </si>
  <si>
    <t xml:space="preserve">https://www.inaturalist.org/observations/150243214</t>
  </si>
  <si>
    <t xml:space="preserve">GECKO 1121</t>
  </si>
  <si>
    <t xml:space="preserve">Saltuarius</t>
  </si>
  <si>
    <t xml:space="preserve">Saltuarius wyberba</t>
  </si>
  <si>
    <t xml:space="preserve">lizsnow</t>
  </si>
  <si>
    <t xml:space="preserve">https://www.inaturalist.org/observations/339411495</t>
  </si>
  <si>
    <t xml:space="preserve">GECKO 1122</t>
  </si>
  <si>
    <t xml:space="preserve">https://www.inaturalist.org/observations/337784298</t>
  </si>
  <si>
    <t xml:space="preserve">GECKO 1123</t>
  </si>
  <si>
    <t xml:space="preserve">ray_turnbull</t>
  </si>
  <si>
    <t xml:space="preserve">https://www.inaturalist.org/observations/336326636</t>
  </si>
  <si>
    <t xml:space="preserve">GECKO 1124</t>
  </si>
  <si>
    <t xml:space="preserve">https://www.inaturalist.org/observations/336030696</t>
  </si>
  <si>
    <t xml:space="preserve">GECKO 1125</t>
  </si>
  <si>
    <t xml:space="preserve">https://www.inaturalist.org/observations/336030692</t>
  </si>
  <si>
    <t xml:space="preserve">GECKO 1126</t>
  </si>
  <si>
    <t xml:space="preserve">margot_oorebeek</t>
  </si>
  <si>
    <t xml:space="preserve">https://www.inaturalist.org/observations/335690524</t>
  </si>
  <si>
    <t xml:space="preserve">GECKO 1127</t>
  </si>
  <si>
    <t xml:space="preserve">GECKO 1128</t>
  </si>
  <si>
    <t xml:space="preserve">kevinrothschild</t>
  </si>
  <si>
    <t xml:space="preserve">https://www.inaturalist.org/observations/333660428</t>
  </si>
  <si>
    <t xml:space="preserve">GECKO 1129</t>
  </si>
  <si>
    <t xml:space="preserve">https://www.inaturalist.org/observations/333541823</t>
  </si>
  <si>
    <t xml:space="preserve">GECKO 1130</t>
  </si>
  <si>
    <t xml:space="preserve">jacquirc</t>
  </si>
  <si>
    <t xml:space="preserve">https://www.inaturalist.org/observations/332816056</t>
  </si>
  <si>
    <t xml:space="preserve">GECKO 1131</t>
  </si>
  <si>
    <t xml:space="preserve">GECKO 1132</t>
  </si>
  <si>
    <t xml:space="preserve">lachlan_harriman</t>
  </si>
  <si>
    <t xml:space="preserve">https://www.inaturalist.org/observations/332561889</t>
  </si>
  <si>
    <t xml:space="preserve">GECKO 1133</t>
  </si>
  <si>
    <t xml:space="preserve">https://www.inaturalist.org/observations/332561885</t>
  </si>
  <si>
    <t xml:space="preserve">GECKO 1134</t>
  </si>
  <si>
    <t xml:space="preserve">boogman</t>
  </si>
  <si>
    <t xml:space="preserve">https://www.inaturalist.org/observations/332355352</t>
  </si>
  <si>
    <t xml:space="preserve">GECKO 1135</t>
  </si>
  <si>
    <t xml:space="preserve">https://www.inaturalist.org/observations/332355177</t>
  </si>
  <si>
    <t xml:space="preserve">GECKO 1136</t>
  </si>
  <si>
    <t xml:space="preserve">https://www.inaturalist.org/observations/332354991</t>
  </si>
  <si>
    <t xml:space="preserve">GECKO 1137</t>
  </si>
  <si>
    <t xml:space="preserve">https://www.inaturalist.org/observations/327827839</t>
  </si>
  <si>
    <t xml:space="preserve">GECKO 1138</t>
  </si>
  <si>
    <t xml:space="preserve">GECKO 1139</t>
  </si>
  <si>
    <t xml:space="preserve">https://www.inaturalist.org/observations/327827838</t>
  </si>
  <si>
    <t xml:space="preserve">GECKO 1140</t>
  </si>
  <si>
    <t xml:space="preserve">sebastian_frank</t>
  </si>
  <si>
    <t xml:space="preserve">https://www.inaturalist.org/observations/326114730</t>
  </si>
  <si>
    <t xml:space="preserve">GECKO 1141</t>
  </si>
  <si>
    <t xml:space="preserve">https://www.inaturalist.org/observations/326103301</t>
  </si>
  <si>
    <t xml:space="preserve">GECKO 1142</t>
  </si>
  <si>
    <t xml:space="preserve">https://www.inaturalist.org/observations/326091707</t>
  </si>
  <si>
    <t xml:space="preserve">GECKO 1143</t>
  </si>
  <si>
    <t xml:space="preserve">https://www.inaturalist.org/observations/326091624</t>
  </si>
  <si>
    <t xml:space="preserve">GECKO 1144</t>
  </si>
  <si>
    <t xml:space="preserve">https://www.inaturalist.org/observations/325609489</t>
  </si>
  <si>
    <t xml:space="preserve">GECKO 1145</t>
  </si>
  <si>
    <t xml:space="preserve">willjmatthews04</t>
  </si>
  <si>
    <t xml:space="preserve">https://www.inaturalist.org/observations/317940587</t>
  </si>
  <si>
    <t xml:space="preserve">GECKO 1146</t>
  </si>
  <si>
    <t xml:space="preserve">GECKO 1147</t>
  </si>
  <si>
    <t xml:space="preserve">riki_paleatus</t>
  </si>
  <si>
    <t xml:space="preserve">https://www.inaturalist.org/observations/317927106</t>
  </si>
  <si>
    <t xml:space="preserve">GECKO 1148</t>
  </si>
  <si>
    <t xml:space="preserve">GECKO 1149</t>
  </si>
  <si>
    <t xml:space="preserve">GECKO 1150</t>
  </si>
  <si>
    <t xml:space="preserve">jusarm</t>
  </si>
  <si>
    <t xml:space="preserve">https://www.inaturalist.org/observations/316716141</t>
  </si>
  <si>
    <t xml:space="preserve">GECKO 1151</t>
  </si>
  <si>
    <t xml:space="preserve">https://www.inaturalist.org/observations/317940860</t>
  </si>
  <si>
    <t xml:space="preserve">GECKO 1152</t>
  </si>
  <si>
    <t xml:space="preserve">https://www.inaturalist.org/observations/325609485</t>
  </si>
  <si>
    <t xml:space="preserve">GECKO 1153</t>
  </si>
  <si>
    <t xml:space="preserve">GECKO 1154</t>
  </si>
  <si>
    <t xml:space="preserve">GECKO 1155</t>
  </si>
  <si>
    <t xml:space="preserve">trachyrhynchus</t>
  </si>
  <si>
    <t xml:space="preserve">https://www.inaturalist.org/observations/325864236</t>
  </si>
  <si>
    <t xml:space="preserve">GECKO 1156</t>
  </si>
  <si>
    <t xml:space="preserve">Saltuarius cornutus</t>
  </si>
  <si>
    <t xml:space="preserve">mypatchofheaven</t>
  </si>
  <si>
    <t xml:space="preserve">https://www.inaturalist.org/observations/379919265</t>
  </si>
  <si>
    <t xml:space="preserve">GECKO 1157</t>
  </si>
  <si>
    <t xml:space="preserve">https://www.inaturalist.org/observations/379531004</t>
  </si>
  <si>
    <t xml:space="preserve">GECKO 1158</t>
  </si>
  <si>
    <t xml:space="preserve">https://www.inaturalist.org/observations/373510554</t>
  </si>
  <si>
    <t xml:space="preserve">GECKO 1159</t>
  </si>
  <si>
    <t xml:space="preserve">chapmanexplores</t>
  </si>
  <si>
    <t xml:space="preserve">https://www.inaturalist.org/observations/377125358</t>
  </si>
  <si>
    <t xml:space="preserve">GECKO 1160</t>
  </si>
  <si>
    <t xml:space="preserve">https://www.inaturalist.org/observations/370877560</t>
  </si>
  <si>
    <t xml:space="preserve">GECKO 1161</t>
  </si>
  <si>
    <t xml:space="preserve">crocattackdatabase</t>
  </si>
  <si>
    <t xml:space="preserve">https://www.inaturalist.org/observations/370015935</t>
  </si>
  <si>
    <t xml:space="preserve">GECKO 1162</t>
  </si>
  <si>
    <t xml:space="preserve">https://www.inaturalist.org/observations/370015930</t>
  </si>
  <si>
    <t xml:space="preserve">GECKO 1163</t>
  </si>
  <si>
    <t xml:space="preserve">https://www.inaturalist.org/observations/367693933</t>
  </si>
  <si>
    <t xml:space="preserve">GECKO 1164</t>
  </si>
  <si>
    <t xml:space="preserve">https://www.inaturalist.org/observations/367390495</t>
  </si>
  <si>
    <t xml:space="preserve">GECKO 1165</t>
  </si>
  <si>
    <t xml:space="preserve">walkersnakewrangler</t>
  </si>
  <si>
    <t xml:space="preserve">https://www.inaturalist.org/observations/366997614</t>
  </si>
  <si>
    <t xml:space="preserve">GECKO 1166</t>
  </si>
  <si>
    <t xml:space="preserve">https://www.inaturalist.org/observations/362650291</t>
  </si>
  <si>
    <t xml:space="preserve">GECKO 1167</t>
  </si>
  <si>
    <t xml:space="preserve">chloedmonte</t>
  </si>
  <si>
    <t xml:space="preserve">https://www.inaturalist.org/observations/361558604</t>
  </si>
  <si>
    <t xml:space="preserve">GECKO 1168</t>
  </si>
  <si>
    <t xml:space="preserve">https://www.inaturalist.org/observations/361416818</t>
  </si>
  <si>
    <t xml:space="preserve">GECKO 1169</t>
  </si>
  <si>
    <t xml:space="preserve">sharaya_summers</t>
  </si>
  <si>
    <t xml:space="preserve">https://www.inaturalist.org/observations/361140554</t>
  </si>
  <si>
    <t xml:space="preserve">GECKO 1170</t>
  </si>
  <si>
    <t xml:space="preserve">https://www.inaturalist.org/observations/360595270</t>
  </si>
  <si>
    <t xml:space="preserve">GECKO 1171</t>
  </si>
  <si>
    <t xml:space="preserve">GECKO 1172</t>
  </si>
  <si>
    <t xml:space="preserve">https://www.inaturalist.org/observations/360565950</t>
  </si>
  <si>
    <t xml:space="preserve">GECKO 1173</t>
  </si>
  <si>
    <t xml:space="preserve">ruth_huckstepp</t>
  </si>
  <si>
    <t xml:space="preserve">https://www.inaturalist.org/observations/360389410</t>
  </si>
  <si>
    <t xml:space="preserve">GECKO 1174</t>
  </si>
  <si>
    <t xml:space="preserve">littlebrownskink</t>
  </si>
  <si>
    <t xml:space="preserve">https://www.inaturalist.org/observations/359862290</t>
  </si>
  <si>
    <t xml:space="preserve">GECKO 1175</t>
  </si>
  <si>
    <t xml:space="preserve">georgiabishop__</t>
  </si>
  <si>
    <t xml:space="preserve">https://www.inaturalist.org/observations/355100985</t>
  </si>
  <si>
    <t xml:space="preserve">GECKO 1176</t>
  </si>
  <si>
    <t xml:space="preserve">darcy_roeger</t>
  </si>
  <si>
    <t xml:space="preserve">https://www.inaturalist.org/observations/352454053</t>
  </si>
  <si>
    <t xml:space="preserve">GECKO 1177</t>
  </si>
  <si>
    <t xml:space="preserve">inaturalist-arthur</t>
  </si>
  <si>
    <t xml:space="preserve">https://www.inaturalist.org/observations/349332959</t>
  </si>
  <si>
    <t xml:space="preserve">GECKO 1178</t>
  </si>
  <si>
    <t xml:space="preserve">https://www.inaturalist.org/observations/344648096</t>
  </si>
  <si>
    <t xml:space="preserve">GECKO 1179</t>
  </si>
  <si>
    <t xml:space="preserve">https://www.inaturalist.org/observations/342744749</t>
  </si>
  <si>
    <t xml:space="preserve">GECKO 1180</t>
  </si>
  <si>
    <t xml:space="preserve">https://www.inaturalist.org/observations/342685671</t>
  </si>
  <si>
    <t xml:space="preserve">GECKO 1181</t>
  </si>
  <si>
    <t xml:space="preserve">https://www.inaturalist.org/observations/342573703</t>
  </si>
  <si>
    <t xml:space="preserve">GECKO 1182</t>
  </si>
  <si>
    <t xml:space="preserve">https://www.inaturalist.org/observations/379306451</t>
  </si>
  <si>
    <t xml:space="preserve">GECKO 1183</t>
  </si>
  <si>
    <t xml:space="preserve">https://www.inaturalist.org/observations/379306449</t>
  </si>
  <si>
    <t xml:space="preserve">GECKO 1184</t>
  </si>
  <si>
    <t xml:space="preserve">leahjohnston_wildlife</t>
  </si>
  <si>
    <t xml:space="preserve">https://www.inaturalist.org/observations/378723964</t>
  </si>
  <si>
    <t xml:space="preserve">GECKO 1185</t>
  </si>
  <si>
    <t xml:space="preserve">GECKO 1186</t>
  </si>
  <si>
    <t xml:space="preserve">littlepardalotelover</t>
  </si>
  <si>
    <t xml:space="preserve">https://www.inaturalist.org/observations/378014857</t>
  </si>
  <si>
    <t xml:space="preserve">GECKO 1187</t>
  </si>
  <si>
    <t xml:space="preserve">GECKO 1188</t>
  </si>
  <si>
    <t xml:space="preserve">GECKO 1189</t>
  </si>
  <si>
    <t xml:space="preserve">https://www.inaturalist.org/observations/330793942</t>
  </si>
  <si>
    <t xml:space="preserve">GECKO 1190</t>
  </si>
  <si>
    <t xml:space="preserve">rbonduriansky</t>
  </si>
  <si>
    <t xml:space="preserve">https://www.inaturalist.org/observations/335164552</t>
  </si>
  <si>
    <t xml:space="preserve">GECKO 1191</t>
  </si>
  <si>
    <t xml:space="preserve">Saltuarius swaini</t>
  </si>
  <si>
    <t xml:space="preserve">craig-r</t>
  </si>
  <si>
    <t xml:space="preserve">https://www.inaturalist.org/observations/379282045</t>
  </si>
  <si>
    <t xml:space="preserve">GECKO 1192</t>
  </si>
  <si>
    <t xml:space="preserve">benackerley</t>
  </si>
  <si>
    <t xml:space="preserve">https://www.inaturalist.org/observations/378221839</t>
  </si>
  <si>
    <t xml:space="preserve">GECKO 1193</t>
  </si>
  <si>
    <t xml:space="preserve">jacintafrancesca</t>
  </si>
  <si>
    <t xml:space="preserve">https://www.inaturalist.org/observations/377983336</t>
  </si>
  <si>
    <t xml:space="preserve">GECKO 1194</t>
  </si>
  <si>
    <t xml:space="preserve">https://www.inaturalist.org/observations/372580515</t>
  </si>
  <si>
    <t xml:space="preserve">GECKO 1195</t>
  </si>
  <si>
    <t xml:space="preserve">https://www.inaturalist.org/observations/371217608</t>
  </si>
  <si>
    <t xml:space="preserve">GECKO 1196</t>
  </si>
  <si>
    <t xml:space="preserve">adam_bateman</t>
  </si>
  <si>
    <t xml:space="preserve">https://www.inaturalist.org/observations/365009653</t>
  </si>
  <si>
    <t xml:space="preserve">GECKO 1197</t>
  </si>
  <si>
    <t xml:space="preserve">olliescully1</t>
  </si>
  <si>
    <t xml:space="preserve">https://www.inaturalist.org/observations/358233516</t>
  </si>
  <si>
    <t xml:space="preserve">GECKO 1198</t>
  </si>
  <si>
    <t xml:space="preserve">oedura</t>
  </si>
  <si>
    <t xml:space="preserve">https://www.inaturalist.org/observations/351620736</t>
  </si>
  <si>
    <t xml:space="preserve">GECKO 1199</t>
  </si>
  <si>
    <t xml:space="preserve">https://www.inaturalist.org/observations/351603579</t>
  </si>
  <si>
    <t xml:space="preserve">GECKO 1200</t>
  </si>
  <si>
    <t xml:space="preserve">https://www.inaturalist.org/observations/351593176</t>
  </si>
  <si>
    <t xml:space="preserve">GECKO 1201</t>
  </si>
  <si>
    <t xml:space="preserve">https://www.inaturalist.org/observations/351592977</t>
  </si>
  <si>
    <t xml:space="preserve">GECKO 1202</t>
  </si>
  <si>
    <t xml:space="preserve">https://www.inaturalist.org/observations/351592312</t>
  </si>
  <si>
    <t xml:space="preserve">GECKO 1203</t>
  </si>
  <si>
    <t xml:space="preserve">https://www.inaturalist.org/observations/351592289</t>
  </si>
  <si>
    <t xml:space="preserve">GECKO 1204</t>
  </si>
  <si>
    <t xml:space="preserve">https://www.inaturalist.org/observations/351592269</t>
  </si>
  <si>
    <t xml:space="preserve">GECKO 1205</t>
  </si>
  <si>
    <t xml:space="preserve">jerrygggg</t>
  </si>
  <si>
    <t xml:space="preserve">https://www.inaturalist.org/observations/350714544</t>
  </si>
  <si>
    <t xml:space="preserve">GECKO 1206</t>
  </si>
  <si>
    <t xml:space="preserve">GECKO 1207</t>
  </si>
  <si>
    <t xml:space="preserve">rishi_sh4rma</t>
  </si>
  <si>
    <t xml:space="preserve">https://www.inaturalist.org/observations/350703482</t>
  </si>
  <si>
    <t xml:space="preserve">GECKO 1208</t>
  </si>
  <si>
    <t xml:space="preserve">leemijts</t>
  </si>
  <si>
    <t xml:space="preserve">https://www.inaturalist.org/observations/350615731</t>
  </si>
  <si>
    <t xml:space="preserve">GECKO 1209</t>
  </si>
  <si>
    <t xml:space="preserve">snotsausage</t>
  </si>
  <si>
    <t xml:space="preserve">https://www.inaturalist.org/observations/349041151</t>
  </si>
  <si>
    <t xml:space="preserve">GECKO 1210</t>
  </si>
  <si>
    <t xml:space="preserve">https://www.inaturalist.org/observations/349041042</t>
  </si>
  <si>
    <t xml:space="preserve">GECKO 1211</t>
  </si>
  <si>
    <t xml:space="preserve">https://www.inaturalist.org/observations/349040854</t>
  </si>
  <si>
    <t xml:space="preserve">GECKO 1212</t>
  </si>
  <si>
    <t xml:space="preserve">https://www.inaturalist.org/observations/348917293</t>
  </si>
  <si>
    <t xml:space="preserve">GECKO 1213</t>
  </si>
  <si>
    <t xml:space="preserve">https://www.inaturalist.org/observations/348917282</t>
  </si>
  <si>
    <t xml:space="preserve">GECKO 1214</t>
  </si>
  <si>
    <t xml:space="preserve">https://www.inaturalist.org/observations/348540827</t>
  </si>
  <si>
    <t xml:space="preserve">GECKO 1215</t>
  </si>
  <si>
    <t xml:space="preserve">https://www.inaturalist.org/observations/348540233</t>
  </si>
  <si>
    <t xml:space="preserve">GECKO 1216</t>
  </si>
  <si>
    <t xml:space="preserve">GECKO 1217</t>
  </si>
  <si>
    <t xml:space="preserve">GECKO 1218</t>
  </si>
  <si>
    <t xml:space="preserve">GECKO 1219</t>
  </si>
  <si>
    <t xml:space="preserve">https://www.inaturalist.org/observations/348540222</t>
  </si>
  <si>
    <t xml:space="preserve">GECKO 1220</t>
  </si>
  <si>
    <t xml:space="preserve">majesticchook</t>
  </si>
  <si>
    <t xml:space="preserve">https://www.inaturalist.org/observations/347751022</t>
  </si>
  <si>
    <t xml:space="preserve">GECKO 1221</t>
  </si>
  <si>
    <t xml:space="preserve">https://www.inaturalist.org/observations/346123488</t>
  </si>
  <si>
    <t xml:space="preserve">GECKO 1222</t>
  </si>
  <si>
    <t xml:space="preserve">https://www.inaturalist.org/observations/345228015</t>
  </si>
  <si>
    <t xml:space="preserve">GECKO 1223</t>
  </si>
  <si>
    <t xml:space="preserve">jacksonnugent</t>
  </si>
  <si>
    <t xml:space="preserve">https://www.inaturalist.org/observations/345052715</t>
  </si>
  <si>
    <t xml:space="preserve">GECKO 1224</t>
  </si>
  <si>
    <t xml:space="preserve">GECKO 1225</t>
  </si>
  <si>
    <t xml:space="preserve">GECKO 1226</t>
  </si>
  <si>
    <t xml:space="preserve">Saltuarius moritzi</t>
  </si>
  <si>
    <t xml:space="preserve">shelfand</t>
  </si>
  <si>
    <t xml:space="preserve">https://www.inaturalist.org/observations/371157312</t>
  </si>
  <si>
    <t xml:space="preserve">GECKO 1227</t>
  </si>
  <si>
    <t xml:space="preserve">normfarmerimages</t>
  </si>
  <si>
    <t xml:space="preserve">https://www.inaturalist.org/observations/362782402</t>
  </si>
  <si>
    <t xml:space="preserve">GECKO 1228</t>
  </si>
  <si>
    <t xml:space="preserve">GECKO 1229</t>
  </si>
  <si>
    <t xml:space="preserve">GECKO 1230</t>
  </si>
  <si>
    <t xml:space="preserve">GECKO 1231</t>
  </si>
  <si>
    <t xml:space="preserve">GECKO 1232</t>
  </si>
  <si>
    <t xml:space="preserve">GECKO 1233</t>
  </si>
  <si>
    <t xml:space="preserve">GECKO 1234</t>
  </si>
  <si>
    <t xml:space="preserve">GECKO 1235</t>
  </si>
  <si>
    <t xml:space="preserve">GECKO 1236</t>
  </si>
  <si>
    <t xml:space="preserve">GECKO 1237</t>
  </si>
  <si>
    <t xml:space="preserve">GECKO 1238</t>
  </si>
  <si>
    <t xml:space="preserve">GECKO 1239</t>
  </si>
  <si>
    <t xml:space="preserve">mossy_gulch</t>
  </si>
  <si>
    <t xml:space="preserve">https://www.inaturalist.org/observations/361538616</t>
  </si>
  <si>
    <t xml:space="preserve">GECKO 1240</t>
  </si>
  <si>
    <t xml:space="preserve">GECKO 1241</t>
  </si>
  <si>
    <t xml:space="preserve">ss49</t>
  </si>
  <si>
    <t xml:space="preserve">https://www.inaturalist.org/observations/358581301</t>
  </si>
  <si>
    <t xml:space="preserve">GECKO 1242</t>
  </si>
  <si>
    <t xml:space="preserve">tamban</t>
  </si>
  <si>
    <t xml:space="preserve">https://www.inaturalist.org/observations/356800237</t>
  </si>
  <si>
    <t xml:space="preserve">GECKO 1243</t>
  </si>
  <si>
    <t xml:space="preserve">heathercoffs</t>
  </si>
  <si>
    <t xml:space="preserve">https://www.inaturalist.org/observations/355263945</t>
  </si>
  <si>
    <t xml:space="preserve">GECKO 1244</t>
  </si>
  <si>
    <t xml:space="preserve">hiddyp</t>
  </si>
  <si>
    <t xml:space="preserve">https://www.inaturalist.org/observations/351456335</t>
  </si>
  <si>
    <t xml:space="preserve">GECKO 1245</t>
  </si>
  <si>
    <t xml:space="preserve">naomicase</t>
  </si>
  <si>
    <t xml:space="preserve">https://www.inaturalist.org/observations/351424053</t>
  </si>
  <si>
    <t xml:space="preserve">GECKO 1246</t>
  </si>
  <si>
    <t xml:space="preserve">stefano_nature-through-the-lens</t>
  </si>
  <si>
    <t xml:space="preserve">https://www.inaturalist.org/observations/349982392</t>
  </si>
  <si>
    <t xml:space="preserve">GECKO 1247</t>
  </si>
  <si>
    <t xml:space="preserve">GECKO 1248</t>
  </si>
  <si>
    <t xml:space="preserve">rowleysrest</t>
  </si>
  <si>
    <t xml:space="preserve">https://www.inaturalist.org/observations/344595108</t>
  </si>
  <si>
    <t xml:space="preserve">GECKO 1249</t>
  </si>
  <si>
    <t xml:space="preserve">aussiemaarten</t>
  </si>
  <si>
    <t xml:space="preserve">https://www.inaturalist.org/observations/343689703</t>
  </si>
  <si>
    <t xml:space="preserve">GECKO 1250</t>
  </si>
  <si>
    <t xml:space="preserve">pmmridge</t>
  </si>
  <si>
    <t xml:space="preserve">https://www.inaturalist.org/observations/340909290</t>
  </si>
  <si>
    <t xml:space="preserve">GECKO 1251</t>
  </si>
  <si>
    <t xml:space="preserve">GECKO 1252</t>
  </si>
  <si>
    <t xml:space="preserve">pellier</t>
  </si>
  <si>
    <t xml:space="preserve">https://www.inaturalist.org/observations/338044554</t>
  </si>
  <si>
    <t xml:space="preserve">GECKO 1253</t>
  </si>
  <si>
    <t xml:space="preserve">https://www.inaturalist.org/observations/337784302</t>
  </si>
  <si>
    <t xml:space="preserve">GECKO 1254</t>
  </si>
  <si>
    <t xml:space="preserve">brenden_margieson</t>
  </si>
  <si>
    <t xml:space="preserve">https://www.inaturalist.org/observations/333566148</t>
  </si>
  <si>
    <t xml:space="preserve">GECKO 1255</t>
  </si>
  <si>
    <t xml:space="preserve">drmattnimbs</t>
  </si>
  <si>
    <t xml:space="preserve">https://www.inaturalist.org/observations/332925265</t>
  </si>
  <si>
    <t xml:space="preserve">GECKO 1256</t>
  </si>
  <si>
    <t xml:space="preserve">https://www.inaturalist.org/observations/332925264</t>
  </si>
  <si>
    <t xml:space="preserve">GECKO 1257</t>
  </si>
  <si>
    <t xml:space="preserve">mcgregor777</t>
  </si>
  <si>
    <t xml:space="preserve">https://www.inaturalist.org/observations/332089074</t>
  </si>
  <si>
    <t xml:space="preserve">GECKO 1258</t>
  </si>
  <si>
    <t xml:space="preserve">GECKO 1259</t>
  </si>
  <si>
    <t xml:space="preserve">https://www.inaturalist.org/observations/326596288</t>
  </si>
  <si>
    <t xml:space="preserve">GECKO 1260</t>
  </si>
  <si>
    <t xml:space="preserve">https://www.inaturalist.org/observations/326596167</t>
  </si>
  <si>
    <t xml:space="preserve">GECKO 1261</t>
  </si>
  <si>
    <t xml:space="preserve">Diplodactylidae</t>
  </si>
  <si>
    <t xml:space="preserve">Rhacodactylus</t>
  </si>
  <si>
    <t xml:space="preserve">Rhacodactylus auriculatus</t>
  </si>
  <si>
    <t xml:space="preserve">accidentalshrike</t>
  </si>
  <si>
    <t xml:space="preserve">https://www.inaturalist.org/observations/369663700</t>
  </si>
  <si>
    <t xml:space="preserve">GECKO 1262</t>
  </si>
  <si>
    <t xml:space="preserve">https://www.inaturalist.org/observations/350712045</t>
  </si>
  <si>
    <t xml:space="preserve">GECKO 1263</t>
  </si>
  <si>
    <t xml:space="preserve">antoineteitel</t>
  </si>
  <si>
    <t xml:space="preserve">https://www.inaturalist.org/observations/336494224</t>
  </si>
  <si>
    <t xml:space="preserve">GECKO 1264</t>
  </si>
  <si>
    <t xml:space="preserve">stephentho</t>
  </si>
  <si>
    <t xml:space="preserve">https://www.inaturalist.org/observations/289754300</t>
  </si>
  <si>
    <t xml:space="preserve">GECKO 1265</t>
  </si>
  <si>
    <t xml:space="preserve">nicolas_rinck</t>
  </si>
  <si>
    <t xml:space="preserve">https://www.inaturalist.org/observations/274714761</t>
  </si>
  <si>
    <t xml:space="preserve">GECKO 1266</t>
  </si>
  <si>
    <t xml:space="preserve">https://www.inaturalist.org/observations/265138379</t>
  </si>
  <si>
    <t xml:space="preserve">GECKO 1267</t>
  </si>
  <si>
    <t xml:space="preserve">https://www.inaturalist.org/observations/264781568</t>
  </si>
  <si>
    <t xml:space="preserve">GECKO 1268</t>
  </si>
  <si>
    <t xml:space="preserve">https://www.inaturalist.org/observations/264077469</t>
  </si>
  <si>
    <t xml:space="preserve">GECKO 1269</t>
  </si>
  <si>
    <t xml:space="preserve">https://www.inaturalist.org/observations/263472637</t>
  </si>
  <si>
    <t xml:space="preserve">GECKO 1270</t>
  </si>
  <si>
    <t xml:space="preserve">adnarimk</t>
  </si>
  <si>
    <t xml:space="preserve">https://www.inaturalist.org/observations/260127014</t>
  </si>
  <si>
    <t xml:space="preserve">GECKO 1271</t>
  </si>
  <si>
    <t xml:space="preserve">GECKO 1272</t>
  </si>
  <si>
    <t xml:space="preserve">mael_dewynter</t>
  </si>
  <si>
    <t xml:space="preserve">https://www.inaturalist.org/observations/246726829</t>
  </si>
  <si>
    <t xml:space="preserve">GECKO 1273</t>
  </si>
  <si>
    <t xml:space="preserve">https://www.inaturalist.org/observations/246592522</t>
  </si>
  <si>
    <t xml:space="preserve">GECKO 1274</t>
  </si>
  <si>
    <t xml:space="preserve">https://www.inaturalist.org/observations/246592520</t>
  </si>
  <si>
    <t xml:space="preserve">GECKO 1275</t>
  </si>
  <si>
    <t xml:space="preserve">mssrbox</t>
  </si>
  <si>
    <t xml:space="preserve">https://www.inaturalist.org/observations/238401382</t>
  </si>
  <si>
    <t xml:space="preserve">GECKO 1276</t>
  </si>
  <si>
    <t xml:space="preserve">sydneybirding</t>
  </si>
  <si>
    <t xml:space="preserve">https://www.inaturalist.org/observations/214748203</t>
  </si>
  <si>
    <t xml:space="preserve">GECKO 1277</t>
  </si>
  <si>
    <t xml:space="preserve">https://www.inaturalist.org/observations/209048250</t>
  </si>
  <si>
    <t xml:space="preserve">GECKO 1278</t>
  </si>
  <si>
    <t xml:space="preserve">https://www.inaturalist.org/observations/209047651</t>
  </si>
  <si>
    <t xml:space="preserve">GECKO 1279</t>
  </si>
  <si>
    <t xml:space="preserve">elinamg</t>
  </si>
  <si>
    <t xml:space="preserve">https://www.inaturalist.org/observations/206147136</t>
  </si>
  <si>
    <t xml:space="preserve">GECKO 1280</t>
  </si>
  <si>
    <t xml:space="preserve">momaz</t>
  </si>
  <si>
    <t xml:space="preserve">https://www.inaturalist.org/observations/191455221</t>
  </si>
  <si>
    <t xml:space="preserve">GECKO 1281</t>
  </si>
  <si>
    <t xml:space="preserve">https://www.inaturalist.org/observations/191451835</t>
  </si>
  <si>
    <t xml:space="preserve">GECKO 1282</t>
  </si>
  <si>
    <t xml:space="preserve">hervevan</t>
  </si>
  <si>
    <t xml:space="preserve">https://www.inaturalist.org/observations/177252326</t>
  </si>
  <si>
    <t xml:space="preserve">GECKO 1283</t>
  </si>
  <si>
    <t xml:space="preserve">jsameit</t>
  </si>
  <si>
    <t xml:space="preserve">https://www.inaturalist.org/observations/139607943</t>
  </si>
  <si>
    <t xml:space="preserve">GECKO 1284</t>
  </si>
  <si>
    <t xml:space="preserve">GECKO 1285</t>
  </si>
  <si>
    <t xml:space="preserve">rog973</t>
  </si>
  <si>
    <t xml:space="preserve">https://www.inaturalist.org/observations/132465741</t>
  </si>
  <si>
    <t xml:space="preserve">GECKO 1286</t>
  </si>
  <si>
    <t xml:space="preserve">https://www.inaturalist.org/observations/132465736</t>
  </si>
  <si>
    <t xml:space="preserve">GECKO 1287</t>
  </si>
  <si>
    <t xml:space="preserve">pl_stenger</t>
  </si>
  <si>
    <t xml:space="preserve">https://www.inaturalist.org/observations/106413691</t>
  </si>
  <si>
    <t xml:space="preserve">GECKO 1288</t>
  </si>
  <si>
    <t xml:space="preserve">https://www.inaturalist.org/observations/104245546</t>
  </si>
  <si>
    <t xml:space="preserve">GECKO 1289</t>
  </si>
  <si>
    <t xml:space="preserve">https://www.inaturalist.org/observations/104245542</t>
  </si>
  <si>
    <t xml:space="preserve">GECKO 1290</t>
  </si>
  <si>
    <t xml:space="preserve">GECKO 1291</t>
  </si>
  <si>
    <t xml:space="preserve">https://www.inaturalist.org/observations/102983502</t>
  </si>
  <si>
    <t xml:space="preserve">GECKO 1292</t>
  </si>
  <si>
    <t xml:space="preserve">GECKO 1293</t>
  </si>
  <si>
    <t xml:space="preserve">https://www.inaturalist.org/observations/100128308</t>
  </si>
  <si>
    <t xml:space="preserve">GECKO 1294</t>
  </si>
  <si>
    <t xml:space="preserve">https://www.inaturalist.org/observations/63924799</t>
  </si>
  <si>
    <t xml:space="preserve">GECKO 1295</t>
  </si>
  <si>
    <t xml:space="preserve">https://www.inaturalist.org/observations/57616870</t>
  </si>
  <si>
    <t xml:space="preserve">GECKO 1296</t>
  </si>
  <si>
    <t xml:space="preserve">Rhacodactylus leachianus</t>
  </si>
  <si>
    <t xml:space="preserve">pl_stenger </t>
  </si>
  <si>
    <t xml:space="preserve">https://www.inaturalist.org/observations/99609246</t>
  </si>
  <si>
    <t xml:space="preserve">GECKO 1297</t>
  </si>
  <si>
    <t xml:space="preserve">Bavayia</t>
  </si>
  <si>
    <t xml:space="preserve">Bavayia borealis</t>
  </si>
  <si>
    <t xml:space="preserve">dominique_fleurot</t>
  </si>
  <si>
    <t xml:space="preserve">https://www.inaturalist.org/observations/264589849</t>
  </si>
  <si>
    <t xml:space="preserve">GECKO 1298</t>
  </si>
  <si>
    <t xml:space="preserve">https://www.inaturalist.org/observations/264589853</t>
  </si>
  <si>
    <t xml:space="preserve">GECKO 1299</t>
  </si>
  <si>
    <t xml:space="preserve">https://www.inaturalist.org/observations/264589855</t>
  </si>
  <si>
    <t xml:space="preserve">GECKO 1300</t>
  </si>
  <si>
    <t xml:space="preserve">https://www.inaturalist.org/observations/105532202</t>
  </si>
  <si>
    <t xml:space="preserve">GECKO 1301</t>
  </si>
  <si>
    <t xml:space="preserve">https://www.inaturalist.org/observations/264589856</t>
  </si>
  <si>
    <t xml:space="preserve">GECKO 1302</t>
  </si>
  <si>
    <t xml:space="preserve">https://www.inaturalist.org/observations/264589857</t>
  </si>
  <si>
    <t xml:space="preserve">GECKO 1303</t>
  </si>
  <si>
    <t xml:space="preserve">https://www.inaturalist.org/observations/264589863</t>
  </si>
  <si>
    <t xml:space="preserve">GECKO 1304</t>
  </si>
  <si>
    <t xml:space="preserve">https://www.inaturalist.org/observations/105532200</t>
  </si>
  <si>
    <t xml:space="preserve">GECKO 1305</t>
  </si>
  <si>
    <t xml:space="preserve">https://www.inaturalist.org/observations/265490615</t>
  </si>
  <si>
    <t xml:space="preserve">GECKO 1306</t>
  </si>
  <si>
    <t xml:space="preserve">val91</t>
  </si>
  <si>
    <t xml:space="preserve">https://www.inaturalist.org/observations/272931437</t>
  </si>
  <si>
    <t xml:space="preserve">GECKO 1307</t>
  </si>
  <si>
    <t xml:space="preserve">adurbano</t>
  </si>
  <si>
    <t xml:space="preserve">https://www.inaturalist.org/observations/307897712</t>
  </si>
  <si>
    <t xml:space="preserve">GECKO 1308</t>
  </si>
  <si>
    <t xml:space="preserve">persimonn</t>
  </si>
  <si>
    <t xml:space="preserve">https://www.inaturalist.org/observations/167868509</t>
  </si>
  <si>
    <t xml:space="preserve">GECKO 1309</t>
  </si>
  <si>
    <t xml:space="preserve">GECKO 1310</t>
  </si>
  <si>
    <t xml:space="preserve">GECKO 1311</t>
  </si>
  <si>
    <t xml:space="preserve">vbnt</t>
  </si>
  <si>
    <t xml:space="preserve">https://www.inaturalist.org/observations/276856415</t>
  </si>
  <si>
    <t xml:space="preserve">GECKO 1312</t>
  </si>
  <si>
    <t xml:space="preserve">https://www.inaturalist.org/observations/338680748</t>
  </si>
  <si>
    <t xml:space="preserve">GECKO 1313</t>
  </si>
  <si>
    <t xml:space="preserve">https://www.inaturalist.org/observations/350708735</t>
  </si>
  <si>
    <t xml:space="preserve">GECKO 1314</t>
  </si>
  <si>
    <t xml:space="preserve">https://www.inaturalist.org/observations/350723039</t>
  </si>
  <si>
    <t xml:space="preserve">GECKO 1315</t>
  </si>
  <si>
    <t xml:space="preserve">https://www.inaturalist.org/observations/105486704</t>
  </si>
  <si>
    <t xml:space="preserve">GECKO 1316</t>
  </si>
  <si>
    <t xml:space="preserve">https://www.inaturalist.org/observations/358564654</t>
  </si>
  <si>
    <t xml:space="preserve">GECKO 1317</t>
  </si>
  <si>
    <t xml:space="preserve">https://www.inaturalist.org/observations/369662000</t>
  </si>
  <si>
    <t xml:space="preserve">GECKO 1318</t>
  </si>
  <si>
    <t xml:space="preserve">https://www.inaturalist.org/observations/369662222</t>
  </si>
  <si>
    <t xml:space="preserve">GECKO 1319</t>
  </si>
  <si>
    <t xml:space="preserve">https://www.inaturalist.org/observations/92539524</t>
  </si>
  <si>
    <t xml:space="preserve">GECKO 1320</t>
  </si>
  <si>
    <t xml:space="preserve">GECKO 1321</t>
  </si>
  <si>
    <t xml:space="preserve">https://www.inaturalist.org/observations/369662398</t>
  </si>
  <si>
    <t xml:space="preserve">GECKO 1322</t>
  </si>
  <si>
    <t xml:space="preserve">https://www.inaturalist.org/observations/369662624</t>
  </si>
  <si>
    <t xml:space="preserve">GECKO 1323</t>
  </si>
  <si>
    <t xml:space="preserve">https://www.inaturalist.org/observations/323473329</t>
  </si>
  <si>
    <t xml:space="preserve">GECKO 1324</t>
  </si>
  <si>
    <t xml:space="preserve">GECKO 1325</t>
  </si>
  <si>
    <t xml:space="preserve">GECKO 1326</t>
  </si>
  <si>
    <t xml:space="preserve">https://www.inaturalist.org/observations/371087091</t>
  </si>
  <si>
    <t xml:space="preserve">GECKO 1327</t>
  </si>
  <si>
    <t xml:space="preserve">https://www.inaturalist.org/observations/371087189</t>
  </si>
  <si>
    <t xml:space="preserve">GECKO 1328</t>
  </si>
  <si>
    <t xml:space="preserve">juju98</t>
  </si>
  <si>
    <t xml:space="preserve">https://www.inaturalist.org/observations/372483799</t>
  </si>
  <si>
    <t xml:space="preserve">GECKO 1329</t>
  </si>
  <si>
    <t xml:space="preserve">https://www.inaturalist.org/observations/153901585</t>
  </si>
  <si>
    <t xml:space="preserve">GECKO 1330</t>
  </si>
  <si>
    <t xml:space="preserve">https://www.inaturalist.org/observations/377083620</t>
  </si>
  <si>
    <t xml:space="preserve">GECKO 1331</t>
  </si>
  <si>
    <t xml:space="preserve">Amalosia</t>
  </si>
  <si>
    <t xml:space="preserve">Amalosia robusta</t>
  </si>
  <si>
    <t xml:space="preserve">tommo1234</t>
  </si>
  <si>
    <t xml:space="preserve">https://www.inaturalist.org/observations/378925531</t>
  </si>
  <si>
    <t xml:space="preserve">GECKO 1332</t>
  </si>
  <si>
    <t xml:space="preserve">kbatjunior</t>
  </si>
  <si>
    <t xml:space="preserve">https://www.inaturalist.org/observations/375974821</t>
  </si>
  <si>
    <t xml:space="preserve">GECKO 1333</t>
  </si>
  <si>
    <t xml:space="preserve">ratus_ratus_mus_musculus</t>
  </si>
  <si>
    <t xml:space="preserve">https://www.inaturalist.org/observations/375771660</t>
  </si>
  <si>
    <t xml:space="preserve">GECKO 1334</t>
  </si>
  <si>
    <t xml:space="preserve">GECKO 1335</t>
  </si>
  <si>
    <t xml:space="preserve">GECKO 1336</t>
  </si>
  <si>
    <t xml:space="preserve">GECKO 1337</t>
  </si>
  <si>
    <t xml:space="preserve">GECKO 1338</t>
  </si>
  <si>
    <t xml:space="preserve">sihoey</t>
  </si>
  <si>
    <t xml:space="preserve">https://www.inaturalist.org/observations/375513809</t>
  </si>
  <si>
    <t xml:space="preserve">GECKO 1339</t>
  </si>
  <si>
    <t xml:space="preserve">craeofsunshine</t>
  </si>
  <si>
    <t xml:space="preserve">https://www.inaturalist.org/observations/374204117</t>
  </si>
  <si>
    <t xml:space="preserve">GECKO 1340</t>
  </si>
  <si>
    <t xml:space="preserve">tmyknckr</t>
  </si>
  <si>
    <t xml:space="preserve">https://www.inaturalist.org/observations/374151342</t>
  </si>
  <si>
    <t xml:space="preserve">GECKO 1341</t>
  </si>
  <si>
    <t xml:space="preserve">sonya78</t>
  </si>
  <si>
    <t xml:space="preserve">https://www.inaturalist.org/observations/373805738</t>
  </si>
  <si>
    <t xml:space="preserve">GECKO 1342</t>
  </si>
  <si>
    <t xml:space="preserve">anne-mariesydes</t>
  </si>
  <si>
    <t xml:space="preserve">https://www.inaturalist.org/observations/371899277</t>
  </si>
  <si>
    <t xml:space="preserve">GECKO 1343</t>
  </si>
  <si>
    <t xml:space="preserve">bignatureboiii</t>
  </si>
  <si>
    <t xml:space="preserve">https://www.inaturalist.org/observations/368276380</t>
  </si>
  <si>
    <t xml:space="preserve">GECKO 1344</t>
  </si>
  <si>
    <t xml:space="preserve">roratheexplorer</t>
  </si>
  <si>
    <t xml:space="preserve">https://www.inaturalist.org/observations/367339355</t>
  </si>
  <si>
    <t xml:space="preserve">GECKO 1345</t>
  </si>
  <si>
    <t xml:space="preserve">GECKO 1346</t>
  </si>
  <si>
    <t xml:space="preserve">alisonpearson</t>
  </si>
  <si>
    <t xml:space="preserve">https://www.inaturalist.org/observations/365576973</t>
  </si>
  <si>
    <t xml:space="preserve">GECKO 1347</t>
  </si>
  <si>
    <t xml:space="preserve">allthingswildlife2004</t>
  </si>
  <si>
    <t xml:space="preserve">https://www.inaturalist.org/observations/364198023</t>
  </si>
  <si>
    <t xml:space="preserve">GECKO 1348</t>
  </si>
  <si>
    <t xml:space="preserve">livvy_tyson</t>
  </si>
  <si>
    <t xml:space="preserve">https://www.inaturalist.org/observations/362714528</t>
  </si>
  <si>
    <t xml:space="preserve">GECKO 1349</t>
  </si>
  <si>
    <t xml:space="preserve">suzia97</t>
  </si>
  <si>
    <t xml:space="preserve">https://www.inaturalist.org/observations/362700575</t>
  </si>
  <si>
    <t xml:space="preserve">GECKO 1350</t>
  </si>
  <si>
    <t xml:space="preserve">leannep</t>
  </si>
  <si>
    <t xml:space="preserve">https://www.inaturalist.org/observations/361399270</t>
  </si>
  <si>
    <t xml:space="preserve">GECKO 1351</t>
  </si>
  <si>
    <t xml:space="preserve">debmetters</t>
  </si>
  <si>
    <t xml:space="preserve">https://www.inaturalist.org/observations/360855930</t>
  </si>
  <si>
    <t xml:space="preserve">GECKO 1352</t>
  </si>
  <si>
    <t xml:space="preserve">https://www.inaturalist.org/observations/360855925</t>
  </si>
  <si>
    <t xml:space="preserve">GECKO 1353</t>
  </si>
  <si>
    <t xml:space="preserve">mieke_van_der_merwe</t>
  </si>
  <si>
    <t xml:space="preserve">https://www.inaturalist.org/observations/359781290</t>
  </si>
  <si>
    <t xml:space="preserve">GECKO 1354</t>
  </si>
  <si>
    <t xml:space="preserve">jjlc</t>
  </si>
  <si>
    <t xml:space="preserve">https://www.inaturalist.org/observations/358741407</t>
  </si>
  <si>
    <t xml:space="preserve">GECKO 1355</t>
  </si>
  <si>
    <t xml:space="preserve">corticulturalist</t>
  </si>
  <si>
    <t xml:space="preserve">https://www.inaturalist.org/observations/357852425</t>
  </si>
  <si>
    <t xml:space="preserve">GECKO 1356</t>
  </si>
  <si>
    <t xml:space="preserve">tyraman</t>
  </si>
  <si>
    <t xml:space="preserve">https://www.inaturalist.org/observations/357779380</t>
  </si>
  <si>
    <t xml:space="preserve">GECKO 1357</t>
  </si>
  <si>
    <t xml:space="preserve">https://www.inaturalist.org/observations/355729138</t>
  </si>
  <si>
    <t xml:space="preserve">GECKO 1358</t>
  </si>
  <si>
    <t xml:space="preserve">liamjsmith</t>
  </si>
  <si>
    <t xml:space="preserve">https://www.inaturalist.org/observations/354228873</t>
  </si>
  <si>
    <t xml:space="preserve">GECKO 1359</t>
  </si>
  <si>
    <t xml:space="preserve">cookie_dough1212</t>
  </si>
  <si>
    <t xml:space="preserve">https://www.inaturalist.org/observations/352418160</t>
  </si>
  <si>
    <t xml:space="preserve">GECKO 1360</t>
  </si>
  <si>
    <t xml:space="preserve">GECKO 1361</t>
  </si>
  <si>
    <t xml:space="preserve">GECKO 1362</t>
  </si>
  <si>
    <t xml:space="preserve">sfitty</t>
  </si>
  <si>
    <t xml:space="preserve">https://www.inaturalist.org/observations/351858991</t>
  </si>
  <si>
    <t xml:space="preserve">GECKO 1363</t>
  </si>
  <si>
    <t xml:space="preserve">mickdrews</t>
  </si>
  <si>
    <t xml:space="preserve">https://www.inaturalist.org/observations/351581355</t>
  </si>
  <si>
    <t xml:space="preserve">GECKO 1364</t>
  </si>
  <si>
    <t xml:space="preserve">rattytattatt</t>
  </si>
  <si>
    <t xml:space="preserve">https://www.inaturalist.org/observations/351426147</t>
  </si>
  <si>
    <t xml:space="preserve">GECKO 1365</t>
  </si>
  <si>
    <t xml:space="preserve">hilarydavern</t>
  </si>
  <si>
    <t xml:space="preserve">https://www.inaturalist.org/observations/350778497</t>
  </si>
  <si>
    <t xml:space="preserve">GECKO 1366</t>
  </si>
  <si>
    <t xml:space="preserve">Amalosia lesueurii</t>
  </si>
  <si>
    <t xml:space="preserve">nait_butterworth</t>
  </si>
  <si>
    <t xml:space="preserve">https://www.inaturalist.org/observations/380274273</t>
  </si>
  <si>
    <t xml:space="preserve">GECKO 1367</t>
  </si>
  <si>
    <t xml:space="preserve">timshroom</t>
  </si>
  <si>
    <t xml:space="preserve">https://www.inaturalist.org/observations/366248169</t>
  </si>
  <si>
    <t xml:space="preserve">GECKO 1368</t>
  </si>
  <si>
    <t xml:space="preserve">blake_fittler</t>
  </si>
  <si>
    <t xml:space="preserve">https://www.inaturalist.org/observations/363588567</t>
  </si>
  <si>
    <t xml:space="preserve">GECKO 1369</t>
  </si>
  <si>
    <t xml:space="preserve">benschultz1</t>
  </si>
  <si>
    <t xml:space="preserve">https://www.inaturalist.org/observations/363205017</t>
  </si>
  <si>
    <t xml:space="preserve">GECKO 1370</t>
  </si>
  <si>
    <t xml:space="preserve">edwardsjn</t>
  </si>
  <si>
    <t xml:space="preserve">https://www.inaturalist.org/observations/363203077</t>
  </si>
  <si>
    <t xml:space="preserve">GECKO 1371</t>
  </si>
  <si>
    <t xml:space="preserve">https://www.inaturalist.org/observations/362178430</t>
  </si>
  <si>
    <t xml:space="preserve">GECKO 1372</t>
  </si>
  <si>
    <t xml:space="preserve">https://www.inaturalist.org/observations/360166788</t>
  </si>
  <si>
    <t xml:space="preserve">GECKO 1373</t>
  </si>
  <si>
    <t xml:space="preserve">GECKO 1374</t>
  </si>
  <si>
    <t xml:space="preserve">woollahrabiodiversity</t>
  </si>
  <si>
    <t xml:space="preserve">https://www.inaturalist.org/observations/359105606</t>
  </si>
  <si>
    <t xml:space="preserve">GECKO 1375</t>
  </si>
  <si>
    <t xml:space="preserve">lincolnwallerr</t>
  </si>
  <si>
    <t xml:space="preserve">https://www.inaturalist.org/observations/357457228</t>
  </si>
  <si>
    <t xml:space="preserve">GECKO 1376</t>
  </si>
  <si>
    <t xml:space="preserve">https://www.inaturalist.org/observations/355218200</t>
  </si>
  <si>
    <t xml:space="preserve">GECKO 1377</t>
  </si>
  <si>
    <t xml:space="preserve">forestrain</t>
  </si>
  <si>
    <t xml:space="preserve">https://www.inaturalist.org/observations/350695820</t>
  </si>
  <si>
    <t xml:space="preserve">GECKO 1378</t>
  </si>
  <si>
    <t xml:space="preserve">iriki</t>
  </si>
  <si>
    <t xml:space="preserve">https://www.inaturalist.org/observations/348723813</t>
  </si>
  <si>
    <t xml:space="preserve">GECKO 1379</t>
  </si>
  <si>
    <t xml:space="preserve">https://www.inaturalist.org/observations/347483047</t>
  </si>
  <si>
    <t xml:space="preserve">GECKO 1380</t>
  </si>
  <si>
    <t xml:space="preserve">peterdejongh5</t>
  </si>
  <si>
    <t xml:space="preserve">https://www.inaturalist.org/observations/346120559</t>
  </si>
  <si>
    <t xml:space="preserve">GECKO 1381</t>
  </si>
  <si>
    <t xml:space="preserve">https://www.inaturalist.org/observations/337914221</t>
  </si>
  <si>
    <t xml:space="preserve">GECKO 1382</t>
  </si>
  <si>
    <t xml:space="preserve">GECKO 1383</t>
  </si>
  <si>
    <t xml:space="preserve">nashj_e</t>
  </si>
  <si>
    <t xml:space="preserve">https://www.inaturalist.org/observations/337533201</t>
  </si>
  <si>
    <t xml:space="preserve">GECKO 1384</t>
  </si>
  <si>
    <t xml:space="preserve">charliedv87</t>
  </si>
  <si>
    <t xml:space="preserve">https://www.inaturalist.org/observations/337308475</t>
  </si>
  <si>
    <t xml:space="preserve">GECKO 1385</t>
  </si>
  <si>
    <t xml:space="preserve">mitch_612</t>
  </si>
  <si>
    <t xml:space="preserve">https://www.inaturalist.org/observations/336926138</t>
  </si>
  <si>
    <t xml:space="preserve">GECKO 1386</t>
  </si>
  <si>
    <t xml:space="preserve">harrison_hogden</t>
  </si>
  <si>
    <t xml:space="preserve">https://www.inaturalist.org/observations/336638393</t>
  </si>
  <si>
    <t xml:space="preserve">GECKO 1387</t>
  </si>
  <si>
    <t xml:space="preserve">https://www.inaturalist.org/observations/336030683</t>
  </si>
  <si>
    <t xml:space="preserve">GECKO 1388</t>
  </si>
  <si>
    <t xml:space="preserve">rickshine</t>
  </si>
  <si>
    <t xml:space="preserve">https://www.inaturalist.org/observations/335809474</t>
  </si>
  <si>
    <t xml:space="preserve">GECKO 1389</t>
  </si>
  <si>
    <t xml:space="preserve">gregmccroary</t>
  </si>
  <si>
    <t xml:space="preserve">https://www.inaturalist.org/observations/335632234</t>
  </si>
  <si>
    <t xml:space="preserve">GECKO 1390</t>
  </si>
  <si>
    <t xml:space="preserve">GECKO 1391</t>
  </si>
  <si>
    <t xml:space="preserve">https://www.inaturalist.org/observations/335325021</t>
  </si>
  <si>
    <t xml:space="preserve">GECKO 1392</t>
  </si>
  <si>
    <t xml:space="preserve">GECKO 1393</t>
  </si>
  <si>
    <t xml:space="preserve">GECKO 1394</t>
  </si>
  <si>
    <t xml:space="preserve">https://www.inaturalist.org/observations/333660145</t>
  </si>
  <si>
    <t xml:space="preserve">GECKO 1395</t>
  </si>
  <si>
    <t xml:space="preserve">https://www.inaturalist.org/observations/332411415</t>
  </si>
  <si>
    <t xml:space="preserve">GECKO 1396</t>
  </si>
  <si>
    <t xml:space="preserve">marzngard</t>
  </si>
  <si>
    <t xml:space="preserve">https://www.inaturalist.org/observations/331618539</t>
  </si>
  <si>
    <t xml:space="preserve">GECKO 1397</t>
  </si>
  <si>
    <t xml:space="preserve">thewildgtrv</t>
  </si>
  <si>
    <t xml:space="preserve">https://www.inaturalist.org/observations/331498018</t>
  </si>
  <si>
    <t xml:space="preserve">GECKO 1398</t>
  </si>
  <si>
    <t xml:space="preserve">https://www.inaturalist.org/observations/330705893</t>
  </si>
  <si>
    <t xml:space="preserve">GECKO 1399</t>
  </si>
  <si>
    <t xml:space="preserve">GECKO 1400</t>
  </si>
  <si>
    <t xml:space="preserve">mhocking</t>
  </si>
  <si>
    <t xml:space="preserve">https://www.inaturalist.org/observations/330258316</t>
  </si>
  <si>
    <t xml:space="preserve">GECKO 1401</t>
  </si>
  <si>
    <t xml:space="preserve">Amalosia queenslandia</t>
  </si>
  <si>
    <t xml:space="preserve">nirbnom</t>
  </si>
  <si>
    <t xml:space="preserve">https://www.inaturalist.org/observations/379630561</t>
  </si>
  <si>
    <t xml:space="preserve">GECKO 1402</t>
  </si>
  <si>
    <t xml:space="preserve">davidgwhite</t>
  </si>
  <si>
    <t xml:space="preserve">https://www.inaturalist.org/observations/378956768</t>
  </si>
  <si>
    <t xml:space="preserve">GECKO 1403</t>
  </si>
  <si>
    <t xml:space="preserve">julieward</t>
  </si>
  <si>
    <t xml:space="preserve">https://www.inaturalist.org/observations/378328871</t>
  </si>
  <si>
    <t xml:space="preserve">GECKO 1404</t>
  </si>
  <si>
    <t xml:space="preserve">GECKO 1405</t>
  </si>
  <si>
    <t xml:space="preserve">https://www.inaturalist.org/observations/371158471</t>
  </si>
  <si>
    <t xml:space="preserve">GECKO 1406</t>
  </si>
  <si>
    <t xml:space="preserve">https://www.inaturalist.org/observations/367319690</t>
  </si>
  <si>
    <t xml:space="preserve">GECKO 1407</t>
  </si>
  <si>
    <t xml:space="preserve">GECKO 1408</t>
  </si>
  <si>
    <t xml:space="preserve">GECKO 1409</t>
  </si>
  <si>
    <t xml:space="preserve">GECKO 1410</t>
  </si>
  <si>
    <t xml:space="preserve">https://www.inaturalist.org/observations/362899660</t>
  </si>
  <si>
    <t xml:space="preserve">GECKO 1411</t>
  </si>
  <si>
    <t xml:space="preserve">https://www.inaturalist.org/observations/361286874</t>
  </si>
  <si>
    <t xml:space="preserve">GECKO 1412</t>
  </si>
  <si>
    <t xml:space="preserve">living_daynagerously</t>
  </si>
  <si>
    <t xml:space="preserve">https://www.inaturalist.org/observations/358561764</t>
  </si>
  <si>
    <t xml:space="preserve">GECKO 1413</t>
  </si>
  <si>
    <t xml:space="preserve">GECKO 1414</t>
  </si>
  <si>
    <t xml:space="preserve">sburnett</t>
  </si>
  <si>
    <t xml:space="preserve">https://www.inaturalist.org/observations/342510866</t>
  </si>
  <si>
    <t xml:space="preserve">GECKO 1415</t>
  </si>
  <si>
    <t xml:space="preserve">https://www.inaturalist.org/observations/337391665</t>
  </si>
  <si>
    <t xml:space="preserve">GECKO 1416</t>
  </si>
  <si>
    <t xml:space="preserve">alisssssssa</t>
  </si>
  <si>
    <t xml:space="preserve">https://www.inaturalist.org/observations/335675566</t>
  </si>
  <si>
    <t xml:space="preserve">GECKO 1417</t>
  </si>
  <si>
    <t xml:space="preserve">https://www.inaturalist.org/observations/333930946</t>
  </si>
  <si>
    <t xml:space="preserve">GECKO 1418</t>
  </si>
  <si>
    <t xml:space="preserve">remiaosborne</t>
  </si>
  <si>
    <t xml:space="preserve">https://www.inaturalist.org/observations/330447365</t>
  </si>
  <si>
    <t xml:space="preserve">GECKO 1419</t>
  </si>
  <si>
    <t xml:space="preserve">GECKO 1420</t>
  </si>
  <si>
    <t xml:space="preserve">dark_morelia</t>
  </si>
  <si>
    <t xml:space="preserve">https://www.inaturalist.org/observations/329137363</t>
  </si>
  <si>
    <t xml:space="preserve">GECKO 1421</t>
  </si>
  <si>
    <t xml:space="preserve">GECKO 1422</t>
  </si>
  <si>
    <t xml:space="preserve">https://www.inaturalist.org/observations/327812482</t>
  </si>
  <si>
    <t xml:space="preserve">GECKO 1423</t>
  </si>
  <si>
    <t xml:space="preserve">leito19</t>
  </si>
  <si>
    <t xml:space="preserve">https://www.inaturalist.org/observations/322203986</t>
  </si>
  <si>
    <t xml:space="preserve">GECKO 1424</t>
  </si>
  <si>
    <t xml:space="preserve">GECKO 1425</t>
  </si>
  <si>
    <t xml:space="preserve">https://www.inaturalist.org/observations/320626465</t>
  </si>
  <si>
    <t xml:space="preserve">GECKO 1426</t>
  </si>
  <si>
    <t xml:space="preserve">https://www.inaturalist.org/observations/318373738</t>
  </si>
  <si>
    <t xml:space="preserve">GECKO 1427</t>
  </si>
  <si>
    <t xml:space="preserve">jpitcher</t>
  </si>
  <si>
    <t xml:space="preserve">https://www.inaturalist.org/observations/316417454</t>
  </si>
  <si>
    <t xml:space="preserve">GECKO 1428</t>
  </si>
  <si>
    <t xml:space="preserve">mikhab</t>
  </si>
  <si>
    <t xml:space="preserve">https://www.inaturalist.org/observations/312594501</t>
  </si>
  <si>
    <t xml:space="preserve">GECKO 1429</t>
  </si>
  <si>
    <t xml:space="preserve">patrickcoleman</t>
  </si>
  <si>
    <t xml:space="preserve">https://www.inaturalist.org/observations/309617136</t>
  </si>
  <si>
    <t xml:space="preserve">GECKO 1430</t>
  </si>
  <si>
    <t xml:space="preserve">GECKO 1431</t>
  </si>
  <si>
    <t xml:space="preserve">aleckarcz</t>
  </si>
  <si>
    <t xml:space="preserve">https://www.inaturalist.org/observations/280936396</t>
  </si>
  <si>
    <t xml:space="preserve">GECKO 1432</t>
  </si>
  <si>
    <t xml:space="preserve">fnqnaturetours</t>
  </si>
  <si>
    <t xml:space="preserve">https://www.inaturalist.org/observations/260782853</t>
  </si>
  <si>
    <t xml:space="preserve">GECKO 1433</t>
  </si>
  <si>
    <t xml:space="preserve">https://www.inaturalist.org/observations/242993339</t>
  </si>
  <si>
    <t xml:space="preserve">GECKO 1434</t>
  </si>
  <si>
    <t xml:space="preserve">https://www.inaturalist.org/observations/227044626</t>
  </si>
  <si>
    <t xml:space="preserve">GECKO 1435</t>
  </si>
  <si>
    <t xml:space="preserve">matthew_connors</t>
  </si>
  <si>
    <t xml:space="preserve">https://www.inaturalist.org/observations/209243039</t>
  </si>
  <si>
    <t xml:space="preserve">GECKO 1436</t>
  </si>
  <si>
    <t xml:space="preserve">Amalosia rhombifer</t>
  </si>
  <si>
    <t xml:space="preserve">https://www.inaturalist.org/observations/365936433</t>
  </si>
  <si>
    <t xml:space="preserve">GECKO 1437</t>
  </si>
  <si>
    <t xml:space="preserve">GECKO 1438</t>
  </si>
  <si>
    <t xml:space="preserve">https://www.inaturalist.org/observations/362716153</t>
  </si>
  <si>
    <t xml:space="preserve">GECKO 1439</t>
  </si>
  <si>
    <t xml:space="preserve">albonez</t>
  </si>
  <si>
    <t xml:space="preserve">https://www.inaturalist.org/observations/357497565</t>
  </si>
  <si>
    <t xml:space="preserve">GECKO 1440</t>
  </si>
  <si>
    <t xml:space="preserve">elocyn</t>
  </si>
  <si>
    <t xml:space="preserve">https://www.inaturalist.org/observations/353090967</t>
  </si>
  <si>
    <t xml:space="preserve">GECKO 1441</t>
  </si>
  <si>
    <t xml:space="preserve">https://www.inaturalist.org/observations/351696368</t>
  </si>
  <si>
    <t xml:space="preserve">GECKO 1442</t>
  </si>
  <si>
    <t xml:space="preserve">https://www.inaturalist.org/observations/346445399</t>
  </si>
  <si>
    <t xml:space="preserve">GECKO 1443</t>
  </si>
  <si>
    <t xml:space="preserve">khensen</t>
  </si>
  <si>
    <t xml:space="preserve">https://www.inaturalist.org/observations/339014183</t>
  </si>
  <si>
    <t xml:space="preserve">GECKO 1444</t>
  </si>
  <si>
    <t xml:space="preserve">moocattle</t>
  </si>
  <si>
    <t xml:space="preserve">https://www.inaturalist.org/observations/338395552</t>
  </si>
  <si>
    <t xml:space="preserve">GECKO 1445</t>
  </si>
  <si>
    <t xml:space="preserve">dbrhplcd</t>
  </si>
  <si>
    <t xml:space="preserve">https://www.inaturalist.org/observations/336568284</t>
  </si>
  <si>
    <t xml:space="preserve">GECKO 1446</t>
  </si>
  <si>
    <t xml:space="preserve">https://www.inaturalist.org/observations/336520572</t>
  </si>
  <si>
    <t xml:space="preserve">GECKO 1447</t>
  </si>
  <si>
    <t xml:space="preserve">tanyahattingh</t>
  </si>
  <si>
    <t xml:space="preserve">https://www.inaturalist.org/observations/333823393</t>
  </si>
  <si>
    <t xml:space="preserve">GECKO 1448</t>
  </si>
  <si>
    <t xml:space="preserve">jules_farquhar</t>
  </si>
  <si>
    <t xml:space="preserve">https://www.inaturalist.org/observations/327216060</t>
  </si>
  <si>
    <t xml:space="preserve">GECKO 1449</t>
  </si>
  <si>
    <t xml:space="preserve">jacopo_cristoni</t>
  </si>
  <si>
    <t xml:space="preserve">https://www.inaturalist.org/observations/318165910</t>
  </si>
  <si>
    <t xml:space="preserve">GECKO 1450</t>
  </si>
  <si>
    <t xml:space="preserve">https://www.inaturalist.org/observations/317670027</t>
  </si>
  <si>
    <t xml:space="preserve">GECKO 1451</t>
  </si>
  <si>
    <t xml:space="preserve">https://www.inaturalist.org/observations/312594679</t>
  </si>
  <si>
    <t xml:space="preserve">GECKO 1452</t>
  </si>
  <si>
    <t xml:space="preserve">lachlan_c</t>
  </si>
  <si>
    <t xml:space="preserve">https://www.inaturalist.org/observations/309171984</t>
  </si>
  <si>
    <t xml:space="preserve">GECKO 1453</t>
  </si>
  <si>
    <t xml:space="preserve">rubynats</t>
  </si>
  <si>
    <t xml:space="preserve">https://www.inaturalist.org/observations/290370990</t>
  </si>
  <si>
    <t xml:space="preserve">GECKO 1454</t>
  </si>
  <si>
    <t xml:space="preserve">https://www.inaturalist.org/observations/283853889</t>
  </si>
  <si>
    <t xml:space="preserve">GECKO 1455</t>
  </si>
  <si>
    <t xml:space="preserve">brendancasey</t>
  </si>
  <si>
    <t xml:space="preserve">https://www.inaturalist.org/observations/263150103</t>
  </si>
  <si>
    <t xml:space="preserve">GECKO 1456</t>
  </si>
  <si>
    <t xml:space="preserve">GECKO 1457</t>
  </si>
  <si>
    <t xml:space="preserve">velocitams</t>
  </si>
  <si>
    <t xml:space="preserve">https://www.inaturalist.org/observations/254688161</t>
  </si>
  <si>
    <t xml:space="preserve">GECKO 1458</t>
  </si>
  <si>
    <t xml:space="preserve">https://www.inaturalist.org/observations/249750471</t>
  </si>
  <si>
    <t xml:space="preserve">GECKO 1459</t>
  </si>
  <si>
    <t xml:space="preserve">jmag1</t>
  </si>
  <si>
    <t xml:space="preserve">https://www.inaturalist.org/observations/236430013</t>
  </si>
  <si>
    <t xml:space="preserve">GECKO 1460</t>
  </si>
  <si>
    <t xml:space="preserve">GECKO 1461</t>
  </si>
  <si>
    <t xml:space="preserve">danicalockett</t>
  </si>
  <si>
    <t xml:space="preserve">https://www.inaturalist.org/observations/229670893</t>
  </si>
  <si>
    <t xml:space="preserve">GECKO 1462</t>
  </si>
  <si>
    <t xml:space="preserve">GECKO 1463</t>
  </si>
  <si>
    <t xml:space="preserve">jordanaquilina</t>
  </si>
  <si>
    <t xml:space="preserve">https://www.inaturalist.org/observations/203414088</t>
  </si>
  <si>
    <t xml:space="preserve">GECKO 1464</t>
  </si>
  <si>
    <t xml:space="preserve">https://www.inaturalist.org/observations/193874096</t>
  </si>
  <si>
    <t xml:space="preserve">GECKO 1465</t>
  </si>
  <si>
    <t xml:space="preserve">adelaidef19</t>
  </si>
  <si>
    <t xml:space="preserve">https://www.inaturalist.org/observations/149713697</t>
  </si>
  <si>
    <t xml:space="preserve">GECKO 1466</t>
  </si>
  <si>
    <t xml:space="preserve">GECKO 1467</t>
  </si>
  <si>
    <t xml:space="preserve">morgan-rae</t>
  </si>
  <si>
    <t xml:space="preserve">https://www.inaturalist.org/observations/141783489</t>
  </si>
  <si>
    <t xml:space="preserve">GECKO 1468</t>
  </si>
  <si>
    <t xml:space="preserve">danpvdb</t>
  </si>
  <si>
    <t xml:space="preserve">https://www.inaturalist.org/observations/138541435</t>
  </si>
  <si>
    <t xml:space="preserve">GECKO 1469</t>
  </si>
  <si>
    <t xml:space="preserve">kingbrown87</t>
  </si>
  <si>
    <t xml:space="preserve">https://www.inaturalist.org/observations/135046668</t>
  </si>
  <si>
    <t xml:space="preserve">GECKO 1470</t>
  </si>
  <si>
    <t xml:space="preserve">cryptidbones</t>
  </si>
  <si>
    <t xml:space="preserve">https://www.inaturalist.org/observations/110745828</t>
  </si>
  <si>
    <t xml:space="preserve">GECKO 1471</t>
  </si>
  <si>
    <t xml:space="preserve">Diplodactylus</t>
  </si>
  <si>
    <t xml:space="preserve">Diplodactylus vittatus</t>
  </si>
  <si>
    <t xml:space="preserve">trasp</t>
  </si>
  <si>
    <t xml:space="preserve">https://www.inaturalist.org/observations/378730440</t>
  </si>
  <si>
    <t xml:space="preserve">GECKO 1472</t>
  </si>
  <si>
    <t xml:space="preserve">GECKO 1473</t>
  </si>
  <si>
    <t xml:space="preserve">chris_dunning</t>
  </si>
  <si>
    <t xml:space="preserve">https://www.inaturalist.org/observations/372894665</t>
  </si>
  <si>
    <t xml:space="preserve">GECKO 1474</t>
  </si>
  <si>
    <t xml:space="preserve">jake-lovell98</t>
  </si>
  <si>
    <t xml:space="preserve">https://www.inaturalist.org/observations/372201455</t>
  </si>
  <si>
    <t xml:space="preserve">GECKO 1475</t>
  </si>
  <si>
    <t xml:space="preserve">GECKO 1476</t>
  </si>
  <si>
    <t xml:space="preserve">https://www.inaturalist.org/observations/370465950</t>
  </si>
  <si>
    <t xml:space="preserve">GECKO 1477</t>
  </si>
  <si>
    <t xml:space="preserve">wanderingeco</t>
  </si>
  <si>
    <t xml:space="preserve">https://www.inaturalist.org/observations/369574123</t>
  </si>
  <si>
    <t xml:space="preserve">GECKO 1478</t>
  </si>
  <si>
    <t xml:space="preserve">lucbenper</t>
  </si>
  <si>
    <t xml:space="preserve">https://www.inaturalist.org/observations/367697627</t>
  </si>
  <si>
    <t xml:space="preserve">GECKO 1479</t>
  </si>
  <si>
    <t xml:space="preserve">https://www.inaturalist.org/observations/363203076</t>
  </si>
  <si>
    <t xml:space="preserve">GECKO 1480</t>
  </si>
  <si>
    <t xml:space="preserve">https://www.inaturalist.org/observations/361147043</t>
  </si>
  <si>
    <t xml:space="preserve">GECKO 1481</t>
  </si>
  <si>
    <t xml:space="preserve">meggiew</t>
  </si>
  <si>
    <t xml:space="preserve">https://www.inaturalist.org/observations/356501868</t>
  </si>
  <si>
    <t xml:space="preserve">GECKO 1482</t>
  </si>
  <si>
    <t xml:space="preserve">https://www.inaturalist.org/observations/350483505</t>
  </si>
  <si>
    <t xml:space="preserve">GECKO 1483</t>
  </si>
  <si>
    <t xml:space="preserve">https://www.inaturalist.org/observations/349971047</t>
  </si>
  <si>
    <t xml:space="preserve">GECKO 1484</t>
  </si>
  <si>
    <t xml:space="preserve">https://www.inaturalist.org/observations/348038285</t>
  </si>
  <si>
    <t xml:space="preserve">GECKO 1485</t>
  </si>
  <si>
    <t xml:space="preserve">https://www.inaturalist.org/observations/347975194</t>
  </si>
  <si>
    <t xml:space="preserve">GECKO 1486</t>
  </si>
  <si>
    <t xml:space="preserve">GECKO 1487</t>
  </si>
  <si>
    <t xml:space="preserve">https://www.inaturalist.org/observations/347834918</t>
  </si>
  <si>
    <t xml:space="preserve">GECKO 1488</t>
  </si>
  <si>
    <t xml:space="preserve">GECKO 1489</t>
  </si>
  <si>
    <t xml:space="preserve">https://www.inaturalist.org/observations/347186631</t>
  </si>
  <si>
    <t xml:space="preserve">GECKO 1490</t>
  </si>
  <si>
    <t xml:space="preserve">andyliving</t>
  </si>
  <si>
    <t xml:space="preserve">https://www.inaturalist.org/observations/346982084</t>
  </si>
  <si>
    <t xml:space="preserve">GECKO 1491</t>
  </si>
  <si>
    <t xml:space="preserve">https://www.inaturalist.org/observations/346782686</t>
  </si>
  <si>
    <t xml:space="preserve">GECKO 1492</t>
  </si>
  <si>
    <t xml:space="preserve">candiceskelton</t>
  </si>
  <si>
    <t xml:space="preserve">https://www.inaturalist.org/observations/344652718</t>
  </si>
  <si>
    <t xml:space="preserve">GECKO 1493</t>
  </si>
  <si>
    <t xml:space="preserve">https://www.inaturalist.org/observations/342260405</t>
  </si>
  <si>
    <t xml:space="preserve">GECKO 1494</t>
  </si>
  <si>
    <t xml:space="preserve">quollsskinks</t>
  </si>
  <si>
    <t xml:space="preserve">https://www.inaturalist.org/observations/342236205</t>
  </si>
  <si>
    <t xml:space="preserve">GECKO 1495</t>
  </si>
  <si>
    <t xml:space="preserve">GECKO 1496</t>
  </si>
  <si>
    <t xml:space="preserve">jye_brooksy</t>
  </si>
  <si>
    <t xml:space="preserve">https://www.inaturalist.org/observations/342175627</t>
  </si>
  <si>
    <t xml:space="preserve">GECKO 1497</t>
  </si>
  <si>
    <t xml:space="preserve">https://www.inaturalist.org/observations/341890638</t>
  </si>
  <si>
    <t xml:space="preserve">GECKO 1498</t>
  </si>
  <si>
    <t xml:space="preserve">https://www.inaturalist.org/observations/341377352</t>
  </si>
  <si>
    <t xml:space="preserve">GECKO 1499</t>
  </si>
  <si>
    <t xml:space="preserve">GECKO 1500</t>
  </si>
  <si>
    <t xml:space="preserve">dgreenwood53</t>
  </si>
  <si>
    <t xml:space="preserve">https://www.inaturalist.org/observations/341076904</t>
  </si>
  <si>
    <t xml:space="preserve">GECKO 1501</t>
  </si>
  <si>
    <t xml:space="preserve">duke_n</t>
  </si>
  <si>
    <t xml:space="preserve">https://www.inaturalist.org/observations/340930408</t>
  </si>
  <si>
    <t xml:space="preserve">GECKO 1502</t>
  </si>
  <si>
    <t xml:space="preserve">GECKO 1503</t>
  </si>
  <si>
    <t xml:space="preserve">https://www.inaturalist.org/observations/339986114</t>
  </si>
  <si>
    <t xml:space="preserve">GECKO 1504</t>
  </si>
  <si>
    <t xml:space="preserve">osmosisly</t>
  </si>
  <si>
    <t xml:space="preserve">https://www.inaturalist.org/observations/337925531</t>
  </si>
  <si>
    <t xml:space="preserve">GECKO 1505</t>
  </si>
  <si>
    <t xml:space="preserve">jacobdevine</t>
  </si>
  <si>
    <t xml:space="preserve">https://www.inaturalist.org/observations/337617350</t>
  </si>
  <si>
    <t xml:space="preserve">GECKO 1506</t>
  </si>
  <si>
    <t xml:space="preserve">Diplodactylus tessellatus</t>
  </si>
  <si>
    <t xml:space="preserve">ulas_tekin</t>
  </si>
  <si>
    <t xml:space="preserve">https://www.inaturalist.org/observations/369260388</t>
  </si>
  <si>
    <t xml:space="preserve">GECKO 1507</t>
  </si>
  <si>
    <t xml:space="preserve">bugs_n_slugs</t>
  </si>
  <si>
    <t xml:space="preserve">https://www.inaturalist.org/observations/368300854</t>
  </si>
  <si>
    <t xml:space="preserve">GECKO 1508</t>
  </si>
  <si>
    <t xml:space="preserve">https://www.inaturalist.org/observations/361153780</t>
  </si>
  <si>
    <t xml:space="preserve">GECKO 1509</t>
  </si>
  <si>
    <t xml:space="preserve">conscientiousobserver</t>
  </si>
  <si>
    <t xml:space="preserve">https://www.inaturalist.org/observations/361125139</t>
  </si>
  <si>
    <t xml:space="preserve">GECKO 1510</t>
  </si>
  <si>
    <t xml:space="preserve">ellerobertson</t>
  </si>
  <si>
    <t xml:space="preserve">https://www.inaturalist.org/observations/360135951</t>
  </si>
  <si>
    <t xml:space="preserve">GECKO 1511</t>
  </si>
  <si>
    <t xml:space="preserve">distinguished_orca</t>
  </si>
  <si>
    <t xml:space="preserve">https://www.inaturalist.org/observations/357797871</t>
  </si>
  <si>
    <t xml:space="preserve">GECKO 1512</t>
  </si>
  <si>
    <t xml:space="preserve">jenks04</t>
  </si>
  <si>
    <t xml:space="preserve">https://www.inaturalist.org/observations/351949126</t>
  </si>
  <si>
    <t xml:space="preserve">GECKO 1513</t>
  </si>
  <si>
    <t xml:space="preserve">damienesquerre2</t>
  </si>
  <si>
    <t xml:space="preserve">https://www.inaturalist.org/observations/351424157</t>
  </si>
  <si>
    <t xml:space="preserve">GECKO 1514</t>
  </si>
  <si>
    <t xml:space="preserve">mrlachlanb</t>
  </si>
  <si>
    <t xml:space="preserve">https://www.inaturalist.org/observations/349909250</t>
  </si>
  <si>
    <t xml:space="preserve">GECKO 1515</t>
  </si>
  <si>
    <t xml:space="preserve">GECKO 1516</t>
  </si>
  <si>
    <t xml:space="preserve">https://www.inaturalist.org/observations/348158005</t>
  </si>
  <si>
    <t xml:space="preserve">GECKO 1517</t>
  </si>
  <si>
    <t xml:space="preserve">murrayp88</t>
  </si>
  <si>
    <t xml:space="preserve">https://www.inaturalist.org/observations/348036559</t>
  </si>
  <si>
    <t xml:space="preserve">GECKO 1518</t>
  </si>
  <si>
    <t xml:space="preserve">GECKO 1519</t>
  </si>
  <si>
    <t xml:space="preserve">insectivor3</t>
  </si>
  <si>
    <t xml:space="preserve">https://www.inaturalist.org/observations/348010676</t>
  </si>
  <si>
    <t xml:space="preserve">GECKO 1520</t>
  </si>
  <si>
    <t xml:space="preserve">fraserj09</t>
  </si>
  <si>
    <t xml:space="preserve">https://www.inaturalist.org/observations/347774798</t>
  </si>
  <si>
    <t xml:space="preserve">GECKO 1521</t>
  </si>
  <si>
    <t xml:space="preserve">tanb9</t>
  </si>
  <si>
    <t xml:space="preserve">https://www.inaturalist.org/observations/347761576</t>
  </si>
  <si>
    <t xml:space="preserve">GECKO 1522</t>
  </si>
  <si>
    <t xml:space="preserve">patsoates</t>
  </si>
  <si>
    <t xml:space="preserve">https://www.inaturalist.org/observations/347312370</t>
  </si>
  <si>
    <t xml:space="preserve">GECKO 1523</t>
  </si>
  <si>
    <t xml:space="preserve">kurtmck</t>
  </si>
  <si>
    <t xml:space="preserve">https://www.inaturalist.org/observations/346219689</t>
  </si>
  <si>
    <t xml:space="preserve">GECKO 1524</t>
  </si>
  <si>
    <t xml:space="preserve">https://www.inaturalist.org/observations/343093194</t>
  </si>
  <si>
    <t xml:space="preserve">GECKO 1525</t>
  </si>
  <si>
    <t xml:space="preserve">GECKO 1526</t>
  </si>
  <si>
    <t xml:space="preserve">https://www.inaturalist.org/observations/341220934</t>
  </si>
  <si>
    <t xml:space="preserve">GECKO 1527</t>
  </si>
  <si>
    <t xml:space="preserve">https://www.inaturalist.org/observations/340285747</t>
  </si>
  <si>
    <t xml:space="preserve">GECKO 1528</t>
  </si>
  <si>
    <t xml:space="preserve">GECKO 1529</t>
  </si>
  <si>
    <t xml:space="preserve">https://www.inaturalist.org/observations/340285568</t>
  </si>
  <si>
    <t xml:space="preserve">GECKO 1530</t>
  </si>
  <si>
    <t xml:space="preserve">GECKO 1531</t>
  </si>
  <si>
    <t xml:space="preserve">GECKO 1532</t>
  </si>
  <si>
    <t xml:space="preserve">https://www.inaturalist.org/observations/340016560</t>
  </si>
  <si>
    <t xml:space="preserve">GECKO 1533</t>
  </si>
  <si>
    <t xml:space="preserve">mia_hosken</t>
  </si>
  <si>
    <t xml:space="preserve">https://www.inaturalist.org/observations/339709437</t>
  </si>
  <si>
    <t xml:space="preserve">GECKO 1534</t>
  </si>
  <si>
    <t xml:space="preserve">GECKO 1535</t>
  </si>
  <si>
    <t xml:space="preserve">https://www.inaturalist.org/observations/339621624</t>
  </si>
  <si>
    <t xml:space="preserve">GECKO 1536</t>
  </si>
  <si>
    <t xml:space="preserve">https://www.inaturalist.org/observations/339621623</t>
  </si>
  <si>
    <t xml:space="preserve">GECKO 1537</t>
  </si>
  <si>
    <t xml:space="preserve">https://www.inaturalist.org/observations/339621622</t>
  </si>
  <si>
    <t xml:space="preserve">GECKO 1538</t>
  </si>
  <si>
    <t xml:space="preserve">t-weichselbaum</t>
  </si>
  <si>
    <t xml:space="preserve">https://www.inaturalist.org/observations/336440788</t>
  </si>
  <si>
    <t xml:space="preserve">GECKO 1539</t>
  </si>
  <si>
    <t xml:space="preserve">GECKO 1540</t>
  </si>
  <si>
    <t xml:space="preserve">https://www.inaturalist.org/observations/336440787</t>
  </si>
  <si>
    <t xml:space="preserve">GECKO 1541</t>
  </si>
  <si>
    <t xml:space="preserve">harry32845</t>
  </si>
  <si>
    <t xml:space="preserve">https://www.inaturalist.org/observations/379679786</t>
  </si>
  <si>
    <t xml:space="preserve">GECKO 1542</t>
  </si>
  <si>
    <t xml:space="preserve">nswparkranger</t>
  </si>
  <si>
    <t xml:space="preserve">https://www.inaturalist.org/observations/376380846</t>
  </si>
  <si>
    <t xml:space="preserve">GECKO 1543</t>
  </si>
  <si>
    <t xml:space="preserve">michelleljonesau</t>
  </si>
  <si>
    <t xml:space="preserve">https://www.inaturalist.org/observations/371134276</t>
  </si>
  <si>
    <t xml:space="preserve">GECKO 1544</t>
  </si>
  <si>
    <t xml:space="preserve">mrsmumme</t>
  </si>
  <si>
    <t xml:space="preserve">https://www.inaturalist.org/observations/369564198</t>
  </si>
  <si>
    <t xml:space="preserve">GECKO 1545</t>
  </si>
  <si>
    <t xml:space="preserve">GECKO 1546</t>
  </si>
  <si>
    <t xml:space="preserve">https://www.inaturalist.org/observations/377083623</t>
  </si>
  <si>
    <t xml:space="preserve">GECKO 1547</t>
  </si>
  <si>
    <t xml:space="preserve">https://www.inaturalist.org/observations/367997902</t>
  </si>
  <si>
    <t xml:space="preserve">GECKO 1548</t>
  </si>
  <si>
    <t xml:space="preserve">koiz</t>
  </si>
  <si>
    <t xml:space="preserve">https://www.inaturalist.org/observations/364208532</t>
  </si>
  <si>
    <t xml:space="preserve">GECKO 1549</t>
  </si>
  <si>
    <t xml:space="preserve">pamday4</t>
  </si>
  <si>
    <t xml:space="preserve">https://www.inaturalist.org/observations/363569209</t>
  </si>
  <si>
    <t xml:space="preserve">GECKO 1550</t>
  </si>
  <si>
    <t xml:space="preserve">https://www.inaturalist.org/observations/362899595</t>
  </si>
  <si>
    <t xml:space="preserve">GECKO 1551</t>
  </si>
  <si>
    <t xml:space="preserve">https://www.inaturalist.org/observations/362714419</t>
  </si>
  <si>
    <t xml:space="preserve">GECKO 1552</t>
  </si>
  <si>
    <t xml:space="preserve">randall_f</t>
  </si>
  <si>
    <t xml:space="preserve">https://www.inaturalist.org/observations/358529096</t>
  </si>
  <si>
    <t xml:space="preserve">GECKO 1553</t>
  </si>
  <si>
    <t xml:space="preserve">https://www.inaturalist.org/observations/353993355</t>
  </si>
  <si>
    <t xml:space="preserve">GECKO 1554</t>
  </si>
  <si>
    <t xml:space="preserve">julien9uwr</t>
  </si>
  <si>
    <t xml:space="preserve">https://www.inaturalist.org/observations/353296551</t>
  </si>
  <si>
    <t xml:space="preserve">GECKO 1555</t>
  </si>
  <si>
    <t xml:space="preserve">markayers</t>
  </si>
  <si>
    <t xml:space="preserve">https://www.inaturalist.org/observations/351944726</t>
  </si>
  <si>
    <t xml:space="preserve">GECKO 1556</t>
  </si>
  <si>
    <t xml:space="preserve">andrew184</t>
  </si>
  <si>
    <t xml:space="preserve">https://www.inaturalist.org/observations/351922664</t>
  </si>
  <si>
    <t xml:space="preserve">GECKO 1557</t>
  </si>
  <si>
    <t xml:space="preserve">emma_karence_bormlund</t>
  </si>
  <si>
    <t xml:space="preserve">https://www.inaturalist.org/observations/351825144</t>
  </si>
  <si>
    <t xml:space="preserve">GECKO 1558</t>
  </si>
  <si>
    <t xml:space="preserve">jmrgardens</t>
  </si>
  <si>
    <t xml:space="preserve">https://www.inaturalist.org/observations/351654119</t>
  </si>
  <si>
    <t xml:space="preserve">GECKO 1559</t>
  </si>
  <si>
    <t xml:space="preserve">jimbobwe</t>
  </si>
  <si>
    <t xml:space="preserve">https://www.inaturalist.org/observations/351128327</t>
  </si>
  <si>
    <t xml:space="preserve">GECKO 1560</t>
  </si>
  <si>
    <t xml:space="preserve">https://www.inaturalist.org/observations/351075840</t>
  </si>
  <si>
    <t xml:space="preserve">GECKO 1561</t>
  </si>
  <si>
    <t xml:space="preserve">GECKO 1562</t>
  </si>
  <si>
    <t xml:space="preserve">weevilyday</t>
  </si>
  <si>
    <t xml:space="preserve">https://www.inaturalist.org/observations/350725857</t>
  </si>
  <si>
    <t xml:space="preserve">GECKO 1563</t>
  </si>
  <si>
    <t xml:space="preserve">https://www.inaturalist.org/observations/349202719</t>
  </si>
  <si>
    <t xml:space="preserve">GECKO 1564</t>
  </si>
  <si>
    <t xml:space="preserve">suecc</t>
  </si>
  <si>
    <t xml:space="preserve">https://www.inaturalist.org/observations/348879180</t>
  </si>
  <si>
    <t xml:space="preserve">GECKO 1565</t>
  </si>
  <si>
    <t xml:space="preserve">izaacrad</t>
  </si>
  <si>
    <t xml:space="preserve">https://www.inaturalist.org/observations/348870721</t>
  </si>
  <si>
    <t xml:space="preserve">GECKO 1566</t>
  </si>
  <si>
    <t xml:space="preserve">bhare3</t>
  </si>
  <si>
    <t xml:space="preserve">https://www.inaturalist.org/observations/348596112</t>
  </si>
  <si>
    <t xml:space="preserve">GECKO 1567</t>
  </si>
  <si>
    <t xml:space="preserve">GECKO 1568</t>
  </si>
  <si>
    <t xml:space="preserve">oz-e-wild</t>
  </si>
  <si>
    <t xml:space="preserve">https://www.inaturalist.org/observations/347170089</t>
  </si>
  <si>
    <t xml:space="preserve">GECKO 1569</t>
  </si>
  <si>
    <t xml:space="preserve">frankief</t>
  </si>
  <si>
    <t xml:space="preserve">https://www.inaturalist.org/observations/346344487</t>
  </si>
  <si>
    <t xml:space="preserve">GECKO 1570</t>
  </si>
  <si>
    <t xml:space="preserve">https://www.inaturalist.org/observations/345182733</t>
  </si>
  <si>
    <t xml:space="preserve">GECKO 1571</t>
  </si>
  <si>
    <t xml:space="preserve">burtony</t>
  </si>
  <si>
    <t xml:space="preserve">https://www.inaturalist.org/observations/342693075</t>
  </si>
  <si>
    <t xml:space="preserve">GECKO 1572</t>
  </si>
  <si>
    <t xml:space="preserve">https://www.inaturalist.org/observations/342432471</t>
  </si>
  <si>
    <t xml:space="preserve">GECKO 1573</t>
  </si>
  <si>
    <t xml:space="preserve">https://www.inaturalist.org/observations/341192361</t>
  </si>
  <si>
    <t xml:space="preserve">GECKO 1574</t>
  </si>
  <si>
    <t xml:space="preserve">https://www.inaturalist.org/observations/340761379</t>
  </si>
  <si>
    <t xml:space="preserve">GECKO 1575</t>
  </si>
  <si>
    <t xml:space="preserve">https://www.inaturalist.org/observations/340761375</t>
  </si>
  <si>
    <t xml:space="preserve">GECKO 1576</t>
  </si>
  <si>
    <t xml:space="preserve">Oedura cincta</t>
  </si>
  <si>
    <t xml:space="preserve">https://www.inaturalist.org/observations/362971137</t>
  </si>
  <si>
    <t xml:space="preserve">GECKO 1577</t>
  </si>
  <si>
    <t xml:space="preserve">https://www.inaturalist.org/observations/362178390</t>
  </si>
  <si>
    <t xml:space="preserve">GECKO 1578</t>
  </si>
  <si>
    <t xml:space="preserve">brad_gabriel</t>
  </si>
  <si>
    <t xml:space="preserve">https://www.inaturalist.org/observations/355378606</t>
  </si>
  <si>
    <t xml:space="preserve">GECKO 1579</t>
  </si>
  <si>
    <t xml:space="preserve">https://www.inaturalist.org/observations/351424200</t>
  </si>
  <si>
    <t xml:space="preserve">GECKO 1580</t>
  </si>
  <si>
    <t xml:space="preserve">jackfegan</t>
  </si>
  <si>
    <t xml:space="preserve">https://www.inaturalist.org/observations/350489123</t>
  </si>
  <si>
    <t xml:space="preserve">GECKO 1581</t>
  </si>
  <si>
    <t xml:space="preserve">rosrunciman</t>
  </si>
  <si>
    <t xml:space="preserve">https://www.inaturalist.org/observations/348929422</t>
  </si>
  <si>
    <t xml:space="preserve">GECKO 1582</t>
  </si>
  <si>
    <t xml:space="preserve">https://www.inaturalist.org/observations/348691325</t>
  </si>
  <si>
    <t xml:space="preserve">GECKO 1583</t>
  </si>
  <si>
    <t xml:space="preserve">coanne</t>
  </si>
  <si>
    <t xml:space="preserve">https://www.inaturalist.org/observations/347185442</t>
  </si>
  <si>
    <t xml:space="preserve">GECKO 1584</t>
  </si>
  <si>
    <t xml:space="preserve">https://www.inaturalist.org/observations/347184925</t>
  </si>
  <si>
    <t xml:space="preserve">GECKO 1585</t>
  </si>
  <si>
    <t xml:space="preserve">https://www.inaturalist.org/observations/347184432</t>
  </si>
  <si>
    <t xml:space="preserve">GECKO 1586</t>
  </si>
  <si>
    <t xml:space="preserve">https://www.inaturalist.org/observations/346746278</t>
  </si>
  <si>
    <t xml:space="preserve">GECKO 1587</t>
  </si>
  <si>
    <t xml:space="preserve">https://www.inaturalist.org/observations/345173998</t>
  </si>
  <si>
    <t xml:space="preserve">GECKO 1588</t>
  </si>
  <si>
    <t xml:space="preserve">bushratz</t>
  </si>
  <si>
    <t xml:space="preserve">https://www.inaturalist.org/observations/340565347</t>
  </si>
  <si>
    <t xml:space="preserve">GECKO 1589</t>
  </si>
  <si>
    <t xml:space="preserve">https://www.inaturalist.org/observations/340565342</t>
  </si>
  <si>
    <t xml:space="preserve">GECKO 1590</t>
  </si>
  <si>
    <t xml:space="preserve">https://www.inaturalist.org/observations/339709348</t>
  </si>
  <si>
    <t xml:space="preserve">GECKO 1591</t>
  </si>
  <si>
    <t xml:space="preserve">robbiemily</t>
  </si>
  <si>
    <t xml:space="preserve">https://www.inaturalist.org/observations/339632694</t>
  </si>
  <si>
    <t xml:space="preserve">GECKO 1592</t>
  </si>
  <si>
    <t xml:space="preserve">https://www.inaturalist.org/observations/336442457</t>
  </si>
  <si>
    <t xml:space="preserve">GECKO 1593</t>
  </si>
  <si>
    <t xml:space="preserve">https://www.inaturalist.org/observations/336221882</t>
  </si>
  <si>
    <t xml:space="preserve">GECKO 1594</t>
  </si>
  <si>
    <t xml:space="preserve">GECKO 1595</t>
  </si>
  <si>
    <t xml:space="preserve">https://www.inaturalist.org/observations/334426759</t>
  </si>
  <si>
    <t xml:space="preserve">GECKO 1596</t>
  </si>
  <si>
    <t xml:space="preserve">https://www.inaturalist.org/observations/333781966</t>
  </si>
  <si>
    <t xml:space="preserve">GECKO 1597</t>
  </si>
  <si>
    <t xml:space="preserve">https://www.inaturalist.org/observations/330947160</t>
  </si>
  <si>
    <t xml:space="preserve">GECKO 1598</t>
  </si>
  <si>
    <t xml:space="preserve">GECKO 1599</t>
  </si>
  <si>
    <t xml:space="preserve">GECKO 1600</t>
  </si>
  <si>
    <t xml:space="preserve">GECKO 1601</t>
  </si>
  <si>
    <t xml:space="preserve">https://www.inaturalist.org/observations/330261830</t>
  </si>
  <si>
    <t xml:space="preserve">GECKO 1602</t>
  </si>
  <si>
    <t xml:space="preserve">caedamortus</t>
  </si>
  <si>
    <t xml:space="preserve">https://www.inaturalist.org/observations/328169453</t>
  </si>
  <si>
    <t xml:space="preserve">GECKO 1603</t>
  </si>
  <si>
    <t xml:space="preserve">GECKO 1604</t>
  </si>
  <si>
    <t xml:space="preserve">GECKO 1605</t>
  </si>
  <si>
    <t xml:space="preserve">https://www.inaturalist.org/observations/328149336</t>
  </si>
  <si>
    <t xml:space="preserve">GECKO 1606</t>
  </si>
  <si>
    <t xml:space="preserve">GECKO 1607</t>
  </si>
  <si>
    <t xml:space="preserve">j_wheeler22</t>
  </si>
  <si>
    <t xml:space="preserve">https://www.inaturalist.org/observations/322360222</t>
  </si>
  <si>
    <t xml:space="preserve">GECKO 1608</t>
  </si>
  <si>
    <t xml:space="preserve">mitchmyrtaceae</t>
  </si>
  <si>
    <t xml:space="preserve">https://www.inaturalist.org/observations/322052909</t>
  </si>
  <si>
    <t xml:space="preserve">GECKO 1609</t>
  </si>
  <si>
    <t xml:space="preserve">GECKO 1610</t>
  </si>
  <si>
    <t xml:space="preserve">lucaspigeon</t>
  </si>
  <si>
    <t xml:space="preserve">https://www.inaturalist.org/observations/321218948</t>
  </si>
  <si>
    <t xml:space="preserve">GECKO 1611</t>
  </si>
  <si>
    <t xml:space="preserve">Oedura castelnaui</t>
  </si>
  <si>
    <t xml:space="preserve">ingreen626</t>
  </si>
  <si>
    <t xml:space="preserve">https://www.inaturalist.org/observations/378709405</t>
  </si>
  <si>
    <t xml:space="preserve">GECKO 1612</t>
  </si>
  <si>
    <t xml:space="preserve">popera</t>
  </si>
  <si>
    <t xml:space="preserve">https://www.inaturalist.org/observations/373821118</t>
  </si>
  <si>
    <t xml:space="preserve">GECKO 1613</t>
  </si>
  <si>
    <t xml:space="preserve">GECKO 1614</t>
  </si>
  <si>
    <t xml:space="preserve">https://www.inaturalist.org/observations/373817179</t>
  </si>
  <si>
    <t xml:space="preserve">GECKO 1615</t>
  </si>
  <si>
    <t xml:space="preserve">jodie_b</t>
  </si>
  <si>
    <t xml:space="preserve">https://www.inaturalist.org/observations/357767308</t>
  </si>
  <si>
    <t xml:space="preserve">GECKO 1616</t>
  </si>
  <si>
    <t xml:space="preserve">GECKO 1617</t>
  </si>
  <si>
    <t xml:space="preserve">GECKO 1618</t>
  </si>
  <si>
    <t xml:space="preserve">GECKO 1619</t>
  </si>
  <si>
    <t xml:space="preserve">wildren</t>
  </si>
  <si>
    <t xml:space="preserve">https://www.inaturalist.org/observations/351413066</t>
  </si>
  <si>
    <t xml:space="preserve">GECKO 1620</t>
  </si>
  <si>
    <t xml:space="preserve">petehallinwildlife</t>
  </si>
  <si>
    <t xml:space="preserve">https://www.inaturalist.org/observations/349204937</t>
  </si>
  <si>
    <t xml:space="preserve">GECKO 1621</t>
  </si>
  <si>
    <t xml:space="preserve">GECKO 1622</t>
  </si>
  <si>
    <t xml:space="preserve">https://www.inaturalist.org/observations/348221247</t>
  </si>
  <si>
    <t xml:space="preserve">GECKO 1623</t>
  </si>
  <si>
    <t xml:space="preserve">ehenri218</t>
  </si>
  <si>
    <t xml:space="preserve">https://www.inaturalist.org/observations/342881612</t>
  </si>
  <si>
    <t xml:space="preserve">GECKO 1624</t>
  </si>
  <si>
    <t xml:space="preserve">nanjian_xiao</t>
  </si>
  <si>
    <t xml:space="preserve">https://www.inaturalist.org/observations/342755643</t>
  </si>
  <si>
    <t xml:space="preserve">GECKO 1625</t>
  </si>
  <si>
    <t xml:space="preserve">https://www.inaturalist.org/observations/340962852</t>
  </si>
  <si>
    <t xml:space="preserve">GECKO 1626</t>
  </si>
  <si>
    <t xml:space="preserve">https://www.inaturalist.org/observations/340761258</t>
  </si>
  <si>
    <t xml:space="preserve">GECKO 1627</t>
  </si>
  <si>
    <t xml:space="preserve">https://www.inaturalist.org/observations/339965965</t>
  </si>
  <si>
    <t xml:space="preserve">GECKO 1628</t>
  </si>
  <si>
    <t xml:space="preserve">https://www.inaturalist.org/observations/331266025</t>
  </si>
  <si>
    <t xml:space="preserve">GECKO 1629</t>
  </si>
  <si>
    <t xml:space="preserve">bridgetteaussiemacro</t>
  </si>
  <si>
    <t xml:space="preserve">https://www.inaturalist.org/observations/328453465</t>
  </si>
  <si>
    <t xml:space="preserve">GECKO 1630</t>
  </si>
  <si>
    <t xml:space="preserve">gar_rethus</t>
  </si>
  <si>
    <t xml:space="preserve">https://www.inaturalist.org/observations/328268486</t>
  </si>
  <si>
    <t xml:space="preserve">GECKO 1631</t>
  </si>
  <si>
    <t xml:space="preserve">mitchell73</t>
  </si>
  <si>
    <t xml:space="preserve">https://www.inaturalist.org/observations/325330195</t>
  </si>
  <si>
    <t xml:space="preserve">GECKO 1632</t>
  </si>
  <si>
    <t xml:space="preserve">caleb_yates</t>
  </si>
  <si>
    <t xml:space="preserve">https://www.inaturalist.org/observations/321796597</t>
  </si>
  <si>
    <t xml:space="preserve">GECKO 1633</t>
  </si>
  <si>
    <t xml:space="preserve">https://www.inaturalist.org/observations/321550221</t>
  </si>
  <si>
    <t xml:space="preserve">GECKO 1634</t>
  </si>
  <si>
    <t xml:space="preserve">https://www.inaturalist.org/observations/319850750</t>
  </si>
  <si>
    <t xml:space="preserve">GECKO 1635</t>
  </si>
  <si>
    <t xml:space="preserve">adrianna_pisharkchick</t>
  </si>
  <si>
    <t xml:space="preserve">https://www.inaturalist.org/observations/319477228</t>
  </si>
  <si>
    <t xml:space="preserve">GECKO 1636</t>
  </si>
  <si>
    <t xml:space="preserve">https://www.inaturalist.org/observations/319462200</t>
  </si>
  <si>
    <t xml:space="preserve">GECKO 1637</t>
  </si>
  <si>
    <t xml:space="preserve">GECKO 1638</t>
  </si>
  <si>
    <t xml:space="preserve">GECKO 1639</t>
  </si>
  <si>
    <t xml:space="preserve">https://www.inaturalist.org/observations/315102833</t>
  </si>
  <si>
    <t xml:space="preserve">GECKO 1640</t>
  </si>
  <si>
    <t xml:space="preserve">https://www.inaturalist.org/observations/307869602</t>
  </si>
  <si>
    <t xml:space="preserve">GECKO 1641</t>
  </si>
  <si>
    <t xml:space="preserve">https://www.inaturalist.org/observations/300087965</t>
  </si>
  <si>
    <t xml:space="preserve">GECKO 1642</t>
  </si>
  <si>
    <t xml:space="preserve">https://www.inaturalist.org/observations/300087703</t>
  </si>
  <si>
    <t xml:space="preserve">GECKO 1643</t>
  </si>
  <si>
    <t xml:space="preserve">GECKO 1644</t>
  </si>
  <si>
    <t xml:space="preserve">wiiiywagtail</t>
  </si>
  <si>
    <t xml:space="preserve">https://www.inaturalist.org/observations/264431794</t>
  </si>
  <si>
    <t xml:space="preserve">GECKO 1645</t>
  </si>
  <si>
    <t xml:space="preserve">riley_byrne</t>
  </si>
  <si>
    <t xml:space="preserve">https://www.inaturalist.org/observations/264413352</t>
  </si>
  <si>
    <t xml:space="preserve">GECKO 1646</t>
  </si>
  <si>
    <t xml:space="preserve">Strophurus</t>
  </si>
  <si>
    <t xml:space="preserve">Strophurus ciliaris</t>
  </si>
  <si>
    <t xml:space="preserve">hrnature</t>
  </si>
  <si>
    <t xml:space="preserve">https://www.inaturalist.org/observations/379915876</t>
  </si>
  <si>
    <t xml:space="preserve">GECKO 1647</t>
  </si>
  <si>
    <t xml:space="preserve">asaph01</t>
  </si>
  <si>
    <t xml:space="preserve">https://www.inaturalist.org/observations/378709802</t>
  </si>
  <si>
    <t xml:space="preserve">GECKO 1648</t>
  </si>
  <si>
    <t xml:space="preserve">https://www.inaturalist.org/observations/378668411</t>
  </si>
  <si>
    <t xml:space="preserve">GECKO 1649</t>
  </si>
  <si>
    <t xml:space="preserve">https://www.inaturalist.org/observations/378668357</t>
  </si>
  <si>
    <t xml:space="preserve">GECKO 1650</t>
  </si>
  <si>
    <t xml:space="preserve">GECKO 1651</t>
  </si>
  <si>
    <t xml:space="preserve">https://www.inaturalist.org/observations/378668161</t>
  </si>
  <si>
    <t xml:space="preserve">GECKO 1652</t>
  </si>
  <si>
    <t xml:space="preserve">https://www.inaturalist.org/observations/378667269</t>
  </si>
  <si>
    <t xml:space="preserve">GECKO 1653</t>
  </si>
  <si>
    <t xml:space="preserve">nweigner</t>
  </si>
  <si>
    <t xml:space="preserve">https://www.inaturalist.org/observations/374820789</t>
  </si>
  <si>
    <t xml:space="preserve">GECKO 1654</t>
  </si>
  <si>
    <t xml:space="preserve">https://www.inaturalist.org/observations/373781900</t>
  </si>
  <si>
    <t xml:space="preserve">GECKO 1655</t>
  </si>
  <si>
    <t xml:space="preserve">https://www.inaturalist.org/observations/372646129</t>
  </si>
  <si>
    <t xml:space="preserve">GECKO 1656</t>
  </si>
  <si>
    <t xml:space="preserve">https://www.inaturalist.org/observations/372640241</t>
  </si>
  <si>
    <t xml:space="preserve">GECKO 1657</t>
  </si>
  <si>
    <t xml:space="preserve">https://www.inaturalist.org/observations/372402743</t>
  </si>
  <si>
    <t xml:space="preserve">GECKO 1658</t>
  </si>
  <si>
    <t xml:space="preserve">kurtle88</t>
  </si>
  <si>
    <t xml:space="preserve">https://www.inaturalist.org/observations/371935261</t>
  </si>
  <si>
    <t xml:space="preserve">GECKO 1659</t>
  </si>
  <si>
    <t xml:space="preserve">natechu0</t>
  </si>
  <si>
    <t xml:space="preserve">https://www.inaturalist.org/observations/369692363</t>
  </si>
  <si>
    <t xml:space="preserve">GECKO 1660</t>
  </si>
  <si>
    <t xml:space="preserve">https://www.inaturalist.org/observations/367964825</t>
  </si>
  <si>
    <t xml:space="preserve">GECKO 1661</t>
  </si>
  <si>
    <t xml:space="preserve">https://www.inaturalist.org/observations/367664394</t>
  </si>
  <si>
    <t xml:space="preserve">GECKO 1662</t>
  </si>
  <si>
    <t xml:space="preserve">glen_murray</t>
  </si>
  <si>
    <t xml:space="preserve">https://www.inaturalist.org/observations/358252039</t>
  </si>
  <si>
    <t xml:space="preserve">GECKO 1663</t>
  </si>
  <si>
    <t xml:space="preserve">GECKO 1664</t>
  </si>
  <si>
    <t xml:space="preserve">https://www.inaturalist.org/observations/357320555</t>
  </si>
  <si>
    <t xml:space="preserve">GECKO 1665</t>
  </si>
  <si>
    <t xml:space="preserve">https://www.inaturalist.org/observations/354805570</t>
  </si>
  <si>
    <t xml:space="preserve">GECKO 1666</t>
  </si>
  <si>
    <t xml:space="preserve">https://www.inaturalist.org/observations/351704881</t>
  </si>
  <si>
    <t xml:space="preserve">GECKO 1667</t>
  </si>
  <si>
    <t xml:space="preserve">jordanferguson</t>
  </si>
  <si>
    <t xml:space="preserve">https://www.inaturalist.org/observations/349112459</t>
  </si>
  <si>
    <t xml:space="preserve">GECKO 1668</t>
  </si>
  <si>
    <t xml:space="preserve">https://www.inaturalist.org/observations/347842221</t>
  </si>
  <si>
    <t xml:space="preserve">GECKO 1669</t>
  </si>
  <si>
    <t xml:space="preserve">froggyreptile</t>
  </si>
  <si>
    <t xml:space="preserve">https://www.inaturalist.org/observations/346308385</t>
  </si>
  <si>
    <t xml:space="preserve">GECKO 1670</t>
  </si>
  <si>
    <t xml:space="preserve">louisoneill</t>
  </si>
  <si>
    <t xml:space="preserve">https://www.inaturalist.org/observations/342498953</t>
  </si>
  <si>
    <t xml:space="preserve">GECKO 1671</t>
  </si>
  <si>
    <t xml:space="preserve">GECKO 1672</t>
  </si>
  <si>
    <t xml:space="preserve">https://www.inaturalist.org/observations/336568119</t>
  </si>
  <si>
    <t xml:space="preserve">GECKO 1673</t>
  </si>
  <si>
    <t xml:space="preserve">https://www.inaturalist.org/observations/339837405</t>
  </si>
  <si>
    <t xml:space="preserve">GECKO 1674</t>
  </si>
  <si>
    <t xml:space="preserve">clarissahuman</t>
  </si>
  <si>
    <t xml:space="preserve">https://www.inaturalist.org/observations/342072352</t>
  </si>
  <si>
    <t xml:space="preserve">GECKO 1675</t>
  </si>
  <si>
    <t xml:space="preserve">https://www.inaturalist.org/observations/336051466</t>
  </si>
  <si>
    <t xml:space="preserve">GECKO 1676</t>
  </si>
  <si>
    <t xml:space="preserve">cemonehedges</t>
  </si>
  <si>
    <t xml:space="preserve">https://www.inaturalist.org/observations/335263811</t>
  </si>
  <si>
    <t xml:space="preserve">GECKO 1677</t>
  </si>
  <si>
    <t xml:space="preserve">anaellefrc</t>
  </si>
  <si>
    <t xml:space="preserve">https://www.inaturalist.org/observations/334954614</t>
  </si>
  <si>
    <t xml:space="preserve">GECKO 1678</t>
  </si>
  <si>
    <t xml:space="preserve">GECKO 1679</t>
  </si>
  <si>
    <t xml:space="preserve">https://www.inaturalist.org/observations/329507742</t>
  </si>
  <si>
    <t xml:space="preserve">GECKO 1680</t>
  </si>
  <si>
    <t xml:space="preserve">GECKO 1681</t>
  </si>
  <si>
    <t xml:space="preserve">Phyllodactylidae</t>
  </si>
  <si>
    <t xml:space="preserve">Tarentola</t>
  </si>
  <si>
    <t xml:space="preserve">Tarentola mauritanica</t>
  </si>
  <si>
    <t xml:space="preserve">pkmouse</t>
  </si>
  <si>
    <t xml:space="preserve">https://www.inaturalist.org/observations/380525101</t>
  </si>
  <si>
    <t xml:space="preserve">GECKO 1682</t>
  </si>
  <si>
    <t xml:space="preserve">pasanci</t>
  </si>
  <si>
    <t xml:space="preserve">https://www.inaturalist.org/observations/380524701</t>
  </si>
  <si>
    <t xml:space="preserve">GECKO 1683</t>
  </si>
  <si>
    <t xml:space="preserve">santino1126</t>
  </si>
  <si>
    <t xml:space="preserve">https://www.inaturalist.org/observations/380503336</t>
  </si>
  <si>
    <t xml:space="preserve">GECKO 1684</t>
  </si>
  <si>
    <t xml:space="preserve">GECKO 1685</t>
  </si>
  <si>
    <t xml:space="preserve">iokolate</t>
  </si>
  <si>
    <t xml:space="preserve">https://www.inaturalist.org/observations/380492766</t>
  </si>
  <si>
    <t xml:space="preserve">GECKO 1686</t>
  </si>
  <si>
    <t xml:space="preserve">GECKO 1687</t>
  </si>
  <si>
    <t xml:space="preserve">matt68772</t>
  </si>
  <si>
    <t xml:space="preserve">https://www.inaturalist.org/observations/380170125</t>
  </si>
  <si>
    <t xml:space="preserve">GECKO 1688</t>
  </si>
  <si>
    <t xml:space="preserve">giel_photography</t>
  </si>
  <si>
    <t xml:space="preserve">https://www.inaturalist.org/observations/380441937</t>
  </si>
  <si>
    <t xml:space="preserve">GECKO 1689</t>
  </si>
  <si>
    <t xml:space="preserve">tragicomico</t>
  </si>
  <si>
    <t xml:space="preserve">https://www.inaturalist.org/observations/380418041</t>
  </si>
  <si>
    <t xml:space="preserve">GECKO 1690</t>
  </si>
  <si>
    <t xml:space="preserve">francescomocci</t>
  </si>
  <si>
    <t xml:space="preserve">https://www.inaturalist.org/observations/380338316</t>
  </si>
  <si>
    <t xml:space="preserve">GECKO 1691</t>
  </si>
  <si>
    <t xml:space="preserve">sduarte22</t>
  </si>
  <si>
    <t xml:space="preserve">https://www.inaturalist.org/observations/380292368</t>
  </si>
  <si>
    <t xml:space="preserve">GECKO 1692</t>
  </si>
  <si>
    <t xml:space="preserve">tomeubosch</t>
  </si>
  <si>
    <t xml:space="preserve">https://www.inaturalist.org/observations/380256267</t>
  </si>
  <si>
    <t xml:space="preserve">GECKO 1693</t>
  </si>
  <si>
    <t xml:space="preserve">lucapassalacqua</t>
  </si>
  <si>
    <t xml:space="preserve">https://www.inaturalist.org/observations/380232171</t>
  </si>
  <si>
    <t xml:space="preserve">GECKO 1694</t>
  </si>
  <si>
    <t xml:space="preserve">mb_diaries</t>
  </si>
  <si>
    <t xml:space="preserve">https://www.inaturalist.org/observations/380112288</t>
  </si>
  <si>
    <t xml:space="preserve">GECKO 1695</t>
  </si>
  <si>
    <t xml:space="preserve">giorgio3b</t>
  </si>
  <si>
    <t xml:space="preserve">https://www.inaturalist.org/observations/380053618</t>
  </si>
  <si>
    <t xml:space="preserve">GECKO 1696</t>
  </si>
  <si>
    <t xml:space="preserve">GECKO 1697</t>
  </si>
  <si>
    <t xml:space="preserve">jaxoncai</t>
  </si>
  <si>
    <t xml:space="preserve">https://www.inaturalist.org/observations/380044682</t>
  </si>
  <si>
    <t xml:space="preserve">GECKO 1698</t>
  </si>
  <si>
    <t xml:space="preserve">srochholz</t>
  </si>
  <si>
    <t xml:space="preserve">https://www.inaturalist.org/observations/380001077</t>
  </si>
  <si>
    <t xml:space="preserve">GECKO 1699</t>
  </si>
  <si>
    <t xml:space="preserve">kitty_</t>
  </si>
  <si>
    <t xml:space="preserve">https://www.inaturalist.org/observations/379978443</t>
  </si>
  <si>
    <t xml:space="preserve">GECKO 1700</t>
  </si>
  <si>
    <t xml:space="preserve">chiarimax</t>
  </si>
  <si>
    <t xml:space="preserve">https://www.inaturalist.org/observations/379959638</t>
  </si>
  <si>
    <t xml:space="preserve">GECKO 1701</t>
  </si>
  <si>
    <t xml:space="preserve">hellosunbirds</t>
  </si>
  <si>
    <t xml:space="preserve">https://www.inaturalist.org/observations/379955606</t>
  </si>
  <si>
    <t xml:space="preserve">GECKO 1702</t>
  </si>
  <si>
    <t xml:space="preserve">jacques_hallot</t>
  </si>
  <si>
    <t xml:space="preserve">https://www.inaturalist.org/observations/379915069</t>
  </si>
  <si>
    <t xml:space="preserve">GECKO 1703</t>
  </si>
  <si>
    <t xml:space="preserve">galancho</t>
  </si>
  <si>
    <t xml:space="preserve">https://www.inaturalist.org/observations/379873583</t>
  </si>
  <si>
    <t xml:space="preserve">GECKO 1704</t>
  </si>
  <si>
    <t xml:space="preserve">davidflumm</t>
  </si>
  <si>
    <t xml:space="preserve">https://www.inaturalist.org/observations/379852199</t>
  </si>
  <si>
    <t xml:space="preserve">GECKO 1705</t>
  </si>
  <si>
    <t xml:space="preserve">stafen</t>
  </si>
  <si>
    <t xml:space="preserve">https://www.inaturalist.org/observations/379842838</t>
  </si>
  <si>
    <t xml:space="preserve">GECKO 1706</t>
  </si>
  <si>
    <t xml:space="preserve">max-pics</t>
  </si>
  <si>
    <t xml:space="preserve">https://www.inaturalist.org/observations/379839060</t>
  </si>
  <si>
    <t xml:space="preserve">GECKO 1707</t>
  </si>
  <si>
    <t xml:space="preserve">ricardoblanco</t>
  </si>
  <si>
    <t xml:space="preserve">https://www.inaturalist.org/observations/379825758</t>
  </si>
  <si>
    <t xml:space="preserve">GECKO 1708</t>
  </si>
  <si>
    <t xml:space="preserve">eva18593</t>
  </si>
  <si>
    <t xml:space="preserve">https://www.inaturalist.org/observations/379825342</t>
  </si>
  <si>
    <t xml:space="preserve">GECKO 1709</t>
  </si>
  <si>
    <t xml:space="preserve">https://www.inaturalist.org/observations/379825232</t>
  </si>
  <si>
    <t xml:space="preserve">GECKO 1710</t>
  </si>
  <si>
    <t xml:space="preserve">eduardo86187</t>
  </si>
  <si>
    <t xml:space="preserve">https://www.inaturalist.org/observations/379810722</t>
  </si>
  <si>
    <t xml:space="preserve">GECKO 1711</t>
  </si>
  <si>
    <t xml:space="preserve">dilophosaurus_69</t>
  </si>
  <si>
    <t xml:space="preserve">https://www.inaturalist.org/observations/379809115</t>
  </si>
  <si>
    <t xml:space="preserve">GECKO 1712</t>
  </si>
  <si>
    <t xml:space="preserve">jost_holtzmann</t>
  </si>
  <si>
    <t xml:space="preserve">https://www.inaturalist.org/observations/379803140</t>
  </si>
  <si>
    <t xml:space="preserve">GECKO 1713</t>
  </si>
  <si>
    <t xml:space="preserve">angelique84704</t>
  </si>
  <si>
    <t xml:space="preserve">https://www.inaturalist.org/observations/379802558</t>
  </si>
  <si>
    <t xml:space="preserve">GECKO 1714</t>
  </si>
  <si>
    <t xml:space="preserve">mclarke1123</t>
  </si>
  <si>
    <t xml:space="preserve">https://www.inaturalist.org/observations/379796160</t>
  </si>
  <si>
    <t xml:space="preserve">GECKO 1715</t>
  </si>
  <si>
    <t xml:space="preserve">mauro_fioretto</t>
  </si>
  <si>
    <t xml:space="preserve">https://www.inaturalist.org/observations/380079065</t>
  </si>
  <si>
    <t xml:space="preserve">GECKO 1716</t>
  </si>
  <si>
    <t xml:space="preserve">Tarentola delalandii</t>
  </si>
  <si>
    <t xml:space="preserve">olivehead</t>
  </si>
  <si>
    <t xml:space="preserve">https://www.inaturalist.org/observations/373514350</t>
  </si>
  <si>
    <t xml:space="preserve">GECKO 1717</t>
  </si>
  <si>
    <t xml:space="preserve">GECKO 1718</t>
  </si>
  <si>
    <t xml:space="preserve">gaialucia</t>
  </si>
  <si>
    <t xml:space="preserve">https://www.inaturalist.org/observations/372375703</t>
  </si>
  <si>
    <t xml:space="preserve">GECKO 1719</t>
  </si>
  <si>
    <t xml:space="preserve">nau_</t>
  </si>
  <si>
    <t xml:space="preserve">https://www.inaturalist.org/observations/370742201</t>
  </si>
  <si>
    <t xml:space="preserve">GECKO 1720</t>
  </si>
  <si>
    <t xml:space="preserve">marc_meynadier</t>
  </si>
  <si>
    <t xml:space="preserve">https://www.inaturalist.org/observations/369304234</t>
  </si>
  <si>
    <t xml:space="preserve">GECKO 1721</t>
  </si>
  <si>
    <t xml:space="preserve">steiblys</t>
  </si>
  <si>
    <t xml:space="preserve">https://www.inaturalist.org/observations/366021427</t>
  </si>
  <si>
    <t xml:space="preserve">GECKO 1722</t>
  </si>
  <si>
    <t xml:space="preserve">https://www.inaturalist.org/observations/364314499</t>
  </si>
  <si>
    <t xml:space="preserve">GECKO 1723</t>
  </si>
  <si>
    <t xml:space="preserve">ubif</t>
  </si>
  <si>
    <t xml:space="preserve">https://www.inaturalist.org/observations/360188388</t>
  </si>
  <si>
    <t xml:space="preserve">GECKO 1724</t>
  </si>
  <si>
    <t xml:space="preserve">tuero</t>
  </si>
  <si>
    <t xml:space="preserve">https://www.inaturalist.org/observations/357494384</t>
  </si>
  <si>
    <t xml:space="preserve">GECKO 1725</t>
  </si>
  <si>
    <t xml:space="preserve">ahevcar</t>
  </si>
  <si>
    <t xml:space="preserve">https://www.inaturalist.org/observations/357481414</t>
  </si>
  <si>
    <t xml:space="preserve">GECKO 1726</t>
  </si>
  <si>
    <t xml:space="preserve">https://www.inaturalist.org/observations/357264152</t>
  </si>
  <si>
    <t xml:space="preserve">GECKO 1727</t>
  </si>
  <si>
    <t xml:space="preserve">mickmilner</t>
  </si>
  <si>
    <t xml:space="preserve">https://www.inaturalist.org/observations/349802145</t>
  </si>
  <si>
    <t xml:space="preserve">GECKO 1728</t>
  </si>
  <si>
    <t xml:space="preserve">naiki_gallotia_auaritae</t>
  </si>
  <si>
    <t xml:space="preserve">https://www.inaturalist.org/observations/349969838</t>
  </si>
  <si>
    <t xml:space="preserve">GECKO 1729</t>
  </si>
  <si>
    <t xml:space="preserve">GECKO 1730</t>
  </si>
  <si>
    <t xml:space="preserve">cassi_astronomy</t>
  </si>
  <si>
    <t xml:space="preserve">https://www.inaturalist.org/observations/349354315</t>
  </si>
  <si>
    <t xml:space="preserve">GECKO 1731</t>
  </si>
  <si>
    <t xml:space="preserve">wendy2718</t>
  </si>
  <si>
    <t xml:space="preserve">https://www.inaturalist.org/observations/346861173</t>
  </si>
  <si>
    <t xml:space="preserve">GECKO 1732</t>
  </si>
  <si>
    <t xml:space="preserve">pkocare1</t>
  </si>
  <si>
    <t xml:space="preserve">https://www.inaturalist.org/observations/345338152</t>
  </si>
  <si>
    <t xml:space="preserve">GECKO 1733</t>
  </si>
  <si>
    <t xml:space="preserve">perenquen007</t>
  </si>
  <si>
    <t xml:space="preserve">https://www.inaturalist.org/observations/344668073</t>
  </si>
  <si>
    <t xml:space="preserve">GECKO 1734</t>
  </si>
  <si>
    <t xml:space="preserve">GECKO 1735</t>
  </si>
  <si>
    <t xml:space="preserve">wernerr</t>
  </si>
  <si>
    <t xml:space="preserve">https://www.inaturalist.org/observations/345288866</t>
  </si>
  <si>
    <t xml:space="preserve">GECKO 1736</t>
  </si>
  <si>
    <t xml:space="preserve">https://www.inaturalist.org/observations/343341003</t>
  </si>
  <si>
    <t xml:space="preserve">GECKO 1737</t>
  </si>
  <si>
    <t xml:space="preserve">https://www.inaturalist.org/observations/341424175</t>
  </si>
  <si>
    <t xml:space="preserve">GECKO 1738</t>
  </si>
  <si>
    <t xml:space="preserve">little_mud_fish</t>
  </si>
  <si>
    <t xml:space="preserve">https://www.inaturalist.org/observations/339301092</t>
  </si>
  <si>
    <t xml:space="preserve">GECKO 1739</t>
  </si>
  <si>
    <t xml:space="preserve">fred11869</t>
  </si>
  <si>
    <t xml:space="preserve">https://www.inaturalist.org/observations/339194533</t>
  </si>
  <si>
    <t xml:space="preserve">GECKO 1740</t>
  </si>
  <si>
    <t xml:space="preserve">matteopolo</t>
  </si>
  <si>
    <t xml:space="preserve">https://www.inaturalist.org/observations/338189678</t>
  </si>
  <si>
    <t xml:space="preserve">GECKO 1741</t>
  </si>
  <si>
    <t xml:space="preserve">vasek22</t>
  </si>
  <si>
    <t xml:space="preserve">https://www.inaturalist.org/observations/337524637</t>
  </si>
  <si>
    <t xml:space="preserve">GECKO 1742</t>
  </si>
  <si>
    <t xml:space="preserve">martatischer</t>
  </si>
  <si>
    <t xml:space="preserve">https://www.inaturalist.org/observations/335384134</t>
  </si>
  <si>
    <t xml:space="preserve">GECKO 1743</t>
  </si>
  <si>
    <t xml:space="preserve">https://www.inaturalist.org/observations/335384290</t>
  </si>
  <si>
    <t xml:space="preserve">GECKO 1744</t>
  </si>
  <si>
    <t xml:space="preserve">GECKO 1745</t>
  </si>
  <si>
    <t xml:space="preserve">walter_zoccarato</t>
  </si>
  <si>
    <t xml:space="preserve">https://www.inaturalist.org/observations/334588275</t>
  </si>
  <si>
    <t xml:space="preserve">GECKO 1746</t>
  </si>
  <si>
    <t xml:space="preserve">evigierisch</t>
  </si>
  <si>
    <t xml:space="preserve">https://www.inaturalist.org/observations/334590339</t>
  </si>
  <si>
    <t xml:space="preserve">GECKO 1747</t>
  </si>
  <si>
    <t xml:space="preserve">coleraptor</t>
  </si>
  <si>
    <t xml:space="preserve">https://www.inaturalist.org/observations/334079424</t>
  </si>
  <si>
    <t xml:space="preserve">GECKO 1748</t>
  </si>
  <si>
    <t xml:space="preserve">silviupetrovan</t>
  </si>
  <si>
    <t xml:space="preserve">https://www.inaturalist.org/observations/332434608</t>
  </si>
  <si>
    <t xml:space="preserve">GECKO 1749</t>
  </si>
  <si>
    <t xml:space="preserve">aitorlop</t>
  </si>
  <si>
    <t xml:space="preserve">https://www.inaturalist.org/observations/319368344</t>
  </si>
  <si>
    <t xml:space="preserve">GECKO 1750</t>
  </si>
  <si>
    <t xml:space="preserve">dajinmaak</t>
  </si>
  <si>
    <t xml:space="preserve">https://www.inaturalist.org/observations/299471183</t>
  </si>
  <si>
    <t xml:space="preserve">GECKO 1751</t>
  </si>
  <si>
    <t xml:space="preserve">Tarentola angustimentalis</t>
  </si>
  <si>
    <t xml:space="preserve">risak</t>
  </si>
  <si>
    <t xml:space="preserve">https://www.inaturalist.org/observations/380830752</t>
  </si>
  <si>
    <t xml:space="preserve">GECKO 1752</t>
  </si>
  <si>
    <t xml:space="preserve">carlos-fierro</t>
  </si>
  <si>
    <t xml:space="preserve">https://www.inaturalist.org/observations/380394280</t>
  </si>
  <si>
    <t xml:space="preserve">GECKO 1753</t>
  </si>
  <si>
    <t xml:space="preserve">GECKO 1754</t>
  </si>
  <si>
    <t xml:space="preserve">jesicar</t>
  </si>
  <si>
    <t xml:space="preserve">https://www.inaturalist.org/observations/378784983</t>
  </si>
  <si>
    <t xml:space="preserve">GECKO 1755</t>
  </si>
  <si>
    <t xml:space="preserve">jeiras</t>
  </si>
  <si>
    <t xml:space="preserve">https://www.inaturalist.org/observations/378736376</t>
  </si>
  <si>
    <t xml:space="preserve">GECKO 1756</t>
  </si>
  <si>
    <t xml:space="preserve">ern_est</t>
  </si>
  <si>
    <t xml:space="preserve">https://www.inaturalist.org/observations/374322261</t>
  </si>
  <si>
    <t xml:space="preserve">GECKO 1757</t>
  </si>
  <si>
    <t xml:space="preserve">nstern</t>
  </si>
  <si>
    <t xml:space="preserve">https://www.inaturalist.org/observations/364473400</t>
  </si>
  <si>
    <t xml:space="preserve">GECKO 1758</t>
  </si>
  <si>
    <t xml:space="preserve">chloe3044</t>
  </si>
  <si>
    <t xml:space="preserve">https://www.inaturalist.org/observations/364410172</t>
  </si>
  <si>
    <t xml:space="preserve">GECKO 1759</t>
  </si>
  <si>
    <t xml:space="preserve">amaneko</t>
  </si>
  <si>
    <t xml:space="preserve">https://www.inaturalist.org/observations/348108208</t>
  </si>
  <si>
    <t xml:space="preserve">GECKO 1760</t>
  </si>
  <si>
    <t xml:space="preserve">brunoandmartin</t>
  </si>
  <si>
    <t xml:space="preserve">https://www.inaturalist.org/observations/345526693</t>
  </si>
  <si>
    <t xml:space="preserve">GECKO 1761</t>
  </si>
  <si>
    <t xml:space="preserve">https://www.inaturalist.org/observations/342164842</t>
  </si>
  <si>
    <t xml:space="preserve">GECKO 1762</t>
  </si>
  <si>
    <t xml:space="preserve">https://www.inaturalist.org/observations/341426535</t>
  </si>
  <si>
    <t xml:space="preserve">GECKO 1763</t>
  </si>
  <si>
    <t xml:space="preserve">https://www.inaturalist.org/observations/337524166</t>
  </si>
  <si>
    <t xml:space="preserve">GECKO 1764</t>
  </si>
  <si>
    <t xml:space="preserve">bargon</t>
  </si>
  <si>
    <t xml:space="preserve">https://www.inaturalist.org/observations/336604830</t>
  </si>
  <si>
    <t xml:space="preserve">GECKO 1765</t>
  </si>
  <si>
    <t xml:space="preserve">verstraeten</t>
  </si>
  <si>
    <t xml:space="preserve">https://www.inaturalist.org/observations/331915489</t>
  </si>
  <si>
    <t xml:space="preserve">GECKO 1766</t>
  </si>
  <si>
    <t xml:space="preserve">naturalonso</t>
  </si>
  <si>
    <t xml:space="preserve">https://www.inaturalist.org/observations/331533888</t>
  </si>
  <si>
    <t xml:space="preserve">GECKO 1767</t>
  </si>
  <si>
    <t xml:space="preserve">https://www.inaturalist.org/observations/330755014</t>
  </si>
  <si>
    <t xml:space="preserve">GECKO 1768</t>
  </si>
  <si>
    <t xml:space="preserve">GECKO 1769</t>
  </si>
  <si>
    <t xml:space="preserve">mariomjg999</t>
  </si>
  <si>
    <t xml:space="preserve">https://www.inaturalist.org/observations/329880948</t>
  </si>
  <si>
    <t xml:space="preserve">GECKO 1770</t>
  </si>
  <si>
    <t xml:space="preserve">whoisababybear</t>
  </si>
  <si>
    <t xml:space="preserve">https://www.inaturalist.org/observations/327914220</t>
  </si>
  <si>
    <t xml:space="preserve">GECKO 1771</t>
  </si>
  <si>
    <t xml:space="preserve">luaines</t>
  </si>
  <si>
    <t xml:space="preserve">https://www.inaturalist.org/observations/315192001</t>
  </si>
  <si>
    <t xml:space="preserve">GECKO 1772</t>
  </si>
  <si>
    <t xml:space="preserve">juliangums</t>
  </si>
  <si>
    <t xml:space="preserve">https://www.inaturalist.org/observations/307751904</t>
  </si>
  <si>
    <t xml:space="preserve">GECKO 1773</t>
  </si>
  <si>
    <t xml:space="preserve">phil_newman</t>
  </si>
  <si>
    <t xml:space="preserve">https://www.inaturalist.org/observations/310248056</t>
  </si>
  <si>
    <t xml:space="preserve">GECKO 1774</t>
  </si>
  <si>
    <t xml:space="preserve">felicity0907</t>
  </si>
  <si>
    <t xml:space="preserve">https://www.inaturalist.org/observations/304911946</t>
  </si>
  <si>
    <t xml:space="preserve">GECKO 1775</t>
  </si>
  <si>
    <t xml:space="preserve">alexander_a</t>
  </si>
  <si>
    <t xml:space="preserve">https://www.inaturalist.org/observations/303937240</t>
  </si>
  <si>
    <t xml:space="preserve">GECKO 1776</t>
  </si>
  <si>
    <t xml:space="preserve">carmelo_lopez</t>
  </si>
  <si>
    <t xml:space="preserve">https://www.inaturalist.org/observations/303843571</t>
  </si>
  <si>
    <t xml:space="preserve">GECKO 1777</t>
  </si>
  <si>
    <t xml:space="preserve">adrian_tizon</t>
  </si>
  <si>
    <t xml:space="preserve">https://www.inaturalist.org/observations/302761191</t>
  </si>
  <si>
    <t xml:space="preserve">GECKO 1778</t>
  </si>
  <si>
    <t xml:space="preserve">ulexeuropaeus</t>
  </si>
  <si>
    <t xml:space="preserve">https://www.inaturalist.org/observations/302545483</t>
  </si>
  <si>
    <t xml:space="preserve">GECKO 1779</t>
  </si>
  <si>
    <t xml:space="preserve">https://www.inaturalist.org/observations/300264322</t>
  </si>
  <si>
    <t xml:space="preserve">GECKO 1780</t>
  </si>
  <si>
    <t xml:space="preserve">GECKO 1781</t>
  </si>
  <si>
    <t xml:space="preserve">martingrimm</t>
  </si>
  <si>
    <t xml:space="preserve">https://www.inaturalist.org/observations/245190402</t>
  </si>
  <si>
    <t xml:space="preserve">GECKO 1782</t>
  </si>
  <si>
    <t xml:space="preserve">swann19</t>
  </si>
  <si>
    <t xml:space="preserve">https://www.inaturalist.org/observations/244747940</t>
  </si>
  <si>
    <t xml:space="preserve">GECKO 1783</t>
  </si>
  <si>
    <t xml:space="preserve">javieralmunia</t>
  </si>
  <si>
    <t xml:space="preserve">https://www.inaturalist.org/observations/146213463</t>
  </si>
  <si>
    <t xml:space="preserve">GECKO 1784</t>
  </si>
  <si>
    <t xml:space="preserve">silvitruki</t>
  </si>
  <si>
    <t xml:space="preserve">https://www.inaturalist.org/observations/146263557</t>
  </si>
  <si>
    <t xml:space="preserve">GECKO 1785</t>
  </si>
  <si>
    <t xml:space="preserve">vicentebuet</t>
  </si>
  <si>
    <t xml:space="preserve">https://www.inaturalist.org/observations/63103283</t>
  </si>
  <si>
    <t xml:space="preserve">GECKO 1786</t>
  </si>
  <si>
    <t xml:space="preserve">Ptyodactylus</t>
  </si>
  <si>
    <t xml:space="preserve">Ptyodactylus hasselquistii</t>
  </si>
  <si>
    <t xml:space="preserve">tityus_is_cool</t>
  </si>
  <si>
    <t xml:space="preserve">https://www.inaturalist.org/observations/381846703</t>
  </si>
  <si>
    <t xml:space="preserve">GECKO 1787</t>
  </si>
  <si>
    <t xml:space="preserve">GECKO 1788</t>
  </si>
  <si>
    <t xml:space="preserve">iska_syubay</t>
  </si>
  <si>
    <t xml:space="preserve">https://www.inaturalist.org/observations/380963455</t>
  </si>
  <si>
    <t xml:space="preserve">GECKO 1789</t>
  </si>
  <si>
    <t xml:space="preserve">anthonyu</t>
  </si>
  <si>
    <t xml:space="preserve">https://www.inaturalist.org/observations/379493432</t>
  </si>
  <si>
    <t xml:space="preserve">GECKO 1790</t>
  </si>
  <si>
    <t xml:space="preserve">GECKO 1791</t>
  </si>
  <si>
    <t xml:space="preserve">ale-jan-dra</t>
  </si>
  <si>
    <t xml:space="preserve">https://www.inaturalist.org/observations/378287400</t>
  </si>
  <si>
    <t xml:space="preserve">GECKO 1792</t>
  </si>
  <si>
    <t xml:space="preserve">pigrorospo</t>
  </si>
  <si>
    <t xml:space="preserve">https://www.inaturalist.org/observations/378119930</t>
  </si>
  <si>
    <t xml:space="preserve">GECKO 1793</t>
  </si>
  <si>
    <t xml:space="preserve">nourrmw14</t>
  </si>
  <si>
    <t xml:space="preserve">https://www.inaturalist.org/observations/378024787</t>
  </si>
  <si>
    <t xml:space="preserve">GECKO 1794</t>
  </si>
  <si>
    <t xml:space="preserve">daymaorg</t>
  </si>
  <si>
    <t xml:space="preserve">https://www.inaturalist.org/observations/377805288</t>
  </si>
  <si>
    <t xml:space="preserve">GECKO 1795</t>
  </si>
  <si>
    <t xml:space="preserve">mahmoud_fayez</t>
  </si>
  <si>
    <t xml:space="preserve">https://www.inaturalist.org/observations/375655867</t>
  </si>
  <si>
    <t xml:space="preserve">GECKO 1796</t>
  </si>
  <si>
    <t xml:space="preserve">jm_blake</t>
  </si>
  <si>
    <t xml:space="preserve">https://www.inaturalist.org/observations/372862888</t>
  </si>
  <si>
    <t xml:space="preserve">GECKO 1797</t>
  </si>
  <si>
    <t xml:space="preserve">https://www.inaturalist.org/observations/372042098</t>
  </si>
  <si>
    <t xml:space="preserve">GECKO 1798</t>
  </si>
  <si>
    <t xml:space="preserve">philippeloyoddin</t>
  </si>
  <si>
    <t xml:space="preserve">https://www.inaturalist.org/observations/371401215</t>
  </si>
  <si>
    <t xml:space="preserve">GECKO 1799</t>
  </si>
  <si>
    <t xml:space="preserve">erik6306</t>
  </si>
  <si>
    <t xml:space="preserve">https://www.inaturalist.org/observations/368897616</t>
  </si>
  <si>
    <t xml:space="preserve">GECKO 1800</t>
  </si>
  <si>
    <t xml:space="preserve">einati125</t>
  </si>
  <si>
    <t xml:space="preserve">https://www.inaturalist.org/observations/368428961</t>
  </si>
  <si>
    <t xml:space="preserve">GECKO 1801</t>
  </si>
  <si>
    <t xml:space="preserve">silke10067</t>
  </si>
  <si>
    <t xml:space="preserve">https://www.inaturalist.org/observations/368387303</t>
  </si>
  <si>
    <t xml:space="preserve">GECKO 1802</t>
  </si>
  <si>
    <t xml:space="preserve">roberto-villarreal</t>
  </si>
  <si>
    <t xml:space="preserve">https://www.inaturalist.org/observations/367299390</t>
  </si>
  <si>
    <t xml:space="preserve">GECKO 1803</t>
  </si>
  <si>
    <t xml:space="preserve">bac_77</t>
  </si>
  <si>
    <t xml:space="preserve">https://www.inaturalist.org/observations/364449160</t>
  </si>
  <si>
    <t xml:space="preserve">GECKO 1804</t>
  </si>
  <si>
    <t xml:space="preserve">GECKO 1805</t>
  </si>
  <si>
    <t xml:space="preserve">alexb0000</t>
  </si>
  <si>
    <t xml:space="preserve">https://www.inaturalist.org/observations/364132756</t>
  </si>
  <si>
    <t xml:space="preserve">GECKO 1806</t>
  </si>
  <si>
    <t xml:space="preserve">marcosilv</t>
  </si>
  <si>
    <t xml:space="preserve">https://www.inaturalist.org/observations/360544813</t>
  </si>
  <si>
    <t xml:space="preserve">GECKO 1807</t>
  </si>
  <si>
    <t xml:space="preserve">ya_sergey</t>
  </si>
  <si>
    <t xml:space="preserve">https://www.inaturalist.org/observations/360382966</t>
  </si>
  <si>
    <t xml:space="preserve">GECKO 1808</t>
  </si>
  <si>
    <t xml:space="preserve">https://www.inaturalist.org/observations/358353767</t>
  </si>
  <si>
    <t xml:space="preserve">GECKO 1809</t>
  </si>
  <si>
    <t xml:space="preserve">GECKO 1810</t>
  </si>
  <si>
    <t xml:space="preserve">kingkotgal12</t>
  </si>
  <si>
    <t xml:space="preserve">https://www.inaturalist.org/observations/359749419</t>
  </si>
  <si>
    <t xml:space="preserve">GECKO 1811</t>
  </si>
  <si>
    <t xml:space="preserve">moshe_neeman</t>
  </si>
  <si>
    <t xml:space="preserve">https://www.inaturalist.org/observations/357846843</t>
  </si>
  <si>
    <t xml:space="preserve">GECKO 1812</t>
  </si>
  <si>
    <t xml:space="preserve">scchaney</t>
  </si>
  <si>
    <t xml:space="preserve">https://www.inaturalist.org/observations/354862893</t>
  </si>
  <si>
    <t xml:space="preserve">GECKO 1813</t>
  </si>
  <si>
    <t xml:space="preserve">aleksandrchekalov</t>
  </si>
  <si>
    <t xml:space="preserve">https://www.inaturalist.org/observations/350330766</t>
  </si>
  <si>
    <t xml:space="preserve">GECKO 1814</t>
  </si>
  <si>
    <t xml:space="preserve">siberian_birdguide</t>
  </si>
  <si>
    <t xml:space="preserve">https://www.inaturalist.org/observations/348709415</t>
  </si>
  <si>
    <t xml:space="preserve">GECKO 1815</t>
  </si>
  <si>
    <t xml:space="preserve">nocturnal_darkness</t>
  </si>
  <si>
    <t xml:space="preserve">https://www.inaturalist.org/observations/348525759</t>
  </si>
  <si>
    <t xml:space="preserve">GECKO 1816</t>
  </si>
  <si>
    <t xml:space="preserve">mansourelkerdany</t>
  </si>
  <si>
    <t xml:space="preserve">https://www.inaturalist.org/observations/348170895</t>
  </si>
  <si>
    <t xml:space="preserve">GECKO 1817</t>
  </si>
  <si>
    <t xml:space="preserve">https://www.inaturalist.org/observations/329823761</t>
  </si>
  <si>
    <t xml:space="preserve">GECKO 1818</t>
  </si>
  <si>
    <t xml:space="preserve">reptilemen</t>
  </si>
  <si>
    <t xml:space="preserve">https://www.inaturalist.org/observations/339063818</t>
  </si>
  <si>
    <t xml:space="preserve">GECKO 1819</t>
  </si>
  <si>
    <t xml:space="preserve">saxifraga13</t>
  </si>
  <si>
    <t xml:space="preserve">https://www.inaturalist.org/observations/342428036</t>
  </si>
  <si>
    <t xml:space="preserve">GECKO 1820</t>
  </si>
  <si>
    <t xml:space="preserve">majarogus</t>
  </si>
  <si>
    <t xml:space="preserve">https://www.inaturalist.org/observations/361224934</t>
  </si>
  <si>
    <t xml:space="preserve">GECKO 1821</t>
  </si>
  <si>
    <t xml:space="preserve">Ptyodactylus guttatus</t>
  </si>
  <si>
    <t xml:space="preserve">bryansarauer</t>
  </si>
  <si>
    <t xml:space="preserve">https://www.inaturalist.org/observations/382288851</t>
  </si>
  <si>
    <t xml:space="preserve">GECKO 1822</t>
  </si>
  <si>
    <t xml:space="preserve">yosef1234567</t>
  </si>
  <si>
    <t xml:space="preserve">https://www.inaturalist.org/observations/380901563</t>
  </si>
  <si>
    <t xml:space="preserve">GECKO 1823</t>
  </si>
  <si>
    <t xml:space="preserve">GECKO 1824</t>
  </si>
  <si>
    <t xml:space="preserve">drorf</t>
  </si>
  <si>
    <t xml:space="preserve">https://www.inaturalist.org/observations/380690841</t>
  </si>
  <si>
    <t xml:space="preserve">GECKO 1825</t>
  </si>
  <si>
    <t xml:space="preserve">mantis_lover321</t>
  </si>
  <si>
    <t xml:space="preserve">https://www.inaturalist.org/observations/380060274</t>
  </si>
  <si>
    <t xml:space="preserve">GECKO 1826</t>
  </si>
  <si>
    <t xml:space="preserve">themooshi</t>
  </si>
  <si>
    <t xml:space="preserve">https://www.inaturalist.org/observations/378661379</t>
  </si>
  <si>
    <t xml:space="preserve">GECKO 1827</t>
  </si>
  <si>
    <t xml:space="preserve">https://www.inaturalist.org/observations/378646187</t>
  </si>
  <si>
    <t xml:space="preserve">GECKO 1828</t>
  </si>
  <si>
    <t xml:space="preserve">shmul</t>
  </si>
  <si>
    <t xml:space="preserve">https://www.inaturalist.org/observations/376608847</t>
  </si>
  <si>
    <t xml:space="preserve">GECKO 1829</t>
  </si>
  <si>
    <t xml:space="preserve">jonigr</t>
  </si>
  <si>
    <t xml:space="preserve">https://www.inaturalist.org/observations/374313753</t>
  </si>
  <si>
    <t xml:space="preserve">GECKO 1830</t>
  </si>
  <si>
    <t xml:space="preserve">liam_hall</t>
  </si>
  <si>
    <t xml:space="preserve">https://www.inaturalist.org/observations/372526693</t>
  </si>
  <si>
    <t xml:space="preserve">GECKO 1831</t>
  </si>
  <si>
    <t xml:space="preserve">yuvitescu</t>
  </si>
  <si>
    <t xml:space="preserve">https://www.inaturalist.org/observations/370083191</t>
  </si>
  <si>
    <t xml:space="preserve">GECKO 1832</t>
  </si>
  <si>
    <t xml:space="preserve">ghammouri</t>
  </si>
  <si>
    <t xml:space="preserve">https://www.inaturalist.org/observations/369593024</t>
  </si>
  <si>
    <t xml:space="preserve">GECKO 1833</t>
  </si>
  <si>
    <t xml:space="preserve">itgypsy</t>
  </si>
  <si>
    <t xml:space="preserve">https://www.inaturalist.org/observations/366325332</t>
  </si>
  <si>
    <t xml:space="preserve">GECKO 1834</t>
  </si>
  <si>
    <t xml:space="preserve">omermeshulam</t>
  </si>
  <si>
    <t xml:space="preserve">https://www.inaturalist.org/observations/364016958</t>
  </si>
  <si>
    <t xml:space="preserve">GECKO 1835</t>
  </si>
  <si>
    <t xml:space="preserve">greenstep-iris</t>
  </si>
  <si>
    <t xml:space="preserve">https://www.inaturalist.org/observations/362508415</t>
  </si>
  <si>
    <t xml:space="preserve">GECKO 1836</t>
  </si>
  <si>
    <t xml:space="preserve">avishugar</t>
  </si>
  <si>
    <t xml:space="preserve">https://www.inaturalist.org/observations/361443629</t>
  </si>
  <si>
    <t xml:space="preserve">GECKO 1837</t>
  </si>
  <si>
    <t xml:space="preserve">https://www.inaturalist.org/observations/361203684</t>
  </si>
  <si>
    <t xml:space="preserve">GECKO 1838</t>
  </si>
  <si>
    <t xml:space="preserve">aharon_p</t>
  </si>
  <si>
    <t xml:space="preserve">https://www.inaturalist.org/observations/360970143</t>
  </si>
  <si>
    <t xml:space="preserve">GECKO 1839</t>
  </si>
  <si>
    <t xml:space="preserve">https://www.inaturalist.org/observations/360563273</t>
  </si>
  <si>
    <t xml:space="preserve">GECKO 1840</t>
  </si>
  <si>
    <t xml:space="preserve">GECKO 1841</t>
  </si>
  <si>
    <t xml:space="preserve">nataliya_kolyupanova</t>
  </si>
  <si>
    <t xml:space="preserve">https://www.inaturalist.org/observations/359554273</t>
  </si>
  <si>
    <t xml:space="preserve">GECKO 1842</t>
  </si>
  <si>
    <t xml:space="preserve">ezvegan</t>
  </si>
  <si>
    <t xml:space="preserve">https://www.inaturalist.org/observations/350342364</t>
  </si>
  <si>
    <t xml:space="preserve">GECKO 1843</t>
  </si>
  <si>
    <t xml:space="preserve">david_777</t>
  </si>
  <si>
    <t xml:space="preserve">https://www.inaturalist.org/observations/352872319</t>
  </si>
  <si>
    <t xml:space="preserve">GECKO 1844</t>
  </si>
  <si>
    <t xml:space="preserve">https://www.inaturalist.org/observations/355796959</t>
  </si>
  <si>
    <t xml:space="preserve">GECKO 1845</t>
  </si>
  <si>
    <t xml:space="preserve">okalachov</t>
  </si>
  <si>
    <t xml:space="preserve">https://www.inaturalist.org/observations/348324458</t>
  </si>
  <si>
    <t xml:space="preserve">GECKO 1846</t>
  </si>
  <si>
    <t xml:space="preserve">hilly_hendel</t>
  </si>
  <si>
    <t xml:space="preserve">https://www.inaturalist.org/observations/338441439</t>
  </si>
  <si>
    <t xml:space="preserve">GECKO 1847</t>
  </si>
  <si>
    <t xml:space="preserve">polyabel</t>
  </si>
  <si>
    <t xml:space="preserve">https://www.inaturalist.org/observations/342221190</t>
  </si>
  <si>
    <t xml:space="preserve">GECKO 1848</t>
  </si>
  <si>
    <t xml:space="preserve">https://www.inaturalist.org/observations/334918666</t>
  </si>
  <si>
    <t xml:space="preserve">GECKO 1849</t>
  </si>
  <si>
    <t xml:space="preserve">polkovnikov_aa</t>
  </si>
  <si>
    <t xml:space="preserve">https://www.inaturalist.org/observations/324633448</t>
  </si>
  <si>
    <t xml:space="preserve">GECKO 1850</t>
  </si>
  <si>
    <t xml:space="preserve">GECKO 1851</t>
  </si>
  <si>
    <t xml:space="preserve">tal_l</t>
  </si>
  <si>
    <t xml:space="preserve">https://www.inaturalist.org/observations/322962145</t>
  </si>
  <si>
    <t xml:space="preserve">GECKO 1852</t>
  </si>
  <si>
    <t xml:space="preserve">https://www.inaturalist.org/observations/322438249</t>
  </si>
  <si>
    <t xml:space="preserve">GECKO 1853</t>
  </si>
  <si>
    <t xml:space="preserve">elenakuraeva</t>
  </si>
  <si>
    <t xml:space="preserve">https://www.inaturalist.org/observations/321308487</t>
  </si>
  <si>
    <t xml:space="preserve">GECKO 1854</t>
  </si>
  <si>
    <t xml:space="preserve">GECKO 1855</t>
  </si>
  <si>
    <t xml:space="preserve">omrilium</t>
  </si>
  <si>
    <t xml:space="preserve">https://www.inaturalist.org/observations/322936998</t>
  </si>
  <si>
    <t xml:space="preserve">GECKO 1856</t>
  </si>
  <si>
    <t xml:space="preserve">Ptyodactylus puiseuxi</t>
  </si>
  <si>
    <t xml:space="preserve">spbugs</t>
  </si>
  <si>
    <t xml:space="preserve">https://www.inaturalist.org/observations/369260437</t>
  </si>
  <si>
    <t xml:space="preserve">GECKO 1857</t>
  </si>
  <si>
    <t xml:space="preserve">jingyilu</t>
  </si>
  <si>
    <t xml:space="preserve">https://www.inaturalist.org/observations/368819114</t>
  </si>
  <si>
    <t xml:space="preserve">GECKO 1858</t>
  </si>
  <si>
    <t xml:space="preserve">GECKO 1859</t>
  </si>
  <si>
    <t xml:space="preserve">greenfeldarom</t>
  </si>
  <si>
    <t xml:space="preserve">https://www.inaturalist.org/observations/367753154</t>
  </si>
  <si>
    <t xml:space="preserve">GECKO 1860</t>
  </si>
  <si>
    <t xml:space="preserve">or_prepelizki</t>
  </si>
  <si>
    <t xml:space="preserve">https://www.inaturalist.org/observations/359256346</t>
  </si>
  <si>
    <t xml:space="preserve">GECKO 1861</t>
  </si>
  <si>
    <t xml:space="preserve">amora_ayn</t>
  </si>
  <si>
    <t xml:space="preserve">https://www.inaturalist.org/observations/351913914</t>
  </si>
  <si>
    <t xml:space="preserve">GECKO 1862</t>
  </si>
  <si>
    <t xml:space="preserve">amit_goldstein</t>
  </si>
  <si>
    <t xml:space="preserve">https://www.inaturalist.org/observations/349247277</t>
  </si>
  <si>
    <t xml:space="preserve">GECKO 1863</t>
  </si>
  <si>
    <t xml:space="preserve">maio_eshet</t>
  </si>
  <si>
    <t xml:space="preserve">https://www.inaturalist.org/observations/342771991</t>
  </si>
  <si>
    <t xml:space="preserve">GECKO 1864</t>
  </si>
  <si>
    <t xml:space="preserve">ur6s77</t>
  </si>
  <si>
    <t xml:space="preserve">https://www.inaturalist.org/observations/342100777</t>
  </si>
  <si>
    <t xml:space="preserve">GECKO 1865</t>
  </si>
  <si>
    <t xml:space="preserve">guy80368</t>
  </si>
  <si>
    <t xml:space="preserve">https://www.inaturalist.org/observations/324871189</t>
  </si>
  <si>
    <t xml:space="preserve">GECKO 1866</t>
  </si>
  <si>
    <t xml:space="preserve">https://www.inaturalist.org/observations/318266423</t>
  </si>
  <si>
    <t xml:space="preserve">GECKO 1867</t>
  </si>
  <si>
    <t xml:space="preserve">tricks96</t>
  </si>
  <si>
    <t xml:space="preserve">https://www.inaturalist.org/observations/300816951</t>
  </si>
  <si>
    <t xml:space="preserve">GECKO 1868</t>
  </si>
  <si>
    <t xml:space="preserve">hugoatross</t>
  </si>
  <si>
    <t xml:space="preserve">https://www.inaturalist.org/observations/281878057</t>
  </si>
  <si>
    <t xml:space="preserve">GECKO 1869</t>
  </si>
  <si>
    <t xml:space="preserve">malachigivon</t>
  </si>
  <si>
    <t xml:space="preserve">https://www.inaturalist.org/observations/272702433</t>
  </si>
  <si>
    <t xml:space="preserve">GECKO 1870</t>
  </si>
  <si>
    <t xml:space="preserve">voegelein</t>
  </si>
  <si>
    <t xml:space="preserve">https://www.inaturalist.org/observations/269834395</t>
  </si>
  <si>
    <t xml:space="preserve">GECKO 1871</t>
  </si>
  <si>
    <t xml:space="preserve">GECKO 1872</t>
  </si>
  <si>
    <t xml:space="preserve">neriya123</t>
  </si>
  <si>
    <t xml:space="preserve">https://www.inaturalist.org/observations/268359688</t>
  </si>
  <si>
    <t xml:space="preserve">GECKO 1873</t>
  </si>
  <si>
    <t xml:space="preserve">GECKO 1874</t>
  </si>
  <si>
    <t xml:space="preserve">GECKO 1875</t>
  </si>
  <si>
    <t xml:space="preserve">urielevy</t>
  </si>
  <si>
    <t xml:space="preserve">https://www.inaturalist.org/observations/267914233</t>
  </si>
  <si>
    <t xml:space="preserve">GECKO 1876</t>
  </si>
  <si>
    <t xml:space="preserve">omerweiner</t>
  </si>
  <si>
    <t xml:space="preserve">https://www.inaturalist.org/observations/254190713</t>
  </si>
  <si>
    <t xml:space="preserve">GECKO 1877</t>
  </si>
  <si>
    <t xml:space="preserve">frantrabalon</t>
  </si>
  <si>
    <t xml:space="preserve">https://www.inaturalist.org/observations/253731864</t>
  </si>
  <si>
    <t xml:space="preserve">GECKO 1878</t>
  </si>
  <si>
    <t xml:space="preserve">yasmine0-0</t>
  </si>
  <si>
    <t xml:space="preserve">https://www.inaturalist.org/observations/253647186</t>
  </si>
  <si>
    <t xml:space="preserve">GECKO 1879</t>
  </si>
  <si>
    <t xml:space="preserve">mohammad-sarayreh</t>
  </si>
  <si>
    <t xml:space="preserve">https://www.inaturalist.org/observations/249058286</t>
  </si>
  <si>
    <t xml:space="preserve">GECKO 1880</t>
  </si>
  <si>
    <t xml:space="preserve">jactm</t>
  </si>
  <si>
    <t xml:space="preserve">https://www.inaturalist.org/observations/237307197</t>
  </si>
  <si>
    <t xml:space="preserve">GECKO 1881</t>
  </si>
  <si>
    <t xml:space="preserve">https://www.inaturalist.org/observations/229596939</t>
  </si>
  <si>
    <t xml:space="preserve">GECKO 1882</t>
  </si>
  <si>
    <t xml:space="preserve">yishay</t>
  </si>
  <si>
    <t xml:space="preserve">https://www.inaturalist.org/observations/222479163</t>
  </si>
  <si>
    <t xml:space="preserve">GECKO 1883</t>
  </si>
  <si>
    <t xml:space="preserve">reisegali</t>
  </si>
  <si>
    <t xml:space="preserve">https://www.inaturalist.org/observations/221690797</t>
  </si>
  <si>
    <t xml:space="preserve">GECKO 1884</t>
  </si>
  <si>
    <t xml:space="preserve">https://www.inaturalist.org/observations/212421675</t>
  </si>
  <si>
    <t xml:space="preserve">GECKO 1885</t>
  </si>
  <si>
    <t xml:space="preserve">GECKO 1886</t>
  </si>
  <si>
    <t xml:space="preserve">https://www.inaturalist.org/observations/10100312</t>
  </si>
  <si>
    <t xml:space="preserve">GECKO 1887</t>
  </si>
  <si>
    <t xml:space="preserve">https://www.inaturalist.org/observations/207648601</t>
  </si>
  <si>
    <t xml:space="preserve">GECKO 1888</t>
  </si>
  <si>
    <t xml:space="preserve">GECKO 1889</t>
  </si>
  <si>
    <t xml:space="preserve">GECKO 1890</t>
  </si>
  <si>
    <t xml:space="preserve">aburgas</t>
  </si>
  <si>
    <t xml:space="preserve">https://www.inaturalist.org/observations/205726531</t>
  </si>
  <si>
    <t xml:space="preserve">GECKO 1891</t>
  </si>
  <si>
    <t xml:space="preserve">Thecadactylus</t>
  </si>
  <si>
    <t xml:space="preserve">Thecadactylus rapicauda</t>
  </si>
  <si>
    <t xml:space="preserve">lauren55097</t>
  </si>
  <si>
    <t xml:space="preserve">https://www.inaturalist.org/observations/382757516</t>
  </si>
  <si>
    <t xml:space="preserve">GECKO 1892</t>
  </si>
  <si>
    <t xml:space="preserve">mrblonde</t>
  </si>
  <si>
    <t xml:space="preserve">https://www.inaturalist.org/observations/382510792</t>
  </si>
  <si>
    <t xml:space="preserve">GECKO 1893</t>
  </si>
  <si>
    <t xml:space="preserve">GECKO 1894</t>
  </si>
  <si>
    <t xml:space="preserve">darkart</t>
  </si>
  <si>
    <t xml:space="preserve">https://www.inaturalist.org/observations/382451737</t>
  </si>
  <si>
    <t xml:space="preserve">GECKO 1895</t>
  </si>
  <si>
    <t xml:space="preserve">ky-an</t>
  </si>
  <si>
    <t xml:space="preserve">https://www.inaturalist.org/observations/382769778</t>
  </si>
  <si>
    <t xml:space="preserve">GECKO 1896</t>
  </si>
  <si>
    <t xml:space="preserve">malvijet7</t>
  </si>
  <si>
    <t xml:space="preserve">https://www.inaturalist.org/observations/382419192</t>
  </si>
  <si>
    <t xml:space="preserve">GECKO 1897</t>
  </si>
  <si>
    <t xml:space="preserve">ctorr19</t>
  </si>
  <si>
    <t xml:space="preserve">https://www.inaturalist.org/observations/382279382</t>
  </si>
  <si>
    <t xml:space="preserve">GECKO 1898</t>
  </si>
  <si>
    <t xml:space="preserve">GECKO 1899</t>
  </si>
  <si>
    <t xml:space="preserve">rkostecke</t>
  </si>
  <si>
    <t xml:space="preserve">https://www.inaturalist.org/observations/381982064</t>
  </si>
  <si>
    <t xml:space="preserve">GECKO 1900</t>
  </si>
  <si>
    <t xml:space="preserve">nirelharmon</t>
  </si>
  <si>
    <t xml:space="preserve">https://www.inaturalist.org/observations/381581201</t>
  </si>
  <si>
    <t xml:space="preserve">GECKO 1901</t>
  </si>
  <si>
    <t xml:space="preserve">mintren</t>
  </si>
  <si>
    <t xml:space="preserve">https://www.inaturalist.org/observations/380210281</t>
  </si>
  <si>
    <t xml:space="preserve">GECKO 1902</t>
  </si>
  <si>
    <t xml:space="preserve">camila18324</t>
  </si>
  <si>
    <t xml:space="preserve">https://www.inaturalist.org/observations/379876948</t>
  </si>
  <si>
    <t xml:space="preserve">GECKO 1903</t>
  </si>
  <si>
    <t xml:space="preserve">venox41</t>
  </si>
  <si>
    <t xml:space="preserve">https://www.inaturalist.org/observations/379788720</t>
  </si>
  <si>
    <t xml:space="preserve">GECKO 1904</t>
  </si>
  <si>
    <t xml:space="preserve">tk-421</t>
  </si>
  <si>
    <t xml:space="preserve">https://www.inaturalist.org/observations/379786758</t>
  </si>
  <si>
    <t xml:space="preserve">GECKO 1905</t>
  </si>
  <si>
    <t xml:space="preserve">https://www.inaturalist.org/observations/379505377</t>
  </si>
  <si>
    <t xml:space="preserve">GECKO 1906</t>
  </si>
  <si>
    <t xml:space="preserve">david_haymeister</t>
  </si>
  <si>
    <t xml:space="preserve">https://www.inaturalist.org/observations/378820268</t>
  </si>
  <si>
    <t xml:space="preserve">GECKO 1907</t>
  </si>
  <si>
    <t xml:space="preserve">cesarsanchez2</t>
  </si>
  <si>
    <t xml:space="preserve">https://www.inaturalist.org/observations/378605297</t>
  </si>
  <si>
    <t xml:space="preserve">GECKO 1908</t>
  </si>
  <si>
    <t xml:space="preserve">carstonchance</t>
  </si>
  <si>
    <t xml:space="preserve">https://www.inaturalist.org/observations/378803415</t>
  </si>
  <si>
    <t xml:space="preserve">GECKO 1909</t>
  </si>
  <si>
    <t xml:space="preserve">claradevi</t>
  </si>
  <si>
    <t xml:space="preserve">https://www.inaturalist.org/observations/377936075</t>
  </si>
  <si>
    <t xml:space="preserve">GECKO 1910</t>
  </si>
  <si>
    <t xml:space="preserve">roxanne_gasperetti</t>
  </si>
  <si>
    <t xml:space="preserve">https://www.inaturalist.org/observations/377023126</t>
  </si>
  <si>
    <t xml:space="preserve">GECKO 1911</t>
  </si>
  <si>
    <t xml:space="preserve">annmcpete</t>
  </si>
  <si>
    <t xml:space="preserve">https://www.inaturalist.org/observations/376632226</t>
  </si>
  <si>
    <t xml:space="preserve">GECKO 1912</t>
  </si>
  <si>
    <t xml:space="preserve">yariastral</t>
  </si>
  <si>
    <t xml:space="preserve">https://www.inaturalist.org/observations/376417599</t>
  </si>
  <si>
    <t xml:space="preserve">GECKO 1913</t>
  </si>
  <si>
    <t xml:space="preserve">GECKO 1914</t>
  </si>
  <si>
    <t xml:space="preserve">st4rm4n</t>
  </si>
  <si>
    <t xml:space="preserve">https://www.inaturalist.org/observations/375858964</t>
  </si>
  <si>
    <t xml:space="preserve">GECKO 1915</t>
  </si>
  <si>
    <t xml:space="preserve">https://www.inaturalist.org/observations/375085518</t>
  </si>
  <si>
    <t xml:space="preserve">GECKO 1916</t>
  </si>
  <si>
    <t xml:space="preserve">ethanol_casas</t>
  </si>
  <si>
    <t xml:space="preserve">https://www.inaturalist.org/observations/375082137</t>
  </si>
  <si>
    <t xml:space="preserve">GECKO 1917</t>
  </si>
  <si>
    <t xml:space="preserve">dlafebre</t>
  </si>
  <si>
    <t xml:space="preserve">https://www.inaturalist.org/observations/375005734</t>
  </si>
  <si>
    <t xml:space="preserve">GECKO 1918</t>
  </si>
  <si>
    <t xml:space="preserve">jaydenmalone</t>
  </si>
  <si>
    <t xml:space="preserve">https://www.inaturalist.org/observations/374831470</t>
  </si>
  <si>
    <t xml:space="preserve">GECKO 1919</t>
  </si>
  <si>
    <t xml:space="preserve">https://www.inaturalist.org/observations/374700150</t>
  </si>
  <si>
    <t xml:space="preserve">GECKO 1920</t>
  </si>
  <si>
    <t xml:space="preserve">darlionei</t>
  </si>
  <si>
    <t xml:space="preserve">https://www.inaturalist.org/observations/374155514</t>
  </si>
  <si>
    <t xml:space="preserve">GECKO 1921</t>
  </si>
  <si>
    <t xml:space="preserve">https://www.inaturalist.org/observations/373422782</t>
  </si>
  <si>
    <t xml:space="preserve">GECKO 1922</t>
  </si>
  <si>
    <t xml:space="preserve">henry180</t>
  </si>
  <si>
    <t xml:space="preserve">https://www.inaturalist.org/observations/373925455</t>
  </si>
  <si>
    <t xml:space="preserve">GECKO 1923</t>
  </si>
  <si>
    <t xml:space="preserve">ranchodelsol</t>
  </si>
  <si>
    <t xml:space="preserve">https://www.inaturalist.org/observations/373364159</t>
  </si>
  <si>
    <t xml:space="preserve">GECKO 1924</t>
  </si>
  <si>
    <t xml:space="preserve">https://www.inaturalist.org/observations/373350530</t>
  </si>
  <si>
    <t xml:space="preserve">GECKO 1925</t>
  </si>
  <si>
    <t xml:space="preserve">chepe2112</t>
  </si>
  <si>
    <t xml:space="preserve">https://www.inaturalist.org/observations/372982065</t>
  </si>
  <si>
    <t xml:space="preserve">GECKO 1926</t>
  </si>
  <si>
    <t xml:space="preserve">Thecadactylus solimoensis</t>
  </si>
  <si>
    <t xml:space="preserve">renatoguzman</t>
  </si>
  <si>
    <t xml:space="preserve">https://www.inaturalist.org/observations/382031436</t>
  </si>
  <si>
    <t xml:space="preserve">GECKO 1927</t>
  </si>
  <si>
    <t xml:space="preserve">matty86795</t>
  </si>
  <si>
    <t xml:space="preserve">https://www.inaturalist.org/observations/380528788</t>
  </si>
  <si>
    <t xml:space="preserve">GECKO 1928</t>
  </si>
  <si>
    <t xml:space="preserve">lana_klemencic</t>
  </si>
  <si>
    <t xml:space="preserve">https://www.inaturalist.org/observations/380235938</t>
  </si>
  <si>
    <t xml:space="preserve">GECKO 1929</t>
  </si>
  <si>
    <t xml:space="preserve">GECKO 1930</t>
  </si>
  <si>
    <t xml:space="preserve">https://www.inaturalist.org/observations/379652104</t>
  </si>
  <si>
    <t xml:space="preserve">GECKO 1931</t>
  </si>
  <si>
    <t xml:space="preserve">josegranizo</t>
  </si>
  <si>
    <t xml:space="preserve">https://www.inaturalist.org/observations/379254820</t>
  </si>
  <si>
    <t xml:space="preserve">GECKO 1932</t>
  </si>
  <si>
    <t xml:space="preserve">GECKO 1933</t>
  </si>
  <si>
    <t xml:space="preserve">khobdy</t>
  </si>
  <si>
    <t xml:space="preserve">https://www.inaturalist.org/observations/378179874</t>
  </si>
  <si>
    <t xml:space="preserve">GECKO 1934</t>
  </si>
  <si>
    <t xml:space="preserve">maria95950</t>
  </si>
  <si>
    <t xml:space="preserve">https://www.inaturalist.org/observations/376756462</t>
  </si>
  <si>
    <t xml:space="preserve">GECKO 1935</t>
  </si>
  <si>
    <t xml:space="preserve">https://www.inaturalist.org/observations/374526519</t>
  </si>
  <si>
    <t xml:space="preserve">GECKO 1936</t>
  </si>
  <si>
    <t xml:space="preserve">ricardocatalan</t>
  </si>
  <si>
    <t xml:space="preserve">https://www.inaturalist.org/observations/373121379</t>
  </si>
  <si>
    <t xml:space="preserve">GECKO 1937</t>
  </si>
  <si>
    <t xml:space="preserve">edwin_jurado</t>
  </si>
  <si>
    <t xml:space="preserve">https://www.inaturalist.org/observations/372974080</t>
  </si>
  <si>
    <t xml:space="preserve">GECKO 1938</t>
  </si>
  <si>
    <t xml:space="preserve">sigfrield</t>
  </si>
  <si>
    <t xml:space="preserve">https://www.inaturalist.org/observations/372590888</t>
  </si>
  <si>
    <t xml:space="preserve">GECKO 1939</t>
  </si>
  <si>
    <t xml:space="preserve">j_ale315</t>
  </si>
  <si>
    <t xml:space="preserve">https://www.inaturalist.org/observations/369907429</t>
  </si>
  <si>
    <t xml:space="preserve">GECKO 1940</t>
  </si>
  <si>
    <t xml:space="preserve">tucker02</t>
  </si>
  <si>
    <t xml:space="preserve">https://www.inaturalist.org/observations/368344126</t>
  </si>
  <si>
    <t xml:space="preserve">GECKO 1941</t>
  </si>
  <si>
    <t xml:space="preserve">timhoffman013</t>
  </si>
  <si>
    <t xml:space="preserve">https://www.inaturalist.org/observations/368029184</t>
  </si>
  <si>
    <t xml:space="preserve">GECKO 1942</t>
  </si>
  <si>
    <t xml:space="preserve">gonzalonazati</t>
  </si>
  <si>
    <t xml:space="preserve">https://www.inaturalist.org/observations/367461424</t>
  </si>
  <si>
    <t xml:space="preserve">GECKO 1943</t>
  </si>
  <si>
    <t xml:space="preserve">eli_ren</t>
  </si>
  <si>
    <t xml:space="preserve">https://www.inaturalist.org/observations/364309423</t>
  </si>
  <si>
    <t xml:space="preserve">GECKO 1944</t>
  </si>
  <si>
    <t xml:space="preserve">GECKO 1945</t>
  </si>
  <si>
    <t xml:space="preserve">andreyquicenorojas</t>
  </si>
  <si>
    <t xml:space="preserve">https://www.inaturalist.org/observations/362346064</t>
  </si>
  <si>
    <t xml:space="preserve">GECKO 1946</t>
  </si>
  <si>
    <t xml:space="preserve">emma73031</t>
  </si>
  <si>
    <t xml:space="preserve">https://www.inaturalist.org/observations/363375608</t>
  </si>
  <si>
    <t xml:space="preserve">GECKO 1947</t>
  </si>
  <si>
    <t xml:space="preserve">cesb2003</t>
  </si>
  <si>
    <t xml:space="preserve">https://www.inaturalist.org/observations/359409103</t>
  </si>
  <si>
    <t xml:space="preserve">GECKO 1948</t>
  </si>
  <si>
    <t xml:space="preserve">axies_the_collector</t>
  </si>
  <si>
    <t xml:space="preserve">https://www.inaturalist.org/observations/357678146</t>
  </si>
  <si>
    <t xml:space="preserve">GECKO 1949</t>
  </si>
  <si>
    <t xml:space="preserve">GECKO 1950</t>
  </si>
  <si>
    <t xml:space="preserve">josfersan</t>
  </si>
  <si>
    <t xml:space="preserve">https://www.inaturalist.org/observations/356293922</t>
  </si>
  <si>
    <t xml:space="preserve">GECKO 1951</t>
  </si>
  <si>
    <t xml:space="preserve">fundacion_proaves</t>
  </si>
  <si>
    <t xml:space="preserve">https://www.inaturalist.org/observations/352778029</t>
  </si>
  <si>
    <t xml:space="preserve">GECKO 1952</t>
  </si>
  <si>
    <t xml:space="preserve">GECKO 1953</t>
  </si>
  <si>
    <t xml:space="preserve">https://www.inaturalist.org/observations/351689856</t>
  </si>
  <si>
    <t xml:space="preserve">GECKO 1954</t>
  </si>
  <si>
    <t xml:space="preserve">mayaklem</t>
  </si>
  <si>
    <t xml:space="preserve">https://www.inaturalist.org/observations/350709087</t>
  </si>
  <si>
    <t xml:space="preserve">GECKO 1955</t>
  </si>
  <si>
    <t xml:space="preserve">mik_26</t>
  </si>
  <si>
    <t xml:space="preserve">https://www.inaturalist.org/observations/349619752</t>
  </si>
  <si>
    <t xml:space="preserve">GECKO 1956</t>
  </si>
  <si>
    <t xml:space="preserve">yucheol_shin</t>
  </si>
  <si>
    <t xml:space="preserve">https://www.inaturalist.org/observations/347384629</t>
  </si>
  <si>
    <t xml:space="preserve">GECKO 1957</t>
  </si>
  <si>
    <t xml:space="preserve">beavisnail</t>
  </si>
  <si>
    <t xml:space="preserve">https://www.inaturalist.org/observations/346930204</t>
  </si>
  <si>
    <t xml:space="preserve">GECKO 1958</t>
  </si>
  <si>
    <t xml:space="preserve">tree_gia</t>
  </si>
  <si>
    <t xml:space="preserve">https://www.inaturalist.org/observations/346519582</t>
  </si>
  <si>
    <t xml:space="preserve">GECKO 1959</t>
  </si>
  <si>
    <t xml:space="preserve">edilson_luiz_candido</t>
  </si>
  <si>
    <t xml:space="preserve">https://www.inaturalist.org/observations/346708934</t>
  </si>
  <si>
    <t xml:space="preserve">GECKO 1960</t>
  </si>
  <si>
    <t xml:space="preserve">https://www.inaturalist.org/observations/346406213</t>
  </si>
  <si>
    <t xml:space="preserve">GECKO 1961</t>
  </si>
  <si>
    <t xml:space="preserve">Thecadactylus oskrobapreinorum</t>
  </si>
  <si>
    <t xml:space="preserve">vincentroberts_2004</t>
  </si>
  <si>
    <t xml:space="preserve">https://www.inaturalist.org/observations/370418149</t>
  </si>
  <si>
    <t xml:space="preserve">GECKO 1962</t>
  </si>
  <si>
    <t xml:space="preserve">Garthia</t>
  </si>
  <si>
    <t xml:space="preserve">Garthia gaudichaudii</t>
  </si>
  <si>
    <t xml:space="preserve">nzb_wildlife</t>
  </si>
  <si>
    <t xml:space="preserve">https://www.inaturalist.org/observations/380322699</t>
  </si>
  <si>
    <t xml:space="preserve">GECKO 1963</t>
  </si>
  <si>
    <t xml:space="preserve">greeganowo</t>
  </si>
  <si>
    <t xml:space="preserve">https://www.inaturalist.org/observations/367267997</t>
  </si>
  <si>
    <t xml:space="preserve">GECKO 1964</t>
  </si>
  <si>
    <t xml:space="preserve">https://www.inaturalist.org/observations/366812228</t>
  </si>
  <si>
    <t xml:space="preserve">GECKO 1965</t>
  </si>
  <si>
    <t xml:space="preserve">clem_bonna</t>
  </si>
  <si>
    <t xml:space="preserve">https://www.inaturalist.org/observations/352338946</t>
  </si>
  <si>
    <t xml:space="preserve">GECKO 1966</t>
  </si>
  <si>
    <t xml:space="preserve">https://www.inaturalist.org/observations/363068605</t>
  </si>
  <si>
    <t xml:space="preserve">GECKO 1967</t>
  </si>
  <si>
    <t xml:space="preserve">GECKO 1968</t>
  </si>
  <si>
    <t xml:space="preserve">cheeri0s</t>
  </si>
  <si>
    <t xml:space="preserve">https://www.inaturalist.org/observations/347937721</t>
  </si>
  <si>
    <t xml:space="preserve">GECKO 1969</t>
  </si>
  <si>
    <t xml:space="preserve">gwendalquimbre</t>
  </si>
  <si>
    <t xml:space="preserve">https://www.inaturalist.org/observations/345298592</t>
  </si>
  <si>
    <t xml:space="preserve">GECKO 1970</t>
  </si>
  <si>
    <t xml:space="preserve">jvdwinden</t>
  </si>
  <si>
    <t xml:space="preserve">https://www.inaturalist.org/observations/334027590</t>
  </si>
  <si>
    <t xml:space="preserve">GECKO 1971</t>
  </si>
  <si>
    <t xml:space="preserve">luciechassot</t>
  </si>
  <si>
    <t xml:space="preserve">https://www.inaturalist.org/observations/330859902</t>
  </si>
  <si>
    <t xml:space="preserve">GECKO 1972</t>
  </si>
  <si>
    <t xml:space="preserve">julien40478</t>
  </si>
  <si>
    <t xml:space="preserve">https://www.inaturalist.org/observations/323496003</t>
  </si>
  <si>
    <t xml:space="preserve">GECKO 1973</t>
  </si>
  <si>
    <t xml:space="preserve">onnkar</t>
  </si>
  <si>
    <t xml:space="preserve">https://www.inaturalist.org/observations/320464268</t>
  </si>
  <si>
    <t xml:space="preserve">GECKO 1974</t>
  </si>
  <si>
    <t xml:space="preserve">jacob10</t>
  </si>
  <si>
    <t xml:space="preserve">https://www.inaturalist.org/observations/336180338</t>
  </si>
  <si>
    <t xml:space="preserve">GECKO 1975</t>
  </si>
  <si>
    <t xml:space="preserve">noth5700</t>
  </si>
  <si>
    <t xml:space="preserve">https://www.inaturalist.org/observations/323375269</t>
  </si>
  <si>
    <t xml:space="preserve">GECKO 1976</t>
  </si>
  <si>
    <t xml:space="preserve">GECKO 1977</t>
  </si>
  <si>
    <t xml:space="preserve">franciscoriquelme</t>
  </si>
  <si>
    <t xml:space="preserve">https://www.inaturalist.org/observations/323488841</t>
  </si>
  <si>
    <t xml:space="preserve">GECKO 1978</t>
  </si>
  <si>
    <t xml:space="preserve">javiantum</t>
  </si>
  <si>
    <t xml:space="preserve">https://www.inaturalist.org/observations/322170767</t>
  </si>
  <si>
    <t xml:space="preserve">GECKO 1979</t>
  </si>
  <si>
    <t xml:space="preserve">danielmpina</t>
  </si>
  <si>
    <t xml:space="preserve">https://www.inaturalist.org/observations/300310671</t>
  </si>
  <si>
    <t xml:space="preserve">GECKO 1980</t>
  </si>
  <si>
    <t xml:space="preserve">https://www.inaturalist.org/observations/287920759</t>
  </si>
  <si>
    <t xml:space="preserve">GECKO 1981</t>
  </si>
  <si>
    <t xml:space="preserve">botanils</t>
  </si>
  <si>
    <t xml:space="preserve">https://www.inaturalist.org/observations/204766294</t>
  </si>
  <si>
    <t xml:space="preserve">GECKO 1982</t>
  </si>
  <si>
    <t xml:space="preserve">GECKO 1983</t>
  </si>
  <si>
    <t xml:space="preserve">GECKO 1984</t>
  </si>
  <si>
    <t xml:space="preserve">GECKO 1985</t>
  </si>
  <si>
    <t xml:space="preserve">daniel-pinelli</t>
  </si>
  <si>
    <t xml:space="preserve">https://www.inaturalist.org/observations/173833857</t>
  </si>
  <si>
    <t xml:space="preserve">GECKO 1986</t>
  </si>
  <si>
    <t xml:space="preserve">GECKO 1987</t>
  </si>
  <si>
    <t xml:space="preserve">javiera102</t>
  </si>
  <si>
    <t xml:space="preserve">https://www.inaturalist.org/observations/287633955</t>
  </si>
  <si>
    <t xml:space="preserve">GECKO 1988</t>
  </si>
  <si>
    <t xml:space="preserve">gbrl_nativa</t>
  </si>
  <si>
    <t xml:space="preserve">https://www.inaturalist.org/observations/258405591</t>
  </si>
  <si>
    <t xml:space="preserve">GECKO 1989</t>
  </si>
  <si>
    <t xml:space="preserve">greensxm</t>
  </si>
  <si>
    <t xml:space="preserve">https://www.inaturalist.org/observations/38151350</t>
  </si>
  <si>
    <t xml:space="preserve">GECKO 1990</t>
  </si>
  <si>
    <t xml:space="preserve">bichorraro</t>
  </si>
  <si>
    <t xml:space="preserve">https://www.inaturalist.org/observations/257406375</t>
  </si>
  <si>
    <t xml:space="preserve">GECKO 1991</t>
  </si>
  <si>
    <t xml:space="preserve">GECKO 1992</t>
  </si>
  <si>
    <t xml:space="preserve">GECKO 1993</t>
  </si>
  <si>
    <t xml:space="preserve">https://www.inaturalist.org/observations/37298389</t>
  </si>
  <si>
    <t xml:space="preserve">GECKO 1994</t>
  </si>
  <si>
    <t xml:space="preserve">gmm18</t>
  </si>
  <si>
    <t xml:space="preserve">https://www.inaturalist.org/observations/246721051</t>
  </si>
  <si>
    <t xml:space="preserve">GECKO 1995</t>
  </si>
  <si>
    <t xml:space="preserve">GECKO 1996</t>
  </si>
  <si>
    <t xml:space="preserve">Asaccus</t>
  </si>
  <si>
    <t xml:space="preserve">Asaccus gallagheri</t>
  </si>
  <si>
    <t xml:space="preserve">https://www.inaturalist.org/observations/382533574</t>
  </si>
  <si>
    <t xml:space="preserve">GECKO 1997</t>
  </si>
  <si>
    <t xml:space="preserve">kateryna_f</t>
  </si>
  <si>
    <t xml:space="preserve">https://www.inaturalist.org/observations/369716406</t>
  </si>
  <si>
    <t xml:space="preserve">GECKO 1998</t>
  </si>
  <si>
    <t xml:space="preserve">GECKO 1999</t>
  </si>
  <si>
    <t xml:space="preserve">tnaturalworld</t>
  </si>
  <si>
    <t xml:space="preserve">https://www.inaturalist.org/observations/368908144</t>
  </si>
  <si>
    <t xml:space="preserve">GECKO 2000</t>
  </si>
  <si>
    <t xml:space="preserve">naiara87</t>
  </si>
  <si>
    <t xml:space="preserve">https://www.inaturalist.org/observations/368896890</t>
  </si>
  <si>
    <t xml:space="preserve">GECKO 2001</t>
  </si>
  <si>
    <t xml:space="preserve">GECKO 2002</t>
  </si>
  <si>
    <t xml:space="preserve">shanepelser</t>
  </si>
  <si>
    <t xml:space="preserve">https://www.inaturalist.org/observations/368882068</t>
  </si>
  <si>
    <t xml:space="preserve">GECKO 2003</t>
  </si>
  <si>
    <t xml:space="preserve">christieelouise</t>
  </si>
  <si>
    <t xml:space="preserve">https://www.inaturalist.org/observations/368880613</t>
  </si>
  <si>
    <t xml:space="preserve">GECKO 2004</t>
  </si>
  <si>
    <t xml:space="preserve">https://www.inaturalist.org/observations/368880481</t>
  </si>
  <si>
    <t xml:space="preserve">GECKO 2005</t>
  </si>
  <si>
    <t xml:space="preserve">iftekarkhan</t>
  </si>
  <si>
    <t xml:space="preserve">https://www.inaturalist.org/observations/368880338</t>
  </si>
  <si>
    <t xml:space="preserve">GECKO 2006</t>
  </si>
  <si>
    <t xml:space="preserve">GECKO 2007</t>
  </si>
  <si>
    <t xml:space="preserve">GECKO 2008</t>
  </si>
  <si>
    <t xml:space="preserve">drithi_diwakar</t>
  </si>
  <si>
    <t xml:space="preserve">https://www.inaturalist.org/observations/368732975</t>
  </si>
  <si>
    <t xml:space="preserve">GECKO 2009</t>
  </si>
  <si>
    <t xml:space="preserve">ahabib</t>
  </si>
  <si>
    <t xml:space="preserve">https://www.inaturalist.org/observations/367949002</t>
  </si>
  <si>
    <t xml:space="preserve">GECKO 2010</t>
  </si>
  <si>
    <t xml:space="preserve">GECKO 2011</t>
  </si>
  <si>
    <t xml:space="preserve">nathenm</t>
  </si>
  <si>
    <t xml:space="preserve">https://www.inaturalist.org/observations/365989180</t>
  </si>
  <si>
    <t xml:space="preserve">GECKO 2012</t>
  </si>
  <si>
    <t xml:space="preserve">https://www.inaturalist.org/observations/365198670</t>
  </si>
  <si>
    <t xml:space="preserve">GECKO 2013</t>
  </si>
  <si>
    <t xml:space="preserve">https://www.inaturalist.org/observations/360525486</t>
  </si>
  <si>
    <t xml:space="preserve">GECKO 2014</t>
  </si>
  <si>
    <t xml:space="preserve">GECKO 2015</t>
  </si>
  <si>
    <t xml:space="preserve">GECKO 2016</t>
  </si>
  <si>
    <t xml:space="preserve">patrickdebeuf</t>
  </si>
  <si>
    <t xml:space="preserve">https://www.inaturalist.org/observations/329857889</t>
  </si>
  <si>
    <t xml:space="preserve">GECKO 2017</t>
  </si>
  <si>
    <t xml:space="preserve">feng63538</t>
  </si>
  <si>
    <t xml:space="preserve">https://www.inaturalist.org/observations/323146235</t>
  </si>
  <si>
    <t xml:space="preserve">GECKO 2018</t>
  </si>
  <si>
    <t xml:space="preserve">shiderob</t>
  </si>
  <si>
    <t xml:space="preserve">https://www.inaturalist.org/observations/311963648</t>
  </si>
  <si>
    <t xml:space="preserve">GECKO 2019</t>
  </si>
  <si>
    <t xml:space="preserve">GECKO 2020</t>
  </si>
  <si>
    <t xml:space="preserve">globalherping</t>
  </si>
  <si>
    <t xml:space="preserve">https://www.inaturalist.org/observations/283314331</t>
  </si>
  <si>
    <t xml:space="preserve">GECKO 2021</t>
  </si>
  <si>
    <t xml:space="preserve">GECKO 2022</t>
  </si>
  <si>
    <t xml:space="preserve">https://www.inaturalist.org/observations/280344807</t>
  </si>
  <si>
    <t xml:space="preserve">GECKO 2023</t>
  </si>
  <si>
    <t xml:space="preserve">lucaghess</t>
  </si>
  <si>
    <t xml:space="preserve">https://www.inaturalist.org/observations/277849064</t>
  </si>
  <si>
    <t xml:space="preserve">GECKO 2024</t>
  </si>
  <si>
    <t xml:space="preserve">thomas_bareyre</t>
  </si>
  <si>
    <t xml:space="preserve">https://www.inaturalist.org/observations/268092045</t>
  </si>
  <si>
    <t xml:space="preserve">GECKO 2025</t>
  </si>
  <si>
    <t xml:space="preserve">vojtechvita</t>
  </si>
  <si>
    <t xml:space="preserve">https://www.inaturalist.org/observations/145174004</t>
  </si>
  <si>
    <t xml:space="preserve">GECKO 2026</t>
  </si>
  <si>
    <t xml:space="preserve">https://www.inaturalist.org/observations/144975840</t>
  </si>
  <si>
    <t xml:space="preserve">GECKO 2027</t>
  </si>
  <si>
    <t xml:space="preserve">https://www.inaturalist.org/observations/144534318</t>
  </si>
  <si>
    <t xml:space="preserve">GECKO 2028</t>
  </si>
  <si>
    <t xml:space="preserve">neymark</t>
  </si>
  <si>
    <t xml:space="preserve">https://www.inaturalist.org/observations/88686240</t>
  </si>
  <si>
    <t xml:space="preserve">GECKO 2029</t>
  </si>
  <si>
    <t xml:space="preserve">lrasran</t>
  </si>
  <si>
    <t xml:space="preserve">https://www.inaturalist.org/observations/41678175</t>
  </si>
  <si>
    <t xml:space="preserve">GECKO 2030</t>
  </si>
  <si>
    <t xml:space="preserve">https://www.inaturalist.org/observations/40684911</t>
  </si>
  <si>
    <t xml:space="preserve">GECKO 2031</t>
  </si>
  <si>
    <t xml:space="preserve">https://www.inaturalist.org/observations/236068247</t>
  </si>
  <si>
    <t xml:space="preserve">GECKO 2032</t>
  </si>
  <si>
    <t xml:space="preserve">bastian_riveros</t>
  </si>
  <si>
    <t xml:space="preserve">https://www.inaturalist.org/observations/234127155</t>
  </si>
  <si>
    <t xml:space="preserve">GECKO 2033</t>
  </si>
  <si>
    <t xml:space="preserve">https://www.inaturalist.org/observations/233995076</t>
  </si>
  <si>
    <t xml:space="preserve">GECKO 2034</t>
  </si>
  <si>
    <t xml:space="preserve">alexandrasina</t>
  </si>
  <si>
    <t xml:space="preserve">https://www.inaturalist.org/observations/231060934</t>
  </si>
  <si>
    <t xml:space="preserve">GECKO 2035</t>
  </si>
  <si>
    <t xml:space="preserve">Asaccus gardneri</t>
  </si>
  <si>
    <t xml:space="preserve">alexanderr </t>
  </si>
  <si>
    <t xml:space="preserve">https://www.inaturalist.org/observations/334740779</t>
  </si>
  <si>
    <t xml:space="preserve">GECKO 2036</t>
  </si>
  <si>
    <t xml:space="preserve">jachatata</t>
  </si>
  <si>
    <t xml:space="preserve">https://www.inaturalist.org/observations/201591678</t>
  </si>
  <si>
    <t xml:space="preserve">GECKO 2037</t>
  </si>
  <si>
    <t xml:space="preserve">GECKO 2038</t>
  </si>
  <si>
    <t xml:space="preserve">https://www.inaturalist.org/observations/199287139</t>
  </si>
  <si>
    <t xml:space="preserve">GECKO 2039</t>
  </si>
  <si>
    <t xml:space="preserve">alexanderr</t>
  </si>
  <si>
    <t xml:space="preserve">https://www.inaturalist.org/observations/334740764</t>
  </si>
  <si>
    <t xml:space="preserve">GECKO 2040</t>
  </si>
  <si>
    <t xml:space="preserve">https://www.inaturalist.org/observations/199161655</t>
  </si>
  <si>
    <t xml:space="preserve">GECKO 2041</t>
  </si>
  <si>
    <t xml:space="preserve">diegoalmendras</t>
  </si>
  <si>
    <t xml:space="preserve">https://www.inaturalist.org/observations/198312753</t>
  </si>
  <si>
    <t xml:space="preserve">GECKO 2042</t>
  </si>
  <si>
    <t xml:space="preserve">https://www.inaturalist.org/observations/198148724</t>
  </si>
  <si>
    <t xml:space="preserve">GECKO 2043</t>
  </si>
  <si>
    <t xml:space="preserve">https://www.inaturalist.org/observations/334740762</t>
  </si>
  <si>
    <t xml:space="preserve">GECKO 2044</t>
  </si>
  <si>
    <t xml:space="preserve">theo_fiedler</t>
  </si>
  <si>
    <t xml:space="preserve">https://www.inaturalist.org/observations/196670184</t>
  </si>
  <si>
    <t xml:space="preserve">GECKO 2045</t>
  </si>
  <si>
    <t xml:space="preserve">GECKO 2046</t>
  </si>
  <si>
    <t xml:space="preserve">brunobertin</t>
  </si>
  <si>
    <t xml:space="preserve">https://www.inaturalist.org/observations/187273892</t>
  </si>
  <si>
    <t xml:space="preserve">GECKO 2047</t>
  </si>
  <si>
    <t xml:space="preserve">GECKO 2048</t>
  </si>
  <si>
    <t xml:space="preserve">GECKO 2049</t>
  </si>
  <si>
    <t xml:space="preserve">https://www.inaturalist.org/observations/186869917</t>
  </si>
  <si>
    <t xml:space="preserve">GECKO 2050</t>
  </si>
  <si>
    <t xml:space="preserve">GECKO 2051</t>
  </si>
  <si>
    <t xml:space="preserve">https://www.inaturalist.org/observations/334740761</t>
  </si>
  <si>
    <t xml:space="preserve">GECKO 2052</t>
  </si>
  <si>
    <t xml:space="preserve">https://www.inaturalist.org/observations/167873627</t>
  </si>
  <si>
    <t xml:space="preserve">GECKO 2053</t>
  </si>
  <si>
    <t xml:space="preserve">mauricioflorescab</t>
  </si>
  <si>
    <t xml:space="preserve">https://www.inaturalist.org/observations/151890892</t>
  </si>
  <si>
    <t xml:space="preserve">GECKO 2054</t>
  </si>
  <si>
    <t xml:space="preserve">https://www.inaturalist.org/observations/151890107</t>
  </si>
  <si>
    <t xml:space="preserve">GECKO 2055</t>
  </si>
  <si>
    <t xml:space="preserve">GECKO 2056</t>
  </si>
  <si>
    <t xml:space="preserve">chrisolea</t>
  </si>
  <si>
    <t xml:space="preserve">https://www.inaturalist.org/observations/145906043</t>
  </si>
  <si>
    <t xml:space="preserve">GECKO 2057</t>
  </si>
  <si>
    <t xml:space="preserve">https://www.inaturalist.org/observations/145877006</t>
  </si>
  <si>
    <t xml:space="preserve">GECKO 2058</t>
  </si>
  <si>
    <t xml:space="preserve">https://www.inaturalist.org/observations/145876954</t>
  </si>
  <si>
    <t xml:space="preserve">GECKO 2059</t>
  </si>
  <si>
    <t xml:space="preserve">GECKO 2060</t>
  </si>
  <si>
    <t xml:space="preserve">catha_miranda-veliz</t>
  </si>
  <si>
    <t xml:space="preserve">https://www.inaturalist.org/observations/141031268</t>
  </si>
  <si>
    <t xml:space="preserve">GECKO 2061</t>
  </si>
  <si>
    <t xml:space="preserve">https://www.inaturalist.org/observations/135612610</t>
  </si>
  <si>
    <t xml:space="preserve">GECKO 2062</t>
  </si>
  <si>
    <t xml:space="preserve">josfac</t>
  </si>
  <si>
    <t xml:space="preserve">https://www.inaturalist.org/observations/131288359</t>
  </si>
  <si>
    <t xml:space="preserve">GECKO 2063</t>
  </si>
  <si>
    <t xml:space="preserve">dhandanot</t>
  </si>
  <si>
    <t xml:space="preserve">https://www.inaturalist.org/observations/237838718</t>
  </si>
  <si>
    <t xml:space="preserve">GECKO 2064</t>
  </si>
  <si>
    <t xml:space="preserve">https://www.inaturalist.org/observations/130887882</t>
  </si>
  <si>
    <t xml:space="preserve">GECKO 2065</t>
  </si>
  <si>
    <t xml:space="preserve">francisco_eduardo</t>
  </si>
  <si>
    <t xml:space="preserve">https://www.inaturalist.org/observations/138866474</t>
  </si>
  <si>
    <t xml:space="preserve">GECKO 2066</t>
  </si>
  <si>
    <t xml:space="preserve">Homonota</t>
  </si>
  <si>
    <t xml:space="preserve">Homonota darwinii</t>
  </si>
  <si>
    <t xml:space="preserve">quentinvdm</t>
  </si>
  <si>
    <t xml:space="preserve">https://www.inaturalist.org/observations/326251491</t>
  </si>
  <si>
    <t xml:space="preserve">GECKO 2067</t>
  </si>
  <si>
    <t xml:space="preserve">lautarolrs</t>
  </si>
  <si>
    <t xml:space="preserve">https://www.inaturalist.org/observations/320624246</t>
  </si>
  <si>
    <t xml:space="preserve">GECKO 2068</t>
  </si>
  <si>
    <t xml:space="preserve">hyla75</t>
  </si>
  <si>
    <t xml:space="preserve">https://www.inaturalist.org/observations/319870482</t>
  </si>
  <si>
    <t xml:space="preserve">GECKO 2069</t>
  </si>
  <si>
    <t xml:space="preserve">alexx_21</t>
  </si>
  <si>
    <t xml:space="preserve">https://www.inaturalist.org/observations/270539295</t>
  </si>
  <si>
    <t xml:space="preserve">GECKO 2070</t>
  </si>
  <si>
    <t xml:space="preserve">portagonia</t>
  </si>
  <si>
    <t xml:space="preserve">https://www.inaturalist.org/observations/266167956</t>
  </si>
  <si>
    <t xml:space="preserve">GECKO 2071</t>
  </si>
  <si>
    <t xml:space="preserve">https://www.inaturalist.org/observations/265000355</t>
  </si>
  <si>
    <t xml:space="preserve">GECKO 2072</t>
  </si>
  <si>
    <t xml:space="preserve">ben_rittner</t>
  </si>
  <si>
    <t xml:space="preserve">https://www.inaturalist.org/observations/258959915</t>
  </si>
  <si>
    <t xml:space="preserve">GECKO 2073</t>
  </si>
  <si>
    <t xml:space="preserve">tinchobrogger</t>
  </si>
  <si>
    <t xml:space="preserve">https://www.inaturalist.org/observations/204724691</t>
  </si>
  <si>
    <t xml:space="preserve">GECKO 2074</t>
  </si>
  <si>
    <t xml:space="preserve">GECKO 2075</t>
  </si>
  <si>
    <t xml:space="preserve">fiorella_buglione</t>
  </si>
  <si>
    <t xml:space="preserve">https://www.inaturalist.org/observations/204442719</t>
  </si>
  <si>
    <t xml:space="preserve">GECKO 2076</t>
  </si>
  <si>
    <t xml:space="preserve">charly_romeo43</t>
  </si>
  <si>
    <t xml:space="preserve">https://www.inaturalist.org/observations/203340308</t>
  </si>
  <si>
    <t xml:space="preserve">GECKO 2077</t>
  </si>
  <si>
    <t xml:space="preserve">brianhof</t>
  </si>
  <si>
    <t xml:space="preserve">https://www.inaturalist.org/observations/199907740</t>
  </si>
  <si>
    <t xml:space="preserve">GECKO 2078</t>
  </si>
  <si>
    <t xml:space="preserve">https://www.inaturalist.org/observations/199799202</t>
  </si>
  <si>
    <t xml:space="preserve">GECKO 2079</t>
  </si>
  <si>
    <t xml:space="preserve">michelledelaloye</t>
  </si>
  <si>
    <t xml:space="preserve">https://www.inaturalist.org/observations/198534647</t>
  </si>
  <si>
    <t xml:space="preserve">GECKO 2080</t>
  </si>
  <si>
    <t xml:space="preserve">mthiel</t>
  </si>
  <si>
    <t xml:space="preserve">https://www.inaturalist.org/observations/198097215</t>
  </si>
  <si>
    <t xml:space="preserve">GECKO 2081</t>
  </si>
  <si>
    <t xml:space="preserve">GECKO 2082</t>
  </si>
  <si>
    <t xml:space="preserve">kurtrademacher</t>
  </si>
  <si>
    <t xml:space="preserve">https://www.inaturalist.org/observations/195349590</t>
  </si>
  <si>
    <t xml:space="preserve">GECKO 2083</t>
  </si>
  <si>
    <t xml:space="preserve">jacquescousteau2</t>
  </si>
  <si>
    <t xml:space="preserve">https://www.inaturalist.org/observations/193674837</t>
  </si>
  <si>
    <t xml:space="preserve">GECKO 2084</t>
  </si>
  <si>
    <t xml:space="preserve">GECKO 2085</t>
  </si>
  <si>
    <t xml:space="preserve">iprocheret</t>
  </si>
  <si>
    <t xml:space="preserve">https://www.inaturalist.org/observations/191283288</t>
  </si>
  <si>
    <t xml:space="preserve">GECKO 2086</t>
  </si>
  <si>
    <t xml:space="preserve">sofiaseg</t>
  </si>
  <si>
    <t xml:space="preserve">https://www.inaturalist.org/observations/181650327</t>
  </si>
  <si>
    <t xml:space="preserve">GECKO 2087</t>
  </si>
  <si>
    <t xml:space="preserve">leomiskoff</t>
  </si>
  <si>
    <t xml:space="preserve">https://www.inaturalist.org/observations/148694524</t>
  </si>
  <si>
    <t xml:space="preserve">GECKO 2088</t>
  </si>
  <si>
    <t xml:space="preserve">pablisola</t>
  </si>
  <si>
    <t xml:space="preserve">https://www.inaturalist.org/observations/147076741</t>
  </si>
  <si>
    <t xml:space="preserve">GECKO 2089</t>
  </si>
  <si>
    <t xml:space="preserve">raul_horacio_mak</t>
  </si>
  <si>
    <t xml:space="preserve">https://www.inaturalist.org/observations/144154251</t>
  </si>
  <si>
    <t xml:space="preserve">GECKO 2090</t>
  </si>
  <si>
    <t xml:space="preserve">facundovarelab</t>
  </si>
  <si>
    <t xml:space="preserve">https://www.inaturalist.org/observations/142907225</t>
  </si>
  <si>
    <t xml:space="preserve">GECKO 2091</t>
  </si>
  <si>
    <t xml:space="preserve">viole2309</t>
  </si>
  <si>
    <t xml:space="preserve">https://www.inaturalist.org/observations/142288400</t>
  </si>
  <si>
    <t xml:space="preserve">GECKO 2092</t>
  </si>
  <si>
    <t xml:space="preserve">GECKO 2093</t>
  </si>
  <si>
    <t xml:space="preserve">https://www.inaturalist.org/observations/138504707</t>
  </si>
  <si>
    <t xml:space="preserve">GECKO 2094</t>
  </si>
  <si>
    <t xml:space="preserve">GECKO 2095</t>
  </si>
  <si>
    <t xml:space="preserve">https://www.inaturalist.org/observations/138504573</t>
  </si>
  <si>
    <t xml:space="preserve">GECKO 2096</t>
  </si>
  <si>
    <t xml:space="preserve">GECKO 2097</t>
  </si>
  <si>
    <t xml:space="preserve">GECKO 2098</t>
  </si>
  <si>
    <t xml:space="preserve">ah3315</t>
  </si>
  <si>
    <t xml:space="preserve">https://www.inaturalist.org/observations/373556492</t>
  </si>
  <si>
    <t xml:space="preserve">GECKO 2099</t>
  </si>
  <si>
    <t xml:space="preserve">mangoverde</t>
  </si>
  <si>
    <t xml:space="preserve">https://www.inaturalist.org/observations/340501956</t>
  </si>
  <si>
    <t xml:space="preserve">GECKO 2100</t>
  </si>
  <si>
    <t xml:space="preserve">https://www.inaturalist.org/observations/339557169</t>
  </si>
  <si>
    <t xml:space="preserve">GECKO 2101</t>
  </si>
  <si>
    <t xml:space="preserve">Sphaerodactylidae</t>
  </si>
  <si>
    <t xml:space="preserve">Gonatodes</t>
  </si>
  <si>
    <t xml:space="preserve">Gonatodes vittatus</t>
  </si>
  <si>
    <t xml:space="preserve">https://www.inaturalist.org/observations/382587793</t>
  </si>
  <si>
    <t xml:space="preserve">GECKO 2102</t>
  </si>
  <si>
    <t xml:space="preserve">https://www.inaturalist.org/observations/382162651</t>
  </si>
  <si>
    <t xml:space="preserve">GECKO 2103</t>
  </si>
  <si>
    <t xml:space="preserve">https://www.inaturalist.org/observations/380892697</t>
  </si>
  <si>
    <t xml:space="preserve">GECKO 2104</t>
  </si>
  <si>
    <t xml:space="preserve">https://www.inaturalist.org/observations/380886054</t>
  </si>
  <si>
    <t xml:space="preserve">GECKO 2105</t>
  </si>
  <si>
    <t xml:space="preserve">https://www.inaturalist.org/observations/377866794</t>
  </si>
  <si>
    <t xml:space="preserve">GECKO 2106</t>
  </si>
  <si>
    <t xml:space="preserve">https://www.inaturalist.org/observations/377866758</t>
  </si>
  <si>
    <t xml:space="preserve">GECKO 2107</t>
  </si>
  <si>
    <t xml:space="preserve">https://www.inaturalist.org/observations/377632099</t>
  </si>
  <si>
    <t xml:space="preserve">GECKO 2108</t>
  </si>
  <si>
    <t xml:space="preserve">https://www.inaturalist.org/observations/376625800</t>
  </si>
  <si>
    <t xml:space="preserve">GECKO 2109</t>
  </si>
  <si>
    <t xml:space="preserve">https://www.inaturalist.org/observations/376046898</t>
  </si>
  <si>
    <t xml:space="preserve">GECKO 2110</t>
  </si>
  <si>
    <t xml:space="preserve">https://www.inaturalist.org/observations/376034885</t>
  </si>
  <si>
    <t xml:space="preserve">GECKO 2111</t>
  </si>
  <si>
    <t xml:space="preserve">https://www.inaturalist.org/observations/375721990</t>
  </si>
  <si>
    <t xml:space="preserve">GECKO 2112</t>
  </si>
  <si>
    <t xml:space="preserve">https://www.inaturalist.org/observations/375645833</t>
  </si>
  <si>
    <t xml:space="preserve">GECKO 2113</t>
  </si>
  <si>
    <t xml:space="preserve">https://www.inaturalist.org/observations/375404150</t>
  </si>
  <si>
    <t xml:space="preserve">GECKO 2114</t>
  </si>
  <si>
    <t xml:space="preserve">https://www.inaturalist.org/observations/374575773</t>
  </si>
  <si>
    <t xml:space="preserve">GECKO 2115</t>
  </si>
  <si>
    <t xml:space="preserve">https://www.inaturalist.org/observations/373793762</t>
  </si>
  <si>
    <t xml:space="preserve">GECKO 2116</t>
  </si>
  <si>
    <t xml:space="preserve">https://www.inaturalist.org/observations/373793514</t>
  </si>
  <si>
    <t xml:space="preserve">GECKO 2117</t>
  </si>
  <si>
    <t xml:space="preserve">https://www.inaturalist.org/observations/373431692</t>
  </si>
  <si>
    <t xml:space="preserve">GECKO 2118</t>
  </si>
  <si>
    <t xml:space="preserve">https://www.inaturalist.org/observations/373422009</t>
  </si>
  <si>
    <t xml:space="preserve">GECKO 2119</t>
  </si>
  <si>
    <t xml:space="preserve">https://www.inaturalist.org/observations/373070508</t>
  </si>
  <si>
    <t xml:space="preserve">GECKO 2120</t>
  </si>
  <si>
    <t xml:space="preserve">https://www.inaturalist.org/observations/372014431</t>
  </si>
  <si>
    <t xml:space="preserve">GECKO 2121</t>
  </si>
  <si>
    <t xml:space="preserve">https://www.inaturalist.org/observations/371372452</t>
  </si>
  <si>
    <t xml:space="preserve">GECKO 2122</t>
  </si>
  <si>
    <t xml:space="preserve">https://www.inaturalist.org/observations/370765632</t>
  </si>
  <si>
    <t xml:space="preserve">GECKO 2123</t>
  </si>
  <si>
    <t xml:space="preserve">https://www.inaturalist.org/observations/370765631</t>
  </si>
  <si>
    <t xml:space="preserve">GECKO 2124</t>
  </si>
  <si>
    <t xml:space="preserve">https://www.inaturalist.org/observations/370378247</t>
  </si>
  <si>
    <t xml:space="preserve">GECKO 2125</t>
  </si>
  <si>
    <t xml:space="preserve">https://www.inaturalist.org/observations/369043048</t>
  </si>
  <si>
    <t xml:space="preserve">GECKO 2126</t>
  </si>
  <si>
    <t xml:space="preserve">https://www.inaturalist.org/observations/367704738</t>
  </si>
  <si>
    <t xml:space="preserve">GECKO 2127</t>
  </si>
  <si>
    <t xml:space="preserve">https://www.inaturalist.org/observations/366158002</t>
  </si>
  <si>
    <t xml:space="preserve">GECKO 2128</t>
  </si>
  <si>
    <t xml:space="preserve">https://www.inaturalist.org/observations/365167091</t>
  </si>
  <si>
    <t xml:space="preserve">GECKO 2129</t>
  </si>
  <si>
    <t xml:space="preserve">https://www.inaturalist.org/observations/360901610</t>
  </si>
  <si>
    <t xml:space="preserve">GECKO 2130</t>
  </si>
  <si>
    <t xml:space="preserve">https://www.inaturalist.org/observations/355510143</t>
  </si>
  <si>
    <t xml:space="preserve">GECKO 2131</t>
  </si>
  <si>
    <t xml:space="preserve">https://www.inaturalist.org/observations/352241945</t>
  </si>
  <si>
    <t xml:space="preserve">GECKO 2132</t>
  </si>
  <si>
    <t xml:space="preserve">https://www.inaturalist.org/observations/350672345</t>
  </si>
  <si>
    <t xml:space="preserve">GECKO 2133</t>
  </si>
  <si>
    <t xml:space="preserve">https://www.inaturalist.org/observations/350455727</t>
  </si>
  <si>
    <t xml:space="preserve">GECKO 2134</t>
  </si>
  <si>
    <t xml:space="preserve">https://www.inaturalist.org/observations/348797556</t>
  </si>
  <si>
    <t xml:space="preserve">GECKO 2135</t>
  </si>
  <si>
    <t xml:space="preserve">https://www.inaturalist.org/observations/347975169</t>
  </si>
  <si>
    <t xml:space="preserve">GECKO 2136</t>
  </si>
  <si>
    <t xml:space="preserve">Gonatodes albogularis</t>
  </si>
  <si>
    <t xml:space="preserve">https://www.inaturalist.org/observations/382636478</t>
  </si>
  <si>
    <t xml:space="preserve">GECKO 2137</t>
  </si>
  <si>
    <t xml:space="preserve">https://www.inaturalist.org/observations/382407507</t>
  </si>
  <si>
    <t xml:space="preserve">GECKO 2138</t>
  </si>
  <si>
    <t xml:space="preserve">https://www.inaturalist.org/observations/382301192</t>
  </si>
  <si>
    <t xml:space="preserve">GECKO 2139</t>
  </si>
  <si>
    <t xml:space="preserve">https://www.inaturalist.org/observations/382163402</t>
  </si>
  <si>
    <t xml:space="preserve">GECKO 2140</t>
  </si>
  <si>
    <t xml:space="preserve">https://www.inaturalist.org/observations/381980235</t>
  </si>
  <si>
    <t xml:space="preserve">GECKO 2141</t>
  </si>
  <si>
    <t xml:space="preserve">https://www.inaturalist.org/observations/381871514</t>
  </si>
  <si>
    <t xml:space="preserve">GECKO 2142</t>
  </si>
  <si>
    <t xml:space="preserve">https://www.inaturalist.org/observations/381846526</t>
  </si>
  <si>
    <t xml:space="preserve">GECKO 2143</t>
  </si>
  <si>
    <t xml:space="preserve">https://www.inaturalist.org/observations/380623894</t>
  </si>
  <si>
    <t xml:space="preserve">GECKO 2144</t>
  </si>
  <si>
    <t xml:space="preserve">https://www.inaturalist.org/observations/380557466</t>
  </si>
  <si>
    <t xml:space="preserve">GECKO 2145</t>
  </si>
  <si>
    <t xml:space="preserve">https://www.inaturalist.org/observations/380536462</t>
  </si>
  <si>
    <t xml:space="preserve">GECKO 2146</t>
  </si>
  <si>
    <t xml:space="preserve">https://www.inaturalist.org/observations/380519116</t>
  </si>
  <si>
    <t xml:space="preserve">GECKO 2147</t>
  </si>
  <si>
    <t xml:space="preserve">https://www.inaturalist.org/observations/379902442</t>
  </si>
  <si>
    <t xml:space="preserve">GECKO 2148</t>
  </si>
  <si>
    <t xml:space="preserve">https://www.inaturalist.org/observations/379887731</t>
  </si>
  <si>
    <t xml:space="preserve">GECKO 2149</t>
  </si>
  <si>
    <t xml:space="preserve">https://www.inaturalist.org/observations/379836816</t>
  </si>
  <si>
    <t xml:space="preserve">GECKO 2150</t>
  </si>
  <si>
    <t xml:space="preserve">https://www.inaturalist.org/observations/379835754</t>
  </si>
  <si>
    <t xml:space="preserve">GECKO 2151</t>
  </si>
  <si>
    <t xml:space="preserve">https://www.inaturalist.org/observations/379814373</t>
  </si>
  <si>
    <t xml:space="preserve">GECKO 2152</t>
  </si>
  <si>
    <t xml:space="preserve">https://www.inaturalist.org/observations/379814369</t>
  </si>
  <si>
    <t xml:space="preserve">GECKO 2153</t>
  </si>
  <si>
    <t xml:space="preserve">https://www.inaturalist.org/observations/379263324</t>
  </si>
  <si>
    <t xml:space="preserve">GECKO 2154</t>
  </si>
  <si>
    <t xml:space="preserve">https://www.inaturalist.org/observations/379143498</t>
  </si>
  <si>
    <t xml:space="preserve">GECKO 2155</t>
  </si>
  <si>
    <t xml:space="preserve">https://www.inaturalist.org/observations/379098133</t>
  </si>
  <si>
    <t xml:space="preserve">GECKO 2156</t>
  </si>
  <si>
    <t xml:space="preserve">https://www.inaturalist.org/observations/378302665</t>
  </si>
  <si>
    <t xml:space="preserve">GECKO 2157</t>
  </si>
  <si>
    <t xml:space="preserve">https://www.inaturalist.org/observations/378072113</t>
  </si>
  <si>
    <t xml:space="preserve">GECKO 2158</t>
  </si>
  <si>
    <t xml:space="preserve">https://www.inaturalist.org/observations/378032959</t>
  </si>
  <si>
    <t xml:space="preserve">GECKO 2159</t>
  </si>
  <si>
    <t xml:space="preserve">https://www.inaturalist.org/observations/377813759</t>
  </si>
  <si>
    <t xml:space="preserve">GECKO 2160</t>
  </si>
  <si>
    <t xml:space="preserve">https://www.inaturalist.org/observations/377282682</t>
  </si>
  <si>
    <t xml:space="preserve">GECKO 2161</t>
  </si>
  <si>
    <t xml:space="preserve">https://www.inaturalist.org/observations/377280502</t>
  </si>
  <si>
    <t xml:space="preserve">GECKO 2162</t>
  </si>
  <si>
    <t xml:space="preserve">https://www.inaturalist.org/observations/377234840</t>
  </si>
  <si>
    <t xml:space="preserve">GECKO 2163</t>
  </si>
  <si>
    <t xml:space="preserve">https://www.inaturalist.org/observations/376953892</t>
  </si>
  <si>
    <t xml:space="preserve">GECKO 2164</t>
  </si>
  <si>
    <t xml:space="preserve">https://www.inaturalist.org/observations/376740933</t>
  </si>
  <si>
    <t xml:space="preserve">GECKO 2165</t>
  </si>
  <si>
    <t xml:space="preserve">https://www.inaturalist.org/observations/376564379</t>
  </si>
  <si>
    <t xml:space="preserve">GECKO 2166</t>
  </si>
  <si>
    <t xml:space="preserve">https://www.inaturalist.org/observations/375870130</t>
  </si>
  <si>
    <t xml:space="preserve">GECKO 2167</t>
  </si>
  <si>
    <t xml:space="preserve">https://www.inaturalist.org/observations/375640477</t>
  </si>
  <si>
    <t xml:space="preserve">GECKO 2168</t>
  </si>
  <si>
    <t xml:space="preserve">https://www.inaturalist.org/observations/375614522</t>
  </si>
  <si>
    <t xml:space="preserve">GECKO 2169</t>
  </si>
  <si>
    <t xml:space="preserve">https://www.inaturalist.org/observations/375561575</t>
  </si>
  <si>
    <t xml:space="preserve">GECKO 2170</t>
  </si>
  <si>
    <t xml:space="preserve">https://www.inaturalist.org/observations/375544520</t>
  </si>
  <si>
    <t xml:space="preserve">GECKO 2171</t>
  </si>
  <si>
    <t xml:space="preserve">Gonatodes caudiscutatus</t>
  </si>
  <si>
    <t xml:space="preserve">https://www.inaturalist.org/observations/377827546</t>
  </si>
  <si>
    <t xml:space="preserve">GECKO 2172</t>
  </si>
  <si>
    <t xml:space="preserve">https://www.inaturalist.org/observations/372035315</t>
  </si>
  <si>
    <t xml:space="preserve">GECKO 2173</t>
  </si>
  <si>
    <t xml:space="preserve">https://www.inaturalist.org/observations/367997757</t>
  </si>
  <si>
    <t xml:space="preserve">GECKO 2174</t>
  </si>
  <si>
    <t xml:space="preserve">https://www.inaturalist.org/observations/364732369</t>
  </si>
  <si>
    <t xml:space="preserve">GECKO 2175</t>
  </si>
  <si>
    <t xml:space="preserve">https://www.inaturalist.org/observations/354974376</t>
  </si>
  <si>
    <t xml:space="preserve">GECKO 2176</t>
  </si>
  <si>
    <t xml:space="preserve">https://www.inaturalist.org/observations/354950525</t>
  </si>
  <si>
    <t xml:space="preserve">GECKO 2177</t>
  </si>
  <si>
    <t xml:space="preserve">https://www.inaturalist.org/observations/350324064</t>
  </si>
  <si>
    <t xml:space="preserve">GECKO 2178</t>
  </si>
  <si>
    <t xml:space="preserve">https://www.inaturalist.org/observations/349440958</t>
  </si>
  <si>
    <t xml:space="preserve">GECKO 2179</t>
  </si>
  <si>
    <t xml:space="preserve">https://www.inaturalist.org/observations/349116695</t>
  </si>
  <si>
    <t xml:space="preserve">GECKO 2180</t>
  </si>
  <si>
    <t xml:space="preserve">https://www.inaturalist.org/observations/344010560</t>
  </si>
  <si>
    <t xml:space="preserve">GECKO 2181</t>
  </si>
  <si>
    <t xml:space="preserve">https://www.inaturalist.org/observations/344010482</t>
  </si>
  <si>
    <t xml:space="preserve">GECKO 2182</t>
  </si>
  <si>
    <t xml:space="preserve">https://www.inaturalist.org/observations/343226544</t>
  </si>
  <si>
    <t xml:space="preserve">GECKO 2183</t>
  </si>
  <si>
    <t xml:space="preserve">https://www.inaturalist.org/observations/341220944</t>
  </si>
  <si>
    <t xml:space="preserve">GECKO 2184</t>
  </si>
  <si>
    <t xml:space="preserve">https://www.inaturalist.org/observations/340892584</t>
  </si>
  <si>
    <t xml:space="preserve">GECKO 2185</t>
  </si>
  <si>
    <t xml:space="preserve">https://www.inaturalist.org/observations/334655811</t>
  </si>
  <si>
    <t xml:space="preserve">GECKO 2186</t>
  </si>
  <si>
    <t xml:space="preserve">https://www.inaturalist.org/observations/331358492</t>
  </si>
  <si>
    <t xml:space="preserve">GECKO 2187</t>
  </si>
  <si>
    <t xml:space="preserve">https://www.inaturalist.org/observations/331249023</t>
  </si>
  <si>
    <t xml:space="preserve">GECKO 2188</t>
  </si>
  <si>
    <t xml:space="preserve">https://www.inaturalist.org/observations/325681053</t>
  </si>
  <si>
    <t xml:space="preserve">GECKO 2189</t>
  </si>
  <si>
    <t xml:space="preserve">https://www.inaturalist.org/observations/325054737</t>
  </si>
  <si>
    <t xml:space="preserve">GECKO 2190</t>
  </si>
  <si>
    <t xml:space="preserve">https://www.inaturalist.org/observations/324551192</t>
  </si>
  <si>
    <t xml:space="preserve">GECKO 2191</t>
  </si>
  <si>
    <t xml:space="preserve">https://www.inaturalist.org/observations/324396231</t>
  </si>
  <si>
    <t xml:space="preserve">GECKO 2192</t>
  </si>
  <si>
    <t xml:space="preserve">https://www.inaturalist.org/observations/319282905</t>
  </si>
  <si>
    <t xml:space="preserve">GECKO 2193</t>
  </si>
  <si>
    <t xml:space="preserve">https://www.inaturalist.org/observations/308301584</t>
  </si>
  <si>
    <t xml:space="preserve">GECKO 2194</t>
  </si>
  <si>
    <t xml:space="preserve">https://www.inaturalist.org/observations/298279213</t>
  </si>
  <si>
    <t xml:space="preserve">GECKO 2195</t>
  </si>
  <si>
    <t xml:space="preserve">https://www.inaturalist.org/observations/295741353</t>
  </si>
  <si>
    <t xml:space="preserve">GECKO 2196</t>
  </si>
  <si>
    <t xml:space="preserve">https://www.inaturalist.org/observations/292881497</t>
  </si>
  <si>
    <t xml:space="preserve">GECKO 2197</t>
  </si>
  <si>
    <t xml:space="preserve">https://www.inaturalist.org/observations/291617342</t>
  </si>
  <si>
    <t xml:space="preserve">GECKO 2198</t>
  </si>
  <si>
    <t xml:space="preserve">https://www.inaturalist.org/observations/288984464</t>
  </si>
  <si>
    <t xml:space="preserve">GECKO 2199</t>
  </si>
  <si>
    <t xml:space="preserve">https://www.inaturalist.org/observations/288259043</t>
  </si>
  <si>
    <t xml:space="preserve">GECKO 2200</t>
  </si>
  <si>
    <t xml:space="preserve">https://www.inaturalist.org/observations/282169888</t>
  </si>
  <si>
    <t xml:space="preserve">GECKO 2201</t>
  </si>
  <si>
    <t xml:space="preserve">https://www.inaturalist.org/observations/281548398</t>
  </si>
  <si>
    <t xml:space="preserve">GECKO 2202</t>
  </si>
  <si>
    <t xml:space="preserve">https://www.inaturalist.org/observations/279257237</t>
  </si>
  <si>
    <t xml:space="preserve">GECKO 2203</t>
  </si>
  <si>
    <t xml:space="preserve">https://www.inaturalist.org/observations/278729478</t>
  </si>
  <si>
    <t xml:space="preserve">GECKO 2204</t>
  </si>
  <si>
    <t xml:space="preserve">https://www.inaturalist.org/observations/277915868</t>
  </si>
  <si>
    <t xml:space="preserve">GECKO 2205</t>
  </si>
  <si>
    <t xml:space="preserve">https://www.inaturalist.org/observations/272222154</t>
  </si>
  <si>
    <t xml:space="preserve">GECKO 2206</t>
  </si>
  <si>
    <t xml:space="preserve">Lepidoblepharis</t>
  </si>
  <si>
    <t xml:space="preserve">Lepidoblepharis sanctaemartae</t>
  </si>
  <si>
    <t xml:space="preserve">https://www.inaturalist.org/observations/375876678</t>
  </si>
  <si>
    <t xml:space="preserve">GECKO 2207</t>
  </si>
  <si>
    <t xml:space="preserve">https://www.inaturalist.org/observations/374454874</t>
  </si>
  <si>
    <t xml:space="preserve">GECKO 2208</t>
  </si>
  <si>
    <t xml:space="preserve">https://www.inaturalist.org/observations/374454340</t>
  </si>
  <si>
    <t xml:space="preserve">GECKO 2209</t>
  </si>
  <si>
    <t xml:space="preserve">https://www.inaturalist.org/observations/371496385</t>
  </si>
  <si>
    <t xml:space="preserve">GECKO 2210</t>
  </si>
  <si>
    <t xml:space="preserve">https://www.inaturalist.org/observations/331613955</t>
  </si>
  <si>
    <t xml:space="preserve">GECKO 2211</t>
  </si>
  <si>
    <t xml:space="preserve">https://www.inaturalist.org/observations/318755852</t>
  </si>
  <si>
    <t xml:space="preserve">GECKO 2212</t>
  </si>
  <si>
    <t xml:space="preserve">https://www.inaturalist.org/observations/306334969</t>
  </si>
  <si>
    <t xml:space="preserve">GECKO 2213</t>
  </si>
  <si>
    <t xml:space="preserve">https://www.inaturalist.org/observations/264578094</t>
  </si>
  <si>
    <t xml:space="preserve">GECKO 2214</t>
  </si>
  <si>
    <t xml:space="preserve">https://www.inaturalist.org/observations/259021917</t>
  </si>
  <si>
    <t xml:space="preserve">GECKO 2215</t>
  </si>
  <si>
    <t xml:space="preserve">https://www.inaturalist.org/observations/254670872</t>
  </si>
  <si>
    <t xml:space="preserve">GECKO 2216</t>
  </si>
  <si>
    <t xml:space="preserve">https://www.inaturalist.org/observations/249911371</t>
  </si>
  <si>
    <t xml:space="preserve">GECKO 2217</t>
  </si>
  <si>
    <t xml:space="preserve">https://www.inaturalist.org/observations/246903163</t>
  </si>
  <si>
    <t xml:space="preserve">GECKO 2218</t>
  </si>
  <si>
    <t xml:space="preserve">https://www.inaturalist.org/observations/242615277</t>
  </si>
  <si>
    <t xml:space="preserve">GECKO 2219</t>
  </si>
  <si>
    <t xml:space="preserve">https://www.inaturalist.org/observations/242279402</t>
  </si>
  <si>
    <t xml:space="preserve">GECKO 2220</t>
  </si>
  <si>
    <t xml:space="preserve">https://www.inaturalist.org/observations/242223706</t>
  </si>
  <si>
    <t xml:space="preserve">GECKO 2221</t>
  </si>
  <si>
    <t xml:space="preserve">https://www.inaturalist.org/observations/242141814</t>
  </si>
  <si>
    <t xml:space="preserve">GECKO 2222</t>
  </si>
  <si>
    <t xml:space="preserve">https://www.inaturalist.org/observations/241589784</t>
  </si>
  <si>
    <t xml:space="preserve">GECKO 2223</t>
  </si>
  <si>
    <t xml:space="preserve">https://www.inaturalist.org/observations/241354078</t>
  </si>
  <si>
    <t xml:space="preserve">GECKO 2224</t>
  </si>
  <si>
    <t xml:space="preserve">https://www.inaturalist.org/observations/241346512</t>
  </si>
  <si>
    <t xml:space="preserve">GECKO 2225</t>
  </si>
  <si>
    <t xml:space="preserve">https://www.inaturalist.org/observations/241341397</t>
  </si>
  <si>
    <t xml:space="preserve">GECKO 2226</t>
  </si>
  <si>
    <t xml:space="preserve">https://www.inaturalist.org/observations/241327876</t>
  </si>
  <si>
    <t xml:space="preserve">GECKO 2227</t>
  </si>
  <si>
    <t xml:space="preserve">https://www.inaturalist.org/observations/241300808</t>
  </si>
  <si>
    <t xml:space="preserve">GECKO 2228</t>
  </si>
  <si>
    <t xml:space="preserve">https://www.inaturalist.org/observations/232068053</t>
  </si>
  <si>
    <t xml:space="preserve">GECKO 2229</t>
  </si>
  <si>
    <t xml:space="preserve">https://www.inaturalist.org/observations/226966490</t>
  </si>
  <si>
    <t xml:space="preserve">GECKO 2230</t>
  </si>
  <si>
    <t xml:space="preserve">https://www.inaturalist.org/observations/205533965</t>
  </si>
  <si>
    <t xml:space="preserve">GECKO 2231</t>
  </si>
  <si>
    <t xml:space="preserve">https://www.inaturalist.org/observations/200825296</t>
  </si>
  <si>
    <t xml:space="preserve">GECKO 2232</t>
  </si>
  <si>
    <t xml:space="preserve">https://www.inaturalist.org/observations/200825282</t>
  </si>
  <si>
    <t xml:space="preserve">GECKO 2233</t>
  </si>
  <si>
    <t xml:space="preserve">https://www.inaturalist.org/observations/199641426</t>
  </si>
  <si>
    <t xml:space="preserve">GECKO 2234</t>
  </si>
  <si>
    <t xml:space="preserve">https://www.inaturalist.org/observations/197745709</t>
  </si>
  <si>
    <t xml:space="preserve">GECKO 2235</t>
  </si>
  <si>
    <t xml:space="preserve">https://www.inaturalist.org/observations/193430241</t>
  </si>
  <si>
    <t xml:space="preserve">GECKO 2236</t>
  </si>
  <si>
    <t xml:space="preserve">https://www.inaturalist.org/observations/188862064</t>
  </si>
  <si>
    <t xml:space="preserve">GECKO 2237</t>
  </si>
  <si>
    <t xml:space="preserve">https://www.inaturalist.org/observations/156512745</t>
  </si>
  <si>
    <t xml:space="preserve">GECKO 2238</t>
  </si>
  <si>
    <t xml:space="preserve">https://www.inaturalist.org/observations/154056827</t>
  </si>
  <si>
    <t xml:space="preserve">GECKO 2239</t>
  </si>
  <si>
    <t xml:space="preserve">https://www.inaturalist.org/observations/141008311</t>
  </si>
  <si>
    <t xml:space="preserve">GECKO 2240</t>
  </si>
  <si>
    <t xml:space="preserve">https://www.inaturalist.org/observations/140953125</t>
  </si>
  <si>
    <t xml:space="preserve">GECKO 2241</t>
  </si>
  <si>
    <t xml:space="preserve">Lepidoblepharis xanthostigma</t>
  </si>
  <si>
    <t xml:space="preserve">https://www.inaturalist.org/observations/371328908</t>
  </si>
  <si>
    <t xml:space="preserve">GECKO 2242</t>
  </si>
  <si>
    <t xml:space="preserve">https://www.inaturalist.org/observations/350099417</t>
  </si>
  <si>
    <t xml:space="preserve">GECKO 2243</t>
  </si>
  <si>
    <t xml:space="preserve">https://www.inaturalist.org/observations/346512160</t>
  </si>
  <si>
    <t xml:space="preserve">GECKO 2244</t>
  </si>
  <si>
    <t xml:space="preserve">https://www.inaturalist.org/observations/344683842</t>
  </si>
  <si>
    <t xml:space="preserve">GECKO 2245</t>
  </si>
  <si>
    <t xml:space="preserve">https://www.inaturalist.org/observations/341642852</t>
  </si>
  <si>
    <t xml:space="preserve">GECKO 2246</t>
  </si>
  <si>
    <t xml:space="preserve">https://www.inaturalist.org/observations/340847286</t>
  </si>
  <si>
    <t xml:space="preserve">GECKO 2247</t>
  </si>
  <si>
    <t xml:space="preserve">https://www.inaturalist.org/observations/337613070</t>
  </si>
  <si>
    <t xml:space="preserve">GECKO 2248</t>
  </si>
  <si>
    <t xml:space="preserve">https://www.inaturalist.org/observations/334905730</t>
  </si>
  <si>
    <t xml:space="preserve">GECKO 2249</t>
  </si>
  <si>
    <t xml:space="preserve">https://www.inaturalist.org/observations/334835683</t>
  </si>
  <si>
    <t xml:space="preserve">GECKO 2250</t>
  </si>
  <si>
    <t xml:space="preserve">https://www.inaturalist.org/observations/329225111</t>
  </si>
  <si>
    <t xml:space="preserve">GECKO 2251</t>
  </si>
  <si>
    <t xml:space="preserve">https://www.inaturalist.org/observations/327432186</t>
  </si>
  <si>
    <t xml:space="preserve">GECKO 2252</t>
  </si>
  <si>
    <t xml:space="preserve">https://www.inaturalist.org/observations/327432126</t>
  </si>
  <si>
    <t xml:space="preserve">GECKO 2253</t>
  </si>
  <si>
    <t xml:space="preserve">https://www.inaturalist.org/observations/327432087</t>
  </si>
  <si>
    <t xml:space="preserve">GECKO 2254</t>
  </si>
  <si>
    <t xml:space="preserve">https://www.inaturalist.org/observations/326699640</t>
  </si>
  <si>
    <t xml:space="preserve">GECKO 2255</t>
  </si>
  <si>
    <t xml:space="preserve">https://www.inaturalist.org/observations/321520182</t>
  </si>
  <si>
    <t xml:space="preserve">GECKO 2256</t>
  </si>
  <si>
    <t xml:space="preserve">https://www.inaturalist.org/observations/311776416</t>
  </si>
  <si>
    <t xml:space="preserve">GECKO 2257</t>
  </si>
  <si>
    <t xml:space="preserve">https://www.inaturalist.org/observations/310765681</t>
  </si>
  <si>
    <t xml:space="preserve">GECKO 2258</t>
  </si>
  <si>
    <t xml:space="preserve">https://www.inaturalist.org/observations/308030612</t>
  </si>
  <si>
    <t xml:space="preserve">GECKO 2259</t>
  </si>
  <si>
    <t xml:space="preserve">https://www.inaturalist.org/observations/306120970</t>
  </si>
  <si>
    <t xml:space="preserve">GECKO 2260</t>
  </si>
  <si>
    <t xml:space="preserve">https://www.inaturalist.org/observations/292536816</t>
  </si>
  <si>
    <t xml:space="preserve">GECKO 2261</t>
  </si>
  <si>
    <t xml:space="preserve">https://www.inaturalist.org/observations/281272137</t>
  </si>
  <si>
    <t xml:space="preserve">GECKO 2262</t>
  </si>
  <si>
    <t xml:space="preserve">https://www.inaturalist.org/observations/279558809</t>
  </si>
  <si>
    <t xml:space="preserve">GECKO 2263</t>
  </si>
  <si>
    <t xml:space="preserve">https://www.inaturalist.org/observations/276724474</t>
  </si>
  <si>
    <t xml:space="preserve">GECKO 2264</t>
  </si>
  <si>
    <t xml:space="preserve">https://www.inaturalist.org/observations/264575493</t>
  </si>
  <si>
    <t xml:space="preserve">GECKO 2265</t>
  </si>
  <si>
    <t xml:space="preserve">https://www.inaturalist.org/observations/260725366</t>
  </si>
  <si>
    <t xml:space="preserve">GECKO 2266</t>
  </si>
  <si>
    <t xml:space="preserve">https://www.inaturalist.org/observations/259128554</t>
  </si>
  <si>
    <t xml:space="preserve">GECKO 2267</t>
  </si>
  <si>
    <t xml:space="preserve">https://www.inaturalist.org/observations/257708982</t>
  </si>
  <si>
    <t xml:space="preserve">GECKO 2268</t>
  </si>
  <si>
    <t xml:space="preserve">https://www.inaturalist.org/observations/255488766</t>
  </si>
  <si>
    <t xml:space="preserve">GECKO 2269</t>
  </si>
  <si>
    <t xml:space="preserve">https://www.inaturalist.org/observations/254122952</t>
  </si>
  <si>
    <t xml:space="preserve">GECKO 2270</t>
  </si>
  <si>
    <t xml:space="preserve">https://www.inaturalist.org/observations/249211213</t>
  </si>
  <si>
    <t xml:space="preserve">GECKO 2271</t>
  </si>
  <si>
    <t xml:space="preserve">https://www.inaturalist.org/observations/240357123</t>
  </si>
  <si>
    <t xml:space="preserve">GECKO 2272</t>
  </si>
  <si>
    <t xml:space="preserve">https://www.inaturalist.org/observations/234804856</t>
  </si>
  <si>
    <t xml:space="preserve">GECKO 2273</t>
  </si>
  <si>
    <t xml:space="preserve">https://www.inaturalist.org/observations/228653613</t>
  </si>
  <si>
    <t xml:space="preserve">GECKO 2274</t>
  </si>
  <si>
    <t xml:space="preserve">https://www.inaturalist.org/observations/228560944</t>
  </si>
  <si>
    <t xml:space="preserve">GECKO 2275</t>
  </si>
  <si>
    <t xml:space="preserve">https://www.inaturalist.org/observations/221173234</t>
  </si>
  <si>
    <t xml:space="preserve">GECKO 2276</t>
  </si>
  <si>
    <t xml:space="preserve">Coleodactylus</t>
  </si>
  <si>
    <t xml:space="preserve">Coleodactylus meridionalis</t>
  </si>
  <si>
    <t xml:space="preserve">https://www.inaturalist.org/observations/369922516</t>
  </si>
  <si>
    <t xml:space="preserve">GECKO 2277</t>
  </si>
  <si>
    <t xml:space="preserve">https://www.inaturalist.org/observations/368910281</t>
  </si>
  <si>
    <t xml:space="preserve">GECKO 2278</t>
  </si>
  <si>
    <t xml:space="preserve">https://www.inaturalist.org/observations/366191861</t>
  </si>
  <si>
    <t xml:space="preserve">GECKO 2279</t>
  </si>
  <si>
    <t xml:space="preserve">https://www.inaturalist.org/observations/365591083</t>
  </si>
  <si>
    <t xml:space="preserve">GECKO 2280</t>
  </si>
  <si>
    <t xml:space="preserve">https://www.inaturalist.org/observations/362202015</t>
  </si>
  <si>
    <t xml:space="preserve">GECKO 2281</t>
  </si>
  <si>
    <t xml:space="preserve">https://www.inaturalist.org/observations/352075358</t>
  </si>
  <si>
    <t xml:space="preserve">GECKO 2282</t>
  </si>
  <si>
    <t xml:space="preserve">https://www.inaturalist.org/observations/341997524</t>
  </si>
  <si>
    <t xml:space="preserve">GECKO 2283</t>
  </si>
  <si>
    <t xml:space="preserve">https://www.inaturalist.org/observations/336886552</t>
  </si>
  <si>
    <t xml:space="preserve">GECKO 2284</t>
  </si>
  <si>
    <t xml:space="preserve">https://www.inaturalist.org/observations/332614332</t>
  </si>
  <si>
    <t xml:space="preserve">GECKO 2285</t>
  </si>
  <si>
    <t xml:space="preserve">https://www.inaturalist.org/observations/327045977</t>
  </si>
  <si>
    <t xml:space="preserve">GECKO 2286</t>
  </si>
  <si>
    <t xml:space="preserve">https://www.inaturalist.org/observations/320411568</t>
  </si>
  <si>
    <t xml:space="preserve">GECKO 2287</t>
  </si>
  <si>
    <t xml:space="preserve">https://www.inaturalist.org/observations/316954730</t>
  </si>
  <si>
    <t xml:space="preserve">GECKO 2288</t>
  </si>
  <si>
    <t xml:space="preserve">https://www.inaturalist.org/observations/310513207</t>
  </si>
  <si>
    <t xml:space="preserve">GECKO 2289</t>
  </si>
  <si>
    <t xml:space="preserve">https://www.inaturalist.org/observations/299310937</t>
  </si>
  <si>
    <t xml:space="preserve">GECKO 2290</t>
  </si>
  <si>
    <t xml:space="preserve">https://www.inaturalist.org/observations/298583232</t>
  </si>
  <si>
    <t xml:space="preserve">GECKO 2291</t>
  </si>
  <si>
    <t xml:space="preserve">https://www.inaturalist.org/observations/284597309</t>
  </si>
  <si>
    <t xml:space="preserve">GECKO 2292</t>
  </si>
  <si>
    <t xml:space="preserve">https://www.inaturalist.org/observations/254619898</t>
  </si>
  <si>
    <t xml:space="preserve">GECKO 2293</t>
  </si>
  <si>
    <t xml:space="preserve">https://www.inaturalist.org/observations/253820424</t>
  </si>
  <si>
    <t xml:space="preserve">GECKO 2294</t>
  </si>
  <si>
    <t xml:space="preserve">https://www.inaturalist.org/observations/253791018</t>
  </si>
  <si>
    <t xml:space="preserve">GECKO 2295</t>
  </si>
  <si>
    <t xml:space="preserve">https://www.inaturalist.org/observations/247175904</t>
  </si>
  <si>
    <t xml:space="preserve">GECKO 2296</t>
  </si>
  <si>
    <t xml:space="preserve">https://www.inaturalist.org/observations/240852516</t>
  </si>
  <si>
    <t xml:space="preserve">GECKO 2297</t>
  </si>
  <si>
    <t xml:space="preserve">https://www.inaturalist.org/observations/239864399</t>
  </si>
  <si>
    <t xml:space="preserve">GECKO 2298</t>
  </si>
  <si>
    <t xml:space="preserve">https://www.inaturalist.org/observations/196481124</t>
  </si>
  <si>
    <t xml:space="preserve">GECKO 2299</t>
  </si>
  <si>
    <t xml:space="preserve">https://www.inaturalist.org/observations/186382456</t>
  </si>
  <si>
    <t xml:space="preserve">GECKO 2300</t>
  </si>
  <si>
    <t xml:space="preserve">https://www.inaturalist.org/observations/179987397</t>
  </si>
  <si>
    <t xml:space="preserve">GECKO 2301</t>
  </si>
  <si>
    <t xml:space="preserve">https://www.inaturalist.org/observations/155534186</t>
  </si>
  <si>
    <t xml:space="preserve">GECKO 2302</t>
  </si>
  <si>
    <t xml:space="preserve">https://www.inaturalist.org/observations/152667260</t>
  </si>
  <si>
    <t xml:space="preserve">GECKO 2303</t>
  </si>
  <si>
    <t xml:space="preserve">https://www.inaturalist.org/observations/149618814</t>
  </si>
  <si>
    <t xml:space="preserve">GECKO 2304</t>
  </si>
  <si>
    <t xml:space="preserve">https://www.inaturalist.org/observations/148561612</t>
  </si>
  <si>
    <t xml:space="preserve">GECKO 2305</t>
  </si>
  <si>
    <t xml:space="preserve">https://www.inaturalist.org/observations/144030670</t>
  </si>
  <si>
    <t xml:space="preserve">GECKO 2306</t>
  </si>
  <si>
    <t xml:space="preserve">https://www.inaturalist.org/observations/129348360</t>
  </si>
  <si>
    <t xml:space="preserve">GECKO 2307</t>
  </si>
  <si>
    <t xml:space="preserve">https://www.inaturalist.org/observations/91179061</t>
  </si>
  <si>
    <t xml:space="preserve">GECKO 2308</t>
  </si>
  <si>
    <t xml:space="preserve">https://www.inaturalist.org/observations/79596657</t>
  </si>
  <si>
    <t xml:space="preserve">GECKO 2309</t>
  </si>
  <si>
    <t xml:space="preserve">https://www.inaturalist.org/observations/35435381</t>
  </si>
  <si>
    <t xml:space="preserve">GECKO 2310</t>
  </si>
  <si>
    <t xml:space="preserve">https://www.inaturalist.org/observations/7509653</t>
  </si>
  <si>
    <t xml:space="preserve">GECKO 2311</t>
  </si>
  <si>
    <t xml:space="preserve">Aristelliger</t>
  </si>
  <si>
    <t xml:space="preserve">Aristelliger praesignis</t>
  </si>
  <si>
    <t xml:space="preserve">https://www.inaturalist.org/observations/369906594</t>
  </si>
  <si>
    <t xml:space="preserve">GECKO 2312</t>
  </si>
  <si>
    <t xml:space="preserve">https://www.inaturalist.org/observations/362622088</t>
  </si>
  <si>
    <t xml:space="preserve">GECKO 2313</t>
  </si>
  <si>
    <t xml:space="preserve">https://www.inaturalist.org/observations/360870717</t>
  </si>
  <si>
    <t xml:space="preserve">GECKO 2314</t>
  </si>
  <si>
    <t xml:space="preserve">https://www.inaturalist.org/observations/342849918</t>
  </si>
  <si>
    <t xml:space="preserve">GECKO 2315</t>
  </si>
  <si>
    <t xml:space="preserve">https://www.inaturalist.org/observations/334048992</t>
  </si>
  <si>
    <t xml:space="preserve">GECKO 2316</t>
  </si>
  <si>
    <t xml:space="preserve">https://www.inaturalist.org/observations/333386608</t>
  </si>
  <si>
    <t xml:space="preserve">GECKO 2317</t>
  </si>
  <si>
    <t xml:space="preserve">https://www.inaturalist.org/observations/332383630</t>
  </si>
  <si>
    <t xml:space="preserve">GECKO 2318</t>
  </si>
  <si>
    <t xml:space="preserve">https://www.inaturalist.org/observations/330532598</t>
  </si>
  <si>
    <t xml:space="preserve">GECKO 2319</t>
  </si>
  <si>
    <t xml:space="preserve">https://www.inaturalist.org/observations/330529108</t>
  </si>
  <si>
    <t xml:space="preserve">GECKO 2320</t>
  </si>
  <si>
    <t xml:space="preserve">https://www.inaturalist.org/observations/329388435</t>
  </si>
  <si>
    <t xml:space="preserve">GECKO 2321</t>
  </si>
  <si>
    <t xml:space="preserve">https://www.inaturalist.org/observations/329149818</t>
  </si>
  <si>
    <t xml:space="preserve">GECKO 2322</t>
  </si>
  <si>
    <t xml:space="preserve">https://www.inaturalist.org/observations/319229138</t>
  </si>
  <si>
    <t xml:space="preserve">GECKO 2323</t>
  </si>
  <si>
    <t xml:space="preserve">https://www.inaturalist.org/observations/318614067</t>
  </si>
  <si>
    <t xml:space="preserve">GECKO 2324</t>
  </si>
  <si>
    <t xml:space="preserve">https://www.inaturalist.org/observations/318528997</t>
  </si>
  <si>
    <t xml:space="preserve">GECKO 2325</t>
  </si>
  <si>
    <t xml:space="preserve">https://www.inaturalist.org/observations/318528996</t>
  </si>
  <si>
    <t xml:space="preserve">GECKO 2326</t>
  </si>
  <si>
    <t xml:space="preserve">https://www.inaturalist.org/observations/318198155</t>
  </si>
  <si>
    <t xml:space="preserve">GECKO 2327</t>
  </si>
  <si>
    <t xml:space="preserve">https://www.inaturalist.org/observations/317538366</t>
  </si>
  <si>
    <t xml:space="preserve">GECKO 2328</t>
  </si>
  <si>
    <t xml:space="preserve">https://www.inaturalist.org/observations/293122938</t>
  </si>
  <si>
    <t xml:space="preserve">GECKO 2329</t>
  </si>
  <si>
    <t xml:space="preserve">https://www.inaturalist.org/observations/284159189</t>
  </si>
  <si>
    <t xml:space="preserve">GECKO 2330</t>
  </si>
  <si>
    <t xml:space="preserve">https://www.inaturalist.org/observations/282693630</t>
  </si>
  <si>
    <t xml:space="preserve">GECKO 2331</t>
  </si>
  <si>
    <t xml:space="preserve">https://www.inaturalist.org/observations/278631516</t>
  </si>
  <si>
    <t xml:space="preserve">GECKO 2332</t>
  </si>
  <si>
    <t xml:space="preserve">https://www.inaturalist.org/observations/274449676</t>
  </si>
  <si>
    <t xml:space="preserve">GECKO 2333</t>
  </si>
  <si>
    <t xml:space="preserve">https://www.inaturalist.org/observations/271806277</t>
  </si>
  <si>
    <t xml:space="preserve">GECKO 2334</t>
  </si>
  <si>
    <t xml:space="preserve">https://www.inaturalist.org/observations/265918412</t>
  </si>
  <si>
    <t xml:space="preserve">GECKO 2335</t>
  </si>
  <si>
    <t xml:space="preserve">https://www.inaturalist.org/observations/261471444</t>
  </si>
  <si>
    <t xml:space="preserve">GECKO 2336</t>
  </si>
  <si>
    <t xml:space="preserve">https://www.inaturalist.org/observations/261340432</t>
  </si>
  <si>
    <t xml:space="preserve">GECKO 2337</t>
  </si>
  <si>
    <t xml:space="preserve">https://www.inaturalist.org/observations/259107470</t>
  </si>
  <si>
    <t xml:space="preserve">GECKO 2338</t>
  </si>
  <si>
    <t xml:space="preserve">https://www.inaturalist.org/observations/258323524</t>
  </si>
  <si>
    <t xml:space="preserve">GECKO 2339</t>
  </si>
  <si>
    <t xml:space="preserve">https://www.inaturalist.org/observations/257942957</t>
  </si>
  <si>
    <t xml:space="preserve">GECKO 2340</t>
  </si>
  <si>
    <t xml:space="preserve">https://www.inaturalist.org/observations/257288103</t>
  </si>
  <si>
    <t xml:space="preserve">GECKO 2341</t>
  </si>
  <si>
    <t xml:space="preserve">https://www.inaturalist.org/observations/255345313</t>
  </si>
  <si>
    <t xml:space="preserve">GECKO 2342</t>
  </si>
  <si>
    <t xml:space="preserve">https://www.inaturalist.org/observations/253775506</t>
  </si>
  <si>
    <t xml:space="preserve">GECKO 2343</t>
  </si>
  <si>
    <t xml:space="preserve">https://www.inaturalist.org/observations/253476242</t>
  </si>
  <si>
    <t xml:space="preserve">GECKO 2344</t>
  </si>
  <si>
    <t xml:space="preserve">https://www.inaturalist.org/observations/252237864</t>
  </si>
  <si>
    <t xml:space="preserve">GECKO 2345</t>
  </si>
  <si>
    <t xml:space="preserve">https://www.inaturalist.org/observations/251879534</t>
  </si>
  <si>
    <t xml:space="preserve">GECKO 2346</t>
  </si>
  <si>
    <t xml:space="preserve">Aristelliger georgeensis</t>
  </si>
  <si>
    <t xml:space="preserve">https://www.inaturalist.org/observations/381657336</t>
  </si>
  <si>
    <t xml:space="preserve">GECKO 2347</t>
  </si>
  <si>
    <t xml:space="preserve">https://www.inaturalist.org/observations/375052143</t>
  </si>
  <si>
    <t xml:space="preserve">GECKO 2348</t>
  </si>
  <si>
    <t xml:space="preserve">https://www.inaturalist.org/observations/367318595</t>
  </si>
  <si>
    <t xml:space="preserve">GECKO 2349</t>
  </si>
  <si>
    <t xml:space="preserve">https://www.inaturalist.org/observations/349908036</t>
  </si>
  <si>
    <t xml:space="preserve">GECKO 2350</t>
  </si>
  <si>
    <t xml:space="preserve">https://www.inaturalist.org/observations/341158265</t>
  </si>
  <si>
    <t xml:space="preserve">GECKO 2351</t>
  </si>
  <si>
    <t xml:space="preserve">https://www.inaturalist.org/observations/335824362</t>
  </si>
  <si>
    <t xml:space="preserve">GECKO 2352</t>
  </si>
  <si>
    <t xml:space="preserve">https://www.inaturalist.org/observations/329332206</t>
  </si>
  <si>
    <t xml:space="preserve">GECKO 2353</t>
  </si>
  <si>
    <t xml:space="preserve">https://www.inaturalist.org/observations/327969111</t>
  </si>
  <si>
    <t xml:space="preserve">GECKO 2354</t>
  </si>
  <si>
    <t xml:space="preserve">https://www.inaturalist.org/observations/315951602</t>
  </si>
  <si>
    <t xml:space="preserve">GECKO 2355</t>
  </si>
  <si>
    <t xml:space="preserve">https://www.inaturalist.org/observations/306418232</t>
  </si>
  <si>
    <t xml:space="preserve">GECKO 2356</t>
  </si>
  <si>
    <t xml:space="preserve">https://www.inaturalist.org/observations/302743315</t>
  </si>
  <si>
    <t xml:space="preserve">GECKO 2357</t>
  </si>
  <si>
    <t xml:space="preserve">https://www.inaturalist.org/observations/285619275</t>
  </si>
  <si>
    <t xml:space="preserve">GECKO 2358</t>
  </si>
  <si>
    <t xml:space="preserve">https://www.inaturalist.org/observations/266049761</t>
  </si>
  <si>
    <t xml:space="preserve">GECKO 2359</t>
  </si>
  <si>
    <t xml:space="preserve">https://www.inaturalist.org/observations/260471391</t>
  </si>
  <si>
    <t xml:space="preserve">GECKO 2360</t>
  </si>
  <si>
    <t xml:space="preserve">https://www.inaturalist.org/observations/259182676</t>
  </si>
  <si>
    <t xml:space="preserve">GECKO 2361</t>
  </si>
  <si>
    <t xml:space="preserve">https://www.inaturalist.org/observations/256427337</t>
  </si>
  <si>
    <t xml:space="preserve">GECKO 2362</t>
  </si>
  <si>
    <t xml:space="preserve">https://www.inaturalist.org/observations/253463612</t>
  </si>
  <si>
    <t xml:space="preserve">GECKO 2363</t>
  </si>
  <si>
    <t xml:space="preserve">https://www.inaturalist.org/observations/233420247</t>
  </si>
  <si>
    <t xml:space="preserve">GECKO 2364</t>
  </si>
  <si>
    <t xml:space="preserve">https://www.inaturalist.org/observations/231701547</t>
  </si>
  <si>
    <t xml:space="preserve">GECKO 2365</t>
  </si>
  <si>
    <t xml:space="preserve">https://www.inaturalist.org/observations/230888870</t>
  </si>
  <si>
    <t xml:space="preserve">GECKO 2366</t>
  </si>
  <si>
    <t xml:space="preserve">https://www.inaturalist.org/observations/230680210</t>
  </si>
  <si>
    <t xml:space="preserve">GECKO 2367</t>
  </si>
  <si>
    <t xml:space="preserve">https://www.inaturalist.org/observations/230680141</t>
  </si>
  <si>
    <t xml:space="preserve">GECKO 2368</t>
  </si>
  <si>
    <t xml:space="preserve">https://www.inaturalist.org/observations/227670910</t>
  </si>
  <si>
    <t xml:space="preserve">GECKO 2369</t>
  </si>
  <si>
    <t xml:space="preserve">https://www.inaturalist.org/observations/216217082</t>
  </si>
  <si>
    <t xml:space="preserve">GECKO 2370</t>
  </si>
  <si>
    <t xml:space="preserve">https://www.inaturalist.org/observations/201744302</t>
  </si>
  <si>
    <t xml:space="preserve">GECKO 2371</t>
  </si>
  <si>
    <t xml:space="preserve">https://www.inaturalist.org/observations/200478050</t>
  </si>
  <si>
    <t xml:space="preserve">GECKO 2372</t>
  </si>
  <si>
    <t xml:space="preserve">https://www.inaturalist.org/observations/197924890</t>
  </si>
  <si>
    <t xml:space="preserve">GECKO 2373</t>
  </si>
  <si>
    <t xml:space="preserve">https://www.inaturalist.org/observations/197924889</t>
  </si>
  <si>
    <t xml:space="preserve">GECKO 2374</t>
  </si>
  <si>
    <t xml:space="preserve">https://www.inaturalist.org/observations/197061983</t>
  </si>
  <si>
    <t xml:space="preserve">GECKO 2375</t>
  </si>
  <si>
    <t xml:space="preserve">https://www.inaturalist.org/observations/195771364</t>
  </si>
  <si>
    <t xml:space="preserve">GECKO 2376</t>
  </si>
  <si>
    <t xml:space="preserve">https://www.inaturalist.org/observations/179061810</t>
  </si>
  <si>
    <t xml:space="preserve">GECKO 2377</t>
  </si>
  <si>
    <t xml:space="preserve">https://www.inaturalist.org/observations/175286213</t>
  </si>
  <si>
    <t xml:space="preserve">GECKO 2378</t>
  </si>
  <si>
    <t xml:space="preserve">https://www.inaturalist.org/observations/154712487</t>
  </si>
  <si>
    <t xml:space="preserve">GECKO 2379</t>
  </si>
  <si>
    <t xml:space="preserve">https://www.inaturalist.org/observations/152635921</t>
  </si>
  <si>
    <t xml:space="preserve">GECKO 2380</t>
  </si>
  <si>
    <t xml:space="preserve">https://www.inaturalist.org/observations/147444063</t>
  </si>
  <si>
    <t xml:space="preserve">GECKO 2381</t>
  </si>
  <si>
    <t xml:space="preserve">Pristurus</t>
  </si>
  <si>
    <t xml:space="preserve">Pristurus guweirensis</t>
  </si>
  <si>
    <t xml:space="preserve">https://www.inaturalist.org/observations/377098518</t>
  </si>
  <si>
    <t xml:space="preserve">GECKO 2382</t>
  </si>
  <si>
    <t xml:space="preserve">https://www.inaturalist.org/observations/371834204</t>
  </si>
  <si>
    <t xml:space="preserve">GECKO 2383</t>
  </si>
  <si>
    <t xml:space="preserve">https://www.inaturalist.org/observations/348092686</t>
  </si>
  <si>
    <t xml:space="preserve">GECKO 2384</t>
  </si>
  <si>
    <t xml:space="preserve">https://www.inaturalist.org/observations/348083595</t>
  </si>
  <si>
    <t xml:space="preserve">GECKO 2385</t>
  </si>
  <si>
    <t xml:space="preserve">https://www.inaturalist.org/observations/347479037</t>
  </si>
  <si>
    <t xml:space="preserve">GECKO 2386</t>
  </si>
  <si>
    <t xml:space="preserve">https://www.inaturalist.org/observations/340678202</t>
  </si>
  <si>
    <t xml:space="preserve">GECKO 2387</t>
  </si>
  <si>
    <t xml:space="preserve">https://www.inaturalist.org/observations/339159013</t>
  </si>
  <si>
    <t xml:space="preserve">GECKO 2388</t>
  </si>
  <si>
    <t xml:space="preserve">https://www.inaturalist.org/observations/338670985</t>
  </si>
  <si>
    <t xml:space="preserve">GECKO 2389</t>
  </si>
  <si>
    <t xml:space="preserve">https://www.inaturalist.org/observations/334934078</t>
  </si>
  <si>
    <t xml:space="preserve">GECKO 2390</t>
  </si>
  <si>
    <t xml:space="preserve">https://www.inaturalist.org/observations/334598674</t>
  </si>
  <si>
    <t xml:space="preserve">GECKO 2391</t>
  </si>
  <si>
    <t xml:space="preserve">https://www.inaturalist.org/observations/334597984</t>
  </si>
  <si>
    <t xml:space="preserve">GECKO 2392</t>
  </si>
  <si>
    <t xml:space="preserve">https://www.inaturalist.org/observations/331833517</t>
  </si>
  <si>
    <t xml:space="preserve">GECKO 2393</t>
  </si>
  <si>
    <t xml:space="preserve">https://www.inaturalist.org/observations/331832376</t>
  </si>
  <si>
    <t xml:space="preserve">GECKO 2394</t>
  </si>
  <si>
    <t xml:space="preserve">https://www.inaturalist.org/observations/331832048</t>
  </si>
  <si>
    <t xml:space="preserve">GECKO 2395</t>
  </si>
  <si>
    <t xml:space="preserve">https://www.inaturalist.org/observations/331831783</t>
  </si>
  <si>
    <t xml:space="preserve">GECKO 2396</t>
  </si>
  <si>
    <t xml:space="preserve">https://www.inaturalist.org/observations/331828973</t>
  </si>
  <si>
    <t xml:space="preserve">GECKO 2397</t>
  </si>
  <si>
    <t xml:space="preserve">https://www.inaturalist.org/observations/331828794</t>
  </si>
  <si>
    <t xml:space="preserve">GECKO 2398</t>
  </si>
  <si>
    <t xml:space="preserve">https://www.inaturalist.org/observations/331697803</t>
  </si>
  <si>
    <t xml:space="preserve">GECKO 2399</t>
  </si>
  <si>
    <t xml:space="preserve">https://www.inaturalist.org/observations/331697128</t>
  </si>
  <si>
    <t xml:space="preserve">GECKO 2400</t>
  </si>
  <si>
    <t xml:space="preserve">https://www.inaturalist.org/observations/331217627</t>
  </si>
  <si>
    <t xml:space="preserve">GECKO 2401</t>
  </si>
  <si>
    <t xml:space="preserve">https://www.inaturalist.org/observations/331215876</t>
  </si>
  <si>
    <t xml:space="preserve">GECKO 2402</t>
  </si>
  <si>
    <t xml:space="preserve">https://www.inaturalist.org/observations/331215850</t>
  </si>
  <si>
    <t xml:space="preserve">GECKO 2403</t>
  </si>
  <si>
    <t xml:space="preserve">https://www.inaturalist.org/observations/331215497</t>
  </si>
  <si>
    <t xml:space="preserve">GECKO 2404</t>
  </si>
  <si>
    <t xml:space="preserve">https://www.inaturalist.org/observations/330985230</t>
  </si>
  <si>
    <t xml:space="preserve">GECKO 2405</t>
  </si>
  <si>
    <t xml:space="preserve">https://www.inaturalist.org/observations/330878873</t>
  </si>
  <si>
    <t xml:space="preserve">GECKO 2406</t>
  </si>
  <si>
    <t xml:space="preserve">https://www.inaturalist.org/observations/330483838</t>
  </si>
  <si>
    <t xml:space="preserve">GECKO 2407</t>
  </si>
  <si>
    <t xml:space="preserve">https://www.inaturalist.org/observations/330265922</t>
  </si>
  <si>
    <t xml:space="preserve">GECKO 2408</t>
  </si>
  <si>
    <t xml:space="preserve">https://www.inaturalist.org/observations/330081083</t>
  </si>
  <si>
    <t xml:space="preserve">GECKO 2409</t>
  </si>
  <si>
    <t xml:space="preserve">https://www.inaturalist.org/observations/329951908</t>
  </si>
  <si>
    <t xml:space="preserve">GECKO 2410</t>
  </si>
  <si>
    <t xml:space="preserve">https://www.inaturalist.org/observations/329695539</t>
  </si>
  <si>
    <t xml:space="preserve">GECKO 2411</t>
  </si>
  <si>
    <t xml:space="preserve">https://www.inaturalist.org/observations/329375448</t>
  </si>
  <si>
    <t xml:space="preserve">GECKO 2412</t>
  </si>
  <si>
    <t xml:space="preserve">https://www.inaturalist.org/observations/329293556</t>
  </si>
  <si>
    <t xml:space="preserve">GECKO 2413</t>
  </si>
  <si>
    <t xml:space="preserve">https://www.inaturalist.org/observations/328237620</t>
  </si>
  <si>
    <t xml:space="preserve">GECKO 2414</t>
  </si>
  <si>
    <t xml:space="preserve">https://www.inaturalist.org/observations/328231413</t>
  </si>
  <si>
    <t xml:space="preserve">GECKO 2415</t>
  </si>
  <si>
    <t xml:space="preserve">https://www.inaturalist.org/observations/328227458</t>
  </si>
  <si>
    <t xml:space="preserve">GECKO 2416</t>
  </si>
  <si>
    <t xml:space="preserve">Pristurus carteri</t>
  </si>
  <si>
    <t xml:space="preserve">https://www.inaturalist.org/observations/343153449</t>
  </si>
  <si>
    <t xml:space="preserve">GECKO 2417</t>
  </si>
  <si>
    <t xml:space="preserve">https://www.inaturalist.org/observations/342419001</t>
  </si>
  <si>
    <t xml:space="preserve">GECKO 2418</t>
  </si>
  <si>
    <t xml:space="preserve">https://www.inaturalist.org/observations/339587884</t>
  </si>
  <si>
    <t xml:space="preserve">GECKO 2419</t>
  </si>
  <si>
    <t xml:space="preserve">https://www.inaturalist.org/observations/339511948</t>
  </si>
  <si>
    <t xml:space="preserve">GECKO 2420</t>
  </si>
  <si>
    <t xml:space="preserve">https://www.inaturalist.org/observations/339405553</t>
  </si>
  <si>
    <t xml:space="preserve">GECKO 2421</t>
  </si>
  <si>
    <t xml:space="preserve">https://www.inaturalist.org/observations/339405552</t>
  </si>
  <si>
    <t xml:space="preserve">GECKO 2422</t>
  </si>
  <si>
    <t xml:space="preserve">https://www.inaturalist.org/observations/337693026</t>
  </si>
  <si>
    <t xml:space="preserve">GECKO 2423</t>
  </si>
  <si>
    <t xml:space="preserve">https://www.inaturalist.org/observations/337692854</t>
  </si>
  <si>
    <t xml:space="preserve">GECKO 2424</t>
  </si>
  <si>
    <t xml:space="preserve">https://www.inaturalist.org/observations/334811445</t>
  </si>
  <si>
    <t xml:space="preserve">GECKO 2425</t>
  </si>
  <si>
    <t xml:space="preserve">https://www.inaturalist.org/observations/334070566</t>
  </si>
  <si>
    <t xml:space="preserve">GECKO 2426</t>
  </si>
  <si>
    <t xml:space="preserve">https://www.inaturalist.org/observations/333758947</t>
  </si>
  <si>
    <t xml:space="preserve">GECKO 2427</t>
  </si>
  <si>
    <t xml:space="preserve">https://www.inaturalist.org/observations/333758925</t>
  </si>
  <si>
    <t xml:space="preserve">GECKO 2428</t>
  </si>
  <si>
    <t xml:space="preserve">https://www.inaturalist.org/observations/333754070</t>
  </si>
  <si>
    <t xml:space="preserve">GECKO 2429</t>
  </si>
  <si>
    <t xml:space="preserve">https://www.inaturalist.org/observations/333462463</t>
  </si>
  <si>
    <t xml:space="preserve">GECKO 2430</t>
  </si>
  <si>
    <t xml:space="preserve">https://www.inaturalist.org/observations/333308510</t>
  </si>
  <si>
    <t xml:space="preserve">GECKO 2431</t>
  </si>
  <si>
    <t xml:space="preserve">https://www.inaturalist.org/observations/331829981</t>
  </si>
  <si>
    <t xml:space="preserve">GECKO 2432</t>
  </si>
  <si>
    <t xml:space="preserve">https://www.inaturalist.org/observations/331705954</t>
  </si>
  <si>
    <t xml:space="preserve">GECKO 2433</t>
  </si>
  <si>
    <t xml:space="preserve">https://www.inaturalist.org/observations/331705560</t>
  </si>
  <si>
    <t xml:space="preserve">GECKO 2434</t>
  </si>
  <si>
    <t xml:space="preserve">https://www.inaturalist.org/observations/330439618</t>
  </si>
  <si>
    <t xml:space="preserve">GECKO 2435</t>
  </si>
  <si>
    <t xml:space="preserve">https://www.inaturalist.org/observations/330088215</t>
  </si>
  <si>
    <t xml:space="preserve">GECKO 2436</t>
  </si>
  <si>
    <t xml:space="preserve">https://www.inaturalist.org/observations/330087443</t>
  </si>
  <si>
    <t xml:space="preserve">GECKO 2437</t>
  </si>
  <si>
    <t xml:space="preserve">https://www.inaturalist.org/observations/329861603</t>
  </si>
  <si>
    <t xml:space="preserve">GECKO 2438</t>
  </si>
  <si>
    <t xml:space="preserve">https://www.inaturalist.org/observations/329861033</t>
  </si>
  <si>
    <t xml:space="preserve">GECKO 2439</t>
  </si>
  <si>
    <t xml:space="preserve">https://www.inaturalist.org/observations/328986202</t>
  </si>
  <si>
    <t xml:space="preserve">GECKO 2440</t>
  </si>
  <si>
    <t xml:space="preserve">https://www.inaturalist.org/observations/328220025</t>
  </si>
  <si>
    <t xml:space="preserve">GECKO 2441</t>
  </si>
  <si>
    <t xml:space="preserve">https://www.inaturalist.org/observations/328220023</t>
  </si>
  <si>
    <t xml:space="preserve">GECKO 2442</t>
  </si>
  <si>
    <t xml:space="preserve">https://www.inaturalist.org/observations/326578456</t>
  </si>
  <si>
    <t xml:space="preserve">GECKO 2443</t>
  </si>
  <si>
    <t xml:space="preserve">https://www.inaturalist.org/observations/326578291</t>
  </si>
  <si>
    <t xml:space="preserve">GECKO 2444</t>
  </si>
  <si>
    <t xml:space="preserve">https://www.inaturalist.org/observations/326460052</t>
  </si>
  <si>
    <t xml:space="preserve">GECKO 2445</t>
  </si>
  <si>
    <t xml:space="preserve">https://www.inaturalist.org/observations/325923978</t>
  </si>
  <si>
    <t xml:space="preserve">GECKO 2446</t>
  </si>
  <si>
    <t xml:space="preserve">https://www.inaturalist.org/observations/325923837</t>
  </si>
  <si>
    <t xml:space="preserve">GECKO 2447</t>
  </si>
  <si>
    <t xml:space="preserve">https://www.inaturalist.org/observations/325923683</t>
  </si>
  <si>
    <t xml:space="preserve">GECKO 2448</t>
  </si>
  <si>
    <t xml:space="preserve">https://www.inaturalist.org/observations/325456991</t>
  </si>
  <si>
    <t xml:space="preserve">GECKO 2449</t>
  </si>
  <si>
    <t xml:space="preserve">https://www.inaturalist.org/observations/325292281</t>
  </si>
  <si>
    <t xml:space="preserve">GECKO 2450</t>
  </si>
  <si>
    <t xml:space="preserve">https://www.inaturalist.org/observations/318890347</t>
  </si>
  <si>
    <t xml:space="preserve">GECKO 2451</t>
  </si>
  <si>
    <t xml:space="preserve">Sphaerodactylus</t>
  </si>
  <si>
    <t xml:space="preserve">Sphaerodactylus glaucus</t>
  </si>
  <si>
    <t xml:space="preserve">https://www.inaturalist.org/observations/381177190</t>
  </si>
  <si>
    <t xml:space="preserve">GECKO 2452</t>
  </si>
  <si>
    <t xml:space="preserve">https://www.inaturalist.org/observations/379716179</t>
  </si>
  <si>
    <t xml:space="preserve">GECKO 2453</t>
  </si>
  <si>
    <t xml:space="preserve">https://www.inaturalist.org/observations/379269043</t>
  </si>
  <si>
    <t xml:space="preserve">GECKO 2454</t>
  </si>
  <si>
    <t xml:space="preserve">https://www.inaturalist.org/observations/379185391</t>
  </si>
  <si>
    <t xml:space="preserve">GECKO 2455</t>
  </si>
  <si>
    <t xml:space="preserve">https://www.inaturalist.org/observations/378487165</t>
  </si>
  <si>
    <t xml:space="preserve">GECKO 2456</t>
  </si>
  <si>
    <t xml:space="preserve">https://www.inaturalist.org/observations/377068722</t>
  </si>
  <si>
    <t xml:space="preserve">GECKO 2457</t>
  </si>
  <si>
    <t xml:space="preserve">https://www.inaturalist.org/observations/375163588</t>
  </si>
  <si>
    <t xml:space="preserve">GECKO 2458</t>
  </si>
  <si>
    <t xml:space="preserve">https://www.inaturalist.org/observations/363165285</t>
  </si>
  <si>
    <t xml:space="preserve">GECKO 2459</t>
  </si>
  <si>
    <t xml:space="preserve">https://www.inaturalist.org/observations/362894519</t>
  </si>
  <si>
    <t xml:space="preserve">GECKO 2460</t>
  </si>
  <si>
    <t xml:space="preserve">https://www.inaturalist.org/observations/351291339</t>
  </si>
  <si>
    <t xml:space="preserve">GECKO 2461</t>
  </si>
  <si>
    <t xml:space="preserve">https://www.inaturalist.org/observations/347049907</t>
  </si>
  <si>
    <t xml:space="preserve">GECKO 2462</t>
  </si>
  <si>
    <t xml:space="preserve">https://www.inaturalist.org/observations/339960050</t>
  </si>
  <si>
    <t xml:space="preserve">GECKO 2463</t>
  </si>
  <si>
    <t xml:space="preserve">https://www.inaturalist.org/observations/339794150</t>
  </si>
  <si>
    <t xml:space="preserve">GECKO 2464</t>
  </si>
  <si>
    <t xml:space="preserve">https://www.inaturalist.org/observations/336133109</t>
  </si>
  <si>
    <t xml:space="preserve">GECKO 2465</t>
  </si>
  <si>
    <t xml:space="preserve">https://www.inaturalist.org/observations/335861255</t>
  </si>
  <si>
    <t xml:space="preserve">GECKO 2466</t>
  </si>
  <si>
    <t xml:space="preserve">https://www.inaturalist.org/observations/334763819</t>
  </si>
  <si>
    <t xml:space="preserve">GECKO 2467</t>
  </si>
  <si>
    <t xml:space="preserve">https://www.inaturalist.org/observations/334658156</t>
  </si>
  <si>
    <t xml:space="preserve">GECKO 2468</t>
  </si>
  <si>
    <t xml:space="preserve">https://www.inaturalist.org/observations/334356901</t>
  </si>
  <si>
    <t xml:space="preserve">GECKO 2469</t>
  </si>
  <si>
    <t xml:space="preserve">https://www.inaturalist.org/observations/329786180</t>
  </si>
  <si>
    <t xml:space="preserve">GECKO 2470</t>
  </si>
  <si>
    <t xml:space="preserve">https://www.inaturalist.org/observations/328440934</t>
  </si>
  <si>
    <t xml:space="preserve">GECKO 2471</t>
  </si>
  <si>
    <t xml:space="preserve">https://www.inaturalist.org/observations/327119006</t>
  </si>
  <si>
    <t xml:space="preserve">GECKO 2472</t>
  </si>
  <si>
    <t xml:space="preserve">https://www.inaturalist.org/observations/326888523</t>
  </si>
  <si>
    <t xml:space="preserve">GECKO 2473</t>
  </si>
  <si>
    <t xml:space="preserve">https://www.inaturalist.org/observations/326782138</t>
  </si>
  <si>
    <t xml:space="preserve">GECKO 2474</t>
  </si>
  <si>
    <t xml:space="preserve">https://www.inaturalist.org/observations/323768617</t>
  </si>
  <si>
    <t xml:space="preserve">GECKO 2475</t>
  </si>
  <si>
    <t xml:space="preserve">https://www.inaturalist.org/observations/323707859</t>
  </si>
  <si>
    <t xml:space="preserve">GECKO 2476</t>
  </si>
  <si>
    <t xml:space="preserve">https://www.inaturalist.org/observations/322386015</t>
  </si>
  <si>
    <t xml:space="preserve">GECKO 2477</t>
  </si>
  <si>
    <t xml:space="preserve">https://www.inaturalist.org/observations/322301895</t>
  </si>
  <si>
    <t xml:space="preserve">GECKO 2478</t>
  </si>
  <si>
    <t xml:space="preserve">https://www.inaturalist.org/observations/321429444</t>
  </si>
  <si>
    <t xml:space="preserve">GECKO 2479</t>
  </si>
  <si>
    <t xml:space="preserve">https://www.inaturalist.org/observations/321429442</t>
  </si>
  <si>
    <t xml:space="preserve">GECKO 2480</t>
  </si>
  <si>
    <t xml:space="preserve">https://www.inaturalist.org/observations/321110524</t>
  </si>
  <si>
    <t xml:space="preserve">GECKO 2481</t>
  </si>
  <si>
    <t xml:space="preserve">https://www.inaturalist.org/observations/320313322</t>
  </si>
  <si>
    <t xml:space="preserve">GECKO 2482</t>
  </si>
  <si>
    <t xml:space="preserve">https://www.inaturalist.org/observations/319393246</t>
  </si>
  <si>
    <t xml:space="preserve">GECKO 2483</t>
  </si>
  <si>
    <t xml:space="preserve">https://www.inaturalist.org/observations/317892318</t>
  </si>
  <si>
    <t xml:space="preserve">GECKO 2484</t>
  </si>
  <si>
    <t xml:space="preserve">https://www.inaturalist.org/observations/315940333</t>
  </si>
  <si>
    <t xml:space="preserve">GECKO 2485</t>
  </si>
  <si>
    <t xml:space="preserve">https://www.inaturalist.org/observations/315721419</t>
  </si>
  <si>
    <t xml:space="preserve">GECKO 2486</t>
  </si>
  <si>
    <t xml:space="preserve">Sphaerodactylus elegans</t>
  </si>
  <si>
    <t xml:space="preserve">https://www.inaturalist.org/observations/373074142</t>
  </si>
  <si>
    <t xml:space="preserve">GECKO 2487</t>
  </si>
  <si>
    <t xml:space="preserve">https://www.inaturalist.org/observations/366074009</t>
  </si>
  <si>
    <t xml:space="preserve">GECKO 2488</t>
  </si>
  <si>
    <t xml:space="preserve">https://www.inaturalist.org/observations/360012452</t>
  </si>
  <si>
    <t xml:space="preserve">GECKO 2489</t>
  </si>
  <si>
    <t xml:space="preserve">https://www.inaturalist.org/observations/348426148</t>
  </si>
  <si>
    <t xml:space="preserve">GECKO 2490</t>
  </si>
  <si>
    <t xml:space="preserve">https://www.inaturalist.org/observations/343175298</t>
  </si>
  <si>
    <t xml:space="preserve">GECKO 2491</t>
  </si>
  <si>
    <t xml:space="preserve">https://www.inaturalist.org/observations/336278484</t>
  </si>
  <si>
    <t xml:space="preserve">GECKO 2492</t>
  </si>
  <si>
    <t xml:space="preserve">https://www.inaturalist.org/observations/332069916</t>
  </si>
  <si>
    <t xml:space="preserve">GECKO 2493</t>
  </si>
  <si>
    <t xml:space="preserve">https://www.inaturalist.org/observations/326660963</t>
  </si>
  <si>
    <t xml:space="preserve">GECKO 2494</t>
  </si>
  <si>
    <t xml:space="preserve">https://www.inaturalist.org/observations/325501952</t>
  </si>
  <si>
    <t xml:space="preserve">GECKO 2495</t>
  </si>
  <si>
    <t xml:space="preserve">https://www.inaturalist.org/observations/325329841</t>
  </si>
  <si>
    <t xml:space="preserve">GECKO 2496</t>
  </si>
  <si>
    <t xml:space="preserve">https://www.inaturalist.org/observations/324315875</t>
  </si>
  <si>
    <t xml:space="preserve">GECKO 2497</t>
  </si>
  <si>
    <t xml:space="preserve">https://www.inaturalist.org/observations/319811637</t>
  </si>
  <si>
    <t xml:space="preserve">GECKO 2498</t>
  </si>
  <si>
    <t xml:space="preserve">https://www.inaturalist.org/observations/318199941</t>
  </si>
  <si>
    <t xml:space="preserve">GECKO 2499</t>
  </si>
  <si>
    <t xml:space="preserve">https://www.inaturalist.org/observations/305142415</t>
  </si>
  <si>
    <t xml:space="preserve">GECKO 2500</t>
  </si>
  <si>
    <t xml:space="preserve">https://www.inaturalist.org/observations/303871022</t>
  </si>
  <si>
    <t xml:space="preserve">GECKO 2501</t>
  </si>
  <si>
    <t xml:space="preserve">https://www.inaturalist.org/observations/303415785</t>
  </si>
  <si>
    <t xml:space="preserve">GECKO 2502</t>
  </si>
  <si>
    <t xml:space="preserve">https://www.inaturalist.org/observations/299709385</t>
  </si>
  <si>
    <t xml:space="preserve">GECKO 2503</t>
  </si>
  <si>
    <t xml:space="preserve">https://www.inaturalist.org/observations/298774296</t>
  </si>
  <si>
    <t xml:space="preserve">GECKO 2504</t>
  </si>
  <si>
    <t xml:space="preserve">https://www.inaturalist.org/observations/297940402</t>
  </si>
  <si>
    <t xml:space="preserve">GECKO 2505</t>
  </si>
  <si>
    <t xml:space="preserve">https://www.inaturalist.org/observations/296179445</t>
  </si>
  <si>
    <t xml:space="preserve">GECKO 2506</t>
  </si>
  <si>
    <t xml:space="preserve">https://www.inaturalist.org/observations/285353132</t>
  </si>
  <si>
    <t xml:space="preserve">GECKO 2507</t>
  </si>
  <si>
    <t xml:space="preserve">https://www.inaturalist.org/observations/266801180</t>
  </si>
  <si>
    <t xml:space="preserve">GECKO 2508</t>
  </si>
  <si>
    <t xml:space="preserve">https://www.inaturalist.org/observations/266251346</t>
  </si>
  <si>
    <t xml:space="preserve">GECKO 2509</t>
  </si>
  <si>
    <t xml:space="preserve">https://www.inaturalist.org/observations/265409591</t>
  </si>
  <si>
    <t xml:space="preserve">GECKO 2510</t>
  </si>
  <si>
    <t xml:space="preserve">https://www.inaturalist.org/observations/262480979</t>
  </si>
  <si>
    <t xml:space="preserve">GECKO 2511</t>
  </si>
  <si>
    <t xml:space="preserve">https://www.inaturalist.org/observations/259063346</t>
  </si>
  <si>
    <t xml:space="preserve">GECKO 2512</t>
  </si>
  <si>
    <t xml:space="preserve">https://www.inaturalist.org/observations/258447425</t>
  </si>
  <si>
    <t xml:space="preserve">GECKO 2513</t>
  </si>
  <si>
    <t xml:space="preserve">https://www.inaturalist.org/observations/258405563</t>
  </si>
  <si>
    <t xml:space="preserve">GECKO 2514</t>
  </si>
  <si>
    <t xml:space="preserve">https://www.inaturalist.org/observations/256340152</t>
  </si>
  <si>
    <t xml:space="preserve">GECKO 2515</t>
  </si>
  <si>
    <t xml:space="preserve">https://www.inaturalist.org/observations/253445098</t>
  </si>
  <si>
    <t xml:space="preserve">GECKO 2516</t>
  </si>
  <si>
    <t xml:space="preserve">https://www.inaturalist.org/observations/253445097</t>
  </si>
  <si>
    <t xml:space="preserve">GECKO 2517</t>
  </si>
  <si>
    <t xml:space="preserve">https://www.inaturalist.org/observations/253445086</t>
  </si>
  <si>
    <t xml:space="preserve">GECKO 2518</t>
  </si>
  <si>
    <t xml:space="preserve">https://www.inaturalist.org/observations/253445027</t>
  </si>
  <si>
    <t xml:space="preserve">GECKO 2519</t>
  </si>
  <si>
    <t xml:space="preserve">https://www.inaturalist.org/observations/253445025</t>
  </si>
  <si>
    <t xml:space="preserve">GECKO 2520</t>
  </si>
  <si>
    <t xml:space="preserve">https://www.inaturalist.org/observations/250189460</t>
  </si>
  <si>
    <t xml:space="preserve">GECKO 2521</t>
  </si>
  <si>
    <t xml:space="preserve">Pygopodidae</t>
  </si>
  <si>
    <t xml:space="preserve">Aprasia</t>
  </si>
  <si>
    <t xml:space="preserve">Aprasia striolata</t>
  </si>
  <si>
    <t xml:space="preserve">asimakis_patitsas</t>
  </si>
  <si>
    <t xml:space="preserve">https://www.inaturalist.org/observations/386817939</t>
  </si>
  <si>
    <t xml:space="preserve">GECKO 2522</t>
  </si>
  <si>
    <t xml:space="preserve">GECKO 2523</t>
  </si>
  <si>
    <t xml:space="preserve">emubirb24</t>
  </si>
  <si>
    <t xml:space="preserve">https://www.inaturalist.org/observations/368985723</t>
  </si>
  <si>
    <t xml:space="preserve">GECKO 2524</t>
  </si>
  <si>
    <t xml:space="preserve">https://www.inaturalist.org/observations/350701633</t>
  </si>
  <si>
    <t xml:space="preserve">GECKO 2525</t>
  </si>
  <si>
    <t xml:space="preserve">timrudman</t>
  </si>
  <si>
    <t xml:space="preserve">https://www.inaturalist.org/observations/345429288</t>
  </si>
  <si>
    <t xml:space="preserve">GECKO 2526</t>
  </si>
  <si>
    <t xml:space="preserve">antjames</t>
  </si>
  <si>
    <t xml:space="preserve">https://www.inaturalist.org/observations/331760925</t>
  </si>
  <si>
    <t xml:space="preserve">GECKO 2527</t>
  </si>
  <si>
    <t xml:space="preserve">https://www.inaturalist.org/observations/331381271</t>
  </si>
  <si>
    <t xml:space="preserve">GECKO 2528</t>
  </si>
  <si>
    <t xml:space="preserve">dsortino</t>
  </si>
  <si>
    <t xml:space="preserve">https://www.inaturalist.org/observations/330289992</t>
  </si>
  <si>
    <t xml:space="preserve">GECKO 2529</t>
  </si>
  <si>
    <t xml:space="preserve">slowpoke12</t>
  </si>
  <si>
    <t xml:space="preserve">https://www.inaturalist.org/observations/326102525</t>
  </si>
  <si>
    <t xml:space="preserve">GECKO 2530</t>
  </si>
  <si>
    <t xml:space="preserve">hudsonbrowne</t>
  </si>
  <si>
    <t xml:space="preserve">https://www.inaturalist.org/observations/325826181</t>
  </si>
  <si>
    <t xml:space="preserve">GECKO 2531</t>
  </si>
  <si>
    <t xml:space="preserve">alcapriotti</t>
  </si>
  <si>
    <t xml:space="preserve">https://www.inaturalist.org/observations/325452130</t>
  </si>
  <si>
    <t xml:space="preserve">GECKO 2532</t>
  </si>
  <si>
    <t xml:space="preserve">omarvela</t>
  </si>
  <si>
    <t xml:space="preserve">https://www.inaturalist.org/observations/325001230</t>
  </si>
  <si>
    <t xml:space="preserve">GECKO 2533</t>
  </si>
  <si>
    <t xml:space="preserve">ebarker1</t>
  </si>
  <si>
    <t xml:space="preserve">https://www.inaturalist.org/observations/324961533</t>
  </si>
  <si>
    <t xml:space="preserve">GECKO 2534</t>
  </si>
  <si>
    <t xml:space="preserve">deanna_wilderlands</t>
  </si>
  <si>
    <t xml:space="preserve">https://www.inaturalist.org/observations/307180592</t>
  </si>
  <si>
    <t xml:space="preserve">GECKO 2535</t>
  </si>
  <si>
    <t xml:space="preserve">https://www.inaturalist.org/observations/299143721</t>
  </si>
  <si>
    <t xml:space="preserve">GECKO 2536</t>
  </si>
  <si>
    <t xml:space="preserve">https://www.inaturalist.org/observations/299143676</t>
  </si>
  <si>
    <t xml:space="preserve">GECKO 2537</t>
  </si>
  <si>
    <t xml:space="preserve">moth_nut</t>
  </si>
  <si>
    <t xml:space="preserve">https://www.inaturalist.org/observations/258070673</t>
  </si>
  <si>
    <t xml:space="preserve">GECKO 2538</t>
  </si>
  <si>
    <t xml:space="preserve">anthonypaul</t>
  </si>
  <si>
    <t xml:space="preserve">https://www.inaturalist.org/observations/155587771</t>
  </si>
  <si>
    <t xml:space="preserve">GECKO 2539</t>
  </si>
  <si>
    <t xml:space="preserve">https://www.inaturalist.org/observations/142804060</t>
  </si>
  <si>
    <t xml:space="preserve">GECKO 2540</t>
  </si>
  <si>
    <t xml:space="preserve">GECKO 2541</t>
  </si>
  <si>
    <t xml:space="preserve">Aprasia pulchella</t>
  </si>
  <si>
    <t xml:space="preserve">don_endriu_wildlife</t>
  </si>
  <si>
    <t xml:space="preserve">https://www.inaturalist.org/observations/182463264</t>
  </si>
  <si>
    <t xml:space="preserve">GECKO 2542</t>
  </si>
  <si>
    <t xml:space="preserve">GECKO 2543</t>
  </si>
  <si>
    <t xml:space="preserve">GECKO 2544</t>
  </si>
  <si>
    <t xml:space="preserve">jari_cornelis</t>
  </si>
  <si>
    <t xml:space="preserve">https://www.inaturalist.org/observations/140109001</t>
  </si>
  <si>
    <t xml:space="preserve">GECKO 2545</t>
  </si>
  <si>
    <t xml:space="preserve">snakesrcool</t>
  </si>
  <si>
    <t xml:space="preserve">https://www.inaturalist.org/observations/115073931</t>
  </si>
  <si>
    <t xml:space="preserve">GECKO 2546</t>
  </si>
  <si>
    <t xml:space="preserve">treeder86</t>
  </si>
  <si>
    <t xml:space="preserve">https://www.inaturalist.org/observations/900765</t>
  </si>
  <si>
    <t xml:space="preserve">GECKO 2547</t>
  </si>
  <si>
    <t xml:space="preserve">herpsinthescrub</t>
  </si>
  <si>
    <t xml:space="preserve">https://www.inaturalist.org/observations/348219685</t>
  </si>
  <si>
    <t xml:space="preserve">GECKO 2548</t>
  </si>
  <si>
    <t xml:space="preserve">ben_hicks_</t>
  </si>
  <si>
    <t xml:space="preserve">https://www.inaturalist.org/observations/337166259</t>
  </si>
  <si>
    <t xml:space="preserve">GECKO 2549</t>
  </si>
  <si>
    <t xml:space="preserve">https://www.inaturalist.org/observations/325253710</t>
  </si>
  <si>
    <t xml:space="preserve">GECKO 2550</t>
  </si>
  <si>
    <t xml:space="preserve">levimacdonald</t>
  </si>
  <si>
    <t xml:space="preserve">https://www.inaturalist.org/observations/311912375</t>
  </si>
  <si>
    <t xml:space="preserve">GECKO 2551</t>
  </si>
  <si>
    <t xml:space="preserve">https://www.inaturalist.org/observations/302586469</t>
  </si>
  <si>
    <t xml:space="preserve">GECKO 2552</t>
  </si>
  <si>
    <t xml:space="preserve">jackllewelyn</t>
  </si>
  <si>
    <t xml:space="preserve">https://www.inaturalist.org/observations/292341664</t>
  </si>
  <si>
    <t xml:space="preserve">GECKO 2553</t>
  </si>
  <si>
    <t xml:space="preserve">https://www.inaturalist.org/observations/292340802</t>
  </si>
  <si>
    <t xml:space="preserve">GECKO 2554</t>
  </si>
  <si>
    <t xml:space="preserve">dibbling</t>
  </si>
  <si>
    <t xml:space="preserve">https://www.inaturalist.org/observations/266554855</t>
  </si>
  <si>
    <t xml:space="preserve">GECKO 2555</t>
  </si>
  <si>
    <t xml:space="preserve">https://www.inaturalist.org/observations/250437546</t>
  </si>
  <si>
    <t xml:space="preserve">GECKO 2556</t>
  </si>
  <si>
    <t xml:space="preserve">GECKO 2557</t>
  </si>
  <si>
    <t xml:space="preserve">marniem</t>
  </si>
  <si>
    <t xml:space="preserve">https://www.inaturalist.org/observations/202258220</t>
  </si>
  <si>
    <t xml:space="preserve">GECKO 2558</t>
  </si>
  <si>
    <t xml:space="preserve">https://www.inaturalist.org/observations/201351714</t>
  </si>
  <si>
    <t xml:space="preserve">GECKO 2559</t>
  </si>
  <si>
    <t xml:space="preserve">https://www.inaturalist.org/observations/201351712</t>
  </si>
  <si>
    <t xml:space="preserve">GECKO 2560</t>
  </si>
  <si>
    <t xml:space="preserve">https://www.inaturalist.org/observations/199352292</t>
  </si>
  <si>
    <t xml:space="preserve">GECKO 2561</t>
  </si>
  <si>
    <t xml:space="preserve">Aprasia repens</t>
  </si>
  <si>
    <t xml:space="preserve">https://www.inaturalist.org/observations/395675754</t>
  </si>
  <si>
    <t xml:space="preserve">GECKO 2562</t>
  </si>
  <si>
    <t xml:space="preserve">bobgood</t>
  </si>
  <si>
    <t xml:space="preserve">https://www.inaturalist.org/observations/394879010</t>
  </si>
  <si>
    <t xml:space="preserve">GECKO 2563</t>
  </si>
  <si>
    <t xml:space="preserve">https://www.inaturalist.org/observations/392307766</t>
  </si>
  <si>
    <t xml:space="preserve">GECKO 2564</t>
  </si>
  <si>
    <t xml:space="preserve">GECKO 2565</t>
  </si>
  <si>
    <t xml:space="preserve">levibrownwild</t>
  </si>
  <si>
    <t xml:space="preserve">https://www.inaturalist.org/observations/355251141</t>
  </si>
  <si>
    <t xml:space="preserve">GECKO 2566</t>
  </si>
  <si>
    <t xml:space="preserve">https://www.inaturalist.org/observations/337165859</t>
  </si>
  <si>
    <t xml:space="preserve">GECKO 2567</t>
  </si>
  <si>
    <t xml:space="preserve">periplaneta</t>
  </si>
  <si>
    <t xml:space="preserve">https://www.inaturalist.org/observations/320569877</t>
  </si>
  <si>
    <t xml:space="preserve">GECKO 2568</t>
  </si>
  <si>
    <t xml:space="preserve">GECKO 2569</t>
  </si>
  <si>
    <t xml:space="preserve">lorenzofraysse</t>
  </si>
  <si>
    <t xml:space="preserve">https://www.inaturalist.org/observations/318164830</t>
  </si>
  <si>
    <t xml:space="preserve">GECKO 2570</t>
  </si>
  <si>
    <t xml:space="preserve">https://www.inaturalist.org/observations/318164614</t>
  </si>
  <si>
    <t xml:space="preserve">GECKO 2571</t>
  </si>
  <si>
    <t xml:space="preserve">rabbitboy64</t>
  </si>
  <si>
    <t xml:space="preserve">https://www.inaturalist.org/observations/315785633</t>
  </si>
  <si>
    <t xml:space="preserve">GECKO 2572</t>
  </si>
  <si>
    <t xml:space="preserve">https://www.inaturalist.org/observations/315168371</t>
  </si>
  <si>
    <t xml:space="preserve">GECKO 2573</t>
  </si>
  <si>
    <t xml:space="preserve">https://www.inaturalist.org/observations/234841835</t>
  </si>
  <si>
    <t xml:space="preserve">GECKO 2574</t>
  </si>
  <si>
    <t xml:space="preserve">https://www.inaturalist.org/observations/230495058</t>
  </si>
  <si>
    <t xml:space="preserve">GECKO 2575</t>
  </si>
  <si>
    <t xml:space="preserve">https://www.inaturalist.org/observations/197370114</t>
  </si>
  <si>
    <t xml:space="preserve">GECKO 2576</t>
  </si>
  <si>
    <t xml:space="preserve">https://www.inaturalist.org/observations/197380438</t>
  </si>
  <si>
    <t xml:space="preserve">GECKO 2577</t>
  </si>
  <si>
    <t xml:space="preserve">https://www.inaturalist.org/observations/182908239</t>
  </si>
  <si>
    <t xml:space="preserve">GECKO 2578</t>
  </si>
  <si>
    <t xml:space="preserve">https://www.inaturalist.org/observations/154566354</t>
  </si>
  <si>
    <t xml:space="preserve">GECKO 2579</t>
  </si>
  <si>
    <t xml:space="preserve">https://www.inaturalist.org/observations/176905727</t>
  </si>
  <si>
    <t xml:space="preserve">GECKO 2580</t>
  </si>
  <si>
    <t xml:space="preserve">https://www.inaturalist.org/observations/171329845</t>
  </si>
  <si>
    <t xml:space="preserve">GECKO 2581</t>
  </si>
  <si>
    <t xml:space="preserve">Delma</t>
  </si>
  <si>
    <t xml:space="preserve">Delma hebesa</t>
  </si>
  <si>
    <t xml:space="preserve">https://www.inaturalist.org/observations/252148454</t>
  </si>
  <si>
    <t xml:space="preserve">GECKO 2582</t>
  </si>
  <si>
    <t xml:space="preserve">https://www.inaturalist.org/observations/203419475</t>
  </si>
  <si>
    <t xml:space="preserve">GECKO 2583</t>
  </si>
  <si>
    <t xml:space="preserve">https://www.inaturalist.org/observations/198275490</t>
  </si>
  <si>
    <t xml:space="preserve">GECKO 2584</t>
  </si>
  <si>
    <t xml:space="preserve">https://www.inaturalist.org/observations/191810621</t>
  </si>
  <si>
    <t xml:space="preserve">GECKO 2585</t>
  </si>
  <si>
    <t xml:space="preserve">https://www.inaturalist.org/observations/191648752</t>
  </si>
  <si>
    <t xml:space="preserve">GECKO 2586</t>
  </si>
  <si>
    <t xml:space="preserve">https://www.inaturalist.org/observations/182908262</t>
  </si>
  <si>
    <t xml:space="preserve">GECKO 2587</t>
  </si>
  <si>
    <t xml:space="preserve">https://www.inaturalist.org/observations/174065364</t>
  </si>
  <si>
    <t xml:space="preserve">GECKO 2588</t>
  </si>
  <si>
    <t xml:space="preserve">bigpseudemoia123</t>
  </si>
  <si>
    <t xml:space="preserve">https://www.inaturalist.org/observations/170250345</t>
  </si>
  <si>
    <t xml:space="preserve">GECKO 2589</t>
  </si>
  <si>
    <t xml:space="preserve">https://www.inaturalist.org/observations/169353469</t>
  </si>
  <si>
    <t xml:space="preserve">GECKO 2590</t>
  </si>
  <si>
    <t xml:space="preserve">https://www.inaturalist.org/observations/164777064</t>
  </si>
  <si>
    <t xml:space="preserve">GECKO 2591</t>
  </si>
  <si>
    <t xml:space="preserve">https://www.inaturalist.org/observations/150401772</t>
  </si>
  <si>
    <t xml:space="preserve">GECKO 2592</t>
  </si>
  <si>
    <t xml:space="preserve">https://www.inaturalist.org/observations/148346349</t>
  </si>
  <si>
    <t xml:space="preserve">GECKO 2593</t>
  </si>
  <si>
    <t xml:space="preserve">https://www.inaturalist.org/observations/147024263</t>
  </si>
  <si>
    <t xml:space="preserve">GECKO 2594</t>
  </si>
  <si>
    <t xml:space="preserve">https://www.inaturalist.org/observations/135245746</t>
  </si>
  <si>
    <t xml:space="preserve">GECKO 2595</t>
  </si>
  <si>
    <t xml:space="preserve">https://www.inaturalist.org/observations/108164731</t>
  </si>
  <si>
    <t xml:space="preserve">GECKO 2596</t>
  </si>
  <si>
    <t xml:space="preserve">https://www.inaturalist.org/observations/103290019</t>
  </si>
  <si>
    <t xml:space="preserve">GECKO 2597</t>
  </si>
  <si>
    <t xml:space="preserve">GECKO 2598</t>
  </si>
  <si>
    <t xml:space="preserve">https://www.inaturalist.org/observations/98435231</t>
  </si>
  <si>
    <t xml:space="preserve">GECKO 2599</t>
  </si>
  <si>
    <t xml:space="preserve">Delma Inornata</t>
  </si>
  <si>
    <t xml:space="preserve">alifsmithii</t>
  </si>
  <si>
    <t xml:space="preserve">https://www.inaturalist.org/observations/388652326</t>
  </si>
  <si>
    <t xml:space="preserve">GECKO 2600</t>
  </si>
  <si>
    <t xml:space="preserve">bitterns_and_brolgas</t>
  </si>
  <si>
    <t xml:space="preserve">https://www.inaturalist.org/observations/380172849</t>
  </si>
  <si>
    <t xml:space="preserve">GECKO 2601</t>
  </si>
  <si>
    <t xml:space="preserve">nevosfarm</t>
  </si>
  <si>
    <t xml:space="preserve">https://www.inaturalist.org/observations/373394231</t>
  </si>
  <si>
    <t xml:space="preserve">GECKO 2602</t>
  </si>
  <si>
    <t xml:space="preserve">https://www.inaturalist.org/observations/350489124</t>
  </si>
  <si>
    <t xml:space="preserve">GECKO 2603</t>
  </si>
  <si>
    <t xml:space="preserve">https://www.inaturalist.org/observations/330943670</t>
  </si>
  <si>
    <t xml:space="preserve">GECKO 2604</t>
  </si>
  <si>
    <t xml:space="preserve">philip_g</t>
  </si>
  <si>
    <t xml:space="preserve">https://www.inaturalist.org/observations/325121062</t>
  </si>
  <si>
    <t xml:space="preserve">GECKO 2605</t>
  </si>
  <si>
    <t xml:space="preserve">https://www.inaturalist.org/observations/319735000</t>
  </si>
  <si>
    <t xml:space="preserve">GECKO 2606</t>
  </si>
  <si>
    <t xml:space="preserve">shanewalsh</t>
  </si>
  <si>
    <t xml:space="preserve">https://www.inaturalist.org/observations/309414861</t>
  </si>
  <si>
    <t xml:space="preserve">GECKO 2607</t>
  </si>
  <si>
    <t xml:space="preserve">stucochrane</t>
  </si>
  <si>
    <t xml:space="preserve">https://www.inaturalist.org/observations/308933050</t>
  </si>
  <si>
    <t xml:space="preserve">GECKO 2608</t>
  </si>
  <si>
    <t xml:space="preserve">alburyw</t>
  </si>
  <si>
    <t xml:space="preserve">https://www.inaturalist.org/observations/307467212</t>
  </si>
  <si>
    <t xml:space="preserve">GECKO 2609</t>
  </si>
  <si>
    <t xml:space="preserve">GECKO 2610</t>
  </si>
  <si>
    <t xml:space="preserve">nchp</t>
  </si>
  <si>
    <t xml:space="preserve">https://www.inaturalist.org/observations/282292887</t>
  </si>
  <si>
    <t xml:space="preserve">GECKO 2611</t>
  </si>
  <si>
    <t xml:space="preserve">semi-milker</t>
  </si>
  <si>
    <t xml:space="preserve">https://www.inaturalist.org/observations/259725429</t>
  </si>
  <si>
    <t xml:space="preserve">GECKO 2612</t>
  </si>
  <si>
    <t xml:space="preserve">lynchyw1ldlife</t>
  </si>
  <si>
    <t xml:space="preserve">https://www.inaturalist.org/observations/256307633</t>
  </si>
  <si>
    <t xml:space="preserve">GECKO 2613</t>
  </si>
  <si>
    <t xml:space="preserve">greenhamburger</t>
  </si>
  <si>
    <t xml:space="preserve">https://www.inaturalist.org/observations/252791246</t>
  </si>
  <si>
    <t xml:space="preserve">GECKO 2614</t>
  </si>
  <si>
    <t xml:space="preserve">m-jbetts</t>
  </si>
  <si>
    <t xml:space="preserve">https://www.inaturalist.org/observations/250995167</t>
  </si>
  <si>
    <t xml:space="preserve">GECKO 2615</t>
  </si>
  <si>
    <t xml:space="preserve">jcmcinerney</t>
  </si>
  <si>
    <t xml:space="preserve">https://www.inaturalist.org/observations/234880254</t>
  </si>
  <si>
    <t xml:space="preserve">GECKO 2616</t>
  </si>
  <si>
    <t xml:space="preserve">GECKO 2617</t>
  </si>
  <si>
    <t xml:space="preserve">https://www.inaturalist.org/observations/232220092</t>
  </si>
  <si>
    <t xml:space="preserve">GECKO 2618</t>
  </si>
  <si>
    <t xml:space="preserve">em_nature</t>
  </si>
  <si>
    <t xml:space="preserve">https://www.inaturalist.org/observations/224521432</t>
  </si>
  <si>
    <t xml:space="preserve">GECKO 2619</t>
  </si>
  <si>
    <t xml:space="preserve">alexander_dudley</t>
  </si>
  <si>
    <t xml:space="preserve">https://www.inaturalist.org/observations/201080202</t>
  </si>
  <si>
    <t xml:space="preserve">GECKO 2620</t>
  </si>
  <si>
    <t xml:space="preserve">kimtemby</t>
  </si>
  <si>
    <t xml:space="preserve">https://www.inaturalist.org/observations/198598280</t>
  </si>
  <si>
    <t xml:space="preserve">GECKO 2621</t>
  </si>
  <si>
    <t xml:space="preserve">Delma tincta</t>
  </si>
  <si>
    <t xml:space="preserve">darcywhittaker</t>
  </si>
  <si>
    <t xml:space="preserve">https://www.inaturalist.org/observations/393769415</t>
  </si>
  <si>
    <t xml:space="preserve">GECKO 2622</t>
  </si>
  <si>
    <t xml:space="preserve">GECKO 2623</t>
  </si>
  <si>
    <t xml:space="preserve">https://www.inaturalist.org/observations/393336189</t>
  </si>
  <si>
    <t xml:space="preserve">GECKO 2624</t>
  </si>
  <si>
    <t xml:space="preserve">https://www.inaturalist.org/observations/387126115</t>
  </si>
  <si>
    <t xml:space="preserve">GECKO 2625</t>
  </si>
  <si>
    <t xml:space="preserve">cmarquis</t>
  </si>
  <si>
    <t xml:space="preserve">https://www.inaturalist.org/observations/385596229</t>
  </si>
  <si>
    <t xml:space="preserve">GECKO 2626</t>
  </si>
  <si>
    <t xml:space="preserve">aidan_21</t>
  </si>
  <si>
    <t xml:space="preserve">https://www.inaturalist.org/observations/362671891</t>
  </si>
  <si>
    <t xml:space="preserve">GECKO 2627</t>
  </si>
  <si>
    <t xml:space="preserve">scottybertus</t>
  </si>
  <si>
    <t xml:space="preserve">https://www.inaturalist.org/observations/358175232</t>
  </si>
  <si>
    <t xml:space="preserve">GECKO 2628</t>
  </si>
  <si>
    <t xml:space="preserve">https://www.inaturalist.org/observations/352121340</t>
  </si>
  <si>
    <t xml:space="preserve">GECKO 2629</t>
  </si>
  <si>
    <t xml:space="preserve">lucindra</t>
  </si>
  <si>
    <t xml:space="preserve">https://www.inaturalist.org/observations/348849486</t>
  </si>
  <si>
    <t xml:space="preserve">GECKO 2630</t>
  </si>
  <si>
    <t xml:space="preserve">https://www.inaturalist.org/observations/346728102</t>
  </si>
  <si>
    <t xml:space="preserve">GECKO 2631</t>
  </si>
  <si>
    <t xml:space="preserve">https://www.inaturalist.org/observations/334062630</t>
  </si>
  <si>
    <t xml:space="preserve">GECKO 2632</t>
  </si>
  <si>
    <t xml:space="preserve">https://www.inaturalist.org/observations/328154478</t>
  </si>
  <si>
    <t xml:space="preserve">GECKO 2633</t>
  </si>
  <si>
    <t xml:space="preserve">brookiehutchy</t>
  </si>
  <si>
    <t xml:space="preserve">https://www.inaturalist.org/observations/326877296</t>
  </si>
  <si>
    <t xml:space="preserve">GECKO 2634</t>
  </si>
  <si>
    <t xml:space="preserve">carnham</t>
  </si>
  <si>
    <t xml:space="preserve">https://www.inaturalist.org/observations/324065785</t>
  </si>
  <si>
    <t xml:space="preserve">GECKO 2635</t>
  </si>
  <si>
    <t xml:space="preserve">caroljmiller</t>
  </si>
  <si>
    <t xml:space="preserve">https://www.inaturalist.org/observations/320979164</t>
  </si>
  <si>
    <t xml:space="preserve">GECKO 2636</t>
  </si>
  <si>
    <t xml:space="preserve">christinemauger</t>
  </si>
  <si>
    <t xml:space="preserve">https://www.inaturalist.org/observations/318740793</t>
  </si>
  <si>
    <t xml:space="preserve">GECKO 2637</t>
  </si>
  <si>
    <t xml:space="preserve">inspector_frog</t>
  </si>
  <si>
    <t xml:space="preserve">https://www.inaturalist.org/observations/307897967</t>
  </si>
  <si>
    <t xml:space="preserve">GECKO 2638</t>
  </si>
  <si>
    <t xml:space="preserve">herphendrie</t>
  </si>
  <si>
    <t xml:space="preserve">https://www.inaturalist.org/observations/298880034</t>
  </si>
  <si>
    <t xml:space="preserve">GECKO 2639</t>
  </si>
  <si>
    <t xml:space="preserve">aquila00</t>
  </si>
  <si>
    <t xml:space="preserve">https://www.inaturalist.org/observations/280108605</t>
  </si>
  <si>
    <t xml:space="preserve">GECKO 2640</t>
  </si>
  <si>
    <t xml:space="preserve">cesdamess</t>
  </si>
  <si>
    <t xml:space="preserve">https://www.inaturalist.org/observations/278021813</t>
  </si>
  <si>
    <t xml:space="preserve">GECKO 2641</t>
  </si>
  <si>
    <t xml:space="preserve">Lialis</t>
  </si>
  <si>
    <t xml:space="preserve">Lialis burtonis</t>
  </si>
  <si>
    <t xml:space="preserve">rycarter</t>
  </si>
  <si>
    <t xml:space="preserve">https://www.inaturalist.org/observations/398419971</t>
  </si>
  <si>
    <t xml:space="preserve">GECKO 2642</t>
  </si>
  <si>
    <t xml:space="preserve">kentdalekelpies</t>
  </si>
  <si>
    <t xml:space="preserve">https://www.inaturalist.org/observations/398405311</t>
  </si>
  <si>
    <t xml:space="preserve">GECKO 2643</t>
  </si>
  <si>
    <t xml:space="preserve">xaver73412</t>
  </si>
  <si>
    <t xml:space="preserve">https://www.inaturalist.org/observations/398346617</t>
  </si>
  <si>
    <t xml:space="preserve">GECKO 2644</t>
  </si>
  <si>
    <t xml:space="preserve">pmartin1</t>
  </si>
  <si>
    <t xml:space="preserve">https://www.inaturalist.org/observations/398081840</t>
  </si>
  <si>
    <t xml:space="preserve">GECKO 2645</t>
  </si>
  <si>
    <t xml:space="preserve">https://www.inaturalist.org/observations/397928642</t>
  </si>
  <si>
    <t xml:space="preserve">GECKO 2646</t>
  </si>
  <si>
    <t xml:space="preserve">https://www.inaturalist.org/observations/397715714</t>
  </si>
  <si>
    <t xml:space="preserve">GECKO 2647</t>
  </si>
  <si>
    <t xml:space="preserve">https://www.inaturalist.org/observations/397678937</t>
  </si>
  <si>
    <t xml:space="preserve">GECKO 2648</t>
  </si>
  <si>
    <t xml:space="preserve">GECKO 2649</t>
  </si>
  <si>
    <t xml:space="preserve">https://www.inaturalist.org/observations/397675978</t>
  </si>
  <si>
    <t xml:space="preserve">GECKO 2650</t>
  </si>
  <si>
    <t xml:space="preserve">GECKO 2651</t>
  </si>
  <si>
    <t xml:space="preserve">matthew39722</t>
  </si>
  <si>
    <t xml:space="preserve">https://www.inaturalist.org/observations/397344381</t>
  </si>
  <si>
    <t xml:space="preserve">GECKO 2652</t>
  </si>
  <si>
    <t xml:space="preserve">https://www.inaturalist.org/observations/397160531</t>
  </si>
  <si>
    <t xml:space="preserve">GECKO 2653</t>
  </si>
  <si>
    <t xml:space="preserve">https://www.inaturalist.org/observations/397160407</t>
  </si>
  <si>
    <t xml:space="preserve">GECKO 2654</t>
  </si>
  <si>
    <t xml:space="preserve">https://www.inaturalist.org/observations/397066096</t>
  </si>
  <si>
    <t xml:space="preserve">GECKO 2655</t>
  </si>
  <si>
    <t xml:space="preserve">https://www.inaturalist.org/observations/396607133</t>
  </si>
  <si>
    <t xml:space="preserve">GECKO 2656</t>
  </si>
  <si>
    <t xml:space="preserve">igomak</t>
  </si>
  <si>
    <t xml:space="preserve">https://www.inaturalist.org/observations/396473511</t>
  </si>
  <si>
    <t xml:space="preserve">GECKO 2657</t>
  </si>
  <si>
    <t xml:space="preserve">https://www.inaturalist.org/observations/398911429</t>
  </si>
  <si>
    <t xml:space="preserve">GECKO 2658</t>
  </si>
  <si>
    <t xml:space="preserve">https://www.inaturalist.org/observations/391422759</t>
  </si>
  <si>
    <t xml:space="preserve">GECKO 2659</t>
  </si>
  <si>
    <t xml:space="preserve">wxs3344</t>
  </si>
  <si>
    <t xml:space="preserve">https://www.inaturalist.org/observations/390259305</t>
  </si>
  <si>
    <t xml:space="preserve">GECKO 2660</t>
  </si>
  <si>
    <t xml:space="preserve">garthwimbush</t>
  </si>
  <si>
    <t xml:space="preserve">https://www.inaturalist.org/observations/390184185</t>
  </si>
  <si>
    <t xml:space="preserve">GECKO 2661</t>
  </si>
  <si>
    <t xml:space="preserve">https://www.inaturalist.org/observations/389559078</t>
  </si>
  <si>
    <t xml:space="preserve">GECKO 2662</t>
  </si>
  <si>
    <t xml:space="preserve">neverwinter</t>
  </si>
  <si>
    <t xml:space="preserve">https://www.inaturalist.org/observations/389257303</t>
  </si>
  <si>
    <t xml:space="preserve">GECKO 2663</t>
  </si>
  <si>
    <t xml:space="preserve">fenningy</t>
  </si>
  <si>
    <t xml:space="preserve">https://www.inaturalist.org/observations/389230371</t>
  </si>
  <si>
    <t xml:space="preserve">GECKO 2664</t>
  </si>
  <si>
    <t xml:space="preserve">https://www.inaturalist.org/observations/388950257</t>
  </si>
  <si>
    <t xml:space="preserve">GECKO 2665</t>
  </si>
  <si>
    <t xml:space="preserve">nickowesto</t>
  </si>
  <si>
    <t xml:space="preserve">https://www.inaturalist.org/observations/388703767</t>
  </si>
  <si>
    <t xml:space="preserve">GECKO 2666</t>
  </si>
  <si>
    <t xml:space="preserve">https://www.inaturalist.org/observations/388699237</t>
  </si>
  <si>
    <t xml:space="preserve">GECKO 2667</t>
  </si>
  <si>
    <t xml:space="preserve">https://www.inaturalist.org/observations/388699232</t>
  </si>
  <si>
    <t xml:space="preserve">GECKO 2668</t>
  </si>
  <si>
    <t xml:space="preserve">https://www.inaturalist.org/observations/388699227</t>
  </si>
  <si>
    <t xml:space="preserve">GECKO 2669</t>
  </si>
  <si>
    <t xml:space="preserve">davidk4895</t>
  </si>
  <si>
    <t xml:space="preserve">https://www.inaturalist.org/observations/388337856</t>
  </si>
  <si>
    <t xml:space="preserve">GECKO 2670</t>
  </si>
  <si>
    <t xml:space="preserve">cannabinoid-respecter</t>
  </si>
  <si>
    <t xml:space="preserve">https://www.inaturalist.org/observations/388075157</t>
  </si>
  <si>
    <t xml:space="preserve">GECKO 2671</t>
  </si>
  <si>
    <t xml:space="preserve">deec1322</t>
  </si>
  <si>
    <t xml:space="preserve">https://www.inaturalist.org/observations/387873305</t>
  </si>
  <si>
    <t xml:space="preserve">GECKO 2672</t>
  </si>
  <si>
    <t xml:space="preserve">norman22291</t>
  </si>
  <si>
    <t xml:space="preserve">https://www.inaturalist.org/observations/387836173</t>
  </si>
  <si>
    <t xml:space="preserve">GECKO 2673</t>
  </si>
  <si>
    <t xml:space="preserve">tomvig2024</t>
  </si>
  <si>
    <t xml:space="preserve">https://www.inaturalist.org/observations/386476262</t>
  </si>
  <si>
    <t xml:space="preserve">GECKO 2674</t>
  </si>
  <si>
    <t xml:space="preserve">GECKO 2675</t>
  </si>
  <si>
    <t xml:space="preserve">darcy_c</t>
  </si>
  <si>
    <t xml:space="preserve">https://www.inaturalist.org/observations/385938725</t>
  </si>
  <si>
    <t xml:space="preserve">GECKO 2676</t>
  </si>
  <si>
    <t xml:space="preserve">thepittofdan</t>
  </si>
  <si>
    <t xml:space="preserve">https://www.inaturalist.org/observations/385890638</t>
  </si>
  <si>
    <t xml:space="preserve">GECKO 2677</t>
  </si>
  <si>
    <t xml:space="preserve">https://www.inaturalist.org/observations/384864123</t>
  </si>
  <si>
    <t xml:space="preserve">GECKO 2678</t>
  </si>
  <si>
    <t xml:space="preserve">catfood</t>
  </si>
  <si>
    <t xml:space="preserve">https://www.inaturalist.org/observations/384780909</t>
  </si>
  <si>
    <t xml:space="preserve">GECKO 2679</t>
  </si>
  <si>
    <t xml:space="preserve">oonawuwow</t>
  </si>
  <si>
    <t xml:space="preserve">https://www.inaturalist.org/observations/384739602</t>
  </si>
  <si>
    <t xml:space="preserve">GECKO 2680</t>
  </si>
  <si>
    <t xml:space="preserve">tom18072</t>
  </si>
  <si>
    <t xml:space="preserve">https://www.inaturalist.org/observations/383888995</t>
  </si>
  <si>
    <t xml:space="preserve">GECKO 2681</t>
  </si>
  <si>
    <t xml:space="preserve">https://www.inaturalist.org/observations/383849838</t>
  </si>
  <si>
    <t xml:space="preserve">GECKO 2682</t>
  </si>
  <si>
    <t xml:space="preserve">https://www.inaturalist.org/observations/383835650</t>
  </si>
  <si>
    <t xml:space="preserve">GECKO 2683</t>
  </si>
  <si>
    <t xml:space="preserve">https://www.inaturalist.org/observations/383592124</t>
  </si>
  <si>
    <t xml:space="preserve">GECKO 2684</t>
  </si>
  <si>
    <t xml:space="preserve">georgiarainey</t>
  </si>
  <si>
    <t xml:space="preserve">https://www.inaturalist.org/observations/383161140</t>
  </si>
  <si>
    <t xml:space="preserve">GECKO 2685</t>
  </si>
  <si>
    <t xml:space="preserve">finnycohen</t>
  </si>
  <si>
    <t xml:space="preserve">https://www.inaturalist.org/observations/382786921</t>
  </si>
  <si>
    <t xml:space="preserve">GECKO 2686</t>
  </si>
  <si>
    <t xml:space="preserve">geoffwilkins</t>
  </si>
  <si>
    <t xml:space="preserve">https://www.inaturalist.org/observations/382485450</t>
  </si>
  <si>
    <t xml:space="preserve">GECKO 2687</t>
  </si>
  <si>
    <t xml:space="preserve">https://www.inaturalist.org/observations/380605676</t>
  </si>
  <si>
    <t xml:space="preserve">GECKO 2688</t>
  </si>
  <si>
    <t xml:space="preserve">rossbrockway</t>
  </si>
  <si>
    <t xml:space="preserve">https://www.inaturalist.org/observations/379923916</t>
  </si>
  <si>
    <t xml:space="preserve">GECKO 2689</t>
  </si>
  <si>
    <t xml:space="preserve">scoll362</t>
  </si>
  <si>
    <t xml:space="preserve">https://www.inaturalist.org/observations/379343741</t>
  </si>
  <si>
    <t xml:space="preserve">GECKO 2690</t>
  </si>
  <si>
    <t xml:space="preserve">GECKO 2691</t>
  </si>
  <si>
    <t xml:space="preserve">will_hickling99</t>
  </si>
  <si>
    <t xml:space="preserve">https://www.inaturalist.org/observations/378960576</t>
  </si>
  <si>
    <t xml:space="preserve">GECKO 2692</t>
  </si>
  <si>
    <t xml:space="preserve">dadwhatsthis</t>
  </si>
  <si>
    <t xml:space="preserve">https://www.inaturalist.org/observations/378592907</t>
  </si>
  <si>
    <t xml:space="preserve">GECKO 2693</t>
  </si>
  <si>
    <t xml:space="preserve">lovejoyinfinity</t>
  </si>
  <si>
    <t xml:space="preserve">https://www.inaturalist.org/observations/378317149</t>
  </si>
  <si>
    <t xml:space="preserve">GECKO 2694</t>
  </si>
  <si>
    <t xml:space="preserve">https://www.inaturalist.org/observations/377993392</t>
  </si>
  <si>
    <t xml:space="preserve">GECKO 2695</t>
  </si>
  <si>
    <t xml:space="preserve">https://www.inaturalist.org/observations/376129175</t>
  </si>
  <si>
    <t xml:space="preserve">GECKO 2696</t>
  </si>
  <si>
    <t xml:space="preserve">tdjsayers</t>
  </si>
  <si>
    <t xml:space="preserve">https://www.inaturalist.org/observations/374548128</t>
  </si>
  <si>
    <t xml:space="preserve">GECKO 2697</t>
  </si>
  <si>
    <t xml:space="preserve">https://www.inaturalist.org/observations/372207484</t>
  </si>
  <si>
    <t xml:space="preserve">GECKO 2698</t>
  </si>
  <si>
    <t xml:space="preserve">kiaoraroy</t>
  </si>
  <si>
    <t xml:space="preserve">https://www.inaturalist.org/observations/371772504</t>
  </si>
  <si>
    <t xml:space="preserve">GECKO 2699</t>
  </si>
  <si>
    <t xml:space="preserve">takayna</t>
  </si>
  <si>
    <t xml:space="preserve">https://www.inaturalist.org/observations/367977082</t>
  </si>
  <si>
    <t xml:space="preserve">GECKO 2700</t>
  </si>
  <si>
    <t xml:space="preserve">https://www.inaturalist.org/observations/361376821</t>
  </si>
  <si>
    <t xml:space="preserve">GECKO 2701</t>
  </si>
  <si>
    <t xml:space="preserve">Paradelma</t>
  </si>
  <si>
    <t xml:space="preserve">Paradelma orientalis</t>
  </si>
  <si>
    <t xml:space="preserve">https://www.inaturalist.org/observations/360452514</t>
  </si>
  <si>
    <t xml:space="preserve">GECKO 2702</t>
  </si>
  <si>
    <t xml:space="preserve">GECKO 2703</t>
  </si>
  <si>
    <t xml:space="preserve">https://www.inaturalist.org/observations/341298899</t>
  </si>
  <si>
    <t xml:space="preserve">GECKO 2704</t>
  </si>
  <si>
    <t xml:space="preserve">https://www.inaturalist.org/observations/340570358</t>
  </si>
  <si>
    <t xml:space="preserve">GECKO 2705</t>
  </si>
  <si>
    <t xml:space="preserve">williamscott279</t>
  </si>
  <si>
    <t xml:space="preserve">https://www.inaturalist.org/observations/337071843</t>
  </si>
  <si>
    <t xml:space="preserve">GECKO 2706</t>
  </si>
  <si>
    <t xml:space="preserve">https://www.inaturalist.org/observations/336221875</t>
  </si>
  <si>
    <t xml:space="preserve">GECKO 2707</t>
  </si>
  <si>
    <t xml:space="preserve">elliesexotics</t>
  </si>
  <si>
    <t xml:space="preserve">https://www.inaturalist.org/observations/328433459</t>
  </si>
  <si>
    <t xml:space="preserve">GECKO 2708</t>
  </si>
  <si>
    <t xml:space="preserve">https://www.inaturalist.org/observations/322696463</t>
  </si>
  <si>
    <t xml:space="preserve">GECKO 2709</t>
  </si>
  <si>
    <t xml:space="preserve">https://www.inaturalist.org/observations/322564394</t>
  </si>
  <si>
    <t xml:space="preserve">GECKO 2710</t>
  </si>
  <si>
    <t xml:space="preserve">mingeuncho</t>
  </si>
  <si>
    <t xml:space="preserve">https://www.inaturalist.org/observations/322355630</t>
  </si>
  <si>
    <t xml:space="preserve">GECKO 2711</t>
  </si>
  <si>
    <t xml:space="preserve">https://www.inaturalist.org/observations/322203943</t>
  </si>
  <si>
    <t xml:space="preserve">GECKO 2712</t>
  </si>
  <si>
    <t xml:space="preserve">https://www.inaturalist.org/observations/321880945</t>
  </si>
  <si>
    <t xml:space="preserve">GECKO 2713</t>
  </si>
  <si>
    <t xml:space="preserve">https://www.inaturalist.org/observations/284436577</t>
  </si>
  <si>
    <t xml:space="preserve">GECKO 2714</t>
  </si>
  <si>
    <t xml:space="preserve">https://www.inaturalist.org/observations/272370884</t>
  </si>
  <si>
    <t xml:space="preserve">GECKO 2715</t>
  </si>
  <si>
    <t xml:space="preserve">https://www.inaturalist.org/observations/272370877</t>
  </si>
  <si>
    <t xml:space="preserve">GECKO 2716</t>
  </si>
  <si>
    <t xml:space="preserve">https://www.inaturalist.org/observations/259328789</t>
  </si>
  <si>
    <t xml:space="preserve">GECKO 2717</t>
  </si>
  <si>
    <t xml:space="preserve">https://www.inaturalist.org/observations/259325837</t>
  </si>
  <si>
    <t xml:space="preserve">GECKO 2718</t>
  </si>
  <si>
    <t xml:space="preserve">westerndownssnakecatcher</t>
  </si>
  <si>
    <t xml:space="preserve">https://www.inaturalist.org/observations/256555501</t>
  </si>
  <si>
    <t xml:space="preserve">GECKO 2719</t>
  </si>
  <si>
    <t xml:space="preserve">jairand18</t>
  </si>
  <si>
    <t xml:space="preserve">https://www.inaturalist.org/observations/253939971</t>
  </si>
  <si>
    <t xml:space="preserve">GECKO 2720</t>
  </si>
  <si>
    <t xml:space="preserve">cooky89</t>
  </si>
  <si>
    <t xml:space="preserve">https://www.inaturalist.org/observations/238163550</t>
  </si>
  <si>
    <t xml:space="preserve">GECKO 2721</t>
  </si>
  <si>
    <t xml:space="preserve">joel-cohen</t>
  </si>
  <si>
    <t xml:space="preserve">https://www.inaturalist.org/observations/208251034</t>
  </si>
  <si>
    <t xml:space="preserve">GECKO 2722</t>
  </si>
  <si>
    <t xml:space="preserve">https://www.inaturalist.org/observations/200612533</t>
  </si>
  <si>
    <t xml:space="preserve">GECKO 2723</t>
  </si>
  <si>
    <t xml:space="preserve">nicgambold</t>
  </si>
  <si>
    <t xml:space="preserve">https://www.inaturalist.org/observations/196870734</t>
  </si>
  <si>
    <t xml:space="preserve">GECKO 2724</t>
  </si>
  <si>
    <t xml:space="preserve">https://www.inaturalist.org/observations/195775988</t>
  </si>
  <si>
    <t xml:space="preserve">GECKO 2725</t>
  </si>
  <si>
    <t xml:space="preserve">underwatergirl</t>
  </si>
  <si>
    <t xml:space="preserve">https://www.inaturalist.org/observations/189052291</t>
  </si>
  <si>
    <t xml:space="preserve">GECKO 2726</t>
  </si>
  <si>
    <t xml:space="preserve">https://www.inaturalist.org/observations/177291275</t>
  </si>
  <si>
    <t xml:space="preserve">GECKO 2727</t>
  </si>
  <si>
    <t xml:space="preserve">gibbergavin</t>
  </si>
  <si>
    <t xml:space="preserve">https://www.inaturalist.org/observations/150520342</t>
  </si>
  <si>
    <t xml:space="preserve">GECKO 2728</t>
  </si>
  <si>
    <t xml:space="preserve">phallec0</t>
  </si>
  <si>
    <t xml:space="preserve">https://www.inaturalist.org/observations/146429237</t>
  </si>
  <si>
    <t xml:space="preserve">GECKO 2729</t>
  </si>
  <si>
    <t xml:space="preserve">melissa_bruton</t>
  </si>
  <si>
    <t xml:space="preserve">https://www.inaturalist.org/observations/103815808</t>
  </si>
  <si>
    <t xml:space="preserve">GECKO 2730</t>
  </si>
  <si>
    <t xml:space="preserve">https://www.inaturalist.org/observations/101164991</t>
  </si>
  <si>
    <t xml:space="preserve">GECKO 2731</t>
  </si>
  <si>
    <t xml:space="preserve">https://www.inaturalist.org/observations/98568118</t>
  </si>
  <si>
    <t xml:space="preserve">GECKO 2732</t>
  </si>
  <si>
    <t xml:space="preserve">jdobson</t>
  </si>
  <si>
    <t xml:space="preserve">https://www.inaturalist.org/observations/38737273</t>
  </si>
  <si>
    <t xml:space="preserve">GECKO 2733</t>
  </si>
  <si>
    <t xml:space="preserve">https://www.inaturalist.org/observations/4259407</t>
  </si>
  <si>
    <t xml:space="preserve">GECKO 2734</t>
  </si>
  <si>
    <t xml:space="preserve">https://www.inaturalist.org/observations/394375793</t>
  </si>
  <si>
    <t xml:space="preserve">GECKO 2735</t>
  </si>
  <si>
    <t xml:space="preserve">Pygopus</t>
  </si>
  <si>
    <t xml:space="preserve">Pygopus steelescotti</t>
  </si>
  <si>
    <t xml:space="preserve">https://www.inaturalist.org/observations/400176674</t>
  </si>
  <si>
    <t xml:space="preserve">GECKO 2736</t>
  </si>
  <si>
    <t xml:space="preserve">nathanbeerkens</t>
  </si>
  <si>
    <t xml:space="preserve">https://www.inaturalist.org/observations/396088269</t>
  </si>
  <si>
    <t xml:space="preserve">GECKO 2737</t>
  </si>
  <si>
    <t xml:space="preserve">https://www.inaturalist.org/observations/372403244</t>
  </si>
  <si>
    <t xml:space="preserve">GECKO 2738</t>
  </si>
  <si>
    <t xml:space="preserve">https://www.inaturalist.org/observations/370015899</t>
  </si>
  <si>
    <t xml:space="preserve">GECKO 2739</t>
  </si>
  <si>
    <t xml:space="preserve">https://www.inaturalist.org/observations/333785328</t>
  </si>
  <si>
    <t xml:space="preserve">GECKO 2740</t>
  </si>
  <si>
    <t xml:space="preserve">https://www.inaturalist.org/observations/327220436</t>
  </si>
  <si>
    <t xml:space="preserve">GECKO 2741</t>
  </si>
  <si>
    <t xml:space="preserve">https://www.inaturalist.org/observations/321353828</t>
  </si>
  <si>
    <t xml:space="preserve">GECKO 2742</t>
  </si>
  <si>
    <t xml:space="preserve">will_loveridge99</t>
  </si>
  <si>
    <t xml:space="preserve">https://www.inaturalist.org/observations/320071799</t>
  </si>
  <si>
    <t xml:space="preserve">GECKO 2743</t>
  </si>
  <si>
    <t xml:space="preserve">GECKO 2744</t>
  </si>
  <si>
    <t xml:space="preserve">https://www.inaturalist.org/observations/294539279</t>
  </si>
  <si>
    <t xml:space="preserve">GECKO 2745</t>
  </si>
  <si>
    <t xml:space="preserve">https://www.inaturalist.org/observations/252493048</t>
  </si>
  <si>
    <t xml:space="preserve">GECKO 2746</t>
  </si>
  <si>
    <t xml:space="preserve">https://www.inaturalist.org/observations/166401684</t>
  </si>
  <si>
    <t xml:space="preserve">GECKO 2747</t>
  </si>
  <si>
    <t xml:space="preserve">https://www.inaturalist.org/observations/152391714</t>
  </si>
  <si>
    <t xml:space="preserve">GECKO 2748</t>
  </si>
  <si>
    <t xml:space="preserve">allira89</t>
  </si>
  <si>
    <t xml:space="preserve">https://www.inaturalist.org/observations/108574715</t>
  </si>
  <si>
    <t xml:space="preserve">GECKO 2749</t>
  </si>
  <si>
    <t xml:space="preserve">koality_content</t>
  </si>
  <si>
    <t xml:space="preserve">https://www.inaturalist.org/observations/107755720</t>
  </si>
  <si>
    <t xml:space="preserve">GECKO 2750</t>
  </si>
  <si>
    <t xml:space="preserve">nhaass</t>
  </si>
  <si>
    <t xml:space="preserve">https://www.inaturalist.org/observations/105594541</t>
  </si>
  <si>
    <t xml:space="preserve">GECKO 2751</t>
  </si>
  <si>
    <t xml:space="preserve">https://www.inaturalist.org/observations/101167185</t>
  </si>
  <si>
    <t xml:space="preserve">GECKO 2752</t>
  </si>
  <si>
    <t xml:space="preserve">https://www.inaturalist.org/observations/100224461</t>
  </si>
  <si>
    <t xml:space="preserve">GECKO 2753</t>
  </si>
  <si>
    <t xml:space="preserve">https://www.inaturalist.org/observations/67178649</t>
  </si>
  <si>
    <t xml:space="preserve">GECKO 2754</t>
  </si>
  <si>
    <t xml:space="preserve">sarlou85</t>
  </si>
  <si>
    <t xml:space="preserve">https://www.inaturalist.org/observations/38749700</t>
  </si>
  <si>
    <t xml:space="preserve">GECKO 2755</t>
  </si>
  <si>
    <t xml:space="preserve">pratty90</t>
  </si>
  <si>
    <t xml:space="preserve">https://www.inaturalist.org/observations/34953379</t>
  </si>
  <si>
    <t xml:space="preserve">GECKO 2756</t>
  </si>
  <si>
    <t xml:space="preserve">Pygopus nigriceps</t>
  </si>
  <si>
    <t xml:space="preserve">kazeedee</t>
  </si>
  <si>
    <t xml:space="preserve">https://www.inaturalist.org/observations/399524167</t>
  </si>
  <si>
    <t xml:space="preserve">GECKO 2757</t>
  </si>
  <si>
    <t xml:space="preserve">GECKO 2758</t>
  </si>
  <si>
    <t xml:space="preserve">https://www.inaturalist.org/observations/397794678</t>
  </si>
  <si>
    <t xml:space="preserve">GECKO 2759</t>
  </si>
  <si>
    <t xml:space="preserve">mulgamaid</t>
  </si>
  <si>
    <t xml:space="preserve">https://www.inaturalist.org/observations/389872554</t>
  </si>
  <si>
    <t xml:space="preserve">GECKO 2760</t>
  </si>
  <si>
    <t xml:space="preserve">https://www.inaturalist.org/observations/389872504</t>
  </si>
  <si>
    <t xml:space="preserve">GECKO 2761</t>
  </si>
  <si>
    <t xml:space="preserve">https://www.inaturalist.org/observations/389872427</t>
  </si>
  <si>
    <t xml:space="preserve">GECKO 2762</t>
  </si>
  <si>
    <t xml:space="preserve">kezzagilby</t>
  </si>
  <si>
    <t xml:space="preserve">https://www.inaturalist.org/observations/379304726</t>
  </si>
  <si>
    <t xml:space="preserve">GECKO 2763</t>
  </si>
  <si>
    <t xml:space="preserve">christine0510</t>
  </si>
  <si>
    <t xml:space="preserve">https://www.inaturalist.org/observations/373937734</t>
  </si>
  <si>
    <t xml:space="preserve">GECKO 2764</t>
  </si>
  <si>
    <t xml:space="preserve">geodyssian</t>
  </si>
  <si>
    <t xml:space="preserve">https://www.inaturalist.org/observations/369156312</t>
  </si>
  <si>
    <t xml:space="preserve">GECKO 2765</t>
  </si>
  <si>
    <t xml:space="preserve">GECKO 2766</t>
  </si>
  <si>
    <t xml:space="preserve">dog-tits</t>
  </si>
  <si>
    <t xml:space="preserve">https://www.inaturalist.org/observations/366944265</t>
  </si>
  <si>
    <t xml:space="preserve">GECKO 2767</t>
  </si>
  <si>
    <t xml:space="preserve">https://www.inaturalist.org/observations/348281541</t>
  </si>
  <si>
    <t xml:space="preserve">GECKO 2768</t>
  </si>
  <si>
    <t xml:space="preserve">GECKO 2769</t>
  </si>
  <si>
    <t xml:space="preserve">kurtis_w</t>
  </si>
  <si>
    <t xml:space="preserve">https://www.inaturalist.org/observations/347687141</t>
  </si>
  <si>
    <t xml:space="preserve">GECKO 2770</t>
  </si>
  <si>
    <t xml:space="preserve">https://www.inaturalist.org/observations/346249016</t>
  </si>
  <si>
    <t xml:space="preserve">GECKO 2771</t>
  </si>
  <si>
    <t xml:space="preserve">https://www.inaturalist.org/observations/345461653</t>
  </si>
  <si>
    <t xml:space="preserve">GECKO 2772</t>
  </si>
  <si>
    <t xml:space="preserve">https://www.inaturalist.org/observations/343465762</t>
  </si>
  <si>
    <t xml:space="preserve">GECKO 2773</t>
  </si>
  <si>
    <t xml:space="preserve">jaysond</t>
  </si>
  <si>
    <t xml:space="preserve">https://www.inaturalist.org/observations/340744138</t>
  </si>
  <si>
    <t xml:space="preserve">GECKO 2774</t>
  </si>
  <si>
    <t xml:space="preserve">bushblood</t>
  </si>
  <si>
    <t xml:space="preserve">https://www.inaturalist.org/observations/339693939</t>
  </si>
  <si>
    <t xml:space="preserve">GECKO 2775</t>
  </si>
  <si>
    <t xml:space="preserve">https://www.inaturalist.org/observations/338842958</t>
  </si>
  <si>
    <t xml:space="preserve">GECKO 2776</t>
  </si>
  <si>
    <t xml:space="preserve">jonahwilts</t>
  </si>
  <si>
    <t xml:space="preserve">https://www.inaturalist.org/observations/336420164</t>
  </si>
  <si>
    <t xml:space="preserve">GECKO 2777</t>
  </si>
  <si>
    <t xml:space="preserve">jameskennerley</t>
  </si>
  <si>
    <t xml:space="preserve">https://www.inaturalist.org/observations/334271258</t>
  </si>
  <si>
    <t xml:space="preserve">GECKO 2778</t>
  </si>
  <si>
    <t xml:space="preserve">aliciapace</t>
  </si>
  <si>
    <t xml:space="preserve">https://www.inaturalist.org/observations/330287872</t>
  </si>
  <si>
    <t xml:space="preserve">GECKO 2779</t>
  </si>
  <si>
    <t xml:space="preserve">https://www.inaturalist.org/observations/329128941</t>
  </si>
  <si>
    <t xml:space="preserve">GECKO 2780</t>
  </si>
  <si>
    <t xml:space="preserve">https://www.inaturalist.org/observations/328588705</t>
  </si>
  <si>
    <t xml:space="preserve">GECKO 2781</t>
  </si>
  <si>
    <t xml:space="preserve">https://www.inaturalist.org/observations/327466894</t>
  </si>
  <si>
    <t xml:space="preserve">GECKO 2782</t>
  </si>
  <si>
    <t xml:space="preserve">https://www.inaturalist.org/observations/327466872</t>
  </si>
  <si>
    <t xml:space="preserve">GECKO 2783</t>
  </si>
  <si>
    <t xml:space="preserve">https://www.inaturalist.org/observations/327351653</t>
  </si>
  <si>
    <t xml:space="preserve">GECKO 2784</t>
  </si>
  <si>
    <t xml:space="preserve">maxi-t_152637</t>
  </si>
  <si>
    <t xml:space="preserve">https://www.inaturalist.org/observations/327235147</t>
  </si>
  <si>
    <t xml:space="preserve">GECKO 2785</t>
  </si>
  <si>
    <t xml:space="preserve">mattcampbellaus</t>
  </si>
  <si>
    <t xml:space="preserve">https://www.inaturalist.org/observations/327040112</t>
  </si>
  <si>
    <t xml:space="preserve">GECKO 2786</t>
  </si>
  <si>
    <t xml:space="preserve">https://www.inaturalist.org/observations/324244598</t>
  </si>
  <si>
    <t xml:space="preserve">GECKO 2787</t>
  </si>
  <si>
    <t xml:space="preserve">https://www.inaturalist.org/observations/324244584</t>
  </si>
  <si>
    <t xml:space="preserve">GECKO 2788</t>
  </si>
  <si>
    <t xml:space="preserve">thijsgudden</t>
  </si>
  <si>
    <t xml:space="preserve">https://www.inaturalist.org/observations/322402419</t>
  </si>
  <si>
    <t xml:space="preserve">GECKO 2789</t>
  </si>
  <si>
    <t xml:space="preserve">https://www.inaturalist.org/observations/321815721</t>
  </si>
  <si>
    <t xml:space="preserve">GECKO 2790</t>
  </si>
  <si>
    <t xml:space="preserve">urbanreptileremoval</t>
  </si>
  <si>
    <t xml:space="preserve">https://www.inaturalist.org/observations/312641220</t>
  </si>
  <si>
    <t xml:space="preserve">GECKO 2791</t>
  </si>
  <si>
    <t xml:space="preserve">court_rae</t>
  </si>
  <si>
    <t xml:space="preserve">https://www.inaturalist.org/observations/302967788</t>
  </si>
  <si>
    <t xml:space="preserve">GECKO 2792</t>
  </si>
  <si>
    <t xml:space="preserve">https://www.inaturalist.org/observations/302967467</t>
  </si>
  <si>
    <t xml:space="preserve">GECKO 2793</t>
  </si>
  <si>
    <t xml:space="preserve">https://www.inaturalist.org/observations/301705714</t>
  </si>
  <si>
    <t xml:space="preserve">GECKO 2794</t>
  </si>
  <si>
    <t xml:space="preserve">https://www.inaturalist.org/observations/285562892</t>
  </si>
  <si>
    <t xml:space="preserve">GECKO 2795</t>
  </si>
  <si>
    <t xml:space="preserve">bluejay11</t>
  </si>
  <si>
    <t xml:space="preserve">https://www.inaturalist.org/observations/281482348</t>
  </si>
  <si>
    <t xml:space="preserve">GECKO 2796</t>
  </si>
  <si>
    <t xml:space="preserve">https://www.inaturalist.org/observations/277593456</t>
  </si>
  <si>
    <t xml:space="preserve">GECKO 2797</t>
  </si>
  <si>
    <t xml:space="preserve">https://www.inaturalist.org/observations/265349921</t>
  </si>
  <si>
    <t xml:space="preserve">GECKO 2798</t>
  </si>
  <si>
    <t xml:space="preserve">https://www.inaturalist.org/observations/264910769</t>
  </si>
  <si>
    <t xml:space="preserve">GECKO 2799</t>
  </si>
  <si>
    <t xml:space="preserve">https://www.inaturalist.org/observations/263129196</t>
  </si>
  <si>
    <t xml:space="preserve">GECKO 2800</t>
  </si>
  <si>
    <t xml:space="preserve">https://www.inaturalist.org/observations/262700257</t>
  </si>
  <si>
    <t xml:space="preserve">GECKO 2801</t>
  </si>
  <si>
    <t xml:space="preserve">t_sheehan</t>
  </si>
  <si>
    <t xml:space="preserve">https://www.inaturalist.org/observations/260155774</t>
  </si>
  <si>
    <t xml:space="preserve">GECKO 2802</t>
  </si>
  <si>
    <t xml:space="preserve">rhytiphora</t>
  </si>
  <si>
    <t xml:space="preserve">https://www.inaturalist.org/observations/258017893</t>
  </si>
  <si>
    <t xml:space="preserve">GECKO 2803</t>
  </si>
  <si>
    <t xml:space="preserve">GECKO 2804</t>
  </si>
  <si>
    <t xml:space="preserve">https://www.inaturalist.org/observations/257285639</t>
  </si>
  <si>
    <t xml:space="preserve">GECKO 2805</t>
  </si>
  <si>
    <t xml:space="preserve">jdolphinphoto</t>
  </si>
  <si>
    <t xml:space="preserve">https://www.inaturalist.org/observations/257013544</t>
  </si>
  <si>
    <t xml:space="preserve">GECKO 2806</t>
  </si>
  <si>
    <t xml:space="preserve">naturegirlkh</t>
  </si>
  <si>
    <t xml:space="preserve">https://www.inaturalist.org/observations/256900465</t>
  </si>
  <si>
    <t xml:space="preserve">GECKO 2807</t>
  </si>
  <si>
    <t xml:space="preserve">https://www.inaturalist.org/observations/256896017</t>
  </si>
  <si>
    <t xml:space="preserve">GECKO 2808</t>
  </si>
  <si>
    <t xml:space="preserve">https://www.inaturalist.org/observations/256764941</t>
  </si>
  <si>
    <t xml:space="preserve">GECKO 2809</t>
  </si>
  <si>
    <t xml:space="preserve">tiaberro</t>
  </si>
  <si>
    <t xml:space="preserve">https://www.inaturalist.org/observations/255654416</t>
  </si>
  <si>
    <t xml:space="preserve">GECKO 2810</t>
  </si>
  <si>
    <t xml:space="preserve">https://www.inaturalist.org/observations/255282339</t>
  </si>
  <si>
    <t xml:space="preserve">GECKO 2811</t>
  </si>
  <si>
    <t xml:space="preserve">https://www.inaturalist.org/observations/255063250</t>
  </si>
  <si>
    <t xml:space="preserve">GECKO 2812</t>
  </si>
  <si>
    <t xml:space="preserve">https://www.inaturalist.org/observations/253142682</t>
  </si>
  <si>
    <t xml:space="preserve">GECKO 2813</t>
  </si>
  <si>
    <t xml:space="preserve">https://www.inaturalist.org/observations/252561193</t>
  </si>
  <si>
    <t xml:space="preserve">GECKO 2814</t>
  </si>
  <si>
    <t xml:space="preserve">jarah</t>
  </si>
  <si>
    <t xml:space="preserve">https://www.inaturalist.org/observations/251972845</t>
  </si>
  <si>
    <t xml:space="preserve">GECKO 2815</t>
  </si>
  <si>
    <t xml:space="preserve">mywildbackyard</t>
  </si>
  <si>
    <t xml:space="preserve">https://www.inaturalist.org/observations/251377723</t>
  </si>
  <si>
    <t xml:space="preserve">GECKO 2816</t>
  </si>
  <si>
    <t xml:space="preserve">dartagnan1</t>
  </si>
  <si>
    <t xml:space="preserve">https://www.inaturalist.org/observations/249942790</t>
  </si>
  <si>
    <t xml:space="preserve">GECKO 2817</t>
  </si>
  <si>
    <t xml:space="preserve">lezanimaux</t>
  </si>
  <si>
    <t xml:space="preserve">https://www.inaturalist.org/observations/246767352</t>
  </si>
  <si>
    <t xml:space="preserve">GECKO 2818</t>
  </si>
  <si>
    <t xml:space="preserve">https://www.inaturalist.org/observations/245698821</t>
  </si>
  <si>
    <t xml:space="preserve">GECKO 2819</t>
  </si>
  <si>
    <t xml:space="preserve">https://www.inaturalist.org/observations/245679587</t>
  </si>
  <si>
    <t xml:space="preserve">GECKO 2820</t>
  </si>
  <si>
    <t xml:space="preserve">GECKO 2821</t>
  </si>
  <si>
    <t xml:space="preserve">Aprasia parapulchella</t>
  </si>
  <si>
    <t xml:space="preserve">https://www.inaturalist.org/observations/394631379</t>
  </si>
  <si>
    <t xml:space="preserve">GECKO 2822</t>
  </si>
  <si>
    <t xml:space="preserve">GECKO 2823</t>
  </si>
  <si>
    <t xml:space="preserve">susannew7</t>
  </si>
  <si>
    <t xml:space="preserve">https://www.inaturalist.org/observations/391716515</t>
  </si>
  <si>
    <t xml:space="preserve">GECKO 2824</t>
  </si>
  <si>
    <t xml:space="preserve">tracee01</t>
  </si>
  <si>
    <t xml:space="preserve">https://www.inaturalist.org/observations/367350899</t>
  </si>
  <si>
    <t xml:space="preserve">GECKO 2825</t>
  </si>
  <si>
    <t xml:space="preserve">https://www.inaturalist.org/observations/366971983</t>
  </si>
  <si>
    <t xml:space="preserve">GECKO 2826</t>
  </si>
  <si>
    <t xml:space="preserve">https://www.inaturalist.org/observations/328840918</t>
  </si>
  <si>
    <t xml:space="preserve">GECKO 2827</t>
  </si>
  <si>
    <t xml:space="preserve">https://www.inaturalist.org/observations/307479318</t>
  </si>
  <si>
    <t xml:space="preserve">GECKO 2828</t>
  </si>
  <si>
    <t xml:space="preserve">https://www.inaturalist.org/observations/307467214</t>
  </si>
  <si>
    <t xml:space="preserve">GECKO 2829</t>
  </si>
  <si>
    <t xml:space="preserve">GECKO 2830</t>
  </si>
  <si>
    <t xml:space="preserve">fraserasquith</t>
  </si>
  <si>
    <t xml:space="preserve">https://www.inaturalist.org/observations/271345761</t>
  </si>
  <si>
    <t xml:space="preserve">GECKO 2831</t>
  </si>
  <si>
    <t xml:space="preserve">https://www.inaturalist.org/observations/269059652</t>
  </si>
  <si>
    <t xml:space="preserve">GECKO 2832</t>
  </si>
  <si>
    <t xml:space="preserve">https://www.inaturalist.org/observations/254049526</t>
  </si>
  <si>
    <t xml:space="preserve">GECKO 2833</t>
  </si>
  <si>
    <t xml:space="preserve">https://www.inaturalist.org/observations/237579026</t>
  </si>
  <si>
    <t xml:space="preserve">GECKO 2834</t>
  </si>
  <si>
    <t xml:space="preserve">brittgregory</t>
  </si>
  <si>
    <t xml:space="preserve">https://www.inaturalist.org/observations/235839311</t>
  </si>
  <si>
    <t xml:space="preserve">GECKO 2835</t>
  </si>
  <si>
    <t xml:space="preserve">GECKO 2836</t>
  </si>
  <si>
    <t xml:space="preserve">https://www.inaturalist.org/observations/191670423</t>
  </si>
  <si>
    <t xml:space="preserve">GECKO 2837</t>
  </si>
  <si>
    <t xml:space="preserve">ktucky</t>
  </si>
  <si>
    <t xml:space="preserve">https://www.inaturalist.org/observations/191650728</t>
  </si>
  <si>
    <t xml:space="preserve">GECKO 2838</t>
  </si>
  <si>
    <t xml:space="preserve">johneichler</t>
  </si>
  <si>
    <t xml:space="preserve">https://www.inaturalist.org/observations/190450921</t>
  </si>
  <si>
    <t xml:space="preserve">GECKO 2839</t>
  </si>
  <si>
    <t xml:space="preserve">dorcustitanus</t>
  </si>
  <si>
    <t xml:space="preserve">https://www.inaturalist.org/observations/190041335</t>
  </si>
  <si>
    <t xml:space="preserve">GECKO 2840</t>
  </si>
  <si>
    <t xml:space="preserve">https://www.inaturalist.org/observations/144717588</t>
  </si>
  <si>
    <t xml:space="preserve">GECKO 2841</t>
  </si>
  <si>
    <t xml:space="preserve">sho_</t>
  </si>
  <si>
    <t xml:space="preserve">https://www.inaturalist.org/observations/139290607</t>
  </si>
  <si>
    <t xml:space="preserve">GECKO 2842</t>
  </si>
  <si>
    <t xml:space="preserve">bio329</t>
  </si>
  <si>
    <t xml:space="preserve">https://www.inaturalist.org/observations/124342483</t>
  </si>
  <si>
    <t xml:space="preserve">GECKO 2843</t>
  </si>
  <si>
    <t xml:space="preserve">https://www.inaturalist.org/observations/91202965</t>
  </si>
  <si>
    <t xml:space="preserve">GECKO 2844</t>
  </si>
  <si>
    <t xml:space="preserve">dancg</t>
  </si>
  <si>
    <t xml:space="preserve">https://www.inaturalist.org/observations/75015253</t>
  </si>
  <si>
    <t xml:space="preserve">GECKO 2845</t>
  </si>
  <si>
    <t xml:space="preserve">https://www.inaturalist.org/observations/46070718</t>
  </si>
  <si>
    <t xml:space="preserve">GECKO 2846</t>
  </si>
  <si>
    <t xml:space="preserve">wandiyali</t>
  </si>
  <si>
    <t xml:space="preserve">https://www.inaturalist.org/observations/35876137</t>
  </si>
  <si>
    <t xml:space="preserve">GECKO 2847</t>
  </si>
  <si>
    <t xml:space="preserve">rossco</t>
  </si>
  <si>
    <t xml:space="preserve">https://www.inaturalist.org/observations/19183038</t>
  </si>
  <si>
    <t xml:space="preserve">GECKO 2848</t>
  </si>
  <si>
    <t xml:space="preserve">https://www.inaturalist.org/observations/35875895</t>
  </si>
  <si>
    <t xml:space="preserve">GECKO 2849</t>
  </si>
  <si>
    <t xml:space="preserve">amvincent92</t>
  </si>
  <si>
    <t xml:space="preserve">https://www.inaturalist.org/observations/18667522</t>
  </si>
  <si>
    <t xml:space="preserve">GECKO 2850</t>
  </si>
  <si>
    <t xml:space="preserve">Aprasia inaurita</t>
  </si>
  <si>
    <t xml:space="preserve">https://www.inaturalist.org/observations/395471806</t>
  </si>
  <si>
    <t xml:space="preserve">GECKO 2851</t>
  </si>
  <si>
    <t xml:space="preserve">https://www.inaturalist.org/observations/361970649</t>
  </si>
  <si>
    <t xml:space="preserve">GECKO 2852</t>
  </si>
  <si>
    <t xml:space="preserve">https://www.inaturalist.org/observations/334193889</t>
  </si>
  <si>
    <t xml:space="preserve">GECKO 2853</t>
  </si>
  <si>
    <t xml:space="preserve">GECKO 2854</t>
  </si>
  <si>
    <t xml:space="preserve">leah_donnelly</t>
  </si>
  <si>
    <t xml:space="preserve">https://www.inaturalist.org/observations/320030541</t>
  </si>
  <si>
    <t xml:space="preserve">GECKO 2855</t>
  </si>
  <si>
    <t xml:space="preserve">they_ctenot_like_us</t>
  </si>
  <si>
    <t xml:space="preserve">https://www.inaturalist.org/observations/314058463</t>
  </si>
  <si>
    <t xml:space="preserve">GECKO 2856</t>
  </si>
  <si>
    <t xml:space="preserve">charliesonn</t>
  </si>
  <si>
    <t xml:space="preserve">https://www.inaturalist.org/observations/278392932</t>
  </si>
  <si>
    <t xml:space="preserve">GECKO 2857</t>
  </si>
  <si>
    <t xml:space="preserve">https://www.inaturalist.org/observations/191670422</t>
  </si>
  <si>
    <t xml:space="preserve">GECKO 2858</t>
  </si>
  <si>
    <t xml:space="preserve">kstenman</t>
  </si>
  <si>
    <t xml:space="preserve">https://www.inaturalist.org/observations/185789792</t>
  </si>
  <si>
    <t xml:space="preserve">GECKO 2859</t>
  </si>
  <si>
    <t xml:space="preserve">GECKO 2860</t>
  </si>
  <si>
    <t xml:space="preserve">https://www.inaturalist.org/observations/183446782</t>
  </si>
  <si>
    <t xml:space="preserve">GECKO 2861</t>
  </si>
  <si>
    <t xml:space="preserve">aidan_jk</t>
  </si>
  <si>
    <t xml:space="preserve">https://www.inaturalist.org/observations/111495418</t>
  </si>
  <si>
    <t xml:space="preserve">GECKO 2862</t>
  </si>
  <si>
    <t xml:space="preserve">https://www.inaturalist.org/observations/52119673</t>
  </si>
  <si>
    <t xml:space="preserve">GECKO 2863</t>
  </si>
  <si>
    <t xml:space="preserve">dudz</t>
  </si>
  <si>
    <t xml:space="preserve">https://www.inaturalist.org/observations/41878368</t>
  </si>
  <si>
    <t xml:space="preserve">GECKO 2864</t>
  </si>
  <si>
    <t xml:space="preserve">Delma molleri</t>
  </si>
  <si>
    <t xml:space="preserve">olli_hallam</t>
  </si>
  <si>
    <t xml:space="preserve">https://www.inaturalist.org/observations/351636612</t>
  </si>
  <si>
    <t xml:space="preserve">GECKO 2865</t>
  </si>
  <si>
    <t xml:space="preserve">siennahow</t>
  </si>
  <si>
    <t xml:space="preserve">https://www.inaturalist.org/observations/351635693</t>
  </si>
  <si>
    <t xml:space="preserve">GECKO 2866</t>
  </si>
  <si>
    <t xml:space="preserve">tc01</t>
  </si>
  <si>
    <t xml:space="preserve">https://www.inaturalist.org/observations/330205869</t>
  </si>
  <si>
    <t xml:space="preserve">GECKO 2867</t>
  </si>
  <si>
    <t xml:space="preserve">https://www.inaturalist.org/observations/329538018</t>
  </si>
  <si>
    <t xml:space="preserve">GECKO 2868</t>
  </si>
  <si>
    <t xml:space="preserve">https://www.inaturalist.org/observations/327214938</t>
  </si>
  <si>
    <t xml:space="preserve">GECKO 2869</t>
  </si>
  <si>
    <t xml:space="preserve">https://www.inaturalist.org/observations/327214906</t>
  </si>
  <si>
    <t xml:space="preserve">GECKO 2870</t>
  </si>
  <si>
    <t xml:space="preserve">https://www.inaturalist.org/observations/320046246</t>
  </si>
  <si>
    <t xml:space="preserve">GECKO 2871</t>
  </si>
  <si>
    <t xml:space="preserve">https://www.inaturalist.org/observations/316839348</t>
  </si>
  <si>
    <t xml:space="preserve">GECKO 2872</t>
  </si>
  <si>
    <t xml:space="preserve">lynchj</t>
  </si>
  <si>
    <t xml:space="preserve">https://www.inaturalist.org/observations/315394389</t>
  </si>
  <si>
    <t xml:space="preserve">GECKO 2873</t>
  </si>
  <si>
    <t xml:space="preserve">petebird</t>
  </si>
  <si>
    <t xml:space="preserve">https://www.inaturalist.org/observations/314231744</t>
  </si>
  <si>
    <t xml:space="preserve">GECKO 2874</t>
  </si>
  <si>
    <t xml:space="preserve">https://www.inaturalist.org/observations/314474592</t>
  </si>
  <si>
    <t xml:space="preserve">GECKO 2875</t>
  </si>
  <si>
    <t xml:space="preserve">https://www.inaturalist.org/observations/314486494</t>
  </si>
  <si>
    <t xml:space="preserve">GECKO 2876</t>
  </si>
  <si>
    <t xml:space="preserve">emersoncastle</t>
  </si>
  <si>
    <t xml:space="preserve">https://www.inaturalist.org/observations/313827470</t>
  </si>
  <si>
    <t xml:space="preserve">GECKO 2877</t>
  </si>
  <si>
    <t xml:space="preserve">bugbirder</t>
  </si>
  <si>
    <t xml:space="preserve">https://www.inaturalist.org/observations/308582596</t>
  </si>
  <si>
    <t xml:space="preserve">GECKO 2878</t>
  </si>
  <si>
    <t xml:space="preserve">https://www.inaturalist.org/observations/308581227</t>
  </si>
  <si>
    <t xml:space="preserve">GECKO 2879</t>
  </si>
  <si>
    <t xml:space="preserve">https://www.inaturalist.org/observations/308136791</t>
  </si>
  <si>
    <t xml:space="preserve">GECKO 2880</t>
  </si>
  <si>
    <t xml:space="preserve">https://www.inaturalist.org/observations/308136712</t>
  </si>
  <si>
    <t xml:space="preserve">GECKO 2881</t>
  </si>
  <si>
    <t xml:space="preserve">https://www.inaturalist.org/observations/249849723</t>
  </si>
  <si>
    <t xml:space="preserve">GECKO 2882</t>
  </si>
  <si>
    <t xml:space="preserve">https://www.inaturalist.org/observations/249849722</t>
  </si>
  <si>
    <t xml:space="preserve">GECKO 2883</t>
  </si>
  <si>
    <t xml:space="preserve">https://www.inaturalist.org/observations/249847977</t>
  </si>
  <si>
    <t xml:space="preserve">GECKO 2884</t>
  </si>
  <si>
    <t xml:space="preserve">https://www.inaturalist.org/observations/249847945</t>
  </si>
  <si>
    <t xml:space="preserve">GECKO 2885</t>
  </si>
  <si>
    <t xml:space="preserve">https://www.inaturalist.org/observations/249846754</t>
  </si>
  <si>
    <t xml:space="preserve">GECKO 2886</t>
  </si>
  <si>
    <t xml:space="preserve">https://www.inaturalist.org/observations/243525124</t>
  </si>
  <si>
    <t xml:space="preserve">GECKO 2887</t>
  </si>
  <si>
    <t xml:space="preserve">harrisonhards8</t>
  </si>
  <si>
    <t xml:space="preserve">https://www.inaturalist.org/observations/243037156</t>
  </si>
  <si>
    <t xml:space="preserve">GECKO 2888</t>
  </si>
  <si>
    <t xml:space="preserve">https://www.inaturalist.org/observations/243037060</t>
  </si>
  <si>
    <t xml:space="preserve">GECKO 2889</t>
  </si>
  <si>
    <t xml:space="preserve">https://www.inaturalist.org/observations/243036925</t>
  </si>
  <si>
    <t xml:space="preserve">GECKO 2890</t>
  </si>
  <si>
    <t xml:space="preserve">sebas00</t>
  </si>
  <si>
    <t xml:space="preserve">https://www.inaturalist.org/observations/397341160</t>
  </si>
  <si>
    <t xml:space="preserve">GECKO 2891</t>
  </si>
  <si>
    <t xml:space="preserve">Pygopus lepidopodus</t>
  </si>
  <si>
    <t xml:space="preserve">hanslambers</t>
  </si>
  <si>
    <t xml:space="preserve">https://www.inaturalist.org/observations/400306448</t>
  </si>
  <si>
    <t xml:space="preserve">GECKO 2892</t>
  </si>
  <si>
    <t xml:space="preserve">keenasfish</t>
  </si>
  <si>
    <t xml:space="preserve">https://www.inaturalist.org/observations/399817365</t>
  </si>
  <si>
    <t xml:space="preserve">GECKO 2893</t>
  </si>
  <si>
    <t xml:space="preserve">npk</t>
  </si>
  <si>
    <t xml:space="preserve">https://www.inaturalist.org/observations/399776129</t>
  </si>
  <si>
    <t xml:space="preserve">GECKO 2894</t>
  </si>
  <si>
    <t xml:space="preserve">beachcomber23</t>
  </si>
  <si>
    <t xml:space="preserve">https://www.inaturalist.org/observations/398640536</t>
  </si>
  <si>
    <t xml:space="preserve">GECKO 2895</t>
  </si>
  <si>
    <t xml:space="preserve">https://www.inaturalist.org/observations/398350148</t>
  </si>
  <si>
    <t xml:space="preserve">GECKO 2896</t>
  </si>
  <si>
    <t xml:space="preserve">matt_hue_man</t>
  </si>
  <si>
    <t xml:space="preserve">https://www.inaturalist.org/observations/398209921</t>
  </si>
  <si>
    <t xml:space="preserve">GECKO 2897</t>
  </si>
  <si>
    <t xml:space="preserve">https://www.inaturalist.org/observations/397731947</t>
  </si>
  <si>
    <t xml:space="preserve">GECKO 2898</t>
  </si>
  <si>
    <t xml:space="preserve">https://www.inaturalist.org/observations/394563340</t>
  </si>
  <si>
    <t xml:space="preserve">GECKO 2899</t>
  </si>
  <si>
    <t xml:space="preserve">creatmatt</t>
  </si>
  <si>
    <t xml:space="preserve">https://www.inaturalist.org/observations/394289320</t>
  </si>
  <si>
    <t xml:space="preserve">GECKO 2900</t>
  </si>
  <si>
    <t xml:space="preserve">leoniec1965</t>
  </si>
  <si>
    <t xml:space="preserve">https://www.inaturalist.org/observations/393445763</t>
  </si>
  <si>
    <t xml:space="preserve">GECKO 2901</t>
  </si>
  <si>
    <t xml:space="preserve">jolanalan</t>
  </si>
  <si>
    <t xml:space="preserve">https://www.inaturalist.org/observations/393389400</t>
  </si>
  <si>
    <t xml:space="preserve">GECKO 2902</t>
  </si>
  <si>
    <t xml:space="preserve">liezlbez</t>
  </si>
  <si>
    <t xml:space="preserve">https://www.inaturalist.org/observations/393160338</t>
  </si>
  <si>
    <t xml:space="preserve">GECKO 2903</t>
  </si>
  <si>
    <t xml:space="preserve">esspeeess</t>
  </si>
  <si>
    <t xml:space="preserve">https://www.inaturalist.org/observations/393137616</t>
  </si>
  <si>
    <t xml:space="preserve">GECKO 2904</t>
  </si>
  <si>
    <t xml:space="preserve">adam_cross03</t>
  </si>
  <si>
    <t xml:space="preserve">https://www.inaturalist.org/observations/392554555</t>
  </si>
  <si>
    <t xml:space="preserve">GECKO 2905</t>
  </si>
  <si>
    <t xml:space="preserve">https://www.inaturalist.org/observations/389658335</t>
  </si>
  <si>
    <t xml:space="preserve">GECKO 2906</t>
  </si>
  <si>
    <t xml:space="preserve">benwx</t>
  </si>
  <si>
    <t xml:space="preserve">https://www.inaturalist.org/observations/388933504</t>
  </si>
  <si>
    <t xml:space="preserve">GECKO 2907</t>
  </si>
  <si>
    <t xml:space="preserve">henrycarrick</t>
  </si>
  <si>
    <t xml:space="preserve">https://www.inaturalist.org/observations/388144768</t>
  </si>
  <si>
    <t xml:space="preserve">GECKO 2908</t>
  </si>
  <si>
    <t xml:space="preserve">rachel59021</t>
  </si>
  <si>
    <t xml:space="preserve">https://www.inaturalist.org/observations/384792333</t>
  </si>
  <si>
    <t xml:space="preserve">GECKO 2909</t>
  </si>
  <si>
    <t xml:space="preserve">taylor_fleming</t>
  </si>
  <si>
    <t xml:space="preserve">https://www.inaturalist.org/observations/384471480</t>
  </si>
  <si>
    <t xml:space="preserve">GECKO 2910</t>
  </si>
  <si>
    <t xml:space="preserve">https://www.inaturalist.org/observations/378934271</t>
  </si>
  <si>
    <t xml:space="preserve">GECKO 2911</t>
  </si>
  <si>
    <t xml:space="preserve">annecasson</t>
  </si>
  <si>
    <t xml:space="preserve">https://www.inaturalist.org/observations/369308050</t>
  </si>
  <si>
    <t xml:space="preserve">GECKO 2912</t>
  </si>
  <si>
    <t xml:space="preserve">https://www.inaturalist.org/observations/378914791</t>
  </si>
  <si>
    <t xml:space="preserve">GECKO 2913</t>
  </si>
  <si>
    <t xml:space="preserve">kris46866</t>
  </si>
  <si>
    <t xml:space="preserve">https://www.inaturalist.org/observations/369220080</t>
  </si>
  <si>
    <t xml:space="preserve">GECKO 2914</t>
  </si>
  <si>
    <t xml:space="preserve">https://www.inaturalist.org/observations/364398789</t>
  </si>
  <si>
    <t xml:space="preserve">GECKO 2915</t>
  </si>
  <si>
    <t xml:space="preserve">https://www.inaturalist.org/observations/363929482</t>
  </si>
  <si>
    <t xml:space="preserve">GECKO 2916</t>
  </si>
  <si>
    <t xml:space="preserve">Pygopus schraderi</t>
  </si>
  <si>
    <t xml:space="preserve">wyn_russell</t>
  </si>
  <si>
    <t xml:space="preserve">https://www.inaturalist.org/observations/337075483</t>
  </si>
  <si>
    <t xml:space="preserve">GECKO 2917</t>
  </si>
  <si>
    <t xml:space="preserve">https://www.inaturalist.org/observations/330943669</t>
  </si>
  <si>
    <t xml:space="preserve">GECKO 2918</t>
  </si>
  <si>
    <t xml:space="preserve">https://www.inaturalist.org/observations/249876815</t>
  </si>
  <si>
    <t xml:space="preserve">GECKO 2919</t>
  </si>
  <si>
    <t xml:space="preserve">https://www.inaturalist.org/observations/247390272</t>
  </si>
  <si>
    <t xml:space="preserve">GECKO 2920</t>
  </si>
  <si>
    <t xml:space="preserve">https://www.inaturalist.org/observations/194010250</t>
  </si>
  <si>
    <t xml:space="preserve">GECKO 2921</t>
  </si>
  <si>
    <t xml:space="preserve">https://www.inaturalist.org/observations/191711030</t>
  </si>
  <si>
    <t xml:space="preserve">GECKO 2922</t>
  </si>
  <si>
    <t xml:space="preserve">https://www.inaturalist.org/observations/105699228</t>
  </si>
  <si>
    <t xml:space="preserve">GECKO 2923</t>
  </si>
  <si>
    <t xml:space="preserve">GECKO 2924</t>
  </si>
  <si>
    <t xml:space="preserve">tim_nickholds</t>
  </si>
  <si>
    <t xml:space="preserve">https://www.inaturalist.org/observations/104094129</t>
  </si>
  <si>
    <t xml:space="preserve">GECKO 2925</t>
  </si>
  <si>
    <t xml:space="preserve">https://www.inaturalist.org/observations/104018534</t>
  </si>
  <si>
    <t xml:space="preserve">GECKO 2926</t>
  </si>
  <si>
    <t xml:space="preserve">https://www.inaturalist.org/observations/101166837</t>
  </si>
  <si>
    <t xml:space="preserve">GECKO 2927</t>
  </si>
  <si>
    <t xml:space="preserve">spixii</t>
  </si>
  <si>
    <t xml:space="preserve">https://www.inaturalist.org/observations/43028733</t>
  </si>
  <si>
    <t xml:space="preserve">GECKO 2928</t>
  </si>
  <si>
    <t xml:space="preserve">https://www.inaturalist.org/observations/36875679</t>
  </si>
  <si>
    <t xml:space="preserve">GECKO 2929</t>
  </si>
  <si>
    <t xml:space="preserve">https://www.inaturalist.org/observations/399829942</t>
  </si>
  <si>
    <t xml:space="preserve">GECKO 2930</t>
  </si>
  <si>
    <t xml:space="preserve">https://www.inaturalist.org/observations/386210300</t>
  </si>
  <si>
    <t xml:space="preserve">GECKO 2931</t>
  </si>
  <si>
    <t xml:space="preserve">https://www.inaturalist.org/observations/360543389</t>
  </si>
  <si>
    <t xml:space="preserve">GECKO 2932</t>
  </si>
  <si>
    <t xml:space="preserve">https://www.inaturalist.org/observations/361154849</t>
  </si>
  <si>
    <t xml:space="preserve">GECKO 2933</t>
  </si>
  <si>
    <t xml:space="preserve">da_slug</t>
  </si>
  <si>
    <t xml:space="preserve">https://www.inaturalist.org/observations/379530448</t>
  </si>
  <si>
    <t xml:space="preserve">GECKO 2934</t>
  </si>
  <si>
    <t xml:space="preserve">GECKO 2935</t>
  </si>
  <si>
    <t xml:space="preserve">https://www.inaturalist.org/observations/351424201</t>
  </si>
  <si>
    <t xml:space="preserve">GECKO 2936</t>
  </si>
  <si>
    <t xml:space="preserve">https://www.inaturalist.org/observations/342404091</t>
  </si>
  <si>
    <t xml:space="preserve">GECKO 2937</t>
  </si>
  <si>
    <t xml:space="preserve">https://www.inaturalist.org/observations/343956333</t>
  </si>
  <si>
    <t xml:space="preserve">GECKO 2938</t>
  </si>
  <si>
    <t xml:space="preserve">GECKO 2939</t>
  </si>
  <si>
    <t xml:space="preserve">Ophidiocephalus</t>
  </si>
  <si>
    <t xml:space="preserve">Ophidiocephalus taeniatus</t>
  </si>
  <si>
    <t xml:space="preserve">https://www.inaturalist.org/observations/251116839</t>
  </si>
  <si>
    <t xml:space="preserve">GECKO 2940</t>
  </si>
  <si>
    <t xml:space="preserve">https://www.inaturalist.org/observations/194568292</t>
  </si>
  <si>
    <t xml:space="preserve">Type</t>
  </si>
  <si>
    <t xml:space="preserve">FALSE 1</t>
  </si>
  <si>
    <t xml:space="preserve">Snakes and Serpents</t>
  </si>
  <si>
    <t xml:space="preserve">Storeria dekayi</t>
  </si>
  <si>
    <t xml:space="preserve">https://www.inaturalist.org/observations/383153633</t>
  </si>
  <si>
    <t xml:space="preserve">FALSE 2</t>
  </si>
  <si>
    <t xml:space="preserve">Nerodia sipedon</t>
  </si>
  <si>
    <t xml:space="preserve">https://www.inaturalist.org/observations/383150127</t>
  </si>
  <si>
    <t xml:space="preserve">FALSE 3</t>
  </si>
  <si>
    <t xml:space="preserve">Ahaetulla prasina</t>
  </si>
  <si>
    <t xml:space="preserve">https://www.inaturalist.org/observations/383148989</t>
  </si>
  <si>
    <t xml:space="preserve">FALSE 4</t>
  </si>
  <si>
    <t xml:space="preserve">Thamnophis elegans</t>
  </si>
  <si>
    <t xml:space="preserve">https://www.inaturalist.org/observations/383148674</t>
  </si>
  <si>
    <t xml:space="preserve">FALSE 5</t>
  </si>
  <si>
    <t xml:space="preserve">Lampropeltis holbrooki</t>
  </si>
  <si>
    <t xml:space="preserve">https://www.inaturalist.org/observations/383148198</t>
  </si>
  <si>
    <t xml:space="preserve">FALSE 6</t>
  </si>
  <si>
    <t xml:space="preserve">Storeria occipitomaculata</t>
  </si>
  <si>
    <t xml:space="preserve">https://www.inaturalist.org/observations/383144668</t>
  </si>
  <si>
    <t xml:space="preserve">FALSE 7</t>
  </si>
  <si>
    <t xml:space="preserve">Thamnophis radix</t>
  </si>
  <si>
    <t xml:space="preserve">https://www.inaturalist.org/observations/383141382</t>
  </si>
  <si>
    <t xml:space="preserve">FALSE 8</t>
  </si>
  <si>
    <t xml:space="preserve">Acanthophis wellsi</t>
  </si>
  <si>
    <t xml:space="preserve">https://www.inaturalist.org/observations/383141105</t>
  </si>
  <si>
    <t xml:space="preserve">FALSE 9</t>
  </si>
  <si>
    <t xml:space="preserve">Thamnophis sirtalis</t>
  </si>
  <si>
    <t xml:space="preserve">https://www.inaturalist.org/observations/383137424</t>
  </si>
  <si>
    <t xml:space="preserve">FALSE 10</t>
  </si>
  <si>
    <t xml:space="preserve">Crotalus horridus</t>
  </si>
  <si>
    <t xml:space="preserve">https://www.inaturalist.org/observations/383136697</t>
  </si>
  <si>
    <t xml:space="preserve">FALSE 11</t>
  </si>
  <si>
    <t xml:space="preserve">Pituophis catenifer</t>
  </si>
  <si>
    <t xml:space="preserve">https://www.inaturalist.org/observations/383126912</t>
  </si>
  <si>
    <t xml:space="preserve">FALSE 12</t>
  </si>
  <si>
    <t xml:space="preserve">Coluber constrictor</t>
  </si>
  <si>
    <t xml:space="preserve">https://www.inaturalist.org/observations/383126472</t>
  </si>
  <si>
    <t xml:space="preserve">FALSE 13</t>
  </si>
  <si>
    <t xml:space="preserve">Lampropeltis getula</t>
  </si>
  <si>
    <t xml:space="preserve">https://www.inaturalist.org/observations/383123000</t>
  </si>
  <si>
    <t xml:space="preserve">FALSE 14</t>
  </si>
  <si>
    <t xml:space="preserve">Crotalus lepidus</t>
  </si>
  <si>
    <t xml:space="preserve">https://www.inaturalist.org/observations/383122603</t>
  </si>
  <si>
    <t xml:space="preserve">FALSE 15</t>
  </si>
  <si>
    <t xml:space="preserve">Crotalus willardi willardi</t>
  </si>
  <si>
    <t xml:space="preserve">https://www.inaturalist.org/observations/383122028</t>
  </si>
  <si>
    <t xml:space="preserve">FALSE 16</t>
  </si>
  <si>
    <t xml:space="preserve">Crotalus ornatus</t>
  </si>
  <si>
    <t xml:space="preserve">https://www.inaturalist.org/observations/383122000</t>
  </si>
  <si>
    <t xml:space="preserve">FALSE 17</t>
  </si>
  <si>
    <t xml:space="preserve">Nerodia sipedon sipedon</t>
  </si>
  <si>
    <t xml:space="preserve">https://www.inaturalist.org/observations/383121220</t>
  </si>
  <si>
    <t xml:space="preserve">FALSE 18</t>
  </si>
  <si>
    <t xml:space="preserve">Coluber constrictor constrictor</t>
  </si>
  <si>
    <t xml:space="preserve">https://www.inaturalist.org/observations/383120974</t>
  </si>
  <si>
    <t xml:space="preserve">FALSE 19</t>
  </si>
  <si>
    <t xml:space="preserve">Crotalus atrox</t>
  </si>
  <si>
    <t xml:space="preserve">https://www.inaturalist.org/observations/383119068</t>
  </si>
  <si>
    <t xml:space="preserve">FALSE 20</t>
  </si>
  <si>
    <t xml:space="preserve">Crotalus pyrrhus</t>
  </si>
  <si>
    <t xml:space="preserve">https://www.inaturalist.org/observations/383116621</t>
  </si>
  <si>
    <t xml:space="preserve">FALSE 21</t>
  </si>
  <si>
    <t xml:space="preserve">Thamnophis sirtalis sirtalis</t>
  </si>
  <si>
    <t xml:space="preserve">https://www.inaturalist.org/observations/383112836</t>
  </si>
  <si>
    <t xml:space="preserve">FALSE 22</t>
  </si>
  <si>
    <t xml:space="preserve">Crotalus cerastes</t>
  </si>
  <si>
    <t xml:space="preserve">https://www.inaturalist.org/observations/383111737</t>
  </si>
  <si>
    <t xml:space="preserve">FALSE 23</t>
  </si>
  <si>
    <t xml:space="preserve">Masticophis lateralis</t>
  </si>
  <si>
    <t xml:space="preserve">https://www.inaturalist.org/observations/383109051</t>
  </si>
  <si>
    <t xml:space="preserve">FALSE 24</t>
  </si>
  <si>
    <t xml:space="preserve">Pantherophis guttatus</t>
  </si>
  <si>
    <t xml:space="preserve">https://www.inaturalist.org/observations/383107499</t>
  </si>
  <si>
    <t xml:space="preserve">FALSE 25</t>
  </si>
  <si>
    <t xml:space="preserve">Thamnophis proximus</t>
  </si>
  <si>
    <t xml:space="preserve">https://www.inaturalist.org/observations/383104728</t>
  </si>
  <si>
    <t xml:space="preserve">FALSE 26</t>
  </si>
  <si>
    <t xml:space="preserve">Lampropeltis splendida</t>
  </si>
  <si>
    <t xml:space="preserve">https://www.inaturalist.org/observations/383103229</t>
  </si>
  <si>
    <t xml:space="preserve">FALSE 27</t>
  </si>
  <si>
    <t xml:space="preserve">Crotalus ravus</t>
  </si>
  <si>
    <t xml:space="preserve">https://www.inaturalist.org/observations/383102493</t>
  </si>
  <si>
    <t xml:space="preserve">FALSE 28</t>
  </si>
  <si>
    <t xml:space="preserve">Lampropeltis multifasciata</t>
  </si>
  <si>
    <t xml:space="preserve">https://www.inaturalist.org/observations/383099385</t>
  </si>
  <si>
    <t xml:space="preserve">FALSE 29</t>
  </si>
  <si>
    <t xml:space="preserve">Sistrurus catenatus</t>
  </si>
  <si>
    <t xml:space="preserve">https://www.inaturalist.org/observations/383097384</t>
  </si>
  <si>
    <t xml:space="preserve">FALSE 30</t>
  </si>
  <si>
    <t xml:space="preserve">Crotalus culminatus</t>
  </si>
  <si>
    <t xml:space="preserve">https://www.inaturalist.org/observations/383096105</t>
  </si>
  <si>
    <t xml:space="preserve">FALSE 31</t>
  </si>
  <si>
    <t xml:space="preserve">Lampropeltis knoblochi</t>
  </si>
  <si>
    <t xml:space="preserve">https://www.inaturalist.org/observations/383092916</t>
  </si>
  <si>
    <t xml:space="preserve">FALSE 32</t>
  </si>
  <si>
    <t xml:space="preserve">Thamnophis elegans vagrans</t>
  </si>
  <si>
    <t xml:space="preserve">https://www.inaturalist.org/observations/383090616</t>
  </si>
  <si>
    <t xml:space="preserve">FALSE 33</t>
  </si>
  <si>
    <t xml:space="preserve">Diadophis punctatus</t>
  </si>
  <si>
    <t xml:space="preserve">https://www.inaturalist.org/observations/383090337</t>
  </si>
  <si>
    <t xml:space="preserve">FALSE 34</t>
  </si>
  <si>
    <t xml:space="preserve">Salvadora hexalepis</t>
  </si>
  <si>
    <t xml:space="preserve">https://www.inaturalist.org/observations/383089833</t>
  </si>
  <si>
    <t xml:space="preserve">FALSE 35</t>
  </si>
  <si>
    <t xml:space="preserve">Carphophis amoenus</t>
  </si>
  <si>
    <t xml:space="preserve">https://www.inaturalist.org/observations/383089701</t>
  </si>
  <si>
    <t xml:space="preserve">FALSE 36</t>
  </si>
  <si>
    <t xml:space="preserve">Agkistrodon contortrix</t>
  </si>
  <si>
    <t xml:space="preserve">https://www.inaturalist.org/observations/383088170</t>
  </si>
  <si>
    <t xml:space="preserve">FALSE 37</t>
  </si>
  <si>
    <t xml:space="preserve">Vipera kaznakovi</t>
  </si>
  <si>
    <t xml:space="preserve">https://www.inaturalist.org/observations/383087046</t>
  </si>
  <si>
    <t xml:space="preserve">FALSE 38</t>
  </si>
  <si>
    <t xml:space="preserve">Oligodon chinensis</t>
  </si>
  <si>
    <t xml:space="preserve">https://www.inaturalist.org/observations/383086100</t>
  </si>
  <si>
    <t xml:space="preserve">FALSE 39</t>
  </si>
  <si>
    <t xml:space="preserve">Protobothrops mucrosquamatus</t>
  </si>
  <si>
    <t xml:space="preserve">https://www.inaturalist.org/observations/383086096</t>
  </si>
  <si>
    <t xml:space="preserve">FALSE 40</t>
  </si>
  <si>
    <t xml:space="preserve">Azemiops feae</t>
  </si>
  <si>
    <t xml:space="preserve">https://www.inaturalist.org/observations/383086092</t>
  </si>
  <si>
    <t xml:space="preserve">FALSE 41</t>
  </si>
  <si>
    <t xml:space="preserve">Hebius craspedogaster</t>
  </si>
  <si>
    <t xml:space="preserve">https://www.inaturalist.org/observations/383086089</t>
  </si>
  <si>
    <t xml:space="preserve">FALSE 42</t>
  </si>
  <si>
    <t xml:space="preserve">Pareas formosensis</t>
  </si>
  <si>
    <t xml:space="preserve">https://www.inaturalist.org/observations/383086088</t>
  </si>
  <si>
    <t xml:space="preserve">FALSE 43</t>
  </si>
  <si>
    <t xml:space="preserve">Trimeresurus stejnegeri</t>
  </si>
  <si>
    <t xml:space="preserve">https://www.inaturalist.org/observations/383086086</t>
  </si>
  <si>
    <t xml:space="preserve">FALSE 44</t>
  </si>
  <si>
    <t xml:space="preserve">Sibynophis chinensis</t>
  </si>
  <si>
    <t xml:space="preserve">https://www.inaturalist.org/observations/383086081</t>
  </si>
  <si>
    <t xml:space="preserve">FALSE 45</t>
  </si>
  <si>
    <t xml:space="preserve">Sinomicrurus annularis</t>
  </si>
  <si>
    <t xml:space="preserve">https://www.inaturalist.org/observations/383086073</t>
  </si>
  <si>
    <t xml:space="preserve">FALSE 46</t>
  </si>
  <si>
    <t xml:space="preserve">Antaresia childreni</t>
  </si>
  <si>
    <t xml:space="preserve">https://www.inaturalist.org/observations/383085451</t>
  </si>
  <si>
    <t xml:space="preserve">FALSE 47</t>
  </si>
  <si>
    <t xml:space="preserve">Liasis olivaceus</t>
  </si>
  <si>
    <t xml:space="preserve">https://www.inaturalist.org/observations/383085441</t>
  </si>
  <si>
    <t xml:space="preserve">FALSE 48</t>
  </si>
  <si>
    <t xml:space="preserve">Eunectes murinus</t>
  </si>
  <si>
    <t xml:space="preserve">https://www.inaturalist.org/observations/383084733</t>
  </si>
  <si>
    <t xml:space="preserve">FALSE 49</t>
  </si>
  <si>
    <t xml:space="preserve">Pituophis catenifer deserticola</t>
  </si>
  <si>
    <t xml:space="preserve">https://www.inaturalist.org/observations/383082962</t>
  </si>
  <si>
    <t xml:space="preserve">FALSE 50</t>
  </si>
  <si>
    <t xml:space="preserve">Lycodon ruhstrati</t>
  </si>
  <si>
    <t xml:space="preserve">https://www.inaturalist.org/observations/383082902</t>
  </si>
  <si>
    <t xml:space="preserve">FALSE 51</t>
  </si>
  <si>
    <t xml:space="preserve">Ptyas major</t>
  </si>
  <si>
    <t xml:space="preserve">https://www.inaturalist.org/observations/383082896</t>
  </si>
  <si>
    <t xml:space="preserve">FALSE 52</t>
  </si>
  <si>
    <t xml:space="preserve">Calamaria septentrionalis</t>
  </si>
  <si>
    <t xml:space="preserve">https://www.inaturalist.org/observations/383082892</t>
  </si>
  <si>
    <t xml:space="preserve">FALSE 53</t>
  </si>
  <si>
    <t xml:space="preserve">Ptyas dhumnades</t>
  </si>
  <si>
    <t xml:space="preserve">https://www.inaturalist.org/observations/383082890</t>
  </si>
  <si>
    <t xml:space="preserve">FALSE 54</t>
  </si>
  <si>
    <t xml:space="preserve">Boiga kraepelini</t>
  </si>
  <si>
    <t xml:space="preserve">https://www.inaturalist.org/observations/383082888</t>
  </si>
  <si>
    <t xml:space="preserve">FALSE 55</t>
  </si>
  <si>
    <t xml:space="preserve">Achalinus huangjietangi</t>
  </si>
  <si>
    <t xml:space="preserve">https://www.inaturalist.org/observations/383082878</t>
  </si>
  <si>
    <t xml:space="preserve">FALSE 56</t>
  </si>
  <si>
    <t xml:space="preserve">Oreocryptophis porphyraceus</t>
  </si>
  <si>
    <t xml:space="preserve">https://www.inaturalist.org/observations/383082874</t>
  </si>
  <si>
    <t xml:space="preserve">FALSE 57</t>
  </si>
  <si>
    <t xml:space="preserve">Elaphe carinata</t>
  </si>
  <si>
    <t xml:space="preserve">https://www.inaturalist.org/observations/383082867</t>
  </si>
  <si>
    <t xml:space="preserve">FALSE 58</t>
  </si>
  <si>
    <t xml:space="preserve">Coluber constrictor mormon</t>
  </si>
  <si>
    <t xml:space="preserve">https://www.inaturalist.org/observations/383082813</t>
  </si>
  <si>
    <t xml:space="preserve">FALSE 59</t>
  </si>
  <si>
    <t xml:space="preserve">Opheodrys aestivus</t>
  </si>
  <si>
    <t xml:space="preserve">https://www.inaturalist.org/observations/383082414</t>
  </si>
  <si>
    <t xml:space="preserve">FALSE 60</t>
  </si>
  <si>
    <t xml:space="preserve">Coronella austriaca</t>
  </si>
  <si>
    <t xml:space="preserve">https://www.inaturalist.org/observations/383079848</t>
  </si>
  <si>
    <t xml:space="preserve">FALSE 61</t>
  </si>
  <si>
    <t xml:space="preserve">Thamnophis cyrtopsis</t>
  </si>
  <si>
    <t xml:space="preserve">https://www.inaturalist.org/observations/383077926</t>
  </si>
  <si>
    <t xml:space="preserve">FALSE 62</t>
  </si>
  <si>
    <t xml:space="preserve">Oligodon formosanus</t>
  </si>
  <si>
    <t xml:space="preserve">https://www.inaturalist.org/observations/383075712</t>
  </si>
  <si>
    <t xml:space="preserve">FALSE 63</t>
  </si>
  <si>
    <t xml:space="preserve">Crotalus ehecatl</t>
  </si>
  <si>
    <t xml:space="preserve">https://www.inaturalist.org/observations/383075257</t>
  </si>
  <si>
    <t xml:space="preserve">FALSE 64</t>
  </si>
  <si>
    <t xml:space="preserve">Achalinus mirabilis</t>
  </si>
  <si>
    <t xml:space="preserve">https://www.inaturalist.org/observations/383075255</t>
  </si>
  <si>
    <t xml:space="preserve">FALSE 65</t>
  </si>
  <si>
    <t xml:space="preserve">Trimorphodon biscutatus</t>
  </si>
  <si>
    <t xml:space="preserve">https://www.inaturalist.org/observations/383075184</t>
  </si>
  <si>
    <t xml:space="preserve">FALSE 66</t>
  </si>
  <si>
    <t xml:space="preserve">Leptophis mexicanus</t>
  </si>
  <si>
    <t xml:space="preserve">https://www.inaturalist.org/observations/383072765</t>
  </si>
  <si>
    <t xml:space="preserve">FALSE 67</t>
  </si>
  <si>
    <t xml:space="preserve">Natrix helvetica</t>
  </si>
  <si>
    <t xml:space="preserve">https://www.inaturalist.org/observations/383070897</t>
  </si>
  <si>
    <t xml:space="preserve">FALSE 68</t>
  </si>
  <si>
    <t xml:space="preserve">Masticophis mentovarius</t>
  </si>
  <si>
    <t xml:space="preserve">https://www.inaturalist.org/observations/383070871</t>
  </si>
  <si>
    <t xml:space="preserve">FALSE 69</t>
  </si>
  <si>
    <t xml:space="preserve">Agkistrodon bilineatus</t>
  </si>
  <si>
    <t xml:space="preserve">https://www.inaturalist.org/observations/383070751</t>
  </si>
  <si>
    <t xml:space="preserve">FALSE 70</t>
  </si>
  <si>
    <t xml:space="preserve">Charina bottae</t>
  </si>
  <si>
    <t xml:space="preserve">https://www.inaturalist.org/observations/383070424</t>
  </si>
  <si>
    <t xml:space="preserve">FALSE 71</t>
  </si>
  <si>
    <t xml:space="preserve">Natrix tessellata</t>
  </si>
  <si>
    <t xml:space="preserve">https://www.inaturalist.org/observations/383063590</t>
  </si>
  <si>
    <t xml:space="preserve">FALSE 72</t>
  </si>
  <si>
    <t xml:space="preserve">Vipera aspis aspis</t>
  </si>
  <si>
    <t xml:space="preserve">https://www.inaturalist.org/observations/383059704</t>
  </si>
  <si>
    <t xml:space="preserve">FALSE 73</t>
  </si>
  <si>
    <t xml:space="preserve">Indotyphlops braminus</t>
  </si>
  <si>
    <t xml:space="preserve">https://www.inaturalist.org/observations/383057584</t>
  </si>
  <si>
    <t xml:space="preserve">FALSE 74</t>
  </si>
  <si>
    <t xml:space="preserve">Loxocemus bicolor</t>
  </si>
  <si>
    <t xml:space="preserve">https://www.inaturalist.org/observations/383055169</t>
  </si>
  <si>
    <t xml:space="preserve">FALSE 75</t>
  </si>
  <si>
    <t xml:space="preserve">Leptodeira uribei</t>
  </si>
  <si>
    <t xml:space="preserve">https://www.inaturalist.org/observations/383055132</t>
  </si>
  <si>
    <t xml:space="preserve">FALSE 76</t>
  </si>
  <si>
    <t xml:space="preserve">Leptophis mexicanus yucatanensis</t>
  </si>
  <si>
    <t xml:space="preserve">https://www.inaturalist.org/observations/383053981</t>
  </si>
  <si>
    <t xml:space="preserve">FALSE 77</t>
  </si>
  <si>
    <t xml:space="preserve">Vipera berus</t>
  </si>
  <si>
    <t xml:space="preserve">https://www.inaturalist.org/observations/383052071</t>
  </si>
  <si>
    <t xml:space="preserve">FALSE 78</t>
  </si>
  <si>
    <t xml:space="preserve">Demansia psammophis</t>
  </si>
  <si>
    <t xml:space="preserve">https://www.inaturalist.org/observations/383052038</t>
  </si>
  <si>
    <t xml:space="preserve">FALSE 79</t>
  </si>
  <si>
    <t xml:space="preserve">Diadophis punctatus edwardsii</t>
  </si>
  <si>
    <t xml:space="preserve">https://www.inaturalist.org/observations/383048009</t>
  </si>
  <si>
    <t xml:space="preserve">FALSE 80</t>
  </si>
  <si>
    <t xml:space="preserve">Masticophis flagellum</t>
  </si>
  <si>
    <t xml:space="preserve">https://www.inaturalist.org/observations/383047435</t>
  </si>
  <si>
    <t xml:space="preserve">FALSE 81</t>
  </si>
  <si>
    <t xml:space="preserve">Elaphe quatuorlineata</t>
  </si>
  <si>
    <t xml:space="preserve">https://www.inaturalist.org/observations/383047425</t>
  </si>
  <si>
    <t xml:space="preserve">FALSE 82</t>
  </si>
  <si>
    <t xml:space="preserve">Pituophis catenifer catenifer</t>
  </si>
  <si>
    <t xml:space="preserve">https://www.inaturalist.org/observations/383042866</t>
  </si>
  <si>
    <t xml:space="preserve">FALSE 83</t>
  </si>
  <si>
    <t xml:space="preserve">Leptophis ahaetulla</t>
  </si>
  <si>
    <t xml:space="preserve">https://www.inaturalist.org/observations/383042654</t>
  </si>
  <si>
    <t xml:space="preserve">FALSE 84</t>
  </si>
  <si>
    <t xml:space="preserve">Pantherophis quadrivittatus</t>
  </si>
  <si>
    <t xml:space="preserve">https://www.inaturalist.org/observations/383041030</t>
  </si>
  <si>
    <t xml:space="preserve">FALSE 85</t>
  </si>
  <si>
    <t xml:space="preserve">Crotalus molossus</t>
  </si>
  <si>
    <t xml:space="preserve">https://www.inaturalist.org/observations/383036665</t>
  </si>
  <si>
    <t xml:space="preserve">FALSE 86</t>
  </si>
  <si>
    <t xml:space="preserve">Gloydius halys halys</t>
  </si>
  <si>
    <t xml:space="preserve">https://www.inaturalist.org/observations/383033717</t>
  </si>
  <si>
    <t xml:space="preserve">FALSE 87</t>
  </si>
  <si>
    <t xml:space="preserve">Ptyas multicincta</t>
  </si>
  <si>
    <t xml:space="preserve">https://www.inaturalist.org/observations/383031050</t>
  </si>
  <si>
    <t xml:space="preserve">FALSE 88</t>
  </si>
  <si>
    <t xml:space="preserve">Liodytes alleni</t>
  </si>
  <si>
    <t xml:space="preserve">https://www.inaturalist.org/observations/383029464</t>
  </si>
  <si>
    <t xml:space="preserve">FALSE 89</t>
  </si>
  <si>
    <t xml:space="preserve">Python molurus</t>
  </si>
  <si>
    <t xml:space="preserve">https://www.inaturalist.org/observations/383026905</t>
  </si>
  <si>
    <t xml:space="preserve">FALSE 90</t>
  </si>
  <si>
    <t xml:space="preserve">Bothriechis lateralis</t>
  </si>
  <si>
    <t xml:space="preserve">https://www.inaturalist.org/observations/383024237</t>
  </si>
  <si>
    <t xml:space="preserve">FALSE 91</t>
  </si>
  <si>
    <t xml:space="preserve">Crotalus viridis</t>
  </si>
  <si>
    <t xml:space="preserve">https://www.inaturalist.org/observations/383023783</t>
  </si>
  <si>
    <t xml:space="preserve">FALSE 92</t>
  </si>
  <si>
    <t xml:space="preserve">Dolichophis schmidti</t>
  </si>
  <si>
    <t xml:space="preserve">https://www.inaturalist.org/observations/383023531</t>
  </si>
  <si>
    <t xml:space="preserve">FALSE 93</t>
  </si>
  <si>
    <t xml:space="preserve">Lycodon travancoricus</t>
  </si>
  <si>
    <t xml:space="preserve">https://www.inaturalist.org/observations/383023018</t>
  </si>
  <si>
    <t xml:space="preserve">FALSE 94</t>
  </si>
  <si>
    <t xml:space="preserve">Hypnale hypnale</t>
  </si>
  <si>
    <t xml:space="preserve">https://www.inaturalist.org/observations/383023009</t>
  </si>
  <si>
    <t xml:space="preserve">FALSE 95</t>
  </si>
  <si>
    <t xml:space="preserve">Boiga nuchalis</t>
  </si>
  <si>
    <t xml:space="preserve">https://www.inaturalist.org/observations/383022984</t>
  </si>
  <si>
    <t xml:space="preserve">FALSE 96</t>
  </si>
  <si>
    <t xml:space="preserve">Natrix maura</t>
  </si>
  <si>
    <t xml:space="preserve">https://www.inaturalist.org/observations/383018447</t>
  </si>
  <si>
    <t xml:space="preserve">FALSE 97</t>
  </si>
  <si>
    <t xml:space="preserve">Sistrurus miliarius streckeri</t>
  </si>
  <si>
    <t xml:space="preserve">https://www.inaturalist.org/observations/383010287</t>
  </si>
  <si>
    <t xml:space="preserve">FALSE 98</t>
  </si>
  <si>
    <t xml:space="preserve">Nerodia rhombifer</t>
  </si>
  <si>
    <t xml:space="preserve">https://www.inaturalist.org/observations/383008762</t>
  </si>
  <si>
    <t xml:space="preserve">FALSE 99</t>
  </si>
  <si>
    <t xml:space="preserve">Bungarus candidus</t>
  </si>
  <si>
    <t xml:space="preserve">https://www.inaturalist.org/observations/383008400</t>
  </si>
  <si>
    <t xml:space="preserve">FALSE 100</t>
  </si>
  <si>
    <t xml:space="preserve">Trimeresurus albolabris</t>
  </si>
  <si>
    <t xml:space="preserve">https://www.inaturalist.org/observations/383008210</t>
  </si>
  <si>
    <t xml:space="preserve">FALSE 101</t>
  </si>
  <si>
    <t xml:space="preserve">Lycodon rufozonatus</t>
  </si>
  <si>
    <t xml:space="preserve">https://www.inaturalist.org/observations/383007656</t>
  </si>
  <si>
    <t xml:space="preserve">FALSE 102</t>
  </si>
  <si>
    <t xml:space="preserve">Virginia striatula</t>
  </si>
  <si>
    <t xml:space="preserve">https://www.inaturalist.org/observations/383000733</t>
  </si>
  <si>
    <t xml:space="preserve">FALSE 103</t>
  </si>
  <si>
    <t xml:space="preserve">Trimorphodon quadruplex</t>
  </si>
  <si>
    <t xml:space="preserve">https://www.inaturalist.org/observations/382998458</t>
  </si>
  <si>
    <t xml:space="preserve">FALSE 104</t>
  </si>
  <si>
    <t xml:space="preserve">Erythrolamprus aesculapii</t>
  </si>
  <si>
    <t xml:space="preserve">https://www.inaturalist.org/observations/382997556</t>
  </si>
  <si>
    <t xml:space="preserve">FALSE 105</t>
  </si>
  <si>
    <t xml:space="preserve">Porthidium ophryomegas</t>
  </si>
  <si>
    <t xml:space="preserve">https://www.inaturalist.org/observations/382995941</t>
  </si>
  <si>
    <t xml:space="preserve">FALSE 106</t>
  </si>
  <si>
    <t xml:space="preserve">Bungarus multicinctus</t>
  </si>
  <si>
    <t xml:space="preserve">https://www.inaturalist.org/observations/382995370</t>
  </si>
  <si>
    <t xml:space="preserve">FALSE 107</t>
  </si>
  <si>
    <t xml:space="preserve">Pantherophis ramspotti</t>
  </si>
  <si>
    <t xml:space="preserve">https://www.inaturalist.org/observations/382993795</t>
  </si>
  <si>
    <t xml:space="preserve">FALSE 108</t>
  </si>
  <si>
    <t xml:space="preserve">Nerodia taxispilota</t>
  </si>
  <si>
    <t xml:space="preserve">https://www.inaturalist.org/observations/382993756</t>
  </si>
  <si>
    <t xml:space="preserve">FALSE 109</t>
  </si>
  <si>
    <t xml:space="preserve">Hydrophis platurus</t>
  </si>
  <si>
    <t xml:space="preserve">https://www.inaturalist.org/observations/382993248</t>
  </si>
  <si>
    <t xml:space="preserve">FALSE 110</t>
  </si>
  <si>
    <t xml:space="preserve">Naja naja</t>
  </si>
  <si>
    <t xml:space="preserve">https://www.inaturalist.org/observations/382989658</t>
  </si>
  <si>
    <t xml:space="preserve">FALSE 111</t>
  </si>
  <si>
    <t xml:space="preserve">Tropidolaemus subannulatus</t>
  </si>
  <si>
    <t xml:space="preserve">https://www.inaturalist.org/observations/382987486</t>
  </si>
  <si>
    <t xml:space="preserve">FALSE 112</t>
  </si>
  <si>
    <t xml:space="preserve">Porthidium dunni</t>
  </si>
  <si>
    <t xml:space="preserve">https://www.inaturalist.org/observations/382983854</t>
  </si>
  <si>
    <t xml:space="preserve">FALSE 113</t>
  </si>
  <si>
    <t xml:space="preserve">Psammodynastes pictus</t>
  </si>
  <si>
    <t xml:space="preserve">https://www.inaturalist.org/observations/382983439</t>
  </si>
  <si>
    <t xml:space="preserve">FALSE 114</t>
  </si>
  <si>
    <t xml:space="preserve">Heterodon platirhinos</t>
  </si>
  <si>
    <t xml:space="preserve">https://www.inaturalist.org/observations/382982338</t>
  </si>
  <si>
    <t xml:space="preserve">FALSE 115</t>
  </si>
  <si>
    <t xml:space="preserve">Ptyas mucosa</t>
  </si>
  <si>
    <t xml:space="preserve">https://www.inaturalist.org/observations/382980346</t>
  </si>
  <si>
    <t xml:space="preserve">FALSE 116</t>
  </si>
  <si>
    <t xml:space="preserve">Malpolon insignitus</t>
  </si>
  <si>
    <t xml:space="preserve">https://www.inaturalist.org/observations/382980000</t>
  </si>
  <si>
    <t xml:space="preserve">FALSE 117</t>
  </si>
  <si>
    <t xml:space="preserve">Regina septemvittata</t>
  </si>
  <si>
    <t xml:space="preserve">https://www.inaturalist.org/observations/382967889</t>
  </si>
  <si>
    <t xml:space="preserve">FALSE 118</t>
  </si>
  <si>
    <t xml:space="preserve">Lycodon liuchengchaoi</t>
  </si>
  <si>
    <t xml:space="preserve">https://www.inaturalist.org/observations/382966059</t>
  </si>
  <si>
    <t xml:space="preserve">FALSE 119</t>
  </si>
  <si>
    <t xml:space="preserve">Lycodon flavozonatus</t>
  </si>
  <si>
    <t xml:space="preserve">https://www.inaturalist.org/observations/382964547</t>
  </si>
  <si>
    <t xml:space="preserve">FALSE 120</t>
  </si>
  <si>
    <t xml:space="preserve">Farancia abacura</t>
  </si>
  <si>
    <t xml:space="preserve">https://www.inaturalist.org/observations/382964094</t>
  </si>
  <si>
    <t xml:space="preserve">FALSE 121</t>
  </si>
  <si>
    <t xml:space="preserve">Crotalus molossus oaxacus</t>
  </si>
  <si>
    <t xml:space="preserve">https://www.inaturalist.org/observations/382961879</t>
  </si>
  <si>
    <t xml:space="preserve">FALSE 122</t>
  </si>
  <si>
    <t xml:space="preserve">Crotalus brunneus</t>
  </si>
  <si>
    <t xml:space="preserve">https://www.inaturalist.org/observations/382961005</t>
  </si>
  <si>
    <t xml:space="preserve">FALSE 123</t>
  </si>
  <si>
    <t xml:space="preserve">Thamnophis saurita</t>
  </si>
  <si>
    <t xml:space="preserve">https://www.inaturalist.org/observations/382957831</t>
  </si>
  <si>
    <t xml:space="preserve">FALSE 124</t>
  </si>
  <si>
    <t xml:space="preserve">Amphiesma stolatum</t>
  </si>
  <si>
    <t xml:space="preserve">https://www.inaturalist.org/observations/382954644</t>
  </si>
  <si>
    <t xml:space="preserve">FALSE 125</t>
  </si>
  <si>
    <t xml:space="preserve">Naja subfulva</t>
  </si>
  <si>
    <t xml:space="preserve">https://www.inaturalist.org/observations/382954311</t>
  </si>
  <si>
    <t xml:space="preserve">FALSE 126</t>
  </si>
  <si>
    <t xml:space="preserve">Thamnophis chrysocephalus</t>
  </si>
  <si>
    <t xml:space="preserve">https://www.inaturalist.org/observations/382954299</t>
  </si>
  <si>
    <t xml:space="preserve">FALSE 127</t>
  </si>
  <si>
    <t xml:space="preserve">Oligodon arnensis</t>
  </si>
  <si>
    <t xml:space="preserve">https://www.inaturalist.org/observations/382953923</t>
  </si>
  <si>
    <t xml:space="preserve">FALSE 128</t>
  </si>
  <si>
    <t xml:space="preserve">Cerberus schneiderii</t>
  </si>
  <si>
    <t xml:space="preserve">https://www.inaturalist.org/observations/382946359</t>
  </si>
  <si>
    <t xml:space="preserve">FALSE 129</t>
  </si>
  <si>
    <t xml:space="preserve">Micrurus fulvius</t>
  </si>
  <si>
    <t xml:space="preserve">https://www.inaturalist.org/observations/382945141</t>
  </si>
  <si>
    <t xml:space="preserve">FALSE 130</t>
  </si>
  <si>
    <t xml:space="preserve">Crotalus scutulatus</t>
  </si>
  <si>
    <t xml:space="preserve">https://www.inaturalist.org/observations/382939552</t>
  </si>
  <si>
    <t xml:space="preserve">FALSE 131</t>
  </si>
  <si>
    <t xml:space="preserve">Crotalus lepidus klauberi</t>
  </si>
  <si>
    <t xml:space="preserve">https://www.inaturalist.org/observations/382938816</t>
  </si>
  <si>
    <t xml:space="preserve">FALSE 132</t>
  </si>
  <si>
    <t xml:space="preserve">Opisthotropis latouchii</t>
  </si>
  <si>
    <t xml:space="preserve">https://www.inaturalist.org/observations/382938633</t>
  </si>
  <si>
    <t xml:space="preserve">FALSE 133</t>
  </si>
  <si>
    <t xml:space="preserve">Imantodes cenchoa</t>
  </si>
  <si>
    <t xml:space="preserve">https://www.inaturalist.org/observations/382937062</t>
  </si>
  <si>
    <t xml:space="preserve">FALSE 134</t>
  </si>
  <si>
    <t xml:space="preserve">Trimeresurus tenasserimensis</t>
  </si>
  <si>
    <t xml:space="preserve">https://www.inaturalist.org/observations/382936350</t>
  </si>
  <si>
    <t xml:space="preserve">FALSE 135</t>
  </si>
  <si>
    <t xml:space="preserve">Aspidelaps lubricus cowlesi</t>
  </si>
  <si>
    <t xml:space="preserve">https://www.inaturalist.org/observations/382935110</t>
  </si>
  <si>
    <t xml:space="preserve">FALSE 136</t>
  </si>
  <si>
    <t xml:space="preserve">Mastigodryas boddaerti</t>
  </si>
  <si>
    <t xml:space="preserve">https://www.inaturalist.org/observations/382933905</t>
  </si>
  <si>
    <t xml:space="preserve">FALSE 137</t>
  </si>
  <si>
    <t xml:space="preserve">Trimeresurus rubeus</t>
  </si>
  <si>
    <t xml:space="preserve">https://www.inaturalist.org/observations/382931062</t>
  </si>
  <si>
    <t xml:space="preserve">FALSE 138</t>
  </si>
  <si>
    <t xml:space="preserve">Echiopsis curta</t>
  </si>
  <si>
    <t xml:space="preserve">https://www.inaturalist.org/observations/382929018</t>
  </si>
  <si>
    <t xml:space="preserve">FALSE 139</t>
  </si>
  <si>
    <t xml:space="preserve">Fowlea piscator</t>
  </si>
  <si>
    <t xml:space="preserve">https://www.inaturalist.org/observations/382926718</t>
  </si>
  <si>
    <t xml:space="preserve">FALSE 140</t>
  </si>
  <si>
    <t xml:space="preserve">Craspedocephalus gramineus</t>
  </si>
  <si>
    <t xml:space="preserve">https://www.inaturalist.org/observations/382926555</t>
  </si>
  <si>
    <t xml:space="preserve">FALSE 141</t>
  </si>
  <si>
    <t xml:space="preserve">Bothrops asper</t>
  </si>
  <si>
    <t xml:space="preserve">https://www.inaturalist.org/observations/382926545</t>
  </si>
  <si>
    <t xml:space="preserve">FALSE 142</t>
  </si>
  <si>
    <t xml:space="preserve">Coelognathus helena helena</t>
  </si>
  <si>
    <t xml:space="preserve">https://www.inaturalist.org/observations/382922566</t>
  </si>
  <si>
    <t xml:space="preserve">FALSE 143</t>
  </si>
  <si>
    <t xml:space="preserve">Chrysopelea paradisi</t>
  </si>
  <si>
    <t xml:space="preserve">https://www.inaturalist.org/observations/382922214</t>
  </si>
  <si>
    <t xml:space="preserve">FALSE 144</t>
  </si>
  <si>
    <t xml:space="preserve">Philothamnus hoplogaster</t>
  </si>
  <si>
    <t xml:space="preserve">https://www.inaturalist.org/observations/382920167</t>
  </si>
  <si>
    <t xml:space="preserve">FALSE 145</t>
  </si>
  <si>
    <t xml:space="preserve">Tropidolaemus wagleri</t>
  </si>
  <si>
    <t xml:space="preserve">https://www.inaturalist.org/observations/382918293</t>
  </si>
  <si>
    <t xml:space="preserve">FALSE 146</t>
  </si>
  <si>
    <t xml:space="preserve">Thamnophis sirtalis pallidulus</t>
  </si>
  <si>
    <t xml:space="preserve">https://www.inaturalist.org/observations/382914670</t>
  </si>
  <si>
    <t xml:space="preserve">FALSE 147</t>
  </si>
  <si>
    <t xml:space="preserve">Oxybelis aeneus</t>
  </si>
  <si>
    <t xml:space="preserve">https://www.inaturalist.org/observations/382911958</t>
  </si>
  <si>
    <t xml:space="preserve">FALSE 148</t>
  </si>
  <si>
    <t xml:space="preserve">Hebius boulengeri</t>
  </si>
  <si>
    <t xml:space="preserve">https://www.inaturalist.org/observations/382903438</t>
  </si>
  <si>
    <t xml:space="preserve">FALSE 149</t>
  </si>
  <si>
    <t xml:space="preserve">Bitis arietans</t>
  </si>
  <si>
    <t xml:space="preserve">https://www.inaturalist.org/observations/382901340</t>
  </si>
  <si>
    <t xml:space="preserve">FALSE 150</t>
  </si>
  <si>
    <t xml:space="preserve">Bungarus lividus</t>
  </si>
  <si>
    <t xml:space="preserve">https://www.inaturalist.org/observations/382897983</t>
  </si>
  <si>
    <t xml:space="preserve">FALSE 151</t>
  </si>
  <si>
    <t xml:space="preserve">Hemorrhois nummifer</t>
  </si>
  <si>
    <t xml:space="preserve">https://www.inaturalist.org/observations/382895951</t>
  </si>
  <si>
    <t xml:space="preserve">FALSE 152</t>
  </si>
  <si>
    <t xml:space="preserve">Hydrophis stokesii</t>
  </si>
  <si>
    <t xml:space="preserve">https://www.inaturalist.org/observations/382894757</t>
  </si>
  <si>
    <t xml:space="preserve">FALSE 153</t>
  </si>
  <si>
    <t xml:space="preserve">Suta dwyeri</t>
  </si>
  <si>
    <t xml:space="preserve">https://www.inaturalist.org/observations/382892281</t>
  </si>
  <si>
    <t xml:space="preserve">FALSE 154</t>
  </si>
  <si>
    <t xml:space="preserve">Furina diadema</t>
  </si>
  <si>
    <t xml:space="preserve">https://www.inaturalist.org/observations/382892270</t>
  </si>
  <si>
    <t xml:space="preserve">FALSE 155</t>
  </si>
  <si>
    <t xml:space="preserve">Morelia spilota mcdowelli</t>
  </si>
  <si>
    <t xml:space="preserve">https://www.inaturalist.org/observations/382891359</t>
  </si>
  <si>
    <t xml:space="preserve">FALSE 156</t>
  </si>
  <si>
    <t xml:space="preserve">Suta flagellum</t>
  </si>
  <si>
    <t xml:space="preserve">https://www.inaturalist.org/observations/382890937</t>
  </si>
  <si>
    <t xml:space="preserve">FALSE 157</t>
  </si>
  <si>
    <t xml:space="preserve">Ptyas korros</t>
  </si>
  <si>
    <t xml:space="preserve">https://www.inaturalist.org/observations/382882645</t>
  </si>
  <si>
    <t xml:space="preserve">FALSE 158</t>
  </si>
  <si>
    <t xml:space="preserve">Laticauda saintgironsi</t>
  </si>
  <si>
    <t xml:space="preserve">https://www.inaturalist.org/observations/382879774</t>
  </si>
  <si>
    <t xml:space="preserve">FALSE 159</t>
  </si>
  <si>
    <t xml:space="preserve">Hebius vibakari</t>
  </si>
  <si>
    <t xml:space="preserve">https://www.inaturalist.org/observations/382874032</t>
  </si>
  <si>
    <t xml:space="preserve">FALSE 160</t>
  </si>
  <si>
    <t xml:space="preserve">Pseudonaja mengdeni</t>
  </si>
  <si>
    <t xml:space="preserve">https://www.inaturalist.org/observations/382872483</t>
  </si>
  <si>
    <t xml:space="preserve">FALSE 161</t>
  </si>
  <si>
    <t xml:space="preserve">Duberria lutrix</t>
  </si>
  <si>
    <t xml:space="preserve">https://www.inaturalist.org/observations/382872208</t>
  </si>
  <si>
    <t xml:space="preserve">FALSE 162</t>
  </si>
  <si>
    <t xml:space="preserve">Chrysopelea ornata</t>
  </si>
  <si>
    <t xml:space="preserve">https://www.inaturalist.org/observations/382868557</t>
  </si>
  <si>
    <t xml:space="preserve">FALSE 163</t>
  </si>
  <si>
    <t xml:space="preserve">Emydocephalus annulatus</t>
  </si>
  <si>
    <t xml:space="preserve">https://www.inaturalist.org/observations/382864992</t>
  </si>
  <si>
    <t xml:space="preserve">FALSE 164</t>
  </si>
  <si>
    <t xml:space="preserve">Hydrophis peronii</t>
  </si>
  <si>
    <t xml:space="preserve">https://www.inaturalist.org/observations/382864988</t>
  </si>
  <si>
    <t xml:space="preserve">FALSE 165</t>
  </si>
  <si>
    <t xml:space="preserve">Acanthophis praelongus</t>
  </si>
  <si>
    <t xml:space="preserve">https://www.inaturalist.org/observations/382864582</t>
  </si>
  <si>
    <t xml:space="preserve">FALSE 166</t>
  </si>
  <si>
    <t xml:space="preserve">Dendrelaphis punctulatus</t>
  </si>
  <si>
    <t xml:space="preserve">https://www.inaturalist.org/observations/382864319</t>
  </si>
  <si>
    <t xml:space="preserve">FALSE 167</t>
  </si>
  <si>
    <t xml:space="preserve">Pantherophis emoryi</t>
  </si>
  <si>
    <t xml:space="preserve">https://www.inaturalist.org/observations/382864202</t>
  </si>
  <si>
    <t xml:space="preserve">FALSE 168</t>
  </si>
  <si>
    <t xml:space="preserve">Arizona elegans elegans</t>
  </si>
  <si>
    <t xml:space="preserve">https://www.inaturalist.org/observations/382864108</t>
  </si>
  <si>
    <t xml:space="preserve">FALSE 169</t>
  </si>
  <si>
    <t xml:space="preserve">Antaresia papuensis</t>
  </si>
  <si>
    <t xml:space="preserve">https://www.inaturalist.org/observations/382863954</t>
  </si>
  <si>
    <t xml:space="preserve">FALSE 170</t>
  </si>
  <si>
    <t xml:space="preserve">Xenopholis scalaris</t>
  </si>
  <si>
    <t xml:space="preserve">https://www.inaturalist.org/observations/382862909</t>
  </si>
  <si>
    <t xml:space="preserve">FALSE 171</t>
  </si>
  <si>
    <t xml:space="preserve">Chironius fuscus</t>
  </si>
  <si>
    <t xml:space="preserve">https://www.inaturalist.org/observations/382862048</t>
  </si>
  <si>
    <t xml:space="preserve">FALSE 172</t>
  </si>
  <si>
    <t xml:space="preserve">Vermicella annulata</t>
  </si>
  <si>
    <t xml:space="preserve">https://www.inaturalist.org/observations/382861537</t>
  </si>
  <si>
    <t xml:space="preserve">FALSE 173</t>
  </si>
  <si>
    <t xml:space="preserve">Crotalus molossus molossus</t>
  </si>
  <si>
    <t xml:space="preserve">https://www.inaturalist.org/observations/382860054</t>
  </si>
  <si>
    <t xml:space="preserve">FALSE 174</t>
  </si>
  <si>
    <t xml:space="preserve">Trimorphodon lambda</t>
  </si>
  <si>
    <t xml:space="preserve">https://www.inaturalist.org/observations/382859996</t>
  </si>
  <si>
    <t xml:space="preserve">FALSE 175</t>
  </si>
  <si>
    <t xml:space="preserve">Boaedon capensis</t>
  </si>
  <si>
    <t xml:space="preserve">https://www.inaturalist.org/observations/382858913</t>
  </si>
  <si>
    <t xml:space="preserve">FALSE 176</t>
  </si>
  <si>
    <t xml:space="preserve">Pareas boulengeri</t>
  </si>
  <si>
    <t xml:space="preserve">https://www.inaturalist.org/observations/382858543</t>
  </si>
  <si>
    <t xml:space="preserve">FALSE 177</t>
  </si>
  <si>
    <t xml:space="preserve">Ahaetulla oxyrhynca</t>
  </si>
  <si>
    <t xml:space="preserve">https://www.inaturalist.org/observations/382857879</t>
  </si>
  <si>
    <t xml:space="preserve">FALSE 178</t>
  </si>
  <si>
    <t xml:space="preserve">Ahaetulla malabarica</t>
  </si>
  <si>
    <t xml:space="preserve">https://www.inaturalist.org/observations/382855968</t>
  </si>
  <si>
    <t xml:space="preserve">FALSE 179</t>
  </si>
  <si>
    <t xml:space="preserve">Bungarus caeruleus</t>
  </si>
  <si>
    <t xml:space="preserve">https://www.inaturalist.org/observations/382855946</t>
  </si>
  <si>
    <t xml:space="preserve">FALSE 180</t>
  </si>
  <si>
    <t xml:space="preserve">Dendrelaphis tristis</t>
  </si>
  <si>
    <t xml:space="preserve">https://www.inaturalist.org/observations/382855803</t>
  </si>
  <si>
    <t xml:space="preserve">FALSE 181</t>
  </si>
  <si>
    <t xml:space="preserve">Rhinophis melanoleucus</t>
  </si>
  <si>
    <t xml:space="preserve">https://www.inaturalist.org/observations/382855614</t>
  </si>
  <si>
    <t xml:space="preserve">FALSE 182</t>
  </si>
  <si>
    <t xml:space="preserve">Austrelaps superbus</t>
  </si>
  <si>
    <t xml:space="preserve">https://www.inaturalist.org/observations/382850917</t>
  </si>
  <si>
    <t xml:space="preserve">FALSE 183</t>
  </si>
  <si>
    <t xml:space="preserve">Echis coloratus</t>
  </si>
  <si>
    <t xml:space="preserve">https://www.inaturalist.org/observations/382850909</t>
  </si>
  <si>
    <t xml:space="preserve">FALSE 184</t>
  </si>
  <si>
    <t xml:space="preserve">Lampropeltis greeri</t>
  </si>
  <si>
    <t xml:space="preserve">https://www.inaturalist.org/observations/382847576</t>
  </si>
  <si>
    <t xml:space="preserve">FALSE 185</t>
  </si>
  <si>
    <t xml:space="preserve">Dendrelaphis pictus</t>
  </si>
  <si>
    <t xml:space="preserve">https://www.inaturalist.org/observations/382845204</t>
  </si>
  <si>
    <t xml:space="preserve">FALSE 186</t>
  </si>
  <si>
    <t xml:space="preserve">Cryptophis nigrescens</t>
  </si>
  <si>
    <t xml:space="preserve">https://www.inaturalist.org/observations/382844279</t>
  </si>
  <si>
    <t xml:space="preserve">FALSE 187</t>
  </si>
  <si>
    <t xml:space="preserve">Notechis scutatus</t>
  </si>
  <si>
    <t xml:space="preserve">https://www.inaturalist.org/observations/382844061</t>
  </si>
  <si>
    <t xml:space="preserve">FALSE 188</t>
  </si>
  <si>
    <t xml:space="preserve">Morelia spilota spilota</t>
  </si>
  <si>
    <t xml:space="preserve">https://www.inaturalist.org/observations/382839971</t>
  </si>
  <si>
    <t xml:space="preserve">FALSE 189</t>
  </si>
  <si>
    <t xml:space="preserve">Trimeresurus sabahi</t>
  </si>
  <si>
    <t xml:space="preserve">https://www.inaturalist.org/observations/382836961</t>
  </si>
  <si>
    <t xml:space="preserve">FALSE 190</t>
  </si>
  <si>
    <t xml:space="preserve">Mastigodryas pleii</t>
  </si>
  <si>
    <t xml:space="preserve">https://www.inaturalist.org/observations/382835133</t>
  </si>
  <si>
    <t xml:space="preserve">FALSE 191</t>
  </si>
  <si>
    <t xml:space="preserve">Aspidites melanocephalus</t>
  </si>
  <si>
    <t xml:space="preserve">https://www.inaturalist.org/observations/382832726</t>
  </si>
  <si>
    <t xml:space="preserve">FALSE 192</t>
  </si>
  <si>
    <t xml:space="preserve">Xenopeltis unicolor</t>
  </si>
  <si>
    <t xml:space="preserve">https://www.inaturalist.org/observations/382831971</t>
  </si>
  <si>
    <t xml:space="preserve">FALSE 193</t>
  </si>
  <si>
    <t xml:space="preserve">Masticophis bilineatus</t>
  </si>
  <si>
    <t xml:space="preserve">https://www.inaturalist.org/observations/382831229</t>
  </si>
  <si>
    <t xml:space="preserve">FALSE 194</t>
  </si>
  <si>
    <t xml:space="preserve">Trimeresurus septentrionalis</t>
  </si>
  <si>
    <t xml:space="preserve">https://www.inaturalist.org/observations/382829708</t>
  </si>
  <si>
    <t xml:space="preserve">FALSE 195</t>
  </si>
  <si>
    <t xml:space="preserve">Dipsas indica</t>
  </si>
  <si>
    <t xml:space="preserve">https://www.inaturalist.org/observations/382826215</t>
  </si>
  <si>
    <t xml:space="preserve">FALSE 196</t>
  </si>
  <si>
    <t xml:space="preserve">Pseudonaja affinis affinis</t>
  </si>
  <si>
    <t xml:space="preserve">https://www.inaturalist.org/observations/382825066</t>
  </si>
  <si>
    <t xml:space="preserve">FALSE 197</t>
  </si>
  <si>
    <t xml:space="preserve">Thamnophis marcianus</t>
  </si>
  <si>
    <t xml:space="preserve">https://www.inaturalist.org/observations/382824076</t>
  </si>
  <si>
    <t xml:space="preserve">FALSE 198</t>
  </si>
  <si>
    <t xml:space="preserve">Siphlophis cervinus</t>
  </si>
  <si>
    <t xml:space="preserve">https://www.inaturalist.org/observations/382820250</t>
  </si>
  <si>
    <t xml:space="preserve">FALSE 199</t>
  </si>
  <si>
    <t xml:space="preserve">Lycodon yunnanensis</t>
  </si>
  <si>
    <t xml:space="preserve">https://www.inaturalist.org/observations/382817972</t>
  </si>
  <si>
    <t xml:space="preserve">FALSE 200</t>
  </si>
  <si>
    <t xml:space="preserve">Tantilla gracilis</t>
  </si>
  <si>
    <t xml:space="preserve">https://www.inaturalist.org/observations/382817218</t>
  </si>
  <si>
    <t xml:space="preserve">FALSE 201</t>
  </si>
  <si>
    <t xml:space="preserve">Spilotes pullatus</t>
  </si>
  <si>
    <t xml:space="preserve">https://www.inaturalist.org/observations/382815146</t>
  </si>
  <si>
    <t xml:space="preserve">FALSE 202</t>
  </si>
  <si>
    <t xml:space="preserve">Boa constrictor</t>
  </si>
  <si>
    <t xml:space="preserve">https://www.inaturalist.org/observations/382814656</t>
  </si>
  <si>
    <t xml:space="preserve">FALSE 203</t>
  </si>
  <si>
    <t xml:space="preserve">Cemophora coccinea</t>
  </si>
  <si>
    <t xml:space="preserve">https://www.inaturalist.org/observations/382812941</t>
  </si>
  <si>
    <t xml:space="preserve">FALSE 204</t>
  </si>
  <si>
    <t xml:space="preserve">Pseudechis porphyriacus</t>
  </si>
  <si>
    <t xml:space="preserve">https://www.inaturalist.org/observations/382812224</t>
  </si>
  <si>
    <t xml:space="preserve">FALSE 205</t>
  </si>
  <si>
    <t xml:space="preserve">Oxybelis koehleri</t>
  </si>
  <si>
    <t xml:space="preserve">https://www.inaturalist.org/observations/382812166</t>
  </si>
  <si>
    <t xml:space="preserve">FALSE 206</t>
  </si>
  <si>
    <t xml:space="preserve">Hemiaspis signata</t>
  </si>
  <si>
    <t xml:space="preserve">https://www.inaturalist.org/observations/382809345</t>
  </si>
  <si>
    <t xml:space="preserve">FALSE 207</t>
  </si>
  <si>
    <t xml:space="preserve">Acanthophis antarcticus</t>
  </si>
  <si>
    <t xml:space="preserve">https://www.inaturalist.org/observations/382805781</t>
  </si>
  <si>
    <t xml:space="preserve">FALSE 208</t>
  </si>
  <si>
    <t xml:space="preserve">Sibon anthracops</t>
  </si>
  <si>
    <t xml:space="preserve">https://www.inaturalist.org/observations/382805556</t>
  </si>
  <si>
    <t xml:space="preserve">FALSE 209</t>
  </si>
  <si>
    <t xml:space="preserve">Sonora episcopa</t>
  </si>
  <si>
    <t xml:space="preserve">https://www.inaturalist.org/observations/382805370</t>
  </si>
  <si>
    <t xml:space="preserve">FALSE 210</t>
  </si>
  <si>
    <t xml:space="preserve">Coluber constrictor priapus</t>
  </si>
  <si>
    <t xml:space="preserve">https://www.inaturalist.org/observations/382801129</t>
  </si>
  <si>
    <t xml:space="preserve">FALSE 211</t>
  </si>
  <si>
    <t xml:space="preserve">Gonyosoma jansenii</t>
  </si>
  <si>
    <t xml:space="preserve">https://www.inaturalist.org/observations/382799310</t>
  </si>
  <si>
    <t xml:space="preserve">FALSE 212</t>
  </si>
  <si>
    <t xml:space="preserve">Boiga forsteni</t>
  </si>
  <si>
    <t xml:space="preserve">https://www.inaturalist.org/observations/382797969</t>
  </si>
  <si>
    <t xml:space="preserve">FALSE 213</t>
  </si>
  <si>
    <t xml:space="preserve">Micrurus tener</t>
  </si>
  <si>
    <t xml:space="preserve">https://www.inaturalist.org/observations/382791977</t>
  </si>
  <si>
    <t xml:space="preserve">FALSE 214</t>
  </si>
  <si>
    <t xml:space="preserve">Cacophis squamulosus</t>
  </si>
  <si>
    <t xml:space="preserve">https://www.inaturalist.org/observations/382791786</t>
  </si>
  <si>
    <t xml:space="preserve">FALSE 215</t>
  </si>
  <si>
    <t xml:space="preserve">Cacophis harriettae</t>
  </si>
  <si>
    <t xml:space="preserve">https://www.inaturalist.org/observations/382777920</t>
  </si>
  <si>
    <t xml:space="preserve">FALSE 216</t>
  </si>
  <si>
    <t xml:space="preserve">Naja nigricollis</t>
  </si>
  <si>
    <t xml:space="preserve">https://www.inaturalist.org/observations/382777712</t>
  </si>
  <si>
    <t xml:space="preserve">FALSE 217</t>
  </si>
  <si>
    <t xml:space="preserve">Oxyrhopus petolarius</t>
  </si>
  <si>
    <t xml:space="preserve">https://www.inaturalist.org/observations/382777300</t>
  </si>
  <si>
    <t xml:space="preserve">FALSE 218</t>
  </si>
  <si>
    <t xml:space="preserve">Pituophis deppei</t>
  </si>
  <si>
    <t xml:space="preserve">https://www.inaturalist.org/observations/382774420</t>
  </si>
  <si>
    <t xml:space="preserve">FALSE 219</t>
  </si>
  <si>
    <t xml:space="preserve">Coniophanes piceivittis</t>
  </si>
  <si>
    <t xml:space="preserve">https://www.inaturalist.org/observations/382773027</t>
  </si>
  <si>
    <t xml:space="preserve">FALSE 220</t>
  </si>
  <si>
    <t xml:space="preserve">Rhabdophis lateralis</t>
  </si>
  <si>
    <t xml:space="preserve">https://www.inaturalist.org/observations/382770925</t>
  </si>
  <si>
    <t xml:space="preserve">FALSE 221</t>
  </si>
  <si>
    <t xml:space="preserve">Senticolis triaspis</t>
  </si>
  <si>
    <t xml:space="preserve">https://www.inaturalist.org/observations/382768620</t>
  </si>
  <si>
    <t xml:space="preserve">FALSE 222</t>
  </si>
  <si>
    <t xml:space="preserve">Cerrophidion godmani</t>
  </si>
  <si>
    <t xml:space="preserve">https://www.inaturalist.org/observations/382764441</t>
  </si>
  <si>
    <t xml:space="preserve">FALSE 223</t>
  </si>
  <si>
    <t xml:space="preserve">Achalinus dehuaensis</t>
  </si>
  <si>
    <t xml:space="preserve">https://www.inaturalist.org/observations/382762672</t>
  </si>
  <si>
    <t xml:space="preserve">FALSE 224</t>
  </si>
  <si>
    <t xml:space="preserve">Thamnophis couchii</t>
  </si>
  <si>
    <t xml:space="preserve">https://www.inaturalist.org/observations/382759466</t>
  </si>
  <si>
    <t xml:space="preserve">FALSE 225</t>
  </si>
  <si>
    <t xml:space="preserve">Elaphe climacophora</t>
  </si>
  <si>
    <t xml:space="preserve">https://www.inaturalist.org/observations/382758181</t>
  </si>
  <si>
    <t xml:space="preserve">FALSE 226</t>
  </si>
  <si>
    <t xml:space="preserve">Craspedocephalus borneensis</t>
  </si>
  <si>
    <t xml:space="preserve">https://www.inaturalist.org/observations/382755472</t>
  </si>
  <si>
    <t xml:space="preserve">FALSE 227</t>
  </si>
  <si>
    <t xml:space="preserve">Trimeresurus stejnegeri chenbihuii</t>
  </si>
  <si>
    <t xml:space="preserve">https://www.inaturalist.org/observations/382753812</t>
  </si>
  <si>
    <t xml:space="preserve">FALSE 228</t>
  </si>
  <si>
    <t xml:space="preserve">Wallophis brachyura</t>
  </si>
  <si>
    <t xml:space="preserve">https://www.inaturalist.org/observations/382752332</t>
  </si>
  <si>
    <t xml:space="preserve">FALSE 229</t>
  </si>
  <si>
    <t xml:space="preserve">Masticophis flagellum piceus</t>
  </si>
  <si>
    <t xml:space="preserve">https://www.inaturalist.org/observations/382748309</t>
  </si>
  <si>
    <t xml:space="preserve">FALSE 230</t>
  </si>
  <si>
    <t xml:space="preserve">Agkistrodon russeolus</t>
  </si>
  <si>
    <t xml:space="preserve">https://www.inaturalist.org/observations/382746416</t>
  </si>
  <si>
    <t xml:space="preserve">FALSE 231</t>
  </si>
  <si>
    <t xml:space="preserve">Thamnophis hammondii</t>
  </si>
  <si>
    <t xml:space="preserve">https://www.inaturalist.org/observations/382744623</t>
  </si>
  <si>
    <t xml:space="preserve">FALSE 232</t>
  </si>
  <si>
    <t xml:space="preserve">Lycodon semicarinatus</t>
  </si>
  <si>
    <t xml:space="preserve">https://www.inaturalist.org/observations/382743430</t>
  </si>
  <si>
    <t xml:space="preserve">FALSE 233</t>
  </si>
  <si>
    <t xml:space="preserve">Fowlea unicolor</t>
  </si>
  <si>
    <t xml:space="preserve">https://www.inaturalist.org/observations/382742614</t>
  </si>
  <si>
    <t xml:space="preserve">FALSE 234</t>
  </si>
  <si>
    <t xml:space="preserve">Craspedocephalus trigonocephalus</t>
  </si>
  <si>
    <t xml:space="preserve">https://www.inaturalist.org/observations/382742611</t>
  </si>
  <si>
    <t xml:space="preserve">FALSE 235</t>
  </si>
  <si>
    <t xml:space="preserve">Dendrelaphis caudolineolatus</t>
  </si>
  <si>
    <t xml:space="preserve">https://www.inaturalist.org/observations/382742610</t>
  </si>
  <si>
    <t xml:space="preserve">FALSE 236</t>
  </si>
  <si>
    <t xml:space="preserve">Chironius brazili</t>
  </si>
  <si>
    <t xml:space="preserve">https://www.inaturalist.org/observations/382740056</t>
  </si>
  <si>
    <t xml:space="preserve">FALSE 237</t>
  </si>
  <si>
    <t xml:space="preserve">Sistrurus miliarius</t>
  </si>
  <si>
    <t xml:space="preserve">https://www.inaturalist.org/observations/382739654</t>
  </si>
  <si>
    <t xml:space="preserve">FALSE 238</t>
  </si>
  <si>
    <t xml:space="preserve">Lycodon neomaculatus</t>
  </si>
  <si>
    <t xml:space="preserve">https://www.inaturalist.org/observations/382739454</t>
  </si>
  <si>
    <t xml:space="preserve">FALSE 239</t>
  </si>
  <si>
    <t xml:space="preserve">Trimerodytes annularis</t>
  </si>
  <si>
    <t xml:space="preserve">https://www.inaturalist.org/observations/382739449</t>
  </si>
  <si>
    <t xml:space="preserve">FALSE 240</t>
  </si>
  <si>
    <t xml:space="preserve">Caraiba andreae</t>
  </si>
  <si>
    <t xml:space="preserve">https://www.inaturalist.org/observations/382736386</t>
  </si>
  <si>
    <t xml:space="preserve">FALSE 241</t>
  </si>
  <si>
    <t xml:space="preserve">Ficimia publia</t>
  </si>
  <si>
    <t xml:space="preserve">https://www.inaturalist.org/observations/382735997</t>
  </si>
  <si>
    <t xml:space="preserve">FALSE 242</t>
  </si>
  <si>
    <t xml:space="preserve">Crotalus armstrongi</t>
  </si>
  <si>
    <t xml:space="preserve">https://www.inaturalist.org/observations/382730742</t>
  </si>
  <si>
    <t xml:space="preserve">FALSE 243</t>
  </si>
  <si>
    <t xml:space="preserve">Crotalus basiliscus</t>
  </si>
  <si>
    <t xml:space="preserve">https://www.inaturalist.org/observations/382730601</t>
  </si>
  <si>
    <t xml:space="preserve">FALSE 244</t>
  </si>
  <si>
    <t xml:space="preserve">Crotalus aquilus</t>
  </si>
  <si>
    <t xml:space="preserve">https://www.inaturalist.org/observations/382729161</t>
  </si>
  <si>
    <t xml:space="preserve">FALSE 245</t>
  </si>
  <si>
    <t xml:space="preserve">Apostolepis sanctaeritae</t>
  </si>
  <si>
    <t xml:space="preserve">https://www.inaturalist.org/observations/382728453</t>
  </si>
  <si>
    <t xml:space="preserve">FALSE 246</t>
  </si>
  <si>
    <t xml:space="preserve">Pantherophis vulpinus</t>
  </si>
  <si>
    <t xml:space="preserve">https://www.inaturalist.org/observations/382719222</t>
  </si>
  <si>
    <t xml:space="preserve">FALSE 247</t>
  </si>
  <si>
    <t xml:space="preserve">Atheris hispida</t>
  </si>
  <si>
    <t xml:space="preserve">https://www.inaturalist.org/observations/382716043</t>
  </si>
  <si>
    <t xml:space="preserve">FALSE 248</t>
  </si>
  <si>
    <t xml:space="preserve">Trimeresurus erythrurus</t>
  </si>
  <si>
    <t xml:space="preserve">https://www.inaturalist.org/observations/382715828</t>
  </si>
  <si>
    <t xml:space="preserve">FALSE 249</t>
  </si>
  <si>
    <t xml:space="preserve">Erythrolamprus reginae</t>
  </si>
  <si>
    <t xml:space="preserve">https://www.inaturalist.org/observations/382709919</t>
  </si>
  <si>
    <t xml:space="preserve">FALSE 250</t>
  </si>
  <si>
    <t xml:space="preserve">Drymoluber dichrous</t>
  </si>
  <si>
    <t xml:space="preserve">https://www.inaturalist.org/observations/382709918</t>
  </si>
  <si>
    <t xml:space="preserve">FALSE 251</t>
  </si>
  <si>
    <t xml:space="preserve">Phrynonax sexcarinatus</t>
  </si>
  <si>
    <t xml:space="preserve">https://www.inaturalist.org/observations/382709906</t>
  </si>
  <si>
    <t xml:space="preserve">FALSE 252</t>
  </si>
  <si>
    <t xml:space="preserve">Xenochrophis cerasogaster</t>
  </si>
  <si>
    <t xml:space="preserve">https://www.inaturalist.org/observations/382706529</t>
  </si>
  <si>
    <t xml:space="preserve">FALSE 253</t>
  </si>
  <si>
    <t xml:space="preserve">Trimeresurus stejnegeri stejnegeri</t>
  </si>
  <si>
    <t xml:space="preserve">https://www.inaturalist.org/observations/382705068</t>
  </si>
  <si>
    <t xml:space="preserve">FALSE 254</t>
  </si>
  <si>
    <t xml:space="preserve">Micrurus hippocrepis</t>
  </si>
  <si>
    <t xml:space="preserve">https://www.inaturalist.org/observations/382702350</t>
  </si>
  <si>
    <t xml:space="preserve">FALSE 255</t>
  </si>
  <si>
    <t xml:space="preserve">Telescopus fallax</t>
  </si>
  <si>
    <t xml:space="preserve">https://www.inaturalist.org/observations/382699441</t>
  </si>
  <si>
    <t xml:space="preserve">FALSE 256</t>
  </si>
  <si>
    <t xml:space="preserve">Atractus schach</t>
  </si>
  <si>
    <t xml:space="preserve">https://www.inaturalist.org/observations/382697771</t>
  </si>
  <si>
    <t xml:space="preserve">FALSE 257</t>
  </si>
  <si>
    <t xml:space="preserve">Atractus trefauti</t>
  </si>
  <si>
    <t xml:space="preserve">https://www.inaturalist.org/observations/382697769</t>
  </si>
  <si>
    <t xml:space="preserve">FALSE 258</t>
  </si>
  <si>
    <t xml:space="preserve">Lygophis anomalus</t>
  </si>
  <si>
    <t xml:space="preserve">https://www.inaturalist.org/observations/382694320</t>
  </si>
  <si>
    <t xml:space="preserve">FALSE 259</t>
  </si>
  <si>
    <t xml:space="preserve">Agkistrodon conanti</t>
  </si>
  <si>
    <t xml:space="preserve">https://www.inaturalist.org/observations/382693010</t>
  </si>
  <si>
    <t xml:space="preserve">FALSE 260</t>
  </si>
  <si>
    <t xml:space="preserve">Pareas komaii</t>
  </si>
  <si>
    <t xml:space="preserve">https://www.inaturalist.org/observations/382680965</t>
  </si>
  <si>
    <t xml:space="preserve">FALSE 261</t>
  </si>
  <si>
    <t xml:space="preserve">Erythrolamprus typhlus</t>
  </si>
  <si>
    <t xml:space="preserve">https://www.inaturalist.org/observations/382677812</t>
  </si>
  <si>
    <t xml:space="preserve">FALSE 262</t>
  </si>
  <si>
    <t xml:space="preserve">Phrynonax poecilonotus</t>
  </si>
  <si>
    <t xml:space="preserve">https://www.inaturalist.org/observations/382674536</t>
  </si>
  <si>
    <t xml:space="preserve">FALSE 263</t>
  </si>
  <si>
    <t xml:space="preserve">Pareas margaritophorus</t>
  </si>
  <si>
    <t xml:space="preserve">https://www.inaturalist.org/observations/382674010</t>
  </si>
  <si>
    <t xml:space="preserve">FALSE 264</t>
  </si>
  <si>
    <t xml:space="preserve">Masticophis taeniatus</t>
  </si>
  <si>
    <t xml:space="preserve">https://www.inaturalist.org/observations/382665951</t>
  </si>
  <si>
    <t xml:space="preserve">FALSE 265</t>
  </si>
  <si>
    <t xml:space="preserve">Eirenis lineomaculatus</t>
  </si>
  <si>
    <t xml:space="preserve">https://www.inaturalist.org/observations/382661586</t>
  </si>
  <si>
    <t xml:space="preserve">FALSE 266</t>
  </si>
  <si>
    <t xml:space="preserve">Trimeresurus lanna</t>
  </si>
  <si>
    <t xml:space="preserve">https://www.inaturalist.org/observations/382657810</t>
  </si>
  <si>
    <t xml:space="preserve">FALSE 267</t>
  </si>
  <si>
    <t xml:space="preserve">Chironius multiventris</t>
  </si>
  <si>
    <t xml:space="preserve">https://www.inaturalist.org/observations/382654859</t>
  </si>
  <si>
    <t xml:space="preserve">FALSE 268</t>
  </si>
  <si>
    <t xml:space="preserve">Hemorrhois hippocrepis</t>
  </si>
  <si>
    <t xml:space="preserve">https://www.inaturalist.org/observations/382654158</t>
  </si>
  <si>
    <t xml:space="preserve">FALSE 269</t>
  </si>
  <si>
    <t xml:space="preserve">Crisantophis nevermanni</t>
  </si>
  <si>
    <t xml:space="preserve">https://www.inaturalist.org/observations/382652461</t>
  </si>
  <si>
    <t xml:space="preserve">FALSE 270</t>
  </si>
  <si>
    <t xml:space="preserve">Crotalus simus</t>
  </si>
  <si>
    <t xml:space="preserve">https://www.inaturalist.org/observations/382651261</t>
  </si>
  <si>
    <t xml:space="preserve">FALSE 271</t>
  </si>
  <si>
    <t xml:space="preserve">Bitis atropos</t>
  </si>
  <si>
    <t xml:space="preserve">https://www.inaturalist.org/observations/382649614</t>
  </si>
  <si>
    <t xml:space="preserve">FALSE 272</t>
  </si>
  <si>
    <t xml:space="preserve">Daboia siamensis</t>
  </si>
  <si>
    <t xml:space="preserve">https://www.inaturalist.org/observations/382649236</t>
  </si>
  <si>
    <t xml:space="preserve">FALSE 273</t>
  </si>
  <si>
    <t xml:space="preserve">Agkistrodon conanti × piscivorus</t>
  </si>
  <si>
    <t xml:space="preserve">https://www.inaturalist.org/observations/382647045</t>
  </si>
  <si>
    <t xml:space="preserve">FALSE 274</t>
  </si>
  <si>
    <t xml:space="preserve">Naja atra</t>
  </si>
  <si>
    <t xml:space="preserve">https://www.inaturalist.org/observations/382646166</t>
  </si>
  <si>
    <t xml:space="preserve">FALSE 275</t>
  </si>
  <si>
    <t xml:space="preserve">Gonyosoma frenatum</t>
  </si>
  <si>
    <t xml:space="preserve">https://www.inaturalist.org/observations/382646160</t>
  </si>
  <si>
    <t xml:space="preserve">FALSE 276</t>
  </si>
  <si>
    <t xml:space="preserve">Chironius exoletus</t>
  </si>
  <si>
    <t xml:space="preserve">https://www.inaturalist.org/observations/382639761</t>
  </si>
  <si>
    <t xml:space="preserve">FALSE 277</t>
  </si>
  <si>
    <t xml:space="preserve">Nerodia floridana</t>
  </si>
  <si>
    <t xml:space="preserve">https://www.inaturalist.org/observations/382637532</t>
  </si>
  <si>
    <t xml:space="preserve">FALSE 278</t>
  </si>
  <si>
    <t xml:space="preserve">Hierophis gemonensis</t>
  </si>
  <si>
    <t xml:space="preserve">https://www.inaturalist.org/observations/382637187</t>
  </si>
  <si>
    <t xml:space="preserve">FALSE 279</t>
  </si>
  <si>
    <t xml:space="preserve">Atheris desaixi</t>
  </si>
  <si>
    <t xml:space="preserve">https://www.inaturalist.org/observations/382631563</t>
  </si>
  <si>
    <t xml:space="preserve">FALSE 280</t>
  </si>
  <si>
    <t xml:space="preserve">Dendrelaphis subocularis</t>
  </si>
  <si>
    <t xml:space="preserve">https://www.inaturalist.org/observations/382627131</t>
  </si>
  <si>
    <t xml:space="preserve">FALSE 281</t>
  </si>
  <si>
    <t xml:space="preserve">Boiga multomaculata</t>
  </si>
  <si>
    <t xml:space="preserve">https://www.inaturalist.org/observations/382627117</t>
  </si>
  <si>
    <t xml:space="preserve">FALSE 282</t>
  </si>
  <si>
    <t xml:space="preserve">Calloselasma rhodostoma</t>
  </si>
  <si>
    <t xml:space="preserve">https://www.inaturalist.org/observations/382627116</t>
  </si>
  <si>
    <t xml:space="preserve">FALSE 283</t>
  </si>
  <si>
    <t xml:space="preserve">Psammophis brevirostris</t>
  </si>
  <si>
    <t xml:space="preserve">https://www.inaturalist.org/observations/382620911</t>
  </si>
  <si>
    <t xml:space="preserve">FALSE 284</t>
  </si>
  <si>
    <t xml:space="preserve">Causus maculatus</t>
  </si>
  <si>
    <t xml:space="preserve">https://www.inaturalist.org/observations/382619085</t>
  </si>
  <si>
    <t xml:space="preserve">FALSE 285</t>
  </si>
  <si>
    <t xml:space="preserve">Geophis sartorii</t>
  </si>
  <si>
    <t xml:space="preserve">https://www.inaturalist.org/observations/382611019</t>
  </si>
  <si>
    <t xml:space="preserve">FALSE 286</t>
  </si>
  <si>
    <t xml:space="preserve">Hydrophis curtus</t>
  </si>
  <si>
    <t xml:space="preserve">https://www.inaturalist.org/observations/382609219</t>
  </si>
  <si>
    <t xml:space="preserve">FALSE 287</t>
  </si>
  <si>
    <t xml:space="preserve">Thamnophis elegans terrestris</t>
  </si>
  <si>
    <t xml:space="preserve">https://www.inaturalist.org/observations/382600419</t>
  </si>
  <si>
    <t xml:space="preserve">FALSE 288</t>
  </si>
  <si>
    <t xml:space="preserve">Cylindrophis ruffus</t>
  </si>
  <si>
    <t xml:space="preserve">https://www.inaturalist.org/observations/382596172</t>
  </si>
  <si>
    <t xml:space="preserve">FALSE 289</t>
  </si>
  <si>
    <t xml:space="preserve">Corallus ruschenbergerii</t>
  </si>
  <si>
    <t xml:space="preserve">https://www.inaturalist.org/observations/382595425</t>
  </si>
  <si>
    <t xml:space="preserve">FALSE 290</t>
  </si>
  <si>
    <t xml:space="preserve">Lycodonomorphus rufulus</t>
  </si>
  <si>
    <t xml:space="preserve">https://www.inaturalist.org/observations/382593044</t>
  </si>
  <si>
    <t xml:space="preserve">FALSE 291</t>
  </si>
  <si>
    <t xml:space="preserve">Hebius sauteri</t>
  </si>
  <si>
    <t xml:space="preserve">https://www.inaturalist.org/observations/382589191</t>
  </si>
  <si>
    <t xml:space="preserve">FALSE 292</t>
  </si>
  <si>
    <t xml:space="preserve">Nerodia fasciata × clarkii</t>
  </si>
  <si>
    <t xml:space="preserve">https://www.inaturalist.org/observations/382585587</t>
  </si>
  <si>
    <t xml:space="preserve">FALSE 293</t>
  </si>
  <si>
    <t xml:space="preserve">Dolichophis jugularis</t>
  </si>
  <si>
    <t xml:space="preserve">https://www.inaturalist.org/observations/382584309</t>
  </si>
  <si>
    <t xml:space="preserve">FALSE 294</t>
  </si>
  <si>
    <t xml:space="preserve">Laticauda colubrina</t>
  </si>
  <si>
    <t xml:space="preserve">https://www.inaturalist.org/observations/382579427</t>
  </si>
  <si>
    <t xml:space="preserve">FALSE 295</t>
  </si>
  <si>
    <t xml:space="preserve">Morelia viridis</t>
  </si>
  <si>
    <t xml:space="preserve">https://www.inaturalist.org/observations/382577222</t>
  </si>
  <si>
    <t xml:space="preserve">FALSE 296</t>
  </si>
  <si>
    <t xml:space="preserve">Ninia sebae</t>
  </si>
  <si>
    <t xml:space="preserve">https://www.inaturalist.org/observations/382575844</t>
  </si>
  <si>
    <t xml:space="preserve">FALSE 297</t>
  </si>
  <si>
    <t xml:space="preserve">Pseudechis australis</t>
  </si>
  <si>
    <t xml:space="preserve">https://www.inaturalist.org/observations/382573584</t>
  </si>
  <si>
    <t xml:space="preserve">FALSE 298</t>
  </si>
  <si>
    <t xml:space="preserve">Rhadinaea taeniata</t>
  </si>
  <si>
    <t xml:space="preserve">https://www.inaturalist.org/observations/382565498</t>
  </si>
  <si>
    <t xml:space="preserve">FALSE 299</t>
  </si>
  <si>
    <t xml:space="preserve">Pseudonaja textilis</t>
  </si>
  <si>
    <t xml:space="preserve">https://www.inaturalist.org/observations/382562881</t>
  </si>
  <si>
    <t xml:space="preserve">FALSE 300</t>
  </si>
  <si>
    <t xml:space="preserve">Cerastes cerastes</t>
  </si>
  <si>
    <t xml:space="preserve">https://www.inaturalist.org/observations/382558952</t>
  </si>
  <si>
    <t xml:space="preserve">FALSE 301</t>
  </si>
  <si>
    <t xml:space="preserve">Salamanders, Axolotls, and Relatives</t>
  </si>
  <si>
    <t xml:space="preserve">Plethodon cinereus</t>
  </si>
  <si>
    <t xml:space="preserve">https://www.inaturalist.org/observations/383149007</t>
  </si>
  <si>
    <t xml:space="preserve">FALSE 302</t>
  </si>
  <si>
    <t xml:space="preserve">Ambystoma laterale</t>
  </si>
  <si>
    <t xml:space="preserve">https://www.inaturalist.org/observations/383148062</t>
  </si>
  <si>
    <t xml:space="preserve">FALSE 303</t>
  </si>
  <si>
    <t xml:space="preserve">Notophthalmus viridescens</t>
  </si>
  <si>
    <t xml:space="preserve">https://www.inaturalist.org/observations/383144370</t>
  </si>
  <si>
    <t xml:space="preserve">FALSE 304</t>
  </si>
  <si>
    <t xml:space="preserve">Taricha sierrae</t>
  </si>
  <si>
    <t xml:space="preserve">https://www.inaturalist.org/observations/383137279</t>
  </si>
  <si>
    <t xml:space="preserve">FALSE 305</t>
  </si>
  <si>
    <t xml:space="preserve">Plethodon glutinosus</t>
  </si>
  <si>
    <t xml:space="preserve">https://www.inaturalist.org/observations/383115625</t>
  </si>
  <si>
    <t xml:space="preserve">FALSE 306</t>
  </si>
  <si>
    <t xml:space="preserve">Taricha granulosa</t>
  </si>
  <si>
    <t xml:space="preserve">https://www.inaturalist.org/observations/383111653</t>
  </si>
  <si>
    <t xml:space="preserve">FALSE 307</t>
  </si>
  <si>
    <t xml:space="preserve">Ambystoma maculatum</t>
  </si>
  <si>
    <t xml:space="preserve">https://www.inaturalist.org/observations/383106648</t>
  </si>
  <si>
    <t xml:space="preserve">FALSE 308</t>
  </si>
  <si>
    <t xml:space="preserve">Plethodon dunni</t>
  </si>
  <si>
    <t xml:space="preserve">https://www.inaturalist.org/observations/383096902</t>
  </si>
  <si>
    <t xml:space="preserve">FALSE 309</t>
  </si>
  <si>
    <t xml:space="preserve">Lissotriton boscai</t>
  </si>
  <si>
    <t xml:space="preserve">https://www.inaturalist.org/observations/383095627</t>
  </si>
  <si>
    <t xml:space="preserve">FALSE 310</t>
  </si>
  <si>
    <t xml:space="preserve">Mertensiella caucasica</t>
  </si>
  <si>
    <t xml:space="preserve">https://www.inaturalist.org/observations/383087185</t>
  </si>
  <si>
    <t xml:space="preserve">FALSE 311</t>
  </si>
  <si>
    <t xml:space="preserve">Lissotriton lantzi</t>
  </si>
  <si>
    <t xml:space="preserve">https://www.inaturalist.org/observations/383087063</t>
  </si>
  <si>
    <t xml:space="preserve">FALSE 312</t>
  </si>
  <si>
    <t xml:space="preserve">Triturus karelinii</t>
  </si>
  <si>
    <t xml:space="preserve">https://www.inaturalist.org/observations/383087058</t>
  </si>
  <si>
    <t xml:space="preserve">FALSE 313</t>
  </si>
  <si>
    <t xml:space="preserve">Ommatotriton ophryticus</t>
  </si>
  <si>
    <t xml:space="preserve">https://www.inaturalist.org/observations/383087057</t>
  </si>
  <si>
    <t xml:space="preserve">FALSE 314</t>
  </si>
  <si>
    <t xml:space="preserve">Eurycea bislineata</t>
  </si>
  <si>
    <t xml:space="preserve">https://www.inaturalist.org/observations/383085012</t>
  </si>
  <si>
    <t xml:space="preserve">FALSE 315</t>
  </si>
  <si>
    <t xml:space="preserve">Pachytriton granulosus</t>
  </si>
  <si>
    <t xml:space="preserve">https://www.inaturalist.org/observations/383082887</t>
  </si>
  <si>
    <t xml:space="preserve">FALSE 316</t>
  </si>
  <si>
    <t xml:space="preserve">Desmognathus ochrophaeus</t>
  </si>
  <si>
    <t xml:space="preserve">https://www.inaturalist.org/observations/383064702</t>
  </si>
  <si>
    <t xml:space="preserve">FALSE 317</t>
  </si>
  <si>
    <t xml:space="preserve">Cynops pyrrhogaster</t>
  </si>
  <si>
    <t xml:space="preserve">https://www.inaturalist.org/observations/383054350</t>
  </si>
  <si>
    <t xml:space="preserve">FALSE 318</t>
  </si>
  <si>
    <t xml:space="preserve">Lissotriton vulgaris</t>
  </si>
  <si>
    <t xml:space="preserve">https://www.inaturalist.org/observations/383049450</t>
  </si>
  <si>
    <t xml:space="preserve">FALSE 319</t>
  </si>
  <si>
    <t xml:space="preserve">Siren nettingi</t>
  </si>
  <si>
    <t xml:space="preserve">https://www.inaturalist.org/observations/383044539</t>
  </si>
  <si>
    <t xml:space="preserve">FALSE 320</t>
  </si>
  <si>
    <t xml:space="preserve">Desmognathus fuscus</t>
  </si>
  <si>
    <t xml:space="preserve">https://www.inaturalist.org/observations/383024796</t>
  </si>
  <si>
    <t xml:space="preserve">FALSE 321</t>
  </si>
  <si>
    <t xml:space="preserve">Cryptobranchus alleganiensis</t>
  </si>
  <si>
    <t xml:space="preserve">https://www.inaturalist.org/observations/383023589</t>
  </si>
  <si>
    <t xml:space="preserve">FALSE 322</t>
  </si>
  <si>
    <t xml:space="preserve">Plethodon jordani</t>
  </si>
  <si>
    <t xml:space="preserve">https://www.inaturalist.org/observations/383012842</t>
  </si>
  <si>
    <t xml:space="preserve">FALSE 323</t>
  </si>
  <si>
    <t xml:space="preserve">Mesotriton alpestris</t>
  </si>
  <si>
    <t xml:space="preserve">https://www.inaturalist.org/observations/383001399</t>
  </si>
  <si>
    <t xml:space="preserve">FALSE 324</t>
  </si>
  <si>
    <t xml:space="preserve">Pseudotriton ruber</t>
  </si>
  <si>
    <t xml:space="preserve">https://www.inaturalist.org/observations/382992908</t>
  </si>
  <si>
    <t xml:space="preserve">FALSE 325</t>
  </si>
  <si>
    <t xml:space="preserve">Lissotriton helveticus</t>
  </si>
  <si>
    <t xml:space="preserve">https://www.inaturalist.org/observations/382979296</t>
  </si>
  <si>
    <t xml:space="preserve">FALSE 326</t>
  </si>
  <si>
    <t xml:space="preserve">Gyrinophilus porphyriticus</t>
  </si>
  <si>
    <t xml:space="preserve">https://www.inaturalist.org/observations/382960810</t>
  </si>
  <si>
    <t xml:space="preserve">FALSE 327</t>
  </si>
  <si>
    <t xml:space="preserve">Ambystoma opacum</t>
  </si>
  <si>
    <t xml:space="preserve">https://www.inaturalist.org/observations/382959876</t>
  </si>
  <si>
    <t xml:space="preserve">FALSE 328</t>
  </si>
  <si>
    <t xml:space="preserve">Taricha torosa</t>
  </si>
  <si>
    <t xml:space="preserve">https://www.inaturalist.org/observations/382950532</t>
  </si>
  <si>
    <t xml:space="preserve">FALSE 329</t>
  </si>
  <si>
    <t xml:space="preserve">Notophthalmus viridescens viridescens</t>
  </si>
  <si>
    <t xml:space="preserve">https://www.inaturalist.org/observations/382917207</t>
  </si>
  <si>
    <t xml:space="preserve">FALSE 330</t>
  </si>
  <si>
    <t xml:space="preserve">Salamandra salamandra terrestris</t>
  </si>
  <si>
    <t xml:space="preserve">https://www.inaturalist.org/observations/382907822</t>
  </si>
  <si>
    <t xml:space="preserve">FALSE 331</t>
  </si>
  <si>
    <t xml:space="preserve">Eurycea tynerensis</t>
  </si>
  <si>
    <t xml:space="preserve">https://www.inaturalist.org/observations/382907381</t>
  </si>
  <si>
    <t xml:space="preserve">FALSE 332</t>
  </si>
  <si>
    <t xml:space="preserve">Speleomantes strinatii</t>
  </si>
  <si>
    <t xml:space="preserve">https://www.inaturalist.org/observations/382901950</t>
  </si>
  <si>
    <t xml:space="preserve">FALSE 333</t>
  </si>
  <si>
    <t xml:space="preserve">Aneides lugubris</t>
  </si>
  <si>
    <t xml:space="preserve">https://www.inaturalist.org/observations/382870635</t>
  </si>
  <si>
    <t xml:space="preserve">FALSE 334</t>
  </si>
  <si>
    <t xml:space="preserve">Calotriton asper</t>
  </si>
  <si>
    <t xml:space="preserve">https://www.inaturalist.org/observations/382855470</t>
  </si>
  <si>
    <t xml:space="preserve">FALSE 335</t>
  </si>
  <si>
    <t xml:space="preserve">Desmognathus orestes</t>
  </si>
  <si>
    <t xml:space="preserve">https://www.inaturalist.org/observations/382822188</t>
  </si>
  <si>
    <t xml:space="preserve">FALSE 336</t>
  </si>
  <si>
    <t xml:space="preserve">Plethodon yonahlossee</t>
  </si>
  <si>
    <t xml:space="preserve">https://www.inaturalist.org/observations/382821666</t>
  </si>
  <si>
    <t xml:space="preserve">FALSE 337</t>
  </si>
  <si>
    <t xml:space="preserve">Bolitoglossa robusta</t>
  </si>
  <si>
    <t xml:space="preserve">https://www.inaturalist.org/observations/382809375</t>
  </si>
  <si>
    <t xml:space="preserve">FALSE 338</t>
  </si>
  <si>
    <t xml:space="preserve">Plethodon vehiculum</t>
  </si>
  <si>
    <t xml:space="preserve">https://www.inaturalist.org/observations/382802756</t>
  </si>
  <si>
    <t xml:space="preserve">FALSE 339</t>
  </si>
  <si>
    <t xml:space="preserve">Desmognathus imitator</t>
  </si>
  <si>
    <t xml:space="preserve">https://www.inaturalist.org/observations/382794668</t>
  </si>
  <si>
    <t xml:space="preserve">FALSE 340</t>
  </si>
  <si>
    <t xml:space="preserve">Eurycea cirrigera</t>
  </si>
  <si>
    <t xml:space="preserve">https://www.inaturalist.org/observations/382785716</t>
  </si>
  <si>
    <t xml:space="preserve">FALSE 341</t>
  </si>
  <si>
    <t xml:space="preserve">Aneides aeneus</t>
  </si>
  <si>
    <t xml:space="preserve">https://www.inaturalist.org/observations/382777032</t>
  </si>
  <si>
    <t xml:space="preserve">FALSE 342</t>
  </si>
  <si>
    <t xml:space="preserve">Desmognathus gvnigeusgwotli</t>
  </si>
  <si>
    <t xml:space="preserve">https://www.inaturalist.org/observations/382755266</t>
  </si>
  <si>
    <t xml:space="preserve">FALSE 343</t>
  </si>
  <si>
    <t xml:space="preserve">Desmognathus mavrokoilius</t>
  </si>
  <si>
    <t xml:space="preserve">https://www.inaturalist.org/observations/382750796</t>
  </si>
  <si>
    <t xml:space="preserve">FALSE 344</t>
  </si>
  <si>
    <t xml:space="preserve">Pseudotriton ruber ruber</t>
  </si>
  <si>
    <t xml:space="preserve">https://www.inaturalist.org/observations/382725409</t>
  </si>
  <si>
    <t xml:space="preserve">FALSE 345</t>
  </si>
  <si>
    <t xml:space="preserve">Triturus carnifex</t>
  </si>
  <si>
    <t xml:space="preserve">https://www.inaturalist.org/observations/382708854</t>
  </si>
  <si>
    <t xml:space="preserve">FALSE 346</t>
  </si>
  <si>
    <t xml:space="preserve">Amphiuma means</t>
  </si>
  <si>
    <t xml:space="preserve">https://www.inaturalist.org/observations/382705902</t>
  </si>
  <si>
    <t xml:space="preserve">FALSE 347</t>
  </si>
  <si>
    <t xml:space="preserve">Batrachoseps nigriventris</t>
  </si>
  <si>
    <t xml:space="preserve">https://www.inaturalist.org/observations/382690550</t>
  </si>
  <si>
    <t xml:space="preserve">FALSE 348</t>
  </si>
  <si>
    <t xml:space="preserve">Mesotriton alpestris cyreni</t>
  </si>
  <si>
    <t xml:space="preserve">https://www.inaturalist.org/observations/382688672</t>
  </si>
  <si>
    <t xml:space="preserve">FALSE 349</t>
  </si>
  <si>
    <t xml:space="preserve">Salamandra salamandra salamandra</t>
  </si>
  <si>
    <t xml:space="preserve">https://www.inaturalist.org/observations/382623135</t>
  </si>
  <si>
    <t xml:space="preserve">FALSE 350</t>
  </si>
  <si>
    <t xml:space="preserve">Ambystoma velasci</t>
  </si>
  <si>
    <t xml:space="preserve">https://www.inaturalist.org/observations/382558286</t>
  </si>
  <si>
    <t xml:space="preserve">FALSE 351</t>
  </si>
  <si>
    <t xml:space="preserve">Batrachuperus tibetanus</t>
  </si>
  <si>
    <t xml:space="preserve">https://www.inaturalist.org/observations/382497942</t>
  </si>
  <si>
    <t xml:space="preserve">FALSE 352</t>
  </si>
  <si>
    <t xml:space="preserve">Eurycea spelaea</t>
  </si>
  <si>
    <t xml:space="preserve">https://www.inaturalist.org/observations/382473283</t>
  </si>
  <si>
    <t xml:space="preserve">FALSE 353</t>
  </si>
  <si>
    <t xml:space="preserve">Aneides vagrans</t>
  </si>
  <si>
    <t xml:space="preserve">https://www.inaturalist.org/observations/382462784</t>
  </si>
  <si>
    <t xml:space="preserve">FALSE 354</t>
  </si>
  <si>
    <t xml:space="preserve">Salamandra salamandra morenica</t>
  </si>
  <si>
    <t xml:space="preserve">https://www.inaturalist.org/observations/382412499</t>
  </si>
  <si>
    <t xml:space="preserve">FALSE 355</t>
  </si>
  <si>
    <t xml:space="preserve">Hypselotriton orientalis</t>
  </si>
  <si>
    <t xml:space="preserve">https://www.inaturalist.org/observations/382396663</t>
  </si>
  <si>
    <t xml:space="preserve">FALSE 356</t>
  </si>
  <si>
    <t xml:space="preserve">Gyrinophilus porphyriticus porphyriticus</t>
  </si>
  <si>
    <t xml:space="preserve">https://www.inaturalist.org/observations/382363831</t>
  </si>
  <si>
    <t xml:space="preserve">FALSE 357</t>
  </si>
  <si>
    <t xml:space="preserve">Cynops ensicauda</t>
  </si>
  <si>
    <t xml:space="preserve">https://www.inaturalist.org/observations/382321604</t>
  </si>
  <si>
    <t xml:space="preserve">FALSE 358</t>
  </si>
  <si>
    <t xml:space="preserve">Speleomantes supramontis</t>
  </si>
  <si>
    <t xml:space="preserve">https://www.inaturalist.org/observations/382319955</t>
  </si>
  <si>
    <t xml:space="preserve">FALSE 359</t>
  </si>
  <si>
    <t xml:space="preserve">Hypselotriton qianshan</t>
  </si>
  <si>
    <t xml:space="preserve">https://www.inaturalist.org/observations/382270619</t>
  </si>
  <si>
    <t xml:space="preserve">FALSE 360</t>
  </si>
  <si>
    <t xml:space="preserve">Desmognathus marmoratus</t>
  </si>
  <si>
    <t xml:space="preserve">https://www.inaturalist.org/observations/382263105</t>
  </si>
  <si>
    <t xml:space="preserve">FALSE 361</t>
  </si>
  <si>
    <t xml:space="preserve">Salamandrella keyserlingii</t>
  </si>
  <si>
    <t xml:space="preserve">https://www.inaturalist.org/observations/382253064</t>
  </si>
  <si>
    <t xml:space="preserve">FALSE 362</t>
  </si>
  <si>
    <t xml:space="preserve">Echinotriton maxiquadratus</t>
  </si>
  <si>
    <t xml:space="preserve">https://www.inaturalist.org/observations/382242311</t>
  </si>
  <si>
    <t xml:space="preserve">FALSE 363</t>
  </si>
  <si>
    <t xml:space="preserve">Hypselotriton oolong</t>
  </si>
  <si>
    <t xml:space="preserve">https://www.inaturalist.org/observations/382239767</t>
  </si>
  <si>
    <t xml:space="preserve">FALSE 364</t>
  </si>
  <si>
    <t xml:space="preserve">Triturus marmoratus</t>
  </si>
  <si>
    <t xml:space="preserve">https://www.inaturalist.org/observations/382235069</t>
  </si>
  <si>
    <t xml:space="preserve">FALSE 365</t>
  </si>
  <si>
    <t xml:space="preserve">Bolitoglossa mexicana</t>
  </si>
  <si>
    <t xml:space="preserve">https://www.inaturalist.org/observations/382217870</t>
  </si>
  <si>
    <t xml:space="preserve">FALSE 366</t>
  </si>
  <si>
    <t xml:space="preserve">Desmognathus kanawha</t>
  </si>
  <si>
    <t xml:space="preserve">https://www.inaturalist.org/observations/382175390</t>
  </si>
  <si>
    <t xml:space="preserve">FALSE 367</t>
  </si>
  <si>
    <t xml:space="preserve">Ensatina eschscholtzii</t>
  </si>
  <si>
    <t xml:space="preserve">https://www.inaturalist.org/observations/382172993</t>
  </si>
  <si>
    <t xml:space="preserve">FALSE 368</t>
  </si>
  <si>
    <t xml:space="preserve">Plethodon cylindraceus</t>
  </si>
  <si>
    <t xml:space="preserve">https://www.inaturalist.org/observations/382153373</t>
  </si>
  <si>
    <t xml:space="preserve">FALSE 369</t>
  </si>
  <si>
    <t xml:space="preserve">Hynobius yangi</t>
  </si>
  <si>
    <t xml:space="preserve">https://www.inaturalist.org/observations/382127742</t>
  </si>
  <si>
    <t xml:space="preserve">FALSE 370</t>
  </si>
  <si>
    <t xml:space="preserve">Chioglossa lusitanica</t>
  </si>
  <si>
    <t xml:space="preserve">https://www.inaturalist.org/observations/382115705</t>
  </si>
  <si>
    <t xml:space="preserve">FALSE 371</t>
  </si>
  <si>
    <t xml:space="preserve">Plethodon teyahalee</t>
  </si>
  <si>
    <t xml:space="preserve">https://www.inaturalist.org/observations/382104891</t>
  </si>
  <si>
    <t xml:space="preserve">FALSE 372</t>
  </si>
  <si>
    <t xml:space="preserve">Plethodon metcalfi</t>
  </si>
  <si>
    <t xml:space="preserve">https://www.inaturalist.org/observations/382104291</t>
  </si>
  <si>
    <t xml:space="preserve">FALSE 373</t>
  </si>
  <si>
    <t xml:space="preserve">Hydromantes platycephalus</t>
  </si>
  <si>
    <t xml:space="preserve">https://www.inaturalist.org/observations/382093927</t>
  </si>
  <si>
    <t xml:space="preserve">FALSE 374</t>
  </si>
  <si>
    <t xml:space="preserve">Salamandra salamandra gigliolii</t>
  </si>
  <si>
    <t xml:space="preserve">https://www.inaturalist.org/observations/382081686</t>
  </si>
  <si>
    <t xml:space="preserve">FALSE 375</t>
  </si>
  <si>
    <t xml:space="preserve">Plethodon kentucki</t>
  </si>
  <si>
    <t xml:space="preserve">https://www.inaturalist.org/observations/382052692</t>
  </si>
  <si>
    <t xml:space="preserve">FALSE 376</t>
  </si>
  <si>
    <t xml:space="preserve">Plethodon welleri</t>
  </si>
  <si>
    <t xml:space="preserve">https://www.inaturalist.org/observations/382033630</t>
  </si>
  <si>
    <t xml:space="preserve">FALSE 377</t>
  </si>
  <si>
    <t xml:space="preserve">Ambystoma jeffersonianum</t>
  </si>
  <si>
    <t xml:space="preserve">https://www.inaturalist.org/observations/381983993</t>
  </si>
  <si>
    <t xml:space="preserve">FALSE 378</t>
  </si>
  <si>
    <t xml:space="preserve">Lissotriton montandoni</t>
  </si>
  <si>
    <t xml:space="preserve">https://www.inaturalist.org/observations/381973352</t>
  </si>
  <si>
    <t xml:space="preserve">FALSE 379</t>
  </si>
  <si>
    <t xml:space="preserve">Speleomantes flavus</t>
  </si>
  <si>
    <t xml:space="preserve">https://www.inaturalist.org/observations/381966605</t>
  </si>
  <si>
    <t xml:space="preserve">FALSE 380</t>
  </si>
  <si>
    <t xml:space="preserve">Andrias japonicus</t>
  </si>
  <si>
    <t xml:space="preserve">https://www.inaturalist.org/observations/381906941</t>
  </si>
  <si>
    <t xml:space="preserve">FALSE 381</t>
  </si>
  <si>
    <t xml:space="preserve">Necturus maculosus</t>
  </si>
  <si>
    <t xml:space="preserve">https://www.inaturalist.org/observations/381890562</t>
  </si>
  <si>
    <t xml:space="preserve">FALSE 382</t>
  </si>
  <si>
    <t xml:space="preserve">Dicamptodon aterrimus</t>
  </si>
  <si>
    <t xml:space="preserve">https://www.inaturalist.org/observations/381872643</t>
  </si>
  <si>
    <t xml:space="preserve">FALSE 383</t>
  </si>
  <si>
    <t xml:space="preserve">Bolitoglossa altamazonica</t>
  </si>
  <si>
    <t xml:space="preserve">https://www.inaturalist.org/observations/381866268</t>
  </si>
  <si>
    <t xml:space="preserve">FALSE 384</t>
  </si>
  <si>
    <t xml:space="preserve">Paramesotriton aurantius</t>
  </si>
  <si>
    <t xml:space="preserve">https://www.inaturalist.org/observations/381862539</t>
  </si>
  <si>
    <t xml:space="preserve">FALSE 385</t>
  </si>
  <si>
    <t xml:space="preserve">Bolitoglossa tenebrosa</t>
  </si>
  <si>
    <t xml:space="preserve">https://www.inaturalist.org/observations/381847913</t>
  </si>
  <si>
    <t xml:space="preserve">FALSE 386</t>
  </si>
  <si>
    <t xml:space="preserve">Plethodon albagula</t>
  </si>
  <si>
    <t xml:space="preserve">https://www.inaturalist.org/observations/381761441</t>
  </si>
  <si>
    <t xml:space="preserve">FALSE 387</t>
  </si>
  <si>
    <t xml:space="preserve">Plethodon angusticlavius</t>
  </si>
  <si>
    <t xml:space="preserve">https://www.inaturalist.org/observations/381761024</t>
  </si>
  <si>
    <t xml:space="preserve">FALSE 388</t>
  </si>
  <si>
    <t xml:space="preserve">Paramesotriton hongkongensis</t>
  </si>
  <si>
    <t xml:space="preserve">https://www.inaturalist.org/observations/381729705</t>
  </si>
  <si>
    <t xml:space="preserve">FALSE 389</t>
  </si>
  <si>
    <t xml:space="preserve">Ambystoma talpoideum</t>
  </si>
  <si>
    <t xml:space="preserve">https://www.inaturalist.org/observations/381728377</t>
  </si>
  <si>
    <t xml:space="preserve">FALSE 390</t>
  </si>
  <si>
    <t xml:space="preserve">Eurycea paludicola</t>
  </si>
  <si>
    <t xml:space="preserve">https://www.inaturalist.org/observations/381599326</t>
  </si>
  <si>
    <t xml:space="preserve">FALSE 391</t>
  </si>
  <si>
    <t xml:space="preserve">Paramesotriton chinensis</t>
  </si>
  <si>
    <t xml:space="preserve">https://www.inaturalist.org/observations/381584867</t>
  </si>
  <si>
    <t xml:space="preserve">FALSE 392</t>
  </si>
  <si>
    <t xml:space="preserve">Notophthalmus viridescens dorsalis</t>
  </si>
  <si>
    <t xml:space="preserve">https://www.inaturalist.org/observations/381544325</t>
  </si>
  <si>
    <t xml:space="preserve">FALSE 393</t>
  </si>
  <si>
    <t xml:space="preserve">Lissotriton vulgaris meridionalis</t>
  </si>
  <si>
    <t xml:space="preserve">https://www.inaturalist.org/observations/381505269</t>
  </si>
  <si>
    <t xml:space="preserve">FALSE 394</t>
  </si>
  <si>
    <t xml:space="preserve">Bolitoglossa subpalmata</t>
  </si>
  <si>
    <t xml:space="preserve">https://www.inaturalist.org/observations/381484590</t>
  </si>
  <si>
    <t xml:space="preserve">FALSE 395</t>
  </si>
  <si>
    <t xml:space="preserve">Salamandra salamandra longirostris</t>
  </si>
  <si>
    <t xml:space="preserve">https://www.inaturalist.org/observations/381448698</t>
  </si>
  <si>
    <t xml:space="preserve">FALSE 396</t>
  </si>
  <si>
    <t xml:space="preserve">Desmognathus adatsihi</t>
  </si>
  <si>
    <t xml:space="preserve">https://www.inaturalist.org/observations/381402405</t>
  </si>
  <si>
    <t xml:space="preserve">FALSE 397</t>
  </si>
  <si>
    <t xml:space="preserve">Aneides hardii</t>
  </si>
  <si>
    <t xml:space="preserve">https://www.inaturalist.org/observations/381401282</t>
  </si>
  <si>
    <t xml:space="preserve">FALSE 398</t>
  </si>
  <si>
    <t xml:space="preserve">Plethodon elongatus</t>
  </si>
  <si>
    <t xml:space="preserve">https://www.inaturalist.org/observations/381386547</t>
  </si>
  <si>
    <t xml:space="preserve">FALSE 399</t>
  </si>
  <si>
    <t xml:space="preserve">Eurycea aquatica</t>
  </si>
  <si>
    <t xml:space="preserve">https://www.inaturalist.org/observations/381367874</t>
  </si>
  <si>
    <t xml:space="preserve">FALSE 400</t>
  </si>
  <si>
    <t xml:space="preserve">Plethodon serratus</t>
  </si>
  <si>
    <t xml:space="preserve">https://www.inaturalist.org/observations/381274766</t>
  </si>
  <si>
    <t xml:space="preserve">FALSE 401</t>
  </si>
  <si>
    <t xml:space="preserve">Desmognathus organi</t>
  </si>
  <si>
    <t xml:space="preserve">https://www.inaturalist.org/observations/381259614</t>
  </si>
  <si>
    <t xml:space="preserve">FALSE 402</t>
  </si>
  <si>
    <t xml:space="preserve">Desmognathus lycos</t>
  </si>
  <si>
    <t xml:space="preserve">https://www.inaturalist.org/observations/381198268</t>
  </si>
  <si>
    <t xml:space="preserve">FALSE 403</t>
  </si>
  <si>
    <t xml:space="preserve">Chioglossa lusitanica longipes</t>
  </si>
  <si>
    <t xml:space="preserve">https://www.inaturalist.org/observations/381174358</t>
  </si>
  <si>
    <t xml:space="preserve">FALSE 404</t>
  </si>
  <si>
    <t xml:space="preserve">Salamandra salamandra almanzoris</t>
  </si>
  <si>
    <t xml:space="preserve">https://www.inaturalist.org/observations/381174343</t>
  </si>
  <si>
    <t xml:space="preserve">FALSE 405</t>
  </si>
  <si>
    <t xml:space="preserve">Salamandra infraimmaculata</t>
  </si>
  <si>
    <t xml:space="preserve">https://www.inaturalist.org/observations/381150496</t>
  </si>
  <si>
    <t xml:space="preserve">FALSE 406</t>
  </si>
  <si>
    <t xml:space="preserve">Plethodon wehrlei</t>
  </si>
  <si>
    <t xml:space="preserve">https://www.inaturalist.org/observations/381132144</t>
  </si>
  <si>
    <t xml:space="preserve">FALSE 407</t>
  </si>
  <si>
    <t xml:space="preserve">Ambystoma</t>
  </si>
  <si>
    <t xml:space="preserve">https://www.inaturalist.org/observations/381131518</t>
  </si>
  <si>
    <t xml:space="preserve">FALSE 408</t>
  </si>
  <si>
    <t xml:space="preserve">Cynops ensicauda popei</t>
  </si>
  <si>
    <t xml:space="preserve">https://www.inaturalist.org/observations/380991692</t>
  </si>
  <si>
    <t xml:space="preserve">FALSE 409</t>
  </si>
  <si>
    <t xml:space="preserve">Ensatina eschscholtzii klauberi</t>
  </si>
  <si>
    <t xml:space="preserve">https://www.inaturalist.org/observations/380932042</t>
  </si>
  <si>
    <t xml:space="preserve">FALSE 410</t>
  </si>
  <si>
    <t xml:space="preserve">Cryptobranchus alleganiensis alleganiensis</t>
  </si>
  <si>
    <t xml:space="preserve">https://www.inaturalist.org/observations/380890423</t>
  </si>
  <si>
    <t xml:space="preserve">FALSE 411</t>
  </si>
  <si>
    <t xml:space="preserve">Tylototriton uyenoi</t>
  </si>
  <si>
    <t xml:space="preserve">https://www.inaturalist.org/observations/380872790</t>
  </si>
  <si>
    <t xml:space="preserve">FALSE 412</t>
  </si>
  <si>
    <t xml:space="preserve">Lissotriton italicus</t>
  </si>
  <si>
    <t xml:space="preserve">https://www.inaturalist.org/observations/380836792</t>
  </si>
  <si>
    <t xml:space="preserve">FALSE 413</t>
  </si>
  <si>
    <t xml:space="preserve">Aneides caryaensis</t>
  </si>
  <si>
    <t xml:space="preserve">https://www.inaturalist.org/observations/380827103</t>
  </si>
  <si>
    <t xml:space="preserve">FALSE 414</t>
  </si>
  <si>
    <t xml:space="preserve">Pachytriton xanthospilos</t>
  </si>
  <si>
    <t xml:space="preserve">https://www.inaturalist.org/observations/380714320</t>
  </si>
  <si>
    <t xml:space="preserve">FALSE 415</t>
  </si>
  <si>
    <t xml:space="preserve">Pleurodeles waltl</t>
  </si>
  <si>
    <t xml:space="preserve">https://www.inaturalist.org/observations/380698740</t>
  </si>
  <si>
    <t xml:space="preserve">FALSE 416</t>
  </si>
  <si>
    <t xml:space="preserve">Tylototriton verrucosus</t>
  </si>
  <si>
    <t xml:space="preserve">https://www.inaturalist.org/observations/380648472</t>
  </si>
  <si>
    <t xml:space="preserve">FALSE 417</t>
  </si>
  <si>
    <t xml:space="preserve">Hynobius arisanensis</t>
  </si>
  <si>
    <t xml:space="preserve">https://www.inaturalist.org/observations/380334971</t>
  </si>
  <si>
    <t xml:space="preserve">FALSE 418</t>
  </si>
  <si>
    <t xml:space="preserve">Ambystoma californiense</t>
  </si>
  <si>
    <t xml:space="preserve">https://www.inaturalist.org/observations/380192476</t>
  </si>
  <si>
    <t xml:space="preserve">FALSE 419</t>
  </si>
  <si>
    <t xml:space="preserve">Tylototriton himalayanus</t>
  </si>
  <si>
    <t xml:space="preserve">https://www.inaturalist.org/observations/380180365</t>
  </si>
  <si>
    <t xml:space="preserve">FALSE 420</t>
  </si>
  <si>
    <t xml:space="preserve">Bolitoglossa dofleini</t>
  </si>
  <si>
    <t xml:space="preserve">https://www.inaturalist.org/observations/380146698</t>
  </si>
  <si>
    <t xml:space="preserve">FALSE 421</t>
  </si>
  <si>
    <t xml:space="preserve">Ambystoma barbouri</t>
  </si>
  <si>
    <t xml:space="preserve">https://www.inaturalist.org/observations/380140954</t>
  </si>
  <si>
    <t xml:space="preserve">FALSE 422</t>
  </si>
  <si>
    <t xml:space="preserve">Taricha rivularis</t>
  </si>
  <si>
    <t xml:space="preserve">https://www.inaturalist.org/observations/380058881</t>
  </si>
  <si>
    <t xml:space="preserve">FALSE 423</t>
  </si>
  <si>
    <t xml:space="preserve">Salamandra salamandra fastuosa</t>
  </si>
  <si>
    <t xml:space="preserve">https://www.inaturalist.org/observations/380004221</t>
  </si>
  <si>
    <t xml:space="preserve">FALSE 424</t>
  </si>
  <si>
    <t xml:space="preserve">Tylototriton kweichowensis</t>
  </si>
  <si>
    <t xml:space="preserve">https://www.inaturalist.org/observations/379926667</t>
  </si>
  <si>
    <t xml:space="preserve">FALSE 425</t>
  </si>
  <si>
    <t xml:space="preserve">Bolitoglossa diaphora</t>
  </si>
  <si>
    <t xml:space="preserve">https://www.inaturalist.org/observations/379883123</t>
  </si>
  <si>
    <t xml:space="preserve">FALSE 426</t>
  </si>
  <si>
    <t xml:space="preserve">Bolitoglossa platydactyla</t>
  </si>
  <si>
    <t xml:space="preserve">https://www.inaturalist.org/observations/379879727</t>
  </si>
  <si>
    <t xml:space="preserve">FALSE 427</t>
  </si>
  <si>
    <t xml:space="preserve">Bolitoglossa occidentalis</t>
  </si>
  <si>
    <t xml:space="preserve">https://www.inaturalist.org/observations/379875919</t>
  </si>
  <si>
    <t xml:space="preserve">FALSE 428</t>
  </si>
  <si>
    <t xml:space="preserve">Ambystoma rosaceum</t>
  </si>
  <si>
    <t xml:space="preserve">https://www.inaturalist.org/observations/379864947</t>
  </si>
  <si>
    <t xml:space="preserve">FALSE 429</t>
  </si>
  <si>
    <t xml:space="preserve">Bolitoglossa helmrichi</t>
  </si>
  <si>
    <t xml:space="preserve">https://www.inaturalist.org/observations/379823091</t>
  </si>
  <si>
    <t xml:space="preserve">FALSE 430</t>
  </si>
  <si>
    <t xml:space="preserve">Nototriton brodiei</t>
  </si>
  <si>
    <t xml:space="preserve">https://www.inaturalist.org/observations/379753423</t>
  </si>
  <si>
    <t xml:space="preserve">FALSE 431</t>
  </si>
  <si>
    <t xml:space="preserve">Salamandra atra aurorae</t>
  </si>
  <si>
    <t xml:space="preserve">https://www.inaturalist.org/observations/379714279</t>
  </si>
  <si>
    <t xml:space="preserve">FALSE 432</t>
  </si>
  <si>
    <t xml:space="preserve">Echinotriton chinhaiensis</t>
  </si>
  <si>
    <t xml:space="preserve">https://www.inaturalist.org/observations/379635276</t>
  </si>
  <si>
    <t xml:space="preserve">FALSE 433</t>
  </si>
  <si>
    <t xml:space="preserve">Triturus pygmaeus lusitanicus</t>
  </si>
  <si>
    <t xml:space="preserve">https://www.inaturalist.org/observations/379614338</t>
  </si>
  <si>
    <t xml:space="preserve">FALSE 434</t>
  </si>
  <si>
    <t xml:space="preserve">Eurycea nerea</t>
  </si>
  <si>
    <t xml:space="preserve">https://www.inaturalist.org/observations/379551315</t>
  </si>
  <si>
    <t xml:space="preserve">FALSE 435</t>
  </si>
  <si>
    <t xml:space="preserve">Plethodon idahoensis</t>
  </si>
  <si>
    <t xml:space="preserve">https://www.inaturalist.org/observations/379537006</t>
  </si>
  <si>
    <t xml:space="preserve">FALSE 436</t>
  </si>
  <si>
    <t xml:space="preserve">Desmognathus conanti</t>
  </si>
  <si>
    <t xml:space="preserve">https://www.inaturalist.org/observations/379446118</t>
  </si>
  <si>
    <t xml:space="preserve">FALSE 437</t>
  </si>
  <si>
    <t xml:space="preserve">Batrachoseps major</t>
  </si>
  <si>
    <t xml:space="preserve">https://www.inaturalist.org/observations/379291863</t>
  </si>
  <si>
    <t xml:space="preserve">FALSE 438</t>
  </si>
  <si>
    <t xml:space="preserve">Desmognathus balsameus</t>
  </si>
  <si>
    <t xml:space="preserve">https://www.inaturalist.org/observations/379282407</t>
  </si>
  <si>
    <t xml:space="preserve">FALSE 439</t>
  </si>
  <si>
    <t xml:space="preserve">Bolitoglossa yucatana</t>
  </si>
  <si>
    <t xml:space="preserve">https://www.inaturalist.org/observations/379184425</t>
  </si>
  <si>
    <t xml:space="preserve">FALSE 440</t>
  </si>
  <si>
    <t xml:space="preserve">Mesotriton alpestris reiseri</t>
  </si>
  <si>
    <t xml:space="preserve">https://www.inaturalist.org/observations/379170262</t>
  </si>
  <si>
    <t xml:space="preserve">FALSE 441</t>
  </si>
  <si>
    <t xml:space="preserve">Tylototriton pseudoverrucosus</t>
  </si>
  <si>
    <t xml:space="preserve">https://www.inaturalist.org/observations/379088517</t>
  </si>
  <si>
    <t xml:space="preserve">FALSE 442</t>
  </si>
  <si>
    <t xml:space="preserve">Aneides ferreus</t>
  </si>
  <si>
    <t xml:space="preserve">https://www.inaturalist.org/observations/378943885</t>
  </si>
  <si>
    <t xml:space="preserve">FALSE 443</t>
  </si>
  <si>
    <t xml:space="preserve">Bolitoglossa nympha</t>
  </si>
  <si>
    <t xml:space="preserve">https://www.inaturalist.org/observations/378874612</t>
  </si>
  <si>
    <t xml:space="preserve">FALSE 444</t>
  </si>
  <si>
    <t xml:space="preserve">Plethodon vandykei</t>
  </si>
  <si>
    <t xml:space="preserve">https://www.inaturalist.org/observations/378813046</t>
  </si>
  <si>
    <t xml:space="preserve">FALSE 445</t>
  </si>
  <si>
    <t xml:space="preserve">Pseudoeurycea leprosa</t>
  </si>
  <si>
    <t xml:space="preserve">https://www.inaturalist.org/observations/378654702</t>
  </si>
  <si>
    <t xml:space="preserve">FALSE 446</t>
  </si>
  <si>
    <t xml:space="preserve">Dicamptodon</t>
  </si>
  <si>
    <t xml:space="preserve">https://www.inaturalist.org/observations/378633468</t>
  </si>
  <si>
    <t xml:space="preserve">FALSE 447</t>
  </si>
  <si>
    <t xml:space="preserve">Ambystoma mavortium nebulosum</t>
  </si>
  <si>
    <t xml:space="preserve">https://www.inaturalist.org/observations/378287593</t>
  </si>
  <si>
    <t xml:space="preserve">FALSE 448</t>
  </si>
  <si>
    <t xml:space="preserve">Desmognathus santeetlah</t>
  </si>
  <si>
    <t xml:space="preserve">https://www.inaturalist.org/observations/378250021</t>
  </si>
  <si>
    <t xml:space="preserve">FALSE 449</t>
  </si>
  <si>
    <t xml:space="preserve">Oedipina uniformis</t>
  </si>
  <si>
    <t xml:space="preserve">https://www.inaturalist.org/observations/378226091</t>
  </si>
  <si>
    <t xml:space="preserve">FALSE 450</t>
  </si>
  <si>
    <t xml:space="preserve">Lissotriton schmidtleri</t>
  </si>
  <si>
    <t xml:space="preserve">https://www.inaturalist.org/observations/378122276</t>
  </si>
  <si>
    <t xml:space="preserve">FALSE 451</t>
  </si>
  <si>
    <t xml:space="preserve">Triturus ivanbureschi</t>
  </si>
  <si>
    <t xml:space="preserve">https://www.inaturalist.org/observations/378034494</t>
  </si>
  <si>
    <t xml:space="preserve">FALSE 452</t>
  </si>
  <si>
    <t xml:space="preserve">Mertensiella djanaschvilii</t>
  </si>
  <si>
    <t xml:space="preserve">https://www.inaturalist.org/observations/378031693</t>
  </si>
  <si>
    <t xml:space="preserve">FALSE 453</t>
  </si>
  <si>
    <t xml:space="preserve">Hynobius yiwuensis</t>
  </si>
  <si>
    <t xml:space="preserve">https://www.inaturalist.org/observations/377896779</t>
  </si>
  <si>
    <t xml:space="preserve">FALSE 454</t>
  </si>
  <si>
    <t xml:space="preserve">Salamandrella tridactyla</t>
  </si>
  <si>
    <t xml:space="preserve">https://www.inaturalist.org/observations/377847425</t>
  </si>
  <si>
    <t xml:space="preserve">FALSE 455</t>
  </si>
  <si>
    <t xml:space="preserve">Ambystoma unisexual</t>
  </si>
  <si>
    <t xml:space="preserve">https://www.inaturalist.org/observations/377839874</t>
  </si>
  <si>
    <t xml:space="preserve">FALSE 456</t>
  </si>
  <si>
    <t xml:space="preserve">Mesotriton alpestris alpestris</t>
  </si>
  <si>
    <t xml:space="preserve">https://www.inaturalist.org/observations/377707389</t>
  </si>
  <si>
    <t xml:space="preserve">FALSE 457</t>
  </si>
  <si>
    <t xml:space="preserve">Paramesotriton caudopunctatus</t>
  </si>
  <si>
    <t xml:space="preserve">https://www.inaturalist.org/observations/377692150</t>
  </si>
  <si>
    <t xml:space="preserve">FALSE 458</t>
  </si>
  <si>
    <t xml:space="preserve">Amphiuma tridactylum</t>
  </si>
  <si>
    <t xml:space="preserve">https://www.inaturalist.org/observations/377625021</t>
  </si>
  <si>
    <t xml:space="preserve">FALSE 459</t>
  </si>
  <si>
    <t xml:space="preserve">Ambystoma macrodactylum columbianum</t>
  </si>
  <si>
    <t xml:space="preserve">https://www.inaturalist.org/observations/377473346</t>
  </si>
  <si>
    <t xml:space="preserve">FALSE 460</t>
  </si>
  <si>
    <t xml:space="preserve">Desmognathus tilleyi</t>
  </si>
  <si>
    <t xml:space="preserve">https://www.inaturalist.org/observations/377422303</t>
  </si>
  <si>
    <t xml:space="preserve">FALSE 461</t>
  </si>
  <si>
    <t xml:space="preserve">Hynobius retardatus</t>
  </si>
  <si>
    <t xml:space="preserve">https://www.inaturalist.org/observations/377346009</t>
  </si>
  <si>
    <t xml:space="preserve">FALSE 462</t>
  </si>
  <si>
    <t xml:space="preserve">Eurycea quadridigitata</t>
  </si>
  <si>
    <t xml:space="preserve">https://www.inaturalist.org/observations/377248093</t>
  </si>
  <si>
    <t xml:space="preserve">FALSE 463</t>
  </si>
  <si>
    <t xml:space="preserve">Bolitoglossa dunni</t>
  </si>
  <si>
    <t xml:space="preserve">https://www.inaturalist.org/observations/377228347</t>
  </si>
  <si>
    <t xml:space="preserve">FALSE 464</t>
  </si>
  <si>
    <t xml:space="preserve">Plethodon petraeus</t>
  </si>
  <si>
    <t xml:space="preserve">https://www.inaturalist.org/observations/377128442</t>
  </si>
  <si>
    <t xml:space="preserve">FALSE 465</t>
  </si>
  <si>
    <t xml:space="preserve">Cryptotriton veraepacis</t>
  </si>
  <si>
    <t xml:space="preserve">https://www.inaturalist.org/observations/376964483</t>
  </si>
  <si>
    <t xml:space="preserve">FALSE 466</t>
  </si>
  <si>
    <t xml:space="preserve">Bolitoglossa qeqom</t>
  </si>
  <si>
    <t xml:space="preserve">https://www.inaturalist.org/observations/376964461</t>
  </si>
  <si>
    <t xml:space="preserve">FALSE 467</t>
  </si>
  <si>
    <t xml:space="preserve">Bolitoglossa lincolni</t>
  </si>
  <si>
    <t xml:space="preserve">https://www.inaturalist.org/observations/376960367</t>
  </si>
  <si>
    <t xml:space="preserve">FALSE 468</t>
  </si>
  <si>
    <t xml:space="preserve">Nyctanolis pernix</t>
  </si>
  <si>
    <t xml:space="preserve">https://www.inaturalist.org/observations/376960349</t>
  </si>
  <si>
    <t xml:space="preserve">FALSE 469</t>
  </si>
  <si>
    <t xml:space="preserve">Desmognathus intermedius</t>
  </si>
  <si>
    <t xml:space="preserve">https://www.inaturalist.org/observations/376935063</t>
  </si>
  <si>
    <t xml:space="preserve">FALSE 470</t>
  </si>
  <si>
    <t xml:space="preserve">Salamandra salamandra carpathica</t>
  </si>
  <si>
    <t xml:space="preserve">https://www.inaturalist.org/observations/376882568</t>
  </si>
  <si>
    <t xml:space="preserve">FALSE 471</t>
  </si>
  <si>
    <t xml:space="preserve">Eurycea neotenes</t>
  </si>
  <si>
    <t xml:space="preserve">https://www.inaturalist.org/observations/376815678</t>
  </si>
  <si>
    <t xml:space="preserve">FALSE 472</t>
  </si>
  <si>
    <t xml:space="preserve">Tylototriton yangi</t>
  </si>
  <si>
    <t xml:space="preserve">https://www.inaturalist.org/observations/376800048</t>
  </si>
  <si>
    <t xml:space="preserve">FALSE 473</t>
  </si>
  <si>
    <t xml:space="preserve">Desmognathus brimleyorum</t>
  </si>
  <si>
    <t xml:space="preserve">https://www.inaturalist.org/observations/376708750</t>
  </si>
  <si>
    <t xml:space="preserve">FALSE 474</t>
  </si>
  <si>
    <t xml:space="preserve">Pseudotriton diastictus</t>
  </si>
  <si>
    <t xml:space="preserve">https://www.inaturalist.org/observations/376582621</t>
  </si>
  <si>
    <t xml:space="preserve">FALSE 475</t>
  </si>
  <si>
    <t xml:space="preserve">Desmognathus perlapsus</t>
  </si>
  <si>
    <t xml:space="preserve">https://www.inaturalist.org/observations/376428291</t>
  </si>
  <si>
    <t xml:space="preserve">FALSE 476</t>
  </si>
  <si>
    <t xml:space="preserve">Onychodactylus fischeri</t>
  </si>
  <si>
    <t xml:space="preserve">https://www.inaturalist.org/observations/376356772</t>
  </si>
  <si>
    <t xml:space="preserve">FALSE 477</t>
  </si>
  <si>
    <t xml:space="preserve">Triturus macedonicus</t>
  </si>
  <si>
    <t xml:space="preserve">https://www.inaturalist.org/observations/376326424</t>
  </si>
  <si>
    <t xml:space="preserve">FALSE 478</t>
  </si>
  <si>
    <t xml:space="preserve">Eurycea chamberlaini</t>
  </si>
  <si>
    <t xml:space="preserve">https://www.inaturalist.org/observations/376319614</t>
  </si>
  <si>
    <t xml:space="preserve">FALSE 479</t>
  </si>
  <si>
    <t xml:space="preserve">Echinotriton andersoni</t>
  </si>
  <si>
    <t xml:space="preserve">https://www.inaturalist.org/observations/376184303</t>
  </si>
  <si>
    <t xml:space="preserve">FALSE 480</t>
  </si>
  <si>
    <t xml:space="preserve">Desmognathus bairdi</t>
  </si>
  <si>
    <t xml:space="preserve">https://www.inaturalist.org/observations/376167666</t>
  </si>
  <si>
    <t xml:space="preserve">FALSE 481</t>
  </si>
  <si>
    <t xml:space="preserve">Mesotriton alpestris inexpectatus</t>
  </si>
  <si>
    <t xml:space="preserve">https://www.inaturalist.org/observations/376095307</t>
  </si>
  <si>
    <t xml:space="preserve">FALSE 482</t>
  </si>
  <si>
    <t xml:space="preserve">Necturus mounti</t>
  </si>
  <si>
    <t xml:space="preserve">https://www.inaturalist.org/observations/376085430</t>
  </si>
  <si>
    <t xml:space="preserve">FALSE 483</t>
  </si>
  <si>
    <t xml:space="preserve">Ambystoma mavortium stebbinsi</t>
  </si>
  <si>
    <t xml:space="preserve">https://www.inaturalist.org/observations/375968953</t>
  </si>
  <si>
    <t xml:space="preserve">FALSE 484</t>
  </si>
  <si>
    <t xml:space="preserve">Bolitoglossa mulleri</t>
  </si>
  <si>
    <t xml:space="preserve">https://www.inaturalist.org/observations/375726088</t>
  </si>
  <si>
    <t xml:space="preserve">FALSE 485</t>
  </si>
  <si>
    <t xml:space="preserve">https://www.inaturalist.org/observations/375707472</t>
  </si>
  <si>
    <t xml:space="preserve">FALSE 486</t>
  </si>
  <si>
    <t xml:space="preserve">Bolitoglossa adspersa</t>
  </si>
  <si>
    <t xml:space="preserve">https://www.inaturalist.org/observations/375695241</t>
  </si>
  <si>
    <t xml:space="preserve">FALSE 487</t>
  </si>
  <si>
    <t xml:space="preserve">Plethodon dixi</t>
  </si>
  <si>
    <t xml:space="preserve">https://www.inaturalist.org/observations/375615248</t>
  </si>
  <si>
    <t xml:space="preserve">FALSE 488</t>
  </si>
  <si>
    <t xml:space="preserve">Pachytriton feii</t>
  </si>
  <si>
    <t xml:space="preserve">https://www.inaturalist.org/observations/375458420</t>
  </si>
  <si>
    <t xml:space="preserve">FALSE 489</t>
  </si>
  <si>
    <t xml:space="preserve">Siren reticulata</t>
  </si>
  <si>
    <t xml:space="preserve">https://www.inaturalist.org/observations/375438068</t>
  </si>
  <si>
    <t xml:space="preserve">FALSE 490</t>
  </si>
  <si>
    <t xml:space="preserve">Bolitoglossa celaque</t>
  </si>
  <si>
    <t xml:space="preserve">https://www.inaturalist.org/observations/375278268</t>
  </si>
  <si>
    <t xml:space="preserve">FALSE 491</t>
  </si>
  <si>
    <t xml:space="preserve">Speleomantes ambrosii ambrosii</t>
  </si>
  <si>
    <t xml:space="preserve">https://www.inaturalist.org/observations/375037018</t>
  </si>
  <si>
    <t xml:space="preserve">FALSE 492</t>
  </si>
  <si>
    <t xml:space="preserve">Speleomantes ambrosii bianchii</t>
  </si>
  <si>
    <t xml:space="preserve">https://www.inaturalist.org/observations/375037007</t>
  </si>
  <si>
    <t xml:space="preserve">FALSE 493</t>
  </si>
  <si>
    <t xml:space="preserve">Speleomantes italicus</t>
  </si>
  <si>
    <t xml:space="preserve">https://www.inaturalist.org/observations/375036992</t>
  </si>
  <si>
    <t xml:space="preserve">FALSE 494</t>
  </si>
  <si>
    <t xml:space="preserve">Bolitoglossa morio</t>
  </si>
  <si>
    <t xml:space="preserve">https://www.inaturalist.org/observations/374885621</t>
  </si>
  <si>
    <t xml:space="preserve">FALSE 495</t>
  </si>
  <si>
    <t xml:space="preserve">Plethodon ventralis</t>
  </si>
  <si>
    <t xml:space="preserve">https://www.inaturalist.org/observations/374877491</t>
  </si>
  <si>
    <t xml:space="preserve">FALSE 496</t>
  </si>
  <si>
    <t xml:space="preserve">Hynobius nebulosus</t>
  </si>
  <si>
    <t xml:space="preserve">https://www.inaturalist.org/observations/374823310</t>
  </si>
  <si>
    <t xml:space="preserve">FALSE 497</t>
  </si>
  <si>
    <t xml:space="preserve">Oedipina komplex</t>
  </si>
  <si>
    <t xml:space="preserve">https://www.inaturalist.org/observations/374276129</t>
  </si>
  <si>
    <t xml:space="preserve">FALSE 498</t>
  </si>
  <si>
    <t xml:space="preserve">Speleomantes genei</t>
  </si>
  <si>
    <t xml:space="preserve">https://www.inaturalist.org/observations/374256378</t>
  </si>
  <si>
    <t xml:space="preserve">FALSE 499</t>
  </si>
  <si>
    <t xml:space="preserve">Plethodon jacksoni</t>
  </si>
  <si>
    <t xml:space="preserve">https://www.inaturalist.org/observations/374144649</t>
  </si>
  <si>
    <t xml:space="preserve">FALSE 500</t>
  </si>
  <si>
    <t xml:space="preserve">Aneides iecanus</t>
  </si>
  <si>
    <t xml:space="preserve">https://www.inaturalist.org/observations/374113307</t>
  </si>
  <si>
    <t xml:space="preserve">FALSE 501</t>
  </si>
  <si>
    <t xml:space="preserve">Frogs and Toads</t>
  </si>
  <si>
    <t xml:space="preserve">Osteopilus septentrionalis</t>
  </si>
  <si>
    <t xml:space="preserve">https://www.inaturalist.org/observations/383159896</t>
  </si>
  <si>
    <t xml:space="preserve">FALSE 502</t>
  </si>
  <si>
    <t xml:space="preserve">Anaxyrus americanus</t>
  </si>
  <si>
    <t xml:space="preserve">https://www.inaturalist.org/observations/383157727</t>
  </si>
  <si>
    <t xml:space="preserve">FALSE 503</t>
  </si>
  <si>
    <t xml:space="preserve">Lithobates clamitans</t>
  </si>
  <si>
    <t xml:space="preserve">https://www.inaturalist.org/observations/383154892</t>
  </si>
  <si>
    <t xml:space="preserve">FALSE 504</t>
  </si>
  <si>
    <t xml:space="preserve">Lithobates catesbeianus</t>
  </si>
  <si>
    <t xml:space="preserve">https://www.inaturalist.org/observations/383154633</t>
  </si>
  <si>
    <t xml:space="preserve">FALSE 505</t>
  </si>
  <si>
    <t xml:space="preserve">Lithobates palustris</t>
  </si>
  <si>
    <t xml:space="preserve">https://www.inaturalist.org/observations/383153859</t>
  </si>
  <si>
    <t xml:space="preserve">FALSE 506</t>
  </si>
  <si>
    <t xml:space="preserve">Lithobates sylvaticus</t>
  </si>
  <si>
    <t xml:space="preserve">https://www.inaturalist.org/observations/383153648</t>
  </si>
  <si>
    <t xml:space="preserve">FALSE 507</t>
  </si>
  <si>
    <t xml:space="preserve">Boana prasina</t>
  </si>
  <si>
    <t xml:space="preserve">https://www.inaturalist.org/observations/383151791</t>
  </si>
  <si>
    <t xml:space="preserve">FALSE 508</t>
  </si>
  <si>
    <t xml:space="preserve">Lithobates pipiens</t>
  </si>
  <si>
    <t xml:space="preserve">https://www.inaturalist.org/observations/383148443</t>
  </si>
  <si>
    <t xml:space="preserve">FALSE 509</t>
  </si>
  <si>
    <t xml:space="preserve">Kaloula pulchra</t>
  </si>
  <si>
    <t xml:space="preserve">https://www.inaturalist.org/observations/383139682</t>
  </si>
  <si>
    <t xml:space="preserve">FALSE 510</t>
  </si>
  <si>
    <t xml:space="preserve">Anaxyrus americanus americanus</t>
  </si>
  <si>
    <t xml:space="preserve">https://www.inaturalist.org/observations/383139027</t>
  </si>
  <si>
    <t xml:space="preserve">FALSE 511</t>
  </si>
  <si>
    <t xml:space="preserve">Anaxyrus boreas</t>
  </si>
  <si>
    <t xml:space="preserve">https://www.inaturalist.org/observations/383137815</t>
  </si>
  <si>
    <t xml:space="preserve">FALSE 512</t>
  </si>
  <si>
    <t xml:space="preserve">Colleeneremia pyrina</t>
  </si>
  <si>
    <t xml:space="preserve">https://www.inaturalist.org/observations/383135493</t>
  </si>
  <si>
    <t xml:space="preserve">FALSE 513</t>
  </si>
  <si>
    <t xml:space="preserve">Hylarana latouchii</t>
  </si>
  <si>
    <t xml:space="preserve">https://www.inaturalist.org/observations/383133279</t>
  </si>
  <si>
    <t xml:space="preserve">FALSE 514</t>
  </si>
  <si>
    <t xml:space="preserve">Duttaphrynus melanostictus</t>
  </si>
  <si>
    <t xml:space="preserve">https://www.inaturalist.org/observations/383133238</t>
  </si>
  <si>
    <t xml:space="preserve">FALSE 515</t>
  </si>
  <si>
    <t xml:space="preserve">Pelodryas caerulea</t>
  </si>
  <si>
    <t xml:space="preserve">https://www.inaturalist.org/observations/383122190</t>
  </si>
  <si>
    <t xml:space="preserve">FALSE 516</t>
  </si>
  <si>
    <t xml:space="preserve">Melanophryniscus moreirae</t>
  </si>
  <si>
    <t xml:space="preserve">https://www.inaturalist.org/observations/383120447</t>
  </si>
  <si>
    <t xml:space="preserve">FALSE 517</t>
  </si>
  <si>
    <t xml:space="preserve">Eleutherodactylus planirostris</t>
  </si>
  <si>
    <t xml:space="preserve">https://www.inaturalist.org/observations/383119274</t>
  </si>
  <si>
    <t xml:space="preserve">FALSE 518</t>
  </si>
  <si>
    <t xml:space="preserve">Pseudacris crucifer</t>
  </si>
  <si>
    <t xml:space="preserve">https://www.inaturalist.org/observations/383116836</t>
  </si>
  <si>
    <t xml:space="preserve">FALSE 519</t>
  </si>
  <si>
    <t xml:space="preserve">Incilius nebulifer</t>
  </si>
  <si>
    <t xml:space="preserve">https://www.inaturalist.org/observations/383116319</t>
  </si>
  <si>
    <t xml:space="preserve">FALSE 520</t>
  </si>
  <si>
    <t xml:space="preserve">Gastrophryne carolinensis</t>
  </si>
  <si>
    <t xml:space="preserve">https://www.inaturalist.org/observations/383112716</t>
  </si>
  <si>
    <t xml:space="preserve">FALSE 521</t>
  </si>
  <si>
    <t xml:space="preserve">Lithobates sphenocephalus</t>
  </si>
  <si>
    <t xml:space="preserve">https://www.inaturalist.org/observations/383110083</t>
  </si>
  <si>
    <t xml:space="preserve">FALSE 522</t>
  </si>
  <si>
    <t xml:space="preserve">Dryophytes chrysoscelis</t>
  </si>
  <si>
    <t xml:space="preserve">https://www.inaturalist.org/observations/383109604</t>
  </si>
  <si>
    <t xml:space="preserve">FALSE 523</t>
  </si>
  <si>
    <t xml:space="preserve">Engystomops pustulosus</t>
  </si>
  <si>
    <t xml:space="preserve">https://www.inaturalist.org/observations/383108872</t>
  </si>
  <si>
    <t xml:space="preserve">FALSE 524</t>
  </si>
  <si>
    <t xml:space="preserve">Anaxyrus terrestris</t>
  </si>
  <si>
    <t xml:space="preserve">https://www.inaturalist.org/observations/383091607</t>
  </si>
  <si>
    <t xml:space="preserve">FALSE 525</t>
  </si>
  <si>
    <t xml:space="preserve">Incilius alvarius</t>
  </si>
  <si>
    <t xml:space="preserve">https://www.inaturalist.org/observations/383080375</t>
  </si>
  <si>
    <t xml:space="preserve">FALSE 526</t>
  </si>
  <si>
    <t xml:space="preserve">Spea multiplicata</t>
  </si>
  <si>
    <t xml:space="preserve">https://www.inaturalist.org/observations/383078071</t>
  </si>
  <si>
    <t xml:space="preserve">FALSE 527</t>
  </si>
  <si>
    <t xml:space="preserve">Gastrophryne mazatlanensis</t>
  </si>
  <si>
    <t xml:space="preserve">https://www.inaturalist.org/observations/383077730</t>
  </si>
  <si>
    <t xml:space="preserve">FALSE 528</t>
  </si>
  <si>
    <t xml:space="preserve">Rana luteiventris</t>
  </si>
  <si>
    <t xml:space="preserve">https://www.inaturalist.org/observations/383076800</t>
  </si>
  <si>
    <t xml:space="preserve">FALSE 529</t>
  </si>
  <si>
    <t xml:space="preserve">Hyla arborea</t>
  </si>
  <si>
    <t xml:space="preserve">https://www.inaturalist.org/observations/383076130</t>
  </si>
  <si>
    <t xml:space="preserve">FALSE 530</t>
  </si>
  <si>
    <t xml:space="preserve">Pelophylax perezi</t>
  </si>
  <si>
    <t xml:space="preserve">https://www.inaturalist.org/observations/383073281</t>
  </si>
  <si>
    <t xml:space="preserve">FALSE 531</t>
  </si>
  <si>
    <t xml:space="preserve">Leptodactylus melanonotus</t>
  </si>
  <si>
    <t xml:space="preserve">https://www.inaturalist.org/observations/383072028</t>
  </si>
  <si>
    <t xml:space="preserve">FALSE 532</t>
  </si>
  <si>
    <t xml:space="preserve">Incilius valliceps</t>
  </si>
  <si>
    <t xml:space="preserve">https://www.inaturalist.org/observations/383071893</t>
  </si>
  <si>
    <t xml:space="preserve">FALSE 533</t>
  </si>
  <si>
    <t xml:space="preserve">Scinax staufferi</t>
  </si>
  <si>
    <t xml:space="preserve">https://www.inaturalist.org/observations/383070234</t>
  </si>
  <si>
    <t xml:space="preserve">FALSE 534</t>
  </si>
  <si>
    <t xml:space="preserve">Bufotes viridis</t>
  </si>
  <si>
    <t xml:space="preserve">https://www.inaturalist.org/observations/383058672</t>
  </si>
  <si>
    <t xml:space="preserve">FALSE 535</t>
  </si>
  <si>
    <t xml:space="preserve">Bufo spinosus</t>
  </si>
  <si>
    <t xml:space="preserve">https://www.inaturalist.org/observations/383055567</t>
  </si>
  <si>
    <t xml:space="preserve">FALSE 536</t>
  </si>
  <si>
    <t xml:space="preserve">Bombina bombina</t>
  </si>
  <si>
    <t xml:space="preserve">https://www.inaturalist.org/observations/383053021</t>
  </si>
  <si>
    <t xml:space="preserve">FALSE 537</t>
  </si>
  <si>
    <t xml:space="preserve">Pelobates fuscus</t>
  </si>
  <si>
    <t xml:space="preserve">https://www.inaturalist.org/observations/383053012</t>
  </si>
  <si>
    <t xml:space="preserve">FALSE 538</t>
  </si>
  <si>
    <t xml:space="preserve">Rana arvalis</t>
  </si>
  <si>
    <t xml:space="preserve">https://www.inaturalist.org/observations/383035453</t>
  </si>
  <si>
    <t xml:space="preserve">FALSE 539</t>
  </si>
  <si>
    <t xml:space="preserve">Bombina variegata</t>
  </si>
  <si>
    <t xml:space="preserve">https://www.inaturalist.org/observations/383035160</t>
  </si>
  <si>
    <t xml:space="preserve">FALSE 540</t>
  </si>
  <si>
    <t xml:space="preserve">Bufotes viridis viridis</t>
  </si>
  <si>
    <t xml:space="preserve">https://www.inaturalist.org/observations/383035043</t>
  </si>
  <si>
    <t xml:space="preserve">FALSE 541</t>
  </si>
  <si>
    <t xml:space="preserve">Pelophylax ridibundus</t>
  </si>
  <si>
    <t xml:space="preserve">https://www.inaturalist.org/observations/383034733</t>
  </si>
  <si>
    <t xml:space="preserve">FALSE 542</t>
  </si>
  <si>
    <t xml:space="preserve">Agalychnis callidryas</t>
  </si>
  <si>
    <t xml:space="preserve">https://www.inaturalist.org/observations/383030712</t>
  </si>
  <si>
    <t xml:space="preserve">FALSE 543</t>
  </si>
  <si>
    <t xml:space="preserve">Dryophytes gratiosus</t>
  </si>
  <si>
    <t xml:space="preserve">https://www.inaturalist.org/observations/383028528</t>
  </si>
  <si>
    <t xml:space="preserve">FALSE 544</t>
  </si>
  <si>
    <t xml:space="preserve">Rana graeca</t>
  </si>
  <si>
    <t xml:space="preserve">https://www.inaturalist.org/observations/383026176</t>
  </si>
  <si>
    <t xml:space="preserve">FALSE 545</t>
  </si>
  <si>
    <t xml:space="preserve">Trachycephalus nigromaculatus</t>
  </si>
  <si>
    <t xml:space="preserve">https://www.inaturalist.org/observations/383013985</t>
  </si>
  <si>
    <t xml:space="preserve">FALSE 546</t>
  </si>
  <si>
    <t xml:space="preserve">Discoglossus galganoi</t>
  </si>
  <si>
    <t xml:space="preserve">https://www.inaturalist.org/observations/383013879</t>
  </si>
  <si>
    <t xml:space="preserve">FALSE 547</t>
  </si>
  <si>
    <t xml:space="preserve">Dendropsophus decipiens</t>
  </si>
  <si>
    <t xml:space="preserve">https://www.inaturalist.org/observations/383013106</t>
  </si>
  <si>
    <t xml:space="preserve">FALSE 548</t>
  </si>
  <si>
    <t xml:space="preserve">Hoplobatrachus chinensis</t>
  </si>
  <si>
    <t xml:space="preserve">https://www.inaturalist.org/observations/383011744</t>
  </si>
  <si>
    <t xml:space="preserve">FALSE 549</t>
  </si>
  <si>
    <t xml:space="preserve">Polypedates braueri</t>
  </si>
  <si>
    <t xml:space="preserve">https://www.inaturalist.org/observations/383010605</t>
  </si>
  <si>
    <t xml:space="preserve">FALSE 550</t>
  </si>
  <si>
    <t xml:space="preserve">Pseudacris cadaverina</t>
  </si>
  <si>
    <t xml:space="preserve">https://www.inaturalist.org/observations/383010353</t>
  </si>
  <si>
    <t xml:space="preserve">FALSE 551</t>
  </si>
  <si>
    <t xml:space="preserve">Hyla intermedia</t>
  </si>
  <si>
    <t xml:space="preserve">https://www.inaturalist.org/observations/383006378</t>
  </si>
  <si>
    <t xml:space="preserve">FALSE 552</t>
  </si>
  <si>
    <t xml:space="preserve">Polypedates megacephalus</t>
  </si>
  <si>
    <t xml:space="preserve">https://www.inaturalist.org/observations/383000092</t>
  </si>
  <si>
    <t xml:space="preserve">FALSE 553</t>
  </si>
  <si>
    <t xml:space="preserve">Buergeria robusta</t>
  </si>
  <si>
    <t xml:space="preserve">https://www.inaturalist.org/observations/382997598</t>
  </si>
  <si>
    <t xml:space="preserve">FALSE 554</t>
  </si>
  <si>
    <t xml:space="preserve">Bufo bankorensis</t>
  </si>
  <si>
    <t xml:space="preserve">https://www.inaturalist.org/observations/382997420</t>
  </si>
  <si>
    <t xml:space="preserve">FALSE 555</t>
  </si>
  <si>
    <t xml:space="preserve">Microhyla heymonsi</t>
  </si>
  <si>
    <t xml:space="preserve">https://www.inaturalist.org/observations/382996737</t>
  </si>
  <si>
    <t xml:space="preserve">FALSE 556</t>
  </si>
  <si>
    <t xml:space="preserve">Dryophytes wrightorum</t>
  </si>
  <si>
    <t xml:space="preserve">https://www.inaturalist.org/observations/382988562</t>
  </si>
  <si>
    <t xml:space="preserve">FALSE 557</t>
  </si>
  <si>
    <t xml:space="preserve">Dendrobates truncatus</t>
  </si>
  <si>
    <t xml:space="preserve">https://www.inaturalist.org/observations/382985912</t>
  </si>
  <si>
    <t xml:space="preserve">FALSE 558</t>
  </si>
  <si>
    <t xml:space="preserve">Quasipaa exilispinosa</t>
  </si>
  <si>
    <t xml:space="preserve">https://www.inaturalist.org/observations/382984822</t>
  </si>
  <si>
    <t xml:space="preserve">FALSE 559</t>
  </si>
  <si>
    <t xml:space="preserve">Pristimantis elegans</t>
  </si>
  <si>
    <t xml:space="preserve">https://www.inaturalist.org/observations/382978019</t>
  </si>
  <si>
    <t xml:space="preserve">FALSE 560</t>
  </si>
  <si>
    <t xml:space="preserve">Pelophylax nigromaculatus</t>
  </si>
  <si>
    <t xml:space="preserve">https://www.inaturalist.org/observations/382966694</t>
  </si>
  <si>
    <t xml:space="preserve">FALSE 561</t>
  </si>
  <si>
    <t xml:space="preserve">Odorrana leporipes</t>
  </si>
  <si>
    <t xml:space="preserve">https://www.inaturalist.org/observations/382966617</t>
  </si>
  <si>
    <t xml:space="preserve">FALSE 562</t>
  </si>
  <si>
    <t xml:space="preserve">Amolops hongkongensis</t>
  </si>
  <si>
    <t xml:space="preserve">https://www.inaturalist.org/observations/382966510</t>
  </si>
  <si>
    <t xml:space="preserve">FALSE 563</t>
  </si>
  <si>
    <t xml:space="preserve">Itapotihyla langsdorffii</t>
  </si>
  <si>
    <t xml:space="preserve">https://www.inaturalist.org/observations/382965230</t>
  </si>
  <si>
    <t xml:space="preserve">FALSE 564</t>
  </si>
  <si>
    <t xml:space="preserve">Rana dalmatina</t>
  </si>
  <si>
    <t xml:space="preserve">https://www.inaturalist.org/observations/382961909</t>
  </si>
  <si>
    <t xml:space="preserve">FALSE 565</t>
  </si>
  <si>
    <t xml:space="preserve">Discoglossus pictus</t>
  </si>
  <si>
    <t xml:space="preserve">https://www.inaturalist.org/observations/382961138</t>
  </si>
  <si>
    <t xml:space="preserve">FALSE 566</t>
  </si>
  <si>
    <t xml:space="preserve">Hylarana guentheri</t>
  </si>
  <si>
    <t xml:space="preserve">https://www.inaturalist.org/observations/382960601</t>
  </si>
  <si>
    <t xml:space="preserve">FALSE 567</t>
  </si>
  <si>
    <t xml:space="preserve">Bufo gargarizans</t>
  </si>
  <si>
    <t xml:space="preserve">https://www.inaturalist.org/observations/382960182</t>
  </si>
  <si>
    <t xml:space="preserve">FALSE 568</t>
  </si>
  <si>
    <t xml:space="preserve">Pipa myersi</t>
  </si>
  <si>
    <t xml:space="preserve">https://www.inaturalist.org/observations/382960180</t>
  </si>
  <si>
    <t xml:space="preserve">FALSE 569</t>
  </si>
  <si>
    <t xml:space="preserve">Kurixalus idiootocus</t>
  </si>
  <si>
    <t xml:space="preserve">https://www.inaturalist.org/observations/382955722</t>
  </si>
  <si>
    <t xml:space="preserve">FALSE 570</t>
  </si>
  <si>
    <t xml:space="preserve">Microhyla fissipes</t>
  </si>
  <si>
    <t xml:space="preserve">https://www.inaturalist.org/observations/382954092</t>
  </si>
  <si>
    <t xml:space="preserve">FALSE 571</t>
  </si>
  <si>
    <t xml:space="preserve">Scinax boulengeri</t>
  </si>
  <si>
    <t xml:space="preserve">https://www.inaturalist.org/observations/382949988</t>
  </si>
  <si>
    <t xml:space="preserve">FALSE 572</t>
  </si>
  <si>
    <t xml:space="preserve">Dryophytes femoralis</t>
  </si>
  <si>
    <t xml:space="preserve">https://www.inaturalist.org/observations/382949847</t>
  </si>
  <si>
    <t xml:space="preserve">FALSE 573</t>
  </si>
  <si>
    <t xml:space="preserve">Ranoidea moorei</t>
  </si>
  <si>
    <t xml:space="preserve">https://www.inaturalist.org/observations/382945993</t>
  </si>
  <si>
    <t xml:space="preserve">FALSE 574</t>
  </si>
  <si>
    <t xml:space="preserve">Bufo verrucosissimus</t>
  </si>
  <si>
    <t xml:space="preserve">https://www.inaturalist.org/observations/382941599</t>
  </si>
  <si>
    <t xml:space="preserve">FALSE 575</t>
  </si>
  <si>
    <t xml:space="preserve">Boana rosenbergi</t>
  </si>
  <si>
    <t xml:space="preserve">https://www.inaturalist.org/observations/382941098</t>
  </si>
  <si>
    <t xml:space="preserve">FALSE 576</t>
  </si>
  <si>
    <t xml:space="preserve">Rhacophorus pardalis</t>
  </si>
  <si>
    <t xml:space="preserve">https://www.inaturalist.org/observations/382936945</t>
  </si>
  <si>
    <t xml:space="preserve">FALSE 577</t>
  </si>
  <si>
    <t xml:space="preserve">Gastrophryne olivacea</t>
  </si>
  <si>
    <t xml:space="preserve">https://www.inaturalist.org/observations/382936315</t>
  </si>
  <si>
    <t xml:space="preserve">FALSE 578</t>
  </si>
  <si>
    <t xml:space="preserve">Hyla meridionalis</t>
  </si>
  <si>
    <t xml:space="preserve">https://www.inaturalist.org/observations/382935358</t>
  </si>
  <si>
    <t xml:space="preserve">FALSE 579</t>
  </si>
  <si>
    <t xml:space="preserve">Boana semilineata</t>
  </si>
  <si>
    <t xml:space="preserve">https://www.inaturalist.org/observations/382935264</t>
  </si>
  <si>
    <t xml:space="preserve">FALSE 580</t>
  </si>
  <si>
    <t xml:space="preserve">Strongylopus bonaespei</t>
  </si>
  <si>
    <t xml:space="preserve">https://www.inaturalist.org/observations/382934406</t>
  </si>
  <si>
    <t xml:space="preserve">FALSE 581</t>
  </si>
  <si>
    <t xml:space="preserve">Pelophylax plancyi</t>
  </si>
  <si>
    <t xml:space="preserve">https://www.inaturalist.org/observations/382930655</t>
  </si>
  <si>
    <t xml:space="preserve">FALSE 582</t>
  </si>
  <si>
    <t xml:space="preserve">Pelophylax lessonae</t>
  </si>
  <si>
    <t xml:space="preserve">https://www.inaturalist.org/observations/382916656</t>
  </si>
  <si>
    <t xml:space="preserve">FALSE 583</t>
  </si>
  <si>
    <t xml:space="preserve">Polypedates macrotis</t>
  </si>
  <si>
    <t xml:space="preserve">https://www.inaturalist.org/observations/382913085</t>
  </si>
  <si>
    <t xml:space="preserve">FALSE 584</t>
  </si>
  <si>
    <t xml:space="preserve">Polypedates otilophus</t>
  </si>
  <si>
    <t xml:space="preserve">https://www.inaturalist.org/observations/382912447</t>
  </si>
  <si>
    <t xml:space="preserve">FALSE 585</t>
  </si>
  <si>
    <t xml:space="preserve">Rawlinsonia calliscelis</t>
  </si>
  <si>
    <t xml:space="preserve">https://www.inaturalist.org/observations/382909346</t>
  </si>
  <si>
    <t xml:space="preserve">FALSE 586</t>
  </si>
  <si>
    <t xml:space="preserve">Spicicalyx serrata</t>
  </si>
  <si>
    <t xml:space="preserve">https://www.inaturalist.org/observations/382907709</t>
  </si>
  <si>
    <t xml:space="preserve">FALSE 587</t>
  </si>
  <si>
    <t xml:space="preserve">Vandijkophrynus gariepensis</t>
  </si>
  <si>
    <t xml:space="preserve">https://www.inaturalist.org/observations/382905637</t>
  </si>
  <si>
    <t xml:space="preserve">FALSE 588</t>
  </si>
  <si>
    <t xml:space="preserve">Kaloula borealis</t>
  </si>
  <si>
    <t xml:space="preserve">https://www.inaturalist.org/observations/382901231</t>
  </si>
  <si>
    <t xml:space="preserve">FALSE 589</t>
  </si>
  <si>
    <t xml:space="preserve">Zhangixalus arboreus</t>
  </si>
  <si>
    <t xml:space="preserve">https://www.inaturalist.org/observations/382900426</t>
  </si>
  <si>
    <t xml:space="preserve">FALSE 590</t>
  </si>
  <si>
    <t xml:space="preserve">Hoplobatrachus tigerinus</t>
  </si>
  <si>
    <t xml:space="preserve">https://www.inaturalist.org/observations/382897982</t>
  </si>
  <si>
    <t xml:space="preserve">FALSE 591</t>
  </si>
  <si>
    <t xml:space="preserve">Litoria latopalmata</t>
  </si>
  <si>
    <t xml:space="preserve">https://www.inaturalist.org/observations/382892234</t>
  </si>
  <si>
    <t xml:space="preserve">FALSE 592</t>
  </si>
  <si>
    <t xml:space="preserve">Epidalea calamita</t>
  </si>
  <si>
    <t xml:space="preserve">https://www.inaturalist.org/observations/382892162</t>
  </si>
  <si>
    <t xml:space="preserve">FALSE 593</t>
  </si>
  <si>
    <t xml:space="preserve">Leptodactylus insularum</t>
  </si>
  <si>
    <t xml:space="preserve">https://www.inaturalist.org/observations/382885650</t>
  </si>
  <si>
    <t xml:space="preserve">FALSE 594</t>
  </si>
  <si>
    <t xml:space="preserve">Pengilleyia peronii</t>
  </si>
  <si>
    <t xml:space="preserve">https://www.inaturalist.org/observations/382883815</t>
  </si>
  <si>
    <t xml:space="preserve">FALSE 595</t>
  </si>
  <si>
    <t xml:space="preserve">Fejervarya kawamurai</t>
  </si>
  <si>
    <t xml:space="preserve">https://www.inaturalist.org/observations/382883425</t>
  </si>
  <si>
    <t xml:space="preserve">FALSE 596</t>
  </si>
  <si>
    <t xml:space="preserve">Chlorohyla gracilenta</t>
  </si>
  <si>
    <t xml:space="preserve">https://www.inaturalist.org/observations/382871256</t>
  </si>
  <si>
    <t xml:space="preserve">FALSE 597</t>
  </si>
  <si>
    <t xml:space="preserve">https://www.inaturalist.org/observations/382870810</t>
  </si>
  <si>
    <t xml:space="preserve">FALSE 598</t>
  </si>
  <si>
    <t xml:space="preserve">Limnodynastes dorsalis</t>
  </si>
  <si>
    <t xml:space="preserve">https://www.inaturalist.org/observations/382868398</t>
  </si>
  <si>
    <t xml:space="preserve">FALSE 599</t>
  </si>
  <si>
    <t xml:space="preserve">Rana macrocnemis</t>
  </si>
  <si>
    <t xml:space="preserve">https://www.inaturalist.org/observations/382867663</t>
  </si>
  <si>
    <t xml:space="preserve">FALSE 600</t>
  </si>
  <si>
    <t xml:space="preserve">Rana italica</t>
  </si>
  <si>
    <t xml:space="preserve">https://www.inaturalist.org/observations/382867266</t>
  </si>
  <si>
    <t xml:space="preserve">FALSE 601</t>
  </si>
  <si>
    <t xml:space="preserve">Turtles</t>
  </si>
  <si>
    <t xml:space="preserve">Chelydra serpentina</t>
  </si>
  <si>
    <t xml:space="preserve">https://www.inaturalist.org/observations/383167911</t>
  </si>
  <si>
    <t xml:space="preserve">FALSE 602</t>
  </si>
  <si>
    <t xml:space="preserve">Trachemys scripta elegans</t>
  </si>
  <si>
    <t xml:space="preserve">https://www.inaturalist.org/observations/383166093</t>
  </si>
  <si>
    <t xml:space="preserve">FALSE 603</t>
  </si>
  <si>
    <t xml:space="preserve">Chrysemys picta</t>
  </si>
  <si>
    <t xml:space="preserve">https://www.inaturalist.org/observations/383162467</t>
  </si>
  <si>
    <t xml:space="preserve">FALSE 604</t>
  </si>
  <si>
    <t xml:space="preserve">Chrysemys picta picta</t>
  </si>
  <si>
    <t xml:space="preserve">https://www.inaturalist.org/observations/383162281</t>
  </si>
  <si>
    <t xml:space="preserve">FALSE 605</t>
  </si>
  <si>
    <t xml:space="preserve">Chelonia mydas</t>
  </si>
  <si>
    <t xml:space="preserve">https://www.inaturalist.org/observations/383161466</t>
  </si>
  <si>
    <t xml:space="preserve">FALSE 606</t>
  </si>
  <si>
    <t xml:space="preserve">Chrysemys picta marginata</t>
  </si>
  <si>
    <t xml:space="preserve">https://www.inaturalist.org/observations/383161371</t>
  </si>
  <si>
    <t xml:space="preserve">FALSE 607</t>
  </si>
  <si>
    <t xml:space="preserve">Sternotherus odoratus</t>
  </si>
  <si>
    <t xml:space="preserve">https://www.inaturalist.org/observations/383160664</t>
  </si>
  <si>
    <t xml:space="preserve">FALSE 608</t>
  </si>
  <si>
    <t xml:space="preserve">Terrapene carolina</t>
  </si>
  <si>
    <t xml:space="preserve">https://www.inaturalist.org/observations/383159430</t>
  </si>
  <si>
    <t xml:space="preserve">FALSE 609</t>
  </si>
  <si>
    <t xml:space="preserve">Terrapene carolina carolina</t>
  </si>
  <si>
    <t xml:space="preserve">https://www.inaturalist.org/observations/383146576</t>
  </si>
  <si>
    <t xml:space="preserve">FALSE 610</t>
  </si>
  <si>
    <t xml:space="preserve">Terrapene carolina bauri</t>
  </si>
  <si>
    <t xml:space="preserve">https://www.inaturalist.org/observations/383138966</t>
  </si>
  <si>
    <t xml:space="preserve">FALSE 611</t>
  </si>
  <si>
    <t xml:space="preserve">Graptemys geographica</t>
  </si>
  <si>
    <t xml:space="preserve">https://www.inaturalist.org/observations/383118995</t>
  </si>
  <si>
    <t xml:space="preserve">FALSE 612</t>
  </si>
  <si>
    <t xml:space="preserve">Glyptemys insculpta</t>
  </si>
  <si>
    <t xml:space="preserve">https://www.inaturalist.org/observations/383116917</t>
  </si>
  <si>
    <t xml:space="preserve">FALSE 613</t>
  </si>
  <si>
    <t xml:space="preserve">Trachemys scripta</t>
  </si>
  <si>
    <t xml:space="preserve">https://www.inaturalist.org/observations/383116557</t>
  </si>
  <si>
    <t xml:space="preserve">FALSE 614</t>
  </si>
  <si>
    <t xml:space="preserve">Gopherus agassizii</t>
  </si>
  <si>
    <t xml:space="preserve">https://www.inaturalist.org/observations/383114364</t>
  </si>
  <si>
    <t xml:space="preserve">FALSE 615</t>
  </si>
  <si>
    <t xml:space="preserve">Pseudemys rubriventris</t>
  </si>
  <si>
    <t xml:space="preserve">https://www.inaturalist.org/observations/383102894</t>
  </si>
  <si>
    <t xml:space="preserve">FALSE 616</t>
  </si>
  <si>
    <t xml:space="preserve">Chelonoidis carbonarius</t>
  </si>
  <si>
    <t xml:space="preserve">https://www.inaturalist.org/observations/381545295</t>
  </si>
  <si>
    <t xml:space="preserve">FALSE 617</t>
  </si>
  <si>
    <t xml:space="preserve">Actinemys marmorata</t>
  </si>
  <si>
    <t xml:space="preserve">https://www.inaturalist.org/observations/383096437</t>
  </si>
  <si>
    <t xml:space="preserve">FALSE 618</t>
  </si>
  <si>
    <t xml:space="preserve">Emys orbicularis</t>
  </si>
  <si>
    <t xml:space="preserve">https://www.inaturalist.org/observations/383087784</t>
  </si>
  <si>
    <t xml:space="preserve">FALSE 619</t>
  </si>
  <si>
    <t xml:space="preserve">Eretmochelys imbricata</t>
  </si>
  <si>
    <t xml:space="preserve">https://www.inaturalist.org/observations/383067484</t>
  </si>
  <si>
    <t xml:space="preserve">FALSE 620</t>
  </si>
  <si>
    <t xml:space="preserve">Testudo hermanni</t>
  </si>
  <si>
    <t xml:space="preserve">https://www.inaturalist.org/observations/383061008</t>
  </si>
  <si>
    <t xml:space="preserve">FALSE 621</t>
  </si>
  <si>
    <t xml:space="preserve">Testudo graeca</t>
  </si>
  <si>
    <t xml:space="preserve">https://www.inaturalist.org/observations/383050942</t>
  </si>
  <si>
    <t xml:space="preserve">FALSE 622</t>
  </si>
  <si>
    <t xml:space="preserve">Trachemys scripta scripta</t>
  </si>
  <si>
    <t xml:space="preserve">https://www.inaturalist.org/observations/383049688</t>
  </si>
  <si>
    <t xml:space="preserve">FALSE 623</t>
  </si>
  <si>
    <t xml:space="preserve">Terrapene ornata</t>
  </si>
  <si>
    <t xml:space="preserve">https://www.inaturalist.org/observations/383010431</t>
  </si>
  <si>
    <t xml:space="preserve">FALSE 624</t>
  </si>
  <si>
    <t xml:space="preserve">Astrochelys radiata</t>
  </si>
  <si>
    <t xml:space="preserve">https://www.inaturalist.org/observations/383005405</t>
  </si>
  <si>
    <t xml:space="preserve">FALSE 625</t>
  </si>
  <si>
    <t xml:space="preserve">Apalone ferox</t>
  </si>
  <si>
    <t xml:space="preserve">https://www.inaturalist.org/observations/382992268</t>
  </si>
  <si>
    <t xml:space="preserve">FALSE 626</t>
  </si>
  <si>
    <t xml:space="preserve">Caretta caretta</t>
  </si>
  <si>
    <t xml:space="preserve">https://www.inaturalist.org/observations/382985094</t>
  </si>
  <si>
    <t xml:space="preserve">FALSE 627</t>
  </si>
  <si>
    <t xml:space="preserve">Pseudemys nelsoni</t>
  </si>
  <si>
    <t xml:space="preserve">https://www.inaturalist.org/observations/382961804</t>
  </si>
  <si>
    <t xml:space="preserve">FALSE 628</t>
  </si>
  <si>
    <t xml:space="preserve">Cuora couro kamaroma</t>
  </si>
  <si>
    <t xml:space="preserve">https://www.inaturalist.org/observations/382960050</t>
  </si>
  <si>
    <t xml:space="preserve">FALSE 629</t>
  </si>
  <si>
    <t xml:space="preserve">Kinosternon leucostomum</t>
  </si>
  <si>
    <t xml:space="preserve">https://www.inaturalist.org/observations/382951064</t>
  </si>
  <si>
    <t xml:space="preserve">FALSE 630</t>
  </si>
  <si>
    <t xml:space="preserve">Mauremys mutica</t>
  </si>
  <si>
    <t xml:space="preserve">https://www.inaturalist.org/observations/382942030</t>
  </si>
  <si>
    <t xml:space="preserve">FALSE 631</t>
  </si>
  <si>
    <t xml:space="preserve">Dermochelys coriacea</t>
  </si>
  <si>
    <t xml:space="preserve">https://www.inaturalist.org/observations/382912550</t>
  </si>
  <si>
    <t xml:space="preserve">FALSE 632</t>
  </si>
  <si>
    <t xml:space="preserve">Chelonoidis niger</t>
  </si>
  <si>
    <t xml:space="preserve">https://www.inaturalist.org/observations/382896555</t>
  </si>
  <si>
    <t xml:space="preserve">FALSE 633</t>
  </si>
  <si>
    <t xml:space="preserve">Chersina angulata</t>
  </si>
  <si>
    <t xml:space="preserve">https://www.inaturalist.org/observations/382885830</t>
  </si>
  <si>
    <t xml:space="preserve">FALSE 634</t>
  </si>
  <si>
    <t xml:space="preserve">Testudo graeca ibera</t>
  </si>
  <si>
    <t xml:space="preserve">https://www.inaturalist.org/observations/382879951</t>
  </si>
  <si>
    <t xml:space="preserve">FALSE 635</t>
  </si>
  <si>
    <t xml:space="preserve">Apalone spinifera</t>
  </si>
  <si>
    <t xml:space="preserve">https://www.inaturalist.org/observations/382872264</t>
  </si>
  <si>
    <t xml:space="preserve">FALSE 636</t>
  </si>
  <si>
    <t xml:space="preserve">Mauremys rivulata</t>
  </si>
  <si>
    <t xml:space="preserve">https://www.inaturalist.org/observations/382865524</t>
  </si>
  <si>
    <t xml:space="preserve">FALSE 637</t>
  </si>
  <si>
    <t xml:space="preserve">Stigmochelys pardalis</t>
  </si>
  <si>
    <t xml:space="preserve">https://www.inaturalist.org/observations/382858656</t>
  </si>
  <si>
    <t xml:space="preserve">FALSE 638</t>
  </si>
  <si>
    <t xml:space="preserve">Pelomedusa galeata</t>
  </si>
  <si>
    <t xml:space="preserve">https://www.inaturalist.org/observations/382857871</t>
  </si>
  <si>
    <t xml:space="preserve">FALSE 639</t>
  </si>
  <si>
    <t xml:space="preserve">Homopus areolatus</t>
  </si>
  <si>
    <t xml:space="preserve">https://www.inaturalist.org/observations/382847850</t>
  </si>
  <si>
    <t xml:space="preserve">FALSE 640</t>
  </si>
  <si>
    <t xml:space="preserve">Chelodina expansa</t>
  </si>
  <si>
    <t xml:space="preserve">https://www.inaturalist.org/observations/382846964</t>
  </si>
  <si>
    <t xml:space="preserve">FALSE 641</t>
  </si>
  <si>
    <t xml:space="preserve">Lepidochelys kempii</t>
  </si>
  <si>
    <t xml:space="preserve">https://www.inaturalist.org/observations/382836656</t>
  </si>
  <si>
    <t xml:space="preserve">FALSE 642</t>
  </si>
  <si>
    <t xml:space="preserve">Pelodiscus maackii</t>
  </si>
  <si>
    <t xml:space="preserve">https://www.inaturalist.org/observations/382836100</t>
  </si>
  <si>
    <t xml:space="preserve">FALSE 643</t>
  </si>
  <si>
    <t xml:space="preserve">Clemmys guttata</t>
  </si>
  <si>
    <t xml:space="preserve">https://www.inaturalist.org/observations/382834955</t>
  </si>
  <si>
    <t xml:space="preserve">FALSE 644</t>
  </si>
  <si>
    <t xml:space="preserve">Gopherus morafkai</t>
  </si>
  <si>
    <t xml:space="preserve">https://www.inaturalist.org/observations/382830719</t>
  </si>
  <si>
    <t xml:space="preserve">FALSE 645</t>
  </si>
  <si>
    <t xml:space="preserve">Emydura macquarii</t>
  </si>
  <si>
    <t xml:space="preserve">https://www.inaturalist.org/observations/382823001</t>
  </si>
  <si>
    <t xml:space="preserve">FALSE 646</t>
  </si>
  <si>
    <t xml:space="preserve">Mauremys reevesii</t>
  </si>
  <si>
    <t xml:space="preserve">https://www.inaturalist.org/observations/382815645</t>
  </si>
  <si>
    <t xml:space="preserve">FALSE 647</t>
  </si>
  <si>
    <t xml:space="preserve">Pelodiscus sinensis</t>
  </si>
  <si>
    <t xml:space="preserve">https://www.inaturalist.org/observations/382814630</t>
  </si>
  <si>
    <t xml:space="preserve">FALSE 648</t>
  </si>
  <si>
    <t xml:space="preserve">Deirochelys reticularia</t>
  </si>
  <si>
    <t xml:space="preserve">https://www.inaturalist.org/observations/382809310</t>
  </si>
  <si>
    <t xml:space="preserve">FALSE 649</t>
  </si>
  <si>
    <t xml:space="preserve">Trachemys dorbigni</t>
  </si>
  <si>
    <t xml:space="preserve">https://www.inaturalist.org/observations/382759511</t>
  </si>
  <si>
    <t xml:space="preserve">FALSE 650</t>
  </si>
  <si>
    <t xml:space="preserve">Graptemys pseudogeographica</t>
  </si>
  <si>
    <t xml:space="preserve">https://www.inaturalist.org/observations/382757668</t>
  </si>
  <si>
    <t xml:space="preserve">FALSE 651</t>
  </si>
  <si>
    <t xml:space="preserve">Chelonoidis niger donfaustoi</t>
  </si>
  <si>
    <t xml:space="preserve">https://www.inaturalist.org/observations/382678569</t>
  </si>
  <si>
    <t xml:space="preserve">FALSE 652</t>
  </si>
  <si>
    <t xml:space="preserve">Lissemys punctata vittata</t>
  </si>
  <si>
    <t xml:space="preserve">https://www.inaturalist.org/observations/382661184</t>
  </si>
  <si>
    <t xml:space="preserve">FALSE 653</t>
  </si>
  <si>
    <t xml:space="preserve">Apalone spinifera spinifera</t>
  </si>
  <si>
    <t xml:space="preserve">https://www.inaturalist.org/observations/382656965</t>
  </si>
  <si>
    <t xml:space="preserve">FALSE 654</t>
  </si>
  <si>
    <t xml:space="preserve">Kinosternon herrerai</t>
  </si>
  <si>
    <t xml:space="preserve">https://www.inaturalist.org/observations/382651141</t>
  </si>
  <si>
    <t xml:space="preserve">FALSE 655</t>
  </si>
  <si>
    <t xml:space="preserve">Kinosternon baurii</t>
  </si>
  <si>
    <t xml:space="preserve">https://www.inaturalist.org/observations/382631584</t>
  </si>
  <si>
    <t xml:space="preserve">FALSE 656</t>
  </si>
  <si>
    <t xml:space="preserve">Kinosternon sonoriense</t>
  </si>
  <si>
    <t xml:space="preserve">https://www.inaturalist.org/observations/382627285</t>
  </si>
  <si>
    <t xml:space="preserve">FALSE 657</t>
  </si>
  <si>
    <t xml:space="preserve">Amyda cartilaginea</t>
  </si>
  <si>
    <t xml:space="preserve">https://www.inaturalist.org/observations/382600007</t>
  </si>
  <si>
    <t xml:space="preserve">FALSE 658</t>
  </si>
  <si>
    <t xml:space="preserve">Manouria emys</t>
  </si>
  <si>
    <t xml:space="preserve">https://www.inaturalist.org/observations/382561602</t>
  </si>
  <si>
    <t xml:space="preserve">FALSE 659</t>
  </si>
  <si>
    <t xml:space="preserve">Lissemys punctata</t>
  </si>
  <si>
    <t xml:space="preserve">https://www.inaturalist.org/observations/382554090</t>
  </si>
  <si>
    <t xml:space="preserve">FALSE 660</t>
  </si>
  <si>
    <t xml:space="preserve">Cuora mouhotii</t>
  </si>
  <si>
    <t xml:space="preserve">https://www.inaturalist.org/observations/382513260</t>
  </si>
  <si>
    <t xml:space="preserve">FALSE 661</t>
  </si>
  <si>
    <t xml:space="preserve">Platysternon megacephalum</t>
  </si>
  <si>
    <t xml:space="preserve">https://www.inaturalist.org/observations/382490334</t>
  </si>
  <si>
    <t xml:space="preserve">FALSE 662</t>
  </si>
  <si>
    <t xml:space="preserve">Malayemys macrocephala</t>
  </si>
  <si>
    <t xml:space="preserve">https://www.inaturalist.org/observations/382484662</t>
  </si>
  <si>
    <t xml:space="preserve">FALSE 663</t>
  </si>
  <si>
    <t xml:space="preserve">Trachemys stejnegeri</t>
  </si>
  <si>
    <t xml:space="preserve">https://www.inaturalist.org/observations/382446728</t>
  </si>
  <si>
    <t xml:space="preserve">FALSE 664</t>
  </si>
  <si>
    <t xml:space="preserve">Kinosternon albogulare</t>
  </si>
  <si>
    <t xml:space="preserve">https://www.inaturalist.org/observations/382436659</t>
  </si>
  <si>
    <t xml:space="preserve">FALSE 665</t>
  </si>
  <si>
    <t xml:space="preserve">Phrynops hilarii</t>
  </si>
  <si>
    <t xml:space="preserve">https://www.inaturalist.org/observations/382395455</t>
  </si>
  <si>
    <t xml:space="preserve">FALSE 666</t>
  </si>
  <si>
    <t xml:space="preserve">Phrynops williamsi</t>
  </si>
  <si>
    <t xml:space="preserve">https://www.inaturalist.org/observations/382310371</t>
  </si>
  <si>
    <t xml:space="preserve">FALSE 667</t>
  </si>
  <si>
    <t xml:space="preserve">Sternotherus minor</t>
  </si>
  <si>
    <t xml:space="preserve">https://www.inaturalist.org/observations/382289945</t>
  </si>
  <si>
    <t xml:space="preserve">FALSE 668</t>
  </si>
  <si>
    <t xml:space="preserve">Kinosternon subrubrum subrubrum</t>
  </si>
  <si>
    <t xml:space="preserve">https://www.inaturalist.org/observations/382275304</t>
  </si>
  <si>
    <t xml:space="preserve">FALSE 669</t>
  </si>
  <si>
    <t xml:space="preserve">Mauremys japonica</t>
  </si>
  <si>
    <t xml:space="preserve">https://www.inaturalist.org/observations/382227646</t>
  </si>
  <si>
    <t xml:space="preserve">FALSE 670</t>
  </si>
  <si>
    <t xml:space="preserve">Chelonoidis niger vandenburghi</t>
  </si>
  <si>
    <t xml:space="preserve">https://www.inaturalist.org/observations/382226941</t>
  </si>
  <si>
    <t xml:space="preserve">FALSE 671</t>
  </si>
  <si>
    <t xml:space="preserve">Chelodina oblonga</t>
  </si>
  <si>
    <t xml:space="preserve">https://www.inaturalist.org/observations/382219856</t>
  </si>
  <si>
    <t xml:space="preserve">FALSE 672</t>
  </si>
  <si>
    <t xml:space="preserve">Centrochelys sulcata</t>
  </si>
  <si>
    <t xml:space="preserve">https://www.inaturalist.org/observations/382211852</t>
  </si>
  <si>
    <t xml:space="preserve">FALSE 673</t>
  </si>
  <si>
    <t xml:space="preserve">Phrynops geoffroanus</t>
  </si>
  <si>
    <t xml:space="preserve">https://www.inaturalist.org/observations/382187824</t>
  </si>
  <si>
    <t xml:space="preserve">FALSE 674</t>
  </si>
  <si>
    <t xml:space="preserve">Myuchelys latisternum</t>
  </si>
  <si>
    <t xml:space="preserve">https://www.inaturalist.org/observations/382177474</t>
  </si>
  <si>
    <t xml:space="preserve">FALSE 675</t>
  </si>
  <si>
    <t xml:space="preserve">Actinemys pallida</t>
  </si>
  <si>
    <t xml:space="preserve">https://www.inaturalist.org/observations/382169278</t>
  </si>
  <si>
    <t xml:space="preserve">FALSE 676</t>
  </si>
  <si>
    <t xml:space="preserve">Malaclemys terrapin centrata</t>
  </si>
  <si>
    <t xml:space="preserve">https://www.inaturalist.org/observations/382165535</t>
  </si>
  <si>
    <t xml:space="preserve">FALSE 677</t>
  </si>
  <si>
    <t xml:space="preserve">Kinosternon acutum</t>
  </si>
  <si>
    <t xml:space="preserve">https://www.inaturalist.org/observations/382163752</t>
  </si>
  <si>
    <t xml:space="preserve">FALSE 678</t>
  </si>
  <si>
    <t xml:space="preserve">Rhinoclemmys punctularia</t>
  </si>
  <si>
    <t xml:space="preserve">https://www.inaturalist.org/observations/382138501</t>
  </si>
  <si>
    <t xml:space="preserve">FALSE 679</t>
  </si>
  <si>
    <t xml:space="preserve">Podocnemis unifilis</t>
  </si>
  <si>
    <t xml:space="preserve">https://www.inaturalist.org/observations/382116562</t>
  </si>
  <si>
    <t xml:space="preserve">FALSE 680</t>
  </si>
  <si>
    <t xml:space="preserve">Apalone spinifera emoryi</t>
  </si>
  <si>
    <t xml:space="preserve">https://www.inaturalist.org/observations/382081760</t>
  </si>
  <si>
    <t xml:space="preserve">FALSE 681</t>
  </si>
  <si>
    <t xml:space="preserve">Pseudemys concinna concinna</t>
  </si>
  <si>
    <t xml:space="preserve">https://www.inaturalist.org/observations/382049220</t>
  </si>
  <si>
    <t xml:space="preserve">FALSE 682</t>
  </si>
  <si>
    <t xml:space="preserve">Claudius angustatus</t>
  </si>
  <si>
    <t xml:space="preserve">https://www.inaturalist.org/observations/381996260</t>
  </si>
  <si>
    <t xml:space="preserve">FALSE 683</t>
  </si>
  <si>
    <t xml:space="preserve">Lepidochelys olivacea</t>
  </si>
  <si>
    <t xml:space="preserve">https://www.inaturalist.org/observations/381980884</t>
  </si>
  <si>
    <t xml:space="preserve">FALSE 684</t>
  </si>
  <si>
    <t xml:space="preserve">Hydromedusa tectifera</t>
  </si>
  <si>
    <t xml:space="preserve">https://www.inaturalist.org/observations/381956355</t>
  </si>
  <si>
    <t xml:space="preserve">FALSE 685</t>
  </si>
  <si>
    <t xml:space="preserve">Psammobates geometricus</t>
  </si>
  <si>
    <t xml:space="preserve">https://www.inaturalist.org/observations/381897163</t>
  </si>
  <si>
    <t xml:space="preserve">FALSE 686</t>
  </si>
  <si>
    <t xml:space="preserve">Podocnemis vogli</t>
  </si>
  <si>
    <t xml:space="preserve">https://www.inaturalist.org/observations/381894782</t>
  </si>
  <si>
    <t xml:space="preserve">FALSE 687</t>
  </si>
  <si>
    <t xml:space="preserve">Trachemys venusta</t>
  </si>
  <si>
    <t xml:space="preserve">https://www.inaturalist.org/observations/381861057</t>
  </si>
  <si>
    <t xml:space="preserve">FALSE 688</t>
  </si>
  <si>
    <t xml:space="preserve">Trachemys stejnegeri vicina</t>
  </si>
  <si>
    <t xml:space="preserve">https://www.inaturalist.org/observations/381822871</t>
  </si>
  <si>
    <t xml:space="preserve">FALSE 689</t>
  </si>
  <si>
    <t xml:space="preserve">Pseudemys floridana</t>
  </si>
  <si>
    <t xml:space="preserve">https://www.inaturalist.org/observations/381818652</t>
  </si>
  <si>
    <t xml:space="preserve">FALSE 690</t>
  </si>
  <si>
    <t xml:space="preserve">Kinixys belliana</t>
  </si>
  <si>
    <t xml:space="preserve">https://www.inaturalist.org/observations/381781969</t>
  </si>
  <si>
    <t xml:space="preserve">FALSE 691</t>
  </si>
  <si>
    <t xml:space="preserve">Malacochersus tornieri</t>
  </si>
  <si>
    <t xml:space="preserve">https://www.inaturalist.org/observations/381781901</t>
  </si>
  <si>
    <t xml:space="preserve">FALSE 692</t>
  </si>
  <si>
    <t xml:space="preserve">Trachemys grayi emolli</t>
  </si>
  <si>
    <t xml:space="preserve">https://www.inaturalist.org/observations/381777556</t>
  </si>
  <si>
    <t xml:space="preserve">FALSE 693</t>
  </si>
  <si>
    <t xml:space="preserve">Pseudemys concinna suwanniensis</t>
  </si>
  <si>
    <t xml:space="preserve">https://www.inaturalist.org/observations/381754576</t>
  </si>
  <si>
    <t xml:space="preserve">FALSE 694</t>
  </si>
  <si>
    <t xml:space="preserve">Rhinoclemmys pulcherrima manni</t>
  </si>
  <si>
    <t xml:space="preserve">https://www.inaturalist.org/observations/381747603</t>
  </si>
  <si>
    <t xml:space="preserve">FALSE 695</t>
  </si>
  <si>
    <t xml:space="preserve">Lissemys punctata andersoni</t>
  </si>
  <si>
    <t xml:space="preserve">https://www.inaturalist.org/observations/381734490</t>
  </si>
  <si>
    <t xml:space="preserve">FALSE 696</t>
  </si>
  <si>
    <t xml:space="preserve">Melanochelys trijuga</t>
  </si>
  <si>
    <t xml:space="preserve">https://www.inaturalist.org/observations/381719551</t>
  </si>
  <si>
    <t xml:space="preserve">FALSE 697</t>
  </si>
  <si>
    <t xml:space="preserve">Mauremys caspica</t>
  </si>
  <si>
    <t xml:space="preserve">https://www.inaturalist.org/observations/381700408</t>
  </si>
  <si>
    <t xml:space="preserve">FALSE 698</t>
  </si>
  <si>
    <t xml:space="preserve">Terrapene mexicana</t>
  </si>
  <si>
    <t xml:space="preserve">https://www.inaturalist.org/observations/381684386</t>
  </si>
  <si>
    <t xml:space="preserve">FALSE 699</t>
  </si>
  <si>
    <t xml:space="preserve">Geochelone elegans</t>
  </si>
  <si>
    <t xml:space="preserve">https://www.inaturalist.org/observations/381679327</t>
  </si>
  <si>
    <t xml:space="preserve">FALSE 700</t>
  </si>
  <si>
    <t xml:space="preserve">Psammobates tentorius trimeni</t>
  </si>
  <si>
    <t xml:space="preserve">https://www.inaturalist.org/observations/381597490</t>
  </si>
  <si>
    <t xml:space="preserve">FALSE 701</t>
  </si>
  <si>
    <t xml:space="preserve">Crocodiles, Alligators, and Relatives</t>
  </si>
  <si>
    <t xml:space="preserve">Alligator mississippiensis</t>
  </si>
  <si>
    <t xml:space="preserve">https://www.inaturalist.org/observations/383157527</t>
  </si>
  <si>
    <t xml:space="preserve">FALSE 702</t>
  </si>
  <si>
    <t xml:space="preserve">Caiman crocodilus</t>
  </si>
  <si>
    <t xml:space="preserve">https://www.inaturalist.org/observations/383115397</t>
  </si>
  <si>
    <t xml:space="preserve">FALSE 703</t>
  </si>
  <si>
    <t xml:space="preserve">Crocodylus palustris</t>
  </si>
  <si>
    <t xml:space="preserve">https://www.inaturalist.org/observations/383071227</t>
  </si>
  <si>
    <t xml:space="preserve">FALSE 704</t>
  </si>
  <si>
    <t xml:space="preserve">Crocodylus suchus</t>
  </si>
  <si>
    <t xml:space="preserve">https://www.inaturalist.org/observations/383050944</t>
  </si>
  <si>
    <t xml:space="preserve">FALSE 705</t>
  </si>
  <si>
    <t xml:space="preserve">Crocodylus moreletii</t>
  </si>
  <si>
    <t xml:space="preserve">https://www.inaturalist.org/observations/383021359</t>
  </si>
  <si>
    <t xml:space="preserve">FALSE 706</t>
  </si>
  <si>
    <t xml:space="preserve">Crocodylus porosus</t>
  </si>
  <si>
    <t xml:space="preserve">https://www.inaturalist.org/observations/382937721</t>
  </si>
  <si>
    <t xml:space="preserve">FALSE 707</t>
  </si>
  <si>
    <t xml:space="preserve">Crocodylus johnstoni</t>
  </si>
  <si>
    <t xml:space="preserve">https://www.inaturalist.org/observations/382902940</t>
  </si>
  <si>
    <t xml:space="preserve">FALSE 708</t>
  </si>
  <si>
    <t xml:space="preserve">Osteolaemus tetraspis</t>
  </si>
  <si>
    <t xml:space="preserve">https://www.inaturalist.org/observations/382790076</t>
  </si>
  <si>
    <t xml:space="preserve">FALSE 709</t>
  </si>
  <si>
    <t xml:space="preserve">Caiman latirostris</t>
  </si>
  <si>
    <t xml:space="preserve">https://www.inaturalist.org/observations/382750817</t>
  </si>
  <si>
    <t xml:space="preserve">FALSE 710</t>
  </si>
  <si>
    <t xml:space="preserve">Paleosuchus palpebrosus</t>
  </si>
  <si>
    <t xml:space="preserve">https://www.inaturalist.org/observations/382442717</t>
  </si>
  <si>
    <t xml:space="preserve">FALSE 711</t>
  </si>
  <si>
    <t xml:space="preserve">Gavialis gangeticus</t>
  </si>
  <si>
    <t xml:space="preserve">https://www.inaturalist.org/observations/382315180</t>
  </si>
  <si>
    <t xml:space="preserve">FALSE 712</t>
  </si>
  <si>
    <t xml:space="preserve">Crocodylus siamensis</t>
  </si>
  <si>
    <t xml:space="preserve">https://www.inaturalist.org/observations/381938079</t>
  </si>
  <si>
    <t xml:space="preserve">FALSE 713</t>
  </si>
  <si>
    <t xml:space="preserve">Melanosuchus niger</t>
  </si>
  <si>
    <t xml:space="preserve">https://www.inaturalist.org/observations/381802200</t>
  </si>
  <si>
    <t xml:space="preserve">FALSE 714</t>
  </si>
  <si>
    <t xml:space="preserve">Paleosuchus trigonatus</t>
  </si>
  <si>
    <t xml:space="preserve">https://www.inaturalist.org/observations/381281624</t>
  </si>
  <si>
    <t xml:space="preserve">FALSE 715</t>
  </si>
  <si>
    <t xml:space="preserve">Caiman latirostris latirostris</t>
  </si>
  <si>
    <t xml:space="preserve">https://www.inaturalist.org/observations/381050190</t>
  </si>
  <si>
    <t xml:space="preserve">FALSE 716</t>
  </si>
  <si>
    <t xml:space="preserve">Crocodylus novaeguineae</t>
  </si>
  <si>
    <t xml:space="preserve">https://www.inaturalist.org/observations/380314828</t>
  </si>
  <si>
    <t xml:space="preserve">FALSE 717</t>
  </si>
  <si>
    <t xml:space="preserve">Caiman crocodilus fuscus</t>
  </si>
  <si>
    <t xml:space="preserve">https://www.inaturalist.org/observations/379875650</t>
  </si>
  <si>
    <t xml:space="preserve">FALSE 718</t>
  </si>
  <si>
    <t xml:space="preserve">Caiman crocodilus crocodilus</t>
  </si>
  <si>
    <t xml:space="preserve">https://www.inaturalist.org/observations/379761837</t>
  </si>
  <si>
    <t xml:space="preserve">FALSE 719</t>
  </si>
  <si>
    <t xml:space="preserve">Mecistops leptorhynchus</t>
  </si>
  <si>
    <t xml:space="preserve">https://www.inaturalist.org/observations/379524071</t>
  </si>
  <si>
    <t xml:space="preserve">FALSE 720</t>
  </si>
  <si>
    <t xml:space="preserve">Tomistoma schlegelii</t>
  </si>
  <si>
    <t xml:space="preserve">https://www.inaturalist.org/observations/377122363</t>
  </si>
  <si>
    <t xml:space="preserve">FALSE 721</t>
  </si>
  <si>
    <t xml:space="preserve">Agamas, Iguanas, Anoles, and Relatives</t>
  </si>
  <si>
    <t xml:space="preserve">Anolis carolinensis</t>
  </si>
  <si>
    <t xml:space="preserve">https://www.inaturalist.org/observations/383160616</t>
  </si>
  <si>
    <t xml:space="preserve">FALSE 722</t>
  </si>
  <si>
    <t xml:space="preserve">Sceloporus olivaceus</t>
  </si>
  <si>
    <t xml:space="preserve">https://www.inaturalist.org/observations/383159434</t>
  </si>
  <si>
    <t xml:space="preserve">FALSE 723</t>
  </si>
  <si>
    <t xml:space="preserve">Draco spilopterus</t>
  </si>
  <si>
    <t xml:space="preserve">https://www.inaturalist.org/observations/383159411</t>
  </si>
  <si>
    <t xml:space="preserve">FALSE 724</t>
  </si>
  <si>
    <t xml:space="preserve">Uracentron azureum</t>
  </si>
  <si>
    <t xml:space="preserve">https://www.inaturalist.org/observations/383153207</t>
  </si>
  <si>
    <t xml:space="preserve">FALSE 725</t>
  </si>
  <si>
    <t xml:space="preserve">Calotes emma</t>
  </si>
  <si>
    <t xml:space="preserve">https://www.inaturalist.org/observations/383148990</t>
  </si>
  <si>
    <t xml:space="preserve">FALSE 726</t>
  </si>
  <si>
    <t xml:space="preserve">Sceloporus tristichus</t>
  </si>
  <si>
    <t xml:space="preserve">https://www.inaturalist.org/observations/383147943</t>
  </si>
  <si>
    <t xml:space="preserve">FALSE 727</t>
  </si>
  <si>
    <t xml:space="preserve">Calotes wangi</t>
  </si>
  <si>
    <t xml:space="preserve">https://www.inaturalist.org/observations/383144998</t>
  </si>
  <si>
    <t xml:space="preserve">FALSE 728</t>
  </si>
  <si>
    <t xml:space="preserve">Intellagama lesueurii</t>
  </si>
  <si>
    <t xml:space="preserve">https://www.inaturalist.org/observations/383137513</t>
  </si>
  <si>
    <t xml:space="preserve">FALSE 729</t>
  </si>
  <si>
    <t xml:space="preserve">Phrynosoma hernandesi</t>
  </si>
  <si>
    <t xml:space="preserve">https://www.inaturalist.org/observations/383135241</t>
  </si>
  <si>
    <t xml:space="preserve">FALSE 730</t>
  </si>
  <si>
    <t xml:space="preserve">Sceloporus clarkii</t>
  </si>
  <si>
    <t xml:space="preserve">https://www.inaturalist.org/observations/383122423</t>
  </si>
  <si>
    <t xml:space="preserve">FALSE 731</t>
  </si>
  <si>
    <t xml:space="preserve">Corytophanes cristatus</t>
  </si>
  <si>
    <t xml:space="preserve">https://www.inaturalist.org/observations/383119974</t>
  </si>
  <si>
    <t xml:space="preserve">FALSE 732</t>
  </si>
  <si>
    <t xml:space="preserve">Sceloporus malachiticus</t>
  </si>
  <si>
    <t xml:space="preserve">https://www.inaturalist.org/observations/383118396</t>
  </si>
  <si>
    <t xml:space="preserve">FALSE 733</t>
  </si>
  <si>
    <t xml:space="preserve">Anolis polylepis</t>
  </si>
  <si>
    <t xml:space="preserve">https://www.inaturalist.org/observations/383118151</t>
  </si>
  <si>
    <t xml:space="preserve">FALSE 734</t>
  </si>
  <si>
    <t xml:space="preserve">Cophosaurus texanus</t>
  </si>
  <si>
    <t xml:space="preserve">https://www.inaturalist.org/observations/383117683</t>
  </si>
  <si>
    <t xml:space="preserve">FALSE 735</t>
  </si>
  <si>
    <t xml:space="preserve">Basiliscus vittatus</t>
  </si>
  <si>
    <t xml:space="preserve">https://www.inaturalist.org/observations/383115095</t>
  </si>
  <si>
    <t xml:space="preserve">FALSE 736</t>
  </si>
  <si>
    <t xml:space="preserve">Paralaudakia caucasia</t>
  </si>
  <si>
    <t xml:space="preserve">https://www.inaturalist.org/observations/383082023</t>
  </si>
  <si>
    <t xml:space="preserve">FALSE 737</t>
  </si>
  <si>
    <t xml:space="preserve">Crotaphytus collaris</t>
  </si>
  <si>
    <t xml:space="preserve">https://www.inaturalist.org/observations/383080148</t>
  </si>
  <si>
    <t xml:space="preserve">FALSE 738</t>
  </si>
  <si>
    <t xml:space="preserve">Eurolophosaurus nanuzae</t>
  </si>
  <si>
    <t xml:space="preserve">https://www.inaturalist.org/observations/383079167</t>
  </si>
  <si>
    <t xml:space="preserve">FALSE 739</t>
  </si>
  <si>
    <t xml:space="preserve">Sceloporus chrysostictus</t>
  </si>
  <si>
    <t xml:space="preserve">https://www.inaturalist.org/observations/383068794</t>
  </si>
  <si>
    <t xml:space="preserve">FALSE 740</t>
  </si>
  <si>
    <t xml:space="preserve">Uta stansburiana</t>
  </si>
  <si>
    <t xml:space="preserve">https://www.inaturalist.org/observations/383064218</t>
  </si>
  <si>
    <t xml:space="preserve">FALSE 741</t>
  </si>
  <si>
    <t xml:space="preserve">Sceloporus variabilis</t>
  </si>
  <si>
    <t xml:space="preserve">https://www.inaturalist.org/observations/383056927</t>
  </si>
  <si>
    <t xml:space="preserve">FALSE 742</t>
  </si>
  <si>
    <t xml:space="preserve">Liolaemus silvai</t>
  </si>
  <si>
    <t xml:space="preserve">https://www.inaturalist.org/observations/383043433</t>
  </si>
  <si>
    <t xml:space="preserve">FALSE 743</t>
  </si>
  <si>
    <t xml:space="preserve">Liolaemus atacamensis</t>
  </si>
  <si>
    <t xml:space="preserve">https://www.inaturalist.org/observations/383041889</t>
  </si>
  <si>
    <t xml:space="preserve">FALSE 744</t>
  </si>
  <si>
    <t xml:space="preserve">Anolis equestris</t>
  </si>
  <si>
    <t xml:space="preserve">https://www.inaturalist.org/observations/383027638</t>
  </si>
  <si>
    <t xml:space="preserve">FALSE 745</t>
  </si>
  <si>
    <t xml:space="preserve">Sceloporus cowlesi</t>
  </si>
  <si>
    <t xml:space="preserve">https://www.inaturalist.org/observations/383023658</t>
  </si>
  <si>
    <t xml:space="preserve">FALSE 746</t>
  </si>
  <si>
    <t xml:space="preserve">Sceloporus magister</t>
  </si>
  <si>
    <t xml:space="preserve">https://www.inaturalist.org/observations/383021675</t>
  </si>
  <si>
    <t xml:space="preserve">FALSE 747</t>
  </si>
  <si>
    <t xml:space="preserve">Sceloporus jarrovii</t>
  </si>
  <si>
    <t xml:space="preserve">https://www.inaturalist.org/observations/383020968</t>
  </si>
  <si>
    <t xml:space="preserve">FALSE 748</t>
  </si>
  <si>
    <t xml:space="preserve">Monilesaurus rouxii</t>
  </si>
  <si>
    <t xml:space="preserve">https://www.inaturalist.org/observations/383005304</t>
  </si>
  <si>
    <t xml:space="preserve">FALSE 749</t>
  </si>
  <si>
    <t xml:space="preserve">Anolis evermanni</t>
  </si>
  <si>
    <t xml:space="preserve">https://www.inaturalist.org/observations/382997248</t>
  </si>
  <si>
    <t xml:space="preserve">FALSE 750</t>
  </si>
  <si>
    <t xml:space="preserve">Diploderma swinhonis</t>
  </si>
  <si>
    <t xml:space="preserve">https://www.inaturalist.org/observations/382997138</t>
  </si>
  <si>
    <t xml:space="preserve">FALSE 751</t>
  </si>
  <si>
    <t xml:space="preserve">Holbrookia maculata</t>
  </si>
  <si>
    <t xml:space="preserve">https://www.inaturalist.org/observations/382994684</t>
  </si>
  <si>
    <t xml:space="preserve">FALSE 752</t>
  </si>
  <si>
    <t xml:space="preserve">Microlophus bivittatus</t>
  </si>
  <si>
    <t xml:space="preserve">https://www.inaturalist.org/observations/382993432</t>
  </si>
  <si>
    <t xml:space="preserve">FALSE 753</t>
  </si>
  <si>
    <t xml:space="preserve">Diploderma polygonatum polygonatum</t>
  </si>
  <si>
    <t xml:space="preserve">https://www.inaturalist.org/observations/382982664</t>
  </si>
  <si>
    <t xml:space="preserve">FALSE 754</t>
  </si>
  <si>
    <t xml:space="preserve">Sceloporus woodi</t>
  </si>
  <si>
    <t xml:space="preserve">https://www.inaturalist.org/observations/382980846</t>
  </si>
  <si>
    <t xml:space="preserve">FALSE 755</t>
  </si>
  <si>
    <t xml:space="preserve">Sceloporus formosus</t>
  </si>
  <si>
    <t xml:space="preserve">https://www.inaturalist.org/observations/382953837</t>
  </si>
  <si>
    <t xml:space="preserve">FALSE 756</t>
  </si>
  <si>
    <t xml:space="preserve">Chamaeleo dilepis</t>
  </si>
  <si>
    <t xml:space="preserve">https://www.inaturalist.org/observations/382953014</t>
  </si>
  <si>
    <t xml:space="preserve">FALSE 757</t>
  </si>
  <si>
    <t xml:space="preserve">Uma scoparia</t>
  </si>
  <si>
    <t xml:space="preserve">https://www.inaturalist.org/observations/382950327</t>
  </si>
  <si>
    <t xml:space="preserve">FALSE 758</t>
  </si>
  <si>
    <t xml:space="preserve">Sceloporus cyanogenys</t>
  </si>
  <si>
    <t xml:space="preserve">https://www.inaturalist.org/observations/382942349</t>
  </si>
  <si>
    <t xml:space="preserve">FALSE 759</t>
  </si>
  <si>
    <t xml:space="preserve">Acanthosaura coronata</t>
  </si>
  <si>
    <t xml:space="preserve">https://www.inaturalist.org/observations/382930861</t>
  </si>
  <si>
    <t xml:space="preserve">FALSE 760</t>
  </si>
  <si>
    <t xml:space="preserve">Bronchocela cristatella</t>
  </si>
  <si>
    <t xml:space="preserve">https://www.inaturalist.org/observations/382926315</t>
  </si>
  <si>
    <t xml:space="preserve">FALSE 761</t>
  </si>
  <si>
    <t xml:space="preserve">Chamaeleo zeylanicus</t>
  </si>
  <si>
    <t xml:space="preserve">https://www.inaturalist.org/observations/382911965</t>
  </si>
  <si>
    <t xml:space="preserve">FALSE 762</t>
  </si>
  <si>
    <t xml:space="preserve">Pseudocalotes microlepis</t>
  </si>
  <si>
    <t xml:space="preserve">https://www.inaturalist.org/observations/382908536</t>
  </si>
  <si>
    <t xml:space="preserve">FALSE 763</t>
  </si>
  <si>
    <t xml:space="preserve">Acanthosaura nataliae</t>
  </si>
  <si>
    <t xml:space="preserve">https://www.inaturalist.org/observations/382907280</t>
  </si>
  <si>
    <t xml:space="preserve">FALSE 764</t>
  </si>
  <si>
    <t xml:space="preserve">Phrynosoma platyrhinos</t>
  </si>
  <si>
    <t xml:space="preserve">https://www.inaturalist.org/observations/382896862</t>
  </si>
  <si>
    <t xml:space="preserve">FALSE 765</t>
  </si>
  <si>
    <t xml:space="preserve">Microlophus indefatigabilis</t>
  </si>
  <si>
    <t xml:space="preserve">https://www.inaturalist.org/observations/382896603</t>
  </si>
  <si>
    <t xml:space="preserve">FALSE 766</t>
  </si>
  <si>
    <t xml:space="preserve">Agama planiceps</t>
  </si>
  <si>
    <t xml:space="preserve">https://www.inaturalist.org/observations/382884975</t>
  </si>
  <si>
    <t xml:space="preserve">FALSE 767</t>
  </si>
  <si>
    <t xml:space="preserve">Calotes bachae</t>
  </si>
  <si>
    <t xml:space="preserve">https://www.inaturalist.org/observations/382884435</t>
  </si>
  <si>
    <t xml:space="preserve">FALSE 768</t>
  </si>
  <si>
    <t xml:space="preserve">Furcifer oustaleti</t>
  </si>
  <si>
    <t xml:space="preserve">https://www.inaturalist.org/observations/382873686</t>
  </si>
  <si>
    <t xml:space="preserve">FALSE 769</t>
  </si>
  <si>
    <t xml:space="preserve">Phrynosoma solare</t>
  </si>
  <si>
    <t xml:space="preserve">https://www.inaturalist.org/observations/382870973</t>
  </si>
  <si>
    <t xml:space="preserve">FALSE 770</t>
  </si>
  <si>
    <t xml:space="preserve">Furcifer rhinoceratus</t>
  </si>
  <si>
    <t xml:space="preserve">https://www.inaturalist.org/observations/382867643</t>
  </si>
  <si>
    <t xml:space="preserve">FALSE 771</t>
  </si>
  <si>
    <t xml:space="preserve">Oplurus cuvieri</t>
  </si>
  <si>
    <t xml:space="preserve">https://www.inaturalist.org/observations/382867372</t>
  </si>
  <si>
    <t xml:space="preserve">FALSE 772</t>
  </si>
  <si>
    <t xml:space="preserve">Calotes wangi wangi</t>
  </si>
  <si>
    <t xml:space="preserve">https://www.inaturalist.org/observations/382867045</t>
  </si>
  <si>
    <t xml:space="preserve">FALSE 773</t>
  </si>
  <si>
    <t xml:space="preserve">Laudakia stellio</t>
  </si>
  <si>
    <t xml:space="preserve">https://www.inaturalist.org/observations/382851974</t>
  </si>
  <si>
    <t xml:space="preserve">FALSE 774</t>
  </si>
  <si>
    <t xml:space="preserve">Trapelus sanguinolentus</t>
  </si>
  <si>
    <t xml:space="preserve">https://www.inaturalist.org/observations/382849134</t>
  </si>
  <si>
    <t xml:space="preserve">FALSE 775</t>
  </si>
  <si>
    <t xml:space="preserve">Basiliscus plumifrons</t>
  </si>
  <si>
    <t xml:space="preserve">https://www.inaturalist.org/observations/382839835</t>
  </si>
  <si>
    <t xml:space="preserve">FALSE 776</t>
  </si>
  <si>
    <t xml:space="preserve">Furcifer pardalis</t>
  </si>
  <si>
    <t xml:space="preserve">https://www.inaturalist.org/observations/382826617</t>
  </si>
  <si>
    <t xml:space="preserve">FALSE 777</t>
  </si>
  <si>
    <t xml:space="preserve">Tympanocryptis pseudopsephos</t>
  </si>
  <si>
    <t xml:space="preserve">https://www.inaturalist.org/observations/382824688</t>
  </si>
  <si>
    <t xml:space="preserve">FALSE 778</t>
  </si>
  <si>
    <t xml:space="preserve">Diporiphora australis</t>
  </si>
  <si>
    <t xml:space="preserve">https://www.inaturalist.org/observations/382811639</t>
  </si>
  <si>
    <t xml:space="preserve">FALSE 779</t>
  </si>
  <si>
    <t xml:space="preserve">Phrynosoma blainvillii</t>
  </si>
  <si>
    <t xml:space="preserve">https://www.inaturalist.org/observations/382801670</t>
  </si>
  <si>
    <t xml:space="preserve">FALSE 780</t>
  </si>
  <si>
    <t xml:space="preserve">Pelturagonia nigrilabris</t>
  </si>
  <si>
    <t xml:space="preserve">https://www.inaturalist.org/observations/382780610</t>
  </si>
  <si>
    <t xml:space="preserve">FALSE 781</t>
  </si>
  <si>
    <t xml:space="preserve">Trioceros jacksonii</t>
  </si>
  <si>
    <t xml:space="preserve">https://www.inaturalist.org/observations/382780422</t>
  </si>
  <si>
    <t xml:space="preserve">FALSE 782</t>
  </si>
  <si>
    <t xml:space="preserve">Gonocephalus grandis</t>
  </si>
  <si>
    <t xml:space="preserve">https://www.inaturalist.org/observations/382770085</t>
  </si>
  <si>
    <t xml:space="preserve">FALSE 783</t>
  </si>
  <si>
    <t xml:space="preserve">Anolis biporcatus</t>
  </si>
  <si>
    <t xml:space="preserve">https://www.inaturalist.org/observations/382769618</t>
  </si>
  <si>
    <t xml:space="preserve">FALSE 784</t>
  </si>
  <si>
    <t xml:space="preserve">Trioceros jacksonii xantholophus</t>
  </si>
  <si>
    <t xml:space="preserve">https://www.inaturalist.org/observations/382767640</t>
  </si>
  <si>
    <t xml:space="preserve">FALSE 785</t>
  </si>
  <si>
    <t xml:space="preserve">Draco maculatus</t>
  </si>
  <si>
    <t xml:space="preserve">https://www.inaturalist.org/observations/382766217</t>
  </si>
  <si>
    <t xml:space="preserve">FALSE 786</t>
  </si>
  <si>
    <t xml:space="preserve">Anolis osa</t>
  </si>
  <si>
    <t xml:space="preserve">https://www.inaturalist.org/observations/382763829</t>
  </si>
  <si>
    <t xml:space="preserve">FALSE 787</t>
  </si>
  <si>
    <t xml:space="preserve">Uta stansburiana elegans</t>
  </si>
  <si>
    <t xml:space="preserve">https://www.inaturalist.org/observations/382757223</t>
  </si>
  <si>
    <t xml:space="preserve">FALSE 788</t>
  </si>
  <si>
    <t xml:space="preserve">Sceloporus variabilis marmoratus</t>
  </si>
  <si>
    <t xml:space="preserve">https://www.inaturalist.org/observations/382756975</t>
  </si>
  <si>
    <t xml:space="preserve">FALSE 789</t>
  </si>
  <si>
    <t xml:space="preserve">Acanthosaura lepidogaster</t>
  </si>
  <si>
    <t xml:space="preserve">https://www.inaturalist.org/observations/382755006</t>
  </si>
  <si>
    <t xml:space="preserve">FALSE 790</t>
  </si>
  <si>
    <t xml:space="preserve">Holbrookia elegans</t>
  </si>
  <si>
    <t xml:space="preserve">https://www.inaturalist.org/observations/382753060</t>
  </si>
  <si>
    <t xml:space="preserve">FALSE 791</t>
  </si>
  <si>
    <t xml:space="preserve">Liolaemus zapallarensis</t>
  </si>
  <si>
    <t xml:space="preserve">https://www.inaturalist.org/observations/382751184</t>
  </si>
  <si>
    <t xml:space="preserve">FALSE 792</t>
  </si>
  <si>
    <t xml:space="preserve">Liolaemus nitidus</t>
  </si>
  <si>
    <t xml:space="preserve">https://www.inaturalist.org/observations/382749762</t>
  </si>
  <si>
    <t xml:space="preserve">FALSE 793</t>
  </si>
  <si>
    <t xml:space="preserve">Liolaemus platei</t>
  </si>
  <si>
    <t xml:space="preserve">https://www.inaturalist.org/observations/382747409</t>
  </si>
  <si>
    <t xml:space="preserve">FALSE 794</t>
  </si>
  <si>
    <t xml:space="preserve">Phrynosoma douglasii</t>
  </si>
  <si>
    <t xml:space="preserve">https://www.inaturalist.org/observations/382744685</t>
  </si>
  <si>
    <t xml:space="preserve">FALSE 795</t>
  </si>
  <si>
    <t xml:space="preserve">Urosaurus nigricauda</t>
  </si>
  <si>
    <t xml:space="preserve">https://www.inaturalist.org/observations/382706209</t>
  </si>
  <si>
    <t xml:space="preserve">FALSE 796</t>
  </si>
  <si>
    <t xml:space="preserve">Sceloporus poinsettii</t>
  </si>
  <si>
    <t xml:space="preserve">https://www.inaturalist.org/observations/382694632</t>
  </si>
  <si>
    <t xml:space="preserve">FALSE 797</t>
  </si>
  <si>
    <t xml:space="preserve">Ctenosaura conspicuosa × macrolopha</t>
  </si>
  <si>
    <t xml:space="preserve">https://www.inaturalist.org/observations/382683229</t>
  </si>
  <si>
    <t xml:space="preserve">FALSE 798</t>
  </si>
  <si>
    <t xml:space="preserve">Sceloporus slevini</t>
  </si>
  <si>
    <t xml:space="preserve">https://www.inaturalist.org/observations/382681392</t>
  </si>
  <si>
    <t xml:space="preserve">FALSE 799</t>
  </si>
  <si>
    <t xml:space="preserve">Anolis grahami</t>
  </si>
  <si>
    <t xml:space="preserve">https://www.inaturalist.org/observations/382679495</t>
  </si>
  <si>
    <t xml:space="preserve">FALSE 800</t>
  </si>
  <si>
    <t xml:space="preserve">Polychrus acutirostris</t>
  </si>
  <si>
    <t xml:space="preserve">https://www.inaturalist.org/observations/382666678</t>
  </si>
  <si>
    <t xml:space="preserve">FALSE 801</t>
  </si>
  <si>
    <t xml:space="preserve">Anolis marmoratus</t>
  </si>
  <si>
    <t xml:space="preserve">https://www.inaturalist.org/observations/382656466</t>
  </si>
  <si>
    <t xml:space="preserve">FALSE 802</t>
  </si>
  <si>
    <t xml:space="preserve">Sceloporus consobrinus</t>
  </si>
  <si>
    <t xml:space="preserve">https://www.inaturalist.org/observations/382648577</t>
  </si>
  <si>
    <t xml:space="preserve">FALSE 803</t>
  </si>
  <si>
    <t xml:space="preserve">Calotes calotes</t>
  </si>
  <si>
    <t xml:space="preserve">https://www.inaturalist.org/observations/382640747</t>
  </si>
  <si>
    <t xml:space="preserve">FALSE 804</t>
  </si>
  <si>
    <t xml:space="preserve">Lyriocephalus scutatus</t>
  </si>
  <si>
    <t xml:space="preserve">https://www.inaturalist.org/observations/382638296</t>
  </si>
  <si>
    <t xml:space="preserve">FALSE 805</t>
  </si>
  <si>
    <t xml:space="preserve">Draco melanopogon</t>
  </si>
  <si>
    <t xml:space="preserve">https://www.inaturalist.org/observations/382629045</t>
  </si>
  <si>
    <t xml:space="preserve">FALSE 806</t>
  </si>
  <si>
    <t xml:space="preserve">Draco sumatranus</t>
  </si>
  <si>
    <t xml:space="preserve">https://www.inaturalist.org/observations/382629044</t>
  </si>
  <si>
    <t xml:space="preserve">FALSE 807</t>
  </si>
  <si>
    <t xml:space="preserve">Leiolepis guentherpetersi</t>
  </si>
  <si>
    <t xml:space="preserve">https://www.inaturalist.org/observations/382607301</t>
  </si>
  <si>
    <t xml:space="preserve">FALSE 808</t>
  </si>
  <si>
    <t xml:space="preserve">Leiocephalus varius</t>
  </si>
  <si>
    <t xml:space="preserve">https://www.inaturalist.org/observations/382596040</t>
  </si>
  <si>
    <t xml:space="preserve">FALSE 809</t>
  </si>
  <si>
    <t xml:space="preserve">Anolis aeneus</t>
  </si>
  <si>
    <t xml:space="preserve">https://www.inaturalist.org/observations/382587800</t>
  </si>
  <si>
    <t xml:space="preserve">FALSE 810</t>
  </si>
  <si>
    <t xml:space="preserve">Liolaemus lemniscatus</t>
  </si>
  <si>
    <t xml:space="preserve">https://www.inaturalist.org/observations/382576738</t>
  </si>
  <si>
    <t xml:space="preserve">FALSE 811</t>
  </si>
  <si>
    <t xml:space="preserve">Anolis limifrons</t>
  </si>
  <si>
    <t xml:space="preserve">https://www.inaturalist.org/observations/382573046</t>
  </si>
  <si>
    <t xml:space="preserve">FALSE 812</t>
  </si>
  <si>
    <t xml:space="preserve">Liolaemus tenuis</t>
  </si>
  <si>
    <t xml:space="preserve">https://www.inaturalist.org/observations/382566613</t>
  </si>
  <si>
    <t xml:space="preserve">FALSE 813</t>
  </si>
  <si>
    <t xml:space="preserve">Anolis higuey</t>
  </si>
  <si>
    <t xml:space="preserve">https://www.inaturalist.org/observations/382559185</t>
  </si>
  <si>
    <t xml:space="preserve">FALSE 814</t>
  </si>
  <si>
    <t xml:space="preserve">Tropidurus semitaeniatus</t>
  </si>
  <si>
    <t xml:space="preserve">https://www.inaturalist.org/observations/382552883</t>
  </si>
  <si>
    <t xml:space="preserve">FALSE 815</t>
  </si>
  <si>
    <t xml:space="preserve">Calumma parsonii cristifer</t>
  </si>
  <si>
    <t xml:space="preserve">https://www.inaturalist.org/observations/382539691</t>
  </si>
  <si>
    <t xml:space="preserve">FALSE 816</t>
  </si>
  <si>
    <t xml:space="preserve">Calotes thailandensis</t>
  </si>
  <si>
    <t xml:space="preserve">https://www.inaturalist.org/observations/382534127</t>
  </si>
  <si>
    <t xml:space="preserve">FALSE 817</t>
  </si>
  <si>
    <t xml:space="preserve">Chlamydosaurus kingii</t>
  </si>
  <si>
    <t xml:space="preserve">https://www.inaturalist.org/observations/382519374</t>
  </si>
  <si>
    <t xml:space="preserve">FALSE 818</t>
  </si>
  <si>
    <t xml:space="preserve">Crotaphytus collaris collaris</t>
  </si>
  <si>
    <t xml:space="preserve">https://www.inaturalist.org/observations/382514451</t>
  </si>
  <si>
    <t xml:space="preserve">FALSE 819</t>
  </si>
  <si>
    <t xml:space="preserve">Sceloporus occidentalis bocourtii</t>
  </si>
  <si>
    <t xml:space="preserve">https://www.inaturalist.org/observations/382501683</t>
  </si>
  <si>
    <t xml:space="preserve">FALSE 820</t>
  </si>
  <si>
    <t xml:space="preserve">Bradypodion melanocephalum</t>
  </si>
  <si>
    <t xml:space="preserve">https://www.inaturalist.org/observations/382501148</t>
  </si>
  <si>
    <t xml:space="preserve">FALSE 821</t>
  </si>
  <si>
    <t xml:space="preserve">Anolis nebulosus</t>
  </si>
  <si>
    <t xml:space="preserve">https://www.inaturalist.org/observations/382498733</t>
  </si>
  <si>
    <t xml:space="preserve">FALSE 822</t>
  </si>
  <si>
    <t xml:space="preserve">Ctenosaura acanthura</t>
  </si>
  <si>
    <t xml:space="preserve">https://www.inaturalist.org/observations/382484711</t>
  </si>
  <si>
    <t xml:space="preserve">FALSE 823</t>
  </si>
  <si>
    <t xml:space="preserve">Anolis</t>
  </si>
  <si>
    <t xml:space="preserve">https://www.inaturalist.org/observations/382481932</t>
  </si>
  <si>
    <t xml:space="preserve">FALSE 824</t>
  </si>
  <si>
    <t xml:space="preserve">Anolis roatanensis</t>
  </si>
  <si>
    <t xml:space="preserve">https://www.inaturalist.org/observations/382481464</t>
  </si>
  <si>
    <t xml:space="preserve">FALSE 825</t>
  </si>
  <si>
    <t xml:space="preserve">Leiolepis belliana</t>
  </si>
  <si>
    <t xml:space="preserve">https://www.inaturalist.org/observations/382478119</t>
  </si>
  <si>
    <t xml:space="preserve">FALSE 826</t>
  </si>
  <si>
    <t xml:space="preserve">Stenocercus iridescens</t>
  </si>
  <si>
    <t xml:space="preserve">https://www.inaturalist.org/observations/382452878</t>
  </si>
  <si>
    <t xml:space="preserve">FALSE 827</t>
  </si>
  <si>
    <t xml:space="preserve">Phrynosoma modestum</t>
  </si>
  <si>
    <t xml:space="preserve">https://www.inaturalist.org/observations/382446841</t>
  </si>
  <si>
    <t xml:space="preserve">FALSE 828</t>
  </si>
  <si>
    <t xml:space="preserve">Anolis onca</t>
  </si>
  <si>
    <t xml:space="preserve">https://www.inaturalist.org/observations/382443154</t>
  </si>
  <si>
    <t xml:space="preserve">FALSE 829</t>
  </si>
  <si>
    <t xml:space="preserve">Sceloporus vandenburgianus</t>
  </si>
  <si>
    <t xml:space="preserve">https://www.inaturalist.org/observations/382432675</t>
  </si>
  <si>
    <t xml:space="preserve">FALSE 830</t>
  </si>
  <si>
    <t xml:space="preserve">Liolaemus araucaniensis</t>
  </si>
  <si>
    <t xml:space="preserve">https://www.inaturalist.org/observations/382396547</t>
  </si>
  <si>
    <t xml:space="preserve">FALSE 831</t>
  </si>
  <si>
    <t xml:space="preserve">Uma rufopunctata</t>
  </si>
  <si>
    <t xml:space="preserve">https://www.inaturalist.org/observations/382395156</t>
  </si>
  <si>
    <t xml:space="preserve">FALSE 832</t>
  </si>
  <si>
    <t xml:space="preserve">Bradypodion occidentale</t>
  </si>
  <si>
    <t xml:space="preserve">https://www.inaturalist.org/observations/382382585</t>
  </si>
  <si>
    <t xml:space="preserve">FALSE 833</t>
  </si>
  <si>
    <t xml:space="preserve">Acanthosaura armata</t>
  </si>
  <si>
    <t xml:space="preserve">https://www.inaturalist.org/observations/382377058</t>
  </si>
  <si>
    <t xml:space="preserve">FALSE 834</t>
  </si>
  <si>
    <t xml:space="preserve">Anolis petersii</t>
  </si>
  <si>
    <t xml:space="preserve">https://www.inaturalist.org/observations/382371372</t>
  </si>
  <si>
    <t xml:space="preserve">FALSE 835</t>
  </si>
  <si>
    <t xml:space="preserve">Holbrookia propinqua</t>
  </si>
  <si>
    <t xml:space="preserve">https://www.inaturalist.org/observations/382367951</t>
  </si>
  <si>
    <t xml:space="preserve">FALSE 836</t>
  </si>
  <si>
    <t xml:space="preserve">Sceloporus smaragdinus</t>
  </si>
  <si>
    <t xml:space="preserve">https://www.inaturalist.org/observations/382357262</t>
  </si>
  <si>
    <t xml:space="preserve">FALSE 837</t>
  </si>
  <si>
    <t xml:space="preserve">Ceratophora stoddartii</t>
  </si>
  <si>
    <t xml:space="preserve">https://www.inaturalist.org/observations/382333822</t>
  </si>
  <si>
    <t xml:space="preserve">FALSE 838</t>
  </si>
  <si>
    <t xml:space="preserve">Chamaeleo calyptratus</t>
  </si>
  <si>
    <t xml:space="preserve">https://www.inaturalist.org/observations/382333774</t>
  </si>
  <si>
    <t xml:space="preserve">FALSE 839</t>
  </si>
  <si>
    <t xml:space="preserve">Anolis etheridgei</t>
  </si>
  <si>
    <t xml:space="preserve">https://www.inaturalist.org/observations/382329721</t>
  </si>
  <si>
    <t xml:space="preserve">FALSE 840</t>
  </si>
  <si>
    <t xml:space="preserve">Liolaemus schroederi</t>
  </si>
  <si>
    <t xml:space="preserve">https://www.inaturalist.org/observations/382328446</t>
  </si>
  <si>
    <t xml:space="preserve">FALSE 841</t>
  </si>
  <si>
    <t xml:space="preserve">Liolaemus chiliensis</t>
  </si>
  <si>
    <t xml:space="preserve">https://www.inaturalist.org/observations/382320201</t>
  </si>
  <si>
    <t xml:space="preserve">FALSE 842</t>
  </si>
  <si>
    <t xml:space="preserve">Liolaemus septentrionalis</t>
  </si>
  <si>
    <t xml:space="preserve">https://www.inaturalist.org/observations/382319599</t>
  </si>
  <si>
    <t xml:space="preserve">FALSE 843</t>
  </si>
  <si>
    <t xml:space="preserve">Laemanctus serratus</t>
  </si>
  <si>
    <t xml:space="preserve">https://www.inaturalist.org/observations/382316970</t>
  </si>
  <si>
    <t xml:space="preserve">FALSE 844</t>
  </si>
  <si>
    <t xml:space="preserve">Anolis ortonii</t>
  </si>
  <si>
    <t xml:space="preserve">https://www.inaturalist.org/observations/382312107</t>
  </si>
  <si>
    <t xml:space="preserve">FALSE 845</t>
  </si>
  <si>
    <t xml:space="preserve">Amblyrhynchus cristatus wikelskii</t>
  </si>
  <si>
    <t xml:space="preserve">https://www.inaturalist.org/observations/382311032</t>
  </si>
  <si>
    <t xml:space="preserve">FALSE 846</t>
  </si>
  <si>
    <t xml:space="preserve">Gonocephalus chamaeleontinus</t>
  </si>
  <si>
    <t xml:space="preserve">https://www.inaturalist.org/observations/382302900</t>
  </si>
  <si>
    <t xml:space="preserve">FALSE 847</t>
  </si>
  <si>
    <t xml:space="preserve">Sceloporus utiformis</t>
  </si>
  <si>
    <t xml:space="preserve">https://www.inaturalist.org/observations/382295303</t>
  </si>
  <si>
    <t xml:space="preserve">FALSE 848</t>
  </si>
  <si>
    <t xml:space="preserve">Agama aculeata</t>
  </si>
  <si>
    <t xml:space="preserve">https://www.inaturalist.org/observations/382259296</t>
  </si>
  <si>
    <t xml:space="preserve">FALSE 849</t>
  </si>
  <si>
    <t xml:space="preserve">Liolaemus fabiani</t>
  </si>
  <si>
    <t xml:space="preserve">https://www.inaturalist.org/observations/382253405</t>
  </si>
  <si>
    <t xml:space="preserve">FALSE 850</t>
  </si>
  <si>
    <t xml:space="preserve">Sceloporus becki</t>
  </si>
  <si>
    <t xml:space="preserve">https://www.inaturalist.org/observations/382250978</t>
  </si>
  <si>
    <t xml:space="preserve">FALSE 851</t>
  </si>
  <si>
    <t xml:space="preserve">Moloch horridus</t>
  </si>
  <si>
    <t xml:space="preserve">https://www.inaturalist.org/observations/382243524</t>
  </si>
  <si>
    <t xml:space="preserve">FALSE 852</t>
  </si>
  <si>
    <t xml:space="preserve">Calotes mystaceus</t>
  </si>
  <si>
    <t xml:space="preserve">https://www.inaturalist.org/observations/382236909</t>
  </si>
  <si>
    <t xml:space="preserve">FALSE 853</t>
  </si>
  <si>
    <t xml:space="preserve">Ctenophorus pictus</t>
  </si>
  <si>
    <t xml:space="preserve">https://www.inaturalist.org/observations/382236573</t>
  </si>
  <si>
    <t xml:space="preserve">FALSE 854</t>
  </si>
  <si>
    <t xml:space="preserve">Anolis roquet</t>
  </si>
  <si>
    <t xml:space="preserve">https://www.inaturalist.org/observations/382235163</t>
  </si>
  <si>
    <t xml:space="preserve">FALSE 855</t>
  </si>
  <si>
    <t xml:space="preserve">Ctenophorus reticulatus</t>
  </si>
  <si>
    <t xml:space="preserve">https://www.inaturalist.org/observations/382208685</t>
  </si>
  <si>
    <t xml:space="preserve">FALSE 856</t>
  </si>
  <si>
    <t xml:space="preserve">Gowidon longirostris</t>
  </si>
  <si>
    <t xml:space="preserve">https://www.inaturalist.org/observations/382195769</t>
  </si>
  <si>
    <t xml:space="preserve">FALSE 857</t>
  </si>
  <si>
    <t xml:space="preserve">Sceloporus torquatus</t>
  </si>
  <si>
    <t xml:space="preserve">https://www.inaturalist.org/observations/382186575</t>
  </si>
  <si>
    <t xml:space="preserve">FALSE 858</t>
  </si>
  <si>
    <t xml:space="preserve">Anolis viridius</t>
  </si>
  <si>
    <t xml:space="preserve">https://www.inaturalist.org/observations/382171010</t>
  </si>
  <si>
    <t xml:space="preserve">FALSE 859</t>
  </si>
  <si>
    <t xml:space="preserve">Paralaudakia himalayana</t>
  </si>
  <si>
    <t xml:space="preserve">https://www.inaturalist.org/observations/382155965</t>
  </si>
  <si>
    <t xml:space="preserve">FALSE 860</t>
  </si>
  <si>
    <t xml:space="preserve">Sceloporus torquatus melanogaster</t>
  </si>
  <si>
    <t xml:space="preserve">https://www.inaturalist.org/observations/382152227</t>
  </si>
  <si>
    <t xml:space="preserve">FALSE 861</t>
  </si>
  <si>
    <t xml:space="preserve">Anolis allisoni</t>
  </si>
  <si>
    <t xml:space="preserve">https://www.inaturalist.org/observations/382150154</t>
  </si>
  <si>
    <t xml:space="preserve">FALSE 862</t>
  </si>
  <si>
    <t xml:space="preserve">Ctenosaura oedirhina</t>
  </si>
  <si>
    <t xml:space="preserve">https://www.inaturalist.org/observations/382149370</t>
  </si>
  <si>
    <t xml:space="preserve">FALSE 863</t>
  </si>
  <si>
    <t xml:space="preserve">Ctenosaura macrolopha</t>
  </si>
  <si>
    <t xml:space="preserve">https://www.inaturalist.org/observations/382146948</t>
  </si>
  <si>
    <t xml:space="preserve">FALSE 864</t>
  </si>
  <si>
    <t xml:space="preserve">Tropidurus torquatus</t>
  </si>
  <si>
    <t xml:space="preserve">https://www.inaturalist.org/observations/382141670</t>
  </si>
  <si>
    <t xml:space="preserve">FALSE 865</t>
  </si>
  <si>
    <t xml:space="preserve">Stenocercus fimbriatus</t>
  </si>
  <si>
    <t xml:space="preserve">https://www.inaturalist.org/observations/382135059</t>
  </si>
  <si>
    <t xml:space="preserve">FALSE 866</t>
  </si>
  <si>
    <t xml:space="preserve">Bronchocela jubata</t>
  </si>
  <si>
    <t xml:space="preserve">https://www.inaturalist.org/observations/382128249</t>
  </si>
  <si>
    <t xml:space="preserve">FALSE 867</t>
  </si>
  <si>
    <t xml:space="preserve">Chamaeleo chamaeleon chamaeleon</t>
  </si>
  <si>
    <t xml:space="preserve">https://www.inaturalist.org/observations/382117120</t>
  </si>
  <si>
    <t xml:space="preserve">FALSE 868</t>
  </si>
  <si>
    <t xml:space="preserve">Trioceros johnstoni</t>
  </si>
  <si>
    <t xml:space="preserve">https://www.inaturalist.org/observations/382095188</t>
  </si>
  <si>
    <t xml:space="preserve">FALSE 869</t>
  </si>
  <si>
    <t xml:space="preserve">Crotaphytus bicinctores</t>
  </si>
  <si>
    <t xml:space="preserve">https://www.inaturalist.org/observations/382066587</t>
  </si>
  <si>
    <t xml:space="preserve">FALSE 870</t>
  </si>
  <si>
    <t xml:space="preserve">Anolis hispaniolae</t>
  </si>
  <si>
    <t xml:space="preserve">https://www.inaturalist.org/observations/382062710</t>
  </si>
  <si>
    <t xml:space="preserve">FALSE 871</t>
  </si>
  <si>
    <t xml:space="preserve">Sceloporus spinosus</t>
  </si>
  <si>
    <t xml:space="preserve">https://www.inaturalist.org/observations/382061331</t>
  </si>
  <si>
    <t xml:space="preserve">FALSE 872</t>
  </si>
  <si>
    <t xml:space="preserve">Ctenosaura hemilopha</t>
  </si>
  <si>
    <t xml:space="preserve">https://www.inaturalist.org/observations/382053937</t>
  </si>
  <si>
    <t xml:space="preserve">FALSE 873</t>
  </si>
  <si>
    <t xml:space="preserve">Anolis boettgeri</t>
  </si>
  <si>
    <t xml:space="preserve">https://www.inaturalist.org/observations/382053614</t>
  </si>
  <si>
    <t xml:space="preserve">FALSE 874</t>
  </si>
  <si>
    <t xml:space="preserve">Agama kirkii</t>
  </si>
  <si>
    <t xml:space="preserve">https://www.inaturalist.org/observations/382013663</t>
  </si>
  <si>
    <t xml:space="preserve">FALSE 875</t>
  </si>
  <si>
    <t xml:space="preserve">Sceloporus virgatus</t>
  </si>
  <si>
    <t xml:space="preserve">https://www.inaturalist.org/observations/382002986</t>
  </si>
  <si>
    <t xml:space="preserve">FALSE 876</t>
  </si>
  <si>
    <t xml:space="preserve">Enyalius bilineatus</t>
  </si>
  <si>
    <t xml:space="preserve">https://www.inaturalist.org/observations/381998570</t>
  </si>
  <si>
    <t xml:space="preserve">FALSE 877</t>
  </si>
  <si>
    <t xml:space="preserve">Bradypodion ventrale</t>
  </si>
  <si>
    <t xml:space="preserve">https://www.inaturalist.org/observations/381988220</t>
  </si>
  <si>
    <t xml:space="preserve">FALSE 878</t>
  </si>
  <si>
    <t xml:space="preserve">Trioceros montium</t>
  </si>
  <si>
    <t xml:space="preserve">https://www.inaturalist.org/observations/381958568</t>
  </si>
  <si>
    <t xml:space="preserve">FALSE 879</t>
  </si>
  <si>
    <t xml:space="preserve">Lophosaurus boydii</t>
  </si>
  <si>
    <t xml:space="preserve">https://www.inaturalist.org/observations/381958533</t>
  </si>
  <si>
    <t xml:space="preserve">FALSE 880</t>
  </si>
  <si>
    <t xml:space="preserve">Diploderma polygonatum xanthostomum</t>
  </si>
  <si>
    <t xml:space="preserve">https://www.inaturalist.org/observations/381940754</t>
  </si>
  <si>
    <t xml:space="preserve">FALSE 881</t>
  </si>
  <si>
    <t xml:space="preserve">Draco volans</t>
  </si>
  <si>
    <t xml:space="preserve">https://www.inaturalist.org/observations/381914588</t>
  </si>
  <si>
    <t xml:space="preserve">FALSE 882</t>
  </si>
  <si>
    <t xml:space="preserve">Calumma parsonii parsonii</t>
  </si>
  <si>
    <t xml:space="preserve">https://www.inaturalist.org/observations/381908755</t>
  </si>
  <si>
    <t xml:space="preserve">FALSE 883</t>
  </si>
  <si>
    <t xml:space="preserve">Ctenophorus decresii</t>
  </si>
  <si>
    <t xml:space="preserve">https://www.inaturalist.org/observations/381897910</t>
  </si>
  <si>
    <t xml:space="preserve">FALSE 884</t>
  </si>
  <si>
    <t xml:space="preserve">Sitana laticeps</t>
  </si>
  <si>
    <t xml:space="preserve">https://www.inaturalist.org/observations/381861306</t>
  </si>
  <si>
    <t xml:space="preserve">FALSE 885</t>
  </si>
  <si>
    <t xml:space="preserve">Anolis apletophallus</t>
  </si>
  <si>
    <t xml:space="preserve">https://www.inaturalist.org/observations/381856876</t>
  </si>
  <si>
    <t xml:space="preserve">FALSE 886</t>
  </si>
  <si>
    <t xml:space="preserve">Diploderma polygonatum ishigakiense</t>
  </si>
  <si>
    <t xml:space="preserve">https://www.inaturalist.org/observations/381839200</t>
  </si>
  <si>
    <t xml:space="preserve">FALSE 887</t>
  </si>
  <si>
    <t xml:space="preserve">Calumma radamanus</t>
  </si>
  <si>
    <t xml:space="preserve">https://www.inaturalist.org/observations/381828287</t>
  </si>
  <si>
    <t xml:space="preserve">FALSE 888</t>
  </si>
  <si>
    <t xml:space="preserve">Anolis callainus</t>
  </si>
  <si>
    <t xml:space="preserve">https://www.inaturalist.org/observations/381803545</t>
  </si>
  <si>
    <t xml:space="preserve">FALSE 889</t>
  </si>
  <si>
    <t xml:space="preserve">Acanthosaura phuketensis</t>
  </si>
  <si>
    <t xml:space="preserve">https://www.inaturalist.org/observations/381801451</t>
  </si>
  <si>
    <t xml:space="preserve">FALSE 890</t>
  </si>
  <si>
    <t xml:space="preserve">Calotes goetzi</t>
  </si>
  <si>
    <t xml:space="preserve">https://www.inaturalist.org/observations/381791323</t>
  </si>
  <si>
    <t xml:space="preserve">FALSE 891</t>
  </si>
  <si>
    <t xml:space="preserve">Rieppeleon kerstenii</t>
  </si>
  <si>
    <t xml:space="preserve">https://www.inaturalist.org/observations/381781961</t>
  </si>
  <si>
    <t xml:space="preserve">FALSE 892</t>
  </si>
  <si>
    <t xml:space="preserve">Chamaeleo gracilis</t>
  </si>
  <si>
    <t xml:space="preserve">https://www.inaturalist.org/observations/381781887</t>
  </si>
  <si>
    <t xml:space="preserve">FALSE 893</t>
  </si>
  <si>
    <t xml:space="preserve">Trioceros schubotzi</t>
  </si>
  <si>
    <t xml:space="preserve">https://www.inaturalist.org/observations/381781878</t>
  </si>
  <si>
    <t xml:space="preserve">FALSE 894</t>
  </si>
  <si>
    <t xml:space="preserve">Kinyongia excubitor</t>
  </si>
  <si>
    <t xml:space="preserve">https://www.inaturalist.org/observations/381781869</t>
  </si>
  <si>
    <t xml:space="preserve">FALSE 895</t>
  </si>
  <si>
    <t xml:space="preserve">Trioceros bitaeniatus</t>
  </si>
  <si>
    <t xml:space="preserve">https://www.inaturalist.org/observations/381781863</t>
  </si>
  <si>
    <t xml:space="preserve">FALSE 896</t>
  </si>
  <si>
    <t xml:space="preserve">Trioceros hoehnelii</t>
  </si>
  <si>
    <t xml:space="preserve">https://www.inaturalist.org/observations/381781830</t>
  </si>
  <si>
    <t xml:space="preserve">FALSE 897</t>
  </si>
  <si>
    <t xml:space="preserve">Anolis richardii</t>
  </si>
  <si>
    <t xml:space="preserve">https://www.inaturalist.org/observations/381777070</t>
  </si>
  <si>
    <t xml:space="preserve">FALSE 898</t>
  </si>
  <si>
    <t xml:space="preserve">Furcifer polleni</t>
  </si>
  <si>
    <t xml:space="preserve">https://www.inaturalist.org/observations/381765648</t>
  </si>
  <si>
    <t xml:space="preserve">FALSE 899</t>
  </si>
  <si>
    <t xml:space="preserve">Phrynosoma orbiculare</t>
  </si>
  <si>
    <t xml:space="preserve">https://www.inaturalist.org/observations/381723229</t>
  </si>
  <si>
    <t xml:space="preserve">FALSE 900</t>
  </si>
  <si>
    <t xml:space="preserve">Liolaemus pictus</t>
  </si>
  <si>
    <t xml:space="preserve">https://www.inaturalist.org/observations/381696546</t>
  </si>
  <si>
    <t xml:space="preserve">FALSE 901</t>
  </si>
  <si>
    <t xml:space="preserve">Anolis frenatus</t>
  </si>
  <si>
    <t xml:space="preserve">https://www.inaturalist.org/observations/381674476</t>
  </si>
  <si>
    <t xml:space="preserve">FALSE 902</t>
  </si>
  <si>
    <t xml:space="preserve">Anolis chrysolepis</t>
  </si>
  <si>
    <t xml:space="preserve">https://www.inaturalist.org/observations/381632555</t>
  </si>
  <si>
    <t xml:space="preserve">FALSE 903</t>
  </si>
  <si>
    <t xml:space="preserve">Gonocephalus bornensis</t>
  </si>
  <si>
    <t xml:space="preserve">https://www.inaturalist.org/observations/381630417</t>
  </si>
  <si>
    <t xml:space="preserve">FALSE 904</t>
  </si>
  <si>
    <t xml:space="preserve">Agama armata</t>
  </si>
  <si>
    <t xml:space="preserve">https://www.inaturalist.org/observations/381627394</t>
  </si>
  <si>
    <t xml:space="preserve">FALSE 905</t>
  </si>
  <si>
    <t xml:space="preserve">Diploderma varcoae</t>
  </si>
  <si>
    <t xml:space="preserve">https://www.inaturalist.org/observations/381606173</t>
  </si>
  <si>
    <t xml:space="preserve">FALSE 906</t>
  </si>
  <si>
    <t xml:space="preserve">Bronchocela celebensis</t>
  </si>
  <si>
    <t xml:space="preserve">https://www.inaturalist.org/observations/381595161</t>
  </si>
  <si>
    <t xml:space="preserve">FALSE 907</t>
  </si>
  <si>
    <t xml:space="preserve">Diploderma makii</t>
  </si>
  <si>
    <t xml:space="preserve">https://www.inaturalist.org/observations/381584072</t>
  </si>
  <si>
    <t xml:space="preserve">FALSE 908</t>
  </si>
  <si>
    <t xml:space="preserve">Uta stansburiana stejnegeri</t>
  </si>
  <si>
    <t xml:space="preserve">https://www.inaturalist.org/observations/381574809</t>
  </si>
  <si>
    <t xml:space="preserve">FALSE 909</t>
  </si>
  <si>
    <t xml:space="preserve">Sceloporus occidentalis longipes</t>
  </si>
  <si>
    <t xml:space="preserve">https://www.inaturalist.org/observations/381558393</t>
  </si>
  <si>
    <t xml:space="preserve">FALSE 910</t>
  </si>
  <si>
    <t xml:space="preserve">Anolis lineatus</t>
  </si>
  <si>
    <t xml:space="preserve">https://www.inaturalist.org/observations/381532215</t>
  </si>
  <si>
    <t xml:space="preserve">FALSE 911</t>
  </si>
  <si>
    <t xml:space="preserve">Intellagama lesueurii howittii</t>
  </si>
  <si>
    <t xml:space="preserve">https://www.inaturalist.org/observations/381532131</t>
  </si>
  <si>
    <t xml:space="preserve">FALSE 912</t>
  </si>
  <si>
    <t xml:space="preserve">Phrynosoma coronatum</t>
  </si>
  <si>
    <t xml:space="preserve">https://www.inaturalist.org/observations/381527379</t>
  </si>
  <si>
    <t xml:space="preserve">FALSE 913</t>
  </si>
  <si>
    <t xml:space="preserve">Anolis concolor</t>
  </si>
  <si>
    <t xml:space="preserve">https://www.inaturalist.org/observations/381521143</t>
  </si>
  <si>
    <t xml:space="preserve">FALSE 914</t>
  </si>
  <si>
    <t xml:space="preserve">Ctenophorus caudicinctus</t>
  </si>
  <si>
    <t xml:space="preserve">https://www.inaturalist.org/observations/381509233</t>
  </si>
  <si>
    <t xml:space="preserve">FALSE 915</t>
  </si>
  <si>
    <t xml:space="preserve">Iguana iguana melanoderma</t>
  </si>
  <si>
    <t xml:space="preserve">https://www.inaturalist.org/observations/381498041</t>
  </si>
  <si>
    <t xml:space="preserve">FALSE 916</t>
  </si>
  <si>
    <t xml:space="preserve">Monilesaurus montanus</t>
  </si>
  <si>
    <t xml:space="preserve">https://www.inaturalist.org/observations/381484719</t>
  </si>
  <si>
    <t xml:space="preserve">FALSE 917</t>
  </si>
  <si>
    <t xml:space="preserve">Agama anchietae</t>
  </si>
  <si>
    <t xml:space="preserve">https://www.inaturalist.org/observations/381469981</t>
  </si>
  <si>
    <t xml:space="preserve">FALSE 918</t>
  </si>
  <si>
    <t xml:space="preserve">Anolis heterodermus</t>
  </si>
  <si>
    <t xml:space="preserve">https://www.inaturalist.org/observations/381464511</t>
  </si>
  <si>
    <t xml:space="preserve">FALSE 919</t>
  </si>
  <si>
    <t xml:space="preserve">Microlophus peruvianus</t>
  </si>
  <si>
    <t xml:space="preserve">https://www.inaturalist.org/observations/381463569</t>
  </si>
  <si>
    <t xml:space="preserve">FALSE 920</t>
  </si>
  <si>
    <t xml:space="preserve">Sceloporus lundelli</t>
  </si>
  <si>
    <t xml:space="preserve">https://www.inaturalist.org/observations/381446606</t>
  </si>
  <si>
    <t xml:space="preserve">FALSE 921</t>
  </si>
  <si>
    <t xml:space="preserve">Pogona minor minor</t>
  </si>
  <si>
    <t xml:space="preserve">https://www.inaturalist.org/observations/381441603</t>
  </si>
  <si>
    <t xml:space="preserve">FALSE 922</t>
  </si>
  <si>
    <t xml:space="preserve">Anolis porcatus</t>
  </si>
  <si>
    <t xml:space="preserve">https://www.inaturalist.org/observations/381354195</t>
  </si>
  <si>
    <t xml:space="preserve">FALSE 923</t>
  </si>
  <si>
    <t xml:space="preserve">Anolis bicaorum</t>
  </si>
  <si>
    <t xml:space="preserve">https://www.inaturalist.org/observations/381351460</t>
  </si>
  <si>
    <t xml:space="preserve">FALSE 924</t>
  </si>
  <si>
    <t xml:space="preserve">Acanthosaura rubrilabris</t>
  </si>
  <si>
    <t xml:space="preserve">https://www.inaturalist.org/observations/381347918</t>
  </si>
  <si>
    <t xml:space="preserve">FALSE 925</t>
  </si>
  <si>
    <t xml:space="preserve">Anolis auratus</t>
  </si>
  <si>
    <t xml:space="preserve">https://www.inaturalist.org/observations/381337037</t>
  </si>
  <si>
    <t xml:space="preserve">FALSE 926</t>
  </si>
  <si>
    <t xml:space="preserve">Aphaniotis fusca</t>
  </si>
  <si>
    <t xml:space="preserve">https://www.inaturalist.org/observations/381303541</t>
  </si>
  <si>
    <t xml:space="preserve">FALSE 927</t>
  </si>
  <si>
    <t xml:space="preserve">Paralaudakia bochariensis</t>
  </si>
  <si>
    <t xml:space="preserve">https://www.inaturalist.org/observations/381301952</t>
  </si>
  <si>
    <t xml:space="preserve">FALSE 928</t>
  </si>
  <si>
    <t xml:space="preserve">Kinyongia multituberculata</t>
  </si>
  <si>
    <t xml:space="preserve">https://www.inaturalist.org/observations/381297140</t>
  </si>
  <si>
    <t xml:space="preserve">FALSE 929</t>
  </si>
  <si>
    <t xml:space="preserve">Tympanocryptis petersi</t>
  </si>
  <si>
    <t xml:space="preserve">https://www.inaturalist.org/observations/381287827</t>
  </si>
  <si>
    <t xml:space="preserve">FALSE 930</t>
  </si>
  <si>
    <t xml:space="preserve">Holbrookia lacerata</t>
  </si>
  <si>
    <t xml:space="preserve">https://www.inaturalist.org/observations/381278959</t>
  </si>
  <si>
    <t xml:space="preserve">FALSE 931</t>
  </si>
  <si>
    <t xml:space="preserve">Urosaurus clarionensis</t>
  </si>
  <si>
    <t xml:space="preserve">https://www.inaturalist.org/observations/381250633</t>
  </si>
  <si>
    <t xml:space="preserve">FALSE 932</t>
  </si>
  <si>
    <t xml:space="preserve">Anolis charlesmyersi</t>
  </si>
  <si>
    <t xml:space="preserve">https://www.inaturalist.org/observations/381237193</t>
  </si>
  <si>
    <t xml:space="preserve">FALSE 933</t>
  </si>
  <si>
    <t xml:space="preserve">Ctenophorus modestus</t>
  </si>
  <si>
    <t xml:space="preserve">https://www.inaturalist.org/observations/381228632</t>
  </si>
  <si>
    <t xml:space="preserve">FALSE 934</t>
  </si>
  <si>
    <t xml:space="preserve">Liolaemus cyanogaster</t>
  </si>
  <si>
    <t xml:space="preserve">https://www.inaturalist.org/observations/381214382</t>
  </si>
  <si>
    <t xml:space="preserve">FALSE 935</t>
  </si>
  <si>
    <t xml:space="preserve">Anolis johnmeyeri</t>
  </si>
  <si>
    <t xml:space="preserve">https://www.inaturalist.org/observations/381209846</t>
  </si>
  <si>
    <t xml:space="preserve">FALSE 936</t>
  </si>
  <si>
    <t xml:space="preserve">Anolis christophei</t>
  </si>
  <si>
    <t xml:space="preserve">https://www.inaturalist.org/observations/381195548</t>
  </si>
  <si>
    <t xml:space="preserve">FALSE 937</t>
  </si>
  <si>
    <t xml:space="preserve">Liolaemus fuscus</t>
  </si>
  <si>
    <t xml:space="preserve">https://www.inaturalist.org/observations/381178789</t>
  </si>
  <si>
    <t xml:space="preserve">FALSE 938</t>
  </si>
  <si>
    <t xml:space="preserve">Iguana iguana iguana</t>
  </si>
  <si>
    <t xml:space="preserve">https://www.inaturalist.org/observations/381167972</t>
  </si>
  <si>
    <t xml:space="preserve">FALSE 939</t>
  </si>
  <si>
    <t xml:space="preserve">Sceloporus magister uniformis</t>
  </si>
  <si>
    <t xml:space="preserve">https://www.inaturalist.org/observations/381156305</t>
  </si>
  <si>
    <t xml:space="preserve">FALSE 940</t>
  </si>
  <si>
    <t xml:space="preserve">Uromastyx aegyptia</t>
  </si>
  <si>
    <t xml:space="preserve">https://www.inaturalist.org/observations/381152969</t>
  </si>
  <si>
    <t xml:space="preserve">FALSE 941</t>
  </si>
  <si>
    <t xml:space="preserve">Sceloporus siniferus</t>
  </si>
  <si>
    <t xml:space="preserve">https://www.inaturalist.org/observations/381149576</t>
  </si>
  <si>
    <t xml:space="preserve">FALSE 942</t>
  </si>
  <si>
    <t xml:space="preserve">Anolis mariarum</t>
  </si>
  <si>
    <t xml:space="preserve">https://www.inaturalist.org/observations/381134438</t>
  </si>
  <si>
    <t xml:space="preserve">FALSE 943</t>
  </si>
  <si>
    <t xml:space="preserve">Microlophus delanonis</t>
  </si>
  <si>
    <t xml:space="preserve">https://www.inaturalist.org/observations/381124056</t>
  </si>
  <si>
    <t xml:space="preserve">FALSE 944</t>
  </si>
  <si>
    <t xml:space="preserve">Sceloporus hondurensis</t>
  </si>
  <si>
    <t xml:space="preserve">https://www.inaturalist.org/observations/381105610</t>
  </si>
  <si>
    <t xml:space="preserve">FALSE 945</t>
  </si>
  <si>
    <t xml:space="preserve">Microlophus barringtonensis</t>
  </si>
  <si>
    <t xml:space="preserve">https://www.inaturalist.org/observations/381089961</t>
  </si>
  <si>
    <t xml:space="preserve">FALSE 946</t>
  </si>
  <si>
    <t xml:space="preserve">Microlophus grayii</t>
  </si>
  <si>
    <t xml:space="preserve">https://www.inaturalist.org/observations/381042239</t>
  </si>
  <si>
    <t xml:space="preserve">FALSE 947</t>
  </si>
  <si>
    <t xml:space="preserve">Strobilurus torquatus</t>
  </si>
  <si>
    <t xml:space="preserve">https://www.inaturalist.org/observations/381015459</t>
  </si>
  <si>
    <t xml:space="preserve">FALSE 948</t>
  </si>
  <si>
    <t xml:space="preserve">Enyalioides laticeps</t>
  </si>
  <si>
    <t xml:space="preserve">https://www.inaturalist.org/observations/380998647</t>
  </si>
  <si>
    <t xml:space="preserve">FALSE 949</t>
  </si>
  <si>
    <t xml:space="preserve">Amphibolurus muricatus</t>
  </si>
  <si>
    <t xml:space="preserve">https://www.inaturalist.org/observations/380998235</t>
  </si>
  <si>
    <t xml:space="preserve">FALSE 950</t>
  </si>
  <si>
    <t xml:space="preserve">Sitana spinaecephalus</t>
  </si>
  <si>
    <t xml:space="preserve">https://www.inaturalist.org/observations/380983664</t>
  </si>
  <si>
    <t xml:space="preserve">FALSE 951</t>
  </si>
  <si>
    <t xml:space="preserve">Agama lionotus</t>
  </si>
  <si>
    <t xml:space="preserve">https://www.inaturalist.org/observations/380966227</t>
  </si>
  <si>
    <t xml:space="preserve">FALSE 952</t>
  </si>
  <si>
    <t xml:space="preserve">Diploderma polygonatum</t>
  </si>
  <si>
    <t xml:space="preserve">https://www.inaturalist.org/observations/380950391</t>
  </si>
  <si>
    <t xml:space="preserve">FALSE 953</t>
  </si>
  <si>
    <t xml:space="preserve">Ctenophorus ornatus</t>
  </si>
  <si>
    <t xml:space="preserve">https://www.inaturalist.org/observations/380929903</t>
  </si>
  <si>
    <t xml:space="preserve">FALSE 954</t>
  </si>
  <si>
    <t xml:space="preserve">Rankinia diemensis</t>
  </si>
  <si>
    <t xml:space="preserve">https://www.inaturalist.org/observations/380924871</t>
  </si>
  <si>
    <t xml:space="preserve">FALSE 955</t>
  </si>
  <si>
    <t xml:space="preserve">Draco blanfordii</t>
  </si>
  <si>
    <t xml:space="preserve">https://www.inaturalist.org/observations/380918827</t>
  </si>
  <si>
    <t xml:space="preserve">FALSE 956</t>
  </si>
  <si>
    <t xml:space="preserve">Anolis tandai</t>
  </si>
  <si>
    <t xml:space="preserve">https://www.inaturalist.org/observations/380909391</t>
  </si>
  <si>
    <t xml:space="preserve">FALSE 957</t>
  </si>
  <si>
    <t xml:space="preserve">Anolis unilobatus</t>
  </si>
  <si>
    <t xml:space="preserve">https://www.inaturalist.org/observations/380899439</t>
  </si>
  <si>
    <t xml:space="preserve">FALSE 958</t>
  </si>
  <si>
    <t xml:space="preserve">Sceloporus melanorhinus</t>
  </si>
  <si>
    <t xml:space="preserve">https://www.inaturalist.org/observations/380893597</t>
  </si>
  <si>
    <t xml:space="preserve">FALSE 959</t>
  </si>
  <si>
    <t xml:space="preserve">Cyclura cornuta cornuta</t>
  </si>
  <si>
    <t xml:space="preserve">https://www.inaturalist.org/observations/380875521</t>
  </si>
  <si>
    <t xml:space="preserve">FALSE 960</t>
  </si>
  <si>
    <t xml:space="preserve">Furcifer verrucosus</t>
  </si>
  <si>
    <t xml:space="preserve">https://www.inaturalist.org/observations/380864168</t>
  </si>
  <si>
    <t xml:space="preserve">FALSE 961</t>
  </si>
  <si>
    <t xml:space="preserve">Agama bibronii</t>
  </si>
  <si>
    <t xml:space="preserve">https://www.inaturalist.org/observations/380840298</t>
  </si>
  <si>
    <t xml:space="preserve">FALSE 962</t>
  </si>
  <si>
    <t xml:space="preserve">Basiliscus galeritus</t>
  </si>
  <si>
    <t xml:space="preserve">https://www.inaturalist.org/observations/380837785</t>
  </si>
  <si>
    <t xml:space="preserve">FALSE 963</t>
  </si>
  <si>
    <t xml:space="preserve">Anolis extremus</t>
  </si>
  <si>
    <t xml:space="preserve">https://www.inaturalist.org/observations/380793077</t>
  </si>
  <si>
    <t xml:space="preserve">FALSE 964</t>
  </si>
  <si>
    <t xml:space="preserve">Phrynocephalus mystaceus</t>
  </si>
  <si>
    <t xml:space="preserve">https://www.inaturalist.org/observations/380756409</t>
  </si>
  <si>
    <t xml:space="preserve">FALSE 965</t>
  </si>
  <si>
    <t xml:space="preserve">Enyalioides praestabilis</t>
  </si>
  <si>
    <t xml:space="preserve">https://www.inaturalist.org/observations/380739308</t>
  </si>
  <si>
    <t xml:space="preserve">FALSE 966</t>
  </si>
  <si>
    <t xml:space="preserve">Agama agama</t>
  </si>
  <si>
    <t xml:space="preserve">https://www.inaturalist.org/observations/380732045</t>
  </si>
  <si>
    <t xml:space="preserve">FALSE 967</t>
  </si>
  <si>
    <t xml:space="preserve">Corytophanes percarinatus</t>
  </si>
  <si>
    <t xml:space="preserve">https://www.inaturalist.org/observations/380724028</t>
  </si>
  <si>
    <t xml:space="preserve">FALSE 968</t>
  </si>
  <si>
    <t xml:space="preserve">Phrynocephalus arabicus</t>
  </si>
  <si>
    <t xml:space="preserve">https://www.inaturalist.org/observations/380707382</t>
  </si>
  <si>
    <t xml:space="preserve">FALSE 969</t>
  </si>
  <si>
    <t xml:space="preserve">Anolis pinchoti</t>
  </si>
  <si>
    <t xml:space="preserve">https://www.inaturalist.org/observations/380693753</t>
  </si>
  <si>
    <t xml:space="preserve">FALSE 970</t>
  </si>
  <si>
    <t xml:space="preserve">Polychrus femoralis</t>
  </si>
  <si>
    <t xml:space="preserve">https://www.inaturalist.org/observations/380679672</t>
  </si>
  <si>
    <t xml:space="preserve">FALSE 971</t>
  </si>
  <si>
    <t xml:space="preserve">Gonocephalus doriae abbotti</t>
  </si>
  <si>
    <t xml:space="preserve">https://www.inaturalist.org/observations/380664556</t>
  </si>
  <si>
    <t xml:space="preserve">FALSE 972</t>
  </si>
  <si>
    <t xml:space="preserve">Gonocephalus bellii</t>
  </si>
  <si>
    <t xml:space="preserve">https://www.inaturalist.org/observations/380664520</t>
  </si>
  <si>
    <t xml:space="preserve">FALSE 973</t>
  </si>
  <si>
    <t xml:space="preserve">Acanthosaura crucigera</t>
  </si>
  <si>
    <t xml:space="preserve">https://www.inaturalist.org/observations/380664377</t>
  </si>
  <si>
    <t xml:space="preserve">FALSE 974</t>
  </si>
  <si>
    <t xml:space="preserve">Anolis gaigei</t>
  </si>
  <si>
    <t xml:space="preserve">https://www.inaturalist.org/observations/380661086</t>
  </si>
  <si>
    <t xml:space="preserve">FALSE 975</t>
  </si>
  <si>
    <t xml:space="preserve">Stenocercus ochoai</t>
  </si>
  <si>
    <t xml:space="preserve">https://www.inaturalist.org/observations/380611472</t>
  </si>
  <si>
    <t xml:space="preserve">FALSE 976</t>
  </si>
  <si>
    <t xml:space="preserve">Sceloporus serrifer</t>
  </si>
  <si>
    <t xml:space="preserve">https://www.inaturalist.org/observations/380530199</t>
  </si>
  <si>
    <t xml:space="preserve">FALSE 977</t>
  </si>
  <si>
    <t xml:space="preserve">Pseudocalotes tympanistriga</t>
  </si>
  <si>
    <t xml:space="preserve">https://www.inaturalist.org/observations/380491645</t>
  </si>
  <si>
    <t xml:space="preserve">FALSE 978</t>
  </si>
  <si>
    <t xml:space="preserve">Phrynocephalus versicolor</t>
  </si>
  <si>
    <t xml:space="preserve">https://www.inaturalist.org/observations/380458789</t>
  </si>
  <si>
    <t xml:space="preserve">FALSE 979</t>
  </si>
  <si>
    <t xml:space="preserve">Sceloporus bicanthalis</t>
  </si>
  <si>
    <t xml:space="preserve">https://www.inaturalist.org/observations/380453854</t>
  </si>
  <si>
    <t xml:space="preserve">FALSE 980</t>
  </si>
  <si>
    <t xml:space="preserve">Sceloporus cozumelae</t>
  </si>
  <si>
    <t xml:space="preserve">https://www.inaturalist.org/observations/380425197</t>
  </si>
  <si>
    <t xml:space="preserve">FALSE 981</t>
  </si>
  <si>
    <t xml:space="preserve">Cyclura nubila</t>
  </si>
  <si>
    <t xml:space="preserve">https://www.inaturalist.org/observations/380394735</t>
  </si>
  <si>
    <t xml:space="preserve">FALSE 982</t>
  </si>
  <si>
    <t xml:space="preserve">Anolis scypheus</t>
  </si>
  <si>
    <t xml:space="preserve">https://www.inaturalist.org/observations/380304846</t>
  </si>
  <si>
    <t xml:space="preserve">FALSE 983</t>
  </si>
  <si>
    <t xml:space="preserve">Chamaeleo chamaeleon recticrista</t>
  </si>
  <si>
    <t xml:space="preserve">https://www.inaturalist.org/observations/380296045</t>
  </si>
  <si>
    <t xml:space="preserve">FALSE 984</t>
  </si>
  <si>
    <t xml:space="preserve">Chamaeleo africanus</t>
  </si>
  <si>
    <t xml:space="preserve">https://www.inaturalist.org/observations/380286642</t>
  </si>
  <si>
    <t xml:space="preserve">FALSE 985</t>
  </si>
  <si>
    <t xml:space="preserve">Acanthosaura aurantiacrista</t>
  </si>
  <si>
    <t xml:space="preserve">https://www.inaturalist.org/observations/380254260</t>
  </si>
  <si>
    <t xml:space="preserve">FALSE 986</t>
  </si>
  <si>
    <t xml:space="preserve">Draco dussumieri</t>
  </si>
  <si>
    <t xml:space="preserve">https://www.inaturalist.org/observations/380236920</t>
  </si>
  <si>
    <t xml:space="preserve">FALSE 987</t>
  </si>
  <si>
    <t xml:space="preserve">Polychrus gutturosus</t>
  </si>
  <si>
    <t xml:space="preserve">https://www.inaturalist.org/observations/380236215</t>
  </si>
  <si>
    <t xml:space="preserve">FALSE 988</t>
  </si>
  <si>
    <t xml:space="preserve">Sceloporus minor</t>
  </si>
  <si>
    <t xml:space="preserve">https://www.inaturalist.org/observations/380231099</t>
  </si>
  <si>
    <t xml:space="preserve">FALSE 989</t>
  </si>
  <si>
    <t xml:space="preserve">Salea anamallayana</t>
  </si>
  <si>
    <t xml:space="preserve">https://www.inaturalist.org/observations/380229973</t>
  </si>
  <si>
    <t xml:space="preserve">FALSE 990</t>
  </si>
  <si>
    <t xml:space="preserve">Phrynocephalus guttatus alpherakii</t>
  </si>
  <si>
    <t xml:space="preserve">https://www.inaturalist.org/observations/380217575</t>
  </si>
  <si>
    <t xml:space="preserve">FALSE 991</t>
  </si>
  <si>
    <t xml:space="preserve">Anolis mccraniei</t>
  </si>
  <si>
    <t xml:space="preserve">https://www.inaturalist.org/observations/380146736</t>
  </si>
  <si>
    <t xml:space="preserve">FALSE 992</t>
  </si>
  <si>
    <t xml:space="preserve">Anolis ocelloscapularis</t>
  </si>
  <si>
    <t xml:space="preserve">https://www.inaturalist.org/observations/380146692</t>
  </si>
  <si>
    <t xml:space="preserve">FALSE 993</t>
  </si>
  <si>
    <t xml:space="preserve">Anolis trachyderma</t>
  </si>
  <si>
    <t xml:space="preserve">https://www.inaturalist.org/observations/380107430</t>
  </si>
  <si>
    <t xml:space="preserve">FALSE 994</t>
  </si>
  <si>
    <t xml:space="preserve">Brookesia tuberculata</t>
  </si>
  <si>
    <t xml:space="preserve">https://www.inaturalist.org/observations/380100580</t>
  </si>
  <si>
    <t xml:space="preserve">FALSE 995</t>
  </si>
  <si>
    <t xml:space="preserve">Calumma ambreense</t>
  </si>
  <si>
    <t xml:space="preserve">https://www.inaturalist.org/observations/380094073</t>
  </si>
  <si>
    <t xml:space="preserve">FALSE 996</t>
  </si>
  <si>
    <t xml:space="preserve">Uta stansburiana uniformis</t>
  </si>
  <si>
    <t xml:space="preserve">https://www.inaturalist.org/observations/380075651</t>
  </si>
  <si>
    <t xml:space="preserve">FALSE 997</t>
  </si>
  <si>
    <t xml:space="preserve">Sceloporus taeniocnemis</t>
  </si>
  <si>
    <t xml:space="preserve">https://www.inaturalist.org/observations/380072510</t>
  </si>
  <si>
    <t xml:space="preserve">FALSE 998</t>
  </si>
  <si>
    <t xml:space="preserve">Urostrophus vautieri</t>
  </si>
  <si>
    <t xml:space="preserve">https://www.inaturalist.org/observations/380053957</t>
  </si>
  <si>
    <t xml:space="preserve">FALSE 999</t>
  </si>
  <si>
    <t xml:space="preserve">Stenocercus roseiventris</t>
  </si>
  <si>
    <t xml:space="preserve">https://www.inaturalist.org/observations/380039690</t>
  </si>
  <si>
    <t xml:space="preserve">FALSE 1000</t>
  </si>
  <si>
    <t xml:space="preserve">Anolis nemonteae</t>
  </si>
  <si>
    <t xml:space="preserve">https://www.inaturalist.org/observations/380020428</t>
  </si>
  <si>
    <t xml:space="preserve">FALSE 1001</t>
  </si>
  <si>
    <t xml:space="preserve">Birds</t>
  </si>
  <si>
    <t xml:space="preserve">Mimus polyglottos</t>
  </si>
  <si>
    <t xml:space="preserve">https://www.inaturalist.org/observations/383176378</t>
  </si>
  <si>
    <t xml:space="preserve">FALSE 1002</t>
  </si>
  <si>
    <t xml:space="preserve">Anser cygnoides</t>
  </si>
  <si>
    <t xml:space="preserve">https://www.inaturalist.org/observations/383176034</t>
  </si>
  <si>
    <t xml:space="preserve">FALSE 1003</t>
  </si>
  <si>
    <t xml:space="preserve">Dacelo novaeguineae</t>
  </si>
  <si>
    <t xml:space="preserve">https://www.inaturalist.org/observations/383175948</t>
  </si>
  <si>
    <t xml:space="preserve">FALSE 1004</t>
  </si>
  <si>
    <t xml:space="preserve">Branta canadensis</t>
  </si>
  <si>
    <t xml:space="preserve">https://www.inaturalist.org/observations/383175815</t>
  </si>
  <si>
    <t xml:space="preserve">FALSE 1005</t>
  </si>
  <si>
    <t xml:space="preserve">Pipilo maculatus</t>
  </si>
  <si>
    <t xml:space="preserve">https://www.inaturalist.org/observations/383175395</t>
  </si>
  <si>
    <t xml:space="preserve">FALSE 1006</t>
  </si>
  <si>
    <t xml:space="preserve">Haliaeetus leucocephalus</t>
  </si>
  <si>
    <t xml:space="preserve">https://www.inaturalist.org/observations/383175389</t>
  </si>
  <si>
    <t xml:space="preserve">FALSE 1007</t>
  </si>
  <si>
    <t xml:space="preserve">Mergus merganser</t>
  </si>
  <si>
    <t xml:space="preserve">https://www.inaturalist.org/observations/383175371</t>
  </si>
  <si>
    <t xml:space="preserve">FALSE 1008</t>
  </si>
  <si>
    <t xml:space="preserve">Cygnus buccinator</t>
  </si>
  <si>
    <t xml:space="preserve">https://www.inaturalist.org/observations/383175297</t>
  </si>
  <si>
    <t xml:space="preserve">FALSE 1009</t>
  </si>
  <si>
    <t xml:space="preserve">Hirundo rustica</t>
  </si>
  <si>
    <t xml:space="preserve">https://www.inaturalist.org/observations/383175025</t>
  </si>
  <si>
    <t xml:space="preserve">FALSE 1010</t>
  </si>
  <si>
    <t xml:space="preserve">Turdus migratorius</t>
  </si>
  <si>
    <t xml:space="preserve">https://www.inaturalist.org/observations/383174979</t>
  </si>
  <si>
    <t xml:space="preserve">FALSE 1011</t>
  </si>
  <si>
    <t xml:space="preserve">Strix varia</t>
  </si>
  <si>
    <t xml:space="preserve">https://www.inaturalist.org/observations/383174955</t>
  </si>
  <si>
    <t xml:space="preserve">FALSE 1012</t>
  </si>
  <si>
    <t xml:space="preserve">Toxostoma rufum</t>
  </si>
  <si>
    <t xml:space="preserve">https://www.inaturalist.org/observations/383174834</t>
  </si>
  <si>
    <t xml:space="preserve">FALSE 1013</t>
  </si>
  <si>
    <t xml:space="preserve">Tyrannus forficatus</t>
  </si>
  <si>
    <t xml:space="preserve">https://www.inaturalist.org/observations/383174720</t>
  </si>
  <si>
    <t xml:space="preserve">FALSE 1014</t>
  </si>
  <si>
    <t xml:space="preserve">Sayornis phoebe</t>
  </si>
  <si>
    <t xml:space="preserve">https://www.inaturalist.org/observations/383174187</t>
  </si>
  <si>
    <t xml:space="preserve">FALSE 1015</t>
  </si>
  <si>
    <t xml:space="preserve">Chenonetta jubata</t>
  </si>
  <si>
    <t xml:space="preserve">https://www.inaturalist.org/observations/383174043</t>
  </si>
  <si>
    <t xml:space="preserve">FALSE 1016</t>
  </si>
  <si>
    <t xml:space="preserve">Pipilo erythrophthalmus</t>
  </si>
  <si>
    <t xml:space="preserve">https://www.inaturalist.org/observations/383173833</t>
  </si>
  <si>
    <t xml:space="preserve">FALSE 1017</t>
  </si>
  <si>
    <t xml:space="preserve">Callipepla californica</t>
  </si>
  <si>
    <t xml:space="preserve">https://www.inaturalist.org/observations/383173766</t>
  </si>
  <si>
    <t xml:space="preserve">FALSE 1018</t>
  </si>
  <si>
    <t xml:space="preserve">Manorina melanocephala</t>
  </si>
  <si>
    <t xml:space="preserve">https://www.inaturalist.org/observations/383173727</t>
  </si>
  <si>
    <t xml:space="preserve">FALSE 1019</t>
  </si>
  <si>
    <t xml:space="preserve">Sialia sialis</t>
  </si>
  <si>
    <t xml:space="preserve">https://www.inaturalist.org/observations/383173120</t>
  </si>
  <si>
    <t xml:space="preserve">FALSE 1020</t>
  </si>
  <si>
    <t xml:space="preserve">Tyrannus tyrannus</t>
  </si>
  <si>
    <t xml:space="preserve">https://www.inaturalist.org/observations/383173080</t>
  </si>
  <si>
    <t xml:space="preserve">FALSE 1021</t>
  </si>
  <si>
    <t xml:space="preserve">Passerina cyanea</t>
  </si>
  <si>
    <t xml:space="preserve">https://www.inaturalist.org/observations/383173075</t>
  </si>
  <si>
    <t xml:space="preserve">FALSE 1022</t>
  </si>
  <si>
    <t xml:space="preserve">Myiarchus crinitus</t>
  </si>
  <si>
    <t xml:space="preserve">https://www.inaturalist.org/observations/383173070</t>
  </si>
  <si>
    <t xml:space="preserve">FALSE 1023</t>
  </si>
  <si>
    <t xml:space="preserve">Ardea herodias</t>
  </si>
  <si>
    <t xml:space="preserve">https://www.inaturalist.org/observations/383172957</t>
  </si>
  <si>
    <t xml:space="preserve">FALSE 1024</t>
  </si>
  <si>
    <t xml:space="preserve">Molothrus ater</t>
  </si>
  <si>
    <t xml:space="preserve">https://www.inaturalist.org/observations/383172887</t>
  </si>
  <si>
    <t xml:space="preserve">FALSE 1025</t>
  </si>
  <si>
    <t xml:space="preserve">Sturnus vulgaris</t>
  </si>
  <si>
    <t xml:space="preserve">https://www.inaturalist.org/observations/383172882</t>
  </si>
  <si>
    <t xml:space="preserve">FALSE 1026</t>
  </si>
  <si>
    <t xml:space="preserve">Zenaida macroura</t>
  </si>
  <si>
    <t xml:space="preserve">https://www.inaturalist.org/observations/383172876</t>
  </si>
  <si>
    <t xml:space="preserve">FALSE 1027</t>
  </si>
  <si>
    <t xml:space="preserve">Passer domesticus</t>
  </si>
  <si>
    <t xml:space="preserve">https://www.inaturalist.org/observations/383172875</t>
  </si>
  <si>
    <t xml:space="preserve">FALSE 1028</t>
  </si>
  <si>
    <t xml:space="preserve">Chroicocephalus novaehollandiae</t>
  </si>
  <si>
    <t xml:space="preserve">https://www.inaturalist.org/observations/383172850</t>
  </si>
  <si>
    <t xml:space="preserve">FALSE 1029</t>
  </si>
  <si>
    <t xml:space="preserve">Acridotheres tristis</t>
  </si>
  <si>
    <t xml:space="preserve">https://www.inaturalist.org/observations/383172845</t>
  </si>
  <si>
    <t xml:space="preserve">FALSE 1030</t>
  </si>
  <si>
    <t xml:space="preserve">Columba livia domestica</t>
  </si>
  <si>
    <t xml:space="preserve">https://www.inaturalist.org/observations/383172837</t>
  </si>
  <si>
    <t xml:space="preserve">FALSE 1031</t>
  </si>
  <si>
    <t xml:space="preserve">Gymnorhina tibicen</t>
  </si>
  <si>
    <t xml:space="preserve">https://www.inaturalist.org/observations/383172835</t>
  </si>
  <si>
    <t xml:space="preserve">FALSE 1032</t>
  </si>
  <si>
    <t xml:space="preserve">Grallina cyanoleuca</t>
  </si>
  <si>
    <t xml:space="preserve">https://www.inaturalist.org/observations/383172826</t>
  </si>
  <si>
    <t xml:space="preserve">FALSE 1033</t>
  </si>
  <si>
    <t xml:space="preserve">Anthochaera chrysoptera</t>
  </si>
  <si>
    <t xml:space="preserve">https://www.inaturalist.org/observations/383172825</t>
  </si>
  <si>
    <t xml:space="preserve">FALSE 1034</t>
  </si>
  <si>
    <t xml:space="preserve">Gallinula tenebrosa</t>
  </si>
  <si>
    <t xml:space="preserve">https://www.inaturalist.org/observations/383172819</t>
  </si>
  <si>
    <t xml:space="preserve">FALSE 1035</t>
  </si>
  <si>
    <t xml:space="preserve">Cyanocitta cristata</t>
  </si>
  <si>
    <t xml:space="preserve">https://www.inaturalist.org/observations/383172797</t>
  </si>
  <si>
    <t xml:space="preserve">FALSE 1036</t>
  </si>
  <si>
    <t xml:space="preserve">Melanerpes carolinus</t>
  </si>
  <si>
    <t xml:space="preserve">https://www.inaturalist.org/observations/383172796</t>
  </si>
  <si>
    <t xml:space="preserve">FALSE 1037</t>
  </si>
  <si>
    <t xml:space="preserve">Loxia curvirostra</t>
  </si>
  <si>
    <t xml:space="preserve">https://www.inaturalist.org/observations/383172770</t>
  </si>
  <si>
    <t xml:space="preserve">FALSE 1038</t>
  </si>
  <si>
    <t xml:space="preserve">Anas platyrhynchos domesticus</t>
  </si>
  <si>
    <t xml:space="preserve">https://www.inaturalist.org/observations/383172559</t>
  </si>
  <si>
    <t xml:space="preserve">FALSE 1039</t>
  </si>
  <si>
    <t xml:space="preserve">Nannopterum auritum</t>
  </si>
  <si>
    <t xml:space="preserve">https://www.inaturalist.org/observations/383172481</t>
  </si>
  <si>
    <t xml:space="preserve">FALSE 1040</t>
  </si>
  <si>
    <t xml:space="preserve">Anas platyrhynchos</t>
  </si>
  <si>
    <t xml:space="preserve">https://www.inaturalist.org/observations/383172390</t>
  </si>
  <si>
    <t xml:space="preserve">FALSE 1041</t>
  </si>
  <si>
    <t xml:space="preserve">Haematopus longirostris</t>
  </si>
  <si>
    <t xml:space="preserve">https://www.inaturalist.org/observations/383172246</t>
  </si>
  <si>
    <t xml:space="preserve">FALSE 1042</t>
  </si>
  <si>
    <t xml:space="preserve">Treron vernans</t>
  </si>
  <si>
    <t xml:space="preserve">https://www.inaturalist.org/observations/383171787</t>
  </si>
  <si>
    <t xml:space="preserve">FALSE 1043</t>
  </si>
  <si>
    <t xml:space="preserve">Anastomus oscitans</t>
  </si>
  <si>
    <t xml:space="preserve">https://www.inaturalist.org/observations/383171782</t>
  </si>
  <si>
    <t xml:space="preserve">FALSE 1044</t>
  </si>
  <si>
    <t xml:space="preserve">Manorina melanophrys</t>
  </si>
  <si>
    <t xml:space="preserve">https://www.inaturalist.org/observations/383171659</t>
  </si>
  <si>
    <t xml:space="preserve">FALSE 1045</t>
  </si>
  <si>
    <t xml:space="preserve">Corvus mellori</t>
  </si>
  <si>
    <t xml:space="preserve">https://www.inaturalist.org/observations/383171647</t>
  </si>
  <si>
    <t xml:space="preserve">FALSE 1046</t>
  </si>
  <si>
    <t xml:space="preserve">Anas castanea</t>
  </si>
  <si>
    <t xml:space="preserve">https://www.inaturalist.org/observations/383171590</t>
  </si>
  <si>
    <t xml:space="preserve">FALSE 1047</t>
  </si>
  <si>
    <t xml:space="preserve">Turdus merula</t>
  </si>
  <si>
    <t xml:space="preserve">https://www.inaturalist.org/observations/383171574</t>
  </si>
  <si>
    <t xml:space="preserve">FALSE 1048</t>
  </si>
  <si>
    <t xml:space="preserve">Anthochaera carunculata</t>
  </si>
  <si>
    <t xml:space="preserve">https://www.inaturalist.org/observations/383171564</t>
  </si>
  <si>
    <t xml:space="preserve">FALSE 1049</t>
  </si>
  <si>
    <t xml:space="preserve">Aix sponsa</t>
  </si>
  <si>
    <t xml:space="preserve">https://www.inaturalist.org/observations/383171284</t>
  </si>
  <si>
    <t xml:space="preserve">FALSE 1050</t>
  </si>
  <si>
    <t xml:space="preserve">Ptiloris paradiseus</t>
  </si>
  <si>
    <t xml:space="preserve">https://www.inaturalist.org/observations/383171151</t>
  </si>
  <si>
    <t xml:space="preserve">FALSE 1051</t>
  </si>
  <si>
    <t xml:space="preserve">Sericulus chrysocephalus</t>
  </si>
  <si>
    <t xml:space="preserve">https://www.inaturalist.org/observations/383171150</t>
  </si>
  <si>
    <t xml:space="preserve">FALSE 1052</t>
  </si>
  <si>
    <t xml:space="preserve">Tyto tenebricosa</t>
  </si>
  <si>
    <t xml:space="preserve">https://www.inaturalist.org/observations/383171149</t>
  </si>
  <si>
    <t xml:space="preserve">FALSE 1053</t>
  </si>
  <si>
    <t xml:space="preserve">Petroica rosea</t>
  </si>
  <si>
    <t xml:space="preserve">https://www.inaturalist.org/observations/383171140</t>
  </si>
  <si>
    <t xml:space="preserve">FALSE 1054</t>
  </si>
  <si>
    <t xml:space="preserve">Menura alberti</t>
  </si>
  <si>
    <t xml:space="preserve">https://www.inaturalist.org/observations/383171137</t>
  </si>
  <si>
    <t xml:space="preserve">FALSE 1055</t>
  </si>
  <si>
    <t xml:space="preserve">Troglodytes aedon</t>
  </si>
  <si>
    <t xml:space="preserve">https://www.inaturalist.org/observations/383171013</t>
  </si>
  <si>
    <t xml:space="preserve">FALSE 1056</t>
  </si>
  <si>
    <t xml:space="preserve">Zosterops lateralis</t>
  </si>
  <si>
    <t xml:space="preserve">https://www.inaturalist.org/observations/383170871</t>
  </si>
  <si>
    <t xml:space="preserve">FALSE 1057</t>
  </si>
  <si>
    <t xml:space="preserve">Podargus strigoides</t>
  </si>
  <si>
    <t xml:space="preserve">https://www.inaturalist.org/observations/383170848</t>
  </si>
  <si>
    <t xml:space="preserve">FALSE 1058</t>
  </si>
  <si>
    <t xml:space="preserve">Spilopelia chinensis</t>
  </si>
  <si>
    <t xml:space="preserve">https://www.inaturalist.org/observations/383170707</t>
  </si>
  <si>
    <t xml:space="preserve">FALSE 1059</t>
  </si>
  <si>
    <t xml:space="preserve">Pycnonotus jocosus</t>
  </si>
  <si>
    <t xml:space="preserve">https://www.inaturalist.org/observations/383170623</t>
  </si>
  <si>
    <t xml:space="preserve">FALSE 1060</t>
  </si>
  <si>
    <t xml:space="preserve">Ocyphaps lophotes</t>
  </si>
  <si>
    <t xml:space="preserve">https://www.inaturalist.org/observations/383170517</t>
  </si>
  <si>
    <t xml:space="preserve">FALSE 1061</t>
  </si>
  <si>
    <t xml:space="preserve">Macropygia phasianella</t>
  </si>
  <si>
    <t xml:space="preserve">https://www.inaturalist.org/observations/383170504</t>
  </si>
  <si>
    <t xml:space="preserve">FALSE 1062</t>
  </si>
  <si>
    <t xml:space="preserve">Pitta versicolor</t>
  </si>
  <si>
    <t xml:space="preserve">https://www.inaturalist.org/observations/383170426</t>
  </si>
  <si>
    <t xml:space="preserve">FALSE 1063</t>
  </si>
  <si>
    <t xml:space="preserve">Dromaius novaehollandiae</t>
  </si>
  <si>
    <t xml:space="preserve">https://www.inaturalist.org/observations/383170421</t>
  </si>
  <si>
    <t xml:space="preserve">FALSE 1064</t>
  </si>
  <si>
    <t xml:space="preserve">Ardeola bacchus</t>
  </si>
  <si>
    <t xml:space="preserve">https://www.inaturalist.org/observations/383170232</t>
  </si>
  <si>
    <t xml:space="preserve">FALSE 1065</t>
  </si>
  <si>
    <t xml:space="preserve">Ninox strenua</t>
  </si>
  <si>
    <t xml:space="preserve">https://www.inaturalist.org/observations/383170213</t>
  </si>
  <si>
    <t xml:space="preserve">FALSE 1066</t>
  </si>
  <si>
    <t xml:space="preserve">Meleagris gallopavo</t>
  </si>
  <si>
    <t xml:space="preserve">https://www.inaturalist.org/observations/383169999</t>
  </si>
  <si>
    <t xml:space="preserve">FALSE 1067</t>
  </si>
  <si>
    <t xml:space="preserve">Megapodius reinwardt</t>
  </si>
  <si>
    <t xml:space="preserve">https://www.inaturalist.org/observations/383169876</t>
  </si>
  <si>
    <t xml:space="preserve">FALSE 1068</t>
  </si>
  <si>
    <t xml:space="preserve">Sericornis frontalis</t>
  </si>
  <si>
    <t xml:space="preserve">https://www.inaturalist.org/observations/383169718</t>
  </si>
  <si>
    <t xml:space="preserve">FALSE 1069</t>
  </si>
  <si>
    <t xml:space="preserve">Threskiornis molucca</t>
  </si>
  <si>
    <t xml:space="preserve">https://www.inaturalist.org/observations/383169704</t>
  </si>
  <si>
    <t xml:space="preserve">FALSE 1070</t>
  </si>
  <si>
    <t xml:space="preserve">Trichoglossus moluccanus</t>
  </si>
  <si>
    <t xml:space="preserve">https://www.inaturalist.org/observations/383169692</t>
  </si>
  <si>
    <t xml:space="preserve">FALSE 1071</t>
  </si>
  <si>
    <t xml:space="preserve">Gallirallus philippensis</t>
  </si>
  <si>
    <t xml:space="preserve">https://www.inaturalist.org/observations/383169674</t>
  </si>
  <si>
    <t xml:space="preserve">FALSE 1072</t>
  </si>
  <si>
    <t xml:space="preserve">Pterorhinus perspicillatus</t>
  </si>
  <si>
    <t xml:space="preserve">https://www.inaturalist.org/observations/383169609</t>
  </si>
  <si>
    <t xml:space="preserve">FALSE 1073</t>
  </si>
  <si>
    <t xml:space="preserve">Nycticorax nycticorax</t>
  </si>
  <si>
    <t xml:space="preserve">https://www.inaturalist.org/observations/383169401</t>
  </si>
  <si>
    <t xml:space="preserve">FALSE 1074</t>
  </si>
  <si>
    <t xml:space="preserve">Myioborus miniatus</t>
  </si>
  <si>
    <t xml:space="preserve">https://www.inaturalist.org/observations/383169373</t>
  </si>
  <si>
    <t xml:space="preserve">FALSE 1075</t>
  </si>
  <si>
    <t xml:space="preserve">Pandion haliaetus</t>
  </si>
  <si>
    <t xml:space="preserve">https://www.inaturalist.org/observations/383169353</t>
  </si>
  <si>
    <t xml:space="preserve">FALSE 1076</t>
  </si>
  <si>
    <t xml:space="preserve">Acanthiza chrysorrhoa</t>
  </si>
  <si>
    <t xml:space="preserve">https://www.inaturalist.org/observations/383168809</t>
  </si>
  <si>
    <t xml:space="preserve">FALSE 1077</t>
  </si>
  <si>
    <t xml:space="preserve">Corvus brachyrhynchos</t>
  </si>
  <si>
    <t xml:space="preserve">https://www.inaturalist.org/observations/383168799</t>
  </si>
  <si>
    <t xml:space="preserve">FALSE 1078</t>
  </si>
  <si>
    <t xml:space="preserve">Paroaria capitata</t>
  </si>
  <si>
    <t xml:space="preserve">https://www.inaturalist.org/observations/383168789</t>
  </si>
  <si>
    <t xml:space="preserve">FALSE 1079</t>
  </si>
  <si>
    <t xml:space="preserve">Selasphorus rufus</t>
  </si>
  <si>
    <t xml:space="preserve">https://www.inaturalist.org/observations/383168740</t>
  </si>
  <si>
    <t xml:space="preserve">FALSE 1080</t>
  </si>
  <si>
    <t xml:space="preserve">Alisterus scapularis</t>
  </si>
  <si>
    <t xml:space="preserve">https://www.inaturalist.org/observations/383168723</t>
  </si>
  <si>
    <t xml:space="preserve">FALSE 1081</t>
  </si>
  <si>
    <t xml:space="preserve">Bombycilla cedrorum</t>
  </si>
  <si>
    <t xml:space="preserve">https://www.inaturalist.org/observations/383168285</t>
  </si>
  <si>
    <t xml:space="preserve">FALSE 1082</t>
  </si>
  <si>
    <t xml:space="preserve">Leuconotopicus albolarvatus</t>
  </si>
  <si>
    <t xml:space="preserve">https://www.inaturalist.org/observations/383168183</t>
  </si>
  <si>
    <t xml:space="preserve">FALSE 1083</t>
  </si>
  <si>
    <t xml:space="preserve">Malurus cyaneus</t>
  </si>
  <si>
    <t xml:space="preserve">https://www.inaturalist.org/observations/383167989</t>
  </si>
  <si>
    <t xml:space="preserve">FALSE 1084</t>
  </si>
  <si>
    <t xml:space="preserve">Somateria mollissima</t>
  </si>
  <si>
    <t xml:space="preserve">https://www.inaturalist.org/observations/383167795</t>
  </si>
  <si>
    <t xml:space="preserve">FALSE 1085</t>
  </si>
  <si>
    <t xml:space="preserve">Menura novaehollandiae</t>
  </si>
  <si>
    <t xml:space="preserve">https://www.inaturalist.org/observations/383167739</t>
  </si>
  <si>
    <t xml:space="preserve">FALSE 1086</t>
  </si>
  <si>
    <t xml:space="preserve">Paroaria coronata</t>
  </si>
  <si>
    <t xml:space="preserve">https://www.inaturalist.org/observations/383167636</t>
  </si>
  <si>
    <t xml:space="preserve">FALSE 1087</t>
  </si>
  <si>
    <t xml:space="preserve">Ardea coromanda</t>
  </si>
  <si>
    <t xml:space="preserve">https://www.inaturalist.org/observations/383167507</t>
  </si>
  <si>
    <t xml:space="preserve">FALSE 1088</t>
  </si>
  <si>
    <t xml:space="preserve">Leuconotopicus borealis</t>
  </si>
  <si>
    <t xml:space="preserve">https://www.inaturalist.org/observations/383167456</t>
  </si>
  <si>
    <t xml:space="preserve">FALSE 1089</t>
  </si>
  <si>
    <t xml:space="preserve">Charadrius vociferus</t>
  </si>
  <si>
    <t xml:space="preserve">https://www.inaturalist.org/observations/383167435</t>
  </si>
  <si>
    <t xml:space="preserve">FALSE 1090</t>
  </si>
  <si>
    <t xml:space="preserve">Eopsaltria australis</t>
  </si>
  <si>
    <t xml:space="preserve">https://www.inaturalist.org/observations/383167356</t>
  </si>
  <si>
    <t xml:space="preserve">FALSE 1091</t>
  </si>
  <si>
    <t xml:space="preserve">Parus major</t>
  </si>
  <si>
    <t xml:space="preserve">https://www.inaturalist.org/observations/383167256</t>
  </si>
  <si>
    <t xml:space="preserve">FALSE 1092</t>
  </si>
  <si>
    <t xml:space="preserve">Alopochen aegyptiaca</t>
  </si>
  <si>
    <t xml:space="preserve">https://www.inaturalist.org/observations/383167180</t>
  </si>
  <si>
    <t xml:space="preserve">FALSE 1093</t>
  </si>
  <si>
    <t xml:space="preserve">Myiopsitta monachus</t>
  </si>
  <si>
    <t xml:space="preserve">https://www.inaturalist.org/observations/383167146</t>
  </si>
  <si>
    <t xml:space="preserve">FALSE 1094</t>
  </si>
  <si>
    <t xml:space="preserve">Certhia americana</t>
  </si>
  <si>
    <t xml:space="preserve">https://www.inaturalist.org/observations/383166856</t>
  </si>
  <si>
    <t xml:space="preserve">FALSE 1095</t>
  </si>
  <si>
    <t xml:space="preserve">Melanerpes aurifrons</t>
  </si>
  <si>
    <t xml:space="preserve">https://www.inaturalist.org/observations/383166855</t>
  </si>
  <si>
    <t xml:space="preserve">FALSE 1096</t>
  </si>
  <si>
    <t xml:space="preserve">Cacatua sanguinea</t>
  </si>
  <si>
    <t xml:space="preserve">https://www.inaturalist.org/observations/383166744</t>
  </si>
  <si>
    <t xml:space="preserve">FALSE 1097</t>
  </si>
  <si>
    <t xml:space="preserve">Gallus gallus</t>
  </si>
  <si>
    <t xml:space="preserve">https://www.inaturalist.org/observations/383166614</t>
  </si>
  <si>
    <t xml:space="preserve">FALSE 1098</t>
  </si>
  <si>
    <t xml:space="preserve">Larus delawarensis</t>
  </si>
  <si>
    <t xml:space="preserve">https://www.inaturalist.org/observations/383166609</t>
  </si>
  <si>
    <t xml:space="preserve">FALSE 1099</t>
  </si>
  <si>
    <t xml:space="preserve">Trichoglossus concinnus</t>
  </si>
  <si>
    <t xml:space="preserve">https://www.inaturalist.org/observations/383166388</t>
  </si>
  <si>
    <t xml:space="preserve">FALSE 1100</t>
  </si>
  <si>
    <t xml:space="preserve">Spiza americana</t>
  </si>
  <si>
    <t xml:space="preserve">https://www.inaturalist.org/observations/383166347</t>
  </si>
  <si>
    <t xml:space="preserve">FALSE 1101</t>
  </si>
  <si>
    <t xml:space="preserve">Agelaius phoeniceus</t>
  </si>
  <si>
    <t xml:space="preserve">https://www.inaturalist.org/observations/383166260</t>
  </si>
  <si>
    <t xml:space="preserve">FALSE 1102</t>
  </si>
  <si>
    <t xml:space="preserve">Pheucticus ludovicianus</t>
  </si>
  <si>
    <t xml:space="preserve">https://www.inaturalist.org/observations/383166255</t>
  </si>
  <si>
    <t xml:space="preserve">FALSE 1103</t>
  </si>
  <si>
    <t xml:space="preserve">Leuconotopicus villosus</t>
  </si>
  <si>
    <t xml:space="preserve">https://www.inaturalist.org/observations/383166196</t>
  </si>
  <si>
    <t xml:space="preserve">FALSE 1104</t>
  </si>
  <si>
    <t xml:space="preserve">Setophaga americana</t>
  </si>
  <si>
    <t xml:space="preserve">https://www.inaturalist.org/observations/383166061</t>
  </si>
  <si>
    <t xml:space="preserve">FALSE 1105</t>
  </si>
  <si>
    <t xml:space="preserve">Tachycineta bicolor</t>
  </si>
  <si>
    <t xml:space="preserve">https://www.inaturalist.org/observations/383165667</t>
  </si>
  <si>
    <t xml:space="preserve">FALSE 1106</t>
  </si>
  <si>
    <t xml:space="preserve">Polioptila caerulea</t>
  </si>
  <si>
    <t xml:space="preserve">https://www.inaturalist.org/observations/383165648</t>
  </si>
  <si>
    <t xml:space="preserve">FALSE 1107</t>
  </si>
  <si>
    <t xml:space="preserve">Acridotheres javanicus</t>
  </si>
  <si>
    <t xml:space="preserve">https://www.inaturalist.org/observations/383165608</t>
  </si>
  <si>
    <t xml:space="preserve">FALSE 1108</t>
  </si>
  <si>
    <t xml:space="preserve">Aquila audax</t>
  </si>
  <si>
    <t xml:space="preserve">https://www.inaturalist.org/observations/383165419</t>
  </si>
  <si>
    <t xml:space="preserve">FALSE 1109</t>
  </si>
  <si>
    <t xml:space="preserve">Ardea ibis</t>
  </si>
  <si>
    <t xml:space="preserve">https://www.inaturalist.org/observations/383165382</t>
  </si>
  <si>
    <t xml:space="preserve">FALSE 1110</t>
  </si>
  <si>
    <t xml:space="preserve">Mniotilta varia</t>
  </si>
  <si>
    <t xml:space="preserve">https://www.inaturalist.org/observations/383165295</t>
  </si>
  <si>
    <t xml:space="preserve">FALSE 1111</t>
  </si>
  <si>
    <t xml:space="preserve">Antigone rubicunda</t>
  </si>
  <si>
    <t xml:space="preserve">https://www.inaturalist.org/observations/383165202</t>
  </si>
  <si>
    <t xml:space="preserve">FALSE 1112</t>
  </si>
  <si>
    <t xml:space="preserve">Cygnus atratus</t>
  </si>
  <si>
    <t xml:space="preserve">https://www.inaturalist.org/observations/383165173</t>
  </si>
  <si>
    <t xml:space="preserve">FALSE 1113</t>
  </si>
  <si>
    <t xml:space="preserve">Pica hudsonia</t>
  </si>
  <si>
    <t xml:space="preserve">https://www.inaturalist.org/observations/383165143</t>
  </si>
  <si>
    <t xml:space="preserve">FALSE 1114</t>
  </si>
  <si>
    <t xml:space="preserve">Poecile atricapillus</t>
  </si>
  <si>
    <t xml:space="preserve">https://www.inaturalist.org/observations/383165018</t>
  </si>
  <si>
    <t xml:space="preserve">FALSE 1115</t>
  </si>
  <si>
    <t xml:space="preserve">Setophaga ruticilla</t>
  </si>
  <si>
    <t xml:space="preserve">https://www.inaturalist.org/observations/383164966</t>
  </si>
  <si>
    <t xml:space="preserve">FALSE 1116</t>
  </si>
  <si>
    <t xml:space="preserve">Cepphus grylle</t>
  </si>
  <si>
    <t xml:space="preserve">https://www.inaturalist.org/observations/383164939</t>
  </si>
  <si>
    <t xml:space="preserve">FALSE 1117</t>
  </si>
  <si>
    <t xml:space="preserve">Bubo virginianus</t>
  </si>
  <si>
    <t xml:space="preserve">https://www.inaturalist.org/observations/383164588</t>
  </si>
  <si>
    <t xml:space="preserve">FALSE 1118</t>
  </si>
  <si>
    <t xml:space="preserve">Cepphus columba</t>
  </si>
  <si>
    <t xml:space="preserve">https://www.inaturalist.org/observations/383164374</t>
  </si>
  <si>
    <t xml:space="preserve">FALSE 1119</t>
  </si>
  <si>
    <t xml:space="preserve">Larus heermanni</t>
  </si>
  <si>
    <t xml:space="preserve">https://www.inaturalist.org/observations/383164342</t>
  </si>
  <si>
    <t xml:space="preserve">FALSE 1120</t>
  </si>
  <si>
    <t xml:space="preserve">Plectorhyncha lanceolata</t>
  </si>
  <si>
    <t xml:space="preserve">https://www.inaturalist.org/observations/383164259</t>
  </si>
  <si>
    <t xml:space="preserve">FALSE 1121</t>
  </si>
  <si>
    <t xml:space="preserve">Geopelia humeralis</t>
  </si>
  <si>
    <t xml:space="preserve">https://www.inaturalist.org/observations/383164179</t>
  </si>
  <si>
    <t xml:space="preserve">FALSE 1122</t>
  </si>
  <si>
    <t xml:space="preserve">Icterus galbula</t>
  </si>
  <si>
    <t xml:space="preserve">https://www.inaturalist.org/observations/383163987</t>
  </si>
  <si>
    <t xml:space="preserve">FALSE 1123</t>
  </si>
  <si>
    <t xml:space="preserve">Cyanocitta stelleri</t>
  </si>
  <si>
    <t xml:space="preserve">https://www.inaturalist.org/observations/383163984</t>
  </si>
  <si>
    <t xml:space="preserve">FALSE 1124</t>
  </si>
  <si>
    <t xml:space="preserve">Egretta thula</t>
  </si>
  <si>
    <t xml:space="preserve">https://www.inaturalist.org/observations/383163923</t>
  </si>
  <si>
    <t xml:space="preserve">FALSE 1125</t>
  </si>
  <si>
    <t xml:space="preserve">Tyrannus vociferans</t>
  </si>
  <si>
    <t xml:space="preserve">https://www.inaturalist.org/observations/383163715</t>
  </si>
  <si>
    <t xml:space="preserve">FALSE 1126</t>
  </si>
  <si>
    <t xml:space="preserve">Sturnella neglecta</t>
  </si>
  <si>
    <t xml:space="preserve">https://www.inaturalist.org/observations/383163692</t>
  </si>
  <si>
    <t xml:space="preserve">FALSE 1127</t>
  </si>
  <si>
    <t xml:space="preserve">Thalasseus elegans</t>
  </si>
  <si>
    <t xml:space="preserve">https://www.inaturalist.org/observations/383163665</t>
  </si>
  <si>
    <t xml:space="preserve">FALSE 1128</t>
  </si>
  <si>
    <t xml:space="preserve">Falco sparverius</t>
  </si>
  <si>
    <t xml:space="preserve">https://www.inaturalist.org/observations/383163661</t>
  </si>
  <si>
    <t xml:space="preserve">FALSE 1129</t>
  </si>
  <si>
    <t xml:space="preserve">Circus hudsonius</t>
  </si>
  <si>
    <t xml:space="preserve">https://www.inaturalist.org/observations/383163655</t>
  </si>
  <si>
    <t xml:space="preserve">FALSE 1130</t>
  </si>
  <si>
    <t xml:space="preserve">Sayornis saya</t>
  </si>
  <si>
    <t xml:space="preserve">https://www.inaturalist.org/observations/383163648</t>
  </si>
  <si>
    <t xml:space="preserve">FALSE 1131</t>
  </si>
  <si>
    <t xml:space="preserve">Melozone crissalis</t>
  </si>
  <si>
    <t xml:space="preserve">https://www.inaturalist.org/observations/383163646</t>
  </si>
  <si>
    <t xml:space="preserve">FALSE 1132</t>
  </si>
  <si>
    <t xml:space="preserve">Sayornis nigricans</t>
  </si>
  <si>
    <t xml:space="preserve">https://www.inaturalist.org/observations/383163637</t>
  </si>
  <si>
    <t xml:space="preserve">FALSE 1133</t>
  </si>
  <si>
    <t xml:space="preserve">Himantopus mexicanus</t>
  </si>
  <si>
    <t xml:space="preserve">https://www.inaturalist.org/observations/383163521</t>
  </si>
  <si>
    <t xml:space="preserve">FALSE 1134</t>
  </si>
  <si>
    <t xml:space="preserve">Piranga ludoviciana</t>
  </si>
  <si>
    <t xml:space="preserve">https://www.inaturalist.org/observations/383163338</t>
  </si>
  <si>
    <t xml:space="preserve">FALSE 1135</t>
  </si>
  <si>
    <t xml:space="preserve">Psaltriparus minimus</t>
  </si>
  <si>
    <t xml:space="preserve">https://www.inaturalist.org/observations/383163316</t>
  </si>
  <si>
    <t xml:space="preserve">FALSE 1136</t>
  </si>
  <si>
    <t xml:space="preserve">Columbina inca</t>
  </si>
  <si>
    <t xml:space="preserve">https://www.inaturalist.org/observations/383163085</t>
  </si>
  <si>
    <t xml:space="preserve">FALSE 1137</t>
  </si>
  <si>
    <t xml:space="preserve">Xenus cinereus</t>
  </si>
  <si>
    <t xml:space="preserve">https://www.inaturalist.org/observations/383162976</t>
  </si>
  <si>
    <t xml:space="preserve">FALSE 1138</t>
  </si>
  <si>
    <t xml:space="preserve">Antigone canadensis</t>
  </si>
  <si>
    <t xml:space="preserve">https://www.inaturalist.org/observations/383162879</t>
  </si>
  <si>
    <t xml:space="preserve">FALSE 1139</t>
  </si>
  <si>
    <t xml:space="preserve">Nyctanassa violacea</t>
  </si>
  <si>
    <t xml:space="preserve">https://www.inaturalist.org/observations/383162864</t>
  </si>
  <si>
    <t xml:space="preserve">FALSE 1140</t>
  </si>
  <si>
    <t xml:space="preserve">Elanoides forficatus</t>
  </si>
  <si>
    <t xml:space="preserve">https://www.inaturalist.org/observations/383162734</t>
  </si>
  <si>
    <t xml:space="preserve">FALSE 1141</t>
  </si>
  <si>
    <t xml:space="preserve">Philemon citreogularis</t>
  </si>
  <si>
    <t xml:space="preserve">https://www.inaturalist.org/observations/383162732</t>
  </si>
  <si>
    <t xml:space="preserve">FALSE 1142</t>
  </si>
  <si>
    <t xml:space="preserve">Gallinula galeata</t>
  </si>
  <si>
    <t xml:space="preserve">https://www.inaturalist.org/observations/383162614</t>
  </si>
  <si>
    <t xml:space="preserve">FALSE 1143</t>
  </si>
  <si>
    <t xml:space="preserve">Eudocimus albus</t>
  </si>
  <si>
    <t xml:space="preserve">https://www.inaturalist.org/observations/383162527</t>
  </si>
  <si>
    <t xml:space="preserve">FALSE 1144</t>
  </si>
  <si>
    <t xml:space="preserve">Butorides virescens</t>
  </si>
  <si>
    <t xml:space="preserve">https://www.inaturalist.org/observations/383162298</t>
  </si>
  <si>
    <t xml:space="preserve">FALSE 1145</t>
  </si>
  <si>
    <t xml:space="preserve">Setophaga coronata</t>
  </si>
  <si>
    <t xml:space="preserve">https://www.inaturalist.org/observations/383162169</t>
  </si>
  <si>
    <t xml:space="preserve">FALSE 1146</t>
  </si>
  <si>
    <t xml:space="preserve">Chondestes grammacus</t>
  </si>
  <si>
    <t xml:space="preserve">https://www.inaturalist.org/observations/383162009</t>
  </si>
  <si>
    <t xml:space="preserve">FALSE 1147</t>
  </si>
  <si>
    <t xml:space="preserve">Setophaga pinus</t>
  </si>
  <si>
    <t xml:space="preserve">https://www.inaturalist.org/observations/383161979</t>
  </si>
  <si>
    <t xml:space="preserve">FALSE 1148</t>
  </si>
  <si>
    <t xml:space="preserve">Catharus fuscescens</t>
  </si>
  <si>
    <t xml:space="preserve">https://www.inaturalist.org/observations/383161974</t>
  </si>
  <si>
    <t xml:space="preserve">FALSE 1149</t>
  </si>
  <si>
    <t xml:space="preserve">Seiurus aurocapilla</t>
  </si>
  <si>
    <t xml:space="preserve">https://www.inaturalist.org/observations/383161959</t>
  </si>
  <si>
    <t xml:space="preserve">FALSE 1150</t>
  </si>
  <si>
    <t xml:space="preserve">Setophaga pensylvanica</t>
  </si>
  <si>
    <t xml:space="preserve">https://www.inaturalist.org/observations/383161946</t>
  </si>
  <si>
    <t xml:space="preserve">FALSE 1151</t>
  </si>
  <si>
    <t xml:space="preserve">Dendrocygna autumnalis</t>
  </si>
  <si>
    <t xml:space="preserve">https://www.inaturalist.org/observations/383161921</t>
  </si>
  <si>
    <t xml:space="preserve">FALSE 1152</t>
  </si>
  <si>
    <t xml:space="preserve">Pelecanus occidentalis</t>
  </si>
  <si>
    <t xml:space="preserve">https://www.inaturalist.org/observations/383161677</t>
  </si>
  <si>
    <t xml:space="preserve">FALSE 1153</t>
  </si>
  <si>
    <t xml:space="preserve">Phylidonyris novaehollandiae</t>
  </si>
  <si>
    <t xml:space="preserve">https://www.inaturalist.org/observations/383161665</t>
  </si>
  <si>
    <t xml:space="preserve">FALSE 1154</t>
  </si>
  <si>
    <t xml:space="preserve">Tringa semipalmata</t>
  </si>
  <si>
    <t xml:space="preserve">https://www.inaturalist.org/observations/383161656</t>
  </si>
  <si>
    <t xml:space="preserve">FALSE 1155</t>
  </si>
  <si>
    <t xml:space="preserve">Canachites canadensis</t>
  </si>
  <si>
    <t xml:space="preserve">https://www.inaturalist.org/observations/383161507</t>
  </si>
  <si>
    <t xml:space="preserve">FALSE 1156</t>
  </si>
  <si>
    <t xml:space="preserve">Crotophaga ani</t>
  </si>
  <si>
    <t xml:space="preserve">https://www.inaturalist.org/observations/383161478</t>
  </si>
  <si>
    <t xml:space="preserve">FALSE 1157</t>
  </si>
  <si>
    <t xml:space="preserve">Melloria quoyi</t>
  </si>
  <si>
    <t xml:space="preserve">https://www.inaturalist.org/observations/383161324</t>
  </si>
  <si>
    <t xml:space="preserve">FALSE 1158</t>
  </si>
  <si>
    <t xml:space="preserve">Pitangus sulphuratus</t>
  </si>
  <si>
    <t xml:space="preserve">https://www.inaturalist.org/observations/383161238</t>
  </si>
  <si>
    <t xml:space="preserve">FALSE 1159</t>
  </si>
  <si>
    <t xml:space="preserve">Spizella pusilla</t>
  </si>
  <si>
    <t xml:space="preserve">https://www.inaturalist.org/observations/383161193</t>
  </si>
  <si>
    <t xml:space="preserve">FALSE 1160</t>
  </si>
  <si>
    <t xml:space="preserve">Coragyps atratus</t>
  </si>
  <si>
    <t xml:space="preserve">https://www.inaturalist.org/observations/383161119</t>
  </si>
  <si>
    <t xml:space="preserve">FALSE 1161</t>
  </si>
  <si>
    <t xml:space="preserve">Corvus corax</t>
  </si>
  <si>
    <t xml:space="preserve">https://www.inaturalist.org/observations/383160840</t>
  </si>
  <si>
    <t xml:space="preserve">FALSE 1162</t>
  </si>
  <si>
    <t xml:space="preserve">Amazona auropalliata</t>
  </si>
  <si>
    <t xml:space="preserve">https://www.inaturalist.org/observations/383160743</t>
  </si>
  <si>
    <t xml:space="preserve">FALSE 1163</t>
  </si>
  <si>
    <t xml:space="preserve">Archilochus colubris</t>
  </si>
  <si>
    <t xml:space="preserve">https://www.inaturalist.org/observations/383160736</t>
  </si>
  <si>
    <t xml:space="preserve">FALSE 1164</t>
  </si>
  <si>
    <t xml:space="preserve">Catharus guttatus</t>
  </si>
  <si>
    <t xml:space="preserve">https://www.inaturalist.org/observations/383160625</t>
  </si>
  <si>
    <t xml:space="preserve">FALSE 1165</t>
  </si>
  <si>
    <t xml:space="preserve">Buteo regalis</t>
  </si>
  <si>
    <t xml:space="preserve">https://www.inaturalist.org/observations/383160384</t>
  </si>
  <si>
    <t xml:space="preserve">FALSE 1166</t>
  </si>
  <si>
    <t xml:space="preserve">Megascops kennicottii</t>
  </si>
  <si>
    <t xml:space="preserve">https://www.inaturalist.org/observations/383160251</t>
  </si>
  <si>
    <t xml:space="preserve">FALSE 1167</t>
  </si>
  <si>
    <t xml:space="preserve">Acanthiza nana</t>
  </si>
  <si>
    <t xml:space="preserve">https://www.inaturalist.org/observations/383160230</t>
  </si>
  <si>
    <t xml:space="preserve">FALSE 1168</t>
  </si>
  <si>
    <t xml:space="preserve">Branta sandvicensis</t>
  </si>
  <si>
    <t xml:space="preserve">https://www.inaturalist.org/observations/383160168</t>
  </si>
  <si>
    <t xml:space="preserve">FALSE 1169</t>
  </si>
  <si>
    <t xml:space="preserve">Recurvirostra americana</t>
  </si>
  <si>
    <t xml:space="preserve">https://www.inaturalist.org/observations/383160142</t>
  </si>
  <si>
    <t xml:space="preserve">FALSE 1170</t>
  </si>
  <si>
    <t xml:space="preserve">Perisoreus canadensis</t>
  </si>
  <si>
    <t xml:space="preserve">https://www.inaturalist.org/observations/383160049</t>
  </si>
  <si>
    <t xml:space="preserve">FALSE 1171</t>
  </si>
  <si>
    <t xml:space="preserve">Volatinia jacarina</t>
  </si>
  <si>
    <t xml:space="preserve">https://www.inaturalist.org/observations/383159878</t>
  </si>
  <si>
    <t xml:space="preserve">FALSE 1172</t>
  </si>
  <si>
    <t xml:space="preserve">Dryocopus pileatus</t>
  </si>
  <si>
    <t xml:space="preserve">https://www.inaturalist.org/observations/383159875</t>
  </si>
  <si>
    <t xml:space="preserve">FALSE 1173</t>
  </si>
  <si>
    <t xml:space="preserve">Platalea flavipes</t>
  </si>
  <si>
    <t xml:space="preserve">https://www.inaturalist.org/observations/383159639</t>
  </si>
  <si>
    <t xml:space="preserve">FALSE 1174</t>
  </si>
  <si>
    <t xml:space="preserve">Egretta caerulea</t>
  </si>
  <si>
    <t xml:space="preserve">https://www.inaturalist.org/observations/383159502</t>
  </si>
  <si>
    <t xml:space="preserve">FALSE 1175</t>
  </si>
  <si>
    <t xml:space="preserve">Leptocoma sperata</t>
  </si>
  <si>
    <t xml:space="preserve">https://www.inaturalist.org/observations/383159420</t>
  </si>
  <si>
    <t xml:space="preserve">FALSE 1176</t>
  </si>
  <si>
    <t xml:space="preserve">Sitta oenochlamys</t>
  </si>
  <si>
    <t xml:space="preserve">https://www.inaturalist.org/observations/383159383</t>
  </si>
  <si>
    <t xml:space="preserve">FALSE 1177</t>
  </si>
  <si>
    <t xml:space="preserve">Actenoides lindsayi</t>
  </si>
  <si>
    <t xml:space="preserve">https://www.inaturalist.org/observations/383159362</t>
  </si>
  <si>
    <t xml:space="preserve">FALSE 1178</t>
  </si>
  <si>
    <t xml:space="preserve">Buceros bicornis</t>
  </si>
  <si>
    <t xml:space="preserve">https://www.inaturalist.org/observations/383159216</t>
  </si>
  <si>
    <t xml:space="preserve">FALSE 1179</t>
  </si>
  <si>
    <t xml:space="preserve">Psilopogon haemacephalus</t>
  </si>
  <si>
    <t xml:space="preserve">https://www.inaturalist.org/observations/383159196</t>
  </si>
  <si>
    <t xml:space="preserve">FALSE 1180</t>
  </si>
  <si>
    <t xml:space="preserve">Cyanocorax colliei</t>
  </si>
  <si>
    <t xml:space="preserve">https://www.inaturalist.org/observations/383158963</t>
  </si>
  <si>
    <t xml:space="preserve">FALSE 1181</t>
  </si>
  <si>
    <t xml:space="preserve">Rhipidura albiscapa</t>
  </si>
  <si>
    <t xml:space="preserve">https://www.inaturalist.org/observations/383158937</t>
  </si>
  <si>
    <t xml:space="preserve">FALSE 1182</t>
  </si>
  <si>
    <t xml:space="preserve">Anhinga novaehollandiae</t>
  </si>
  <si>
    <t xml:space="preserve">https://www.inaturalist.org/observations/383158936</t>
  </si>
  <si>
    <t xml:space="preserve">FALSE 1183</t>
  </si>
  <si>
    <t xml:space="preserve">Coloeus monedula</t>
  </si>
  <si>
    <t xml:space="preserve">https://www.inaturalist.org/observations/383158802</t>
  </si>
  <si>
    <t xml:space="preserve">FALSE 1184</t>
  </si>
  <si>
    <t xml:space="preserve">Aquila chrysaetos</t>
  </si>
  <si>
    <t xml:space="preserve">https://www.inaturalist.org/observations/383158634</t>
  </si>
  <si>
    <t xml:space="preserve">FALSE 1185</t>
  </si>
  <si>
    <t xml:space="preserve">Patagioenas cayennensis</t>
  </si>
  <si>
    <t xml:space="preserve">https://www.inaturalist.org/observations/383158585</t>
  </si>
  <si>
    <t xml:space="preserve">FALSE 1186</t>
  </si>
  <si>
    <t xml:space="preserve">Charadrius semipalmatus</t>
  </si>
  <si>
    <t xml:space="preserve">https://www.inaturalist.org/observations/383158531</t>
  </si>
  <si>
    <t xml:space="preserve">FALSE 1187</t>
  </si>
  <si>
    <t xml:space="preserve">Poecile hudsonicus</t>
  </si>
  <si>
    <t xml:space="preserve">https://www.inaturalist.org/observations/383158498</t>
  </si>
  <si>
    <t xml:space="preserve">FALSE 1188</t>
  </si>
  <si>
    <t xml:space="preserve">Setophaga striata</t>
  </si>
  <si>
    <t xml:space="preserve">https://www.inaturalist.org/observations/383158497</t>
  </si>
  <si>
    <t xml:space="preserve">FALSE 1189</t>
  </si>
  <si>
    <t xml:space="preserve">Geothlypis philadelphia</t>
  </si>
  <si>
    <t xml:space="preserve">https://www.inaturalist.org/observations/383158492</t>
  </si>
  <si>
    <t xml:space="preserve">FALSE 1190</t>
  </si>
  <si>
    <t xml:space="preserve">Agropsar philippensis</t>
  </si>
  <si>
    <t xml:space="preserve">https://www.inaturalist.org/observations/383158280</t>
  </si>
  <si>
    <t xml:space="preserve">FALSE 1191</t>
  </si>
  <si>
    <t xml:space="preserve">Ictinia mississippiensis</t>
  </si>
  <si>
    <t xml:space="preserve">https://www.inaturalist.org/observations/383158258</t>
  </si>
  <si>
    <t xml:space="preserve">FALSE 1192</t>
  </si>
  <si>
    <t xml:space="preserve">Argya striata</t>
  </si>
  <si>
    <t xml:space="preserve">https://www.inaturalist.org/observations/383158238</t>
  </si>
  <si>
    <t xml:space="preserve">FALSE 1193</t>
  </si>
  <si>
    <t xml:space="preserve">Setophaga magnolia</t>
  </si>
  <si>
    <t xml:space="preserve">https://www.inaturalist.org/observations/383158137</t>
  </si>
  <si>
    <t xml:space="preserve">FALSE 1194</t>
  </si>
  <si>
    <t xml:space="preserve">Haematopus bachmani</t>
  </si>
  <si>
    <t xml:space="preserve">https://www.inaturalist.org/observations/383158062</t>
  </si>
  <si>
    <t xml:space="preserve">FALSE 1195</t>
  </si>
  <si>
    <t xml:space="preserve">Turdus ardosiaceus</t>
  </si>
  <si>
    <t xml:space="preserve">https://www.inaturalist.org/observations/383157800</t>
  </si>
  <si>
    <t xml:space="preserve">FALSE 1196</t>
  </si>
  <si>
    <t xml:space="preserve">Columba livia</t>
  </si>
  <si>
    <t xml:space="preserve">https://www.inaturalist.org/observations/383157785</t>
  </si>
  <si>
    <t xml:space="preserve">FALSE 1197</t>
  </si>
  <si>
    <t xml:space="preserve">Tachycineta thalassina</t>
  </si>
  <si>
    <t xml:space="preserve">https://www.inaturalist.org/observations/383157784</t>
  </si>
  <si>
    <t xml:space="preserve">FALSE 1198</t>
  </si>
  <si>
    <t xml:space="preserve">Thraupis palmarum</t>
  </si>
  <si>
    <t xml:space="preserve">https://www.inaturalist.org/observations/383157765</t>
  </si>
  <si>
    <t xml:space="preserve">FALSE 1199</t>
  </si>
  <si>
    <t xml:space="preserve">Melanerpes candidus</t>
  </si>
  <si>
    <t xml:space="preserve">https://www.inaturalist.org/observations/383157761</t>
  </si>
  <si>
    <t xml:space="preserve">FALSE 1200</t>
  </si>
  <si>
    <t xml:space="preserve">Mimus saturninus</t>
  </si>
  <si>
    <t xml:space="preserve">https://www.inaturalist.org/observations/383157760</t>
  </si>
  <si>
    <t xml:space="preserve">FALSE 1201</t>
  </si>
  <si>
    <t xml:space="preserve">Furnarius figulus</t>
  </si>
  <si>
    <t xml:space="preserve">https://www.inaturalist.org/observations/383157758</t>
  </si>
  <si>
    <t xml:space="preserve">FALSE 1202</t>
  </si>
  <si>
    <t xml:space="preserve">Aramus guarauna</t>
  </si>
  <si>
    <t xml:space="preserve">https://www.inaturalist.org/observations/383157757</t>
  </si>
  <si>
    <t xml:space="preserve">FALSE 1203</t>
  </si>
  <si>
    <t xml:space="preserve">Ardea cocoi</t>
  </si>
  <si>
    <t xml:space="preserve">https://www.inaturalist.org/observations/383157752</t>
  </si>
  <si>
    <t xml:space="preserve">FALSE 1204</t>
  </si>
  <si>
    <t xml:space="preserve">Phimosus infuscatus</t>
  </si>
  <si>
    <t xml:space="preserve">https://www.inaturalist.org/observations/383157751</t>
  </si>
  <si>
    <t xml:space="preserve">FALSE 1205</t>
  </si>
  <si>
    <t xml:space="preserve">Machetornis rixosa</t>
  </si>
  <si>
    <t xml:space="preserve">https://www.inaturalist.org/observations/383157744</t>
  </si>
  <si>
    <t xml:space="preserve">FALSE 1206</t>
  </si>
  <si>
    <t xml:space="preserve">Lepidocolaptes angustirostris</t>
  </si>
  <si>
    <t xml:space="preserve">https://www.inaturalist.org/observations/383157743</t>
  </si>
  <si>
    <t xml:space="preserve">FALSE 1207</t>
  </si>
  <si>
    <t xml:space="preserve">Daptrius chimachima</t>
  </si>
  <si>
    <t xml:space="preserve">https://www.inaturalist.org/observations/383157742</t>
  </si>
  <si>
    <t xml:space="preserve">FALSE 1208</t>
  </si>
  <si>
    <t xml:space="preserve">Myiothlypis flaveola</t>
  </si>
  <si>
    <t xml:space="preserve">https://www.inaturalist.org/observations/383157734</t>
  </si>
  <si>
    <t xml:space="preserve">FALSE 1209</t>
  </si>
  <si>
    <t xml:space="preserve">Megarynchus pitangua</t>
  </si>
  <si>
    <t xml:space="preserve">https://www.inaturalist.org/observations/383157729</t>
  </si>
  <si>
    <t xml:space="preserve">FALSE 1210</t>
  </si>
  <si>
    <t xml:space="preserve">Colaptes campestris</t>
  </si>
  <si>
    <t xml:space="preserve">https://www.inaturalist.org/observations/383157728</t>
  </si>
  <si>
    <t xml:space="preserve">FALSE 1211</t>
  </si>
  <si>
    <t xml:space="preserve">Furnarius rufus</t>
  </si>
  <si>
    <t xml:space="preserve">https://www.inaturalist.org/observations/383157720</t>
  </si>
  <si>
    <t xml:space="preserve">FALSE 1212</t>
  </si>
  <si>
    <t xml:space="preserve">Patagioenas picazuro</t>
  </si>
  <si>
    <t xml:space="preserve">https://www.inaturalist.org/observations/383157718</t>
  </si>
  <si>
    <t xml:space="preserve">FALSE 1213</t>
  </si>
  <si>
    <t xml:space="preserve">Plegadis falcinellus</t>
  </si>
  <si>
    <t xml:space="preserve">https://www.inaturalist.org/observations/383157577</t>
  </si>
  <si>
    <t xml:space="preserve">FALSE 1214</t>
  </si>
  <si>
    <t xml:space="preserve">Ramphocelus passerinii</t>
  </si>
  <si>
    <t xml:space="preserve">https://www.inaturalist.org/observations/383157424</t>
  </si>
  <si>
    <t xml:space="preserve">FALSE 1215</t>
  </si>
  <si>
    <t xml:space="preserve">Pluvialis squatarola</t>
  </si>
  <si>
    <t xml:space="preserve">https://www.inaturalist.org/observations/383157265</t>
  </si>
  <si>
    <t xml:space="preserve">FALSE 1216</t>
  </si>
  <si>
    <t xml:space="preserve">Hylocichla mustelina</t>
  </si>
  <si>
    <t xml:space="preserve">https://www.inaturalist.org/observations/383157019</t>
  </si>
  <si>
    <t xml:space="preserve">FALSE 1217</t>
  </si>
  <si>
    <t xml:space="preserve">Milvus migrans</t>
  </si>
  <si>
    <t xml:space="preserve">https://www.inaturalist.org/observations/383156770</t>
  </si>
  <si>
    <t xml:space="preserve">FALSE 1218</t>
  </si>
  <si>
    <t xml:space="preserve">Pyrrhula pyrrhula</t>
  </si>
  <si>
    <t xml:space="preserve">https://www.inaturalist.org/observations/383156691</t>
  </si>
  <si>
    <t xml:space="preserve">FALSE 1219</t>
  </si>
  <si>
    <t xml:space="preserve">Larus fuscus barabensis</t>
  </si>
  <si>
    <t xml:space="preserve">https://www.inaturalist.org/observations/383156612</t>
  </si>
  <si>
    <t xml:space="preserve">FALSE 1220</t>
  </si>
  <si>
    <t xml:space="preserve">Stagonopleura bella</t>
  </si>
  <si>
    <t xml:space="preserve">https://www.inaturalist.org/observations/383156563</t>
  </si>
  <si>
    <t xml:space="preserve">FALSE 1221</t>
  </si>
  <si>
    <t xml:space="preserve">Neochmia temporalis</t>
  </si>
  <si>
    <t xml:space="preserve">https://www.inaturalist.org/observations/383156507</t>
  </si>
  <si>
    <t xml:space="preserve">FALSE 1222</t>
  </si>
  <si>
    <t xml:space="preserve">Prinia socialis</t>
  </si>
  <si>
    <t xml:space="preserve">https://www.inaturalist.org/observations/383156483</t>
  </si>
  <si>
    <t xml:space="preserve">FALSE 1223</t>
  </si>
  <si>
    <t xml:space="preserve">Ploceus philippinus</t>
  </si>
  <si>
    <t xml:space="preserve">https://www.inaturalist.org/observations/383156478</t>
  </si>
  <si>
    <t xml:space="preserve">FALSE 1224</t>
  </si>
  <si>
    <t xml:space="preserve">Egretta tricolor</t>
  </si>
  <si>
    <t xml:space="preserve">https://www.inaturalist.org/observations/383156412</t>
  </si>
  <si>
    <t xml:space="preserve">FALSE 1225</t>
  </si>
  <si>
    <t xml:space="preserve">Falco novaeseelandiae</t>
  </si>
  <si>
    <t xml:space="preserve">https://www.inaturalist.org/observations/383156315</t>
  </si>
  <si>
    <t xml:space="preserve">FALSE 1226</t>
  </si>
  <si>
    <t xml:space="preserve">Artamus leucorynchus</t>
  </si>
  <si>
    <t xml:space="preserve">https://www.inaturalist.org/observations/383156265</t>
  </si>
  <si>
    <t xml:space="preserve">FALSE 1227</t>
  </si>
  <si>
    <t xml:space="preserve">Haliastur sphenurus</t>
  </si>
  <si>
    <t xml:space="preserve">https://www.inaturalist.org/observations/383156261</t>
  </si>
  <si>
    <t xml:space="preserve">FALSE 1228</t>
  </si>
  <si>
    <t xml:space="preserve">Stizoptera bichenovii</t>
  </si>
  <si>
    <t xml:space="preserve">https://www.inaturalist.org/observations/383156256</t>
  </si>
  <si>
    <t xml:space="preserve">FALSE 1229</t>
  </si>
  <si>
    <t xml:space="preserve">Stomiopera unicolor</t>
  </si>
  <si>
    <t xml:space="preserve">https://www.inaturalist.org/observations/383156254</t>
  </si>
  <si>
    <t xml:space="preserve">FALSE 1230</t>
  </si>
  <si>
    <t xml:space="preserve">Merops philippinus</t>
  </si>
  <si>
    <t xml:space="preserve">https://www.inaturalist.org/observations/383156122</t>
  </si>
  <si>
    <t xml:space="preserve">FALSE 1231</t>
  </si>
  <si>
    <t xml:space="preserve">Myzomela sanguinolenta</t>
  </si>
  <si>
    <t xml:space="preserve">https://www.inaturalist.org/observations/383156074</t>
  </si>
  <si>
    <t xml:space="preserve">FALSE 1232</t>
  </si>
  <si>
    <t xml:space="preserve">Pavo cristatus</t>
  </si>
  <si>
    <t xml:space="preserve">https://www.inaturalist.org/observations/383156062</t>
  </si>
  <si>
    <t xml:space="preserve">FALSE 1233</t>
  </si>
  <si>
    <t xml:space="preserve">Geopelia placida</t>
  </si>
  <si>
    <t xml:space="preserve">https://www.inaturalist.org/observations/383156061</t>
  </si>
  <si>
    <t xml:space="preserve">FALSE 1234</t>
  </si>
  <si>
    <t xml:space="preserve">Aviceda subcristata</t>
  </si>
  <si>
    <t xml:space="preserve">https://www.inaturalist.org/observations/383156058</t>
  </si>
  <si>
    <t xml:space="preserve">FALSE 1235</t>
  </si>
  <si>
    <t xml:space="preserve">Dicaeum hirundinaceum</t>
  </si>
  <si>
    <t xml:space="preserve">https://www.inaturalist.org/observations/383156054</t>
  </si>
  <si>
    <t xml:space="preserve">FALSE 1236</t>
  </si>
  <si>
    <t xml:space="preserve">Lonchura castaneothorax</t>
  </si>
  <si>
    <t xml:space="preserve">https://www.inaturalist.org/observations/383156045</t>
  </si>
  <si>
    <t xml:space="preserve">FALSE 1237</t>
  </si>
  <si>
    <t xml:space="preserve">Lichmera indistincta</t>
  </si>
  <si>
    <t xml:space="preserve">https://www.inaturalist.org/observations/383156041</t>
  </si>
  <si>
    <t xml:space="preserve">FALSE 1238</t>
  </si>
  <si>
    <t xml:space="preserve">Entomyzon cyanotis</t>
  </si>
  <si>
    <t xml:space="preserve">https://www.inaturalist.org/observations/383156036</t>
  </si>
  <si>
    <t xml:space="preserve">FALSE 1239</t>
  </si>
  <si>
    <t xml:space="preserve">Chroicocephalus ridibundus</t>
  </si>
  <si>
    <t xml:space="preserve">https://www.inaturalist.org/observations/383155832</t>
  </si>
  <si>
    <t xml:space="preserve">FALSE 1240</t>
  </si>
  <si>
    <t xml:space="preserve">Oxyura ferruginea</t>
  </si>
  <si>
    <t xml:space="preserve">https://www.inaturalist.org/observations/383155792</t>
  </si>
  <si>
    <t xml:space="preserve">FALSE 1241</t>
  </si>
  <si>
    <t xml:space="preserve">Lonchura punctulata</t>
  </si>
  <si>
    <t xml:space="preserve">https://www.inaturalist.org/observations/383155582</t>
  </si>
  <si>
    <t xml:space="preserve">FALSE 1242</t>
  </si>
  <si>
    <t xml:space="preserve">Spilopelia senegalensis</t>
  </si>
  <si>
    <t xml:space="preserve">https://www.inaturalist.org/observations/383155537</t>
  </si>
  <si>
    <t xml:space="preserve">FALSE 1243</t>
  </si>
  <si>
    <t xml:space="preserve">Aegithina tiphia</t>
  </si>
  <si>
    <t xml:space="preserve">https://www.inaturalist.org/observations/383155519</t>
  </si>
  <si>
    <t xml:space="preserve">FALSE 1244</t>
  </si>
  <si>
    <t xml:space="preserve">Sterna hirundo</t>
  </si>
  <si>
    <t xml:space="preserve">https://www.inaturalist.org/observations/383155324</t>
  </si>
  <si>
    <t xml:space="preserve">FALSE 1245</t>
  </si>
  <si>
    <t xml:space="preserve">Thalassarche bulleri</t>
  </si>
  <si>
    <t xml:space="preserve">https://www.inaturalist.org/observations/383155180</t>
  </si>
  <si>
    <t xml:space="preserve">FALSE 1246</t>
  </si>
  <si>
    <t xml:space="preserve">Thalassarche cauta</t>
  </si>
  <si>
    <t xml:space="preserve">https://www.inaturalist.org/observations/383155179</t>
  </si>
  <si>
    <t xml:space="preserve">FALSE 1247</t>
  </si>
  <si>
    <t xml:space="preserve">Alectura lathami</t>
  </si>
  <si>
    <t xml:space="preserve">https://www.inaturalist.org/observations/383155151</t>
  </si>
  <si>
    <t xml:space="preserve">FALSE 1248</t>
  </si>
  <si>
    <t xml:space="preserve">Buteogallus anthracinus</t>
  </si>
  <si>
    <t xml:space="preserve">https://www.inaturalist.org/observations/383154981</t>
  </si>
  <si>
    <t xml:space="preserve">FALSE 1249</t>
  </si>
  <si>
    <t xml:space="preserve">Gracupica contra</t>
  </si>
  <si>
    <t xml:space="preserve">https://www.inaturalist.org/observations/383154965</t>
  </si>
  <si>
    <t xml:space="preserve">FALSE 1250</t>
  </si>
  <si>
    <t xml:space="preserve">Eudyptula minor</t>
  </si>
  <si>
    <t xml:space="preserve">https://www.inaturalist.org/observations/383154876</t>
  </si>
  <si>
    <t xml:space="preserve">FALSE 1251</t>
  </si>
  <si>
    <t xml:space="preserve">Ichthyaetus ichthyaetus</t>
  </si>
  <si>
    <t xml:space="preserve">https://www.inaturalist.org/observations/383154800</t>
  </si>
  <si>
    <t xml:space="preserve">FALSE 1252</t>
  </si>
  <si>
    <t xml:space="preserve">Charadrius vociferus vociferus</t>
  </si>
  <si>
    <t xml:space="preserve">https://www.inaturalist.org/observations/383154660</t>
  </si>
  <si>
    <t xml:space="preserve">FALSE 1253</t>
  </si>
  <si>
    <t xml:space="preserve">Galbula ruficauda</t>
  </si>
  <si>
    <t xml:space="preserve">https://www.inaturalist.org/observations/383154276</t>
  </si>
  <si>
    <t xml:space="preserve">FALSE 1254</t>
  </si>
  <si>
    <t xml:space="preserve">Icteria virens</t>
  </si>
  <si>
    <t xml:space="preserve">https://www.inaturalist.org/observations/383154195</t>
  </si>
  <si>
    <t xml:space="preserve">FALSE 1255</t>
  </si>
  <si>
    <t xml:space="preserve">Aegolius acadicus</t>
  </si>
  <si>
    <t xml:space="preserve">https://www.inaturalist.org/observations/383153977</t>
  </si>
  <si>
    <t xml:space="preserve">FALSE 1256</t>
  </si>
  <si>
    <t xml:space="preserve">Falco columbarius richardsonii</t>
  </si>
  <si>
    <t xml:space="preserve">https://www.inaturalist.org/observations/383153967</t>
  </si>
  <si>
    <t xml:space="preserve">FALSE 1257</t>
  </si>
  <si>
    <t xml:space="preserve">Bucephala islandica</t>
  </si>
  <si>
    <t xml:space="preserve">https://www.inaturalist.org/observations/383153960</t>
  </si>
  <si>
    <t xml:space="preserve">FALSE 1258</t>
  </si>
  <si>
    <t xml:space="preserve">Pelecanus erythrorhynchos</t>
  </si>
  <si>
    <t xml:space="preserve">https://www.inaturalist.org/observations/383153734</t>
  </si>
  <si>
    <t xml:space="preserve">FALSE 1259</t>
  </si>
  <si>
    <t xml:space="preserve">Vireo solitarius</t>
  </si>
  <si>
    <t xml:space="preserve">https://www.inaturalist.org/observations/383153725</t>
  </si>
  <si>
    <t xml:space="preserve">FALSE 1260</t>
  </si>
  <si>
    <t xml:space="preserve">Buteo platypterus</t>
  </si>
  <si>
    <t xml:space="preserve">https://www.inaturalist.org/observations/383153721</t>
  </si>
  <si>
    <t xml:space="preserve">FALSE 1261</t>
  </si>
  <si>
    <t xml:space="preserve">Setophaga petechia</t>
  </si>
  <si>
    <t xml:space="preserve">https://www.inaturalist.org/observations/383153585</t>
  </si>
  <si>
    <t xml:space="preserve">FALSE 1262</t>
  </si>
  <si>
    <t xml:space="preserve">Icthyophaga leucogaster</t>
  </si>
  <si>
    <t xml:space="preserve">https://www.inaturalist.org/observations/383153468</t>
  </si>
  <si>
    <t xml:space="preserve">FALSE 1263</t>
  </si>
  <si>
    <t xml:space="preserve">Larus occidentalis</t>
  </si>
  <si>
    <t xml:space="preserve">https://www.inaturalist.org/observations/383153463</t>
  </si>
  <si>
    <t xml:space="preserve">FALSE 1264</t>
  </si>
  <si>
    <t xml:space="preserve">Acanthiza lineata</t>
  </si>
  <si>
    <t xml:space="preserve">https://www.inaturalist.org/observations/383153346</t>
  </si>
  <si>
    <t xml:space="preserve">FALSE 1265</t>
  </si>
  <si>
    <t xml:space="preserve">Pelecanus conspicillatus</t>
  </si>
  <si>
    <t xml:space="preserve">https://www.inaturalist.org/observations/383153323</t>
  </si>
  <si>
    <t xml:space="preserve">FALSE 1266</t>
  </si>
  <si>
    <t xml:space="preserve">Buteo lineatus</t>
  </si>
  <si>
    <t xml:space="preserve">https://www.inaturalist.org/observations/383153252</t>
  </si>
  <si>
    <t xml:space="preserve">FALSE 1267</t>
  </si>
  <si>
    <t xml:space="preserve">Cairina moschata domestica</t>
  </si>
  <si>
    <t xml:space="preserve">https://www.inaturalist.org/observations/383153162</t>
  </si>
  <si>
    <t xml:space="preserve">FALSE 1268</t>
  </si>
  <si>
    <t xml:space="preserve">Hieraaetus morphnoides</t>
  </si>
  <si>
    <t xml:space="preserve">https://www.inaturalist.org/observations/383152584</t>
  </si>
  <si>
    <t xml:space="preserve">FALSE 1269</t>
  </si>
  <si>
    <t xml:space="preserve">Aythya affinis</t>
  </si>
  <si>
    <t xml:space="preserve">https://www.inaturalist.org/observations/383152564</t>
  </si>
  <si>
    <t xml:space="preserve">FALSE 1270</t>
  </si>
  <si>
    <t xml:space="preserve">Egretta novaehollandiae</t>
  </si>
  <si>
    <t xml:space="preserve">https://www.inaturalist.org/observations/383152466</t>
  </si>
  <si>
    <t xml:space="preserve">FALSE 1271</t>
  </si>
  <si>
    <t xml:space="preserve">Ardeola grayii</t>
  </si>
  <si>
    <t xml:space="preserve">https://www.inaturalist.org/observations/383152340</t>
  </si>
  <si>
    <t xml:space="preserve">FALSE 1272</t>
  </si>
  <si>
    <t xml:space="preserve">Sturnia pagodarum</t>
  </si>
  <si>
    <t xml:space="preserve">https://www.inaturalist.org/observations/383152321</t>
  </si>
  <si>
    <t xml:space="preserve">FALSE 1273</t>
  </si>
  <si>
    <t xml:space="preserve">Hydrobates pelagicus</t>
  </si>
  <si>
    <t xml:space="preserve">https://www.inaturalist.org/observations/383152222</t>
  </si>
  <si>
    <t xml:space="preserve">FALSE 1274</t>
  </si>
  <si>
    <t xml:space="preserve">Aramides saracura</t>
  </si>
  <si>
    <t xml:space="preserve">https://www.inaturalist.org/observations/383152192</t>
  </si>
  <si>
    <t xml:space="preserve">FALSE 1275</t>
  </si>
  <si>
    <t xml:space="preserve">Phalacrocorax sulcirostris</t>
  </si>
  <si>
    <t xml:space="preserve">https://www.inaturalist.org/observations/383152004</t>
  </si>
  <si>
    <t xml:space="preserve">FALSE 1276</t>
  </si>
  <si>
    <t xml:space="preserve">Tachybaptus novaehollandiae</t>
  </si>
  <si>
    <t xml:space="preserve">https://www.inaturalist.org/observations/383152002</t>
  </si>
  <si>
    <t xml:space="preserve">FALSE 1277</t>
  </si>
  <si>
    <t xml:space="preserve">Cracticus torquatus</t>
  </si>
  <si>
    <t xml:space="preserve">https://www.inaturalist.org/observations/383151998</t>
  </si>
  <si>
    <t xml:space="preserve">FALSE 1278</t>
  </si>
  <si>
    <t xml:space="preserve">Barnardius zonarius macgillivrayi</t>
  </si>
  <si>
    <t xml:space="preserve">https://www.inaturalist.org/observations/383151991</t>
  </si>
  <si>
    <t xml:space="preserve">FALSE 1279</t>
  </si>
  <si>
    <t xml:space="preserve">Corvus orru</t>
  </si>
  <si>
    <t xml:space="preserve">https://www.inaturalist.org/observations/383151986</t>
  </si>
  <si>
    <t xml:space="preserve">FALSE 1280</t>
  </si>
  <si>
    <t xml:space="preserve">Ardeotis australis</t>
  </si>
  <si>
    <t xml:space="preserve">https://www.inaturalist.org/observations/383151555</t>
  </si>
  <si>
    <t xml:space="preserve">FALSE 1281</t>
  </si>
  <si>
    <t xml:space="preserve">Sittasomus griseicapillus</t>
  </si>
  <si>
    <t xml:space="preserve">https://www.inaturalist.org/observations/383151167</t>
  </si>
  <si>
    <t xml:space="preserve">FALSE 1282</t>
  </si>
  <si>
    <t xml:space="preserve">Anas gracilis</t>
  </si>
  <si>
    <t xml:space="preserve">https://www.inaturalist.org/observations/383151075</t>
  </si>
  <si>
    <t xml:space="preserve">FALSE 1283</t>
  </si>
  <si>
    <t xml:space="preserve">Psephotus haematonotus</t>
  </si>
  <si>
    <t xml:space="preserve">https://www.inaturalist.org/observations/383151064</t>
  </si>
  <si>
    <t xml:space="preserve">FALSE 1284</t>
  </si>
  <si>
    <t xml:space="preserve">Hirundo neoxena</t>
  </si>
  <si>
    <t xml:space="preserve">https://www.inaturalist.org/observations/383151058</t>
  </si>
  <si>
    <t xml:space="preserve">FALSE 1285</t>
  </si>
  <si>
    <t xml:space="preserve">Leiothlypis ruficapilla</t>
  </si>
  <si>
    <t xml:space="preserve">https://www.inaturalist.org/observations/383150704</t>
  </si>
  <si>
    <t xml:space="preserve">FALSE 1286</t>
  </si>
  <si>
    <t xml:space="preserve">Porphyrio martinica</t>
  </si>
  <si>
    <t xml:space="preserve">https://www.inaturalist.org/observations/383150550</t>
  </si>
  <si>
    <t xml:space="preserve">FALSE 1287</t>
  </si>
  <si>
    <t xml:space="preserve">Circus aeruginosus</t>
  </si>
  <si>
    <t xml:space="preserve">https://www.inaturalist.org/observations/383150440</t>
  </si>
  <si>
    <t xml:space="preserve">FALSE 1288</t>
  </si>
  <si>
    <t xml:space="preserve">Sitta carolinensis</t>
  </si>
  <si>
    <t xml:space="preserve">https://www.inaturalist.org/observations/383150345</t>
  </si>
  <si>
    <t xml:space="preserve">FALSE 1289</t>
  </si>
  <si>
    <t xml:space="preserve">Passerina amoena</t>
  </si>
  <si>
    <t xml:space="preserve">https://www.inaturalist.org/observations/383150329</t>
  </si>
  <si>
    <t xml:space="preserve">FALSE 1290</t>
  </si>
  <si>
    <t xml:space="preserve">Pachycephala rufiventris</t>
  </si>
  <si>
    <t xml:space="preserve">https://www.inaturalist.org/observations/383150195</t>
  </si>
  <si>
    <t xml:space="preserve">FALSE 1291</t>
  </si>
  <si>
    <t xml:space="preserve">Ramphastos vitellinus</t>
  </si>
  <si>
    <t xml:space="preserve">https://www.inaturalist.org/observations/383150191</t>
  </si>
  <si>
    <t xml:space="preserve">FALSE 1292</t>
  </si>
  <si>
    <t xml:space="preserve">Spheniscus magellanicus</t>
  </si>
  <si>
    <t xml:space="preserve">https://www.inaturalist.org/observations/383150152</t>
  </si>
  <si>
    <t xml:space="preserve">FALSE 1293</t>
  </si>
  <si>
    <t xml:space="preserve">Knipolegus lophotes</t>
  </si>
  <si>
    <t xml:space="preserve">https://www.inaturalist.org/observations/383150137</t>
  </si>
  <si>
    <t xml:space="preserve">FALSE 1294</t>
  </si>
  <si>
    <t xml:space="preserve">Buteo lagopus</t>
  </si>
  <si>
    <t xml:space="preserve">https://www.inaturalist.org/observations/383150065</t>
  </si>
  <si>
    <t xml:space="preserve">FALSE 1295</t>
  </si>
  <si>
    <t xml:space="preserve">Buteo swainsoni</t>
  </si>
  <si>
    <t xml:space="preserve">https://www.inaturalist.org/observations/383150007</t>
  </si>
  <si>
    <t xml:space="preserve">FALSE 1296</t>
  </si>
  <si>
    <t xml:space="preserve">Aechmophorus clarkii</t>
  </si>
  <si>
    <t xml:space="preserve">https://www.inaturalist.org/observations/383149997</t>
  </si>
  <si>
    <t xml:space="preserve">FALSE 1297</t>
  </si>
  <si>
    <t xml:space="preserve">Apus apus</t>
  </si>
  <si>
    <t xml:space="preserve">https://www.inaturalist.org/observations/383149785</t>
  </si>
  <si>
    <t xml:space="preserve">FALSE 1298</t>
  </si>
  <si>
    <t xml:space="preserve">Troglodytes musculus</t>
  </si>
  <si>
    <t xml:space="preserve">https://www.inaturalist.org/observations/383149753</t>
  </si>
  <si>
    <t xml:space="preserve">FALSE 1299</t>
  </si>
  <si>
    <t xml:space="preserve">Geothlypis tolmiei</t>
  </si>
  <si>
    <t xml:space="preserve">https://www.inaturalist.org/observations/383149549</t>
  </si>
  <si>
    <t xml:space="preserve">FALSE 1300</t>
  </si>
  <si>
    <t xml:space="preserve">Tadorna variegata</t>
  </si>
  <si>
    <t xml:space="preserve">https://www.inaturalist.org/observations/383149495</t>
  </si>
  <si>
    <t xml:space="preserve">FALSE 1301</t>
  </si>
  <si>
    <t xml:space="preserve">Dogs, Wolves, Jackals, and Foxes</t>
  </si>
  <si>
    <t xml:space="preserve">Canis familiaris</t>
  </si>
  <si>
    <t xml:space="preserve">https://www.inaturalist.org/observations/383178344</t>
  </si>
  <si>
    <t xml:space="preserve">FALSE 1302</t>
  </si>
  <si>
    <t xml:space="preserve">Vulpes lagopus pribilofensis</t>
  </si>
  <si>
    <t xml:space="preserve">https://www.inaturalist.org/observations/383177676</t>
  </si>
  <si>
    <t xml:space="preserve">FALSE 1303</t>
  </si>
  <si>
    <t xml:space="preserve">Vulpes vulpes</t>
  </si>
  <si>
    <t xml:space="preserve">https://www.inaturalist.org/observations/383169954</t>
  </si>
  <si>
    <t xml:space="preserve">FALSE 1304</t>
  </si>
  <si>
    <t xml:space="preserve">Canis latrans</t>
  </si>
  <si>
    <t xml:space="preserve">https://www.inaturalist.org/observations/383156220</t>
  </si>
  <si>
    <t xml:space="preserve">FALSE 1305</t>
  </si>
  <si>
    <t xml:space="preserve">Canis lupus</t>
  </si>
  <si>
    <t xml:space="preserve">https://www.inaturalist.org/observations/383136251</t>
  </si>
  <si>
    <t xml:space="preserve">FALSE 1306</t>
  </si>
  <si>
    <t xml:space="preserve">Urocyon cinereoargenteus</t>
  </si>
  <si>
    <t xml:space="preserve">https://www.inaturalist.org/observations/383127277</t>
  </si>
  <si>
    <t xml:space="preserve">FALSE 1307</t>
  </si>
  <si>
    <t xml:space="preserve">Canis latrans ochropus</t>
  </si>
  <si>
    <t xml:space="preserve">https://www.inaturalist.org/observations/383088727</t>
  </si>
  <si>
    <t xml:space="preserve">FALSE 1308</t>
  </si>
  <si>
    <t xml:space="preserve">Lupulella mesomelas</t>
  </si>
  <si>
    <t xml:space="preserve">https://www.inaturalist.org/observations/383063632</t>
  </si>
  <si>
    <t xml:space="preserve">FALSE 1309</t>
  </si>
  <si>
    <t xml:space="preserve">Vulpes vulpes fulva</t>
  </si>
  <si>
    <t xml:space="preserve">https://www.inaturalist.org/observations/383045729</t>
  </si>
  <si>
    <t xml:space="preserve">FALSE 1310</t>
  </si>
  <si>
    <t xml:space="preserve">Lycalopex grisea</t>
  </si>
  <si>
    <t xml:space="preserve">https://www.inaturalist.org/observations/383042745</t>
  </si>
  <si>
    <t xml:space="preserve">FALSE 1311</t>
  </si>
  <si>
    <t xml:space="preserve">Vulpes bengalensis</t>
  </si>
  <si>
    <t xml:space="preserve">https://www.inaturalist.org/observations/383040139</t>
  </si>
  <si>
    <t xml:space="preserve">FALSE 1312</t>
  </si>
  <si>
    <t xml:space="preserve">Lupulella mesomelas mesomelas</t>
  </si>
  <si>
    <t xml:space="preserve">https://www.inaturalist.org/observations/383022839</t>
  </si>
  <si>
    <t xml:space="preserve">FALSE 1313</t>
  </si>
  <si>
    <t xml:space="preserve">Vulpes zerda</t>
  </si>
  <si>
    <t xml:space="preserve">https://www.inaturalist.org/observations/383020577</t>
  </si>
  <si>
    <t xml:space="preserve">FALSE 1314</t>
  </si>
  <si>
    <t xml:space="preserve">Lycaon pictus pictus</t>
  </si>
  <si>
    <t xml:space="preserve">https://www.inaturalist.org/observations/382986981</t>
  </si>
  <si>
    <t xml:space="preserve">FALSE 1315</t>
  </si>
  <si>
    <t xml:space="preserve">Vulpes corsac turkmenicus</t>
  </si>
  <si>
    <t xml:space="preserve">https://www.inaturalist.org/observations/382980772</t>
  </si>
  <si>
    <t xml:space="preserve">FALSE 1316</t>
  </si>
  <si>
    <t xml:space="preserve">Canis lupus pallipes</t>
  </si>
  <si>
    <t xml:space="preserve">https://www.inaturalist.org/observations/382977522</t>
  </si>
  <si>
    <t xml:space="preserve">FALSE 1317</t>
  </si>
  <si>
    <t xml:space="preserve">Otocyon megalotis megalotis</t>
  </si>
  <si>
    <t xml:space="preserve">https://www.inaturalist.org/observations/382975114</t>
  </si>
  <si>
    <t xml:space="preserve">FALSE 1318</t>
  </si>
  <si>
    <t xml:space="preserve">Otocyon megalotis virgatus</t>
  </si>
  <si>
    <t xml:space="preserve">https://www.inaturalist.org/observations/382964497</t>
  </si>
  <si>
    <t xml:space="preserve">FALSE 1319</t>
  </si>
  <si>
    <t xml:space="preserve">Lycaon pictus</t>
  </si>
  <si>
    <t xml:space="preserve">https://www.inaturalist.org/observations/382964438</t>
  </si>
  <si>
    <t xml:space="preserve">FALSE 1320</t>
  </si>
  <si>
    <t xml:space="preserve">Lupulella mesomelas schmidti</t>
  </si>
  <si>
    <t xml:space="preserve">https://www.inaturalist.org/observations/382964420</t>
  </si>
  <si>
    <t xml:space="preserve">FALSE 1321</t>
  </si>
  <si>
    <t xml:space="preserve">Plants</t>
  </si>
  <si>
    <t xml:space="preserve">Cypripedium acaule</t>
  </si>
  <si>
    <t xml:space="preserve">https://www.inaturalist.org/observations/383180416</t>
  </si>
  <si>
    <t xml:space="preserve">FALSE 1322</t>
  </si>
  <si>
    <t xml:space="preserve">Goodyera pubescens</t>
  </si>
  <si>
    <t xml:space="preserve">https://www.inaturalist.org/observations/383180207</t>
  </si>
  <si>
    <t xml:space="preserve">FALSE 1323</t>
  </si>
  <si>
    <t xml:space="preserve">Philydrum lanuginosum</t>
  </si>
  <si>
    <t xml:space="preserve">https://www.inaturalist.org/observations/383179938</t>
  </si>
  <si>
    <t xml:space="preserve">FALSE 1324</t>
  </si>
  <si>
    <t xml:space="preserve">Isopogon dubius</t>
  </si>
  <si>
    <t xml:space="preserve">https://www.inaturalist.org/observations/383179613</t>
  </si>
  <si>
    <t xml:space="preserve">FALSE 1325</t>
  </si>
  <si>
    <t xml:space="preserve">Lilium columbianum</t>
  </si>
  <si>
    <t xml:space="preserve">https://www.inaturalist.org/observations/383179520</t>
  </si>
  <si>
    <t xml:space="preserve">FALSE 1326</t>
  </si>
  <si>
    <t xml:space="preserve">Glossodia major</t>
  </si>
  <si>
    <t xml:space="preserve">https://www.inaturalist.org/observations/383179359</t>
  </si>
  <si>
    <t xml:space="preserve">FALSE 1327</t>
  </si>
  <si>
    <t xml:space="preserve">Asclepias tuberosa</t>
  </si>
  <si>
    <t xml:space="preserve">https://www.inaturalist.org/observations/383179273</t>
  </si>
  <si>
    <t xml:space="preserve">FALSE 1328</t>
  </si>
  <si>
    <t xml:space="preserve">Caladenia parva</t>
  </si>
  <si>
    <t xml:space="preserve">https://www.inaturalist.org/observations/383179175</t>
  </si>
  <si>
    <t xml:space="preserve">FALSE 1329</t>
  </si>
  <si>
    <t xml:space="preserve">Thelymitra antennifera</t>
  </si>
  <si>
    <t xml:space="preserve">https://www.inaturalist.org/observations/383178897</t>
  </si>
  <si>
    <t xml:space="preserve">FALSE 1330</t>
  </si>
  <si>
    <t xml:space="preserve">Lyperanthus suaveolens</t>
  </si>
  <si>
    <t xml:space="preserve">https://www.inaturalist.org/observations/383178653</t>
  </si>
  <si>
    <t xml:space="preserve">FALSE 1331</t>
  </si>
  <si>
    <t xml:space="preserve">Datura wrightii</t>
  </si>
  <si>
    <t xml:space="preserve">https://www.inaturalist.org/observations/383178556</t>
  </si>
  <si>
    <t xml:space="preserve">FALSE 1332</t>
  </si>
  <si>
    <t xml:space="preserve">Dipterostemon capitatus</t>
  </si>
  <si>
    <t xml:space="preserve">https://www.inaturalist.org/observations/383178543</t>
  </si>
  <si>
    <t xml:space="preserve">FALSE 1333</t>
  </si>
  <si>
    <t xml:space="preserve">Monotropa uniflora</t>
  </si>
  <si>
    <t xml:space="preserve">https://www.inaturalist.org/observations/383178403</t>
  </si>
  <si>
    <t xml:space="preserve">FALSE 1334</t>
  </si>
  <si>
    <t xml:space="preserve">Eriogonum rosense</t>
  </si>
  <si>
    <t xml:space="preserve">https://www.inaturalist.org/observations/383178182</t>
  </si>
  <si>
    <t xml:space="preserve">FALSE 1335</t>
  </si>
  <si>
    <t xml:space="preserve">Veratrum californicum</t>
  </si>
  <si>
    <t xml:space="preserve">https://www.inaturalist.org/observations/383178107</t>
  </si>
  <si>
    <t xml:space="preserve">FALSE 1336</t>
  </si>
  <si>
    <t xml:space="preserve">Pterostylis concinna</t>
  </si>
  <si>
    <t xml:space="preserve">https://www.inaturalist.org/observations/383178076</t>
  </si>
  <si>
    <t xml:space="preserve">FALSE 1337</t>
  </si>
  <si>
    <t xml:space="preserve">Impatiens capensis</t>
  </si>
  <si>
    <t xml:space="preserve">https://www.inaturalist.org/observations/383177729</t>
  </si>
  <si>
    <t xml:space="preserve">FALSE 1338</t>
  </si>
  <si>
    <t xml:space="preserve">Medeola virginiana</t>
  </si>
  <si>
    <t xml:space="preserve">https://www.inaturalist.org/observations/383177271</t>
  </si>
  <si>
    <t xml:space="preserve">FALSE 1339</t>
  </si>
  <si>
    <t xml:space="preserve">Pontederia cordata</t>
  </si>
  <si>
    <t xml:space="preserve">https://www.inaturalist.org/observations/383177183</t>
  </si>
  <si>
    <t xml:space="preserve">FALSE 1340</t>
  </si>
  <si>
    <t xml:space="preserve">Polemonium viscosum</t>
  </si>
  <si>
    <t xml:space="preserve">https://www.inaturalist.org/observations/383177126</t>
  </si>
  <si>
    <t xml:space="preserve">FALSE 1341</t>
  </si>
  <si>
    <t xml:space="preserve">Streptanthus carinatus arizonicus</t>
  </si>
  <si>
    <t xml:space="preserve">https://www.inaturalist.org/observations/383177051</t>
  </si>
  <si>
    <t xml:space="preserve">FALSE 1342</t>
  </si>
  <si>
    <t xml:space="preserve">Clematis ligusticifolia</t>
  </si>
  <si>
    <t xml:space="preserve">https://www.inaturalist.org/observations/383176959</t>
  </si>
  <si>
    <t xml:space="preserve">FALSE 1343</t>
  </si>
  <si>
    <t xml:space="preserve">Conopholis americana</t>
  </si>
  <si>
    <t xml:space="preserve">https://www.inaturalist.org/observations/383176786</t>
  </si>
  <si>
    <t xml:space="preserve">FALSE 1344</t>
  </si>
  <si>
    <t xml:space="preserve">Cylindropuntia imbricata</t>
  </si>
  <si>
    <t xml:space="preserve">https://www.inaturalist.org/observations/383176574</t>
  </si>
  <si>
    <t xml:space="preserve">FALSE 1345</t>
  </si>
  <si>
    <t xml:space="preserve">Chimaphila maculata</t>
  </si>
  <si>
    <t xml:space="preserve">https://www.inaturalist.org/observations/383176484</t>
  </si>
  <si>
    <t xml:space="preserve">FALSE 1346</t>
  </si>
  <si>
    <t xml:space="preserve">Podophyllum peltatum</t>
  </si>
  <si>
    <t xml:space="preserve">https://www.inaturalist.org/observations/383176478</t>
  </si>
  <si>
    <t xml:space="preserve">FALSE 1347</t>
  </si>
  <si>
    <t xml:space="preserve">Oxalis glabra</t>
  </si>
  <si>
    <t xml:space="preserve">https://www.inaturalist.org/observations/383176247</t>
  </si>
  <si>
    <t xml:space="preserve">FALSE 1348</t>
  </si>
  <si>
    <t xml:space="preserve">Allionia incarnata</t>
  </si>
  <si>
    <t xml:space="preserve">https://www.inaturalist.org/observations/383175913</t>
  </si>
  <si>
    <t xml:space="preserve">FALSE 1349</t>
  </si>
  <si>
    <t xml:space="preserve">Rubus occidentalis</t>
  </si>
  <si>
    <t xml:space="preserve">https://www.inaturalist.org/observations/383175798</t>
  </si>
  <si>
    <t xml:space="preserve">FALSE 1350</t>
  </si>
  <si>
    <t xml:space="preserve">Melinis repens</t>
  </si>
  <si>
    <t xml:space="preserve">https://www.inaturalist.org/observations/383175472</t>
  </si>
  <si>
    <t xml:space="preserve">FALSE 1351</t>
  </si>
  <si>
    <t xml:space="preserve">Oenothera primiveris</t>
  </si>
  <si>
    <t xml:space="preserve">https://www.inaturalist.org/observations/383175330</t>
  </si>
  <si>
    <t xml:space="preserve">FALSE 1352</t>
  </si>
  <si>
    <t xml:space="preserve">Sedum lanceolatum</t>
  </si>
  <si>
    <t xml:space="preserve">https://www.inaturalist.org/observations/383175252</t>
  </si>
  <si>
    <t xml:space="preserve">FALSE 1353</t>
  </si>
  <si>
    <t xml:space="preserve">Chamaecytisus proliferus</t>
  </si>
  <si>
    <t xml:space="preserve">https://www.inaturalist.org/observations/383175152</t>
  </si>
  <si>
    <t xml:space="preserve">FALSE 1354</t>
  </si>
  <si>
    <t xml:space="preserve">Gaultheria procumbens</t>
  </si>
  <si>
    <t xml:space="preserve">https://www.inaturalist.org/observations/383175020</t>
  </si>
  <si>
    <t xml:space="preserve">FALSE 1355</t>
  </si>
  <si>
    <t xml:space="preserve">Plantago major</t>
  </si>
  <si>
    <t xml:space="preserve">https://www.inaturalist.org/observations/383174946</t>
  </si>
  <si>
    <t xml:space="preserve">FALSE 1356</t>
  </si>
  <si>
    <t xml:space="preserve">Cephalanthus occidentalis</t>
  </si>
  <si>
    <t xml:space="preserve">https://www.inaturalist.org/observations/383174904</t>
  </si>
  <si>
    <t xml:space="preserve">FALSE 1357</t>
  </si>
  <si>
    <t xml:space="preserve">Mitchella repens</t>
  </si>
  <si>
    <t xml:space="preserve">https://www.inaturalist.org/observations/383174735</t>
  </si>
  <si>
    <t xml:space="preserve">FALSE 1358</t>
  </si>
  <si>
    <t xml:space="preserve">Hypericum calycinum</t>
  </si>
  <si>
    <t xml:space="preserve">https://www.inaturalist.org/observations/383174585</t>
  </si>
  <si>
    <t xml:space="preserve">FALSE 1359</t>
  </si>
  <si>
    <t xml:space="preserve">Vicia cracca</t>
  </si>
  <si>
    <t xml:space="preserve">https://www.inaturalist.org/observations/383174526</t>
  </si>
  <si>
    <t xml:space="preserve">FALSE 1360</t>
  </si>
  <si>
    <t xml:space="preserve">Erythranthe erubescens</t>
  </si>
  <si>
    <t xml:space="preserve">https://www.inaturalist.org/observations/383174521</t>
  </si>
  <si>
    <t xml:space="preserve">FALSE 1361</t>
  </si>
  <si>
    <t xml:space="preserve">Epipactis gigantea</t>
  </si>
  <si>
    <t xml:space="preserve">https://www.inaturalist.org/observations/383174386</t>
  </si>
  <si>
    <t xml:space="preserve">FALSE 1362</t>
  </si>
  <si>
    <t xml:space="preserve">Pulsatilla occidentalis</t>
  </si>
  <si>
    <t xml:space="preserve">https://www.inaturalist.org/observations/383174378</t>
  </si>
  <si>
    <t xml:space="preserve">FALSE 1363</t>
  </si>
  <si>
    <t xml:space="preserve">Medicago ruthenica</t>
  </si>
  <si>
    <t xml:space="preserve">https://www.inaturalist.org/observations/383174192</t>
  </si>
  <si>
    <t xml:space="preserve">FALSE 1364</t>
  </si>
  <si>
    <t xml:space="preserve">Trifolium lupinaster</t>
  </si>
  <si>
    <t xml:space="preserve">https://www.inaturalist.org/observations/383174171</t>
  </si>
  <si>
    <t xml:space="preserve">FALSE 1365</t>
  </si>
  <si>
    <t xml:space="preserve">Spiraea splendens</t>
  </si>
  <si>
    <t xml:space="preserve">https://www.inaturalist.org/observations/383174002</t>
  </si>
  <si>
    <t xml:space="preserve">FALSE 1366</t>
  </si>
  <si>
    <t xml:space="preserve">Castilleja exserta</t>
  </si>
  <si>
    <t xml:space="preserve">https://www.inaturalist.org/observations/383173719</t>
  </si>
  <si>
    <t xml:space="preserve">FALSE 1367</t>
  </si>
  <si>
    <t xml:space="preserve">Baccharis pilularis</t>
  </si>
  <si>
    <t xml:space="preserve">https://www.inaturalist.org/observations/383173608</t>
  </si>
  <si>
    <t xml:space="preserve">FALSE 1368</t>
  </si>
  <si>
    <t xml:space="preserve">Acer pensylvanicum</t>
  </si>
  <si>
    <t xml:space="preserve">https://www.inaturalist.org/observations/383173590</t>
  </si>
  <si>
    <t xml:space="preserve">FALSE 1369</t>
  </si>
  <si>
    <t xml:space="preserve">Solanum carolinense</t>
  </si>
  <si>
    <t xml:space="preserve">https://www.inaturalist.org/observations/383173449</t>
  </si>
  <si>
    <t xml:space="preserve">FALSE 1370</t>
  </si>
  <si>
    <t xml:space="preserve">Pedicularis attollens</t>
  </si>
  <si>
    <t xml:space="preserve">https://www.inaturalist.org/observations/383173338</t>
  </si>
  <si>
    <t xml:space="preserve">FALSE 1371</t>
  </si>
  <si>
    <t xml:space="preserve">Polystichum acrostichoides</t>
  </si>
  <si>
    <t xml:space="preserve">https://www.inaturalist.org/observations/383173328</t>
  </si>
  <si>
    <t xml:space="preserve">FALSE 1372</t>
  </si>
  <si>
    <t xml:space="preserve">Verbascum thapsus</t>
  </si>
  <si>
    <t xml:space="preserve">https://www.inaturalist.org/observations/383173187</t>
  </si>
  <si>
    <t xml:space="preserve">FALSE 1373</t>
  </si>
  <si>
    <t xml:space="preserve">Cynoglossum officinale</t>
  </si>
  <si>
    <t xml:space="preserve">https://www.inaturalist.org/observations/383173159</t>
  </si>
  <si>
    <t xml:space="preserve">FALSE 1374</t>
  </si>
  <si>
    <t xml:space="preserve">Lilium parvum</t>
  </si>
  <si>
    <t xml:space="preserve">https://www.inaturalist.org/observations/383173133</t>
  </si>
  <si>
    <t xml:space="preserve">FALSE 1375</t>
  </si>
  <si>
    <t xml:space="preserve">Comptonia peregrina</t>
  </si>
  <si>
    <t xml:space="preserve">https://www.inaturalist.org/observations/383173107</t>
  </si>
  <si>
    <t xml:space="preserve">FALSE 1376</t>
  </si>
  <si>
    <t xml:space="preserve">Campanulastrum americanum</t>
  </si>
  <si>
    <t xml:space="preserve">https://www.inaturalist.org/observations/383173086</t>
  </si>
  <si>
    <t xml:space="preserve">FALSE 1377</t>
  </si>
  <si>
    <t xml:space="preserve">Linaria vulgaris</t>
  </si>
  <si>
    <t xml:space="preserve">https://www.inaturalist.org/observations/383173030</t>
  </si>
  <si>
    <t xml:space="preserve">FALSE 1378</t>
  </si>
  <si>
    <t xml:space="preserve">Asclepias syriaca</t>
  </si>
  <si>
    <t xml:space="preserve">https://www.inaturalist.org/observations/383172852</t>
  </si>
  <si>
    <t xml:space="preserve">FALSE 1379</t>
  </si>
  <si>
    <t xml:space="preserve">Opuntia polyacantha</t>
  </si>
  <si>
    <t xml:space="preserve">https://www.inaturalist.org/observations/383172771</t>
  </si>
  <si>
    <t xml:space="preserve">FALSE 1380</t>
  </si>
  <si>
    <t xml:space="preserve">Galium triflorum</t>
  </si>
  <si>
    <t xml:space="preserve">https://www.inaturalist.org/observations/383172764</t>
  </si>
  <si>
    <t xml:space="preserve">FALSE 1381</t>
  </si>
  <si>
    <t xml:space="preserve">Hepatica americana</t>
  </si>
  <si>
    <t xml:space="preserve">https://www.inaturalist.org/observations/383172754</t>
  </si>
  <si>
    <t xml:space="preserve">FALSE 1382</t>
  </si>
  <si>
    <t xml:space="preserve">Symplocarpus foetidus</t>
  </si>
  <si>
    <t xml:space="preserve">https://www.inaturalist.org/observations/383172613</t>
  </si>
  <si>
    <t xml:space="preserve">FALSE 1383</t>
  </si>
  <si>
    <t xml:space="preserve">Echinacea purpurea</t>
  </si>
  <si>
    <t xml:space="preserve">https://www.inaturalist.org/observations/383172605</t>
  </si>
  <si>
    <t xml:space="preserve">FALSE 1384</t>
  </si>
  <si>
    <t xml:space="preserve">Pogonia ophioglossoides</t>
  </si>
  <si>
    <t xml:space="preserve">https://www.inaturalist.org/observations/383172376</t>
  </si>
  <si>
    <t xml:space="preserve">FALSE 1385</t>
  </si>
  <si>
    <t xml:space="preserve">Pinus strobus</t>
  </si>
  <si>
    <t xml:space="preserve">https://www.inaturalist.org/observations/383172342</t>
  </si>
  <si>
    <t xml:space="preserve">FALSE 1386</t>
  </si>
  <si>
    <t xml:space="preserve">Matricaria discoidea</t>
  </si>
  <si>
    <t xml:space="preserve">https://www.inaturalist.org/observations/383172331</t>
  </si>
  <si>
    <t xml:space="preserve">FALSE 1387</t>
  </si>
  <si>
    <t xml:space="preserve">Solanum dulcamara</t>
  </si>
  <si>
    <t xml:space="preserve">https://www.inaturalist.org/observations/383172021</t>
  </si>
  <si>
    <t xml:space="preserve">FALSE 1388</t>
  </si>
  <si>
    <t xml:space="preserve">Nuphar polysepala</t>
  </si>
  <si>
    <t xml:space="preserve">https://www.inaturalist.org/observations/383171934</t>
  </si>
  <si>
    <t xml:space="preserve">FALSE 1389</t>
  </si>
  <si>
    <t xml:space="preserve">Populus tremuloides</t>
  </si>
  <si>
    <t xml:space="preserve">https://www.inaturalist.org/observations/383171893</t>
  </si>
  <si>
    <t xml:space="preserve">FALSE 1390</t>
  </si>
  <si>
    <t xml:space="preserve">Glycine rubiginosa</t>
  </si>
  <si>
    <t xml:space="preserve">https://www.inaturalist.org/observations/383171834</t>
  </si>
  <si>
    <t xml:space="preserve">FALSE 1391</t>
  </si>
  <si>
    <t xml:space="preserve">Argentina anserina</t>
  </si>
  <si>
    <t xml:space="preserve">https://www.inaturalist.org/observations/383171774</t>
  </si>
  <si>
    <t xml:space="preserve">FALSE 1392</t>
  </si>
  <si>
    <t xml:space="preserve">Stellera chamaejasme</t>
  </si>
  <si>
    <t xml:space="preserve">https://www.inaturalist.org/observations/383171661</t>
  </si>
  <si>
    <t xml:space="preserve">FALSE 1393</t>
  </si>
  <si>
    <t xml:space="preserve">Delphinium grandiflorum</t>
  </si>
  <si>
    <t xml:space="preserve">https://www.inaturalist.org/observations/383171651</t>
  </si>
  <si>
    <t xml:space="preserve">FALSE 1394</t>
  </si>
  <si>
    <t xml:space="preserve">Galium verum</t>
  </si>
  <si>
    <t xml:space="preserve">https://www.inaturalist.org/observations/383171641</t>
  </si>
  <si>
    <t xml:space="preserve">FALSE 1395</t>
  </si>
  <si>
    <t xml:space="preserve">Leontopodium smithianum</t>
  </si>
  <si>
    <t xml:space="preserve">https://www.inaturalist.org/observations/383171637</t>
  </si>
  <si>
    <t xml:space="preserve">FALSE 1396</t>
  </si>
  <si>
    <t xml:space="preserve">Geitonoplesium cymosum</t>
  </si>
  <si>
    <t xml:space="preserve">https://www.inaturalist.org/observations/383171508</t>
  </si>
  <si>
    <t xml:space="preserve">FALSE 1397</t>
  </si>
  <si>
    <t xml:space="preserve">Valeriana edulis</t>
  </si>
  <si>
    <t xml:space="preserve">https://www.inaturalist.org/observations/383171230</t>
  </si>
  <si>
    <t xml:space="preserve">FALSE 1398</t>
  </si>
  <si>
    <t xml:space="preserve">Pterostylis nutans</t>
  </si>
  <si>
    <t xml:space="preserve">https://www.inaturalist.org/observations/383171192</t>
  </si>
  <si>
    <t xml:space="preserve">FALSE 1399</t>
  </si>
  <si>
    <t xml:space="preserve">Liriodendron tulipifera</t>
  </si>
  <si>
    <t xml:space="preserve">https://www.inaturalist.org/observations/383171147</t>
  </si>
  <si>
    <t xml:space="preserve">FALSE 1400</t>
  </si>
  <si>
    <t xml:space="preserve">Diospyros virginiana</t>
  </si>
  <si>
    <t xml:space="preserve">https://www.inaturalist.org/observations/383170937</t>
  </si>
  <si>
    <t xml:space="preserve">FALSE 1401</t>
  </si>
  <si>
    <t xml:space="preserve">Spiraea alba</t>
  </si>
  <si>
    <t xml:space="preserve">https://www.inaturalist.org/observations/383170881</t>
  </si>
  <si>
    <t xml:space="preserve">FALSE 1402</t>
  </si>
  <si>
    <t xml:space="preserve">Daucus carota</t>
  </si>
  <si>
    <t xml:space="preserve">https://www.inaturalist.org/observations/383170880</t>
  </si>
  <si>
    <t xml:space="preserve">FALSE 1403</t>
  </si>
  <si>
    <t xml:space="preserve">Eriogonum nudum</t>
  </si>
  <si>
    <t xml:space="preserve">https://www.inaturalist.org/observations/383170843</t>
  </si>
  <si>
    <t xml:space="preserve">FALSE 1404</t>
  </si>
  <si>
    <t xml:space="preserve">Oenothera glazioviana</t>
  </si>
  <si>
    <t xml:space="preserve">https://www.inaturalist.org/observations/383170543</t>
  </si>
  <si>
    <t xml:space="preserve">FALSE 1405</t>
  </si>
  <si>
    <t xml:space="preserve">Eriogonum ovalifolium</t>
  </si>
  <si>
    <t xml:space="preserve">https://www.inaturalist.org/observations/383170442</t>
  </si>
  <si>
    <t xml:space="preserve">FALSE 1406</t>
  </si>
  <si>
    <t xml:space="preserve">Maclura cochinchinensis</t>
  </si>
  <si>
    <t xml:space="preserve">https://www.inaturalist.org/observations/383170374</t>
  </si>
  <si>
    <t xml:space="preserve">FALSE 1407</t>
  </si>
  <si>
    <t xml:space="preserve">Mauritia flexuosa</t>
  </si>
  <si>
    <t xml:space="preserve">https://www.inaturalist.org/observations/383170366</t>
  </si>
  <si>
    <t xml:space="preserve">FALSE 1408</t>
  </si>
  <si>
    <t xml:space="preserve">Rinzia orientalis</t>
  </si>
  <si>
    <t xml:space="preserve">https://www.inaturalist.org/observations/383170257</t>
  </si>
  <si>
    <t xml:space="preserve">FALSE 1409</t>
  </si>
  <si>
    <t xml:space="preserve">Bambusa vulgaris</t>
  </si>
  <si>
    <t xml:space="preserve">https://www.inaturalist.org/observations/383170253</t>
  </si>
  <si>
    <t xml:space="preserve">FALSE 1410</t>
  </si>
  <si>
    <t xml:space="preserve">Geum canadense</t>
  </si>
  <si>
    <t xml:space="preserve">https://www.inaturalist.org/observations/383170218</t>
  </si>
  <si>
    <t xml:space="preserve">FALSE 1411</t>
  </si>
  <si>
    <t xml:space="preserve">Psilotum nudum</t>
  </si>
  <si>
    <t xml:space="preserve">https://www.inaturalist.org/observations/383170182</t>
  </si>
  <si>
    <t xml:space="preserve">FALSE 1412</t>
  </si>
  <si>
    <t xml:space="preserve">Dendrobium monophyllum</t>
  </si>
  <si>
    <t xml:space="preserve">https://www.inaturalist.org/observations/383169971</t>
  </si>
  <si>
    <t xml:space="preserve">FALSE 1413</t>
  </si>
  <si>
    <t xml:space="preserve">Oxalis debilis</t>
  </si>
  <si>
    <t xml:space="preserve">https://www.inaturalist.org/observations/383169841</t>
  </si>
  <si>
    <t xml:space="preserve">FALSE 1414</t>
  </si>
  <si>
    <t xml:space="preserve">Heracleum maximum</t>
  </si>
  <si>
    <t xml:space="preserve">https://www.inaturalist.org/observations/383169746</t>
  </si>
  <si>
    <t xml:space="preserve">FALSE 1415</t>
  </si>
  <si>
    <t xml:space="preserve">Tara spinosa</t>
  </si>
  <si>
    <t xml:space="preserve">https://www.inaturalist.org/observations/383169446</t>
  </si>
  <si>
    <t xml:space="preserve">FALSE 1416</t>
  </si>
  <si>
    <t xml:space="preserve">Euphorbia hirta</t>
  </si>
  <si>
    <t xml:space="preserve">https://www.inaturalist.org/observations/383169440</t>
  </si>
  <si>
    <t xml:space="preserve">FALSE 1417</t>
  </si>
  <si>
    <t xml:space="preserve">Fuertesimalva limensis</t>
  </si>
  <si>
    <t xml:space="preserve">https://www.inaturalist.org/observations/383169335</t>
  </si>
  <si>
    <t xml:space="preserve">FALSE 1418</t>
  </si>
  <si>
    <t xml:space="preserve">Erythranthe lewisii</t>
  </si>
  <si>
    <t xml:space="preserve">https://www.inaturalist.org/observations/383169304</t>
  </si>
  <si>
    <t xml:space="preserve">FALSE 1419</t>
  </si>
  <si>
    <t xml:space="preserve">Pueraria montana</t>
  </si>
  <si>
    <t xml:space="preserve">https://www.inaturalist.org/observations/383169026</t>
  </si>
  <si>
    <t xml:space="preserve">FALSE 1420</t>
  </si>
  <si>
    <t xml:space="preserve">Elaeocarpus reticulatus</t>
  </si>
  <si>
    <t xml:space="preserve">https://www.inaturalist.org/observations/383168896</t>
  </si>
  <si>
    <t xml:space="preserve">FALSE 1421</t>
  </si>
  <si>
    <t xml:space="preserve">Ipomoea pes-caprae</t>
  </si>
  <si>
    <t xml:space="preserve">https://www.inaturalist.org/observations/383168875</t>
  </si>
  <si>
    <t xml:space="preserve">FALSE 1422</t>
  </si>
  <si>
    <t xml:space="preserve">Erythronium americanum</t>
  </si>
  <si>
    <t xml:space="preserve">https://www.inaturalist.org/observations/383168856</t>
  </si>
  <si>
    <t xml:space="preserve">FALSE 1423</t>
  </si>
  <si>
    <t xml:space="preserve">Reynoutria japonica</t>
  </si>
  <si>
    <t xml:space="preserve">https://www.inaturalist.org/observations/383168840</t>
  </si>
  <si>
    <t xml:space="preserve">FALSE 1424</t>
  </si>
  <si>
    <t xml:space="preserve">Cirsium edule</t>
  </si>
  <si>
    <t xml:space="preserve">https://www.inaturalist.org/observations/383168761</t>
  </si>
  <si>
    <t xml:space="preserve">FALSE 1425</t>
  </si>
  <si>
    <t xml:space="preserve">Microstegium vimineum</t>
  </si>
  <si>
    <t xml:space="preserve">https://www.inaturalist.org/observations/383168747</t>
  </si>
  <si>
    <t xml:space="preserve">FALSE 1426</t>
  </si>
  <si>
    <t xml:space="preserve">Laportea canadensis</t>
  </si>
  <si>
    <t xml:space="preserve">https://www.inaturalist.org/observations/383168745</t>
  </si>
  <si>
    <t xml:space="preserve">FALSE 1427</t>
  </si>
  <si>
    <t xml:space="preserve">Monarda didyma</t>
  </si>
  <si>
    <t xml:space="preserve">https://www.inaturalist.org/observations/383168744</t>
  </si>
  <si>
    <t xml:space="preserve">FALSE 1428</t>
  </si>
  <si>
    <t xml:space="preserve">Verbena hastata</t>
  </si>
  <si>
    <t xml:space="preserve">https://www.inaturalist.org/observations/383168728</t>
  </si>
  <si>
    <t xml:space="preserve">FALSE 1429</t>
  </si>
  <si>
    <t xml:space="preserve">Pyrola asarifolia</t>
  </si>
  <si>
    <t xml:space="preserve">https://www.inaturalist.org/observations/383168520</t>
  </si>
  <si>
    <t xml:space="preserve">FALSE 1430</t>
  </si>
  <si>
    <t xml:space="preserve">Rhododendron maximum</t>
  </si>
  <si>
    <t xml:space="preserve">https://www.inaturalist.org/observations/383168441</t>
  </si>
  <si>
    <t xml:space="preserve">FALSE 1431</t>
  </si>
  <si>
    <t xml:space="preserve">Luetkea pectinata</t>
  </si>
  <si>
    <t xml:space="preserve">https://www.inaturalist.org/observations/383168279</t>
  </si>
  <si>
    <t xml:space="preserve">FALSE 1432</t>
  </si>
  <si>
    <t xml:space="preserve">Oreocarya thyrsiflora</t>
  </si>
  <si>
    <t xml:space="preserve">https://www.inaturalist.org/observations/383168155</t>
  </si>
  <si>
    <t xml:space="preserve">FALSE 1433</t>
  </si>
  <si>
    <t xml:space="preserve">Tussilago farfara</t>
  </si>
  <si>
    <t xml:space="preserve">https://www.inaturalist.org/observations/383168133</t>
  </si>
  <si>
    <t xml:space="preserve">FALSE 1434</t>
  </si>
  <si>
    <t xml:space="preserve">Bistorta bistortoides</t>
  </si>
  <si>
    <t xml:space="preserve">https://www.inaturalist.org/observations/383168101</t>
  </si>
  <si>
    <t xml:space="preserve">FALSE 1435</t>
  </si>
  <si>
    <t xml:space="preserve">Nephroia carolina</t>
  </si>
  <si>
    <t xml:space="preserve">https://www.inaturalist.org/observations/383168015</t>
  </si>
  <si>
    <t xml:space="preserve">FALSE 1436</t>
  </si>
  <si>
    <t xml:space="preserve">Triodia stenostachya</t>
  </si>
  <si>
    <t xml:space="preserve">https://www.inaturalist.org/observations/383167921</t>
  </si>
  <si>
    <t xml:space="preserve">FALSE 1437</t>
  </si>
  <si>
    <t xml:space="preserve">Securigera varia</t>
  </si>
  <si>
    <t xml:space="preserve">https://www.inaturalist.org/observations/383167879</t>
  </si>
  <si>
    <t xml:space="preserve">FALSE 1438</t>
  </si>
  <si>
    <t xml:space="preserve">Epacris impressa</t>
  </si>
  <si>
    <t xml:space="preserve">https://www.inaturalist.org/observations/383167798</t>
  </si>
  <si>
    <t xml:space="preserve">FALSE 1439</t>
  </si>
  <si>
    <t xml:space="preserve">Spathoglottis plicata</t>
  </si>
  <si>
    <t xml:space="preserve">https://www.inaturalist.org/observations/383167640</t>
  </si>
  <si>
    <t xml:space="preserve">FALSE 1440</t>
  </si>
  <si>
    <t xml:space="preserve">Thalictrum pubescens</t>
  </si>
  <si>
    <t xml:space="preserve">https://www.inaturalist.org/observations/383167566</t>
  </si>
  <si>
    <t xml:space="preserve">FALSE 1441</t>
  </si>
  <si>
    <t xml:space="preserve">Campanula alaskana</t>
  </si>
  <si>
    <t xml:space="preserve">https://www.inaturalist.org/observations/383167444</t>
  </si>
  <si>
    <t xml:space="preserve">FALSE 1442</t>
  </si>
  <si>
    <t xml:space="preserve">Ailanthus altissima</t>
  </si>
  <si>
    <t xml:space="preserve">https://www.inaturalist.org/observations/383167326</t>
  </si>
  <si>
    <t xml:space="preserve">FALSE 1443</t>
  </si>
  <si>
    <t xml:space="preserve">Rubus phoenicolasius</t>
  </si>
  <si>
    <t xml:space="preserve">https://www.inaturalist.org/observations/383167237</t>
  </si>
  <si>
    <t xml:space="preserve">FALSE 1444</t>
  </si>
  <si>
    <t xml:space="preserve">Pterospora andromedea</t>
  </si>
  <si>
    <t xml:space="preserve">https://www.inaturalist.org/observations/383167159</t>
  </si>
  <si>
    <t xml:space="preserve">FALSE 1445</t>
  </si>
  <si>
    <t xml:space="preserve">Centaurea cyanus</t>
  </si>
  <si>
    <t xml:space="preserve">https://www.inaturalist.org/observations/383167136</t>
  </si>
  <si>
    <t xml:space="preserve">FALSE 1446</t>
  </si>
  <si>
    <t xml:space="preserve">Frangula alnus</t>
  </si>
  <si>
    <t xml:space="preserve">https://www.inaturalist.org/observations/383166994</t>
  </si>
  <si>
    <t xml:space="preserve">FALSE 1447</t>
  </si>
  <si>
    <t xml:space="preserve">Erechtites hieraciifolius</t>
  </si>
  <si>
    <t xml:space="preserve">https://www.inaturalist.org/observations/383166987</t>
  </si>
  <si>
    <t xml:space="preserve">FALSE 1448</t>
  </si>
  <si>
    <t xml:space="preserve">Penstemon confertus</t>
  </si>
  <si>
    <t xml:space="preserve">https://www.inaturalist.org/observations/383166885</t>
  </si>
  <si>
    <t xml:space="preserve">FALSE 1449</t>
  </si>
  <si>
    <t xml:space="preserve">Campsis radicans</t>
  </si>
  <si>
    <t xml:space="preserve">https://www.inaturalist.org/observations/383166780</t>
  </si>
  <si>
    <t xml:space="preserve">FALSE 1450</t>
  </si>
  <si>
    <t xml:space="preserve">Lysimachia terrestris</t>
  </si>
  <si>
    <t xml:space="preserve">https://www.inaturalist.org/observations/383166654</t>
  </si>
  <si>
    <t xml:space="preserve">FALSE 1451</t>
  </si>
  <si>
    <t xml:space="preserve">Nyctaginia capitata</t>
  </si>
  <si>
    <t xml:space="preserve">https://www.inaturalist.org/observations/383166416</t>
  </si>
  <si>
    <t xml:space="preserve">FALSE 1452</t>
  </si>
  <si>
    <t xml:space="preserve">Cyperus croceus</t>
  </si>
  <si>
    <t xml:space="preserve">https://www.inaturalist.org/observations/383166280</t>
  </si>
  <si>
    <t xml:space="preserve">FALSE 1453</t>
  </si>
  <si>
    <t xml:space="preserve">Pinus jeffreyi</t>
  </si>
  <si>
    <t xml:space="preserve">https://www.inaturalist.org/observations/383166220</t>
  </si>
  <si>
    <t xml:space="preserve">FALSE 1454</t>
  </si>
  <si>
    <t xml:space="preserve">Corallorhiza maculata</t>
  </si>
  <si>
    <t xml:space="preserve">https://www.inaturalist.org/observations/383166195</t>
  </si>
  <si>
    <t xml:space="preserve">FALSE 1455</t>
  </si>
  <si>
    <t xml:space="preserve">Bouvardia ternifolia</t>
  </si>
  <si>
    <t xml:space="preserve">https://www.inaturalist.org/observations/383166087</t>
  </si>
  <si>
    <t xml:space="preserve">FALSE 1456</t>
  </si>
  <si>
    <t xml:space="preserve">Abies concolor</t>
  </si>
  <si>
    <t xml:space="preserve">https://www.inaturalist.org/observations/383165967</t>
  </si>
  <si>
    <t xml:space="preserve">FALSE 1457</t>
  </si>
  <si>
    <t xml:space="preserve">Capsella bursa-pastoris</t>
  </si>
  <si>
    <t xml:space="preserve">https://www.inaturalist.org/observations/383165941</t>
  </si>
  <si>
    <t xml:space="preserve">FALSE 1458</t>
  </si>
  <si>
    <t xml:space="preserve">Opuntia aurantiaca</t>
  </si>
  <si>
    <t xml:space="preserve">https://www.inaturalist.org/observations/383165707</t>
  </si>
  <si>
    <t xml:space="preserve">FALSE 1459</t>
  </si>
  <si>
    <t xml:space="preserve">Corybas diemenicus</t>
  </si>
  <si>
    <t xml:space="preserve">https://www.inaturalist.org/observations/383165642</t>
  </si>
  <si>
    <t xml:space="preserve">FALSE 1460</t>
  </si>
  <si>
    <t xml:space="preserve">Galium aparine</t>
  </si>
  <si>
    <t xml:space="preserve">https://www.inaturalist.org/observations/383165620</t>
  </si>
  <si>
    <t xml:space="preserve">FALSE 1461</t>
  </si>
  <si>
    <t xml:space="preserve">Glandularia aristigera</t>
  </si>
  <si>
    <t xml:space="preserve">https://www.inaturalist.org/observations/383165340</t>
  </si>
  <si>
    <t xml:space="preserve">FALSE 1462</t>
  </si>
  <si>
    <t xml:space="preserve">Rhus typhina</t>
  </si>
  <si>
    <t xml:space="preserve">https://www.inaturalist.org/observations/383164893</t>
  </si>
  <si>
    <t xml:space="preserve">FALSE 1463</t>
  </si>
  <si>
    <t xml:space="preserve">Rosa rugosa</t>
  </si>
  <si>
    <t xml:space="preserve">https://www.inaturalist.org/observations/383164864</t>
  </si>
  <si>
    <t xml:space="preserve">FALSE 1464</t>
  </si>
  <si>
    <t xml:space="preserve">Nymphaea odorata</t>
  </si>
  <si>
    <t xml:space="preserve">https://www.inaturalist.org/observations/383164797</t>
  </si>
  <si>
    <t xml:space="preserve">FALSE 1465</t>
  </si>
  <si>
    <t xml:space="preserve">Onoclea sensibilis</t>
  </si>
  <si>
    <t xml:space="preserve">https://www.inaturalist.org/observations/383164712</t>
  </si>
  <si>
    <t xml:space="preserve">FALSE 1466</t>
  </si>
  <si>
    <t xml:space="preserve">Castilleja miniata</t>
  </si>
  <si>
    <t xml:space="preserve">https://www.inaturalist.org/observations/383164657</t>
  </si>
  <si>
    <t xml:space="preserve">FALSE 1467</t>
  </si>
  <si>
    <t xml:space="preserve">Phytolacca americana</t>
  </si>
  <si>
    <t xml:space="preserve">https://www.inaturalist.org/observations/383164647</t>
  </si>
  <si>
    <t xml:space="preserve">FALSE 1468</t>
  </si>
  <si>
    <t xml:space="preserve">Rumex obtusifolius</t>
  </si>
  <si>
    <t xml:space="preserve">https://www.inaturalist.org/observations/383164641</t>
  </si>
  <si>
    <t xml:space="preserve">FALSE 1469</t>
  </si>
  <si>
    <t xml:space="preserve">Rubus hispidus</t>
  </si>
  <si>
    <t xml:space="preserve">https://www.inaturalist.org/observations/383164639</t>
  </si>
  <si>
    <t xml:space="preserve">FALSE 1470</t>
  </si>
  <si>
    <t xml:space="preserve">Sarracenia purpurea</t>
  </si>
  <si>
    <t xml:space="preserve">https://www.inaturalist.org/observations/383164548</t>
  </si>
  <si>
    <t xml:space="preserve">FALSE 1471</t>
  </si>
  <si>
    <t xml:space="preserve">Geranium richardsonii</t>
  </si>
  <si>
    <t xml:space="preserve">https://www.inaturalist.org/observations/383164400</t>
  </si>
  <si>
    <t xml:space="preserve">FALSE 1472</t>
  </si>
  <si>
    <t xml:space="preserve">Platanthera clavellata</t>
  </si>
  <si>
    <t xml:space="preserve">https://www.inaturalist.org/observations/383164165</t>
  </si>
  <si>
    <t xml:space="preserve">FALSE 1473</t>
  </si>
  <si>
    <t xml:space="preserve">Penstemon whippleanus</t>
  </si>
  <si>
    <t xml:space="preserve">https://www.inaturalist.org/observations/383163317</t>
  </si>
  <si>
    <t xml:space="preserve">FALSE 1474</t>
  </si>
  <si>
    <t xml:space="preserve">Linnaea borealis</t>
  </si>
  <si>
    <t xml:space="preserve">https://www.inaturalist.org/observations/383162963</t>
  </si>
  <si>
    <t xml:space="preserve">FALSE 1475</t>
  </si>
  <si>
    <t xml:space="preserve">Ricinus communis</t>
  </si>
  <si>
    <t xml:space="preserve">https://www.inaturalist.org/observations/383162958</t>
  </si>
  <si>
    <t xml:space="preserve">FALSE 1476</t>
  </si>
  <si>
    <t xml:space="preserve">Pigea calycina</t>
  </si>
  <si>
    <t xml:space="preserve">https://www.inaturalist.org/observations/383162735</t>
  </si>
  <si>
    <t xml:space="preserve">FALSE 1477</t>
  </si>
  <si>
    <t xml:space="preserve">Jacaranda mimosifolia</t>
  </si>
  <si>
    <t xml:space="preserve">https://www.inaturalist.org/observations/383162579</t>
  </si>
  <si>
    <t xml:space="preserve">FALSE 1478</t>
  </si>
  <si>
    <t xml:space="preserve">Pseudotsuga menziesii</t>
  </si>
  <si>
    <t xml:space="preserve">https://www.inaturalist.org/observations/383162485</t>
  </si>
  <si>
    <t xml:space="preserve">FALSE 1479</t>
  </si>
  <si>
    <t xml:space="preserve">Umbellularia californica</t>
  </si>
  <si>
    <t xml:space="preserve">https://www.inaturalist.org/observations/383162475</t>
  </si>
  <si>
    <t xml:space="preserve">FALSE 1480</t>
  </si>
  <si>
    <t xml:space="preserve">Toxicodendron diversilobum</t>
  </si>
  <si>
    <t xml:space="preserve">https://www.inaturalist.org/observations/383162471</t>
  </si>
  <si>
    <t xml:space="preserve">FALSE 1481</t>
  </si>
  <si>
    <t xml:space="preserve">Rubus ursinus</t>
  </si>
  <si>
    <t xml:space="preserve">https://www.inaturalist.org/observations/383162462</t>
  </si>
  <si>
    <t xml:space="preserve">FALSE 1482</t>
  </si>
  <si>
    <t xml:space="preserve">Zephyranthes chlorosolen</t>
  </si>
  <si>
    <t xml:space="preserve">https://www.inaturalist.org/observations/383162396</t>
  </si>
  <si>
    <t xml:space="preserve">FALSE 1483</t>
  </si>
  <si>
    <t xml:space="preserve">Leonotis nepetifolia</t>
  </si>
  <si>
    <t xml:space="preserve">https://www.inaturalist.org/observations/383162394</t>
  </si>
  <si>
    <t xml:space="preserve">FALSE 1484</t>
  </si>
  <si>
    <t xml:space="preserve">Clintonia borealis</t>
  </si>
  <si>
    <t xml:space="preserve">https://www.inaturalist.org/observations/383162340</t>
  </si>
  <si>
    <t xml:space="preserve">FALSE 1485</t>
  </si>
  <si>
    <t xml:space="preserve">Hedychium gardnerianum</t>
  </si>
  <si>
    <t xml:space="preserve">https://www.inaturalist.org/observations/383162201</t>
  </si>
  <si>
    <t xml:space="preserve">FALSE 1486</t>
  </si>
  <si>
    <t xml:space="preserve">Hypocalymma robustum</t>
  </si>
  <si>
    <t xml:space="preserve">https://www.inaturalist.org/observations/383161961</t>
  </si>
  <si>
    <t xml:space="preserve">FALSE 1487</t>
  </si>
  <si>
    <t xml:space="preserve">Cibotium glaucum</t>
  </si>
  <si>
    <t xml:space="preserve">https://www.inaturalist.org/observations/383161943</t>
  </si>
  <si>
    <t xml:space="preserve">FALSE 1488</t>
  </si>
  <si>
    <t xml:space="preserve">Passiflora tarminiana</t>
  </si>
  <si>
    <t xml:space="preserve">https://www.inaturalist.org/observations/383161879</t>
  </si>
  <si>
    <t xml:space="preserve">FALSE 1489</t>
  </si>
  <si>
    <t xml:space="preserve">Stachys chamissonis</t>
  </si>
  <si>
    <t xml:space="preserve">https://www.inaturalist.org/observations/383161873</t>
  </si>
  <si>
    <t xml:space="preserve">FALSE 1490</t>
  </si>
  <si>
    <t xml:space="preserve">Parnassia palustris</t>
  </si>
  <si>
    <t xml:space="preserve">https://www.inaturalist.org/observations/383161841</t>
  </si>
  <si>
    <t xml:space="preserve">FALSE 1491</t>
  </si>
  <si>
    <t xml:space="preserve">Datura innoxia</t>
  </si>
  <si>
    <t xml:space="preserve">https://www.inaturalist.org/observations/383161828</t>
  </si>
  <si>
    <t xml:space="preserve">FALSE 1492</t>
  </si>
  <si>
    <t xml:space="preserve">Lythrum salicaria</t>
  </si>
  <si>
    <t xml:space="preserve">https://www.inaturalist.org/observations/383161788</t>
  </si>
  <si>
    <t xml:space="preserve">FALSE 1493</t>
  </si>
  <si>
    <t xml:space="preserve">Centaurea stoebe</t>
  </si>
  <si>
    <t xml:space="preserve">https://www.inaturalist.org/observations/383161530</t>
  </si>
  <si>
    <t xml:space="preserve">FALSE 1494</t>
  </si>
  <si>
    <t xml:space="preserve">Adenanthos cygnorum</t>
  </si>
  <si>
    <t xml:space="preserve">https://www.inaturalist.org/observations/383161461</t>
  </si>
  <si>
    <t xml:space="preserve">FALSE 1495</t>
  </si>
  <si>
    <t xml:space="preserve">Phacelia congesta</t>
  </si>
  <si>
    <t xml:space="preserve">https://www.inaturalist.org/observations/383161447</t>
  </si>
  <si>
    <t xml:space="preserve">FALSE 1496</t>
  </si>
  <si>
    <t xml:space="preserve">Hibbertia striata</t>
  </si>
  <si>
    <t xml:space="preserve">https://www.inaturalist.org/observations/383161443</t>
  </si>
  <si>
    <t xml:space="preserve">FALSE 1497</t>
  </si>
  <si>
    <t xml:space="preserve">Angelica arguta</t>
  </si>
  <si>
    <t xml:space="preserve">https://www.inaturalist.org/observations/383161432</t>
  </si>
  <si>
    <t xml:space="preserve">FALSE 1498</t>
  </si>
  <si>
    <t xml:space="preserve">Trifolium arvense</t>
  </si>
  <si>
    <t xml:space="preserve">https://www.inaturalist.org/observations/383161406</t>
  </si>
  <si>
    <t xml:space="preserve">FALSE 1499</t>
  </si>
  <si>
    <t xml:space="preserve">Polystichum munitum</t>
  </si>
  <si>
    <t xml:space="preserve">https://www.inaturalist.org/observations/383161364</t>
  </si>
  <si>
    <t xml:space="preserve">FALSE 1500</t>
  </si>
  <si>
    <t xml:space="preserve">Symphoricarpos occidentalis</t>
  </si>
  <si>
    <t xml:space="preserve">https://www.inaturalist.org/observations/383161354</t>
  </si>
  <si>
    <t xml:space="preserve">FALSE 1501</t>
  </si>
  <si>
    <t xml:space="preserve">Kennedia prostrata</t>
  </si>
  <si>
    <t xml:space="preserve">https://www.inaturalist.org/observations/383161347</t>
  </si>
  <si>
    <t xml:space="preserve">FALSE 1502</t>
  </si>
  <si>
    <t xml:space="preserve">Metrosideros polymorpha</t>
  </si>
  <si>
    <t xml:space="preserve">https://www.inaturalist.org/observations/383161289</t>
  </si>
  <si>
    <t xml:space="preserve">FALSE 1503</t>
  </si>
  <si>
    <t xml:space="preserve">Allocasuarina humilis</t>
  </si>
  <si>
    <t xml:space="preserve">https://www.inaturalist.org/observations/383161210</t>
  </si>
  <si>
    <t xml:space="preserve">FALSE 1504</t>
  </si>
  <si>
    <t xml:space="preserve">Hardenbergia comptoniana</t>
  </si>
  <si>
    <t xml:space="preserve">https://www.inaturalist.org/observations/383161114</t>
  </si>
  <si>
    <t xml:space="preserve">FALSE 1505</t>
  </si>
  <si>
    <t xml:space="preserve">Hibbertia hypericoides</t>
  </si>
  <si>
    <t xml:space="preserve">https://www.inaturalist.org/observations/383161108</t>
  </si>
  <si>
    <t xml:space="preserve">FALSE 1506</t>
  </si>
  <si>
    <t xml:space="preserve">Psidium guajava</t>
  </si>
  <si>
    <t xml:space="preserve">https://www.inaturalist.org/observations/383161050</t>
  </si>
  <si>
    <t xml:space="preserve">FALSE 1507</t>
  </si>
  <si>
    <t xml:space="preserve">Euphorbia marginata</t>
  </si>
  <si>
    <t xml:space="preserve">https://www.inaturalist.org/observations/383161004</t>
  </si>
  <si>
    <t xml:space="preserve">FALSE 1508</t>
  </si>
  <si>
    <t xml:space="preserve">Conostephium pendulum</t>
  </si>
  <si>
    <t xml:space="preserve">https://www.inaturalist.org/observations/383160906</t>
  </si>
  <si>
    <t xml:space="preserve">FALSE 1509</t>
  </si>
  <si>
    <t xml:space="preserve">Jacksonia sternbergiana</t>
  </si>
  <si>
    <t xml:space="preserve">https://www.inaturalist.org/observations/383160882</t>
  </si>
  <si>
    <t xml:space="preserve">FALSE 1510</t>
  </si>
  <si>
    <t xml:space="preserve">Philotheca spicata</t>
  </si>
  <si>
    <t xml:space="preserve">https://www.inaturalist.org/observations/383160858</t>
  </si>
  <si>
    <t xml:space="preserve">FALSE 1511</t>
  </si>
  <si>
    <t xml:space="preserve">Morinda citrifolia</t>
  </si>
  <si>
    <t xml:space="preserve">https://www.inaturalist.org/observations/383160849</t>
  </si>
  <si>
    <t xml:space="preserve">FALSE 1512</t>
  </si>
  <si>
    <t xml:space="preserve">Daviesia nudiflora</t>
  </si>
  <si>
    <t xml:space="preserve">https://www.inaturalist.org/observations/383160826</t>
  </si>
  <si>
    <t xml:space="preserve">FALSE 1513</t>
  </si>
  <si>
    <t xml:space="preserve">Lespedeza cuneata</t>
  </si>
  <si>
    <t xml:space="preserve">https://www.inaturalist.org/observations/383160749</t>
  </si>
  <si>
    <t xml:space="preserve">FALSE 1514</t>
  </si>
  <si>
    <t xml:space="preserve">Osteomeles anthyllidifolia</t>
  </si>
  <si>
    <t xml:space="preserve">https://www.inaturalist.org/observations/383160567</t>
  </si>
  <si>
    <t xml:space="preserve">FALSE 1515</t>
  </si>
  <si>
    <t xml:space="preserve">Rubus chamaemorus</t>
  </si>
  <si>
    <t xml:space="preserve">https://www.inaturalist.org/observations/383160411</t>
  </si>
  <si>
    <t xml:space="preserve">FALSE 1516</t>
  </si>
  <si>
    <t xml:space="preserve">Euthamia graminifolia</t>
  </si>
  <si>
    <t xml:space="preserve">https://www.inaturalist.org/observations/383160405</t>
  </si>
  <si>
    <t xml:space="preserve">FALSE 1517</t>
  </si>
  <si>
    <t xml:space="preserve">Macarthuria australis</t>
  </si>
  <si>
    <t xml:space="preserve">https://www.inaturalist.org/observations/383160351</t>
  </si>
  <si>
    <t xml:space="preserve">FALSE 1518</t>
  </si>
  <si>
    <t xml:space="preserve">Verbena stricta</t>
  </si>
  <si>
    <t xml:space="preserve">https://www.inaturalist.org/observations/383160333</t>
  </si>
  <si>
    <t xml:space="preserve">FALSE 1519</t>
  </si>
  <si>
    <t xml:space="preserve">Melaleuca systena</t>
  </si>
  <si>
    <t xml:space="preserve">https://www.inaturalist.org/observations/383160300</t>
  </si>
  <si>
    <t xml:space="preserve">FALSE 1520</t>
  </si>
  <si>
    <t xml:space="preserve">Dryas hookeriana</t>
  </si>
  <si>
    <t xml:space="preserve">https://www.inaturalist.org/observations/383160225</t>
  </si>
  <si>
    <t xml:space="preserve">FALSE 1521</t>
  </si>
  <si>
    <t xml:space="preserve">Oreocarya confertiflora</t>
  </si>
  <si>
    <t xml:space="preserve">https://www.inaturalist.org/observations/383159858</t>
  </si>
  <si>
    <t xml:space="preserve">FALSE 1522</t>
  </si>
  <si>
    <t xml:space="preserve">Callicarpa americana</t>
  </si>
  <si>
    <t xml:space="preserve">https://www.inaturalist.org/observations/383159764</t>
  </si>
  <si>
    <t xml:space="preserve">FALSE 1523</t>
  </si>
  <si>
    <t xml:space="preserve">Oenothera speciosa</t>
  </si>
  <si>
    <t xml:space="preserve">https://www.inaturalist.org/observations/383159683</t>
  </si>
  <si>
    <t xml:space="preserve">FALSE 1524</t>
  </si>
  <si>
    <t xml:space="preserve">Lupinus texensis</t>
  </si>
  <si>
    <t xml:space="preserve">https://www.inaturalist.org/observations/383159579</t>
  </si>
  <si>
    <t xml:space="preserve">FALSE 1525</t>
  </si>
  <si>
    <t xml:space="preserve">Acacia applanata</t>
  </si>
  <si>
    <t xml:space="preserve">https://www.inaturalist.org/observations/383159497</t>
  </si>
  <si>
    <t xml:space="preserve">FALSE 1526</t>
  </si>
  <si>
    <t xml:space="preserve">Bejaria racemosa</t>
  </si>
  <si>
    <t xml:space="preserve">https://www.inaturalist.org/observations/383159451</t>
  </si>
  <si>
    <t xml:space="preserve">FALSE 1527</t>
  </si>
  <si>
    <t xml:space="preserve">Acianthus fornicatus</t>
  </si>
  <si>
    <t xml:space="preserve">https://www.inaturalist.org/observations/383159378</t>
  </si>
  <si>
    <t xml:space="preserve">FALSE 1528</t>
  </si>
  <si>
    <t xml:space="preserve">Pterostylis grandiflora</t>
  </si>
  <si>
    <t xml:space="preserve">https://www.inaturalist.org/observations/383159333</t>
  </si>
  <si>
    <t xml:space="preserve">FALSE 1529</t>
  </si>
  <si>
    <t xml:space="preserve">Vicia sativa</t>
  </si>
  <si>
    <t xml:space="preserve">https://www.inaturalist.org/observations/383159209</t>
  </si>
  <si>
    <t xml:space="preserve">FALSE 1530</t>
  </si>
  <si>
    <t xml:space="preserve">Calopogon tuberosus</t>
  </si>
  <si>
    <t xml:space="preserve">https://www.inaturalist.org/observations/383159190</t>
  </si>
  <si>
    <t xml:space="preserve">FALSE 1531</t>
  </si>
  <si>
    <t xml:space="preserve">Mastocarpus papillatus</t>
  </si>
  <si>
    <t xml:space="preserve">https://www.inaturalist.org/observations/383158527</t>
  </si>
  <si>
    <t xml:space="preserve">FALSE 1532</t>
  </si>
  <si>
    <t xml:space="preserve">Aegopodium podagraria</t>
  </si>
  <si>
    <t xml:space="preserve">https://www.inaturalist.org/observations/383158008</t>
  </si>
  <si>
    <t xml:space="preserve">FALSE 1533</t>
  </si>
  <si>
    <t xml:space="preserve">Emilia sonchifolia</t>
  </si>
  <si>
    <t xml:space="preserve">https://www.inaturalist.org/observations/383157989</t>
  </si>
  <si>
    <t xml:space="preserve">FALSE 1534</t>
  </si>
  <si>
    <t xml:space="preserve">Pellaea andromedifolia</t>
  </si>
  <si>
    <t xml:space="preserve">https://www.inaturalist.org/observations/383157936</t>
  </si>
  <si>
    <t xml:space="preserve">FALSE 1535</t>
  </si>
  <si>
    <t xml:space="preserve">Calotropis gigantea</t>
  </si>
  <si>
    <t xml:space="preserve">https://www.inaturalist.org/observations/383157861</t>
  </si>
  <si>
    <t xml:space="preserve">FALSE 1536</t>
  </si>
  <si>
    <t xml:space="preserve">Hakea teretifolia</t>
  </si>
  <si>
    <t xml:space="preserve">https://www.inaturalist.org/observations/383157739</t>
  </si>
  <si>
    <t xml:space="preserve">FALSE 1537</t>
  </si>
  <si>
    <t xml:space="preserve">Liatris spicata</t>
  </si>
  <si>
    <t xml:space="preserve">https://www.inaturalist.org/observations/383157733</t>
  </si>
  <si>
    <t xml:space="preserve">FALSE 1538</t>
  </si>
  <si>
    <t xml:space="preserve">Erigeron glacialis</t>
  </si>
  <si>
    <t xml:space="preserve">https://www.inaturalist.org/observations/383157675</t>
  </si>
  <si>
    <t xml:space="preserve">FALSE 1539</t>
  </si>
  <si>
    <t xml:space="preserve">Anaphalis margaritacea</t>
  </si>
  <si>
    <t xml:space="preserve">https://www.inaturalist.org/observations/383157644</t>
  </si>
  <si>
    <t xml:space="preserve">FALSE 1540</t>
  </si>
  <si>
    <t xml:space="preserve">Acer negundo</t>
  </si>
  <si>
    <t xml:space="preserve">https://www.inaturalist.org/observations/383157639</t>
  </si>
  <si>
    <t xml:space="preserve">FALSE 1541</t>
  </si>
  <si>
    <t xml:space="preserve">Eriogonum umbellatum</t>
  </si>
  <si>
    <t xml:space="preserve">https://www.inaturalist.org/observations/383157615</t>
  </si>
  <si>
    <t xml:space="preserve">FALSE 1542</t>
  </si>
  <si>
    <t xml:space="preserve">Smilax herbacea</t>
  </si>
  <si>
    <t xml:space="preserve">https://www.inaturalist.org/observations/383157560</t>
  </si>
  <si>
    <t xml:space="preserve">FALSE 1543</t>
  </si>
  <si>
    <t xml:space="preserve">Viburnum prunifolium</t>
  </si>
  <si>
    <t xml:space="preserve">https://www.inaturalist.org/observations/383157469</t>
  </si>
  <si>
    <t xml:space="preserve">FALSE 1544</t>
  </si>
  <si>
    <t xml:space="preserve">Juniperus californica</t>
  </si>
  <si>
    <t xml:space="preserve">https://www.inaturalist.org/observations/383157447</t>
  </si>
  <si>
    <t xml:space="preserve">FALSE 1545</t>
  </si>
  <si>
    <t xml:space="preserve">Mentzelia laevicaulis</t>
  </si>
  <si>
    <t xml:space="preserve">https://www.inaturalist.org/observations/383157318</t>
  </si>
  <si>
    <t xml:space="preserve">FALSE 1546</t>
  </si>
  <si>
    <t xml:space="preserve">Amphicarpaea bracteata</t>
  </si>
  <si>
    <t xml:space="preserve">https://www.inaturalist.org/observations/383157284</t>
  </si>
  <si>
    <t xml:space="preserve">FALSE 1547</t>
  </si>
  <si>
    <t xml:space="preserve">Epipactis helleborine</t>
  </si>
  <si>
    <t xml:space="preserve">https://www.inaturalist.org/observations/383157253</t>
  </si>
  <si>
    <t xml:space="preserve">FALSE 1548</t>
  </si>
  <si>
    <t xml:space="preserve">Tolmiea diplomenziesii</t>
  </si>
  <si>
    <t xml:space="preserve">https://www.inaturalist.org/observations/383157213</t>
  </si>
  <si>
    <t xml:space="preserve">FALSE 1549</t>
  </si>
  <si>
    <t xml:space="preserve">Bulbine bulbosa</t>
  </si>
  <si>
    <t xml:space="preserve">https://www.inaturalist.org/observations/383157196</t>
  </si>
  <si>
    <t xml:space="preserve">FALSE 1550</t>
  </si>
  <si>
    <t xml:space="preserve">Lapsana communis</t>
  </si>
  <si>
    <t xml:space="preserve">https://www.inaturalist.org/observations/383157105</t>
  </si>
  <si>
    <t xml:space="preserve">FALSE 1551</t>
  </si>
  <si>
    <t xml:space="preserve">Grevillea phylicoides</t>
  </si>
  <si>
    <t xml:space="preserve">https://www.inaturalist.org/observations/383157084</t>
  </si>
  <si>
    <t xml:space="preserve">FALSE 1552</t>
  </si>
  <si>
    <t xml:space="preserve">Actaea rubra</t>
  </si>
  <si>
    <t xml:space="preserve">https://www.inaturalist.org/observations/383157055</t>
  </si>
  <si>
    <t xml:space="preserve">FALSE 1553</t>
  </si>
  <si>
    <t xml:space="preserve">Aesculus californica</t>
  </si>
  <si>
    <t xml:space="preserve">https://www.inaturalist.org/observations/383157015</t>
  </si>
  <si>
    <t xml:space="preserve">FALSE 1554</t>
  </si>
  <si>
    <t xml:space="preserve">Lilium michiganense</t>
  </si>
  <si>
    <t xml:space="preserve">https://www.inaturalist.org/observations/383156983</t>
  </si>
  <si>
    <t xml:space="preserve">FALSE 1555</t>
  </si>
  <si>
    <t xml:space="preserve">Dryopteris intermedia</t>
  </si>
  <si>
    <t xml:space="preserve">https://www.inaturalist.org/observations/383156964</t>
  </si>
  <si>
    <t xml:space="preserve">FALSE 1556</t>
  </si>
  <si>
    <t xml:space="preserve">Tropaeolum majus</t>
  </si>
  <si>
    <t xml:space="preserve">https://www.inaturalist.org/observations/383156935</t>
  </si>
  <si>
    <t xml:space="preserve">FALSE 1557</t>
  </si>
  <si>
    <t xml:space="preserve">Bowenia spectabilis</t>
  </si>
  <si>
    <t xml:space="preserve">https://www.inaturalist.org/observations/383156926</t>
  </si>
  <si>
    <t xml:space="preserve">FALSE 1558</t>
  </si>
  <si>
    <t xml:space="preserve">Pteridium aquilinum</t>
  </si>
  <si>
    <t xml:space="preserve">https://www.inaturalist.org/observations/383156907</t>
  </si>
  <si>
    <t xml:space="preserve">FALSE 1559</t>
  </si>
  <si>
    <t xml:space="preserve">Tetrapogon villosus</t>
  </si>
  <si>
    <t xml:space="preserve">https://www.inaturalist.org/observations/383156883</t>
  </si>
  <si>
    <t xml:space="preserve">FALSE 1560</t>
  </si>
  <si>
    <t xml:space="preserve">Geranium robertianum</t>
  </si>
  <si>
    <t xml:space="preserve">https://www.inaturalist.org/observations/383156740</t>
  </si>
  <si>
    <t xml:space="preserve">FALSE 1561</t>
  </si>
  <si>
    <t xml:space="preserve">Araucaria cunninghamii</t>
  </si>
  <si>
    <t xml:space="preserve">https://www.inaturalist.org/observations/383156727</t>
  </si>
  <si>
    <t xml:space="preserve">FALSE 1562</t>
  </si>
  <si>
    <t xml:space="preserve">Veronicastrum virginicum</t>
  </si>
  <si>
    <t xml:space="preserve">https://www.inaturalist.org/observations/383156693</t>
  </si>
  <si>
    <t xml:space="preserve">FALSE 1563</t>
  </si>
  <si>
    <t xml:space="preserve">Campanula petiolata</t>
  </si>
  <si>
    <t xml:space="preserve">https://www.inaturalist.org/observations/383156539</t>
  </si>
  <si>
    <t xml:space="preserve">FALSE 1564</t>
  </si>
  <si>
    <t xml:space="preserve">Nandina domestica</t>
  </si>
  <si>
    <t xml:space="preserve">https://www.inaturalist.org/observations/383156538</t>
  </si>
  <si>
    <t xml:space="preserve">FALSE 1565</t>
  </si>
  <si>
    <t xml:space="preserve">Asclepias hirtella</t>
  </si>
  <si>
    <t xml:space="preserve">https://www.inaturalist.org/observations/383156522</t>
  </si>
  <si>
    <t xml:space="preserve">FALSE 1566</t>
  </si>
  <si>
    <t xml:space="preserve">Physalis longifolia</t>
  </si>
  <si>
    <t xml:space="preserve">https://www.inaturalist.org/observations/383156452</t>
  </si>
  <si>
    <t xml:space="preserve">FALSE 1567</t>
  </si>
  <si>
    <t xml:space="preserve">Rhododendron canadense</t>
  </si>
  <si>
    <t xml:space="preserve">https://www.inaturalist.org/observations/383156386</t>
  </si>
  <si>
    <t xml:space="preserve">FALSE 1568</t>
  </si>
  <si>
    <t xml:space="preserve">Helosis cayennensis</t>
  </si>
  <si>
    <t xml:space="preserve">https://www.inaturalist.org/observations/383156364</t>
  </si>
  <si>
    <t xml:space="preserve">FALSE 1569</t>
  </si>
  <si>
    <t xml:space="preserve">Salvadora persica</t>
  </si>
  <si>
    <t xml:space="preserve">https://www.inaturalist.org/observations/383156330</t>
  </si>
  <si>
    <t xml:space="preserve">FALSE 1570</t>
  </si>
  <si>
    <t xml:space="preserve">Drosera spatulata</t>
  </si>
  <si>
    <t xml:space="preserve">https://www.inaturalist.org/observations/383156290</t>
  </si>
  <si>
    <t xml:space="preserve">FALSE 1571</t>
  </si>
  <si>
    <t xml:space="preserve">Ratibida pinnata</t>
  </si>
  <si>
    <t xml:space="preserve">https://www.inaturalist.org/observations/383156125</t>
  </si>
  <si>
    <t xml:space="preserve">FALSE 1572</t>
  </si>
  <si>
    <t xml:space="preserve">Passiflora incarnata</t>
  </si>
  <si>
    <t xml:space="preserve">https://www.inaturalist.org/observations/383156096</t>
  </si>
  <si>
    <t xml:space="preserve">FALSE 1573</t>
  </si>
  <si>
    <t xml:space="preserve">Cnidoscolus stimulosus</t>
  </si>
  <si>
    <t xml:space="preserve">https://www.inaturalist.org/observations/383156088</t>
  </si>
  <si>
    <t xml:space="preserve">FALSE 1574</t>
  </si>
  <si>
    <t xml:space="preserve">Asclepias curassavica</t>
  </si>
  <si>
    <t xml:space="preserve">https://www.inaturalist.org/observations/383156064</t>
  </si>
  <si>
    <t xml:space="preserve">FALSE 1575</t>
  </si>
  <si>
    <t xml:space="preserve">Cymbidium canaliculatum</t>
  </si>
  <si>
    <t xml:space="preserve">https://www.inaturalist.org/observations/383156056</t>
  </si>
  <si>
    <t xml:space="preserve">FALSE 1576</t>
  </si>
  <si>
    <t xml:space="preserve">Phacelia minor</t>
  </si>
  <si>
    <t xml:space="preserve">https://www.inaturalist.org/observations/383156004</t>
  </si>
  <si>
    <t xml:space="preserve">FALSE 1577</t>
  </si>
  <si>
    <t xml:space="preserve">Arundina graminifolia</t>
  </si>
  <si>
    <t xml:space="preserve">https://www.inaturalist.org/observations/383155816</t>
  </si>
  <si>
    <t xml:space="preserve">FALSE 1578</t>
  </si>
  <si>
    <t xml:space="preserve">Sambucus canadensis</t>
  </si>
  <si>
    <t xml:space="preserve">https://www.inaturalist.org/observations/383155570</t>
  </si>
  <si>
    <t xml:space="preserve">FALSE 1579</t>
  </si>
  <si>
    <t xml:space="preserve">Thelypteris palustris</t>
  </si>
  <si>
    <t xml:space="preserve">https://www.inaturalist.org/observations/383155550</t>
  </si>
  <si>
    <t xml:space="preserve">FALSE 1580</t>
  </si>
  <si>
    <t xml:space="preserve">Bergera koenigii</t>
  </si>
  <si>
    <t xml:space="preserve">https://www.inaturalist.org/observations/383155515</t>
  </si>
  <si>
    <t xml:space="preserve">FALSE 1581</t>
  </si>
  <si>
    <t xml:space="preserve">Apocynum androsaemifolium</t>
  </si>
  <si>
    <t xml:space="preserve">https://www.inaturalist.org/observations/383155511</t>
  </si>
  <si>
    <t xml:space="preserve">FALSE 1582</t>
  </si>
  <si>
    <t xml:space="preserve">Hypericum perforatum</t>
  </si>
  <si>
    <t xml:space="preserve">https://www.inaturalist.org/observations/383155457</t>
  </si>
  <si>
    <t xml:space="preserve">FALSE 1583</t>
  </si>
  <si>
    <t xml:space="preserve">Ludwigia palustris</t>
  </si>
  <si>
    <t xml:space="preserve">https://www.inaturalist.org/observations/383155373</t>
  </si>
  <si>
    <t xml:space="preserve">FALSE 1584</t>
  </si>
  <si>
    <t xml:space="preserve">Coprosma robusta</t>
  </si>
  <si>
    <t xml:space="preserve">https://www.inaturalist.org/observations/383155264</t>
  </si>
  <si>
    <t xml:space="preserve">FALSE 1585</t>
  </si>
  <si>
    <t xml:space="preserve">Pittosporum eugenioides</t>
  </si>
  <si>
    <t xml:space="preserve">https://www.inaturalist.org/observations/383155192</t>
  </si>
  <si>
    <t xml:space="preserve">FALSE 1586</t>
  </si>
  <si>
    <t xml:space="preserve">Galinsoga quadriradiata</t>
  </si>
  <si>
    <t xml:space="preserve">https://www.inaturalist.org/observations/383155122</t>
  </si>
  <si>
    <t xml:space="preserve">FALSE 1587</t>
  </si>
  <si>
    <t xml:space="preserve">Polystichum lonchitis</t>
  </si>
  <si>
    <t xml:space="preserve">https://www.inaturalist.org/observations/383155084</t>
  </si>
  <si>
    <t xml:space="preserve">FALSE 1588</t>
  </si>
  <si>
    <t xml:space="preserve">Lilium lancifolium</t>
  </si>
  <si>
    <t xml:space="preserve">https://www.inaturalist.org/observations/383155013</t>
  </si>
  <si>
    <t xml:space="preserve">FALSE 1589</t>
  </si>
  <si>
    <t xml:space="preserve">Arisarum vulgare</t>
  </si>
  <si>
    <t xml:space="preserve">https://www.inaturalist.org/observations/383154978</t>
  </si>
  <si>
    <t xml:space="preserve">FALSE 1590</t>
  </si>
  <si>
    <t xml:space="preserve">Abies balsamea</t>
  </si>
  <si>
    <t xml:space="preserve">https://www.inaturalist.org/observations/383154924</t>
  </si>
  <si>
    <t xml:space="preserve">FALSE 1591</t>
  </si>
  <si>
    <t xml:space="preserve">Acacia suaveolens</t>
  </si>
  <si>
    <t xml:space="preserve">https://www.inaturalist.org/observations/383154910</t>
  </si>
  <si>
    <t xml:space="preserve">FALSE 1592</t>
  </si>
  <si>
    <t xml:space="preserve">Platanthera lacera</t>
  </si>
  <si>
    <t xml:space="preserve">https://www.inaturalist.org/observations/383154882</t>
  </si>
  <si>
    <t xml:space="preserve">FALSE 1593</t>
  </si>
  <si>
    <t xml:space="preserve">Dalea coerulea</t>
  </si>
  <si>
    <t xml:space="preserve">https://www.inaturalist.org/observations/383154869</t>
  </si>
  <si>
    <t xml:space="preserve">FALSE 1594</t>
  </si>
  <si>
    <t xml:space="preserve">Lilium formosanum</t>
  </si>
  <si>
    <t xml:space="preserve">https://www.inaturalist.org/observations/383154748</t>
  </si>
  <si>
    <t xml:space="preserve">FALSE 1595</t>
  </si>
  <si>
    <t xml:space="preserve">Berberis nervosa</t>
  </si>
  <si>
    <t xml:space="preserve">https://www.inaturalist.org/observations/383154641</t>
  </si>
  <si>
    <t xml:space="preserve">FALSE 1596</t>
  </si>
  <si>
    <t xml:space="preserve">Rumex skottsbergii</t>
  </si>
  <si>
    <t xml:space="preserve">https://www.inaturalist.org/observations/383154634</t>
  </si>
  <si>
    <t xml:space="preserve">FALSE 1597</t>
  </si>
  <si>
    <t xml:space="preserve">Picea sitchensis</t>
  </si>
  <si>
    <t xml:space="preserve">https://www.inaturalist.org/observations/383154609</t>
  </si>
  <si>
    <t xml:space="preserve">FALSE 1598</t>
  </si>
  <si>
    <t xml:space="preserve">Podocarpus totara</t>
  </si>
  <si>
    <t xml:space="preserve">https://www.inaturalist.org/observations/383154503</t>
  </si>
  <si>
    <t xml:space="preserve">FALSE 1599</t>
  </si>
  <si>
    <t xml:space="preserve">Eriogonum esmeraldense</t>
  </si>
  <si>
    <t xml:space="preserve">https://www.inaturalist.org/observations/383154040</t>
  </si>
  <si>
    <t xml:space="preserve">FALSE 1600</t>
  </si>
  <si>
    <t xml:space="preserve">Vaccinium myrtilloides</t>
  </si>
  <si>
    <t xml:space="preserve">https://www.inaturalist.org/observations/383153935</t>
  </si>
  <si>
    <t xml:space="preserve">FALSE 1601</t>
  </si>
  <si>
    <t xml:space="preserve">Astelia fragrans</t>
  </si>
  <si>
    <t xml:space="preserve">https://www.inaturalist.org/observations/383153877</t>
  </si>
  <si>
    <t xml:space="preserve">FALSE 1602</t>
  </si>
  <si>
    <t xml:space="preserve">Cornus unalaschkensis</t>
  </si>
  <si>
    <t xml:space="preserve">https://www.inaturalist.org/observations/383153838</t>
  </si>
  <si>
    <t xml:space="preserve">FALSE 1603</t>
  </si>
  <si>
    <t xml:space="preserve">Elliottia pyroliflora</t>
  </si>
  <si>
    <t xml:space="preserve">https://www.inaturalist.org/observations/383153778</t>
  </si>
  <si>
    <t xml:space="preserve">FALSE 1604</t>
  </si>
  <si>
    <t xml:space="preserve">Persicaria capitata</t>
  </si>
  <si>
    <t xml:space="preserve">https://www.inaturalist.org/observations/383153777</t>
  </si>
  <si>
    <t xml:space="preserve">FALSE 1605</t>
  </si>
  <si>
    <t xml:space="preserve">Oxalis pes-caprae</t>
  </si>
  <si>
    <t xml:space="preserve">https://www.inaturalist.org/observations/383153703</t>
  </si>
  <si>
    <t xml:space="preserve">FALSE 1606</t>
  </si>
  <si>
    <t xml:space="preserve">Allium cernuum</t>
  </si>
  <si>
    <t xml:space="preserve">https://www.inaturalist.org/observations/383153702</t>
  </si>
  <si>
    <t xml:space="preserve">FALSE 1607</t>
  </si>
  <si>
    <t xml:space="preserve">Spiraea douglasii</t>
  </si>
  <si>
    <t xml:space="preserve">https://www.inaturalist.org/observations/383153670</t>
  </si>
  <si>
    <t xml:space="preserve">FALSE 1608</t>
  </si>
  <si>
    <t xml:space="preserve">Pittosporum tenuifolium</t>
  </si>
  <si>
    <t xml:space="preserve">https://www.inaturalist.org/observations/383153634</t>
  </si>
  <si>
    <t xml:space="preserve">FALSE 1609</t>
  </si>
  <si>
    <t xml:space="preserve">Navarretia squarrosa</t>
  </si>
  <si>
    <t xml:space="preserve">https://www.inaturalist.org/observations/383153602</t>
  </si>
  <si>
    <t xml:space="preserve">FALSE 1610</t>
  </si>
  <si>
    <t xml:space="preserve">Digitalis purpurea</t>
  </si>
  <si>
    <t xml:space="preserve">https://www.inaturalist.org/observations/383153579</t>
  </si>
  <si>
    <t xml:space="preserve">FALSE 1611</t>
  </si>
  <si>
    <t xml:space="preserve">Melicytus ramiflorus</t>
  </si>
  <si>
    <t xml:space="preserve">https://www.inaturalist.org/observations/383153568</t>
  </si>
  <si>
    <t xml:space="preserve">FALSE 1612</t>
  </si>
  <si>
    <t xml:space="preserve">Capnoides sempervirens</t>
  </si>
  <si>
    <t xml:space="preserve">https://www.inaturalist.org/observations/383153523</t>
  </si>
  <si>
    <t xml:space="preserve">FALSE 1613</t>
  </si>
  <si>
    <t xml:space="preserve">Picea engelmannii</t>
  </si>
  <si>
    <t xml:space="preserve">https://www.inaturalist.org/observations/383153513</t>
  </si>
  <si>
    <t xml:space="preserve">FALSE 1614</t>
  </si>
  <si>
    <t xml:space="preserve">Serenoa repens</t>
  </si>
  <si>
    <t xml:space="preserve">https://www.inaturalist.org/observations/383153457</t>
  </si>
  <si>
    <t xml:space="preserve">FALSE 1615</t>
  </si>
  <si>
    <t xml:space="preserve">Cocos nucifera</t>
  </si>
  <si>
    <t xml:space="preserve">https://www.inaturalist.org/observations/383153454</t>
  </si>
  <si>
    <t xml:space="preserve">FALSE 1616</t>
  </si>
  <si>
    <t xml:space="preserve">Uniola paniculata</t>
  </si>
  <si>
    <t xml:space="preserve">https://www.inaturalist.org/observations/383153453</t>
  </si>
  <si>
    <t xml:space="preserve">FALSE 1617</t>
  </si>
  <si>
    <t xml:space="preserve">Euphorbia glauca</t>
  </si>
  <si>
    <t xml:space="preserve">https://www.inaturalist.org/observations/383153408</t>
  </si>
  <si>
    <t xml:space="preserve">FALSE 1618</t>
  </si>
  <si>
    <t xml:space="preserve">Phacelia tanacetifolia</t>
  </si>
  <si>
    <t xml:space="preserve">https://www.inaturalist.org/observations/383153399</t>
  </si>
  <si>
    <t xml:space="preserve">FALSE 1619</t>
  </si>
  <si>
    <t xml:space="preserve">Artemisia californica</t>
  </si>
  <si>
    <t xml:space="preserve">https://www.inaturalist.org/observations/383153345</t>
  </si>
  <si>
    <t xml:space="preserve">FALSE 1620</t>
  </si>
  <si>
    <t xml:space="preserve">Athyrium angustum</t>
  </si>
  <si>
    <t xml:space="preserve">https://www.inaturalist.org/observations/383153303</t>
  </si>
  <si>
    <t xml:space="preserve">FALSE 1621</t>
  </si>
  <si>
    <t xml:space="preserve">Melaleuca pulcherrima</t>
  </si>
  <si>
    <t xml:space="preserve">https://www.inaturalist.org/observations/383153280</t>
  </si>
  <si>
    <t xml:space="preserve">FALSE 1622</t>
  </si>
  <si>
    <t xml:space="preserve">Cornus rugosa</t>
  </si>
  <si>
    <t xml:space="preserve">https://www.inaturalist.org/observations/383153278</t>
  </si>
  <si>
    <t xml:space="preserve">FALSE 1623</t>
  </si>
  <si>
    <t xml:space="preserve">Maianthemum dilatatum</t>
  </si>
  <si>
    <t xml:space="preserve">https://www.inaturalist.org/observations/383153205</t>
  </si>
  <si>
    <t xml:space="preserve">FALSE 1624</t>
  </si>
  <si>
    <t xml:space="preserve">Lysichiton americanus</t>
  </si>
  <si>
    <t xml:space="preserve">https://www.inaturalist.org/observations/383153147</t>
  </si>
  <si>
    <t xml:space="preserve">FALSE 1625</t>
  </si>
  <si>
    <t xml:space="preserve">Platanthera blephariglottis</t>
  </si>
  <si>
    <t xml:space="preserve">https://www.inaturalist.org/observations/383153110</t>
  </si>
  <si>
    <t xml:space="preserve">FALSE 1626</t>
  </si>
  <si>
    <t xml:space="preserve">Dioscorea bulbifera</t>
  </si>
  <si>
    <t xml:space="preserve">https://www.inaturalist.org/observations/383152815</t>
  </si>
  <si>
    <t xml:space="preserve">FALSE 1627</t>
  </si>
  <si>
    <t xml:space="preserve">Athyrium filix-femina</t>
  </si>
  <si>
    <t xml:space="preserve">https://www.inaturalist.org/observations/383152762</t>
  </si>
  <si>
    <t xml:space="preserve">FALSE 1628</t>
  </si>
  <si>
    <t xml:space="preserve">Equisetum hyemale</t>
  </si>
  <si>
    <t xml:space="preserve">https://www.inaturalist.org/observations/383152569</t>
  </si>
  <si>
    <t xml:space="preserve">FALSE 1629</t>
  </si>
  <si>
    <t xml:space="preserve">Linaria canadensis</t>
  </si>
  <si>
    <t xml:space="preserve">https://www.inaturalist.org/observations/383152411</t>
  </si>
  <si>
    <t xml:space="preserve">FALSE 1630</t>
  </si>
  <si>
    <t xml:space="preserve">Azadirachta indica</t>
  </si>
  <si>
    <t xml:space="preserve">https://www.inaturalist.org/observations/383152332</t>
  </si>
  <si>
    <t xml:space="preserve">FALSE 1631</t>
  </si>
  <si>
    <t xml:space="preserve">Salix nigra</t>
  </si>
  <si>
    <t xml:space="preserve">https://www.inaturalist.org/observations/383152313</t>
  </si>
  <si>
    <t xml:space="preserve">FALSE 1632</t>
  </si>
  <si>
    <t xml:space="preserve">Calochortus weedii</t>
  </si>
  <si>
    <t xml:space="preserve">https://www.inaturalist.org/observations/383152160</t>
  </si>
  <si>
    <t xml:space="preserve">FALSE 1633</t>
  </si>
  <si>
    <t xml:space="preserve">Mecardonia procumbens</t>
  </si>
  <si>
    <t xml:space="preserve">https://www.inaturalist.org/observations/383152124</t>
  </si>
  <si>
    <t xml:space="preserve">FALSE 1634</t>
  </si>
  <si>
    <t xml:space="preserve">Telmatoblechnum indicum</t>
  </si>
  <si>
    <t xml:space="preserve">https://www.inaturalist.org/observations/383151996</t>
  </si>
  <si>
    <t xml:space="preserve">FALSE 1635</t>
  </si>
  <si>
    <t xml:space="preserve">Potamogeton nodosus</t>
  </si>
  <si>
    <t xml:space="preserve">https://www.inaturalist.org/observations/383151982</t>
  </si>
  <si>
    <t xml:space="preserve">FALSE 1636</t>
  </si>
  <si>
    <t xml:space="preserve">Musa campestris</t>
  </si>
  <si>
    <t xml:space="preserve">https://www.inaturalist.org/observations/383151969</t>
  </si>
  <si>
    <t xml:space="preserve">FALSE 1637</t>
  </si>
  <si>
    <t xml:space="preserve">Salix eriocephala</t>
  </si>
  <si>
    <t xml:space="preserve">https://www.inaturalist.org/observations/383151922</t>
  </si>
  <si>
    <t xml:space="preserve">FALSE 1638</t>
  </si>
  <si>
    <t xml:space="preserve">Lysimachia borealis</t>
  </si>
  <si>
    <t xml:space="preserve">https://www.inaturalist.org/observations/383151631</t>
  </si>
  <si>
    <t xml:space="preserve">FALSE 1639</t>
  </si>
  <si>
    <t xml:space="preserve">Smilax bona-nox</t>
  </si>
  <si>
    <t xml:space="preserve">https://www.inaturalist.org/observations/383151627</t>
  </si>
  <si>
    <t xml:space="preserve">FALSE 1640</t>
  </si>
  <si>
    <t xml:space="preserve">Houttuynia cordata</t>
  </si>
  <si>
    <t xml:space="preserve">https://www.inaturalist.org/observations/383151424</t>
  </si>
  <si>
    <t xml:space="preserve">FALSE 1641</t>
  </si>
  <si>
    <t xml:space="preserve">Myrica gale</t>
  </si>
  <si>
    <t xml:space="preserve">https://www.inaturalist.org/observations/383151032</t>
  </si>
  <si>
    <t xml:space="preserve">FALSE 1642</t>
  </si>
  <si>
    <t xml:space="preserve">Cynanchum laeve</t>
  </si>
  <si>
    <t xml:space="preserve">https://www.inaturalist.org/observations/383150881</t>
  </si>
  <si>
    <t xml:space="preserve">FALSE 1643</t>
  </si>
  <si>
    <t xml:space="preserve">Sagittaria trifolia</t>
  </si>
  <si>
    <t xml:space="preserve">https://www.inaturalist.org/observations/383150766</t>
  </si>
  <si>
    <t xml:space="preserve">FALSE 1644</t>
  </si>
  <si>
    <t xml:space="preserve">Bulbophyllum affine</t>
  </si>
  <si>
    <t xml:space="preserve">https://www.inaturalist.org/observations/383150760</t>
  </si>
  <si>
    <t xml:space="preserve">FALSE 1645</t>
  </si>
  <si>
    <t xml:space="preserve">Angelica atropurpurea</t>
  </si>
  <si>
    <t xml:space="preserve">https://www.inaturalist.org/observations/383150756</t>
  </si>
  <si>
    <t xml:space="preserve">FALSE 1646</t>
  </si>
  <si>
    <t xml:space="preserve">Anemone virginiana</t>
  </si>
  <si>
    <t xml:space="preserve">https://www.inaturalist.org/observations/383150737</t>
  </si>
  <si>
    <t xml:space="preserve">FALSE 1647</t>
  </si>
  <si>
    <t xml:space="preserve">Maurandella antirrhiniflora</t>
  </si>
  <si>
    <t xml:space="preserve">https://www.inaturalist.org/observations/383150722</t>
  </si>
  <si>
    <t xml:space="preserve">FALSE 1648</t>
  </si>
  <si>
    <t xml:space="preserve">Viburnum opulus</t>
  </si>
  <si>
    <t xml:space="preserve">https://www.inaturalist.org/observations/383150534</t>
  </si>
  <si>
    <t xml:space="preserve">FALSE 1649</t>
  </si>
  <si>
    <t xml:space="preserve">Pilosella aurantiaca</t>
  </si>
  <si>
    <t xml:space="preserve">https://www.inaturalist.org/observations/383150517</t>
  </si>
  <si>
    <t xml:space="preserve">FALSE 1650</t>
  </si>
  <si>
    <t xml:space="preserve">Nuphar variegata</t>
  </si>
  <si>
    <t xml:space="preserve">https://www.inaturalist.org/observations/383150234</t>
  </si>
  <si>
    <t xml:space="preserve">FALSE 1651</t>
  </si>
  <si>
    <t xml:space="preserve">Ageratina adenophora</t>
  </si>
  <si>
    <t xml:space="preserve">https://www.inaturalist.org/observations/383150193</t>
  </si>
  <si>
    <t xml:space="preserve">FALSE 1652</t>
  </si>
  <si>
    <t xml:space="preserve">Stachytarpheta cayennensis</t>
  </si>
  <si>
    <t xml:space="preserve">https://www.inaturalist.org/observations/383150139</t>
  </si>
  <si>
    <t xml:space="preserve">FALSE 1653</t>
  </si>
  <si>
    <t xml:space="preserve">Pterolepis glomerata</t>
  </si>
  <si>
    <t xml:space="preserve">https://www.inaturalist.org/observations/383149872</t>
  </si>
  <si>
    <t xml:space="preserve">FALSE 1654</t>
  </si>
  <si>
    <t xml:space="preserve">Chamaecrista nictitans</t>
  </si>
  <si>
    <t xml:space="preserve">https://www.inaturalist.org/observations/383149795</t>
  </si>
  <si>
    <t xml:space="preserve">FALSE 1655</t>
  </si>
  <si>
    <t xml:space="preserve">Laurelia novae-zelandiae</t>
  </si>
  <si>
    <t xml:space="preserve">https://www.inaturalist.org/observations/383149740</t>
  </si>
  <si>
    <t xml:space="preserve">FALSE 1656</t>
  </si>
  <si>
    <t xml:space="preserve">Carduus nutans</t>
  </si>
  <si>
    <t xml:space="preserve">https://www.inaturalist.org/observations/383149711</t>
  </si>
  <si>
    <t xml:space="preserve">FALSE 1657</t>
  </si>
  <si>
    <t xml:space="preserve">Lilium superbum</t>
  </si>
  <si>
    <t xml:space="preserve">https://www.inaturalist.org/observations/383149703</t>
  </si>
  <si>
    <t xml:space="preserve">FALSE 1658</t>
  </si>
  <si>
    <t xml:space="preserve">Jacobaea vulgaris</t>
  </si>
  <si>
    <t xml:space="preserve">https://www.inaturalist.org/observations/383149620</t>
  </si>
  <si>
    <t xml:space="preserve">FALSE 1659</t>
  </si>
  <si>
    <t xml:space="preserve">Pseudopanax arboreus</t>
  </si>
  <si>
    <t xml:space="preserve">https://www.inaturalist.org/observations/383149579</t>
  </si>
  <si>
    <t xml:space="preserve">FALSE 1660</t>
  </si>
  <si>
    <t xml:space="preserve">Dicranopteris linearis</t>
  </si>
  <si>
    <t xml:space="preserve">https://www.inaturalist.org/observations/383149472</t>
  </si>
  <si>
    <t xml:space="preserve">FALSE 1661</t>
  </si>
  <si>
    <t xml:space="preserve">Ribes lacustre</t>
  </si>
  <si>
    <t xml:space="preserve">https://www.inaturalist.org/observations/383149434</t>
  </si>
  <si>
    <t xml:space="preserve">FALSE 1662</t>
  </si>
  <si>
    <t xml:space="preserve">Sorghum halepense</t>
  </si>
  <si>
    <t xml:space="preserve">https://www.inaturalist.org/observations/383149328</t>
  </si>
  <si>
    <t xml:space="preserve">FALSE 1663</t>
  </si>
  <si>
    <t xml:space="preserve">Parthenium hysterophorus</t>
  </si>
  <si>
    <t xml:space="preserve">https://www.inaturalist.org/observations/383149287</t>
  </si>
  <si>
    <t xml:space="preserve">FALSE 1664</t>
  </si>
  <si>
    <t xml:space="preserve">Perilla frutescens</t>
  </si>
  <si>
    <t xml:space="preserve">https://www.inaturalist.org/observations/383149283</t>
  </si>
  <si>
    <t xml:space="preserve">FALSE 1665</t>
  </si>
  <si>
    <t xml:space="preserve">Dipsacus fullonum</t>
  </si>
  <si>
    <t xml:space="preserve">https://www.inaturalist.org/observations/383149033</t>
  </si>
  <si>
    <t xml:space="preserve">FALSE 1666</t>
  </si>
  <si>
    <t xml:space="preserve">Parthenium integrifolium</t>
  </si>
  <si>
    <t xml:space="preserve">https://www.inaturalist.org/observations/383148831</t>
  </si>
  <si>
    <t xml:space="preserve">FALSE 1667</t>
  </si>
  <si>
    <t xml:space="preserve">Oxalis purpurea</t>
  </si>
  <si>
    <t xml:space="preserve">https://www.inaturalist.org/observations/383148772</t>
  </si>
  <si>
    <t xml:space="preserve">FALSE 1668</t>
  </si>
  <si>
    <t xml:space="preserve">Rubus parviflorus</t>
  </si>
  <si>
    <t xml:space="preserve">https://www.inaturalist.org/observations/383148724</t>
  </si>
  <si>
    <t xml:space="preserve">FALSE 1669</t>
  </si>
  <si>
    <t xml:space="preserve">Chelidonium asiaticum</t>
  </si>
  <si>
    <t xml:space="preserve">https://www.inaturalist.org/observations/383148681</t>
  </si>
  <si>
    <t xml:space="preserve">FALSE 1670</t>
  </si>
  <si>
    <t xml:space="preserve">Hibiscus syriacus</t>
  </si>
  <si>
    <t xml:space="preserve">https://www.inaturalist.org/observations/383148616</t>
  </si>
  <si>
    <t xml:space="preserve">FALSE 1671</t>
  </si>
  <si>
    <t xml:space="preserve">Polanisia dodecandra</t>
  </si>
  <si>
    <t xml:space="preserve">https://www.inaturalist.org/observations/383148557</t>
  </si>
  <si>
    <t xml:space="preserve">FALSE 1672</t>
  </si>
  <si>
    <t xml:space="preserve">Oplopanax horridus</t>
  </si>
  <si>
    <t xml:space="preserve">https://www.inaturalist.org/observations/383148485</t>
  </si>
  <si>
    <t xml:space="preserve">FALSE 1673</t>
  </si>
  <si>
    <t xml:space="preserve">Viola pedata</t>
  </si>
  <si>
    <t xml:space="preserve">https://www.inaturalist.org/observations/383148478</t>
  </si>
  <si>
    <t xml:space="preserve">FALSE 1674</t>
  </si>
  <si>
    <t xml:space="preserve">Heliconia psittacorum</t>
  </si>
  <si>
    <t xml:space="preserve">https://www.inaturalist.org/observations/383148428</t>
  </si>
  <si>
    <t xml:space="preserve">FALSE 1675</t>
  </si>
  <si>
    <t xml:space="preserve">Chamaebatia foliolosa</t>
  </si>
  <si>
    <t xml:space="preserve">https://www.inaturalist.org/observations/383148333</t>
  </si>
  <si>
    <t xml:space="preserve">FALSE 1676</t>
  </si>
  <si>
    <t xml:space="preserve">Leucaena leucocephala</t>
  </si>
  <si>
    <t xml:space="preserve">https://www.inaturalist.org/observations/383148252</t>
  </si>
  <si>
    <t xml:space="preserve">FALSE 1677</t>
  </si>
  <si>
    <t xml:space="preserve">Clematis pitcheri</t>
  </si>
  <si>
    <t xml:space="preserve">https://www.inaturalist.org/observations/383148232</t>
  </si>
  <si>
    <t xml:space="preserve">FALSE 1678</t>
  </si>
  <si>
    <t xml:space="preserve">Mollugo verticillata</t>
  </si>
  <si>
    <t xml:space="preserve">https://www.inaturalist.org/observations/383148105</t>
  </si>
  <si>
    <t xml:space="preserve">FALSE 1679</t>
  </si>
  <si>
    <t xml:space="preserve">Betula populifolia</t>
  </si>
  <si>
    <t xml:space="preserve">https://www.inaturalist.org/observations/383148094</t>
  </si>
  <si>
    <t xml:space="preserve">FALSE 1680</t>
  </si>
  <si>
    <t xml:space="preserve">Platanthera peramoena</t>
  </si>
  <si>
    <t xml:space="preserve">https://www.inaturalist.org/observations/383148092</t>
  </si>
  <si>
    <t xml:space="preserve">FALSE 1681</t>
  </si>
  <si>
    <t xml:space="preserve">Quercus kelloggii</t>
  </si>
  <si>
    <t xml:space="preserve">https://www.inaturalist.org/observations/383148049</t>
  </si>
  <si>
    <t xml:space="preserve">FALSE 1682</t>
  </si>
  <si>
    <t xml:space="preserve">Mycelis muralis</t>
  </si>
  <si>
    <t xml:space="preserve">https://www.inaturalist.org/observations/383147985</t>
  </si>
  <si>
    <t xml:space="preserve">FALSE 1683</t>
  </si>
  <si>
    <t xml:space="preserve">Acer saccharinum</t>
  </si>
  <si>
    <t xml:space="preserve">https://www.inaturalist.org/observations/383147896</t>
  </si>
  <si>
    <t xml:space="preserve">FALSE 1684</t>
  </si>
  <si>
    <t xml:space="preserve">Ptilotus polystachyus</t>
  </si>
  <si>
    <t xml:space="preserve">https://www.inaturalist.org/observations/383147808</t>
  </si>
  <si>
    <t xml:space="preserve">FALSE 1685</t>
  </si>
  <si>
    <t xml:space="preserve">Grevillea vestita</t>
  </si>
  <si>
    <t xml:space="preserve">https://www.inaturalist.org/observations/383147734</t>
  </si>
  <si>
    <t xml:space="preserve">FALSE 1686</t>
  </si>
  <si>
    <t xml:space="preserve">Calectasia narragara</t>
  </si>
  <si>
    <t xml:space="preserve">https://www.inaturalist.org/observations/383147687</t>
  </si>
  <si>
    <t xml:space="preserve">FALSE 1687</t>
  </si>
  <si>
    <t xml:space="preserve">Oreocarya abortiva</t>
  </si>
  <si>
    <t xml:space="preserve">https://www.inaturalist.org/observations/383147622</t>
  </si>
  <si>
    <t xml:space="preserve">FALSE 1688</t>
  </si>
  <si>
    <t xml:space="preserve">Pinus longaeva</t>
  </si>
  <si>
    <t xml:space="preserve">https://www.inaturalist.org/observations/383147618</t>
  </si>
  <si>
    <t xml:space="preserve">FALSE 1689</t>
  </si>
  <si>
    <t xml:space="preserve">Fraxinus pennsylvanica</t>
  </si>
  <si>
    <t xml:space="preserve">https://www.inaturalist.org/observations/383147508</t>
  </si>
  <si>
    <t xml:space="preserve">FALSE 1690</t>
  </si>
  <si>
    <t xml:space="preserve">Kalmia angustifolia</t>
  </si>
  <si>
    <t xml:space="preserve">https://www.inaturalist.org/observations/383147349</t>
  </si>
  <si>
    <t xml:space="preserve">FALSE 1691</t>
  </si>
  <si>
    <t xml:space="preserve">Ulmus americana</t>
  </si>
  <si>
    <t xml:space="preserve">https://www.inaturalist.org/observations/383147232</t>
  </si>
  <si>
    <t xml:space="preserve">FALSE 1692</t>
  </si>
  <si>
    <t xml:space="preserve">Calochortus splendens</t>
  </si>
  <si>
    <t xml:space="preserve">https://www.inaturalist.org/observations/383147199</t>
  </si>
  <si>
    <t xml:space="preserve">FALSE 1693</t>
  </si>
  <si>
    <t xml:space="preserve">Dudleya lanceolata</t>
  </si>
  <si>
    <t xml:space="preserve">https://www.inaturalist.org/observations/383147014</t>
  </si>
  <si>
    <t xml:space="preserve">FALSE 1694</t>
  </si>
  <si>
    <t xml:space="preserve">Pinus torreyana</t>
  </si>
  <si>
    <t xml:space="preserve">https://www.inaturalist.org/observations/383146987</t>
  </si>
  <si>
    <t xml:space="preserve">FALSE 1695</t>
  </si>
  <si>
    <t xml:space="preserve">Tilia americana</t>
  </si>
  <si>
    <t xml:space="preserve">https://www.inaturalist.org/observations/383146971</t>
  </si>
  <si>
    <t xml:space="preserve">FALSE 1696</t>
  </si>
  <si>
    <t xml:space="preserve">Cleomella serrulata</t>
  </si>
  <si>
    <t xml:space="preserve">https://www.inaturalist.org/observations/383146934</t>
  </si>
  <si>
    <t xml:space="preserve">FALSE 1697</t>
  </si>
  <si>
    <t xml:space="preserve">Porella platyphylla</t>
  </si>
  <si>
    <t xml:space="preserve">https://www.inaturalist.org/observations/383146905</t>
  </si>
  <si>
    <t xml:space="preserve">FALSE 1698</t>
  </si>
  <si>
    <t xml:space="preserve">Rhynchospora alba</t>
  </si>
  <si>
    <t xml:space="preserve">https://www.inaturalist.org/observations/383146864</t>
  </si>
  <si>
    <t xml:space="preserve">FALSE 1699</t>
  </si>
  <si>
    <t xml:space="preserve">Quercus rubra</t>
  </si>
  <si>
    <t xml:space="preserve">https://www.inaturalist.org/observations/383146647</t>
  </si>
  <si>
    <t xml:space="preserve">FALSE 1700</t>
  </si>
  <si>
    <t xml:space="preserve">Arisaema dracontium</t>
  </si>
  <si>
    <t xml:space="preserve">https://www.inaturalist.org/observations/383146607</t>
  </si>
  <si>
    <t xml:space="preserve">FALSE 1701</t>
  </si>
  <si>
    <t xml:space="preserve">Empetrum nigrum</t>
  </si>
  <si>
    <t xml:space="preserve">https://www.inaturalist.org/observations/383146577</t>
  </si>
  <si>
    <t xml:space="preserve">FALSE 1702</t>
  </si>
  <si>
    <t xml:space="preserve">Drynaria coronans</t>
  </si>
  <si>
    <t xml:space="preserve">https://www.inaturalist.org/observations/383146514</t>
  </si>
  <si>
    <t xml:space="preserve">FALSE 1703</t>
  </si>
  <si>
    <t xml:space="preserve">Leptomeria drupacea</t>
  </si>
  <si>
    <t xml:space="preserve">https://www.inaturalist.org/observations/383146494</t>
  </si>
  <si>
    <t xml:space="preserve">FALSE 1704</t>
  </si>
  <si>
    <t xml:space="preserve">Asparagus officinalis</t>
  </si>
  <si>
    <t xml:space="preserve">https://www.inaturalist.org/observations/383146470</t>
  </si>
  <si>
    <t xml:space="preserve">FALSE 1705</t>
  </si>
  <si>
    <t xml:space="preserve">Rhus copallinum</t>
  </si>
  <si>
    <t xml:space="preserve">https://www.inaturalist.org/observations/383146458</t>
  </si>
  <si>
    <t xml:space="preserve">FALSE 1706</t>
  </si>
  <si>
    <t xml:space="preserve">Castilleja raupii</t>
  </si>
  <si>
    <t xml:space="preserve">https://www.inaturalist.org/observations/383146457</t>
  </si>
  <si>
    <t xml:space="preserve">FALSE 1707</t>
  </si>
  <si>
    <t xml:space="preserve">Potentilla recta</t>
  </si>
  <si>
    <t xml:space="preserve">https://www.inaturalist.org/observations/383146202</t>
  </si>
  <si>
    <t xml:space="preserve">FALSE 1708</t>
  </si>
  <si>
    <t xml:space="preserve">Maianthemum racemosum</t>
  </si>
  <si>
    <t xml:space="preserve">https://www.inaturalist.org/observations/383146107</t>
  </si>
  <si>
    <t xml:space="preserve">FALSE 1709</t>
  </si>
  <si>
    <t xml:space="preserve">Anigozanthos humilis</t>
  </si>
  <si>
    <t xml:space="preserve">https://www.inaturalist.org/observations/383146072</t>
  </si>
  <si>
    <t xml:space="preserve">FALSE 1710</t>
  </si>
  <si>
    <t xml:space="preserve">Gaylussacia baccata</t>
  </si>
  <si>
    <t xml:space="preserve">https://www.inaturalist.org/observations/383146049</t>
  </si>
  <si>
    <t xml:space="preserve">FALSE 1711</t>
  </si>
  <si>
    <t xml:space="preserve">Erythronium oregonum</t>
  </si>
  <si>
    <t xml:space="preserve">https://www.inaturalist.org/observations/383146001</t>
  </si>
  <si>
    <t xml:space="preserve">FALSE 1712</t>
  </si>
  <si>
    <t xml:space="preserve">Primula hendersonii</t>
  </si>
  <si>
    <t xml:space="preserve">https://www.inaturalist.org/observations/383146000</t>
  </si>
  <si>
    <t xml:space="preserve">FALSE 1713</t>
  </si>
  <si>
    <t xml:space="preserve">Calypso bulbosa</t>
  </si>
  <si>
    <t xml:space="preserve">https://www.inaturalist.org/observations/383145993</t>
  </si>
  <si>
    <t xml:space="preserve">FALSE 1714</t>
  </si>
  <si>
    <t xml:space="preserve">Pinus banksiana</t>
  </si>
  <si>
    <t xml:space="preserve">https://www.inaturalist.org/observations/383145915</t>
  </si>
  <si>
    <t xml:space="preserve">FALSE 1715</t>
  </si>
  <si>
    <t xml:space="preserve">Ilex verticillata</t>
  </si>
  <si>
    <t xml:space="preserve">https://www.inaturalist.org/observations/383145816</t>
  </si>
  <si>
    <t xml:space="preserve">FALSE 1716</t>
  </si>
  <si>
    <t xml:space="preserve">Lachenalia reflexa</t>
  </si>
  <si>
    <t xml:space="preserve">https://www.inaturalist.org/observations/383145774</t>
  </si>
  <si>
    <t xml:space="preserve">FALSE 1717</t>
  </si>
  <si>
    <t xml:space="preserve">Burchardia congesta</t>
  </si>
  <si>
    <t xml:space="preserve">https://www.inaturalist.org/observations/383145765</t>
  </si>
  <si>
    <t xml:space="preserve">FALSE 1718</t>
  </si>
  <si>
    <t xml:space="preserve">Youngia japonica</t>
  </si>
  <si>
    <t xml:space="preserve">https://www.inaturalist.org/observations/383145730</t>
  </si>
  <si>
    <t xml:space="preserve">FALSE 1719</t>
  </si>
  <si>
    <t xml:space="preserve">Lilium canadense</t>
  </si>
  <si>
    <t xml:space="preserve">https://www.inaturalist.org/observations/383145615</t>
  </si>
  <si>
    <t xml:space="preserve">FALSE 1720</t>
  </si>
  <si>
    <t xml:space="preserve">Betula papyrifera</t>
  </si>
  <si>
    <t xml:space="preserve">https://www.inaturalist.org/observations/383145590</t>
  </si>
  <si>
    <t xml:space="preserve">FALSE 1721</t>
  </si>
  <si>
    <t xml:space="preserve">Andromeda polifolia</t>
  </si>
  <si>
    <t xml:space="preserve">https://www.inaturalist.org/observations/383145570</t>
  </si>
  <si>
    <t xml:space="preserve">FALSE 1722</t>
  </si>
  <si>
    <t xml:space="preserve">Verbesina alternifolia</t>
  </si>
  <si>
    <t xml:space="preserve">https://www.inaturalist.org/observations/383145543</t>
  </si>
  <si>
    <t xml:space="preserve">FALSE 1723</t>
  </si>
  <si>
    <t xml:space="preserve">Conocephalum salebrosum</t>
  </si>
  <si>
    <t xml:space="preserve">https://www.inaturalist.org/observations/383145445</t>
  </si>
  <si>
    <t xml:space="preserve">FALSE 1724</t>
  </si>
  <si>
    <t xml:space="preserve">Lewisia columbiana</t>
  </si>
  <si>
    <t xml:space="preserve">https://www.inaturalist.org/observations/383145432</t>
  </si>
  <si>
    <t xml:space="preserve">FALSE 1725</t>
  </si>
  <si>
    <t xml:space="preserve">Gaultheria shallon</t>
  </si>
  <si>
    <t xml:space="preserve">https://www.inaturalist.org/observations/383145337</t>
  </si>
  <si>
    <t xml:space="preserve">FALSE 1726</t>
  </si>
  <si>
    <t xml:space="preserve">Eryngium yuccifolium</t>
  </si>
  <si>
    <t xml:space="preserve">https://www.inaturalist.org/observations/383145168</t>
  </si>
  <si>
    <t xml:space="preserve">FALSE 1727</t>
  </si>
  <si>
    <t xml:space="preserve">Ipomoea pandurata</t>
  </si>
  <si>
    <t xml:space="preserve">https://www.inaturalist.org/observations/383145142</t>
  </si>
  <si>
    <t xml:space="preserve">FALSE 1728</t>
  </si>
  <si>
    <t xml:space="preserve">Lobelia inflata</t>
  </si>
  <si>
    <t xml:space="preserve">https://www.inaturalist.org/observations/383145101</t>
  </si>
  <si>
    <t xml:space="preserve">FALSE 1729</t>
  </si>
  <si>
    <t xml:space="preserve">Brasenia schreberi</t>
  </si>
  <si>
    <t xml:space="preserve">https://www.inaturalist.org/observations/383145017</t>
  </si>
  <si>
    <t xml:space="preserve">FALSE 1730</t>
  </si>
  <si>
    <t xml:space="preserve">Portulaca amilis</t>
  </si>
  <si>
    <t xml:space="preserve">https://www.inaturalist.org/observations/383145016</t>
  </si>
  <si>
    <t xml:space="preserve">FALSE 1731</t>
  </si>
  <si>
    <t xml:space="preserve">Asphodelus fistulosus</t>
  </si>
  <si>
    <t xml:space="preserve">https://www.inaturalist.org/observations/383144954</t>
  </si>
  <si>
    <t xml:space="preserve">FALSE 1732</t>
  </si>
  <si>
    <t xml:space="preserve">Torenia concolor</t>
  </si>
  <si>
    <t xml:space="preserve">https://www.inaturalist.org/observations/383144928</t>
  </si>
  <si>
    <t xml:space="preserve">FALSE 1733</t>
  </si>
  <si>
    <t xml:space="preserve">Pimelea nivea</t>
  </si>
  <si>
    <t xml:space="preserve">https://www.inaturalist.org/observations/383144919</t>
  </si>
  <si>
    <t xml:space="preserve">FALSE 1734</t>
  </si>
  <si>
    <t xml:space="preserve">Salvia lyrata</t>
  </si>
  <si>
    <t xml:space="preserve">https://www.inaturalist.org/observations/383144917</t>
  </si>
  <si>
    <t xml:space="preserve">FALSE 1735</t>
  </si>
  <si>
    <t xml:space="preserve">Sonchus arvensis</t>
  </si>
  <si>
    <t xml:space="preserve">https://www.inaturalist.org/observations/383144870</t>
  </si>
  <si>
    <t xml:space="preserve">FALSE 1736</t>
  </si>
  <si>
    <t xml:space="preserve">Oenothera coronopifolia</t>
  </si>
  <si>
    <t xml:space="preserve">https://www.inaturalist.org/observations/383144752</t>
  </si>
  <si>
    <t xml:space="preserve">FALSE 1737</t>
  </si>
  <si>
    <t xml:space="preserve">Jatropha integerrima</t>
  </si>
  <si>
    <t xml:space="preserve">https://www.inaturalist.org/observations/383144721</t>
  </si>
  <si>
    <t xml:space="preserve">FALSE 1738</t>
  </si>
  <si>
    <t xml:space="preserve">Mirabilis jalapa</t>
  </si>
  <si>
    <t xml:space="preserve">https://www.inaturalist.org/observations/383144662</t>
  </si>
  <si>
    <t xml:space="preserve">FALSE 1739</t>
  </si>
  <si>
    <t xml:space="preserve">Mentzelia scabra</t>
  </si>
  <si>
    <t xml:space="preserve">https://www.inaturalist.org/observations/383144593</t>
  </si>
  <si>
    <t xml:space="preserve">FALSE 1740</t>
  </si>
  <si>
    <t xml:space="preserve">Xyris montana</t>
  </si>
  <si>
    <t xml:space="preserve">https://www.inaturalist.org/observations/383144575</t>
  </si>
  <si>
    <t xml:space="preserve">FALSE 1741</t>
  </si>
  <si>
    <t xml:space="preserve">Symphoricarpos albus</t>
  </si>
  <si>
    <t xml:space="preserve">https://www.inaturalist.org/observations/383144432</t>
  </si>
  <si>
    <t xml:space="preserve">FALSE 1742</t>
  </si>
  <si>
    <t xml:space="preserve">Rhodiola integrifolia integrifolia</t>
  </si>
  <si>
    <t xml:space="preserve">https://www.inaturalist.org/observations/383144404</t>
  </si>
  <si>
    <t xml:space="preserve">FALSE 1743</t>
  </si>
  <si>
    <t xml:space="preserve">Utricularia cornuta</t>
  </si>
  <si>
    <t xml:space="preserve">https://www.inaturalist.org/observations/383144401</t>
  </si>
  <si>
    <t xml:space="preserve">FALSE 1744</t>
  </si>
  <si>
    <t xml:space="preserve">Dioscorea villosa</t>
  </si>
  <si>
    <t xml:space="preserve">https://www.inaturalist.org/observations/383144302</t>
  </si>
  <si>
    <t xml:space="preserve">FALSE 1745</t>
  </si>
  <si>
    <t xml:space="preserve">Abutilon theophrasti</t>
  </si>
  <si>
    <t xml:space="preserve">https://www.inaturalist.org/observations/383144256</t>
  </si>
  <si>
    <t xml:space="preserve">FALSE 1746</t>
  </si>
  <si>
    <t xml:space="preserve">Croton monanthogynus</t>
  </si>
  <si>
    <t xml:space="preserve">https://www.inaturalist.org/observations/383144231</t>
  </si>
  <si>
    <t xml:space="preserve">FALSE 1747</t>
  </si>
  <si>
    <t xml:space="preserve">Monarda punctata</t>
  </si>
  <si>
    <t xml:space="preserve">https://www.inaturalist.org/observations/383144227</t>
  </si>
  <si>
    <t xml:space="preserve">FALSE 1748</t>
  </si>
  <si>
    <t xml:space="preserve">Aralia racemosa</t>
  </si>
  <si>
    <t xml:space="preserve">https://www.inaturalist.org/observations/383144193</t>
  </si>
  <si>
    <t xml:space="preserve">FALSE 1749</t>
  </si>
  <si>
    <t xml:space="preserve">Portulaca pilosa</t>
  </si>
  <si>
    <t xml:space="preserve">https://www.inaturalist.org/observations/383144039</t>
  </si>
  <si>
    <t xml:space="preserve">FALSE 1750</t>
  </si>
  <si>
    <t xml:space="preserve">Alseuosmia macrophylla</t>
  </si>
  <si>
    <t xml:space="preserve">https://www.inaturalist.org/observations/383144021</t>
  </si>
  <si>
    <t xml:space="preserve">FALSE 1751</t>
  </si>
  <si>
    <t xml:space="preserve">Nidularium procerum</t>
  </si>
  <si>
    <t xml:space="preserve">https://www.inaturalist.org/observations/383143997</t>
  </si>
  <si>
    <t xml:space="preserve">FALSE 1752</t>
  </si>
  <si>
    <t xml:space="preserve">Simmondsia chinensis</t>
  </si>
  <si>
    <t xml:space="preserve">https://www.inaturalist.org/observations/383143808</t>
  </si>
  <si>
    <t xml:space="preserve">FALSE 1753</t>
  </si>
  <si>
    <t xml:space="preserve">Allium tuberosum</t>
  </si>
  <si>
    <t xml:space="preserve">https://www.inaturalist.org/observations/383143801</t>
  </si>
  <si>
    <t xml:space="preserve">FALSE 1754</t>
  </si>
  <si>
    <t xml:space="preserve">Carnegiea gigantea</t>
  </si>
  <si>
    <t xml:space="preserve">https://www.inaturalist.org/observations/383143720</t>
  </si>
  <si>
    <t xml:space="preserve">FALSE 1755</t>
  </si>
  <si>
    <t xml:space="preserve">Pinus ponderosa</t>
  </si>
  <si>
    <t xml:space="preserve">https://www.inaturalist.org/observations/383143703</t>
  </si>
  <si>
    <t xml:space="preserve">FALSE 1756</t>
  </si>
  <si>
    <t xml:space="preserve">Erigeron canadensis</t>
  </si>
  <si>
    <t xml:space="preserve">https://www.inaturalist.org/observations/383143682</t>
  </si>
  <si>
    <t xml:space="preserve">FALSE 1757</t>
  </si>
  <si>
    <t xml:space="preserve">Rubus rolfei</t>
  </si>
  <si>
    <t xml:space="preserve">https://www.inaturalist.org/observations/383143596</t>
  </si>
  <si>
    <t xml:space="preserve">FALSE 1758</t>
  </si>
  <si>
    <t xml:space="preserve">Heliconia irrasa</t>
  </si>
  <si>
    <t xml:space="preserve">https://www.inaturalist.org/observations/383143415</t>
  </si>
  <si>
    <t xml:space="preserve">FALSE 1759</t>
  </si>
  <si>
    <t xml:space="preserve">Malvastrum coromandelianum</t>
  </si>
  <si>
    <t xml:space="preserve">https://www.inaturalist.org/observations/383143329</t>
  </si>
  <si>
    <t xml:space="preserve">FALSE 1760</t>
  </si>
  <si>
    <t xml:space="preserve">Macroptilium lathyroides</t>
  </si>
  <si>
    <t xml:space="preserve">https://www.inaturalist.org/observations/383143251</t>
  </si>
  <si>
    <t xml:space="preserve">FALSE 1761</t>
  </si>
  <si>
    <t xml:space="preserve">Nemophila maculata</t>
  </si>
  <si>
    <t xml:space="preserve">https://www.inaturalist.org/observations/383143196</t>
  </si>
  <si>
    <t xml:space="preserve">FALSE 1762</t>
  </si>
  <si>
    <t xml:space="preserve">Echium vulgare</t>
  </si>
  <si>
    <t xml:space="preserve">https://www.inaturalist.org/observations/383143049</t>
  </si>
  <si>
    <t xml:space="preserve">FALSE 1763</t>
  </si>
  <si>
    <t xml:space="preserve">Acacia verticillata</t>
  </si>
  <si>
    <t xml:space="preserve">https://www.inaturalist.org/observations/383142919</t>
  </si>
  <si>
    <t xml:space="preserve">FALSE 1764</t>
  </si>
  <si>
    <t xml:space="preserve">Larix occidentalis</t>
  </si>
  <si>
    <t xml:space="preserve">https://www.inaturalist.org/observations/383142865</t>
  </si>
  <si>
    <t xml:space="preserve">FALSE 1765</t>
  </si>
  <si>
    <t xml:space="preserve">Asplenium trichomanes</t>
  </si>
  <si>
    <t xml:space="preserve">https://www.inaturalist.org/observations/383142852</t>
  </si>
  <si>
    <t xml:space="preserve">FALSE 1766</t>
  </si>
  <si>
    <t xml:space="preserve">Rhodanthe pygmaea</t>
  </si>
  <si>
    <t xml:space="preserve">https://www.inaturalist.org/observations/383142821</t>
  </si>
  <si>
    <t xml:space="preserve">FALSE 1767</t>
  </si>
  <si>
    <t xml:space="preserve">Asterolasia trymalioides</t>
  </si>
  <si>
    <t xml:space="preserve">https://www.inaturalist.org/observations/383142806</t>
  </si>
  <si>
    <t xml:space="preserve">FALSE 1768</t>
  </si>
  <si>
    <t xml:space="preserve">Asplenium rhizophyllum</t>
  </si>
  <si>
    <t xml:space="preserve">https://www.inaturalist.org/observations/383142796</t>
  </si>
  <si>
    <t xml:space="preserve">FALSE 1769</t>
  </si>
  <si>
    <t xml:space="preserve">Quercus garryana</t>
  </si>
  <si>
    <t xml:space="preserve">https://www.inaturalist.org/observations/383142748</t>
  </si>
  <si>
    <t xml:space="preserve">FALSE 1770</t>
  </si>
  <si>
    <t xml:space="preserve">Quercus gambelii</t>
  </si>
  <si>
    <t xml:space="preserve">https://www.inaturalist.org/observations/383142735</t>
  </si>
  <si>
    <t xml:space="preserve">FALSE 1771</t>
  </si>
  <si>
    <t xml:space="preserve">Cystopteris bulbifera</t>
  </si>
  <si>
    <t xml:space="preserve">https://www.inaturalist.org/observations/383142718</t>
  </si>
  <si>
    <t xml:space="preserve">FALSE 1772</t>
  </si>
  <si>
    <t xml:space="preserve">Toxicodendron orientale</t>
  </si>
  <si>
    <t xml:space="preserve">https://www.inaturalist.org/observations/383142680</t>
  </si>
  <si>
    <t xml:space="preserve">FALSE 1773</t>
  </si>
  <si>
    <t xml:space="preserve">Berberis aquifolium</t>
  </si>
  <si>
    <t xml:space="preserve">https://www.inaturalist.org/observations/383142650</t>
  </si>
  <si>
    <t xml:space="preserve">FALSE 1774</t>
  </si>
  <si>
    <t xml:space="preserve">Pinus contorta</t>
  </si>
  <si>
    <t xml:space="preserve">https://www.inaturalist.org/observations/383142631</t>
  </si>
  <si>
    <t xml:space="preserve">FALSE 1775</t>
  </si>
  <si>
    <t xml:space="preserve">Cornus canadensis</t>
  </si>
  <si>
    <t xml:space="preserve">https://www.inaturalist.org/observations/383142605</t>
  </si>
  <si>
    <t xml:space="preserve">FALSE 1776</t>
  </si>
  <si>
    <t xml:space="preserve">Asplenium viride</t>
  </si>
  <si>
    <t xml:space="preserve">https://www.inaturalist.org/observations/383142551</t>
  </si>
  <si>
    <t xml:space="preserve">FALSE 1777</t>
  </si>
  <si>
    <t xml:space="preserve">Eriophorum virginicum</t>
  </si>
  <si>
    <t xml:space="preserve">https://www.inaturalist.org/observations/383142462</t>
  </si>
  <si>
    <t xml:space="preserve">FALSE 1778</t>
  </si>
  <si>
    <t xml:space="preserve">Pseudognaphalium affine</t>
  </si>
  <si>
    <t xml:space="preserve">https://www.inaturalist.org/observations/383142291</t>
  </si>
  <si>
    <t xml:space="preserve">FALSE 1779</t>
  </si>
  <si>
    <t xml:space="preserve">Palicourea violacea</t>
  </si>
  <si>
    <t xml:space="preserve">https://www.inaturalist.org/observations/383142278</t>
  </si>
  <si>
    <t xml:space="preserve">FALSE 1780</t>
  </si>
  <si>
    <t xml:space="preserve">Lupinus polyphyllus</t>
  </si>
  <si>
    <t xml:space="preserve">https://www.inaturalist.org/observations/383142230</t>
  </si>
  <si>
    <t xml:space="preserve">FALSE 1781</t>
  </si>
  <si>
    <t xml:space="preserve">Asclepias speciosa</t>
  </si>
  <si>
    <t xml:space="preserve">https://www.inaturalist.org/observations/383142188</t>
  </si>
  <si>
    <t xml:space="preserve">FALSE 1782</t>
  </si>
  <si>
    <t xml:space="preserve">Phleum pratense</t>
  </si>
  <si>
    <t xml:space="preserve">https://www.inaturalist.org/observations/383142085</t>
  </si>
  <si>
    <t xml:space="preserve">FALSE 1783</t>
  </si>
  <si>
    <t xml:space="preserve">Metrosideros rugosa</t>
  </si>
  <si>
    <t xml:space="preserve">https://www.inaturalist.org/observations/383141951</t>
  </si>
  <si>
    <t xml:space="preserve">FALSE 1784</t>
  </si>
  <si>
    <t xml:space="preserve">Shortia rotundifolia</t>
  </si>
  <si>
    <t xml:space="preserve">https://www.inaturalist.org/observations/383141896</t>
  </si>
  <si>
    <t xml:space="preserve">FALSE 1785</t>
  </si>
  <si>
    <t xml:space="preserve">Fatoua villosa</t>
  </si>
  <si>
    <t xml:space="preserve">https://www.inaturalist.org/observations/383141701</t>
  </si>
  <si>
    <t xml:space="preserve">FALSE 1786</t>
  </si>
  <si>
    <t xml:space="preserve">Aralia elata</t>
  </si>
  <si>
    <t xml:space="preserve">https://www.inaturalist.org/observations/383141615</t>
  </si>
  <si>
    <t xml:space="preserve">FALSE 1787</t>
  </si>
  <si>
    <t xml:space="preserve">Gaylussacia bigeloviana</t>
  </si>
  <si>
    <t xml:space="preserve">https://www.inaturalist.org/observations/383141577</t>
  </si>
  <si>
    <t xml:space="preserve">FALSE 1788</t>
  </si>
  <si>
    <t xml:space="preserve">Tipularia discolor</t>
  </si>
  <si>
    <t xml:space="preserve">https://www.inaturalist.org/observations/383141405</t>
  </si>
  <si>
    <t xml:space="preserve">FALSE 1789</t>
  </si>
  <si>
    <t xml:space="preserve">Nicandra physalodes</t>
  </si>
  <si>
    <t xml:space="preserve">https://www.inaturalist.org/observations/383141135</t>
  </si>
  <si>
    <t xml:space="preserve">FALSE 1790</t>
  </si>
  <si>
    <t xml:space="preserve">Phacelia platycarpa</t>
  </si>
  <si>
    <t xml:space="preserve">https://www.inaturalist.org/observations/383141125</t>
  </si>
  <si>
    <t xml:space="preserve">FALSE 1791</t>
  </si>
  <si>
    <t xml:space="preserve">Erica lusitanica</t>
  </si>
  <si>
    <t xml:space="preserve">https://www.inaturalist.org/observations/383141099</t>
  </si>
  <si>
    <t xml:space="preserve">FALSE 1792</t>
  </si>
  <si>
    <t xml:space="preserve">Platanthera dilatata</t>
  </si>
  <si>
    <t xml:space="preserve">https://www.inaturalist.org/observations/383140945</t>
  </si>
  <si>
    <t xml:space="preserve">FALSE 1793</t>
  </si>
  <si>
    <t xml:space="preserve">Hedera helix</t>
  </si>
  <si>
    <t xml:space="preserve">https://www.inaturalist.org/observations/383140919</t>
  </si>
  <si>
    <t xml:space="preserve">FALSE 1794</t>
  </si>
  <si>
    <t xml:space="preserve">Eutrochium maculatum</t>
  </si>
  <si>
    <t xml:space="preserve">https://www.inaturalist.org/observations/383140908</t>
  </si>
  <si>
    <t xml:space="preserve">FALSE 1795</t>
  </si>
  <si>
    <t xml:space="preserve">Hypolaena fastigiata</t>
  </si>
  <si>
    <t xml:space="preserve">https://www.inaturalist.org/observations/383140823</t>
  </si>
  <si>
    <t xml:space="preserve">FALSE 1796</t>
  </si>
  <si>
    <t xml:space="preserve">Bossiaea heterophylla</t>
  </si>
  <si>
    <t xml:space="preserve">https://www.inaturalist.org/observations/383140820</t>
  </si>
  <si>
    <t xml:space="preserve">FALSE 1797</t>
  </si>
  <si>
    <t xml:space="preserve">Aerva javanica</t>
  </si>
  <si>
    <t xml:space="preserve">https://www.inaturalist.org/observations/383140642</t>
  </si>
  <si>
    <t xml:space="preserve">FALSE 1798</t>
  </si>
  <si>
    <t xml:space="preserve">Solidago virgaurea</t>
  </si>
  <si>
    <t xml:space="preserve">https://www.inaturalist.org/observations/383140529</t>
  </si>
  <si>
    <t xml:space="preserve">FALSE 1799</t>
  </si>
  <si>
    <t xml:space="preserve">Celastrus orbiculatus</t>
  </si>
  <si>
    <t xml:space="preserve">https://www.inaturalist.org/observations/383140410</t>
  </si>
  <si>
    <t xml:space="preserve">FALSE 1800</t>
  </si>
  <si>
    <t xml:space="preserve">Impatiens glandulifera</t>
  </si>
  <si>
    <t xml:space="preserve">https://www.inaturalist.org/observations/383140304</t>
  </si>
  <si>
    <t xml:space="preserve">FALSE 1801</t>
  </si>
  <si>
    <t xml:space="preserve">Persicaria perfoliata</t>
  </si>
  <si>
    <t xml:space="preserve">https://www.inaturalist.org/observations/383140171</t>
  </si>
  <si>
    <t xml:space="preserve">FALSE 1802</t>
  </si>
  <si>
    <t xml:space="preserve">Utricularia macrorhiza</t>
  </si>
  <si>
    <t xml:space="preserve">https://www.inaturalist.org/observations/383140089</t>
  </si>
  <si>
    <t xml:space="preserve">FALSE 1803</t>
  </si>
  <si>
    <t xml:space="preserve">Woodsia ilvensis</t>
  </si>
  <si>
    <t xml:space="preserve">https://www.inaturalist.org/observations/383140080</t>
  </si>
  <si>
    <t xml:space="preserve">FALSE 1804</t>
  </si>
  <si>
    <t xml:space="preserve">Ilex mucronata</t>
  </si>
  <si>
    <t xml:space="preserve">https://www.inaturalist.org/observations/383140023</t>
  </si>
  <si>
    <t xml:space="preserve">FALSE 1805</t>
  </si>
  <si>
    <t xml:space="preserve">Hyoscyamus niger</t>
  </si>
  <si>
    <t xml:space="preserve">https://www.inaturalist.org/observations/383139986</t>
  </si>
  <si>
    <t xml:space="preserve">FALSE 1806</t>
  </si>
  <si>
    <t xml:space="preserve">Rubus armeniacus</t>
  </si>
  <si>
    <t xml:space="preserve">https://www.inaturalist.org/observations/383139939</t>
  </si>
  <si>
    <t xml:space="preserve">FALSE 1807</t>
  </si>
  <si>
    <t xml:space="preserve">Coreopsis lanceolata</t>
  </si>
  <si>
    <t xml:space="preserve">https://www.inaturalist.org/observations/383139851</t>
  </si>
  <si>
    <t xml:space="preserve">FALSE 1808</t>
  </si>
  <si>
    <t xml:space="preserve">Melampyrum lineare</t>
  </si>
  <si>
    <t xml:space="preserve">https://www.inaturalist.org/observations/383139843</t>
  </si>
  <si>
    <t xml:space="preserve">FALSE 1809</t>
  </si>
  <si>
    <t xml:space="preserve">Anisomeles moschata</t>
  </si>
  <si>
    <t xml:space="preserve">https://www.inaturalist.org/observations/383139740</t>
  </si>
  <si>
    <t xml:space="preserve">FALSE 1810</t>
  </si>
  <si>
    <t xml:space="preserve">Acer macrophyllum</t>
  </si>
  <si>
    <t xml:space="preserve">https://www.inaturalist.org/observations/383139733</t>
  </si>
  <si>
    <t xml:space="preserve">FALSE 1811</t>
  </si>
  <si>
    <t xml:space="preserve">Sixalix atropurpurea</t>
  </si>
  <si>
    <t xml:space="preserve">https://www.inaturalist.org/observations/383139688</t>
  </si>
  <si>
    <t xml:space="preserve">FALSE 1812</t>
  </si>
  <si>
    <t xml:space="preserve">Thuja occidentalis</t>
  </si>
  <si>
    <t xml:space="preserve">https://www.inaturalist.org/observations/383139436</t>
  </si>
  <si>
    <t xml:space="preserve">FALSE 1813</t>
  </si>
  <si>
    <t xml:space="preserve">Cratoneuropsis relaxa</t>
  </si>
  <si>
    <t xml:space="preserve">https://www.inaturalist.org/observations/383139425</t>
  </si>
  <si>
    <t xml:space="preserve">FALSE 1814</t>
  </si>
  <si>
    <t xml:space="preserve">Liquidambar styraciflua</t>
  </si>
  <si>
    <t xml:space="preserve">https://www.inaturalist.org/observations/383139421</t>
  </si>
  <si>
    <t xml:space="preserve">FALSE 1815</t>
  </si>
  <si>
    <t xml:space="preserve">Hymenocallis occidentalis</t>
  </si>
  <si>
    <t xml:space="preserve">https://www.inaturalist.org/observations/383139372</t>
  </si>
  <si>
    <t xml:space="preserve">FALSE 1816</t>
  </si>
  <si>
    <t xml:space="preserve">Rhinotropis cornuta</t>
  </si>
  <si>
    <t xml:space="preserve">https://www.inaturalist.org/observations/383139227</t>
  </si>
  <si>
    <t xml:space="preserve">FALSE 1817</t>
  </si>
  <si>
    <t xml:space="preserve">Acalypha virginica</t>
  </si>
  <si>
    <t xml:space="preserve">https://www.inaturalist.org/observations/383139200</t>
  </si>
  <si>
    <t xml:space="preserve">FALSE 1818</t>
  </si>
  <si>
    <t xml:space="preserve">Cercis canadensis</t>
  </si>
  <si>
    <t xml:space="preserve">https://www.inaturalist.org/observations/383139197</t>
  </si>
  <si>
    <t xml:space="preserve">FALSE 1819</t>
  </si>
  <si>
    <t xml:space="preserve">Toxicodendron radicans</t>
  </si>
  <si>
    <t xml:space="preserve">https://www.inaturalist.org/observations/383139186</t>
  </si>
  <si>
    <t xml:space="preserve">FALSE 1820</t>
  </si>
  <si>
    <t xml:space="preserve">Stenaria nigricans</t>
  </si>
  <si>
    <t xml:space="preserve">https://www.inaturalist.org/observations/383139183</t>
  </si>
  <si>
    <t xml:space="preserve">FALSE 1821</t>
  </si>
  <si>
    <t xml:space="preserve">Insects, Arachnids, and Crustaceans</t>
  </si>
  <si>
    <t xml:space="preserve">Plutella xylostella</t>
  </si>
  <si>
    <t xml:space="preserve">https://www.inaturalist.org/observations/383182669</t>
  </si>
  <si>
    <t xml:space="preserve">FALSE 1822</t>
  </si>
  <si>
    <t xml:space="preserve">Apis mellifera</t>
  </si>
  <si>
    <t xml:space="preserve">https://www.inaturalist.org/observations/383182478</t>
  </si>
  <si>
    <t xml:space="preserve">FALSE 1823</t>
  </si>
  <si>
    <t xml:space="preserve">Xanthotype</t>
  </si>
  <si>
    <t xml:space="preserve">https://www.inaturalist.org/observations/383182454</t>
  </si>
  <si>
    <t xml:space="preserve">FALSE 1824</t>
  </si>
  <si>
    <t xml:space="preserve">Heraclides rumiko</t>
  </si>
  <si>
    <t xml:space="preserve">https://www.inaturalist.org/observations/383182112</t>
  </si>
  <si>
    <t xml:space="preserve">FALSE 1825</t>
  </si>
  <si>
    <t xml:space="preserve">Steatoda triangulosa</t>
  </si>
  <si>
    <t xml:space="preserve">https://www.inaturalist.org/observations/383181266</t>
  </si>
  <si>
    <t xml:space="preserve">FALSE 1826</t>
  </si>
  <si>
    <t xml:space="preserve">Danaus plexippus</t>
  </si>
  <si>
    <t xml:space="preserve">https://www.inaturalist.org/observations/383181170</t>
  </si>
  <si>
    <t xml:space="preserve">FALSE 1827</t>
  </si>
  <si>
    <t xml:space="preserve">Bombus griseocollis</t>
  </si>
  <si>
    <t xml:space="preserve">https://www.inaturalist.org/observations/383181160</t>
  </si>
  <si>
    <t xml:space="preserve">FALSE 1828</t>
  </si>
  <si>
    <t xml:space="preserve">Leucania commoides</t>
  </si>
  <si>
    <t xml:space="preserve">https://www.inaturalist.org/observations/383180816</t>
  </si>
  <si>
    <t xml:space="preserve">FALSE 1829</t>
  </si>
  <si>
    <t xml:space="preserve">Salticus scenicus</t>
  </si>
  <si>
    <t xml:space="preserve">https://www.inaturalist.org/observations/383180448</t>
  </si>
  <si>
    <t xml:space="preserve">FALSE 1830</t>
  </si>
  <si>
    <t xml:space="preserve">Larinioides cornutus</t>
  </si>
  <si>
    <t xml:space="preserve">https://www.inaturalist.org/observations/383180148</t>
  </si>
  <si>
    <t xml:space="preserve">FALSE 1831</t>
  </si>
  <si>
    <t xml:space="preserve">Cicindela sexguttata</t>
  </si>
  <si>
    <t xml:space="preserve">https://www.inaturalist.org/observations/383180002</t>
  </si>
  <si>
    <t xml:space="preserve">FALSE 1832</t>
  </si>
  <si>
    <t xml:space="preserve">Coleomegilla maculata</t>
  </si>
  <si>
    <t xml:space="preserve">https://www.inaturalist.org/observations/383179878</t>
  </si>
  <si>
    <t xml:space="preserve">FALSE 1833</t>
  </si>
  <si>
    <t xml:space="preserve">Papilio polyxenes</t>
  </si>
  <si>
    <t xml:space="preserve">https://www.inaturalist.org/observations/383179752</t>
  </si>
  <si>
    <t xml:space="preserve">FALSE 1834</t>
  </si>
  <si>
    <t xml:space="preserve">Erythemis simplicicollis</t>
  </si>
  <si>
    <t xml:space="preserve">https://www.inaturalist.org/observations/383179387</t>
  </si>
  <si>
    <t xml:space="preserve">FALSE 1835</t>
  </si>
  <si>
    <t xml:space="preserve">Celithemis eponina</t>
  </si>
  <si>
    <t xml:space="preserve">https://www.inaturalist.org/observations/383179385</t>
  </si>
  <si>
    <t xml:space="preserve">FALSE 1836</t>
  </si>
  <si>
    <t xml:space="preserve">Haematopis grataria</t>
  </si>
  <si>
    <t xml:space="preserve">https://www.inaturalist.org/observations/383179313</t>
  </si>
  <si>
    <t xml:space="preserve">FALSE 1837</t>
  </si>
  <si>
    <t xml:space="preserve">Lyssa zampa</t>
  </si>
  <si>
    <t xml:space="preserve">https://www.inaturalist.org/observations/383179307</t>
  </si>
  <si>
    <t xml:space="preserve">FALSE 1838</t>
  </si>
  <si>
    <t xml:space="preserve">Cupha erymanthis</t>
  </si>
  <si>
    <t xml:space="preserve">https://www.inaturalist.org/observations/383179304</t>
  </si>
  <si>
    <t xml:space="preserve">FALSE 1839</t>
  </si>
  <si>
    <t xml:space="preserve">Ptilothrix bombiformis</t>
  </si>
  <si>
    <t xml:space="preserve">https://www.inaturalist.org/observations/383179183</t>
  </si>
  <si>
    <t xml:space="preserve">FALSE 1840</t>
  </si>
  <si>
    <t xml:space="preserve">Sosippus californicus</t>
  </si>
  <si>
    <t xml:space="preserve">https://www.inaturalist.org/observations/383179118</t>
  </si>
  <si>
    <t xml:space="preserve">FALSE 1841</t>
  </si>
  <si>
    <t xml:space="preserve">Papilio glaucus</t>
  </si>
  <si>
    <t xml:space="preserve">https://www.inaturalist.org/observations/383179094</t>
  </si>
  <si>
    <t xml:space="preserve">FALSE 1842</t>
  </si>
  <si>
    <t xml:space="preserve">Atteva aurea</t>
  </si>
  <si>
    <t xml:space="preserve">https://www.inaturalist.org/observations/383179075</t>
  </si>
  <si>
    <t xml:space="preserve">FALSE 1843</t>
  </si>
  <si>
    <t xml:space="preserve">Sceliphron caementarium</t>
  </si>
  <si>
    <t xml:space="preserve">https://www.inaturalist.org/observations/383179039</t>
  </si>
  <si>
    <t xml:space="preserve">FALSE 1844</t>
  </si>
  <si>
    <t xml:space="preserve">Sphex ichneumoneus</t>
  </si>
  <si>
    <t xml:space="preserve">https://www.inaturalist.org/observations/383178910</t>
  </si>
  <si>
    <t xml:space="preserve">FALSE 1845</t>
  </si>
  <si>
    <t xml:space="preserve">Cryptotympana atrata</t>
  </si>
  <si>
    <t xml:space="preserve">https://www.inaturalist.org/observations/383178772</t>
  </si>
  <si>
    <t xml:space="preserve">FALSE 1846</t>
  </si>
  <si>
    <t xml:space="preserve">Paraponera clavata</t>
  </si>
  <si>
    <t xml:space="preserve">https://www.inaturalist.org/observations/383178731</t>
  </si>
  <si>
    <t xml:space="preserve">FALSE 1847</t>
  </si>
  <si>
    <t xml:space="preserve">Eurytides marcellus</t>
  </si>
  <si>
    <t xml:space="preserve">https://www.inaturalist.org/observations/383178594</t>
  </si>
  <si>
    <t xml:space="preserve">FALSE 1848</t>
  </si>
  <si>
    <t xml:space="preserve">Ommatospila narcaeusalis</t>
  </si>
  <si>
    <t xml:space="preserve">https://www.inaturalist.org/observations/383178353</t>
  </si>
  <si>
    <t xml:space="preserve">FALSE 1849</t>
  </si>
  <si>
    <t xml:space="preserve">Cucullia convexipennis</t>
  </si>
  <si>
    <t xml:space="preserve">https://www.inaturalist.org/observations/383178341</t>
  </si>
  <si>
    <t xml:space="preserve">FALSE 1850</t>
  </si>
  <si>
    <t xml:space="preserve">Strymon bazochii</t>
  </si>
  <si>
    <t xml:space="preserve">https://www.inaturalist.org/observations/383178313</t>
  </si>
  <si>
    <t xml:space="preserve">FALSE 1851</t>
  </si>
  <si>
    <t xml:space="preserve">Lygaeus kalmii</t>
  </si>
  <si>
    <t xml:space="preserve">https://www.inaturalist.org/observations/383178207</t>
  </si>
  <si>
    <t xml:space="preserve">FALSE 1852</t>
  </si>
  <si>
    <t xml:space="preserve">Junonia villida</t>
  </si>
  <si>
    <t xml:space="preserve">https://www.inaturalist.org/observations/383178197</t>
  </si>
  <si>
    <t xml:space="preserve">FALSE 1853</t>
  </si>
  <si>
    <t xml:space="preserve">Catocala epione</t>
  </si>
  <si>
    <t xml:space="preserve">https://www.inaturalist.org/observations/383178109</t>
  </si>
  <si>
    <t xml:space="preserve">FALSE 1854</t>
  </si>
  <si>
    <t xml:space="preserve">Bombus impatiens</t>
  </si>
  <si>
    <t xml:space="preserve">https://www.inaturalist.org/observations/383178080</t>
  </si>
  <si>
    <t xml:space="preserve">FALSE 1855</t>
  </si>
  <si>
    <t xml:space="preserve">Ascalapha odorata</t>
  </si>
  <si>
    <t xml:space="preserve">https://www.inaturalist.org/observations/383177935</t>
  </si>
  <si>
    <t xml:space="preserve">FALSE 1856</t>
  </si>
  <si>
    <t xml:space="preserve">Bombus affinis</t>
  </si>
  <si>
    <t xml:space="preserve">https://www.inaturalist.org/observations/383177796</t>
  </si>
  <si>
    <t xml:space="preserve">FALSE 1857</t>
  </si>
  <si>
    <t xml:space="preserve">Calopteryx maculata</t>
  </si>
  <si>
    <t xml:space="preserve">https://www.inaturalist.org/observations/383177588</t>
  </si>
  <si>
    <t xml:space="preserve">FALSE 1858</t>
  </si>
  <si>
    <t xml:space="preserve">Calosoma marginale</t>
  </si>
  <si>
    <t xml:space="preserve">https://www.inaturalist.org/observations/383177371</t>
  </si>
  <si>
    <t xml:space="preserve">FALSE 1859</t>
  </si>
  <si>
    <t xml:space="preserve">Argynnis atlantis</t>
  </si>
  <si>
    <t xml:space="preserve">https://www.inaturalist.org/observations/383177068</t>
  </si>
  <si>
    <t xml:space="preserve">FALSE 1860</t>
  </si>
  <si>
    <t xml:space="preserve">Rinaca japonica</t>
  </si>
  <si>
    <t xml:space="preserve">https://www.inaturalist.org/observations/383177035</t>
  </si>
  <si>
    <t xml:space="preserve">FALSE 1861</t>
  </si>
  <si>
    <t xml:space="preserve">Chauliodes pectinicornis</t>
  </si>
  <si>
    <t xml:space="preserve">https://www.inaturalist.org/observations/383176742</t>
  </si>
  <si>
    <t xml:space="preserve">FALSE 1862</t>
  </si>
  <si>
    <t xml:space="preserve">Atalopedes huron</t>
  </si>
  <si>
    <t xml:space="preserve">https://www.inaturalist.org/observations/383176527</t>
  </si>
  <si>
    <t xml:space="preserve">FALSE 1863</t>
  </si>
  <si>
    <t xml:space="preserve">Forficula dentata</t>
  </si>
  <si>
    <t xml:space="preserve">https://www.inaturalist.org/observations/383176395</t>
  </si>
  <si>
    <t xml:space="preserve">FALSE 1864</t>
  </si>
  <si>
    <t xml:space="preserve">Corydalus cornutus</t>
  </si>
  <si>
    <t xml:space="preserve">https://www.inaturalist.org/observations/383176374</t>
  </si>
  <si>
    <t xml:space="preserve">FALSE 1865</t>
  </si>
  <si>
    <t xml:space="preserve">Euborellia cincticollis</t>
  </si>
  <si>
    <t xml:space="preserve">https://www.inaturalist.org/observations/383176335</t>
  </si>
  <si>
    <t xml:space="preserve">FALSE 1866</t>
  </si>
  <si>
    <t xml:space="preserve">Schinia jaguarina</t>
  </si>
  <si>
    <t xml:space="preserve">https://www.inaturalist.org/observations/383176204</t>
  </si>
  <si>
    <t xml:space="preserve">FALSE 1867</t>
  </si>
  <si>
    <t xml:space="preserve">Herpyllus ecclesiasticus</t>
  </si>
  <si>
    <t xml:space="preserve">https://www.inaturalist.org/observations/383176159</t>
  </si>
  <si>
    <t xml:space="preserve">FALSE 1868</t>
  </si>
  <si>
    <t xml:space="preserve">Limenitis arthemis</t>
  </si>
  <si>
    <t xml:space="preserve">https://www.inaturalist.org/observations/383176148</t>
  </si>
  <si>
    <t xml:space="preserve">FALSE 1869</t>
  </si>
  <si>
    <t xml:space="preserve">Oncopeltus fasciatus</t>
  </si>
  <si>
    <t xml:space="preserve">https://www.inaturalist.org/observations/383175840</t>
  </si>
  <si>
    <t xml:space="preserve">FALSE 1870</t>
  </si>
  <si>
    <t xml:space="preserve">Polistes fuscatus</t>
  </si>
  <si>
    <t xml:space="preserve">https://www.inaturalist.org/observations/383175670</t>
  </si>
  <si>
    <t xml:space="preserve">FALSE 1871</t>
  </si>
  <si>
    <t xml:space="preserve">Phyciodes tharos</t>
  </si>
  <si>
    <t xml:space="preserve">https://www.inaturalist.org/observations/383175322</t>
  </si>
  <si>
    <t xml:space="preserve">FALSE 1872</t>
  </si>
  <si>
    <t xml:space="preserve">Hemaris diffinis</t>
  </si>
  <si>
    <t xml:space="preserve">https://www.inaturalist.org/observations/383175303</t>
  </si>
  <si>
    <t xml:space="preserve">FALSE 1873</t>
  </si>
  <si>
    <t xml:space="preserve">Nephila pilipes</t>
  </si>
  <si>
    <t xml:space="preserve">https://www.inaturalist.org/observations/383175284</t>
  </si>
  <si>
    <t xml:space="preserve">FALSE 1874</t>
  </si>
  <si>
    <t xml:space="preserve">Parnassius smintheus</t>
  </si>
  <si>
    <t xml:space="preserve">https://www.inaturalist.org/observations/383175250</t>
  </si>
  <si>
    <t xml:space="preserve">FALSE 1875</t>
  </si>
  <si>
    <t xml:space="preserve">Cryptotympana facialis</t>
  </si>
  <si>
    <t xml:space="preserve">https://www.inaturalist.org/observations/383175236</t>
  </si>
  <si>
    <t xml:space="preserve">FALSE 1876</t>
  </si>
  <si>
    <t xml:space="preserve">Boisea trivittata</t>
  </si>
  <si>
    <t xml:space="preserve">https://www.inaturalist.org/observations/383175199</t>
  </si>
  <si>
    <t xml:space="preserve">FALSE 1877</t>
  </si>
  <si>
    <t xml:space="preserve">Phrynus operculatus</t>
  </si>
  <si>
    <t xml:space="preserve">https://www.inaturalist.org/observations/383175022</t>
  </si>
  <si>
    <t xml:space="preserve">FALSE 1878</t>
  </si>
  <si>
    <t xml:space="preserve">Graphium sarpedon nipponum</t>
  </si>
  <si>
    <t xml:space="preserve">https://www.inaturalist.org/observations/383174996</t>
  </si>
  <si>
    <t xml:space="preserve">FALSE 1879</t>
  </si>
  <si>
    <t xml:space="preserve">Pantala flavescens</t>
  </si>
  <si>
    <t xml:space="preserve">https://www.inaturalist.org/observations/383174922</t>
  </si>
  <si>
    <t xml:space="preserve">FALSE 1880</t>
  </si>
  <si>
    <t xml:space="preserve">Dysdera crocata</t>
  </si>
  <si>
    <t xml:space="preserve">https://www.inaturalist.org/observations/383174877</t>
  </si>
  <si>
    <t xml:space="preserve">FALSE 1881</t>
  </si>
  <si>
    <t xml:space="preserve">Misogada unicolor</t>
  </si>
  <si>
    <t xml:space="preserve">https://www.inaturalist.org/observations/383174803</t>
  </si>
  <si>
    <t xml:space="preserve">FALSE 1882</t>
  </si>
  <si>
    <t xml:space="preserve">Larinioides sclopetarius</t>
  </si>
  <si>
    <t xml:space="preserve">https://www.inaturalist.org/observations/383174749</t>
  </si>
  <si>
    <t xml:space="preserve">FALSE 1883</t>
  </si>
  <si>
    <t xml:space="preserve">Allograpta obliqua</t>
  </si>
  <si>
    <t xml:space="preserve">https://www.inaturalist.org/observations/383174562</t>
  </si>
  <si>
    <t xml:space="preserve">FALSE 1884</t>
  </si>
  <si>
    <t xml:space="preserve">Theretra oldenlandiae oldenlandiae</t>
  </si>
  <si>
    <t xml:space="preserve">https://www.inaturalist.org/observations/383174542</t>
  </si>
  <si>
    <t xml:space="preserve">FALSE 1885</t>
  </si>
  <si>
    <t xml:space="preserve">Trigoniulus corallinus</t>
  </si>
  <si>
    <t xml:space="preserve">https://www.inaturalist.org/observations/383174513</t>
  </si>
  <si>
    <t xml:space="preserve">FALSE 1886</t>
  </si>
  <si>
    <t xml:space="preserve">Argia apicalis</t>
  </si>
  <si>
    <t xml:space="preserve">https://www.inaturalist.org/observations/383174415</t>
  </si>
  <si>
    <t xml:space="preserve">FALSE 1887</t>
  </si>
  <si>
    <t xml:space="preserve">Polygonia comma</t>
  </si>
  <si>
    <t xml:space="preserve">https://www.inaturalist.org/observations/383174323</t>
  </si>
  <si>
    <t xml:space="preserve">FALSE 1888</t>
  </si>
  <si>
    <t xml:space="preserve">Misumena vatia</t>
  </si>
  <si>
    <t xml:space="preserve">https://www.inaturalist.org/observations/383174250</t>
  </si>
  <si>
    <t xml:space="preserve">FALSE 1889</t>
  </si>
  <si>
    <t xml:space="preserve">Camponotus modoc</t>
  </si>
  <si>
    <t xml:space="preserve">https://www.inaturalist.org/observations/383174231</t>
  </si>
  <si>
    <t xml:space="preserve">FALSE 1890</t>
  </si>
  <si>
    <t xml:space="preserve">Conchylodes ovulalis</t>
  </si>
  <si>
    <t xml:space="preserve">https://www.inaturalist.org/observations/383174204</t>
  </si>
  <si>
    <t xml:space="preserve">FALSE 1891</t>
  </si>
  <si>
    <t xml:space="preserve">Locusta migratoria</t>
  </si>
  <si>
    <t xml:space="preserve">https://www.inaturalist.org/observations/383174180</t>
  </si>
  <si>
    <t xml:space="preserve">FALSE 1892</t>
  </si>
  <si>
    <t xml:space="preserve">Junonia grisea</t>
  </si>
  <si>
    <t xml:space="preserve">https://www.inaturalist.org/observations/383174164</t>
  </si>
  <si>
    <t xml:space="preserve">FALSE 1893</t>
  </si>
  <si>
    <t xml:space="preserve">Papilio rutulus</t>
  </si>
  <si>
    <t xml:space="preserve">https://www.inaturalist.org/observations/383174094</t>
  </si>
  <si>
    <t xml:space="preserve">FALSE 1894</t>
  </si>
  <si>
    <t xml:space="preserve">Apoda biguttata</t>
  </si>
  <si>
    <t xml:space="preserve">https://www.inaturalist.org/observations/383173918</t>
  </si>
  <si>
    <t xml:space="preserve">FALSE 1895</t>
  </si>
  <si>
    <t xml:space="preserve">Ischnura posita</t>
  </si>
  <si>
    <t xml:space="preserve">https://www.inaturalist.org/observations/383173873</t>
  </si>
  <si>
    <t xml:space="preserve">FALSE 1896</t>
  </si>
  <si>
    <t xml:space="preserve">Lethe appalachia</t>
  </si>
  <si>
    <t xml:space="preserve">https://www.inaturalist.org/observations/383173825</t>
  </si>
  <si>
    <t xml:space="preserve">FALSE 1897</t>
  </si>
  <si>
    <t xml:space="preserve">Pseudopyrausta santatalis</t>
  </si>
  <si>
    <t xml:space="preserve">https://www.inaturalist.org/observations/383173474</t>
  </si>
  <si>
    <t xml:space="preserve">FALSE 1898</t>
  </si>
  <si>
    <t xml:space="preserve">Isogona snowi</t>
  </si>
  <si>
    <t xml:space="preserve">https://www.inaturalist.org/observations/383173467</t>
  </si>
  <si>
    <t xml:space="preserve">FALSE 1899</t>
  </si>
  <si>
    <t xml:space="preserve">Sphaerophoria sulphuripes</t>
  </si>
  <si>
    <t xml:space="preserve">https://www.inaturalist.org/observations/383173466</t>
  </si>
  <si>
    <t xml:space="preserve">FALSE 1900</t>
  </si>
  <si>
    <t xml:space="preserve">Rabidosa rabida</t>
  </si>
  <si>
    <t xml:space="preserve">https://www.inaturalist.org/observations/383173422</t>
  </si>
  <si>
    <t xml:space="preserve">FALSE 1901</t>
  </si>
  <si>
    <t xml:space="preserve">Harmonia axyridis</t>
  </si>
  <si>
    <t xml:space="preserve">https://www.inaturalist.org/observations/383173413</t>
  </si>
  <si>
    <t xml:space="preserve">FALSE 1902</t>
  </si>
  <si>
    <t xml:space="preserve">Helicorthomorpha holstii</t>
  </si>
  <si>
    <t xml:space="preserve">https://www.inaturalist.org/observations/383173301</t>
  </si>
  <si>
    <t xml:space="preserve">FALSE 1903</t>
  </si>
  <si>
    <t xml:space="preserve">Syrphus opinator</t>
  </si>
  <si>
    <t xml:space="preserve">https://www.inaturalist.org/observations/383173196</t>
  </si>
  <si>
    <t xml:space="preserve">FALSE 1904</t>
  </si>
  <si>
    <t xml:space="preserve">Lucanus maculifemoratus</t>
  </si>
  <si>
    <t xml:space="preserve">https://www.inaturalist.org/observations/383173134</t>
  </si>
  <si>
    <t xml:space="preserve">FALSE 1905</t>
  </si>
  <si>
    <t xml:space="preserve">Camponotus renggeri</t>
  </si>
  <si>
    <t xml:space="preserve">https://www.inaturalist.org/observations/383173128</t>
  </si>
  <si>
    <t xml:space="preserve">FALSE 1906</t>
  </si>
  <si>
    <t xml:space="preserve">Eriophora ravilla</t>
  </si>
  <si>
    <t xml:space="preserve">https://www.inaturalist.org/observations/383173116</t>
  </si>
  <si>
    <t xml:space="preserve">FALSE 1907</t>
  </si>
  <si>
    <t xml:space="preserve">Menemerus semilimbatus</t>
  </si>
  <si>
    <t xml:space="preserve">https://www.inaturalist.org/observations/383173079</t>
  </si>
  <si>
    <t xml:space="preserve">FALSE 1908</t>
  </si>
  <si>
    <t xml:space="preserve">Vanessa atalanta</t>
  </si>
  <si>
    <t xml:space="preserve">https://www.inaturalist.org/observations/383172969</t>
  </si>
  <si>
    <t xml:space="preserve">FALSE 1909</t>
  </si>
  <si>
    <t xml:space="preserve">Syritta pipiens</t>
  </si>
  <si>
    <t xml:space="preserve">https://www.inaturalist.org/observations/383172966</t>
  </si>
  <si>
    <t xml:space="preserve">FALSE 1910</t>
  </si>
  <si>
    <t xml:space="preserve">Thelacantha brevispina</t>
  </si>
  <si>
    <t xml:space="preserve">https://www.inaturalist.org/observations/383172913</t>
  </si>
  <si>
    <t xml:space="preserve">FALSE 1911</t>
  </si>
  <si>
    <t xml:space="preserve">Dromogomphus spinosus</t>
  </si>
  <si>
    <t xml:space="preserve">https://www.inaturalist.org/observations/383172630</t>
  </si>
  <si>
    <t xml:space="preserve">FALSE 1912</t>
  </si>
  <si>
    <t xml:space="preserve">Libellula cyanea</t>
  </si>
  <si>
    <t xml:space="preserve">https://www.inaturalist.org/observations/383172625</t>
  </si>
  <si>
    <t xml:space="preserve">FALSE 1913</t>
  </si>
  <si>
    <t xml:space="preserve">Celithemis fasciata</t>
  </si>
  <si>
    <t xml:space="preserve">https://www.inaturalist.org/observations/383172623</t>
  </si>
  <si>
    <t xml:space="preserve">FALSE 1914</t>
  </si>
  <si>
    <t xml:space="preserve">Prosapia bicincta</t>
  </si>
  <si>
    <t xml:space="preserve">https://www.inaturalist.org/observations/383172435</t>
  </si>
  <si>
    <t xml:space="preserve">FALSE 1915</t>
  </si>
  <si>
    <t xml:space="preserve">Polyhymno luteostrigella</t>
  </si>
  <si>
    <t xml:space="preserve">https://www.inaturalist.org/observations/383172374</t>
  </si>
  <si>
    <t xml:space="preserve">FALSE 1916</t>
  </si>
  <si>
    <t xml:space="preserve">Tetraopes tetrophthalmus</t>
  </si>
  <si>
    <t xml:space="preserve">https://www.inaturalist.org/observations/383172357</t>
  </si>
  <si>
    <t xml:space="preserve">FALSE 1917</t>
  </si>
  <si>
    <t xml:space="preserve">Epargyreus clarus</t>
  </si>
  <si>
    <t xml:space="preserve">https://www.inaturalist.org/observations/383172326</t>
  </si>
  <si>
    <t xml:space="preserve">FALSE 1918</t>
  </si>
  <si>
    <t xml:space="preserve">Ligia oceanica</t>
  </si>
  <si>
    <t xml:space="preserve">https://www.inaturalist.org/observations/383172084</t>
  </si>
  <si>
    <t xml:space="preserve">FALSE 1919</t>
  </si>
  <si>
    <t xml:space="preserve">Argiope aurantia</t>
  </si>
  <si>
    <t xml:space="preserve">https://www.inaturalist.org/observations/383171845</t>
  </si>
  <si>
    <t xml:space="preserve">FALSE 1920</t>
  </si>
  <si>
    <t xml:space="preserve">Microcrambus elegans</t>
  </si>
  <si>
    <t xml:space="preserve">https://www.inaturalist.org/observations/383171716</t>
  </si>
  <si>
    <t xml:space="preserve">FALSE 1921</t>
  </si>
  <si>
    <t xml:space="preserve">Vanessa virginiensis</t>
  </si>
  <si>
    <t xml:space="preserve">https://www.inaturalist.org/observations/383171303</t>
  </si>
  <si>
    <t xml:space="preserve">FALSE 1922</t>
  </si>
  <si>
    <t xml:space="preserve">Harpaphe haydeniana</t>
  </si>
  <si>
    <t xml:space="preserve">https://www.inaturalist.org/observations/383170857</t>
  </si>
  <si>
    <t xml:space="preserve">FALSE 1923</t>
  </si>
  <si>
    <t xml:space="preserve">Ictinogomphus pertinax</t>
  </si>
  <si>
    <t xml:space="preserve">https://www.inaturalist.org/observations/383170809</t>
  </si>
  <si>
    <t xml:space="preserve">FALSE 1924</t>
  </si>
  <si>
    <t xml:space="preserve">Camponotus nearcticus</t>
  </si>
  <si>
    <t xml:space="preserve">https://www.inaturalist.org/observations/383170802</t>
  </si>
  <si>
    <t xml:space="preserve">FALSE 1925</t>
  </si>
  <si>
    <t xml:space="preserve">Bombus auricomus</t>
  </si>
  <si>
    <t xml:space="preserve">https://www.inaturalist.org/observations/383170697</t>
  </si>
  <si>
    <t xml:space="preserve">FALSE 1926</t>
  </si>
  <si>
    <t xml:space="preserve">Bombus fervidus</t>
  </si>
  <si>
    <t xml:space="preserve">https://www.inaturalist.org/observations/383170645</t>
  </si>
  <si>
    <t xml:space="preserve">FALSE 1927</t>
  </si>
  <si>
    <t xml:space="preserve">Papilio zelicaon</t>
  </si>
  <si>
    <t xml:space="preserve">https://www.inaturalist.org/observations/383170494</t>
  </si>
  <si>
    <t xml:space="preserve">FALSE 1928</t>
  </si>
  <si>
    <t xml:space="preserve">Neoscona crucifera</t>
  </si>
  <si>
    <t xml:space="preserve">https://www.inaturalist.org/observations/383170486</t>
  </si>
  <si>
    <t xml:space="preserve">FALSE 1929</t>
  </si>
  <si>
    <t xml:space="preserve">Leptoglossus phyllopus</t>
  </si>
  <si>
    <t xml:space="preserve">https://www.inaturalist.org/observations/383170411</t>
  </si>
  <si>
    <t xml:space="preserve">FALSE 1930</t>
  </si>
  <si>
    <t xml:space="preserve">Elymnias hypermnestra</t>
  </si>
  <si>
    <t xml:space="preserve">https://www.inaturalist.org/observations/383170380</t>
  </si>
  <si>
    <t xml:space="preserve">FALSE 1931</t>
  </si>
  <si>
    <t xml:space="preserve">Orthetrum sabina</t>
  </si>
  <si>
    <t xml:space="preserve">https://www.inaturalist.org/observations/383170317</t>
  </si>
  <si>
    <t xml:space="preserve">FALSE 1932</t>
  </si>
  <si>
    <t xml:space="preserve">Myathropa florea</t>
  </si>
  <si>
    <t xml:space="preserve">https://www.inaturalist.org/observations/383170037</t>
  </si>
  <si>
    <t xml:space="preserve">FALSE 1933</t>
  </si>
  <si>
    <t xml:space="preserve">Neoponera villosa</t>
  </si>
  <si>
    <t xml:space="preserve">https://www.inaturalist.org/observations/383170015</t>
  </si>
  <si>
    <t xml:space="preserve">FALSE 1934</t>
  </si>
  <si>
    <t xml:space="preserve">Toxomerus marginatus</t>
  </si>
  <si>
    <t xml:space="preserve">https://www.inaturalist.org/observations/383169893</t>
  </si>
  <si>
    <t xml:space="preserve">FALSE 1935</t>
  </si>
  <si>
    <t xml:space="preserve">Trichodes ornatus</t>
  </si>
  <si>
    <t xml:space="preserve">https://www.inaturalist.org/observations/383169824</t>
  </si>
  <si>
    <t xml:space="preserve">FALSE 1936</t>
  </si>
  <si>
    <t xml:space="preserve">Misumessus oblongus</t>
  </si>
  <si>
    <t xml:space="preserve">https://www.inaturalist.org/observations/383169390</t>
  </si>
  <si>
    <t xml:space="preserve">FALSE 1937</t>
  </si>
  <si>
    <t xml:space="preserve">Chelymorpha cassidea</t>
  </si>
  <si>
    <t xml:space="preserve">https://www.inaturalist.org/observations/383168908</t>
  </si>
  <si>
    <t xml:space="preserve">FALSE 1938</t>
  </si>
  <si>
    <t xml:space="preserve">Tubuca arcuata</t>
  </si>
  <si>
    <t xml:space="preserve">https://www.inaturalist.org/observations/383168867</t>
  </si>
  <si>
    <t xml:space="preserve">FALSE 1939</t>
  </si>
  <si>
    <t xml:space="preserve">Heptacarpus tridens</t>
  </si>
  <si>
    <t xml:space="preserve">https://www.inaturalist.org/observations/383168847</t>
  </si>
  <si>
    <t xml:space="preserve">FALSE 1940</t>
  </si>
  <si>
    <t xml:space="preserve">Trichonephila clavipes</t>
  </si>
  <si>
    <t xml:space="preserve">https://www.inaturalist.org/observations/383168825</t>
  </si>
  <si>
    <t xml:space="preserve">FALSE 1941</t>
  </si>
  <si>
    <t xml:space="preserve">Pandalus danae</t>
  </si>
  <si>
    <t xml:space="preserve">https://www.inaturalist.org/observations/383168817</t>
  </si>
  <si>
    <t xml:space="preserve">FALSE 1942</t>
  </si>
  <si>
    <t xml:space="preserve">Pyrops candelaria</t>
  </si>
  <si>
    <t xml:space="preserve">https://www.inaturalist.org/observations/383168731</t>
  </si>
  <si>
    <t xml:space="preserve">FALSE 1943</t>
  </si>
  <si>
    <t xml:space="preserve">Catocala residua</t>
  </si>
  <si>
    <t xml:space="preserve">https://www.inaturalist.org/observations/383168713</t>
  </si>
  <si>
    <t xml:space="preserve">FALSE 1944</t>
  </si>
  <si>
    <t xml:space="preserve">Catocala dejecta</t>
  </si>
  <si>
    <t xml:space="preserve">https://www.inaturalist.org/observations/383168706</t>
  </si>
  <si>
    <t xml:space="preserve">FALSE 1945</t>
  </si>
  <si>
    <t xml:space="preserve">Catocala gracilis</t>
  </si>
  <si>
    <t xml:space="preserve">https://www.inaturalist.org/observations/383168538</t>
  </si>
  <si>
    <t xml:space="preserve">FALSE 1946</t>
  </si>
  <si>
    <t xml:space="preserve">Pieris marginalis</t>
  </si>
  <si>
    <t xml:space="preserve">https://www.inaturalist.org/observations/383168479</t>
  </si>
  <si>
    <t xml:space="preserve">FALSE 1947</t>
  </si>
  <si>
    <t xml:space="preserve">Libytheana carinenta</t>
  </si>
  <si>
    <t xml:space="preserve">https://www.inaturalist.org/observations/383168420</t>
  </si>
  <si>
    <t xml:space="preserve">FALSE 1948</t>
  </si>
  <si>
    <t xml:space="preserve">Erynnis horatius</t>
  </si>
  <si>
    <t xml:space="preserve">https://www.inaturalist.org/observations/383168213</t>
  </si>
  <si>
    <t xml:space="preserve">FALSE 1949</t>
  </si>
  <si>
    <t xml:space="preserve">Scolopendra subspinipes</t>
  </si>
  <si>
    <t xml:space="preserve">https://www.inaturalist.org/observations/383168154</t>
  </si>
  <si>
    <t xml:space="preserve">FALSE 1950</t>
  </si>
  <si>
    <t xml:space="preserve">Rhagonycha fulva</t>
  </si>
  <si>
    <t xml:space="preserve">https://www.inaturalist.org/observations/383168138</t>
  </si>
  <si>
    <t xml:space="preserve">FALSE 1951</t>
  </si>
  <si>
    <t xml:space="preserve">Marimatha nigrofimbria</t>
  </si>
  <si>
    <t xml:space="preserve">https://www.inaturalist.org/observations/383168008</t>
  </si>
  <si>
    <t xml:space="preserve">FALSE 1952</t>
  </si>
  <si>
    <t xml:space="preserve">Cerma cerintha</t>
  </si>
  <si>
    <t xml:space="preserve">https://www.inaturalist.org/observations/383167910</t>
  </si>
  <si>
    <t xml:space="preserve">FALSE 1953</t>
  </si>
  <si>
    <t xml:space="preserve">Ischnura verticalis</t>
  </si>
  <si>
    <t xml:space="preserve">https://www.inaturalist.org/observations/383167838</t>
  </si>
  <si>
    <t xml:space="preserve">FALSE 1954</t>
  </si>
  <si>
    <t xml:space="preserve">Neacoryphus bicrucis</t>
  </si>
  <si>
    <t xml:space="preserve">https://www.inaturalist.org/observations/383167682</t>
  </si>
  <si>
    <t xml:space="preserve">FALSE 1955</t>
  </si>
  <si>
    <t xml:space="preserve">Milesia virginiensis</t>
  </si>
  <si>
    <t xml:space="preserve">https://www.inaturalist.org/observations/383167634</t>
  </si>
  <si>
    <t xml:space="preserve">FALSE 1956</t>
  </si>
  <si>
    <t xml:space="preserve">Bombus rufocinctus</t>
  </si>
  <si>
    <t xml:space="preserve">https://www.inaturalist.org/observations/383167594</t>
  </si>
  <si>
    <t xml:space="preserve">FALSE 1957</t>
  </si>
  <si>
    <t xml:space="preserve">Epimecis hortaria</t>
  </si>
  <si>
    <t xml:space="preserve">https://www.inaturalist.org/observations/383167587</t>
  </si>
  <si>
    <t xml:space="preserve">FALSE 1958</t>
  </si>
  <si>
    <t xml:space="preserve">Peridea angulosa</t>
  </si>
  <si>
    <t xml:space="preserve">https://www.inaturalist.org/observations/383167560</t>
  </si>
  <si>
    <t xml:space="preserve">FALSE 1959</t>
  </si>
  <si>
    <t xml:space="preserve">Monocrepidius lividus</t>
  </si>
  <si>
    <t xml:space="preserve">https://www.inaturalist.org/observations/383167556</t>
  </si>
  <si>
    <t xml:space="preserve">FALSE 1960</t>
  </si>
  <si>
    <t xml:space="preserve">Paraeschra georgica</t>
  </si>
  <si>
    <t xml:space="preserve">https://www.inaturalist.org/observations/383167545</t>
  </si>
  <si>
    <t xml:space="preserve">FALSE 1961</t>
  </si>
  <si>
    <t xml:space="preserve">Macrurocampa marthesia</t>
  </si>
  <si>
    <t xml:space="preserve">https://www.inaturalist.org/observations/383167543</t>
  </si>
  <si>
    <t xml:space="preserve">FALSE 1962</t>
  </si>
  <si>
    <t xml:space="preserve">Catocala andromedae</t>
  </si>
  <si>
    <t xml:space="preserve">https://www.inaturalist.org/observations/383167205</t>
  </si>
  <si>
    <t xml:space="preserve">FALSE 1963</t>
  </si>
  <si>
    <t xml:space="preserve">Nehalennia irene</t>
  </si>
  <si>
    <t xml:space="preserve">https://www.inaturalist.org/observations/383166956</t>
  </si>
  <si>
    <t xml:space="preserve">FALSE 1964</t>
  </si>
  <si>
    <t xml:space="preserve">Schinia villosa</t>
  </si>
  <si>
    <t xml:space="preserve">https://www.inaturalist.org/observations/383166943</t>
  </si>
  <si>
    <t xml:space="preserve">FALSE 1965</t>
  </si>
  <si>
    <t xml:space="preserve">Numia bicoloraria</t>
  </si>
  <si>
    <t xml:space="preserve">https://www.inaturalist.org/observations/383166884</t>
  </si>
  <si>
    <t xml:space="preserve">FALSE 1966</t>
  </si>
  <si>
    <t xml:space="preserve">Paratrechina longicornis</t>
  </si>
  <si>
    <t xml:space="preserve">https://www.inaturalist.org/observations/383166794</t>
  </si>
  <si>
    <t xml:space="preserve">FALSE 1967</t>
  </si>
  <si>
    <t xml:space="preserve">Ocyptamus fuscipennis</t>
  </si>
  <si>
    <t xml:space="preserve">https://www.inaturalist.org/observations/383166503</t>
  </si>
  <si>
    <t xml:space="preserve">FALSE 1968</t>
  </si>
  <si>
    <t xml:space="preserve">Gonista bicolor</t>
  </si>
  <si>
    <t xml:space="preserve">https://www.inaturalist.org/observations/383166500</t>
  </si>
  <si>
    <t xml:space="preserve">FALSE 1969</t>
  </si>
  <si>
    <t xml:space="preserve">Ectatomma tuberculatum</t>
  </si>
  <si>
    <t xml:space="preserve">https://www.inaturalist.org/observations/383166465</t>
  </si>
  <si>
    <t xml:space="preserve">FALSE 1970</t>
  </si>
  <si>
    <t xml:space="preserve">Promachus yesonicus</t>
  </si>
  <si>
    <t xml:space="preserve">https://www.inaturalist.org/observations/383166463</t>
  </si>
  <si>
    <t xml:space="preserve">FALSE 1971</t>
  </si>
  <si>
    <t xml:space="preserve">Idaea asceta</t>
  </si>
  <si>
    <t xml:space="preserve">https://www.inaturalist.org/observations/383166412</t>
  </si>
  <si>
    <t xml:space="preserve">FALSE 1972</t>
  </si>
  <si>
    <t xml:space="preserve">Heraclides cresphontes</t>
  </si>
  <si>
    <t xml:space="preserve">https://www.inaturalist.org/observations/383166337</t>
  </si>
  <si>
    <t xml:space="preserve">FALSE 1973</t>
  </si>
  <si>
    <t xml:space="preserve">Arawacus lincoides</t>
  </si>
  <si>
    <t xml:space="preserve">https://www.inaturalist.org/observations/383165978</t>
  </si>
  <si>
    <t xml:space="preserve">FALSE 1974</t>
  </si>
  <si>
    <t xml:space="preserve">Argiope argentata</t>
  </si>
  <si>
    <t xml:space="preserve">https://www.inaturalist.org/observations/383165858</t>
  </si>
  <si>
    <t xml:space="preserve">FALSE 1975</t>
  </si>
  <si>
    <t xml:space="preserve">Anartia jatrophae</t>
  </si>
  <si>
    <t xml:space="preserve">https://www.inaturalist.org/observations/383165820</t>
  </si>
  <si>
    <t xml:space="preserve">FALSE 1976</t>
  </si>
  <si>
    <t xml:space="preserve">Forficula auricularia</t>
  </si>
  <si>
    <t xml:space="preserve">https://www.inaturalist.org/observations/383165773</t>
  </si>
  <si>
    <t xml:space="preserve">FALSE 1977</t>
  </si>
  <si>
    <t xml:space="preserve">Rivula propinqualis</t>
  </si>
  <si>
    <t xml:space="preserve">https://www.inaturalist.org/observations/383165755</t>
  </si>
  <si>
    <t xml:space="preserve">FALSE 1978</t>
  </si>
  <si>
    <t xml:space="preserve">Hyphantria cunea</t>
  </si>
  <si>
    <t xml:space="preserve">https://www.inaturalist.org/observations/383165493</t>
  </si>
  <si>
    <t xml:space="preserve">FALSE 1979</t>
  </si>
  <si>
    <t xml:space="preserve">Platycryptus californicus</t>
  </si>
  <si>
    <t xml:space="preserve">https://www.inaturalist.org/observations/383165403</t>
  </si>
  <si>
    <t xml:space="preserve">FALSE 1980</t>
  </si>
  <si>
    <t xml:space="preserve">Ammalo helops</t>
  </si>
  <si>
    <t xml:space="preserve">https://www.inaturalist.org/observations/383165299</t>
  </si>
  <si>
    <t xml:space="preserve">FALSE 1981</t>
  </si>
  <si>
    <t xml:space="preserve">Scaphinotus angusticollis</t>
  </si>
  <si>
    <t xml:space="preserve">https://www.inaturalist.org/observations/383165207</t>
  </si>
  <si>
    <t xml:space="preserve">FALSE 1982</t>
  </si>
  <si>
    <t xml:space="preserve">Nymphalis antiopa</t>
  </si>
  <si>
    <t xml:space="preserve">https://www.inaturalist.org/observations/383165172</t>
  </si>
  <si>
    <t xml:space="preserve">FALSE 1983</t>
  </si>
  <si>
    <t xml:space="preserve">Catocala neogama</t>
  </si>
  <si>
    <t xml:space="preserve">https://www.inaturalist.org/observations/383165167</t>
  </si>
  <si>
    <t xml:space="preserve">FALSE 1984</t>
  </si>
  <si>
    <t xml:space="preserve">Hetaerina americana</t>
  </si>
  <si>
    <t xml:space="preserve">https://www.inaturalist.org/observations/383164826</t>
  </si>
  <si>
    <t xml:space="preserve">FALSE 1985</t>
  </si>
  <si>
    <t xml:space="preserve">Limenitis lorquini</t>
  </si>
  <si>
    <t xml:space="preserve">https://www.inaturalist.org/observations/383164656</t>
  </si>
  <si>
    <t xml:space="preserve">FALSE 1986</t>
  </si>
  <si>
    <t xml:space="preserve">Eumarozia malachitana</t>
  </si>
  <si>
    <t xml:space="preserve">https://www.inaturalist.org/observations/383164539</t>
  </si>
  <si>
    <t xml:space="preserve">FALSE 1987</t>
  </si>
  <si>
    <t xml:space="preserve">Mormidea lugens</t>
  </si>
  <si>
    <t xml:space="preserve">https://www.inaturalist.org/observations/383164534</t>
  </si>
  <si>
    <t xml:space="preserve">FALSE 1988</t>
  </si>
  <si>
    <t xml:space="preserve">Apogeshna stenialis</t>
  </si>
  <si>
    <t xml:space="preserve">https://www.inaturalist.org/observations/383164475</t>
  </si>
  <si>
    <t xml:space="preserve">FALSE 1989</t>
  </si>
  <si>
    <t xml:space="preserve">Dromogomphus spoliatus</t>
  </si>
  <si>
    <t xml:space="preserve">https://www.inaturalist.org/observations/383164361</t>
  </si>
  <si>
    <t xml:space="preserve">FALSE 1990</t>
  </si>
  <si>
    <t xml:space="preserve">Heterophrynus batesii</t>
  </si>
  <si>
    <t xml:space="preserve">https://www.inaturalist.org/observations/383164128</t>
  </si>
  <si>
    <t xml:space="preserve">FALSE 1991</t>
  </si>
  <si>
    <t xml:space="preserve">Oxidus gracilis</t>
  </si>
  <si>
    <t xml:space="preserve">https://www.inaturalist.org/observations/383164112</t>
  </si>
  <si>
    <t xml:space="preserve">FALSE 1992</t>
  </si>
  <si>
    <t xml:space="preserve">Coenonympha california</t>
  </si>
  <si>
    <t xml:space="preserve">https://www.inaturalist.org/observations/383164104</t>
  </si>
  <si>
    <t xml:space="preserve">FALSE 1993</t>
  </si>
  <si>
    <t xml:space="preserve">Cupido comyntas</t>
  </si>
  <si>
    <t xml:space="preserve">https://www.inaturalist.org/observations/383164022</t>
  </si>
  <si>
    <t xml:space="preserve">FALSE 1994</t>
  </si>
  <si>
    <t xml:space="preserve">Graphium agamemnon</t>
  </si>
  <si>
    <t xml:space="preserve">https://www.inaturalist.org/observations/383163892</t>
  </si>
  <si>
    <t xml:space="preserve">FALSE 1995</t>
  </si>
  <si>
    <t xml:space="preserve">Dione vanillae</t>
  </si>
  <si>
    <t xml:space="preserve">https://www.inaturalist.org/observations/383163879</t>
  </si>
  <si>
    <t xml:space="preserve">FALSE 1996</t>
  </si>
  <si>
    <t xml:space="preserve">Zopherus nodulosus</t>
  </si>
  <si>
    <t xml:space="preserve">https://www.inaturalist.org/observations/383163830</t>
  </si>
  <si>
    <t xml:space="preserve">FALSE 1997</t>
  </si>
  <si>
    <t xml:space="preserve">Polistes dominula</t>
  </si>
  <si>
    <t xml:space="preserve">https://www.inaturalist.org/observations/383163736</t>
  </si>
  <si>
    <t xml:space="preserve">FALSE 1998</t>
  </si>
  <si>
    <t xml:space="preserve">Anthrenus verbasci</t>
  </si>
  <si>
    <t xml:space="preserve">https://www.inaturalist.org/observations/383163657</t>
  </si>
  <si>
    <t xml:space="preserve">FALSE 1999</t>
  </si>
  <si>
    <t xml:space="preserve">Scoparia biplagialis</t>
  </si>
  <si>
    <t xml:space="preserve">https://www.inaturalist.org/observations/383163590</t>
  </si>
  <si>
    <t xml:space="preserve">FALSE 2000</t>
  </si>
  <si>
    <t xml:space="preserve">Agnippe prunifoliella</t>
  </si>
  <si>
    <t xml:space="preserve">https://www.inaturalist.org/observations/383163467</t>
  </si>
  <si>
    <t xml:space="preserve">FALSE 2001</t>
  </si>
  <si>
    <t xml:space="preserve">Scutigera coleoptrata</t>
  </si>
  <si>
    <t xml:space="preserve">https://www.inaturalist.org/observations/383163362</t>
  </si>
  <si>
    <t xml:space="preserve">FALSE 2002</t>
  </si>
  <si>
    <t xml:space="preserve">Spragueia leo</t>
  </si>
  <si>
    <t xml:space="preserve">https://www.inaturalist.org/observations/383163114</t>
  </si>
  <si>
    <t xml:space="preserve">FALSE 2003</t>
  </si>
  <si>
    <t xml:space="preserve">Helophilus fasciatus</t>
  </si>
  <si>
    <t xml:space="preserve">https://www.inaturalist.org/observations/383163001</t>
  </si>
  <si>
    <t xml:space="preserve">FALSE 2004</t>
  </si>
  <si>
    <t xml:space="preserve">Tortricidia testacea</t>
  </si>
  <si>
    <t xml:space="preserve">https://www.inaturalist.org/observations/383162984</t>
  </si>
  <si>
    <t xml:space="preserve">FALSE 2005</t>
  </si>
  <si>
    <t xml:space="preserve">Mompha eloisella</t>
  </si>
  <si>
    <t xml:space="preserve">https://www.inaturalist.org/observations/383162939</t>
  </si>
  <si>
    <t xml:space="preserve">FALSE 2006</t>
  </si>
  <si>
    <t xml:space="preserve">Neodactria luteolellus</t>
  </si>
  <si>
    <t xml:space="preserve">https://www.inaturalist.org/observations/383162867</t>
  </si>
  <si>
    <t xml:space="preserve">FALSE 2007</t>
  </si>
  <si>
    <t xml:space="preserve">Glenurus gratus</t>
  </si>
  <si>
    <t xml:space="preserve">https://www.inaturalist.org/observations/383162775</t>
  </si>
  <si>
    <t xml:space="preserve">FALSE 2008</t>
  </si>
  <si>
    <t xml:space="preserve">Eueretagrotis attentus</t>
  </si>
  <si>
    <t xml:space="preserve">https://www.inaturalist.org/observations/383162639</t>
  </si>
  <si>
    <t xml:space="preserve">FALSE 2009</t>
  </si>
  <si>
    <t xml:space="preserve">Campaea perlata</t>
  </si>
  <si>
    <t xml:space="preserve">https://www.inaturalist.org/observations/383162592</t>
  </si>
  <si>
    <t xml:space="preserve">FALSE 2010</t>
  </si>
  <si>
    <t xml:space="preserve">Latrodectus variolus</t>
  </si>
  <si>
    <t xml:space="preserve">https://www.inaturalist.org/observations/383162505</t>
  </si>
  <si>
    <t xml:space="preserve">FALSE 2011</t>
  </si>
  <si>
    <t xml:space="preserve">Libellula incesta</t>
  </si>
  <si>
    <t xml:space="preserve">https://www.inaturalist.org/observations/383162435</t>
  </si>
  <si>
    <t xml:space="preserve">FALSE 2012</t>
  </si>
  <si>
    <t xml:space="preserve">Syngrapha rectangula</t>
  </si>
  <si>
    <t xml:space="preserve">https://www.inaturalist.org/observations/383162402</t>
  </si>
  <si>
    <t xml:space="preserve">FALSE 2013</t>
  </si>
  <si>
    <t xml:space="preserve">Macromia illinoiensis</t>
  </si>
  <si>
    <t xml:space="preserve">https://www.inaturalist.org/observations/383162391</t>
  </si>
  <si>
    <t xml:space="preserve">FALSE 2014</t>
  </si>
  <si>
    <t xml:space="preserve">Tityus trinitatis</t>
  </si>
  <si>
    <t xml:space="preserve">https://www.inaturalist.org/observations/383162244</t>
  </si>
  <si>
    <t xml:space="preserve">FALSE 2015</t>
  </si>
  <si>
    <t xml:space="preserve">Scopula limboundata</t>
  </si>
  <si>
    <t xml:space="preserve">https://www.inaturalist.org/observations/383162226</t>
  </si>
  <si>
    <t xml:space="preserve">FALSE 2016</t>
  </si>
  <si>
    <t xml:space="preserve">Cancer pagurus</t>
  </si>
  <si>
    <t xml:space="preserve">https://www.inaturalist.org/observations/383162033</t>
  </si>
  <si>
    <t xml:space="preserve">FALSE 2017</t>
  </si>
  <si>
    <t xml:space="preserve">Eristalis tenax</t>
  </si>
  <si>
    <t xml:space="preserve">https://www.inaturalist.org/observations/383161950</t>
  </si>
  <si>
    <t xml:space="preserve">FALSE 2018</t>
  </si>
  <si>
    <t xml:space="preserve">Leuconycta diphteroides</t>
  </si>
  <si>
    <t xml:space="preserve">https://www.inaturalist.org/observations/383161938</t>
  </si>
  <si>
    <t xml:space="preserve">FALSE 2019</t>
  </si>
  <si>
    <t xml:space="preserve">Micrathena gracilis</t>
  </si>
  <si>
    <t xml:space="preserve">https://www.inaturalist.org/observations/383161602</t>
  </si>
  <si>
    <t xml:space="preserve">FALSE 2020</t>
  </si>
  <si>
    <t xml:space="preserve">Paeromopus angusticeps</t>
  </si>
  <si>
    <t xml:space="preserve">https://www.inaturalist.org/observations/383161559</t>
  </si>
  <si>
    <t xml:space="preserve">FALSE 2021</t>
  </si>
  <si>
    <t xml:space="preserve">Bleptina caradrinalis</t>
  </si>
  <si>
    <t xml:space="preserve">https://www.inaturalist.org/observations/383161454</t>
  </si>
  <si>
    <t xml:space="preserve">FALSE 2022</t>
  </si>
  <si>
    <t xml:space="preserve">Siproeta stelenes</t>
  </si>
  <si>
    <t xml:space="preserve">https://www.inaturalist.org/observations/383161449</t>
  </si>
  <si>
    <t xml:space="preserve">FALSE 2023</t>
  </si>
  <si>
    <t xml:space="preserve">Xylocopa virginica</t>
  </si>
  <si>
    <t xml:space="preserve">https://www.inaturalist.org/observations/383161333</t>
  </si>
  <si>
    <t xml:space="preserve">FALSE 2024</t>
  </si>
  <si>
    <t xml:space="preserve">Cabera erythemaria</t>
  </si>
  <si>
    <t xml:space="preserve">https://www.inaturalist.org/observations/383161319</t>
  </si>
  <si>
    <t xml:space="preserve">FALSE 2025</t>
  </si>
  <si>
    <t xml:space="preserve">Lobophora nivigerata</t>
  </si>
  <si>
    <t xml:space="preserve">https://www.inaturalist.org/observations/383161232</t>
  </si>
  <si>
    <t xml:space="preserve">FALSE 2026</t>
  </si>
  <si>
    <t xml:space="preserve">Bembix americana</t>
  </si>
  <si>
    <t xml:space="preserve">https://www.inaturalist.org/observations/383161177</t>
  </si>
  <si>
    <t xml:space="preserve">FALSE 2027</t>
  </si>
  <si>
    <t xml:space="preserve">Halysidota harrisii</t>
  </si>
  <si>
    <t xml:space="preserve">https://www.inaturalist.org/observations/383161125</t>
  </si>
  <si>
    <t xml:space="preserve">FALSE 2028</t>
  </si>
  <si>
    <t xml:space="preserve">Anaplectoides prasina</t>
  </si>
  <si>
    <t xml:space="preserve">https://www.inaturalist.org/observations/383161095</t>
  </si>
  <si>
    <t xml:space="preserve">FALSE 2029</t>
  </si>
  <si>
    <t xml:space="preserve">Limenitis arthemis astyanax</t>
  </si>
  <si>
    <t xml:space="preserve">https://www.inaturalist.org/observations/383161088</t>
  </si>
  <si>
    <t xml:space="preserve">FALSE 2030</t>
  </si>
  <si>
    <t xml:space="preserve">Manduca sexta</t>
  </si>
  <si>
    <t xml:space="preserve">https://www.inaturalist.org/observations/383161083</t>
  </si>
  <si>
    <t xml:space="preserve">FALSE 2031</t>
  </si>
  <si>
    <t xml:space="preserve">Metanema inatomaria</t>
  </si>
  <si>
    <t xml:space="preserve">https://www.inaturalist.org/observations/383161023</t>
  </si>
  <si>
    <t xml:space="preserve">FALSE 2032</t>
  </si>
  <si>
    <t xml:space="preserve">Bombus occidentalis</t>
  </si>
  <si>
    <t xml:space="preserve">https://www.inaturalist.org/observations/383161009</t>
  </si>
  <si>
    <t xml:space="preserve">FALSE 2033</t>
  </si>
  <si>
    <t xml:space="preserve">Lestes rectangularis</t>
  </si>
  <si>
    <t xml:space="preserve">https://www.inaturalist.org/observations/383160821</t>
  </si>
  <si>
    <t xml:space="preserve">FALSE 2034</t>
  </si>
  <si>
    <t xml:space="preserve">Megarhyssa atrata</t>
  </si>
  <si>
    <t xml:space="preserve">https://www.inaturalist.org/observations/383160654</t>
  </si>
  <si>
    <t xml:space="preserve">FALSE 2035</t>
  </si>
  <si>
    <t xml:space="preserve">Strumigenys boltoni</t>
  </si>
  <si>
    <t xml:space="preserve">https://www.inaturalist.org/observations/383160637</t>
  </si>
  <si>
    <t xml:space="preserve">FALSE 2036</t>
  </si>
  <si>
    <t xml:space="preserve">Thymelicus lineola</t>
  </si>
  <si>
    <t xml:space="preserve">https://www.inaturalist.org/observations/383160541</t>
  </si>
  <si>
    <t xml:space="preserve">FALSE 2037</t>
  </si>
  <si>
    <t xml:space="preserve">Setema bicolor</t>
  </si>
  <si>
    <t xml:space="preserve">https://www.inaturalist.org/observations/383160534</t>
  </si>
  <si>
    <t xml:space="preserve">FALSE 2038</t>
  </si>
  <si>
    <t xml:space="preserve">Eriophora fuliginea</t>
  </si>
  <si>
    <t xml:space="preserve">https://www.inaturalist.org/observations/383160501</t>
  </si>
  <si>
    <t xml:space="preserve">FALSE 2039</t>
  </si>
  <si>
    <t xml:space="preserve">Propylea quatuordecimpunctata</t>
  </si>
  <si>
    <t xml:space="preserve">https://www.inaturalist.org/observations/383160493</t>
  </si>
  <si>
    <t xml:space="preserve">FALSE 2040</t>
  </si>
  <si>
    <t xml:space="preserve">Necrophila americana</t>
  </si>
  <si>
    <t xml:space="preserve">https://www.inaturalist.org/observations/383160491</t>
  </si>
  <si>
    <t xml:space="preserve">FALSE 2041</t>
  </si>
  <si>
    <t xml:space="preserve">Paonias excaecata</t>
  </si>
  <si>
    <t xml:space="preserve">https://www.inaturalist.org/observations/383160374</t>
  </si>
  <si>
    <t xml:space="preserve">FALSE 2042</t>
  </si>
  <si>
    <t xml:space="preserve">Epitheca princeps</t>
  </si>
  <si>
    <t xml:space="preserve">https://www.inaturalist.org/observations/383160151</t>
  </si>
  <si>
    <t xml:space="preserve">FALSE 2043</t>
  </si>
  <si>
    <t xml:space="preserve">Euptoieta claudia</t>
  </si>
  <si>
    <t xml:space="preserve">https://www.inaturalist.org/observations/383159658</t>
  </si>
  <si>
    <t xml:space="preserve">FALSE 2044</t>
  </si>
  <si>
    <t xml:space="preserve">Cupiennius bimaculatus</t>
  </si>
  <si>
    <t xml:space="preserve">https://www.inaturalist.org/observations/383159583</t>
  </si>
  <si>
    <t xml:space="preserve">FALSE 2045</t>
  </si>
  <si>
    <t xml:space="preserve">Anax junius</t>
  </si>
  <si>
    <t xml:space="preserve">https://www.inaturalist.org/observations/383159569</t>
  </si>
  <si>
    <t xml:space="preserve">FALSE 2046</t>
  </si>
  <si>
    <t xml:space="preserve">Amata sperbius</t>
  </si>
  <si>
    <t xml:space="preserve">https://www.inaturalist.org/observations/383159288</t>
  </si>
  <si>
    <t xml:space="preserve">FALSE 2047</t>
  </si>
  <si>
    <t xml:space="preserve">Loxosceles reclusa</t>
  </si>
  <si>
    <t xml:space="preserve">https://www.inaturalist.org/observations/383159135</t>
  </si>
  <si>
    <t xml:space="preserve">FALSE 2048</t>
  </si>
  <si>
    <t xml:space="preserve">Xestoleptura crassipes</t>
  </si>
  <si>
    <t xml:space="preserve">https://www.inaturalist.org/observations/383159108</t>
  </si>
  <si>
    <t xml:space="preserve">FALSE 2049</t>
  </si>
  <si>
    <t xml:space="preserve">Pheosidea elegans</t>
  </si>
  <si>
    <t xml:space="preserve">https://www.inaturalist.org/observations/383159093</t>
  </si>
  <si>
    <t xml:space="preserve">FALSE 2050</t>
  </si>
  <si>
    <t xml:space="preserve">Nannophya pygmaea</t>
  </si>
  <si>
    <t xml:space="preserve">https://www.inaturalist.org/observations/383159081</t>
  </si>
  <si>
    <t xml:space="preserve">FALSE 2051</t>
  </si>
  <si>
    <t xml:space="preserve">Lucilia sericata</t>
  </si>
  <si>
    <t xml:space="preserve">https://www.inaturalist.org/observations/383159064</t>
  </si>
  <si>
    <t xml:space="preserve">FALSE 2052</t>
  </si>
  <si>
    <t xml:space="preserve">Latrodectus geometricus</t>
  </si>
  <si>
    <t xml:space="preserve">https://www.inaturalist.org/observations/383159045</t>
  </si>
  <si>
    <t xml:space="preserve">FALSE 2053</t>
  </si>
  <si>
    <t xml:space="preserve">Pholisora catullus</t>
  </si>
  <si>
    <t xml:space="preserve">https://www.inaturalist.org/observations/383158991</t>
  </si>
  <si>
    <t xml:space="preserve">FALSE 2054</t>
  </si>
  <si>
    <t xml:space="preserve">Xylotrechus sagittatus</t>
  </si>
  <si>
    <t xml:space="preserve">https://www.inaturalist.org/observations/383158911</t>
  </si>
  <si>
    <t xml:space="preserve">FALSE 2055</t>
  </si>
  <si>
    <t xml:space="preserve">Biston betularia</t>
  </si>
  <si>
    <t xml:space="preserve">https://www.inaturalist.org/observations/383158910</t>
  </si>
  <si>
    <t xml:space="preserve">FALSE 2056</t>
  </si>
  <si>
    <t xml:space="preserve">Tylozygus bifidus</t>
  </si>
  <si>
    <t xml:space="preserve">https://www.inaturalist.org/observations/383158901</t>
  </si>
  <si>
    <t xml:space="preserve">FALSE 2057</t>
  </si>
  <si>
    <t xml:space="preserve">Junonia atlites</t>
  </si>
  <si>
    <t xml:space="preserve">https://www.inaturalist.org/observations/383158888</t>
  </si>
  <si>
    <t xml:space="preserve">FALSE 2058</t>
  </si>
  <si>
    <t xml:space="preserve">Caenurgia chloropha</t>
  </si>
  <si>
    <t xml:space="preserve">https://www.inaturalist.org/observations/383158870</t>
  </si>
  <si>
    <t xml:space="preserve">FALSE 2059</t>
  </si>
  <si>
    <t xml:space="preserve">Acrolophus panamae</t>
  </si>
  <si>
    <t xml:space="preserve">https://www.inaturalist.org/observations/383158854</t>
  </si>
  <si>
    <t xml:space="preserve">FALSE 2060</t>
  </si>
  <si>
    <t xml:space="preserve">Acrolophus mycetophagus</t>
  </si>
  <si>
    <t xml:space="preserve">https://www.inaturalist.org/observations/383158847</t>
  </si>
  <si>
    <t xml:space="preserve">FALSE 2061</t>
  </si>
  <si>
    <t xml:space="preserve">Macaria signaria</t>
  </si>
  <si>
    <t xml:space="preserve">https://www.inaturalist.org/observations/383158843</t>
  </si>
  <si>
    <t xml:space="preserve">FALSE 2062</t>
  </si>
  <si>
    <t xml:space="preserve">Lestes eurinus</t>
  </si>
  <si>
    <t xml:space="preserve">https://www.inaturalist.org/observations/383158828</t>
  </si>
  <si>
    <t xml:space="preserve">FALSE 2063</t>
  </si>
  <si>
    <t xml:space="preserve">Argiope catenulata</t>
  </si>
  <si>
    <t xml:space="preserve">https://www.inaturalist.org/observations/383158767</t>
  </si>
  <si>
    <t xml:space="preserve">FALSE 2064</t>
  </si>
  <si>
    <t xml:space="preserve">Chelaner kiliani</t>
  </si>
  <si>
    <t xml:space="preserve">https://www.inaturalist.org/observations/383158721</t>
  </si>
  <si>
    <t xml:space="preserve">FALSE 2065</t>
  </si>
  <si>
    <t xml:space="preserve">Graphosoma rubrolineatum</t>
  </si>
  <si>
    <t xml:space="preserve">https://www.inaturalist.org/observations/383158684</t>
  </si>
  <si>
    <t xml:space="preserve">FALSE 2066</t>
  </si>
  <si>
    <t xml:space="preserve">Phareicranaus calcarifer</t>
  </si>
  <si>
    <t xml:space="preserve">https://www.inaturalist.org/observations/383158629</t>
  </si>
  <si>
    <t xml:space="preserve">FALSE 2067</t>
  </si>
  <si>
    <t xml:space="preserve">Paonias myops</t>
  </si>
  <si>
    <t xml:space="preserve">https://www.inaturalist.org/observations/383158625</t>
  </si>
  <si>
    <t xml:space="preserve">FALSE 2068</t>
  </si>
  <si>
    <t xml:space="preserve">Dynastes tityus</t>
  </si>
  <si>
    <t xml:space="preserve">https://www.inaturalist.org/observations/383158474</t>
  </si>
  <si>
    <t xml:space="preserve">FALSE 2069</t>
  </si>
  <si>
    <t xml:space="preserve">Asterocampa celtis</t>
  </si>
  <si>
    <t xml:space="preserve">https://www.inaturalist.org/observations/383158470</t>
  </si>
  <si>
    <t xml:space="preserve">FALSE 2070</t>
  </si>
  <si>
    <t xml:space="preserve">Phidippus regius</t>
  </si>
  <si>
    <t xml:space="preserve">https://www.inaturalist.org/observations/383158407</t>
  </si>
  <si>
    <t xml:space="preserve">FALSE 2071</t>
  </si>
  <si>
    <t xml:space="preserve">Raphia frater</t>
  </si>
  <si>
    <t xml:space="preserve">https://www.inaturalist.org/observations/383158334</t>
  </si>
  <si>
    <t xml:space="preserve">FALSE 2072</t>
  </si>
  <si>
    <t xml:space="preserve">Acanthocephala terminalis</t>
  </si>
  <si>
    <t xml:space="preserve">https://www.inaturalist.org/observations/383158326</t>
  </si>
  <si>
    <t xml:space="preserve">FALSE 2073</t>
  </si>
  <si>
    <t xml:space="preserve">Psalmopoeus cambridgei</t>
  </si>
  <si>
    <t xml:space="preserve">https://www.inaturalist.org/observations/383158275</t>
  </si>
  <si>
    <t xml:space="preserve">FALSE 2074</t>
  </si>
  <si>
    <t xml:space="preserve">Cyclommatinus asahinai</t>
  </si>
  <si>
    <t xml:space="preserve">https://www.inaturalist.org/observations/383158199</t>
  </si>
  <si>
    <t xml:space="preserve">FALSE 2075</t>
  </si>
  <si>
    <t xml:space="preserve">Dorcus rubrofemoratus</t>
  </si>
  <si>
    <t xml:space="preserve">https://www.inaturalist.org/observations/383158198</t>
  </si>
  <si>
    <t xml:space="preserve">FALSE 2076</t>
  </si>
  <si>
    <t xml:space="preserve">Megalorchestia californiana</t>
  </si>
  <si>
    <t xml:space="preserve">https://www.inaturalist.org/observations/383158181</t>
  </si>
  <si>
    <t xml:space="preserve">FALSE 2077</t>
  </si>
  <si>
    <t xml:space="preserve">Enallagma aspersum</t>
  </si>
  <si>
    <t xml:space="preserve">https://www.inaturalist.org/observations/383158176</t>
  </si>
  <si>
    <t xml:space="preserve">FALSE 2078</t>
  </si>
  <si>
    <t xml:space="preserve">Poanes viator</t>
  </si>
  <si>
    <t xml:space="preserve">https://www.inaturalist.org/observations/383158070</t>
  </si>
  <si>
    <t xml:space="preserve">FALSE 2079</t>
  </si>
  <si>
    <t xml:space="preserve">Euchaetes egle</t>
  </si>
  <si>
    <t xml:space="preserve">https://www.inaturalist.org/observations/383158064</t>
  </si>
  <si>
    <t xml:space="preserve">FALSE 2080</t>
  </si>
  <si>
    <t xml:space="preserve">Perizoma alchemillata</t>
  </si>
  <si>
    <t xml:space="preserve">https://www.inaturalist.org/observations/383157969</t>
  </si>
  <si>
    <t xml:space="preserve">FALSE 2081</t>
  </si>
  <si>
    <t xml:space="preserve">Flatormenis proxima</t>
  </si>
  <si>
    <t xml:space="preserve">https://www.inaturalist.org/observations/383157887</t>
  </si>
  <si>
    <t xml:space="preserve">FALSE 2082</t>
  </si>
  <si>
    <t xml:space="preserve">Adalia bipunctata</t>
  </si>
  <si>
    <t xml:space="preserve">https://www.inaturalist.org/observations/383157871</t>
  </si>
  <si>
    <t xml:space="preserve">FALSE 2083</t>
  </si>
  <si>
    <t xml:space="preserve">Gnophaela vermiculata</t>
  </si>
  <si>
    <t xml:space="preserve">https://www.inaturalist.org/observations/383157585</t>
  </si>
  <si>
    <t xml:space="preserve">FALSE 2084</t>
  </si>
  <si>
    <t xml:space="preserve">Anasaitis canosus</t>
  </si>
  <si>
    <t xml:space="preserve">https://www.inaturalist.org/observations/383157533</t>
  </si>
  <si>
    <t xml:space="preserve">FALSE 2085</t>
  </si>
  <si>
    <t xml:space="preserve">Hyles gallii</t>
  </si>
  <si>
    <t xml:space="preserve">https://www.inaturalist.org/observations/383157521</t>
  </si>
  <si>
    <t xml:space="preserve">FALSE 2086</t>
  </si>
  <si>
    <t xml:space="preserve">Noctua pronuba</t>
  </si>
  <si>
    <t xml:space="preserve">https://www.inaturalist.org/observations/383157326</t>
  </si>
  <si>
    <t xml:space="preserve">FALSE 2087</t>
  </si>
  <si>
    <t xml:space="preserve">Hyles lineata</t>
  </si>
  <si>
    <t xml:space="preserve">https://www.inaturalist.org/observations/383157188</t>
  </si>
  <si>
    <t xml:space="preserve">FALSE 2088</t>
  </si>
  <si>
    <t xml:space="preserve">Apterodela unipunctata</t>
  </si>
  <si>
    <t xml:space="preserve">https://www.inaturalist.org/observations/383156963</t>
  </si>
  <si>
    <t xml:space="preserve">FALSE 2089</t>
  </si>
  <si>
    <t xml:space="preserve">Boloria myrina</t>
  </si>
  <si>
    <t xml:space="preserve">https://www.inaturalist.org/observations/383156777</t>
  </si>
  <si>
    <t xml:space="preserve">FALSE 2090</t>
  </si>
  <si>
    <t xml:space="preserve">Amphibolips quercusjuglans</t>
  </si>
  <si>
    <t xml:space="preserve">https://www.inaturalist.org/observations/383156703</t>
  </si>
  <si>
    <t xml:space="preserve">FALSE 2091</t>
  </si>
  <si>
    <t xml:space="preserve">Pachypsylla venusta</t>
  </si>
  <si>
    <t xml:space="preserve">https://www.inaturalist.org/observations/383156663</t>
  </si>
  <si>
    <t xml:space="preserve">FALSE 2092</t>
  </si>
  <si>
    <t xml:space="preserve">Naphrys pulex</t>
  </si>
  <si>
    <t xml:space="preserve">https://www.inaturalist.org/observations/383156623</t>
  </si>
  <si>
    <t xml:space="preserve">FALSE 2093</t>
  </si>
  <si>
    <t xml:space="preserve">Amphibolips confluenta</t>
  </si>
  <si>
    <t xml:space="preserve">https://www.inaturalist.org/observations/383156593</t>
  </si>
  <si>
    <t xml:space="preserve">FALSE 2094</t>
  </si>
  <si>
    <t xml:space="preserve">Argia sedula</t>
  </si>
  <si>
    <t xml:space="preserve">https://www.inaturalist.org/observations/383156554</t>
  </si>
  <si>
    <t xml:space="preserve">FALSE 2095</t>
  </si>
  <si>
    <t xml:space="preserve">Gomphurus vastus</t>
  </si>
  <si>
    <t xml:space="preserve">https://www.inaturalist.org/observations/383156379</t>
  </si>
  <si>
    <t xml:space="preserve">FALSE 2096</t>
  </si>
  <si>
    <t xml:space="preserve">Crambus praefectellus</t>
  </si>
  <si>
    <t xml:space="preserve">https://www.inaturalist.org/observations/383156365</t>
  </si>
  <si>
    <t xml:space="preserve">FALSE 2097</t>
  </si>
  <si>
    <t xml:space="preserve">Echinargus isola</t>
  </si>
  <si>
    <t xml:space="preserve">https://www.inaturalist.org/observations/383156340</t>
  </si>
  <si>
    <t xml:space="preserve">FALSE 2098</t>
  </si>
  <si>
    <t xml:space="preserve">Hyalophora cecropia</t>
  </si>
  <si>
    <t xml:space="preserve">https://www.inaturalist.org/observations/383156313</t>
  </si>
  <si>
    <t xml:space="preserve">FALSE 2099</t>
  </si>
  <si>
    <t xml:space="preserve">Lacinipolia renigera</t>
  </si>
  <si>
    <t xml:space="preserve">https://www.inaturalist.org/observations/383156264</t>
  </si>
  <si>
    <t xml:space="preserve">FALSE 2100</t>
  </si>
  <si>
    <t xml:space="preserve">Coelophora inaequalis</t>
  </si>
  <si>
    <t xml:space="preserve">https://www.inaturalist.org/observations/383156204</t>
  </si>
  <si>
    <t xml:space="preserve">FALSE 2101</t>
  </si>
  <si>
    <t xml:space="preserve">Clogmia albipunctata</t>
  </si>
  <si>
    <t xml:space="preserve">https://www.inaturalist.org/observations/383156195</t>
  </si>
  <si>
    <t xml:space="preserve">FALSE 2102</t>
  </si>
  <si>
    <t xml:space="preserve">Phyciodes phaon</t>
  </si>
  <si>
    <t xml:space="preserve">https://www.inaturalist.org/observations/383156086</t>
  </si>
  <si>
    <t xml:space="preserve">FALSE 2103</t>
  </si>
  <si>
    <t xml:space="preserve">Frontinella pyramitela</t>
  </si>
  <si>
    <t xml:space="preserve">https://www.inaturalist.org/observations/383156068</t>
  </si>
  <si>
    <t xml:space="preserve">FALSE 2104</t>
  </si>
  <si>
    <t xml:space="preserve">Diplacodes haematodes</t>
  </si>
  <si>
    <t xml:space="preserve">https://www.inaturalist.org/observations/383156066</t>
  </si>
  <si>
    <t xml:space="preserve">FALSE 2105</t>
  </si>
  <si>
    <t xml:space="preserve">Acraea terpsicore</t>
  </si>
  <si>
    <t xml:space="preserve">https://www.inaturalist.org/observations/383156043</t>
  </si>
  <si>
    <t xml:space="preserve">FALSE 2106</t>
  </si>
  <si>
    <t xml:space="preserve">Iridomyrmex purpureus</t>
  </si>
  <si>
    <t xml:space="preserve">https://www.inaturalist.org/observations/383156008</t>
  </si>
  <si>
    <t xml:space="preserve">FALSE 2107</t>
  </si>
  <si>
    <t xml:space="preserve">Colladonus clitellarius</t>
  </si>
  <si>
    <t xml:space="preserve">https://www.inaturalist.org/observations/383155921</t>
  </si>
  <si>
    <t xml:space="preserve">FALSE 2108</t>
  </si>
  <si>
    <t xml:space="preserve">Argia moesta</t>
  </si>
  <si>
    <t xml:space="preserve">https://www.inaturalist.org/observations/383155892</t>
  </si>
  <si>
    <t xml:space="preserve">FALSE 2109</t>
  </si>
  <si>
    <t xml:space="preserve">Xylocopa sonorina</t>
  </si>
  <si>
    <t xml:space="preserve">https://www.inaturalist.org/observations/383155830</t>
  </si>
  <si>
    <t xml:space="preserve">FALSE 2110</t>
  </si>
  <si>
    <t xml:space="preserve">Nyssodesmus python</t>
  </si>
  <si>
    <t xml:space="preserve">https://www.inaturalist.org/observations/383155730</t>
  </si>
  <si>
    <t xml:space="preserve">FALSE 2111</t>
  </si>
  <si>
    <t xml:space="preserve">Deloyala guttata</t>
  </si>
  <si>
    <t xml:space="preserve">https://www.inaturalist.org/observations/383155701</t>
  </si>
  <si>
    <t xml:space="preserve">FALSE 2112</t>
  </si>
  <si>
    <t xml:space="preserve">Phoebis sennae</t>
  </si>
  <si>
    <t xml:space="preserve">https://www.inaturalist.org/observations/383155641</t>
  </si>
  <si>
    <t xml:space="preserve">FALSE 2113</t>
  </si>
  <si>
    <t xml:space="preserve">Eupithecia miserulata</t>
  </si>
  <si>
    <t xml:space="preserve">https://www.inaturalist.org/observations/383155597</t>
  </si>
  <si>
    <t xml:space="preserve">FALSE 2114</t>
  </si>
  <si>
    <t xml:space="preserve">Enallagma basidens</t>
  </si>
  <si>
    <t xml:space="preserve">https://www.inaturalist.org/observations/383155553</t>
  </si>
  <si>
    <t xml:space="preserve">FALSE 2115</t>
  </si>
  <si>
    <t xml:space="preserve">Lepturobosca chrysocoma</t>
  </si>
  <si>
    <t xml:space="preserve">https://www.inaturalist.org/observations/383155546</t>
  </si>
  <si>
    <t xml:space="preserve">FALSE 2116</t>
  </si>
  <si>
    <t xml:space="preserve">Papilio polyxenes asterius</t>
  </si>
  <si>
    <t xml:space="preserve">https://www.inaturalist.org/observations/383155508</t>
  </si>
  <si>
    <t xml:space="preserve">FALSE 2117</t>
  </si>
  <si>
    <t xml:space="preserve">Colias philodice</t>
  </si>
  <si>
    <t xml:space="preserve">https://www.inaturalist.org/observations/383155494</t>
  </si>
  <si>
    <t xml:space="preserve">FALSE 2118</t>
  </si>
  <si>
    <t xml:space="preserve">Sinea diadema</t>
  </si>
  <si>
    <t xml:space="preserve">https://www.inaturalist.org/observations/383155481</t>
  </si>
  <si>
    <t xml:space="preserve">FALSE 2119</t>
  </si>
  <si>
    <t xml:space="preserve">Aglais io</t>
  </si>
  <si>
    <t xml:space="preserve">https://www.inaturalist.org/observations/383155446</t>
  </si>
  <si>
    <t xml:space="preserve">FALSE 2120</t>
  </si>
  <si>
    <t xml:space="preserve">Creoxylus spinosus</t>
  </si>
  <si>
    <t xml:space="preserve">https://www.inaturalist.org/observations/383155217</t>
  </si>
  <si>
    <t xml:space="preserve">FALSE 2121</t>
  </si>
  <si>
    <t xml:space="preserve">Fungus</t>
  </si>
  <si>
    <t xml:space="preserve">Gliophorus graminicolor</t>
  </si>
  <si>
    <t xml:space="preserve">https://www.inaturalist.org/observations/383183329</t>
  </si>
  <si>
    <t xml:space="preserve">FALSE 2122</t>
  </si>
  <si>
    <t xml:space="preserve">Caloboletus firmus</t>
  </si>
  <si>
    <t xml:space="preserve">https://www.inaturalist.org/observations/383181945</t>
  </si>
  <si>
    <t xml:space="preserve">FALSE 2123</t>
  </si>
  <si>
    <t xml:space="preserve">Bondarzewia berkeleyi</t>
  </si>
  <si>
    <t xml:space="preserve">https://www.inaturalist.org/observations/383181398</t>
  </si>
  <si>
    <t xml:space="preserve">FALSE 2124</t>
  </si>
  <si>
    <t xml:space="preserve">Russula parvovirescens</t>
  </si>
  <si>
    <t xml:space="preserve">https://www.inaturalist.org/observations/383180574</t>
  </si>
  <si>
    <t xml:space="preserve">FALSE 2125</t>
  </si>
  <si>
    <t xml:space="preserve">Gloeophyllum sepiarium</t>
  </si>
  <si>
    <t xml:space="preserve">https://www.inaturalist.org/observations/383180009</t>
  </si>
  <si>
    <t xml:space="preserve">FALSE 2126</t>
  </si>
  <si>
    <t xml:space="preserve">Laetiporus cincinnatus</t>
  </si>
  <si>
    <t xml:space="preserve">https://www.inaturalist.org/observations/383179963</t>
  </si>
  <si>
    <t xml:space="preserve">FALSE 2127</t>
  </si>
  <si>
    <t xml:space="preserve">Artomyces pyxidatus</t>
  </si>
  <si>
    <t xml:space="preserve">https://www.inaturalist.org/observations/383178624</t>
  </si>
  <si>
    <t xml:space="preserve">FALSE 2128</t>
  </si>
  <si>
    <t xml:space="preserve">Omphalotus illudens</t>
  </si>
  <si>
    <t xml:space="preserve">https://www.inaturalist.org/observations/383176864</t>
  </si>
  <si>
    <t xml:space="preserve">FALSE 2129</t>
  </si>
  <si>
    <t xml:space="preserve">Desarmillaria caespitosa</t>
  </si>
  <si>
    <t xml:space="preserve">https://www.inaturalist.org/observations/383174873</t>
  </si>
  <si>
    <t xml:space="preserve">FALSE 2130</t>
  </si>
  <si>
    <t xml:space="preserve">Leratiomyces ceres</t>
  </si>
  <si>
    <t xml:space="preserve">https://www.inaturalist.org/observations/383172554</t>
  </si>
  <si>
    <t xml:space="preserve">FALSE 2131</t>
  </si>
  <si>
    <t xml:space="preserve">Polyporus radicatus</t>
  </si>
  <si>
    <t xml:space="preserve">https://www.inaturalist.org/observations/383170233</t>
  </si>
  <si>
    <t xml:space="preserve">FALSE 2132</t>
  </si>
  <si>
    <t xml:space="preserve">Trichaptum biforme</t>
  </si>
  <si>
    <t xml:space="preserve">https://www.inaturalist.org/observations/383169667</t>
  </si>
  <si>
    <t xml:space="preserve">FALSE 2133</t>
  </si>
  <si>
    <t xml:space="preserve">Ramalina sinensis</t>
  </si>
  <si>
    <t xml:space="preserve">https://www.inaturalist.org/observations/383169398</t>
  </si>
  <si>
    <t xml:space="preserve">FALSE 2134</t>
  </si>
  <si>
    <t xml:space="preserve">Laetiporus sulphureus</t>
  </si>
  <si>
    <t xml:space="preserve">https://www.inaturalist.org/observations/383168746</t>
  </si>
  <si>
    <t xml:space="preserve">FALSE 2135</t>
  </si>
  <si>
    <t xml:space="preserve">Stereum ostrea</t>
  </si>
  <si>
    <t xml:space="preserve">https://www.inaturalist.org/observations/383167993</t>
  </si>
  <si>
    <t xml:space="preserve">FALSE 2136</t>
  </si>
  <si>
    <t xml:space="preserve">Nigroporus vinosus</t>
  </si>
  <si>
    <t xml:space="preserve">https://www.inaturalist.org/observations/383165694</t>
  </si>
  <si>
    <t xml:space="preserve">FALSE 2137</t>
  </si>
  <si>
    <t xml:space="preserve">Lactarius peckii</t>
  </si>
  <si>
    <t xml:space="preserve">https://www.inaturalist.org/observations/383165332</t>
  </si>
  <si>
    <t xml:space="preserve">FALSE 2138</t>
  </si>
  <si>
    <t xml:space="preserve">Turbinellus floccosus</t>
  </si>
  <si>
    <t xml:space="preserve">https://www.inaturalist.org/observations/383165283</t>
  </si>
  <si>
    <t xml:space="preserve">FALSE 2139</t>
  </si>
  <si>
    <t xml:space="preserve">Flavoparmelia rutidota</t>
  </si>
  <si>
    <t xml:space="preserve">https://www.inaturalist.org/observations/383163747</t>
  </si>
  <si>
    <t xml:space="preserve">FALSE 2140</t>
  </si>
  <si>
    <t xml:space="preserve">Cymatoderma elegans</t>
  </si>
  <si>
    <t xml:space="preserve">https://www.inaturalist.org/observations/383163184</t>
  </si>
  <si>
    <t xml:space="preserve">FALSE 2141</t>
  </si>
  <si>
    <t xml:space="preserve">Hypomyces lactifluorum</t>
  </si>
  <si>
    <t xml:space="preserve">https://www.inaturalist.org/observations/383162386</t>
  </si>
  <si>
    <t xml:space="preserve">FALSE 2142</t>
  </si>
  <si>
    <t xml:space="preserve">Calostoma cinnabarinum</t>
  </si>
  <si>
    <t xml:space="preserve">https://www.inaturalist.org/observations/383162299</t>
  </si>
  <si>
    <t xml:space="preserve">FALSE 2143</t>
  </si>
  <si>
    <t xml:space="preserve">Amanita flavoconia</t>
  </si>
  <si>
    <t xml:space="preserve">https://www.inaturalist.org/observations/383161936</t>
  </si>
  <si>
    <t xml:space="preserve">FALSE 2144</t>
  </si>
  <si>
    <t xml:space="preserve">Cladonia skottsbergii</t>
  </si>
  <si>
    <t xml:space="preserve">https://www.inaturalist.org/observations/383158388</t>
  </si>
  <si>
    <t xml:space="preserve">FALSE 2145</t>
  </si>
  <si>
    <t xml:space="preserve">Amanita fulva</t>
  </si>
  <si>
    <t xml:space="preserve">https://www.inaturalist.org/observations/383157954</t>
  </si>
  <si>
    <t xml:space="preserve">FALSE 2146</t>
  </si>
  <si>
    <t xml:space="preserve">Amanita xanthocephala</t>
  </si>
  <si>
    <t xml:space="preserve">https://www.inaturalist.org/observations/383154095</t>
  </si>
  <si>
    <t xml:space="preserve">FALSE 2147</t>
  </si>
  <si>
    <t xml:space="preserve">Flavoparmelia caperata</t>
  </si>
  <si>
    <t xml:space="preserve">https://www.inaturalist.org/observations/383152953</t>
  </si>
  <si>
    <t xml:space="preserve">FALSE 2148</t>
  </si>
  <si>
    <t xml:space="preserve">Parmelia sulcata</t>
  </si>
  <si>
    <t xml:space="preserve">https://www.inaturalist.org/observations/383152811</t>
  </si>
  <si>
    <t xml:space="preserve">FALSE 2149</t>
  </si>
  <si>
    <t xml:space="preserve">Chlorophyllum molybdites</t>
  </si>
  <si>
    <t xml:space="preserve">https://www.inaturalist.org/observations/383152630</t>
  </si>
  <si>
    <t xml:space="preserve">FALSE 2150</t>
  </si>
  <si>
    <t xml:space="preserve">Boletus separans</t>
  </si>
  <si>
    <t xml:space="preserve">https://www.inaturalist.org/observations/383152012</t>
  </si>
  <si>
    <t xml:space="preserve">FALSE 2151</t>
  </si>
  <si>
    <t xml:space="preserve">Tremella fuciformis</t>
  </si>
  <si>
    <t xml:space="preserve">https://www.inaturalist.org/observations/383151943</t>
  </si>
  <si>
    <t xml:space="preserve">FALSE 2152</t>
  </si>
  <si>
    <t xml:space="preserve">Porpidia crustulata</t>
  </si>
  <si>
    <t xml:space="preserve">https://www.inaturalist.org/observations/383148579</t>
  </si>
  <si>
    <t xml:space="preserve">FALSE 2153</t>
  </si>
  <si>
    <t xml:space="preserve">Lactarius deliciosus</t>
  </si>
  <si>
    <t xml:space="preserve">https://www.inaturalist.org/observations/383148216</t>
  </si>
  <si>
    <t xml:space="preserve">FALSE 2154</t>
  </si>
  <si>
    <t xml:space="preserve">Oudemansiella gigaspora</t>
  </si>
  <si>
    <t xml:space="preserve">https://www.inaturalist.org/observations/383146774</t>
  </si>
  <si>
    <t xml:space="preserve">FALSE 2155</t>
  </si>
  <si>
    <t xml:space="preserve">Phaeotremella fimbriata</t>
  </si>
  <si>
    <t xml:space="preserve">https://www.inaturalist.org/observations/383146444</t>
  </si>
  <si>
    <t xml:space="preserve">FALSE 2156</t>
  </si>
  <si>
    <t xml:space="preserve">Lactarius subplinthogalus</t>
  </si>
  <si>
    <t xml:space="preserve">https://www.inaturalist.org/observations/383145126</t>
  </si>
  <si>
    <t xml:space="preserve">FALSE 2157</t>
  </si>
  <si>
    <t xml:space="preserve">Ileodictyon cibarium</t>
  </si>
  <si>
    <t xml:space="preserve">https://www.inaturalist.org/observations/383144728</t>
  </si>
  <si>
    <t xml:space="preserve">FALSE 2158</t>
  </si>
  <si>
    <t xml:space="preserve">Hypomyces chrysospermus</t>
  </si>
  <si>
    <t xml:space="preserve">https://www.inaturalist.org/observations/383143757</t>
  </si>
  <si>
    <t xml:space="preserve">FALSE 2159</t>
  </si>
  <si>
    <t xml:space="preserve">Taphrina robinsoniana</t>
  </si>
  <si>
    <t xml:space="preserve">https://www.inaturalist.org/observations/383143691</t>
  </si>
  <si>
    <t xml:space="preserve">FALSE 2160</t>
  </si>
  <si>
    <t xml:space="preserve">Lobaria pulmonaria</t>
  </si>
  <si>
    <t xml:space="preserve">https://www.inaturalist.org/observations/383142549</t>
  </si>
  <si>
    <t xml:space="preserve">FALSE 2161</t>
  </si>
  <si>
    <t xml:space="preserve">Cladonia peziziformis</t>
  </si>
  <si>
    <t xml:space="preserve">https://www.inaturalist.org/observations/383138115</t>
  </si>
  <si>
    <t xml:space="preserve">FALSE 2162</t>
  </si>
  <si>
    <t xml:space="preserve">Anaptychia palmulata</t>
  </si>
  <si>
    <t xml:space="preserve">https://www.inaturalist.org/observations/383138106</t>
  </si>
  <si>
    <t xml:space="preserve">FALSE 2163</t>
  </si>
  <si>
    <t xml:space="preserve">Galiella rufa</t>
  </si>
  <si>
    <t xml:space="preserve">https://www.inaturalist.org/observations/383138041</t>
  </si>
  <si>
    <t xml:space="preserve">FALSE 2164</t>
  </si>
  <si>
    <t xml:space="preserve">Brigantiaea leucoxantha</t>
  </si>
  <si>
    <t xml:space="preserve">https://www.inaturalist.org/observations/383137997</t>
  </si>
  <si>
    <t xml:space="preserve">FALSE 2165</t>
  </si>
  <si>
    <t xml:space="preserve">Lactarius eucalypti</t>
  </si>
  <si>
    <t xml:space="preserve">https://www.inaturalist.org/observations/383137242</t>
  </si>
  <si>
    <t xml:space="preserve">FALSE 2166</t>
  </si>
  <si>
    <t xml:space="preserve">Mycena interrupta</t>
  </si>
  <si>
    <t xml:space="preserve">https://www.inaturalist.org/observations/383136831</t>
  </si>
  <si>
    <t xml:space="preserve">FALSE 2167</t>
  </si>
  <si>
    <t xml:space="preserve">Sparassis spathulata</t>
  </si>
  <si>
    <t xml:space="preserve">https://www.inaturalist.org/observations/383135858</t>
  </si>
  <si>
    <t xml:space="preserve">FALSE 2168</t>
  </si>
  <si>
    <t xml:space="preserve">Pleurotus citrinopileatus</t>
  </si>
  <si>
    <t xml:space="preserve">https://www.inaturalist.org/observations/383134668</t>
  </si>
  <si>
    <t xml:space="preserve">FALSE 2169</t>
  </si>
  <si>
    <t xml:space="preserve">Schizophyllum commune</t>
  </si>
  <si>
    <t xml:space="preserve">https://www.inaturalist.org/observations/383132747</t>
  </si>
  <si>
    <t xml:space="preserve">FALSE 2170</t>
  </si>
  <si>
    <t xml:space="preserve">Boletus edulis</t>
  </si>
  <si>
    <t xml:space="preserve">https://www.inaturalist.org/observations/383131755</t>
  </si>
  <si>
    <t xml:space="preserve">FALSE 2171</t>
  </si>
  <si>
    <t xml:space="preserve">Aureoboletus auriflammeus</t>
  </si>
  <si>
    <t xml:space="preserve">https://www.inaturalist.org/observations/383129891</t>
  </si>
  <si>
    <t xml:space="preserve">FALSE 2172</t>
  </si>
  <si>
    <t xml:space="preserve">Collybiopsis affixa</t>
  </si>
  <si>
    <t xml:space="preserve">https://www.inaturalist.org/observations/383128914</t>
  </si>
  <si>
    <t xml:space="preserve">FALSE 2173</t>
  </si>
  <si>
    <t xml:space="preserve">Omphalotus olivascens</t>
  </si>
  <si>
    <t xml:space="preserve">https://www.inaturalist.org/observations/383126122</t>
  </si>
  <si>
    <t xml:space="preserve">FALSE 2174</t>
  </si>
  <si>
    <t xml:space="preserve">Cerioporus squamosus</t>
  </si>
  <si>
    <t xml:space="preserve">https://www.inaturalist.org/observations/383125503</t>
  </si>
  <si>
    <t xml:space="preserve">FALSE 2175</t>
  </si>
  <si>
    <t xml:space="preserve">Meripilus sumstinei</t>
  </si>
  <si>
    <t xml:space="preserve">https://www.inaturalist.org/observations/383124590</t>
  </si>
  <si>
    <t xml:space="preserve">FALSE 2176</t>
  </si>
  <si>
    <t xml:space="preserve">Phlebia incarnata</t>
  </si>
  <si>
    <t xml:space="preserve">https://www.inaturalist.org/observations/383123415</t>
  </si>
  <si>
    <t xml:space="preserve">FALSE 2177</t>
  </si>
  <si>
    <t xml:space="preserve">Ganoderma curtisii</t>
  </si>
  <si>
    <t xml:space="preserve">https://www.inaturalist.org/observations/383122106</t>
  </si>
  <si>
    <t xml:space="preserve">FALSE 2178</t>
  </si>
  <si>
    <t xml:space="preserve">Strobilomyces strobilaceus</t>
  </si>
  <si>
    <t xml:space="preserve">https://www.inaturalist.org/observations/383120292</t>
  </si>
  <si>
    <t xml:space="preserve">FALSE 2179</t>
  </si>
  <si>
    <t xml:space="preserve">Berkcurtia persicina</t>
  </si>
  <si>
    <t xml:space="preserve">https://www.inaturalist.org/observations/383120082</t>
  </si>
  <si>
    <t xml:space="preserve">FALSE 2180</t>
  </si>
  <si>
    <t xml:space="preserve">Cordyceps militaris</t>
  </si>
  <si>
    <t xml:space="preserve">https://www.inaturalist.org/observations/383119607</t>
  </si>
  <si>
    <t xml:space="preserve">FALSE 2181</t>
  </si>
  <si>
    <t xml:space="preserve">Podoscypha petalodes</t>
  </si>
  <si>
    <t xml:space="preserve">https://www.inaturalist.org/observations/383119564</t>
  </si>
  <si>
    <t xml:space="preserve">FALSE 2182</t>
  </si>
  <si>
    <t xml:space="preserve">Pholiota glutinosa</t>
  </si>
  <si>
    <t xml:space="preserve">https://www.inaturalist.org/observations/383118711</t>
  </si>
  <si>
    <t xml:space="preserve">FALSE 2183</t>
  </si>
  <si>
    <t xml:space="preserve">Lactarius indigo</t>
  </si>
  <si>
    <t xml:space="preserve">https://www.inaturalist.org/observations/383117950</t>
  </si>
  <si>
    <t xml:space="preserve">FALSE 2184</t>
  </si>
  <si>
    <t xml:space="preserve">Gyroporus borealis</t>
  </si>
  <si>
    <t xml:space="preserve">https://www.inaturalist.org/observations/383117946</t>
  </si>
  <si>
    <t xml:space="preserve">FALSE 2185</t>
  </si>
  <si>
    <t xml:space="preserve">Mutinus elegans</t>
  </si>
  <si>
    <t xml:space="preserve">https://www.inaturalist.org/observations/383117258</t>
  </si>
  <si>
    <t xml:space="preserve">FALSE 2186</t>
  </si>
  <si>
    <t xml:space="preserve">Suillus ochraceoroseus</t>
  </si>
  <si>
    <t xml:space="preserve">https://www.inaturalist.org/observations/383116105</t>
  </si>
  <si>
    <t xml:space="preserve">FALSE 2187</t>
  </si>
  <si>
    <t xml:space="preserve">Cortinarius sinapicolor</t>
  </si>
  <si>
    <t xml:space="preserve">https://www.inaturalist.org/observations/383115198</t>
  </si>
  <si>
    <t xml:space="preserve">FALSE 2188</t>
  </si>
  <si>
    <t xml:space="preserve">Trametes sanguinea</t>
  </si>
  <si>
    <t xml:space="preserve">https://www.inaturalist.org/observations/383112936</t>
  </si>
  <si>
    <t xml:space="preserve">FALSE 2189</t>
  </si>
  <si>
    <t xml:space="preserve">Cortinarius fibrillosus</t>
  </si>
  <si>
    <t xml:space="preserve">https://www.inaturalist.org/observations/383112320</t>
  </si>
  <si>
    <t xml:space="preserve">FALSE 2190</t>
  </si>
  <si>
    <t xml:space="preserve">Cortinarius rotundisporus</t>
  </si>
  <si>
    <t xml:space="preserve">https://www.inaturalist.org/observations/383112119</t>
  </si>
  <si>
    <t xml:space="preserve">FALSE 2191</t>
  </si>
  <si>
    <t xml:space="preserve">Coprinellus flocculosus</t>
  </si>
  <si>
    <t xml:space="preserve">https://www.inaturalist.org/observations/383112069</t>
  </si>
  <si>
    <t xml:space="preserve">FALSE 2192</t>
  </si>
  <si>
    <t xml:space="preserve">Cookeina speciosa</t>
  </si>
  <si>
    <t xml:space="preserve">https://www.inaturalist.org/observations/383109191</t>
  </si>
  <si>
    <t xml:space="preserve">FALSE 2193</t>
  </si>
  <si>
    <t xml:space="preserve">Stereocaulon saxatile</t>
  </si>
  <si>
    <t xml:space="preserve">https://www.inaturalist.org/observations/383107346</t>
  </si>
  <si>
    <t xml:space="preserve">FALSE 2194</t>
  </si>
  <si>
    <t xml:space="preserve">Mycena subgalericulata</t>
  </si>
  <si>
    <t xml:space="preserve">https://www.inaturalist.org/observations/383106459</t>
  </si>
  <si>
    <t xml:space="preserve">FALSE 2195</t>
  </si>
  <si>
    <t xml:space="preserve">Trametes tenuis</t>
  </si>
  <si>
    <t xml:space="preserve">https://www.inaturalist.org/observations/383106437</t>
  </si>
  <si>
    <t xml:space="preserve">FALSE 2196</t>
  </si>
  <si>
    <t xml:space="preserve">Lactarius psammicola</t>
  </si>
  <si>
    <t xml:space="preserve">https://www.inaturalist.org/observations/383106207</t>
  </si>
  <si>
    <t xml:space="preserve">FALSE 2197</t>
  </si>
  <si>
    <t xml:space="preserve">Porpidia albocaerulescens</t>
  </si>
  <si>
    <t xml:space="preserve">https://www.inaturalist.org/observations/383106004</t>
  </si>
  <si>
    <t xml:space="preserve">FALSE 2198</t>
  </si>
  <si>
    <t xml:space="preserve">Aleurina ferruginea</t>
  </si>
  <si>
    <t xml:space="preserve">https://www.inaturalist.org/observations/383105514</t>
  </si>
  <si>
    <t xml:space="preserve">FALSE 2199</t>
  </si>
  <si>
    <t xml:space="preserve">Entoloma murrayi</t>
  </si>
  <si>
    <t xml:space="preserve">https://www.inaturalist.org/observations/383104157</t>
  </si>
  <si>
    <t xml:space="preserve">FALSE 2200</t>
  </si>
  <si>
    <t xml:space="preserve">Amanita velatipes</t>
  </si>
  <si>
    <t xml:space="preserve">https://www.inaturalist.org/observations/383102177</t>
  </si>
  <si>
    <t xml:space="preserve">FALSE 2201</t>
  </si>
  <si>
    <t xml:space="preserve">Sphaerophorus globosus</t>
  </si>
  <si>
    <t xml:space="preserve">https://www.inaturalist.org/observations/383101715</t>
  </si>
  <si>
    <t xml:space="preserve">FALSE 2202</t>
  </si>
  <si>
    <t xml:space="preserve">Fistulinella mollis</t>
  </si>
  <si>
    <t xml:space="preserve">https://www.inaturalist.org/observations/383101492</t>
  </si>
  <si>
    <t xml:space="preserve">FALSE 2203</t>
  </si>
  <si>
    <t xml:space="preserve">Podoserpula pusio</t>
  </si>
  <si>
    <t xml:space="preserve">https://www.inaturalist.org/observations/383101319</t>
  </si>
  <si>
    <t xml:space="preserve">FALSE 2204</t>
  </si>
  <si>
    <t xml:space="preserve">Viridothelium virens</t>
  </si>
  <si>
    <t xml:space="preserve">https://www.inaturalist.org/observations/383099664</t>
  </si>
  <si>
    <t xml:space="preserve">FALSE 2205</t>
  </si>
  <si>
    <t xml:space="preserve">Cortinarius persplendidus</t>
  </si>
  <si>
    <t xml:space="preserve">https://www.inaturalist.org/observations/383098349</t>
  </si>
  <si>
    <t xml:space="preserve">FALSE 2206</t>
  </si>
  <si>
    <t xml:space="preserve">Leotia lubrica</t>
  </si>
  <si>
    <t xml:space="preserve">https://www.inaturalist.org/observations/383095922</t>
  </si>
  <si>
    <t xml:space="preserve">FALSE 2207</t>
  </si>
  <si>
    <t xml:space="preserve">Microstoma floccosum</t>
  </si>
  <si>
    <t xml:space="preserve">https://www.inaturalist.org/observations/383095549</t>
  </si>
  <si>
    <t xml:space="preserve">FALSE 2208</t>
  </si>
  <si>
    <t xml:space="preserve">Cladia aggregata</t>
  </si>
  <si>
    <t xml:space="preserve">https://www.inaturalist.org/observations/383093829</t>
  </si>
  <si>
    <t xml:space="preserve">FALSE 2209</t>
  </si>
  <si>
    <t xml:space="preserve">Flammulina velutipes</t>
  </si>
  <si>
    <t xml:space="preserve">https://www.inaturalist.org/observations/383093084</t>
  </si>
  <si>
    <t xml:space="preserve">FALSE 2210</t>
  </si>
  <si>
    <t xml:space="preserve">Endothia gyrosa</t>
  </si>
  <si>
    <t xml:space="preserve">https://www.inaturalist.org/observations/383090817</t>
  </si>
  <si>
    <t xml:space="preserve">FALSE 2211</t>
  </si>
  <si>
    <t xml:space="preserve">Calocera cornea</t>
  </si>
  <si>
    <t xml:space="preserve">https://www.inaturalist.org/observations/383090175</t>
  </si>
  <si>
    <t xml:space="preserve">FALSE 2212</t>
  </si>
  <si>
    <t xml:space="preserve">Trichoderma peltatum</t>
  </si>
  <si>
    <t xml:space="preserve">https://www.inaturalist.org/observations/383090034</t>
  </si>
  <si>
    <t xml:space="preserve">FALSE 2213</t>
  </si>
  <si>
    <t xml:space="preserve">Pseudevernia consocians</t>
  </si>
  <si>
    <t xml:space="preserve">https://www.inaturalist.org/observations/383089320</t>
  </si>
  <si>
    <t xml:space="preserve">FALSE 2214</t>
  </si>
  <si>
    <t xml:space="preserve">Leucocoprinus fragilissimus</t>
  </si>
  <si>
    <t xml:space="preserve">https://www.inaturalist.org/observations/383088958</t>
  </si>
  <si>
    <t xml:space="preserve">FALSE 2215</t>
  </si>
  <si>
    <t xml:space="preserve">Lanmaoa pseudosensibilis</t>
  </si>
  <si>
    <t xml:space="preserve">https://www.inaturalist.org/observations/383087293</t>
  </si>
  <si>
    <t xml:space="preserve">FALSE 2216</t>
  </si>
  <si>
    <t xml:space="preserve">Xerocomus illudens</t>
  </si>
  <si>
    <t xml:space="preserve">https://www.inaturalist.org/observations/383086329</t>
  </si>
  <si>
    <t xml:space="preserve">FALSE 2217</t>
  </si>
  <si>
    <t xml:space="preserve">Ganoderma sessile</t>
  </si>
  <si>
    <t xml:space="preserve">https://www.inaturalist.org/observations/383083933</t>
  </si>
  <si>
    <t xml:space="preserve">FALSE 2218</t>
  </si>
  <si>
    <t xml:space="preserve">Boletus roodyi</t>
  </si>
  <si>
    <t xml:space="preserve">https://www.inaturalist.org/observations/383083850</t>
  </si>
  <si>
    <t xml:space="preserve">FALSE 2219</t>
  </si>
  <si>
    <t xml:space="preserve">Camarops petersii</t>
  </si>
  <si>
    <t xml:space="preserve">https://www.inaturalist.org/observations/383083762</t>
  </si>
  <si>
    <t xml:space="preserve">FALSE 2220</t>
  </si>
  <si>
    <t xml:space="preserve">Gyroporus cyanescens</t>
  </si>
  <si>
    <t xml:space="preserve">https://www.inaturalist.org/observations/383083570</t>
  </si>
  <si>
    <t xml:space="preserve">FALSE 2221</t>
  </si>
  <si>
    <t xml:space="preserve">Laccaria amethystina</t>
  </si>
  <si>
    <t xml:space="preserve">https://www.inaturalist.org/observations/383083418</t>
  </si>
  <si>
    <t xml:space="preserve">FALSE 2222</t>
  </si>
  <si>
    <t xml:space="preserve">Gymnopus brassicolens</t>
  </si>
  <si>
    <t xml:space="preserve">https://www.inaturalist.org/observations/383082938</t>
  </si>
  <si>
    <t xml:space="preserve">FALSE 2223</t>
  </si>
  <si>
    <t xml:space="preserve">Dacryopinax elegans</t>
  </si>
  <si>
    <t xml:space="preserve">https://www.inaturalist.org/observations/383080511</t>
  </si>
  <si>
    <t xml:space="preserve">FALSE 2224</t>
  </si>
  <si>
    <t xml:space="preserve">Cantharellus cinnabarinus</t>
  </si>
  <si>
    <t xml:space="preserve">https://www.inaturalist.org/observations/383079450</t>
  </si>
  <si>
    <t xml:space="preserve">FALSE 2225</t>
  </si>
  <si>
    <t xml:space="preserve">Collybia nuda</t>
  </si>
  <si>
    <t xml:space="preserve">https://www.inaturalist.org/observations/383078792</t>
  </si>
  <si>
    <t xml:space="preserve">FALSE 2226</t>
  </si>
  <si>
    <t xml:space="preserve">Ganoderma lobatum</t>
  </si>
  <si>
    <t xml:space="preserve">https://www.inaturalist.org/observations/383078693</t>
  </si>
  <si>
    <t xml:space="preserve">FALSE 2227</t>
  </si>
  <si>
    <t xml:space="preserve">Ischnoderma resinosum</t>
  </si>
  <si>
    <t xml:space="preserve">https://www.inaturalist.org/observations/383078432</t>
  </si>
  <si>
    <t xml:space="preserve">FALSE 2228</t>
  </si>
  <si>
    <t xml:space="preserve">Hygrocybe cuspidata</t>
  </si>
  <si>
    <t xml:space="preserve">https://www.inaturalist.org/observations/383078057</t>
  </si>
  <si>
    <t xml:space="preserve">FALSE 2229</t>
  </si>
  <si>
    <t xml:space="preserve">Flavoparmelia baltimorensis</t>
  </si>
  <si>
    <t xml:space="preserve">https://www.inaturalist.org/observations/383077399</t>
  </si>
  <si>
    <t xml:space="preserve">FALSE 2230</t>
  </si>
  <si>
    <t xml:space="preserve">Neoboletus sp. 'IN03'</t>
  </si>
  <si>
    <t xml:space="preserve">https://www.inaturalist.org/observations/383076649</t>
  </si>
  <si>
    <t xml:space="preserve">FALSE 2231</t>
  </si>
  <si>
    <t xml:space="preserve">Microglossum rufum</t>
  </si>
  <si>
    <t xml:space="preserve">https://www.inaturalist.org/observations/383076415</t>
  </si>
  <si>
    <t xml:space="preserve">FALSE 2232</t>
  </si>
  <si>
    <t xml:space="preserve">Neolentinus ponderosus</t>
  </si>
  <si>
    <t xml:space="preserve">https://www.inaturalist.org/observations/383075125</t>
  </si>
  <si>
    <t xml:space="preserve">FALSE 2233</t>
  </si>
  <si>
    <t xml:space="preserve">Herpothallon rubrocinctum</t>
  </si>
  <si>
    <t xml:space="preserve">https://www.inaturalist.org/observations/383071406</t>
  </si>
  <si>
    <t xml:space="preserve">FALSE 2234</t>
  </si>
  <si>
    <t xml:space="preserve">Lobarina scrobiculata</t>
  </si>
  <si>
    <t xml:space="preserve">https://www.inaturalist.org/observations/383070563</t>
  </si>
  <si>
    <t xml:space="preserve">FALSE 2235</t>
  </si>
  <si>
    <t xml:space="preserve">Xylaria polymorpha</t>
  </si>
  <si>
    <t xml:space="preserve">https://www.inaturalist.org/observations/383070484</t>
  </si>
  <si>
    <t xml:space="preserve">FALSE 2236</t>
  </si>
  <si>
    <t xml:space="preserve">Nephroma laevigatum</t>
  </si>
  <si>
    <t xml:space="preserve">https://www.inaturalist.org/observations/383070258</t>
  </si>
  <si>
    <t xml:space="preserve">FALSE 2237</t>
  </si>
  <si>
    <t xml:space="preserve">Peltigera elisabethae</t>
  </si>
  <si>
    <t xml:space="preserve">https://www.inaturalist.org/observations/383069893</t>
  </si>
  <si>
    <t xml:space="preserve">FALSE 2238</t>
  </si>
  <si>
    <t xml:space="preserve">Laetiporus conifericola</t>
  </si>
  <si>
    <t xml:space="preserve">https://www.inaturalist.org/observations/383068772</t>
  </si>
  <si>
    <t xml:space="preserve">FALSE 2239</t>
  </si>
  <si>
    <t xml:space="preserve">Podosphaera erigerontis-canadensis</t>
  </si>
  <si>
    <t xml:space="preserve">https://www.inaturalist.org/observations/383067294</t>
  </si>
  <si>
    <t xml:space="preserve">FALSE 2240</t>
  </si>
  <si>
    <t xml:space="preserve">Usnea</t>
  </si>
  <si>
    <t xml:space="preserve">https://www.inaturalist.org/observations/383066271</t>
  </si>
  <si>
    <t xml:space="preserve">FALSE 2241</t>
  </si>
  <si>
    <t xml:space="preserve">Ricasolia quercizans</t>
  </si>
  <si>
    <t xml:space="preserve">https://www.inaturalist.org/observations/383065123</t>
  </si>
  <si>
    <t xml:space="preserve">FALSE 2242</t>
  </si>
  <si>
    <t xml:space="preserve">Amanita rubescens</t>
  </si>
  <si>
    <t xml:space="preserve">https://www.inaturalist.org/observations/383064619</t>
  </si>
  <si>
    <t xml:space="preserve">FALSE 2243</t>
  </si>
  <si>
    <t xml:space="preserve">Tatraea macrospora</t>
  </si>
  <si>
    <t xml:space="preserve">https://www.inaturalist.org/observations/383064450</t>
  </si>
  <si>
    <t xml:space="preserve">FALSE 2244</t>
  </si>
  <si>
    <t xml:space="preserve">Fistulina americana</t>
  </si>
  <si>
    <t xml:space="preserve">https://www.inaturalist.org/observations/383063793</t>
  </si>
  <si>
    <t xml:space="preserve">FALSE 2245</t>
  </si>
  <si>
    <t xml:space="preserve">Suillus spraguei</t>
  </si>
  <si>
    <t xml:space="preserve">https://www.inaturalist.org/observations/383060282</t>
  </si>
  <si>
    <t xml:space="preserve">FALSE 2246</t>
  </si>
  <si>
    <t xml:space="preserve">Scleroderma citrinum</t>
  </si>
  <si>
    <t xml:space="preserve">https://www.inaturalist.org/observations/383058902</t>
  </si>
  <si>
    <t xml:space="preserve">FALSE 2247</t>
  </si>
  <si>
    <t xml:space="preserve">Satyrus rugulosus</t>
  </si>
  <si>
    <t xml:space="preserve">https://www.inaturalist.org/observations/383058413</t>
  </si>
  <si>
    <t xml:space="preserve">FALSE 2248</t>
  </si>
  <si>
    <t xml:space="preserve">Platismatia glauca</t>
  </si>
  <si>
    <t xml:space="preserve">https://www.inaturalist.org/observations/383057937</t>
  </si>
  <si>
    <t xml:space="preserve">FALSE 2249</t>
  </si>
  <si>
    <t xml:space="preserve">Erysiphe viburni</t>
  </si>
  <si>
    <t xml:space="preserve">https://www.inaturalist.org/observations/383053820</t>
  </si>
  <si>
    <t xml:space="preserve">FALSE 2250</t>
  </si>
  <si>
    <t xml:space="preserve">Golovinomyces montagnei</t>
  </si>
  <si>
    <t xml:space="preserve">https://www.inaturalist.org/observations/383052433</t>
  </si>
  <si>
    <t xml:space="preserve">FALSE 2251</t>
  </si>
  <si>
    <t xml:space="preserve">Pseudoinonotus dryadeus</t>
  </si>
  <si>
    <t xml:space="preserve">https://www.inaturalist.org/observations/383052034</t>
  </si>
  <si>
    <t xml:space="preserve">FALSE 2252</t>
  </si>
  <si>
    <t xml:space="preserve">Clathrus archeri</t>
  </si>
  <si>
    <t xml:space="preserve">https://www.inaturalist.org/observations/383051555</t>
  </si>
  <si>
    <t xml:space="preserve">FALSE 2253</t>
  </si>
  <si>
    <t xml:space="preserve">Neoboletus sp. 'varietatibus'</t>
  </si>
  <si>
    <t xml:space="preserve">https://www.inaturalist.org/observations/383050205</t>
  </si>
  <si>
    <t xml:space="preserve">FALSE 2254</t>
  </si>
  <si>
    <t xml:space="preserve">Panellus stipticus</t>
  </si>
  <si>
    <t xml:space="preserve">https://www.inaturalist.org/observations/383047723</t>
  </si>
  <si>
    <t xml:space="preserve">FALSE 2255</t>
  </si>
  <si>
    <t xml:space="preserve">Claviceps purpurea</t>
  </si>
  <si>
    <t xml:space="preserve">https://www.inaturalist.org/observations/383046016</t>
  </si>
  <si>
    <t xml:space="preserve">FALSE 2256</t>
  </si>
  <si>
    <t xml:space="preserve">Echinoderma asperum</t>
  </si>
  <si>
    <t xml:space="preserve">https://www.inaturalist.org/observations/383045762</t>
  </si>
  <si>
    <t xml:space="preserve">FALSE 2257</t>
  </si>
  <si>
    <t xml:space="preserve">Boletus oliveisporus</t>
  </si>
  <si>
    <t xml:space="preserve">https://www.inaturalist.org/observations/383043286</t>
  </si>
  <si>
    <t xml:space="preserve">FALSE 2258</t>
  </si>
  <si>
    <t xml:space="preserve">Erysiphe trifoliorum</t>
  </si>
  <si>
    <t xml:space="preserve">https://www.inaturalist.org/observations/383041404</t>
  </si>
  <si>
    <t xml:space="preserve">FALSE 2259</t>
  </si>
  <si>
    <t xml:space="preserve">Mycena kuurkacea</t>
  </si>
  <si>
    <t xml:space="preserve">https://www.inaturalist.org/observations/383039344</t>
  </si>
  <si>
    <t xml:space="preserve">FALSE 2260</t>
  </si>
  <si>
    <t xml:space="preserve">Auriscalpium vulgare</t>
  </si>
  <si>
    <t xml:space="preserve">https://www.inaturalist.org/observations/383039193</t>
  </si>
  <si>
    <t xml:space="preserve">FALSE 2261</t>
  </si>
  <si>
    <t xml:space="preserve">Tulasnella aurantiaca</t>
  </si>
  <si>
    <t xml:space="preserve">https://www.inaturalist.org/observations/383039191</t>
  </si>
  <si>
    <t xml:space="preserve">FALSE 2262</t>
  </si>
  <si>
    <t xml:space="preserve">Gymnopus dryophilus</t>
  </si>
  <si>
    <t xml:space="preserve">https://www.inaturalist.org/observations/383036307</t>
  </si>
  <si>
    <t xml:space="preserve">FALSE 2263</t>
  </si>
  <si>
    <t xml:space="preserve">Megacollybia rodmanii</t>
  </si>
  <si>
    <t xml:space="preserve">https://www.inaturalist.org/observations/383036194</t>
  </si>
  <si>
    <t xml:space="preserve">FALSE 2264</t>
  </si>
  <si>
    <t xml:space="preserve">Syzygites megalocarpus</t>
  </si>
  <si>
    <t xml:space="preserve">https://www.inaturalist.org/observations/383036078</t>
  </si>
  <si>
    <t xml:space="preserve">FALSE 2265</t>
  </si>
  <si>
    <t xml:space="preserve">Aureoboletus innixus</t>
  </si>
  <si>
    <t xml:space="preserve">https://www.inaturalist.org/observations/383035772</t>
  </si>
  <si>
    <t xml:space="preserve">FALSE 2266</t>
  </si>
  <si>
    <t xml:space="preserve">Amanita flavorubens</t>
  </si>
  <si>
    <t xml:space="preserve">https://www.inaturalist.org/observations/383035646</t>
  </si>
  <si>
    <t xml:space="preserve">FALSE 2267</t>
  </si>
  <si>
    <t xml:space="preserve">Cladonia arbuscula</t>
  </si>
  <si>
    <t xml:space="preserve">https://www.inaturalist.org/observations/383035589</t>
  </si>
  <si>
    <t xml:space="preserve">FALSE 2268</t>
  </si>
  <si>
    <t xml:space="preserve">Boletus variipes</t>
  </si>
  <si>
    <t xml:space="preserve">https://www.inaturalist.org/observations/383035452</t>
  </si>
  <si>
    <t xml:space="preserve">FALSE 2269</t>
  </si>
  <si>
    <t xml:space="preserve">Cladonia rangiferina</t>
  </si>
  <si>
    <t xml:space="preserve">https://www.inaturalist.org/observations/383034994</t>
  </si>
  <si>
    <t xml:space="preserve">FALSE 2270</t>
  </si>
  <si>
    <t xml:space="preserve">Ceriporia spissa</t>
  </si>
  <si>
    <t xml:space="preserve">https://www.inaturalist.org/observations/383032981</t>
  </si>
  <si>
    <t xml:space="preserve">FALSE 2271</t>
  </si>
  <si>
    <t xml:space="preserve">Oudemansiella furfuracea</t>
  </si>
  <si>
    <t xml:space="preserve">https://www.inaturalist.org/observations/383032726</t>
  </si>
  <si>
    <t xml:space="preserve">FALSE 2272</t>
  </si>
  <si>
    <t xml:space="preserve">Chlorociboria aeruginascens</t>
  </si>
  <si>
    <t xml:space="preserve">https://www.inaturalist.org/observations/383032633</t>
  </si>
  <si>
    <t xml:space="preserve">FALSE 2273</t>
  </si>
  <si>
    <t xml:space="preserve">Pectenia plumbea</t>
  </si>
  <si>
    <t xml:space="preserve">https://www.inaturalist.org/observations/383031912</t>
  </si>
  <si>
    <t xml:space="preserve">FALSE 2274</t>
  </si>
  <si>
    <t xml:space="preserve">Vulpicida pinastri</t>
  </si>
  <si>
    <t xml:space="preserve">https://www.inaturalist.org/observations/383030295</t>
  </si>
  <si>
    <t xml:space="preserve">FALSE 2275</t>
  </si>
  <si>
    <t xml:space="preserve">Hesperomyces harmoniae</t>
  </si>
  <si>
    <t xml:space="preserve">https://www.inaturalist.org/observations/383030169</t>
  </si>
  <si>
    <t xml:space="preserve">FALSE 2276</t>
  </si>
  <si>
    <t xml:space="preserve">Phallus impudicus</t>
  </si>
  <si>
    <t xml:space="preserve">https://www.inaturalist.org/observations/383029013</t>
  </si>
  <si>
    <t xml:space="preserve">FALSE 2277</t>
  </si>
  <si>
    <t xml:space="preserve">Clathrus ruber</t>
  </si>
  <si>
    <t xml:space="preserve">https://www.inaturalist.org/observations/383028304</t>
  </si>
  <si>
    <t xml:space="preserve">FALSE 2278</t>
  </si>
  <si>
    <t xml:space="preserve">Fomitopsis pinicola</t>
  </si>
  <si>
    <t xml:space="preserve">https://www.inaturalist.org/observations/383027411</t>
  </si>
  <si>
    <t xml:space="preserve">FALSE 2279</t>
  </si>
  <si>
    <t xml:space="preserve">Entoloma incanum</t>
  </si>
  <si>
    <t xml:space="preserve">https://www.inaturalist.org/observations/383021855</t>
  </si>
  <si>
    <t xml:space="preserve">FALSE 2280</t>
  </si>
  <si>
    <t xml:space="preserve">Amanita aprica</t>
  </si>
  <si>
    <t xml:space="preserve">https://www.inaturalist.org/observations/383021804</t>
  </si>
  <si>
    <t xml:space="preserve">FALSE 2281</t>
  </si>
  <si>
    <t xml:space="preserve">Xanthoria parietina</t>
  </si>
  <si>
    <t xml:space="preserve">https://www.inaturalist.org/observations/383021747</t>
  </si>
  <si>
    <t xml:space="preserve">FALSE 2282</t>
  </si>
  <si>
    <t xml:space="preserve">Craterellus fallax</t>
  </si>
  <si>
    <t xml:space="preserve">https://www.inaturalist.org/observations/383021198</t>
  </si>
  <si>
    <t xml:space="preserve">FALSE 2283</t>
  </si>
  <si>
    <t xml:space="preserve">Earliella scabrosa</t>
  </si>
  <si>
    <t xml:space="preserve">https://www.inaturalist.org/observations/383018335</t>
  </si>
  <si>
    <t xml:space="preserve">FALSE 2284</t>
  </si>
  <si>
    <t xml:space="preserve">Amanita jacksonii</t>
  </si>
  <si>
    <t xml:space="preserve">https://www.inaturalist.org/observations/383018022</t>
  </si>
  <si>
    <t xml:space="preserve">FALSE 2285</t>
  </si>
  <si>
    <t xml:space="preserve">Sutorius eximius</t>
  </si>
  <si>
    <t xml:space="preserve">https://www.inaturalist.org/observations/383017369</t>
  </si>
  <si>
    <t xml:space="preserve">FALSE 2286</t>
  </si>
  <si>
    <t xml:space="preserve">Russula virescens</t>
  </si>
  <si>
    <t xml:space="preserve">https://www.inaturalist.org/observations/383014925</t>
  </si>
  <si>
    <t xml:space="preserve">FALSE 2287</t>
  </si>
  <si>
    <t xml:space="preserve">Teloschistes chrysophthalmus</t>
  </si>
  <si>
    <t xml:space="preserve">https://www.inaturalist.org/observations/383014570</t>
  </si>
  <si>
    <t xml:space="preserve">FALSE 2288</t>
  </si>
  <si>
    <t xml:space="preserve">Radulomyces copelandii</t>
  </si>
  <si>
    <t xml:space="preserve">https://www.inaturalist.org/observations/383012943</t>
  </si>
  <si>
    <t xml:space="preserve">FALSE 2289</t>
  </si>
  <si>
    <t xml:space="preserve">Cladonia pachycladodes</t>
  </si>
  <si>
    <t xml:space="preserve">https://www.inaturalist.org/observations/383012879</t>
  </si>
  <si>
    <t xml:space="preserve">FALSE 2290</t>
  </si>
  <si>
    <t xml:space="preserve">Cladonia leporina</t>
  </si>
  <si>
    <t xml:space="preserve">https://www.inaturalist.org/observations/383012872</t>
  </si>
  <si>
    <t xml:space="preserve">FALSE 2291</t>
  </si>
  <si>
    <t xml:space="preserve">Cryptoporus volvatus</t>
  </si>
  <si>
    <t xml:space="preserve">https://www.inaturalist.org/observations/383010385</t>
  </si>
  <si>
    <t xml:space="preserve">FALSE 2292</t>
  </si>
  <si>
    <t xml:space="preserve">Mycena epipterygia</t>
  </si>
  <si>
    <t xml:space="preserve">https://www.inaturalist.org/observations/383009429</t>
  </si>
  <si>
    <t xml:space="preserve">FALSE 2293</t>
  </si>
  <si>
    <t xml:space="preserve">Tricholomopsis rutilans</t>
  </si>
  <si>
    <t xml:space="preserve">https://www.inaturalist.org/observations/383009064</t>
  </si>
  <si>
    <t xml:space="preserve">FALSE 2294</t>
  </si>
  <si>
    <t xml:space="preserve">Volvariella bombycina</t>
  </si>
  <si>
    <t xml:space="preserve">https://www.inaturalist.org/observations/383005672</t>
  </si>
  <si>
    <t xml:space="preserve">FALSE 2295</t>
  </si>
  <si>
    <t xml:space="preserve">Phallus hadriani</t>
  </si>
  <si>
    <t xml:space="preserve">https://www.inaturalist.org/observations/383005393</t>
  </si>
  <si>
    <t xml:space="preserve">FALSE 2296</t>
  </si>
  <si>
    <t xml:space="preserve">Infundibulicybe geotropa</t>
  </si>
  <si>
    <t xml:space="preserve">https://www.inaturalist.org/observations/383003650</t>
  </si>
  <si>
    <t xml:space="preserve">FALSE 2297</t>
  </si>
  <si>
    <t xml:space="preserve">Calyptospora ornamentalis</t>
  </si>
  <si>
    <t xml:space="preserve">https://www.inaturalist.org/observations/383002650</t>
  </si>
  <si>
    <t xml:space="preserve">FALSE 2298</t>
  </si>
  <si>
    <t xml:space="preserve">Russula claroflava</t>
  </si>
  <si>
    <t xml:space="preserve">https://www.inaturalist.org/observations/383002072</t>
  </si>
  <si>
    <t xml:space="preserve">FALSE 2299</t>
  </si>
  <si>
    <t xml:space="preserve">Caloboletus radicans</t>
  </si>
  <si>
    <t xml:space="preserve">https://www.inaturalist.org/observations/382995048</t>
  </si>
  <si>
    <t xml:space="preserve">FALSE 2300</t>
  </si>
  <si>
    <t xml:space="preserve">Stereum lobatum</t>
  </si>
  <si>
    <t xml:space="preserve">https://www.inaturalist.org/observations/382993175</t>
  </si>
  <si>
    <t xml:space="preserve">FALSE 2301</t>
  </si>
  <si>
    <t xml:space="preserve">Pluteus cervinus</t>
  </si>
  <si>
    <t xml:space="preserve">https://www.inaturalist.org/observations/382991492</t>
  </si>
  <si>
    <t xml:space="preserve">FALSE 2302</t>
  </si>
  <si>
    <t xml:space="preserve">Hymenochaete carpatica</t>
  </si>
  <si>
    <t xml:space="preserve">https://www.inaturalist.org/observations/382991082</t>
  </si>
  <si>
    <t xml:space="preserve">FALSE 2303</t>
  </si>
  <si>
    <t xml:space="preserve">Amanita parcivolvata</t>
  </si>
  <si>
    <t xml:space="preserve">https://www.inaturalist.org/observations/382990000</t>
  </si>
  <si>
    <t xml:space="preserve">FALSE 2304</t>
  </si>
  <si>
    <t xml:space="preserve">Panaeolus foenisecii</t>
  </si>
  <si>
    <t xml:space="preserve">https://www.inaturalist.org/observations/382988743</t>
  </si>
  <si>
    <t xml:space="preserve">FALSE 2305</t>
  </si>
  <si>
    <t xml:space="preserve">Calcipostia guttulata</t>
  </si>
  <si>
    <t xml:space="preserve">https://www.inaturalist.org/observations/382986772</t>
  </si>
  <si>
    <t xml:space="preserve">FALSE 2306</t>
  </si>
  <si>
    <t xml:space="preserve">Phaeolus schweinitzii</t>
  </si>
  <si>
    <t xml:space="preserve">https://www.inaturalist.org/observations/382986569</t>
  </si>
  <si>
    <t xml:space="preserve">FALSE 2307</t>
  </si>
  <si>
    <t xml:space="preserve">Fistulina hepatica</t>
  </si>
  <si>
    <t xml:space="preserve">https://www.inaturalist.org/observations/382985413</t>
  </si>
  <si>
    <t xml:space="preserve">FALSE 2308</t>
  </si>
  <si>
    <t xml:space="preserve">Ganoderma applanatum</t>
  </si>
  <si>
    <t xml:space="preserve">https://www.inaturalist.org/observations/382980447</t>
  </si>
  <si>
    <t xml:space="preserve">FALSE 2309</t>
  </si>
  <si>
    <t xml:space="preserve">Coprinopsis variegata</t>
  </si>
  <si>
    <t xml:space="preserve">https://www.inaturalist.org/observations/382979300</t>
  </si>
  <si>
    <t xml:space="preserve">FALSE 2310</t>
  </si>
  <si>
    <t xml:space="preserve">Guepiniopsis alpina</t>
  </si>
  <si>
    <t xml:space="preserve">https://www.inaturalist.org/observations/382978953</t>
  </si>
  <si>
    <t xml:space="preserve">FALSE 2311</t>
  </si>
  <si>
    <t xml:space="preserve">Erysiphe symphoricarpi</t>
  </si>
  <si>
    <t xml:space="preserve">https://www.inaturalist.org/observations/382978219</t>
  </si>
  <si>
    <t xml:space="preserve">FALSE 2312</t>
  </si>
  <si>
    <t xml:space="preserve">Mycetinis alliaceus</t>
  </si>
  <si>
    <t xml:space="preserve">https://www.inaturalist.org/observations/382977281</t>
  </si>
  <si>
    <t xml:space="preserve">FALSE 2313</t>
  </si>
  <si>
    <t xml:space="preserve">Chrysomphalina grossula</t>
  </si>
  <si>
    <t xml:space="preserve">https://www.inaturalist.org/observations/382977276</t>
  </si>
  <si>
    <t xml:space="preserve">FALSE 2314</t>
  </si>
  <si>
    <t xml:space="preserve">Tricholoma sulphureum</t>
  </si>
  <si>
    <t xml:space="preserve">https://www.inaturalist.org/observations/382977272</t>
  </si>
  <si>
    <t xml:space="preserve">FALSE 2315</t>
  </si>
  <si>
    <t xml:space="preserve">Trametes coccinea</t>
  </si>
  <si>
    <t xml:space="preserve">https://www.inaturalist.org/observations/382976501</t>
  </si>
  <si>
    <t xml:space="preserve">FALSE 2316</t>
  </si>
  <si>
    <t xml:space="preserve">Coprinellus micaceus</t>
  </si>
  <si>
    <t xml:space="preserve">https://www.inaturalist.org/observations/382974511</t>
  </si>
  <si>
    <t xml:space="preserve">FALSE 2317</t>
  </si>
  <si>
    <t xml:space="preserve">Hypogymnia physodes</t>
  </si>
  <si>
    <t xml:space="preserve">https://www.inaturalist.org/observations/382973709</t>
  </si>
  <si>
    <t xml:space="preserve">FALSE 2318</t>
  </si>
  <si>
    <t xml:space="preserve">Xeromphalina campanella</t>
  </si>
  <si>
    <t xml:space="preserve">https://www.inaturalist.org/observations/382969359</t>
  </si>
  <si>
    <t xml:space="preserve">FALSE 2319</t>
  </si>
  <si>
    <t xml:space="preserve">Macrolepiota procera</t>
  </si>
  <si>
    <t xml:space="preserve">https://www.inaturalist.org/observations/382965122</t>
  </si>
  <si>
    <t xml:space="preserve">FALSE 2320</t>
  </si>
  <si>
    <t xml:space="preserve">Tylopilus plumbeoviolaceus</t>
  </si>
  <si>
    <t xml:space="preserve">https://www.inaturalist.org/observations/382963555</t>
  </si>
  <si>
    <t xml:space="preserve">FALSE 2321</t>
  </si>
  <si>
    <t xml:space="preserve">Peniophora quercina</t>
  </si>
  <si>
    <t xml:space="preserve">https://www.inaturalist.org/observations/382960621</t>
  </si>
  <si>
    <t xml:space="preserve">FALSE 2322</t>
  </si>
  <si>
    <t xml:space="preserve">Peltigera leucophlebia</t>
  </si>
  <si>
    <t xml:space="preserve">https://www.inaturalist.org/observations/382959011</t>
  </si>
  <si>
    <t xml:space="preserve">FALSE 2323</t>
  </si>
  <si>
    <t xml:space="preserve">Schizophyllum amplum</t>
  </si>
  <si>
    <t xml:space="preserve">https://www.inaturalist.org/observations/382957418</t>
  </si>
  <si>
    <t xml:space="preserve">FALSE 2324</t>
  </si>
  <si>
    <t xml:space="preserve">Pholiota conissans</t>
  </si>
  <si>
    <t xml:space="preserve">https://www.inaturalist.org/observations/382957341</t>
  </si>
  <si>
    <t xml:space="preserve">FALSE 2325</t>
  </si>
  <si>
    <t xml:space="preserve">Fomes excavatus</t>
  </si>
  <si>
    <t xml:space="preserve">https://www.inaturalist.org/observations/382956570</t>
  </si>
  <si>
    <t xml:space="preserve">FALSE 2326</t>
  </si>
  <si>
    <t xml:space="preserve">Polycauliona candelaria</t>
  </si>
  <si>
    <t xml:space="preserve">https://www.inaturalist.org/observations/382955971</t>
  </si>
  <si>
    <t xml:space="preserve">FALSE 2327</t>
  </si>
  <si>
    <t xml:space="preserve">Neobarya agaricicola</t>
  </si>
  <si>
    <t xml:space="preserve">https://www.inaturalist.org/observations/382952047</t>
  </si>
  <si>
    <t xml:space="preserve">FALSE 2328</t>
  </si>
  <si>
    <t xml:space="preserve">Somion unicolor</t>
  </si>
  <si>
    <t xml:space="preserve">https://www.inaturalist.org/observations/382949600</t>
  </si>
  <si>
    <t xml:space="preserve">FALSE 2329</t>
  </si>
  <si>
    <t xml:space="preserve">Phallus ravenelii</t>
  </si>
  <si>
    <t xml:space="preserve">https://www.inaturalist.org/observations/382948788</t>
  </si>
  <si>
    <t xml:space="preserve">FALSE 2330</t>
  </si>
  <si>
    <t xml:space="preserve">Teloschistes sieberianus</t>
  </si>
  <si>
    <t xml:space="preserve">https://www.inaturalist.org/observations/382946918</t>
  </si>
  <si>
    <t xml:space="preserve">FALSE 2331</t>
  </si>
  <si>
    <t xml:space="preserve">Sphaerobolus stellatus</t>
  </si>
  <si>
    <t xml:space="preserve">https://www.inaturalist.org/observations/382946289</t>
  </si>
  <si>
    <t xml:space="preserve">FALSE 2332</t>
  </si>
  <si>
    <t xml:space="preserve">Coprinellus domesticus</t>
  </si>
  <si>
    <t xml:space="preserve">https://www.inaturalist.org/observations/382946025</t>
  </si>
  <si>
    <t xml:space="preserve">FALSE 2333</t>
  </si>
  <si>
    <t xml:space="preserve">Agaricus augustus</t>
  </si>
  <si>
    <t xml:space="preserve">https://www.inaturalist.org/observations/382942749</t>
  </si>
  <si>
    <t xml:space="preserve">FALSE 2334</t>
  </si>
  <si>
    <t xml:space="preserve">Inonotus hispidus</t>
  </si>
  <si>
    <t xml:space="preserve">https://www.inaturalist.org/observations/382937767</t>
  </si>
  <si>
    <t xml:space="preserve">FALSE 2335</t>
  </si>
  <si>
    <t xml:space="preserve">Apioperdon pyriforme</t>
  </si>
  <si>
    <t xml:space="preserve">https://www.inaturalist.org/observations/382937597</t>
  </si>
  <si>
    <t xml:space="preserve">FALSE 2336</t>
  </si>
  <si>
    <t xml:space="preserve">Peltigera lepidophora</t>
  </si>
  <si>
    <t xml:space="preserve">https://www.inaturalist.org/observations/382932200</t>
  </si>
  <si>
    <t xml:space="preserve">FALSE 2337</t>
  </si>
  <si>
    <t xml:space="preserve">Coprinopsis lagopus</t>
  </si>
  <si>
    <t xml:space="preserve">https://www.inaturalist.org/observations/382931865</t>
  </si>
  <si>
    <t xml:space="preserve">FALSE 2338</t>
  </si>
  <si>
    <t xml:space="preserve">Wilcoxina rehmii</t>
  </si>
  <si>
    <t xml:space="preserve">https://www.inaturalist.org/observations/382930385</t>
  </si>
  <si>
    <t xml:space="preserve">FALSE 2339</t>
  </si>
  <si>
    <t xml:space="preserve">Inocutis ludoviciana</t>
  </si>
  <si>
    <t xml:space="preserve">https://www.inaturalist.org/observations/382927627</t>
  </si>
  <si>
    <t xml:space="preserve">FALSE 2340</t>
  </si>
  <si>
    <t xml:space="preserve">Geastrum triplex</t>
  </si>
  <si>
    <t xml:space="preserve">https://www.inaturalist.org/observations/382926588</t>
  </si>
  <si>
    <t xml:space="preserve">FALSE 2341</t>
  </si>
  <si>
    <t xml:space="preserve">Pleurotus pulmonarius</t>
  </si>
  <si>
    <t xml:space="preserve">https://www.inaturalist.org/observations/382925160</t>
  </si>
  <si>
    <t xml:space="preserve">FALSE 2342</t>
  </si>
  <si>
    <t xml:space="preserve">Ganoderma australe</t>
  </si>
  <si>
    <t xml:space="preserve">https://www.inaturalist.org/observations/382924968</t>
  </si>
  <si>
    <t xml:space="preserve">FALSE 2343</t>
  </si>
  <si>
    <t xml:space="preserve">Auricularia cerrina</t>
  </si>
  <si>
    <t xml:space="preserve">https://www.inaturalist.org/observations/382924499</t>
  </si>
  <si>
    <t xml:space="preserve">FALSE 2344</t>
  </si>
  <si>
    <t xml:space="preserve">Lepiota fracida</t>
  </si>
  <si>
    <t xml:space="preserve">https://www.inaturalist.org/observations/382924308</t>
  </si>
  <si>
    <t xml:space="preserve">FALSE 2345</t>
  </si>
  <si>
    <t xml:space="preserve">Lactarius chrysorrheus</t>
  </si>
  <si>
    <t xml:space="preserve">https://www.inaturalist.org/observations/382924012</t>
  </si>
  <si>
    <t xml:space="preserve">FALSE 2346</t>
  </si>
  <si>
    <t xml:space="preserve">Trichoglossum hirsutum</t>
  </si>
  <si>
    <t xml:space="preserve">https://www.inaturalist.org/observations/382923901</t>
  </si>
  <si>
    <t xml:space="preserve">FALSE 2347</t>
  </si>
  <si>
    <t xml:space="preserve">Boletopsis grisea</t>
  </si>
  <si>
    <t xml:space="preserve">https://www.inaturalist.org/observations/382923855</t>
  </si>
  <si>
    <t xml:space="preserve">FALSE 2348</t>
  </si>
  <si>
    <t xml:space="preserve">Kuehneromyces mutabilis</t>
  </si>
  <si>
    <t xml:space="preserve">https://www.inaturalist.org/observations/382923027</t>
  </si>
  <si>
    <t xml:space="preserve">FALSE 2349</t>
  </si>
  <si>
    <t xml:space="preserve">Lichenomphalia chromacea</t>
  </si>
  <si>
    <t xml:space="preserve">https://www.inaturalist.org/observations/382922034</t>
  </si>
  <si>
    <t xml:space="preserve">FALSE 2350</t>
  </si>
  <si>
    <t xml:space="preserve">Cymatoderma dendriticum</t>
  </si>
  <si>
    <t xml:space="preserve">https://www.inaturalist.org/observations/382919554</t>
  </si>
  <si>
    <t xml:space="preserve">FALSE 2351</t>
  </si>
  <si>
    <t xml:space="preserve">Xylaria filiformis</t>
  </si>
  <si>
    <t xml:space="preserve">https://www.inaturalist.org/observations/382918462</t>
  </si>
  <si>
    <t xml:space="preserve">FALSE 2352</t>
  </si>
  <si>
    <t xml:space="preserve">Jackrogersella multiformis</t>
  </si>
  <si>
    <t xml:space="preserve">https://www.inaturalist.org/observations/382917325</t>
  </si>
  <si>
    <t xml:space="preserve">FALSE 2353</t>
  </si>
  <si>
    <t xml:space="preserve">Trametes villosa</t>
  </si>
  <si>
    <t xml:space="preserve">https://www.inaturalist.org/observations/382910113</t>
  </si>
  <si>
    <t xml:space="preserve">FALSE 2354</t>
  </si>
  <si>
    <t xml:space="preserve">Inocutis tamaricis</t>
  </si>
  <si>
    <t xml:space="preserve">https://www.inaturalist.org/observations/382908130</t>
  </si>
  <si>
    <t xml:space="preserve">FALSE 2355</t>
  </si>
  <si>
    <t xml:space="preserve">Russula clelandii</t>
  </si>
  <si>
    <t xml:space="preserve">https://www.inaturalist.org/observations/382908122</t>
  </si>
  <si>
    <t xml:space="preserve">FALSE 2356</t>
  </si>
  <si>
    <t xml:space="preserve">Tricholoma virgatum</t>
  </si>
  <si>
    <t xml:space="preserve">https://www.inaturalist.org/observations/382908080</t>
  </si>
  <si>
    <t xml:space="preserve">FALSE 2357</t>
  </si>
  <si>
    <t xml:space="preserve">Hygrophorus agathosmus</t>
  </si>
  <si>
    <t xml:space="preserve">https://www.inaturalist.org/observations/382908027</t>
  </si>
  <si>
    <t xml:space="preserve">FALSE 2358</t>
  </si>
  <si>
    <t xml:space="preserve">Hygrophorus pustulatus</t>
  </si>
  <si>
    <t xml:space="preserve">https://www.inaturalist.org/observations/382907922</t>
  </si>
  <si>
    <t xml:space="preserve">FALSE 2359</t>
  </si>
  <si>
    <t xml:space="preserve">Tricholoma viridilutescens</t>
  </si>
  <si>
    <t xml:space="preserve">https://www.inaturalist.org/observations/382907893</t>
  </si>
  <si>
    <t xml:space="preserve">FALSE 2360</t>
  </si>
  <si>
    <t xml:space="preserve">Pleurotus ostreatus</t>
  </si>
  <si>
    <t xml:space="preserve">https://www.inaturalist.org/observations/382907867</t>
  </si>
  <si>
    <t xml:space="preserve">FALSE 2361</t>
  </si>
  <si>
    <t xml:space="preserve">Gomphidius maculatus</t>
  </si>
  <si>
    <t xml:space="preserve">https://www.inaturalist.org/observations/382907835</t>
  </si>
  <si>
    <t xml:space="preserve">FALSE 2362</t>
  </si>
  <si>
    <t xml:space="preserve">Polyporus umbellatus</t>
  </si>
  <si>
    <t xml:space="preserve">https://www.inaturalist.org/observations/382907732</t>
  </si>
  <si>
    <t xml:space="preserve">FALSE 2363</t>
  </si>
  <si>
    <t xml:space="preserve">Psilocybe serbica</t>
  </si>
  <si>
    <t xml:space="preserve">https://www.inaturalist.org/observations/382907692</t>
  </si>
  <si>
    <t xml:space="preserve">FALSE 2364</t>
  </si>
  <si>
    <t xml:space="preserve">Phylloscypha thozetii</t>
  </si>
  <si>
    <t xml:space="preserve">https://www.inaturalist.org/observations/382907648</t>
  </si>
  <si>
    <t xml:space="preserve">FALSE 2365</t>
  </si>
  <si>
    <t xml:space="preserve">Gymnopus androsaceus</t>
  </si>
  <si>
    <t xml:space="preserve">https://www.inaturalist.org/observations/382907646</t>
  </si>
  <si>
    <t xml:space="preserve">FALSE 2366</t>
  </si>
  <si>
    <t xml:space="preserve">Chromocyphella muscicola</t>
  </si>
  <si>
    <t xml:space="preserve">https://www.inaturalist.org/observations/382906586</t>
  </si>
  <si>
    <t xml:space="preserve">FALSE 2367</t>
  </si>
  <si>
    <t xml:space="preserve">Hexagonia tenuis</t>
  </si>
  <si>
    <t xml:space="preserve">https://www.inaturalist.org/observations/382906138</t>
  </si>
  <si>
    <t xml:space="preserve">FALSE 2368</t>
  </si>
  <si>
    <t xml:space="preserve">Arthrocladiella mougeotii</t>
  </si>
  <si>
    <t xml:space="preserve">https://www.inaturalist.org/observations/382904756</t>
  </si>
  <si>
    <t xml:space="preserve">FALSE 2369</t>
  </si>
  <si>
    <t xml:space="preserve">Pseudevernia furfuracea</t>
  </si>
  <si>
    <t xml:space="preserve">https://www.inaturalist.org/observations/382904235</t>
  </si>
  <si>
    <t xml:space="preserve">FALSE 2370</t>
  </si>
  <si>
    <t xml:space="preserve">Uromycladium paradoxae</t>
  </si>
  <si>
    <t xml:space="preserve">https://www.inaturalist.org/observations/382901569</t>
  </si>
  <si>
    <t xml:space="preserve">FALSE 2371</t>
  </si>
  <si>
    <t xml:space="preserve">Amanita excelsa</t>
  </si>
  <si>
    <t xml:space="preserve">https://www.inaturalist.org/observations/382901309</t>
  </si>
  <si>
    <t xml:space="preserve">FALSE 2372</t>
  </si>
  <si>
    <t xml:space="preserve">Amanita strobiliformis</t>
  </si>
  <si>
    <t xml:space="preserve">https://www.inaturalist.org/observations/382899481</t>
  </si>
  <si>
    <t xml:space="preserve">FALSE 2373</t>
  </si>
  <si>
    <t xml:space="preserve">Cladonia furcata</t>
  </si>
  <si>
    <t xml:space="preserve">https://www.inaturalist.org/observations/382899361</t>
  </si>
  <si>
    <t xml:space="preserve">FALSE 2374</t>
  </si>
  <si>
    <t xml:space="preserve">Cetraria islandica</t>
  </si>
  <si>
    <t xml:space="preserve">https://www.inaturalist.org/observations/382899087</t>
  </si>
  <si>
    <t xml:space="preserve">FALSE 2375</t>
  </si>
  <si>
    <t xml:space="preserve">Polyporus tuberaster</t>
  </si>
  <si>
    <t xml:space="preserve">https://www.inaturalist.org/observations/382897409</t>
  </si>
  <si>
    <t xml:space="preserve">FALSE 2376</t>
  </si>
  <si>
    <t xml:space="preserve">Ophioparma ventosa</t>
  </si>
  <si>
    <t xml:space="preserve">https://www.inaturalist.org/observations/382896905</t>
  </si>
  <si>
    <t xml:space="preserve">FALSE 2377</t>
  </si>
  <si>
    <t xml:space="preserve">Hemileccinum impolitum</t>
  </si>
  <si>
    <t xml:space="preserve">https://www.inaturalist.org/observations/382893641</t>
  </si>
  <si>
    <t xml:space="preserve">FALSE 2378</t>
  </si>
  <si>
    <t xml:space="preserve">Gymnopilus junonius</t>
  </si>
  <si>
    <t xml:space="preserve">https://www.inaturalist.org/observations/382893468</t>
  </si>
  <si>
    <t xml:space="preserve">FALSE 2379</t>
  </si>
  <si>
    <t xml:space="preserve">Hypholoma lateritium</t>
  </si>
  <si>
    <t xml:space="preserve">https://www.inaturalist.org/observations/382893429</t>
  </si>
  <si>
    <t xml:space="preserve">FALSE 2380</t>
  </si>
  <si>
    <t xml:space="preserve">Russula torulosa</t>
  </si>
  <si>
    <t xml:space="preserve">https://www.inaturalist.org/observations/382893366</t>
  </si>
  <si>
    <t xml:space="preserve">FALSE 2381</t>
  </si>
  <si>
    <t xml:space="preserve">Lactarius acerrimus</t>
  </si>
  <si>
    <t xml:space="preserve">https://www.inaturalist.org/observations/382893287</t>
  </si>
  <si>
    <t xml:space="preserve">FALSE 2382</t>
  </si>
  <si>
    <t xml:space="preserve">Cystoderma amianthinum</t>
  </si>
  <si>
    <t xml:space="preserve">https://www.inaturalist.org/observations/382893256</t>
  </si>
  <si>
    <t xml:space="preserve">FALSE 2383</t>
  </si>
  <si>
    <t xml:space="preserve">Russula delica</t>
  </si>
  <si>
    <t xml:space="preserve">https://www.inaturalist.org/observations/382893233</t>
  </si>
  <si>
    <t xml:space="preserve">FALSE 2384</t>
  </si>
  <si>
    <t xml:space="preserve">Amanita pantherina</t>
  </si>
  <si>
    <t xml:space="preserve">https://www.inaturalist.org/observations/382893202</t>
  </si>
  <si>
    <t xml:space="preserve">FALSE 2385</t>
  </si>
  <si>
    <t xml:space="preserve">Tricholoma quercetorum</t>
  </si>
  <si>
    <t xml:space="preserve">https://www.inaturalist.org/observations/382893181</t>
  </si>
  <si>
    <t xml:space="preserve">FALSE 2386</t>
  </si>
  <si>
    <t xml:space="preserve">Xylobolus frustulatus</t>
  </si>
  <si>
    <t xml:space="preserve">https://www.inaturalist.org/observations/382893178</t>
  </si>
  <si>
    <t xml:space="preserve">FALSE 2387</t>
  </si>
  <si>
    <t xml:space="preserve">Hebeloma crustuliniforme</t>
  </si>
  <si>
    <t xml:space="preserve">https://www.inaturalist.org/observations/382893115</t>
  </si>
  <si>
    <t xml:space="preserve">FALSE 2388</t>
  </si>
  <si>
    <t xml:space="preserve">Ganoderma resinaceum</t>
  </si>
  <si>
    <t xml:space="preserve">https://www.inaturalist.org/observations/382892618</t>
  </si>
  <si>
    <t xml:space="preserve">FALSE 2389</t>
  </si>
  <si>
    <t xml:space="preserve">Fomes fomentarius</t>
  </si>
  <si>
    <t xml:space="preserve">https://www.inaturalist.org/observations/382891594</t>
  </si>
  <si>
    <t xml:space="preserve">FALSE 2390</t>
  </si>
  <si>
    <t xml:space="preserve">Cyclocybe cylindracea</t>
  </si>
  <si>
    <t xml:space="preserve">https://www.inaturalist.org/observations/382889412</t>
  </si>
  <si>
    <t xml:space="preserve">FALSE 2391</t>
  </si>
  <si>
    <t xml:space="preserve">Lanzia echinophila</t>
  </si>
  <si>
    <t xml:space="preserve">https://www.inaturalist.org/observations/382887335</t>
  </si>
  <si>
    <t xml:space="preserve">FALSE 2392</t>
  </si>
  <si>
    <t xml:space="preserve">Hebeloma radicosum</t>
  </si>
  <si>
    <t xml:space="preserve">https://www.inaturalist.org/observations/382887314</t>
  </si>
  <si>
    <t xml:space="preserve">FALSE 2393</t>
  </si>
  <si>
    <t xml:space="preserve">Daedaleopsis confragosa tricolor</t>
  </si>
  <si>
    <t xml:space="preserve">https://www.inaturalist.org/observations/382887271</t>
  </si>
  <si>
    <t xml:space="preserve">FALSE 2394</t>
  </si>
  <si>
    <t xml:space="preserve">Lactarius flavidus</t>
  </si>
  <si>
    <t xml:space="preserve">https://www.inaturalist.org/observations/382887202</t>
  </si>
  <si>
    <t xml:space="preserve">FALSE 2395</t>
  </si>
  <si>
    <t xml:space="preserve">Desarmillaria tabescens</t>
  </si>
  <si>
    <t xml:space="preserve">https://www.inaturalist.org/observations/382887170</t>
  </si>
  <si>
    <t xml:space="preserve">FALSE 2396</t>
  </si>
  <si>
    <t xml:space="preserve">Butyriboletus fuscoroseus</t>
  </si>
  <si>
    <t xml:space="preserve">https://www.inaturalist.org/observations/382887111</t>
  </si>
  <si>
    <t xml:space="preserve">FALSE 2397</t>
  </si>
  <si>
    <t xml:space="preserve">Spodocybe trulliformis</t>
  </si>
  <si>
    <t xml:space="preserve">https://www.inaturalist.org/observations/382887071</t>
  </si>
  <si>
    <t xml:space="preserve">FALSE 2398</t>
  </si>
  <si>
    <t xml:space="preserve">Clitopilus prunulus</t>
  </si>
  <si>
    <t xml:space="preserve">https://www.inaturalist.org/observations/382887053</t>
  </si>
  <si>
    <t xml:space="preserve">FALSE 2399</t>
  </si>
  <si>
    <t xml:space="preserve">Trichoderma gelatinosum</t>
  </si>
  <si>
    <t xml:space="preserve">https://www.inaturalist.org/observations/382886994</t>
  </si>
  <si>
    <t xml:space="preserve">FALSE 2400</t>
  </si>
  <si>
    <t xml:space="preserve">Hypoxylon ticinense</t>
  </si>
  <si>
    <t xml:space="preserve">https://www.inaturalist.org/observations/382886909</t>
  </si>
  <si>
    <t xml:space="preserve">FALSE 2401</t>
  </si>
  <si>
    <t xml:space="preserve">Stereum hirsutum</t>
  </si>
  <si>
    <t xml:space="preserve">https://www.inaturalist.org/observations/382883218</t>
  </si>
  <si>
    <t xml:space="preserve">FALSE 2402</t>
  </si>
  <si>
    <t xml:space="preserve">Russula persanguinea</t>
  </si>
  <si>
    <t xml:space="preserve">https://www.inaturalist.org/observations/382882366</t>
  </si>
  <si>
    <t xml:space="preserve">FALSE 2403</t>
  </si>
  <si>
    <t xml:space="preserve">Collybiopsis confluens</t>
  </si>
  <si>
    <t xml:space="preserve">https://www.inaturalist.org/observations/382881127</t>
  </si>
  <si>
    <t xml:space="preserve">FALSE 2404</t>
  </si>
  <si>
    <t xml:space="preserve">Amanita armeniaca</t>
  </si>
  <si>
    <t xml:space="preserve">https://www.inaturalist.org/observations/382878566</t>
  </si>
  <si>
    <t xml:space="preserve">FALSE 2405</t>
  </si>
  <si>
    <t xml:space="preserve">Russula aurea</t>
  </si>
  <si>
    <t xml:space="preserve">https://www.inaturalist.org/observations/382878308</t>
  </si>
  <si>
    <t xml:space="preserve">FALSE 2406</t>
  </si>
  <si>
    <t xml:space="preserve">Xanthoparmelia stenophylla</t>
  </si>
  <si>
    <t xml:space="preserve">https://www.inaturalist.org/observations/382878172</t>
  </si>
  <si>
    <t xml:space="preserve">FALSE 2407</t>
  </si>
  <si>
    <t xml:space="preserve">Lecidea atrobrunnea</t>
  </si>
  <si>
    <t xml:space="preserve">https://www.inaturalist.org/observations/382878161</t>
  </si>
  <si>
    <t xml:space="preserve">FALSE 2408</t>
  </si>
  <si>
    <t xml:space="preserve">Rusavskia sorediata</t>
  </si>
  <si>
    <t xml:space="preserve">https://www.inaturalist.org/observations/382878160</t>
  </si>
  <si>
    <t xml:space="preserve">FALSE 2409</t>
  </si>
  <si>
    <t xml:space="preserve">Melanelia stygia</t>
  </si>
  <si>
    <t xml:space="preserve">https://www.inaturalist.org/observations/382878147</t>
  </si>
  <si>
    <t xml:space="preserve">FALSE 2410</t>
  </si>
  <si>
    <t xml:space="preserve">Rhizoplaca chrysoleuca</t>
  </si>
  <si>
    <t xml:space="preserve">https://www.inaturalist.org/observations/382878146</t>
  </si>
  <si>
    <t xml:space="preserve">FALSE 2411</t>
  </si>
  <si>
    <t xml:space="preserve">Umbilicaria crustulosa</t>
  </si>
  <si>
    <t xml:space="preserve">https://www.inaturalist.org/observations/382878117</t>
  </si>
  <si>
    <t xml:space="preserve">FALSE 2412</t>
  </si>
  <si>
    <t xml:space="preserve">Scleroderma cepa</t>
  </si>
  <si>
    <t xml:space="preserve">https://www.inaturalist.org/observations/382877672</t>
  </si>
  <si>
    <t xml:space="preserve">FALSE 2413</t>
  </si>
  <si>
    <t xml:space="preserve">Microporus affinis</t>
  </si>
  <si>
    <t xml:space="preserve">https://www.inaturalist.org/observations/382877504</t>
  </si>
  <si>
    <t xml:space="preserve">FALSE 2414</t>
  </si>
  <si>
    <t xml:space="preserve">Psilocybe weraroa</t>
  </si>
  <si>
    <t xml:space="preserve">https://www.inaturalist.org/observations/382876965</t>
  </si>
  <si>
    <t xml:space="preserve">FALSE 2415</t>
  </si>
  <si>
    <t xml:space="preserve">Cyptotrama asprata</t>
  </si>
  <si>
    <t xml:space="preserve">https://www.inaturalist.org/observations/382876716</t>
  </si>
  <si>
    <t xml:space="preserve">FALSE 2416</t>
  </si>
  <si>
    <t xml:space="preserve">Crucibulum simile</t>
  </si>
  <si>
    <t xml:space="preserve">https://www.inaturalist.org/observations/382876422</t>
  </si>
  <si>
    <t xml:space="preserve">FALSE 2417</t>
  </si>
  <si>
    <t xml:space="preserve">Gymnosporangium clavariiforme</t>
  </si>
  <si>
    <t xml:space="preserve">https://www.inaturalist.org/observations/382875452</t>
  </si>
  <si>
    <t xml:space="preserve">FALSE 2418</t>
  </si>
  <si>
    <t xml:space="preserve">Suillellus luridus</t>
  </si>
  <si>
    <t xml:space="preserve">https://www.inaturalist.org/observations/382874797</t>
  </si>
  <si>
    <t xml:space="preserve">FALSE 2419</t>
  </si>
  <si>
    <t xml:space="preserve">Hericium coralloides</t>
  </si>
  <si>
    <t xml:space="preserve">https://www.inaturalist.org/observations/382873577</t>
  </si>
  <si>
    <t xml:space="preserve">FALSE 2420</t>
  </si>
  <si>
    <t xml:space="preserve">Coltricia perennis</t>
  </si>
  <si>
    <t xml:space="preserve">https://www.inaturalist.org/observations/382872007</t>
  </si>
  <si>
    <t xml:space="preserve">FALSE 2421</t>
  </si>
  <si>
    <t xml:space="preserve">Fish</t>
  </si>
  <si>
    <t xml:space="preserve">Chaetodon ulietensis</t>
  </si>
  <si>
    <t xml:space="preserve">https://www.inaturalist.org/observations/383184669</t>
  </si>
  <si>
    <t xml:space="preserve">FALSE 2422</t>
  </si>
  <si>
    <t xml:space="preserve">Chaetodon baronessa</t>
  </si>
  <si>
    <t xml:space="preserve">https://www.inaturalist.org/observations/383183780</t>
  </si>
  <si>
    <t xml:space="preserve">FALSE 2423</t>
  </si>
  <si>
    <t xml:space="preserve">Rhinecanthus aculeatus</t>
  </si>
  <si>
    <t xml:space="preserve">https://www.inaturalist.org/observations/383183717</t>
  </si>
  <si>
    <t xml:space="preserve">FALSE 2424</t>
  </si>
  <si>
    <t xml:space="preserve">Lepomis aquilensis</t>
  </si>
  <si>
    <t xml:space="preserve">https://www.inaturalist.org/observations/383183532</t>
  </si>
  <si>
    <t xml:space="preserve">FALSE 2425</t>
  </si>
  <si>
    <t xml:space="preserve">Chaetodon vagabundus</t>
  </si>
  <si>
    <t xml:space="preserve">https://www.inaturalist.org/observations/383183055</t>
  </si>
  <si>
    <t xml:space="preserve">FALSE 2426</t>
  </si>
  <si>
    <t xml:space="preserve">Perca flavescens</t>
  </si>
  <si>
    <t xml:space="preserve">https://www.inaturalist.org/observations/383182654</t>
  </si>
  <si>
    <t xml:space="preserve">FALSE 2427</t>
  </si>
  <si>
    <t xml:space="preserve">Sander vitreus</t>
  </si>
  <si>
    <t xml:space="preserve">https://www.inaturalist.org/observations/383182585</t>
  </si>
  <si>
    <t xml:space="preserve">FALSE 2428</t>
  </si>
  <si>
    <t xml:space="preserve">Micropterus dolomieu</t>
  </si>
  <si>
    <t xml:space="preserve">https://www.inaturalist.org/observations/383182378</t>
  </si>
  <si>
    <t xml:space="preserve">FALSE 2429</t>
  </si>
  <si>
    <t xml:space="preserve">Lepomis gibbosus</t>
  </si>
  <si>
    <t xml:space="preserve">https://www.inaturalist.org/observations/383182041</t>
  </si>
  <si>
    <t xml:space="preserve">FALSE 2430</t>
  </si>
  <si>
    <t xml:space="preserve">Ambloplites rupestris</t>
  </si>
  <si>
    <t xml:space="preserve">https://www.inaturalist.org/observations/383181730</t>
  </si>
  <si>
    <t xml:space="preserve">FALSE 2431</t>
  </si>
  <si>
    <t xml:space="preserve">Chaetodon auriga</t>
  </si>
  <si>
    <t xml:space="preserve">https://www.inaturalist.org/observations/383180026</t>
  </si>
  <si>
    <t xml:space="preserve">FALSE 2432</t>
  </si>
  <si>
    <t xml:space="preserve">Rhinichthys atratulus</t>
  </si>
  <si>
    <t xml:space="preserve">https://www.inaturalist.org/observations/383179675</t>
  </si>
  <si>
    <t xml:space="preserve">FALSE 2433</t>
  </si>
  <si>
    <t xml:space="preserve">Margariscus margarita</t>
  </si>
  <si>
    <t xml:space="preserve">https://www.inaturalist.org/observations/383179485</t>
  </si>
  <si>
    <t xml:space="preserve">FALSE 2434</t>
  </si>
  <si>
    <t xml:space="preserve">Pimephales notatus</t>
  </si>
  <si>
    <t xml:space="preserve">https://www.inaturalist.org/observations/383178619</t>
  </si>
  <si>
    <t xml:space="preserve">FALSE 2435</t>
  </si>
  <si>
    <t xml:space="preserve">Etheostoma baileyi</t>
  </si>
  <si>
    <t xml:space="preserve">https://www.inaturalist.org/observations/383176938</t>
  </si>
  <si>
    <t xml:space="preserve">FALSE 2436</t>
  </si>
  <si>
    <t xml:space="preserve">Nothonotus tippecanoe</t>
  </si>
  <si>
    <t xml:space="preserve">https://www.inaturalist.org/observations/383176904</t>
  </si>
  <si>
    <t xml:space="preserve">FALSE 2437</t>
  </si>
  <si>
    <t xml:space="preserve">Etheostoma zonale</t>
  </si>
  <si>
    <t xml:space="preserve">https://www.inaturalist.org/observations/383176853</t>
  </si>
  <si>
    <t xml:space="preserve">FALSE 2438</t>
  </si>
  <si>
    <t xml:space="preserve">Etheostoma variatum</t>
  </si>
  <si>
    <t xml:space="preserve">https://www.inaturalist.org/observations/383176809</t>
  </si>
  <si>
    <t xml:space="preserve">FALSE 2439</t>
  </si>
  <si>
    <t xml:space="preserve">Etheostoma flabellare</t>
  </si>
  <si>
    <t xml:space="preserve">https://www.inaturalist.org/observations/383175611</t>
  </si>
  <si>
    <t xml:space="preserve">FALSE 2440</t>
  </si>
  <si>
    <t xml:space="preserve">Hypentelium nigricans</t>
  </si>
  <si>
    <t xml:space="preserve">https://www.inaturalist.org/observations/383175586</t>
  </si>
  <si>
    <t xml:space="preserve">FALSE 2441</t>
  </si>
  <si>
    <t xml:space="preserve">Erimystax dissimilis</t>
  </si>
  <si>
    <t xml:space="preserve">https://www.inaturalist.org/observations/383175521</t>
  </si>
  <si>
    <t xml:space="preserve">FALSE 2442</t>
  </si>
  <si>
    <t xml:space="preserve">Nothonotus camurus</t>
  </si>
  <si>
    <t xml:space="preserve">https://www.inaturalist.org/observations/383175475</t>
  </si>
  <si>
    <t xml:space="preserve">FALSE 2443</t>
  </si>
  <si>
    <t xml:space="preserve">Etheostoma nigrum</t>
  </si>
  <si>
    <t xml:space="preserve">https://www.inaturalist.org/observations/383175423</t>
  </si>
  <si>
    <t xml:space="preserve">FALSE 2444</t>
  </si>
  <si>
    <t xml:space="preserve">Pholis ornata</t>
  </si>
  <si>
    <t xml:space="preserve">https://www.inaturalist.org/observations/383174565</t>
  </si>
  <si>
    <t xml:space="preserve">FALSE 2445</t>
  </si>
  <si>
    <t xml:space="preserve">Gambusia affinis</t>
  </si>
  <si>
    <t xml:space="preserve">https://www.inaturalist.org/observations/383172016</t>
  </si>
  <si>
    <t xml:space="preserve">FALSE 2446</t>
  </si>
  <si>
    <t xml:space="preserve">Atherinopsis californiensis</t>
  </si>
  <si>
    <t xml:space="preserve">https://www.inaturalist.org/observations/383171707</t>
  </si>
  <si>
    <t xml:space="preserve">FALSE 2447</t>
  </si>
  <si>
    <t xml:space="preserve">Oreochromis niloticus</t>
  </si>
  <si>
    <t xml:space="preserve">https://www.inaturalist.org/observations/383169619</t>
  </si>
  <si>
    <t xml:space="preserve">FALSE 2448</t>
  </si>
  <si>
    <t xml:space="preserve">Boleophthalmus pectinirostris</t>
  </si>
  <si>
    <t xml:space="preserve">https://www.inaturalist.org/observations/383169300</t>
  </si>
  <si>
    <t xml:space="preserve">FALSE 2449</t>
  </si>
  <si>
    <t xml:space="preserve">Oncorhynchus aguabonita</t>
  </si>
  <si>
    <t xml:space="preserve">https://www.inaturalist.org/observations/383168047</t>
  </si>
  <si>
    <t xml:space="preserve">FALSE 2450</t>
  </si>
  <si>
    <t xml:space="preserve">Noturus flavus</t>
  </si>
  <si>
    <t xml:space="preserve">https://www.inaturalist.org/observations/383167200</t>
  </si>
  <si>
    <t xml:space="preserve">FALSE 2451</t>
  </si>
  <si>
    <t xml:space="preserve">Etheostoma blennioides</t>
  </si>
  <si>
    <t xml:space="preserve">https://www.inaturalist.org/observations/383167121</t>
  </si>
  <si>
    <t xml:space="preserve">FALSE 2452</t>
  </si>
  <si>
    <t xml:space="preserve">Etheostoma gore</t>
  </si>
  <si>
    <t xml:space="preserve">https://www.inaturalist.org/observations/383167007</t>
  </si>
  <si>
    <t xml:space="preserve">FALSE 2453</t>
  </si>
  <si>
    <t xml:space="preserve">Oncorhynchus lewisi</t>
  </si>
  <si>
    <t xml:space="preserve">https://www.inaturalist.org/observations/383164363</t>
  </si>
  <si>
    <t xml:space="preserve">FALSE 2454</t>
  </si>
  <si>
    <t xml:space="preserve">Chrysophrys auratus</t>
  </si>
  <si>
    <t xml:space="preserve">https://www.inaturalist.org/observations/383163617</t>
  </si>
  <si>
    <t xml:space="preserve">FALSE 2455</t>
  </si>
  <si>
    <t xml:space="preserve">Upeneichthys porosus</t>
  </si>
  <si>
    <t xml:space="preserve">https://www.inaturalist.org/observations/383163616</t>
  </si>
  <si>
    <t xml:space="preserve">FALSE 2456</t>
  </si>
  <si>
    <t xml:space="preserve">Thymallus arcticus</t>
  </si>
  <si>
    <t xml:space="preserve">https://www.inaturalist.org/observations/383162873</t>
  </si>
  <si>
    <t xml:space="preserve">FALSE 2457</t>
  </si>
  <si>
    <t xml:space="preserve">Pogonias cromis</t>
  </si>
  <si>
    <t xml:space="preserve">https://www.inaturalist.org/observations/383162187</t>
  </si>
  <si>
    <t xml:space="preserve">FALSE 2458</t>
  </si>
  <si>
    <t xml:space="preserve">Lepomis megalotis</t>
  </si>
  <si>
    <t xml:space="preserve">https://www.inaturalist.org/observations/383161675</t>
  </si>
  <si>
    <t xml:space="preserve">FALSE 2459</t>
  </si>
  <si>
    <t xml:space="preserve">Luxilus chrysocephalus</t>
  </si>
  <si>
    <t xml:space="preserve">https://www.inaturalist.org/observations/383161660</t>
  </si>
  <si>
    <t xml:space="preserve">FALSE 2460</t>
  </si>
  <si>
    <t xml:space="preserve">Lepomis macrochirus</t>
  </si>
  <si>
    <t xml:space="preserve">https://www.inaturalist.org/observations/383159957</t>
  </si>
  <si>
    <t xml:space="preserve">FALSE 2461</t>
  </si>
  <si>
    <t xml:space="preserve">Esox lucius</t>
  </si>
  <si>
    <t xml:space="preserve">https://www.inaturalist.org/observations/383159655</t>
  </si>
  <si>
    <t xml:space="preserve">FALSE 2462</t>
  </si>
  <si>
    <t xml:space="preserve">Megalops atlanticus</t>
  </si>
  <si>
    <t xml:space="preserve">https://www.inaturalist.org/observations/383159187</t>
  </si>
  <si>
    <t xml:space="preserve">FALSE 2463</t>
  </si>
  <si>
    <t xml:space="preserve">Rhinomuraena quaesita</t>
  </si>
  <si>
    <t xml:space="preserve">https://www.inaturalist.org/observations/383159140</t>
  </si>
  <si>
    <t xml:space="preserve">FALSE 2464</t>
  </si>
  <si>
    <t xml:space="preserve">Pterois volitans</t>
  </si>
  <si>
    <t xml:space="preserve">https://www.inaturalist.org/observations/383159128</t>
  </si>
  <si>
    <t xml:space="preserve">FALSE 2465</t>
  </si>
  <si>
    <t xml:space="preserve">Nemateleotris magnifica</t>
  </si>
  <si>
    <t xml:space="preserve">https://www.inaturalist.org/observations/383159119</t>
  </si>
  <si>
    <t xml:space="preserve">FALSE 2466</t>
  </si>
  <si>
    <t xml:space="preserve">Noturus miurus</t>
  </si>
  <si>
    <t xml:space="preserve">https://www.inaturalist.org/observations/383157555</t>
  </si>
  <si>
    <t xml:space="preserve">FALSE 2467</t>
  </si>
  <si>
    <t xml:space="preserve">Pimephales vigilax</t>
  </si>
  <si>
    <t xml:space="preserve">https://www.inaturalist.org/observations/383157409</t>
  </si>
  <si>
    <t xml:space="preserve">FALSE 2468</t>
  </si>
  <si>
    <t xml:space="preserve">Cyprinella lutrensis</t>
  </si>
  <si>
    <t xml:space="preserve">https://www.inaturalist.org/observations/383156679</t>
  </si>
  <si>
    <t xml:space="preserve">FALSE 2469</t>
  </si>
  <si>
    <t xml:space="preserve">Pimephales promelas</t>
  </si>
  <si>
    <t xml:space="preserve">https://www.inaturalist.org/observations/383155635</t>
  </si>
  <si>
    <t xml:space="preserve">FALSE 2470</t>
  </si>
  <si>
    <t xml:space="preserve">Lepomis humilis</t>
  </si>
  <si>
    <t xml:space="preserve">https://www.inaturalist.org/observations/383155589</t>
  </si>
  <si>
    <t xml:space="preserve">FALSE 2471</t>
  </si>
  <si>
    <t xml:space="preserve">Sebastes serriceps</t>
  </si>
  <si>
    <t xml:space="preserve">https://www.inaturalist.org/observations/383154893</t>
  </si>
  <si>
    <t xml:space="preserve">FALSE 2472</t>
  </si>
  <si>
    <t xml:space="preserve">Paralabrax clathratus</t>
  </si>
  <si>
    <t xml:space="preserve">https://www.inaturalist.org/observations/383154857</t>
  </si>
  <si>
    <t xml:space="preserve">FALSE 2473</t>
  </si>
  <si>
    <t xml:space="preserve">Micropterus nigricans</t>
  </si>
  <si>
    <t xml:space="preserve">https://www.inaturalist.org/observations/383153161</t>
  </si>
  <si>
    <t xml:space="preserve">FALSE 2474</t>
  </si>
  <si>
    <t xml:space="preserve">Acanthogobius flavimanus</t>
  </si>
  <si>
    <t xml:space="preserve">https://www.inaturalist.org/observations/383152062</t>
  </si>
  <si>
    <t xml:space="preserve">FALSE 2475</t>
  </si>
  <si>
    <t xml:space="preserve">Fundulus grandis</t>
  </si>
  <si>
    <t xml:space="preserve">https://www.inaturalist.org/observations/383148828</t>
  </si>
  <si>
    <t xml:space="preserve">FALSE 2476</t>
  </si>
  <si>
    <t xml:space="preserve">Clinocottus globiceps</t>
  </si>
  <si>
    <t xml:space="preserve">https://www.inaturalist.org/observations/383145270</t>
  </si>
  <si>
    <t xml:space="preserve">FALSE 2477</t>
  </si>
  <si>
    <t xml:space="preserve">Cosmocampus elucens</t>
  </si>
  <si>
    <t xml:space="preserve">https://www.inaturalist.org/observations/383143926</t>
  </si>
  <si>
    <t xml:space="preserve">FALSE 2478</t>
  </si>
  <si>
    <t xml:space="preserve">Anisotremus davidsonii</t>
  </si>
  <si>
    <t xml:space="preserve">https://www.inaturalist.org/observations/383143490</t>
  </si>
  <si>
    <t xml:space="preserve">FALSE 2479</t>
  </si>
  <si>
    <t xml:space="preserve">Micropterus salmoides</t>
  </si>
  <si>
    <t xml:space="preserve">https://www.inaturalist.org/observations/383143348</t>
  </si>
  <si>
    <t xml:space="preserve">FALSE 2480</t>
  </si>
  <si>
    <t xml:space="preserve">Ameiurus nebulosus</t>
  </si>
  <si>
    <t xml:space="preserve">https://www.inaturalist.org/observations/383142545</t>
  </si>
  <si>
    <t xml:space="preserve">FALSE 2481</t>
  </si>
  <si>
    <t xml:space="preserve">Hemigymnus melapterus</t>
  </si>
  <si>
    <t xml:space="preserve">https://www.inaturalist.org/observations/383141664</t>
  </si>
  <si>
    <t xml:space="preserve">FALSE 2482</t>
  </si>
  <si>
    <t xml:space="preserve">Lepisosteus platostomus</t>
  </si>
  <si>
    <t xml:space="preserve">https://www.inaturalist.org/observations/383141576</t>
  </si>
  <si>
    <t xml:space="preserve">FALSE 2483</t>
  </si>
  <si>
    <t xml:space="preserve">Bagre marinus</t>
  </si>
  <si>
    <t xml:space="preserve">https://www.inaturalist.org/observations/383141520</t>
  </si>
  <si>
    <t xml:space="preserve">FALSE 2484</t>
  </si>
  <si>
    <t xml:space="preserve">Chaetodon lineolatus</t>
  </si>
  <si>
    <t xml:space="preserve">https://www.inaturalist.org/observations/383141366</t>
  </si>
  <si>
    <t xml:space="preserve">FALSE 2485</t>
  </si>
  <si>
    <t xml:space="preserve">Holacanthus passer</t>
  </si>
  <si>
    <t xml:space="preserve">https://www.inaturalist.org/observations/383141033</t>
  </si>
  <si>
    <t xml:space="preserve">FALSE 2486</t>
  </si>
  <si>
    <t xml:space="preserve">Prionurus laticlavius</t>
  </si>
  <si>
    <t xml:space="preserve">https://www.inaturalist.org/observations/383141028</t>
  </si>
  <si>
    <t xml:space="preserve">FALSE 2487</t>
  </si>
  <si>
    <t xml:space="preserve">Semotilus corporalis</t>
  </si>
  <si>
    <t xml:space="preserve">https://www.inaturalist.org/observations/383140933</t>
  </si>
  <si>
    <t xml:space="preserve">FALSE 2488</t>
  </si>
  <si>
    <t xml:space="preserve">Chromis atripectoralis</t>
  </si>
  <si>
    <t xml:space="preserve">https://www.inaturalist.org/observations/383140085</t>
  </si>
  <si>
    <t xml:space="preserve">FALSE 2489</t>
  </si>
  <si>
    <t xml:space="preserve">Chrosomus eos</t>
  </si>
  <si>
    <t xml:space="preserve">https://www.inaturalist.org/observations/383139873</t>
  </si>
  <si>
    <t xml:space="preserve">FALSE 2490</t>
  </si>
  <si>
    <t xml:space="preserve">Ictalurus furcatus</t>
  </si>
  <si>
    <t xml:space="preserve">https://www.inaturalist.org/observations/383139829</t>
  </si>
  <si>
    <t xml:space="preserve">FALSE 2491</t>
  </si>
  <si>
    <t xml:space="preserve">Morone saxatilis</t>
  </si>
  <si>
    <t xml:space="preserve">https://www.inaturalist.org/observations/383139758</t>
  </si>
  <si>
    <t xml:space="preserve">FALSE 2492</t>
  </si>
  <si>
    <t xml:space="preserve">Thoburnia rhothoeca</t>
  </si>
  <si>
    <t xml:space="preserve">https://www.inaturalist.org/observations/383138909</t>
  </si>
  <si>
    <t xml:space="preserve">FALSE 2493</t>
  </si>
  <si>
    <t xml:space="preserve">Chrosomus oreas</t>
  </si>
  <si>
    <t xml:space="preserve">https://www.inaturalist.org/observations/383138868</t>
  </si>
  <si>
    <t xml:space="preserve">FALSE 2494</t>
  </si>
  <si>
    <t xml:space="preserve">Salvelinus fontinalis</t>
  </si>
  <si>
    <t xml:space="preserve">https://www.inaturalist.org/observations/383138834</t>
  </si>
  <si>
    <t xml:space="preserve">FALSE 2495</t>
  </si>
  <si>
    <t xml:space="preserve">Abudefduf bengalensis</t>
  </si>
  <si>
    <t xml:space="preserve">https://www.inaturalist.org/observations/383137461</t>
  </si>
  <si>
    <t xml:space="preserve">FALSE 2496</t>
  </si>
  <si>
    <t xml:space="preserve">Halichoeres radiatus</t>
  </si>
  <si>
    <t xml:space="preserve">https://www.inaturalist.org/observations/383137291</t>
  </si>
  <si>
    <t xml:space="preserve">FALSE 2497</t>
  </si>
  <si>
    <t xml:space="preserve">Neoglyphidodon melas</t>
  </si>
  <si>
    <t xml:space="preserve">https://www.inaturalist.org/observations/383137179</t>
  </si>
  <si>
    <t xml:space="preserve">FALSE 2498</t>
  </si>
  <si>
    <t xml:space="preserve">Pylodictis olivaris</t>
  </si>
  <si>
    <t xml:space="preserve">https://www.inaturalist.org/observations/383136987</t>
  </si>
  <si>
    <t xml:space="preserve">FALSE 2499</t>
  </si>
  <si>
    <t xml:space="preserve">Fundulus blairae</t>
  </si>
  <si>
    <t xml:space="preserve">https://www.inaturalist.org/observations/383136499</t>
  </si>
  <si>
    <t xml:space="preserve">FALSE 2500</t>
  </si>
  <si>
    <t xml:space="preserve">Stegastes leucostictus</t>
  </si>
  <si>
    <t xml:space="preserve">https://www.inaturalist.org/observations/383136330</t>
  </si>
  <si>
    <t xml:space="preserve">FALSE 2501</t>
  </si>
  <si>
    <t xml:space="preserve">Percina caprodes</t>
  </si>
  <si>
    <t xml:space="preserve">https://www.inaturalist.org/observations/383135849</t>
  </si>
  <si>
    <t xml:space="preserve">FALSE 2502</t>
  </si>
  <si>
    <t xml:space="preserve">Psammoperca datnioides</t>
  </si>
  <si>
    <t xml:space="preserve">https://www.inaturalist.org/observations/383135768</t>
  </si>
  <si>
    <t xml:space="preserve">FALSE 2503</t>
  </si>
  <si>
    <t xml:space="preserve">Lutjanus carponotatus</t>
  </si>
  <si>
    <t xml:space="preserve">https://www.inaturalist.org/observations/383135510</t>
  </si>
  <si>
    <t xml:space="preserve">FALSE 2504</t>
  </si>
  <si>
    <t xml:space="preserve">Nocomis leptocephalus</t>
  </si>
  <si>
    <t xml:space="preserve">https://www.inaturalist.org/observations/383134974</t>
  </si>
  <si>
    <t xml:space="preserve">FALSE 2505</t>
  </si>
  <si>
    <t xml:space="preserve">Meuschenia freycineti</t>
  </si>
  <si>
    <t xml:space="preserve">https://www.inaturalist.org/observations/383134810</t>
  </si>
  <si>
    <t xml:space="preserve">FALSE 2506</t>
  </si>
  <si>
    <t xml:space="preserve">Thalassoma bifasciatum</t>
  </si>
  <si>
    <t xml:space="preserve">https://www.inaturalist.org/observations/383134317</t>
  </si>
  <si>
    <t xml:space="preserve">FALSE 2507</t>
  </si>
  <si>
    <t xml:space="preserve">Coryphopterus dicrus</t>
  </si>
  <si>
    <t xml:space="preserve">https://www.inaturalist.org/observations/383134123</t>
  </si>
  <si>
    <t xml:space="preserve">FALSE 2508</t>
  </si>
  <si>
    <t xml:space="preserve">Etheostoma longimanum</t>
  </si>
  <si>
    <t xml:space="preserve">https://www.inaturalist.org/observations/383133616</t>
  </si>
  <si>
    <t xml:space="preserve">FALSE 2509</t>
  </si>
  <si>
    <t xml:space="preserve">Macropodus opercularis</t>
  </si>
  <si>
    <t xml:space="preserve">https://www.inaturalist.org/observations/383132955</t>
  </si>
  <si>
    <t xml:space="preserve">FALSE 2510</t>
  </si>
  <si>
    <t xml:space="preserve">Cyprinella whipplei</t>
  </si>
  <si>
    <t xml:space="preserve">https://www.inaturalist.org/observations/383132471</t>
  </si>
  <si>
    <t xml:space="preserve">FALSE 2511</t>
  </si>
  <si>
    <t xml:space="preserve">Metzia lineata</t>
  </si>
  <si>
    <t xml:space="preserve">https://www.inaturalist.org/observations/383132212</t>
  </si>
  <si>
    <t xml:space="preserve">FALSE 2512</t>
  </si>
  <si>
    <t xml:space="preserve">Fundulus catenatus</t>
  </si>
  <si>
    <t xml:space="preserve">https://www.inaturalist.org/observations/383131869</t>
  </si>
  <si>
    <t xml:space="preserve">FALSE 2513</t>
  </si>
  <si>
    <t xml:space="preserve">Disymphia molitorella</t>
  </si>
  <si>
    <t xml:space="preserve">https://www.inaturalist.org/observations/383131804</t>
  </si>
  <si>
    <t xml:space="preserve">FALSE 2514</t>
  </si>
  <si>
    <t xml:space="preserve">Rhinogobius similis</t>
  </si>
  <si>
    <t xml:space="preserve">https://www.inaturalist.org/observations/383130430</t>
  </si>
  <si>
    <t xml:space="preserve">FALSE 2515</t>
  </si>
  <si>
    <t xml:space="preserve">Rhodeus ocellatus</t>
  </si>
  <si>
    <t xml:space="preserve">https://www.inaturalist.org/observations/383130075</t>
  </si>
  <si>
    <t xml:space="preserve">FALSE 2516</t>
  </si>
  <si>
    <t xml:space="preserve">Rubricatochromis bimaculatus</t>
  </si>
  <si>
    <t xml:space="preserve">https://www.inaturalist.org/observations/383129133</t>
  </si>
  <si>
    <t xml:space="preserve">FALSE 2517</t>
  </si>
  <si>
    <t xml:space="preserve">Caranx ruber</t>
  </si>
  <si>
    <t xml:space="preserve">https://www.inaturalist.org/observations/383129092</t>
  </si>
  <si>
    <t xml:space="preserve">FALSE 2518</t>
  </si>
  <si>
    <t xml:space="preserve">Percina aurantiaca</t>
  </si>
  <si>
    <t xml:space="preserve">https://www.inaturalist.org/observations/383126401</t>
  </si>
  <si>
    <t xml:space="preserve">FALSE 2519</t>
  </si>
  <si>
    <t xml:space="preserve">Elopichthys bambusa</t>
  </si>
  <si>
    <t xml:space="preserve">https://www.inaturalist.org/observations/383120108</t>
  </si>
  <si>
    <t xml:space="preserve">FALSE 2520</t>
  </si>
  <si>
    <t xml:space="preserve">Caranx crysos</t>
  </si>
  <si>
    <t xml:space="preserve">https://www.inaturalist.org/observations/383119041</t>
  </si>
  <si>
    <t xml:space="preserve">FALSE 2521</t>
  </si>
  <si>
    <t xml:space="preserve">https://www.inaturalist.org/observations/400559600</t>
  </si>
  <si>
    <t xml:space="preserve">FALSE 2522</t>
  </si>
  <si>
    <t xml:space="preserve">Salamandra salamandra</t>
  </si>
  <si>
    <t xml:space="preserve">https://www.inaturalist.org/observations/400557588</t>
  </si>
  <si>
    <t xml:space="preserve">FALSE 2523</t>
  </si>
  <si>
    <t xml:space="preserve">https://www.inaturalist.org/observations/400551344</t>
  </si>
  <si>
    <t xml:space="preserve">FALSE 2524</t>
  </si>
  <si>
    <t xml:space="preserve">https://www.inaturalist.org/observations/400550954</t>
  </si>
  <si>
    <t xml:space="preserve">FALSE 2525</t>
  </si>
  <si>
    <t xml:space="preserve">https://www.inaturalist.org/observations/400541437</t>
  </si>
  <si>
    <t xml:space="preserve">FALSE 2526</t>
  </si>
  <si>
    <t xml:space="preserve">https://www.inaturalist.org/observations/400538823</t>
  </si>
  <si>
    <t xml:space="preserve">FALSE 2527</t>
  </si>
  <si>
    <t xml:space="preserve">Eurycea wilderae</t>
  </si>
  <si>
    <t xml:space="preserve">https://www.inaturalist.org/observations/400523045</t>
  </si>
  <si>
    <t xml:space="preserve">FALSE 2528</t>
  </si>
  <si>
    <t xml:space="preserve">Salamandra atra</t>
  </si>
  <si>
    <t xml:space="preserve">https://www.inaturalist.org/observations/400514821</t>
  </si>
  <si>
    <t xml:space="preserve">FALSE 2529</t>
  </si>
  <si>
    <t xml:space="preserve">https://www.inaturalist.org/observations/400479243</t>
  </si>
  <si>
    <t xml:space="preserve">FALSE 2530</t>
  </si>
  <si>
    <t xml:space="preserve">https://www.inaturalist.org/observations/400469471</t>
  </si>
  <si>
    <t xml:space="preserve">FALSE 2531</t>
  </si>
  <si>
    <t xml:space="preserve">https://www.inaturalist.org/observations/400456510</t>
  </si>
  <si>
    <t xml:space="preserve">FALSE 2532</t>
  </si>
  <si>
    <t xml:space="preserve">https://www.inaturalist.org/observations/400455865</t>
  </si>
  <si>
    <t xml:space="preserve">FALSE 2533</t>
  </si>
  <si>
    <t xml:space="preserve">Triturus cristatus</t>
  </si>
  <si>
    <t xml:space="preserve">https://www.inaturalist.org/observations/400441773</t>
  </si>
  <si>
    <t xml:space="preserve">FALSE 2534</t>
  </si>
  <si>
    <t xml:space="preserve">https://www.inaturalist.org/observations/400414568</t>
  </si>
  <si>
    <t xml:space="preserve">FALSE 2535</t>
  </si>
  <si>
    <t xml:space="preserve">Ambystoma macrodactylum</t>
  </si>
  <si>
    <t xml:space="preserve">https://www.inaturalist.org/observations/400398800</t>
  </si>
  <si>
    <t xml:space="preserve">FALSE 2536</t>
  </si>
  <si>
    <t xml:space="preserve">https://www.inaturalist.org/observations/400385218</t>
  </si>
  <si>
    <t xml:space="preserve">FALSE 2537</t>
  </si>
  <si>
    <t xml:space="preserve">Ensatina eschscholtzii oregonensis</t>
  </si>
  <si>
    <t xml:space="preserve">https://www.inaturalist.org/observations/400381453</t>
  </si>
  <si>
    <t xml:space="preserve">FALSE 2538</t>
  </si>
  <si>
    <t xml:space="preserve">https://www.inaturalist.org/observations/400380377</t>
  </si>
  <si>
    <t xml:space="preserve">FALSE 2539</t>
  </si>
  <si>
    <t xml:space="preserve">https://www.inaturalist.org/observations/400379671</t>
  </si>
  <si>
    <t xml:space="preserve">FALSE 2540</t>
  </si>
  <si>
    <t xml:space="preserve">Ambystoma tigrinum</t>
  </si>
  <si>
    <t xml:space="preserve">https://www.inaturalist.org/observations/400351885</t>
  </si>
  <si>
    <t xml:space="preserve">FALSE 2541</t>
  </si>
  <si>
    <t xml:space="preserve">https://www.inaturalist.org/observations/400347363</t>
  </si>
  <si>
    <t xml:space="preserve">FALSE 2542</t>
  </si>
  <si>
    <t xml:space="preserve">https://www.inaturalist.org/observations/400343731</t>
  </si>
  <si>
    <t xml:space="preserve">FALSE 2543</t>
  </si>
  <si>
    <t xml:space="preserve">https://www.inaturalist.org/observations/400343033</t>
  </si>
  <si>
    <t xml:space="preserve">FALSE 2544</t>
  </si>
  <si>
    <t xml:space="preserve">https://www.inaturalist.org/observations/400312691</t>
  </si>
  <si>
    <t xml:space="preserve">FALSE 2545</t>
  </si>
  <si>
    <t xml:space="preserve">Dicamptodon tenebrosus</t>
  </si>
  <si>
    <t xml:space="preserve">https://www.inaturalist.org/observations/400310664</t>
  </si>
  <si>
    <t xml:space="preserve">FALSE 2546</t>
  </si>
  <si>
    <t xml:space="preserve">Siren lacertina</t>
  </si>
  <si>
    <t xml:space="preserve">https://www.inaturalist.org/observations/400302978</t>
  </si>
  <si>
    <t xml:space="preserve">FALSE 2547</t>
  </si>
  <si>
    <t xml:space="preserve">https://www.inaturalist.org/observations/400301070</t>
  </si>
  <si>
    <t xml:space="preserve">FALSE 2548</t>
  </si>
  <si>
    <t xml:space="preserve">https://www.inaturalist.org/observations/400291893</t>
  </si>
  <si>
    <t xml:space="preserve">FALSE 2549</t>
  </si>
  <si>
    <t xml:space="preserve">https://www.inaturalist.org/observations/400273508</t>
  </si>
  <si>
    <t xml:space="preserve">FALSE 2550</t>
  </si>
  <si>
    <t xml:space="preserve">Ambystoma gracile</t>
  </si>
  <si>
    <t xml:space="preserve">https://www.inaturalist.org/observations/400251819</t>
  </si>
  <si>
    <t xml:space="preserve">FALSE 2551</t>
  </si>
  <si>
    <t xml:space="preserve">Mesotriton alpestris veluchiensis</t>
  </si>
  <si>
    <t xml:space="preserve">https://www.inaturalist.org/observations/400235162</t>
  </si>
  <si>
    <t xml:space="preserve">FALSE 2552</t>
  </si>
  <si>
    <t xml:space="preserve">Paramesotriton fuzhongensis</t>
  </si>
  <si>
    <t xml:space="preserve">https://www.inaturalist.org/observations/400231782</t>
  </si>
  <si>
    <t xml:space="preserve">FALSE 2553</t>
  </si>
  <si>
    <t xml:space="preserve">Salamandra lanzai</t>
  </si>
  <si>
    <t xml:space="preserve">https://www.inaturalist.org/observations/400203139</t>
  </si>
  <si>
    <t xml:space="preserve">FALSE 2554</t>
  </si>
  <si>
    <t xml:space="preserve">Desmognathus monticola</t>
  </si>
  <si>
    <t xml:space="preserve">https://www.inaturalist.org/observations/400161510</t>
  </si>
  <si>
    <t xml:space="preserve">FALSE 2555</t>
  </si>
  <si>
    <t xml:space="preserve">Hynobius boulengeri</t>
  </si>
  <si>
    <t xml:space="preserve">https://www.inaturalist.org/observations/400141949</t>
  </si>
  <si>
    <t xml:space="preserve">FALSE 2556</t>
  </si>
  <si>
    <t xml:space="preserve">Tylototriton hainanensis</t>
  </si>
  <si>
    <t xml:space="preserve">https://www.inaturalist.org/observations/400138986</t>
  </si>
  <si>
    <t xml:space="preserve">FALSE 2557</t>
  </si>
  <si>
    <t xml:space="preserve">https://www.inaturalist.org/observations/400134891</t>
  </si>
  <si>
    <t xml:space="preserve">FALSE 2558</t>
  </si>
  <si>
    <t xml:space="preserve">https://www.inaturalist.org/observations/400130332</t>
  </si>
  <si>
    <t xml:space="preserve">FALSE 2559</t>
  </si>
  <si>
    <t xml:space="preserve">https://www.inaturalist.org/observations/400125029</t>
  </si>
  <si>
    <t xml:space="preserve">FALSE 2560</t>
  </si>
  <si>
    <t xml:space="preserve">https://www.inaturalist.org/observations/400091125</t>
  </si>
  <si>
    <t xml:space="preserve">FALSE 2561</t>
  </si>
  <si>
    <t xml:space="preserve">https://www.inaturalist.org/observations/400049740</t>
  </si>
  <si>
    <t xml:space="preserve">FALSE 2562</t>
  </si>
  <si>
    <t xml:space="preserve">Salamandra salamandra gallaica</t>
  </si>
  <si>
    <t xml:space="preserve">https://www.inaturalist.org/observations/400040537</t>
  </si>
  <si>
    <t xml:space="preserve">FALSE 2563</t>
  </si>
  <si>
    <t xml:space="preserve">Hynobius leechii</t>
  </si>
  <si>
    <t xml:space="preserve">https://www.inaturalist.org/observations/400032018</t>
  </si>
  <si>
    <t xml:space="preserve">FALSE 2564</t>
  </si>
  <si>
    <t xml:space="preserve">https://www.inaturalist.org/observations/400028344</t>
  </si>
  <si>
    <t xml:space="preserve">FALSE 2565</t>
  </si>
  <si>
    <t xml:space="preserve">https://www.inaturalist.org/observations/400026301</t>
  </si>
  <si>
    <t xml:space="preserve">FALSE 2566</t>
  </si>
  <si>
    <t xml:space="preserve">https://www.inaturalist.org/observations/400018234</t>
  </si>
  <si>
    <t xml:space="preserve">FALSE 2567</t>
  </si>
  <si>
    <t xml:space="preserve">Lissotriton kosswigi</t>
  </si>
  <si>
    <t xml:space="preserve">https://www.inaturalist.org/observations/400005826</t>
  </si>
  <si>
    <t xml:space="preserve">FALSE 2568</t>
  </si>
  <si>
    <t xml:space="preserve">Desmognathus wrighti</t>
  </si>
  <si>
    <t xml:space="preserve">https://www.inaturalist.org/observations/400003371</t>
  </si>
  <si>
    <t xml:space="preserve">FALSE 2569</t>
  </si>
  <si>
    <t xml:space="preserve">Salamandrina terdigitata</t>
  </si>
  <si>
    <t xml:space="preserve">https://www.inaturalist.org/observations/399990177</t>
  </si>
  <si>
    <t xml:space="preserve">FALSE 2570</t>
  </si>
  <si>
    <t xml:space="preserve">Hynobius naevius</t>
  </si>
  <si>
    <t xml:space="preserve">https://www.inaturalist.org/observations/399979193</t>
  </si>
  <si>
    <t xml:space="preserve">FALSE 2571</t>
  </si>
  <si>
    <t xml:space="preserve">Plethodon hubrichti</t>
  </si>
  <si>
    <t xml:space="preserve">https://www.inaturalist.org/observations/399957762</t>
  </si>
  <si>
    <t xml:space="preserve">FALSE 2572</t>
  </si>
  <si>
    <t xml:space="preserve">https://www.inaturalist.org/observations/399943090</t>
  </si>
  <si>
    <t xml:space="preserve">FALSE 2573</t>
  </si>
  <si>
    <t xml:space="preserve">https://www.inaturalist.org/observations/399933288</t>
  </si>
  <si>
    <t xml:space="preserve">FALSE 2574</t>
  </si>
  <si>
    <t xml:space="preserve">https://www.inaturalist.org/observations/399875055</t>
  </si>
  <si>
    <t xml:space="preserve">FALSE 2575</t>
  </si>
  <si>
    <t xml:space="preserve">https://www.inaturalist.org/observations/399849833</t>
  </si>
  <si>
    <t xml:space="preserve">FALSE 2576</t>
  </si>
  <si>
    <t xml:space="preserve">Ambystoma annulatum</t>
  </si>
  <si>
    <t xml:space="preserve">https://www.inaturalist.org/observations/399840842</t>
  </si>
  <si>
    <t xml:space="preserve">FALSE 2577</t>
  </si>
  <si>
    <t xml:space="preserve">Rhyacotriton variegatus</t>
  </si>
  <si>
    <t xml:space="preserve">https://www.inaturalist.org/observations/399807402</t>
  </si>
  <si>
    <t xml:space="preserve">FALSE 2578</t>
  </si>
  <si>
    <t xml:space="preserve">Plethodon shermani</t>
  </si>
  <si>
    <t xml:space="preserve">https://www.inaturalist.org/observations/399776855</t>
  </si>
  <si>
    <t xml:space="preserve">FALSE 2579</t>
  </si>
  <si>
    <t xml:space="preserve">https://www.inaturalist.org/observations/399771029</t>
  </si>
  <si>
    <t xml:space="preserve">FALSE 2580</t>
  </si>
  <si>
    <t xml:space="preserve">Bolitoglossa mombachoensis</t>
  </si>
  <si>
    <t xml:space="preserve">https://www.inaturalist.org/observations/399746004</t>
  </si>
  <si>
    <t xml:space="preserve">FALSE 2581</t>
  </si>
  <si>
    <t xml:space="preserve">Notophthalmus viridescens louisianensis</t>
  </si>
  <si>
    <t xml:space="preserve">https://www.inaturalist.org/observations/399725418</t>
  </si>
  <si>
    <t xml:space="preserve">FALSE 2582</t>
  </si>
  <si>
    <t xml:space="preserve">Lissotriton graecus</t>
  </si>
  <si>
    <t xml:space="preserve">https://www.inaturalist.org/observations/399713141</t>
  </si>
  <si>
    <t xml:space="preserve">FALSE 2583</t>
  </si>
  <si>
    <t xml:space="preserve">https://www.inaturalist.org/observations/399701245</t>
  </si>
  <si>
    <t xml:space="preserve">FALSE 2584</t>
  </si>
  <si>
    <t xml:space="preserve">https://www.inaturalist.org/observations/399700234</t>
  </si>
  <si>
    <t xml:space="preserve">FALSE 2585</t>
  </si>
  <si>
    <t xml:space="preserve">https://www.inaturalist.org/observations/399695778</t>
  </si>
  <si>
    <t xml:space="preserve">FALSE 2586</t>
  </si>
  <si>
    <t xml:space="preserve">https://www.inaturalist.org/observations/399654065</t>
  </si>
  <si>
    <t xml:space="preserve">FALSE 2587</t>
  </si>
  <si>
    <t xml:space="preserve">Plethodon hoffmani</t>
  </si>
  <si>
    <t xml:space="preserve">https://www.inaturalist.org/observations/399557208</t>
  </si>
  <si>
    <t xml:space="preserve">FALSE 2588</t>
  </si>
  <si>
    <t xml:space="preserve">Notophthalmus meridionalis</t>
  </si>
  <si>
    <t xml:space="preserve">https://www.inaturalist.org/observations/399540091</t>
  </si>
  <si>
    <t xml:space="preserve">FALSE 2589</t>
  </si>
  <si>
    <t xml:space="preserve">https://www.inaturalist.org/observations/399521553</t>
  </si>
  <si>
    <t xml:space="preserve">FALSE 2590</t>
  </si>
  <si>
    <t xml:space="preserve">https://www.inaturalist.org/observations/399511318</t>
  </si>
  <si>
    <t xml:space="preserve">FALSE 2591</t>
  </si>
  <si>
    <t xml:space="preserve">https://www.inaturalist.org/observations/399487106</t>
  </si>
  <si>
    <t xml:space="preserve">FALSE 2592</t>
  </si>
  <si>
    <t xml:space="preserve">https://www.inaturalist.org/observations/399479223</t>
  </si>
  <si>
    <t xml:space="preserve">FALSE 2593</t>
  </si>
  <si>
    <t xml:space="preserve">Bolitoglossa colonnea</t>
  </si>
  <si>
    <t xml:space="preserve">https://www.inaturalist.org/observations/399463657</t>
  </si>
  <si>
    <t xml:space="preserve">FALSE 2594</t>
  </si>
  <si>
    <t xml:space="preserve">Desmognathus carolinensis</t>
  </si>
  <si>
    <t xml:space="preserve">https://www.inaturalist.org/observations/399426259</t>
  </si>
  <si>
    <t xml:space="preserve">FALSE 2595</t>
  </si>
  <si>
    <t xml:space="preserve">Bolitoglossa savagei</t>
  </si>
  <si>
    <t xml:space="preserve">https://www.inaturalist.org/observations/399400020</t>
  </si>
  <si>
    <t xml:space="preserve">FALSE 2596</t>
  </si>
  <si>
    <t xml:space="preserve">Bolitoglossa lignicolor</t>
  </si>
  <si>
    <t xml:space="preserve">https://www.inaturalist.org/observations/399389821</t>
  </si>
  <si>
    <t xml:space="preserve">FALSE 2597</t>
  </si>
  <si>
    <t xml:space="preserve">https://www.inaturalist.org/observations/399312248</t>
  </si>
  <si>
    <t xml:space="preserve">FALSE 2598</t>
  </si>
  <si>
    <t xml:space="preserve">Notophthalmus perstriatus</t>
  </si>
  <si>
    <t xml:space="preserve">https://www.inaturalist.org/observations/399279191</t>
  </si>
  <si>
    <t xml:space="preserve">FALSE 2599</t>
  </si>
  <si>
    <t xml:space="preserve">Pseudotriton ruber nitidus</t>
  </si>
  <si>
    <t xml:space="preserve">https://www.inaturalist.org/observations/399274004</t>
  </si>
  <si>
    <t xml:space="preserve">FALSE 2600</t>
  </si>
  <si>
    <t xml:space="preserve">Plethodon richmondi</t>
  </si>
  <si>
    <t xml:space="preserve">https://www.inaturalist.org/observations/399273937</t>
  </si>
  <si>
    <t xml:space="preserve">FALSE 2601</t>
  </si>
  <si>
    <t xml:space="preserve">https://www.inaturalist.org/observations/399205764</t>
  </si>
  <si>
    <t xml:space="preserve">FALSE 2602</t>
  </si>
  <si>
    <t xml:space="preserve">Salamandra atra atra</t>
  </si>
  <si>
    <t xml:space="preserve">https://www.inaturalist.org/observations/399203542</t>
  </si>
  <si>
    <t xml:space="preserve">FALSE 2603</t>
  </si>
  <si>
    <t xml:space="preserve">https://www.inaturalist.org/observations/399176732</t>
  </si>
  <si>
    <t xml:space="preserve">FALSE 2604</t>
  </si>
  <si>
    <t xml:space="preserve">https://www.inaturalist.org/observations/399176527</t>
  </si>
  <si>
    <t xml:space="preserve">FALSE 2605</t>
  </si>
  <si>
    <t xml:space="preserve">https://www.inaturalist.org/observations/399159087</t>
  </si>
  <si>
    <t xml:space="preserve">FALSE 2606</t>
  </si>
  <si>
    <t xml:space="preserve">Bolitoglossa vallecula</t>
  </si>
  <si>
    <t xml:space="preserve">https://www.inaturalist.org/observations/399158580</t>
  </si>
  <si>
    <t xml:space="preserve">FALSE 2607</t>
  </si>
  <si>
    <t xml:space="preserve">https://www.inaturalist.org/observations/399147244</t>
  </si>
  <si>
    <t xml:space="preserve">FALSE 2608</t>
  </si>
  <si>
    <t xml:space="preserve">https://www.inaturalist.org/observations/399147243</t>
  </si>
  <si>
    <t xml:space="preserve">FALSE 2609</t>
  </si>
  <si>
    <t xml:space="preserve">https://www.inaturalist.org/observations/399147237</t>
  </si>
  <si>
    <t xml:space="preserve">FALSE 2610</t>
  </si>
  <si>
    <t xml:space="preserve">https://www.inaturalist.org/observations/399147225</t>
  </si>
  <si>
    <t xml:space="preserve">FALSE 2611</t>
  </si>
  <si>
    <t xml:space="preserve">Plethodon montanus</t>
  </si>
  <si>
    <t xml:space="preserve">https://www.inaturalist.org/observations/399147214</t>
  </si>
  <si>
    <t xml:space="preserve">FALSE 2612</t>
  </si>
  <si>
    <t xml:space="preserve">https://www.inaturalist.org/observations/399139978</t>
  </si>
  <si>
    <t xml:space="preserve">FALSE 2613</t>
  </si>
  <si>
    <t xml:space="preserve">Ambystoma macrodactylum macrodactylum</t>
  </si>
  <si>
    <t xml:space="preserve">https://www.inaturalist.org/observations/399059119</t>
  </si>
  <si>
    <t xml:space="preserve">FALSE 2614</t>
  </si>
  <si>
    <t xml:space="preserve">https://www.inaturalist.org/observations/398927191</t>
  </si>
  <si>
    <t xml:space="preserve">FALSE 2615</t>
  </si>
  <si>
    <t xml:space="preserve">https://www.inaturalist.org/observations/398927189</t>
  </si>
  <si>
    <t xml:space="preserve">FALSE 2616</t>
  </si>
  <si>
    <t xml:space="preserve">https://www.inaturalist.org/observations/398923900</t>
  </si>
  <si>
    <t xml:space="preserve">FALSE 2617</t>
  </si>
  <si>
    <t xml:space="preserve">Desmognathus planiceps</t>
  </si>
  <si>
    <t xml:space="preserve">https://www.inaturalist.org/observations/398866772</t>
  </si>
  <si>
    <t xml:space="preserve">FALSE 2618</t>
  </si>
  <si>
    <t xml:space="preserve">https://www.inaturalist.org/observations/398866737</t>
  </si>
  <si>
    <t xml:space="preserve">FALSE 2619</t>
  </si>
  <si>
    <t xml:space="preserve">Ensatina eschscholtzii platensis</t>
  </si>
  <si>
    <t xml:space="preserve">https://www.inaturalist.org/observations/398859644</t>
  </si>
  <si>
    <t xml:space="preserve">FALSE 2620</t>
  </si>
  <si>
    <t xml:space="preserve">Bolitoglossa striatula</t>
  </si>
  <si>
    <t xml:space="preserve">https://www.inaturalist.org/observations/398859030</t>
  </si>
  <si>
    <t xml:space="preserve">FALSE 2621</t>
  </si>
  <si>
    <t xml:space="preserve">Paramesotriton deloustali</t>
  </si>
  <si>
    <t xml:space="preserve">https://www.inaturalist.org/observations/398858963</t>
  </si>
  <si>
    <t xml:space="preserve">FALSE 2622</t>
  </si>
  <si>
    <t xml:space="preserve">https://www.inaturalist.org/observations/398809508</t>
  </si>
  <si>
    <t xml:space="preserve">FALSE 2623</t>
  </si>
  <si>
    <t xml:space="preserve">https://www.inaturalist.org/observations/398766233</t>
  </si>
  <si>
    <t xml:space="preserve">FALSE 2624</t>
  </si>
  <si>
    <t xml:space="preserve">https://www.inaturalist.org/observations/398762946</t>
  </si>
  <si>
    <t xml:space="preserve">FALSE 2625</t>
  </si>
  <si>
    <t xml:space="preserve">Eurycea sosorum</t>
  </si>
  <si>
    <t xml:space="preserve">https://www.inaturalist.org/observations/398751912</t>
  </si>
  <si>
    <t xml:space="preserve">FALSE 2626</t>
  </si>
  <si>
    <t xml:space="preserve">https://www.inaturalist.org/observations/398728455</t>
  </si>
  <si>
    <t xml:space="preserve">FALSE 2627</t>
  </si>
  <si>
    <t xml:space="preserve">https://www.inaturalist.org/observations/398647409</t>
  </si>
  <si>
    <t xml:space="preserve">FALSE 2628</t>
  </si>
  <si>
    <t xml:space="preserve">https://www.inaturalist.org/observations/398641007</t>
  </si>
  <si>
    <t xml:space="preserve">FALSE 2629</t>
  </si>
  <si>
    <t xml:space="preserve">https://www.inaturalist.org/observations/398622717</t>
  </si>
  <si>
    <t xml:space="preserve">FALSE 2630</t>
  </si>
  <si>
    <t xml:space="preserve">Salamandra salamandra bernardezi</t>
  </si>
  <si>
    <t xml:space="preserve">https://www.inaturalist.org/observations/398568379</t>
  </si>
  <si>
    <t xml:space="preserve">FALSE 2631</t>
  </si>
  <si>
    <t xml:space="preserve">Salamandra corsica</t>
  </si>
  <si>
    <t xml:space="preserve">https://www.inaturalist.org/observations/398375206</t>
  </si>
  <si>
    <t xml:space="preserve">FALSE 2632</t>
  </si>
  <si>
    <t xml:space="preserve">Desmognathus aureatus</t>
  </si>
  <si>
    <t xml:space="preserve">https://www.inaturalist.org/observations/398366738</t>
  </si>
  <si>
    <t xml:space="preserve">FALSE 2633</t>
  </si>
  <si>
    <t xml:space="preserve">Dicamptodon copei</t>
  </si>
  <si>
    <t xml:space="preserve">https://www.inaturalist.org/observations/398290093</t>
  </si>
  <si>
    <t xml:space="preserve">FALSE 2634</t>
  </si>
  <si>
    <t xml:space="preserve">https://www.inaturalist.org/observations/398284306</t>
  </si>
  <si>
    <t xml:space="preserve">FALSE 2635</t>
  </si>
  <si>
    <t xml:space="preserve">https://www.inaturalist.org/observations/398186183</t>
  </si>
  <si>
    <t xml:space="preserve">FALSE 2636</t>
  </si>
  <si>
    <t xml:space="preserve">Siren intermedia</t>
  </si>
  <si>
    <t xml:space="preserve">https://www.inaturalist.org/observations/398185594</t>
  </si>
  <si>
    <t xml:space="preserve">FALSE 2637</t>
  </si>
  <si>
    <t xml:space="preserve">Lissotriton maltzani</t>
  </si>
  <si>
    <t xml:space="preserve">https://www.inaturalist.org/observations/398140578</t>
  </si>
  <si>
    <t xml:space="preserve">FALSE 2638</t>
  </si>
  <si>
    <t xml:space="preserve">https://www.inaturalist.org/observations/398087671</t>
  </si>
  <si>
    <t xml:space="preserve">FALSE 2639</t>
  </si>
  <si>
    <t xml:space="preserve">https://www.inaturalist.org/observations/398049881</t>
  </si>
  <si>
    <t xml:space="preserve">FALSE 2640</t>
  </si>
  <si>
    <t xml:space="preserve">https://www.inaturalist.org/observations/398008728</t>
  </si>
  <si>
    <t xml:space="preserve">FALSE 2641</t>
  </si>
  <si>
    <t xml:space="preserve">https://www.inaturalist.org/observations/398008657</t>
  </si>
  <si>
    <t xml:space="preserve">FALSE 2642</t>
  </si>
  <si>
    <t xml:space="preserve">https://www.inaturalist.org/observations/397991396</t>
  </si>
  <si>
    <t xml:space="preserve">FALSE 2643</t>
  </si>
  <si>
    <t xml:space="preserve">Gyrinophilus porphyriticus danielsi</t>
  </si>
  <si>
    <t xml:space="preserve">https://www.inaturalist.org/observations/397892803</t>
  </si>
  <si>
    <t xml:space="preserve">FALSE 2644</t>
  </si>
  <si>
    <t xml:space="preserve">Ambystoma texanum</t>
  </si>
  <si>
    <t xml:space="preserve">https://www.inaturalist.org/observations/397800834</t>
  </si>
  <si>
    <t xml:space="preserve">FALSE 2645</t>
  </si>
  <si>
    <t xml:space="preserve">Batrachoseps wrighti</t>
  </si>
  <si>
    <t xml:space="preserve">https://www.inaturalist.org/observations/397659887</t>
  </si>
  <si>
    <t xml:space="preserve">FALSE 2646</t>
  </si>
  <si>
    <t xml:space="preserve">https://www.inaturalist.org/observations/397645105</t>
  </si>
  <si>
    <t xml:space="preserve">FALSE 2647</t>
  </si>
  <si>
    <t xml:space="preserve">Plethodon meridianus</t>
  </si>
  <si>
    <t xml:space="preserve">https://www.inaturalist.org/observations/397637762</t>
  </si>
  <si>
    <t xml:space="preserve">FALSE 2648</t>
  </si>
  <si>
    <t xml:space="preserve">Plethodon shenandoah</t>
  </si>
  <si>
    <t xml:space="preserve">https://www.inaturalist.org/observations/397511971</t>
  </si>
  <si>
    <t xml:space="preserve">FALSE 2649</t>
  </si>
  <si>
    <t xml:space="preserve">https://www.inaturalist.org/observations/397468272</t>
  </si>
  <si>
    <t xml:space="preserve">FALSE 2650</t>
  </si>
  <si>
    <t xml:space="preserve">Lissotriton vulgaris vulgaris</t>
  </si>
  <si>
    <t xml:space="preserve">https://www.inaturalist.org/observations/397370441</t>
  </si>
  <si>
    <t xml:space="preserve">FALSE 2651</t>
  </si>
  <si>
    <t xml:space="preserve">Oedipina carablanca</t>
  </si>
  <si>
    <t xml:space="preserve">https://www.inaturalist.org/observations/397343161</t>
  </si>
  <si>
    <t xml:space="preserve">FALSE 2652</t>
  </si>
  <si>
    <t xml:space="preserve">Ambystoma mavortium melanostictum</t>
  </si>
  <si>
    <t xml:space="preserve">https://www.inaturalist.org/observations/397328363</t>
  </si>
  <si>
    <t xml:space="preserve">FALSE 2653</t>
  </si>
  <si>
    <t xml:space="preserve">Tylototriton shanjing</t>
  </si>
  <si>
    <t xml:space="preserve">https://www.inaturalist.org/observations/397304355</t>
  </si>
  <si>
    <t xml:space="preserve">FALSE 2654</t>
  </si>
  <si>
    <t xml:space="preserve">https://www.inaturalist.org/observations/397272857</t>
  </si>
  <si>
    <t xml:space="preserve">FALSE 2655</t>
  </si>
  <si>
    <t xml:space="preserve">Aneides klamathensis</t>
  </si>
  <si>
    <t xml:space="preserve">https://www.inaturalist.org/observations/397220747</t>
  </si>
  <si>
    <t xml:space="preserve">FALSE 2656</t>
  </si>
  <si>
    <t xml:space="preserve">Ensatina eschscholtzii xanthoptica</t>
  </si>
  <si>
    <t xml:space="preserve">https://www.inaturalist.org/observations/397119068</t>
  </si>
  <si>
    <t xml:space="preserve">FALSE 2657</t>
  </si>
  <si>
    <t xml:space="preserve">Desmognathus abditus</t>
  </si>
  <si>
    <t xml:space="preserve">https://www.inaturalist.org/observations/397092403</t>
  </si>
  <si>
    <t xml:space="preserve">FALSE 2658</t>
  </si>
  <si>
    <t xml:space="preserve">https://www.inaturalist.org/observations/397020732</t>
  </si>
  <si>
    <t xml:space="preserve">FALSE 2659</t>
  </si>
  <si>
    <t xml:space="preserve">Triturus pygmaeus</t>
  </si>
  <si>
    <t xml:space="preserve">https://www.inaturalist.org/observations/396968764</t>
  </si>
  <si>
    <t xml:space="preserve">FALSE 2660</t>
  </si>
  <si>
    <t xml:space="preserve">Eurycea chisholmensis</t>
  </si>
  <si>
    <t xml:space="preserve">https://www.inaturalist.org/observations/396926281</t>
  </si>
  <si>
    <t xml:space="preserve">FALSE 2661</t>
  </si>
  <si>
    <t xml:space="preserve">Hynobius sonani</t>
  </si>
  <si>
    <t xml:space="preserve">https://www.inaturalist.org/observations/396915518</t>
  </si>
  <si>
    <t xml:space="preserve">FALSE 2662</t>
  </si>
  <si>
    <t xml:space="preserve">Isthmura naucampatepetl</t>
  </si>
  <si>
    <t xml:space="preserve">https://www.inaturalist.org/observations/396913139</t>
  </si>
  <si>
    <t xml:space="preserve">FALSE 2663</t>
  </si>
  <si>
    <t xml:space="preserve">https://www.inaturalist.org/observations/396912286</t>
  </si>
  <si>
    <t xml:space="preserve">FALSE 2664</t>
  </si>
  <si>
    <t xml:space="preserve">https://www.inaturalist.org/observations/396752059</t>
  </si>
  <si>
    <t xml:space="preserve">FALSE 2665</t>
  </si>
  <si>
    <t xml:space="preserve">Bolitoglossa</t>
  </si>
  <si>
    <t xml:space="preserve">https://www.inaturalist.org/observations/396688776</t>
  </si>
  <si>
    <t xml:space="preserve">FALSE 2666</t>
  </si>
  <si>
    <t xml:space="preserve">https://www.inaturalist.org/observations/396679017</t>
  </si>
  <si>
    <t xml:space="preserve">FALSE 2667</t>
  </si>
  <si>
    <t xml:space="preserve">https://www.inaturalist.org/observations/396623122</t>
  </si>
  <si>
    <t xml:space="preserve">FALSE 2668</t>
  </si>
  <si>
    <t xml:space="preserve">https://www.inaturalist.org/observations/396606769</t>
  </si>
  <si>
    <t xml:space="preserve">FALSE 2669</t>
  </si>
  <si>
    <t xml:space="preserve">Aquiloeurycea cephalica</t>
  </si>
  <si>
    <t xml:space="preserve">https://www.inaturalist.org/observations/396563538</t>
  </si>
  <si>
    <t xml:space="preserve">FALSE 2670</t>
  </si>
  <si>
    <t xml:space="preserve">https://www.inaturalist.org/observations/396491946</t>
  </si>
  <si>
    <t xml:space="preserve">FALSE 2671</t>
  </si>
  <si>
    <t xml:space="preserve">Pachyhynobius shangchengensis</t>
  </si>
  <si>
    <t xml:space="preserve">https://www.inaturalist.org/observations/396363937</t>
  </si>
  <si>
    <t xml:space="preserve">FALSE 2672</t>
  </si>
  <si>
    <t xml:space="preserve">Rhyacotriton cascadae</t>
  </si>
  <si>
    <t xml:space="preserve">https://www.inaturalist.org/observations/396294105</t>
  </si>
  <si>
    <t xml:space="preserve">FALSE 2673</t>
  </si>
  <si>
    <t xml:space="preserve">https://www.inaturalist.org/observations/396044484</t>
  </si>
  <si>
    <t xml:space="preserve">FALSE 2674</t>
  </si>
  <si>
    <t xml:space="preserve">https://www.inaturalist.org/observations/396022571</t>
  </si>
  <si>
    <t xml:space="preserve">FALSE 2675</t>
  </si>
  <si>
    <t xml:space="preserve">Bolitoglossa rufescens</t>
  </si>
  <si>
    <t xml:space="preserve">https://www.inaturalist.org/observations/396011071</t>
  </si>
  <si>
    <t xml:space="preserve">FALSE 2676</t>
  </si>
  <si>
    <t xml:space="preserve">Plethodon chattahoochee</t>
  </si>
  <si>
    <t xml:space="preserve">https://www.inaturalist.org/observations/395924821</t>
  </si>
  <si>
    <t xml:space="preserve">FALSE 2677</t>
  </si>
  <si>
    <t xml:space="preserve">Lissotriton</t>
  </si>
  <si>
    <t xml:space="preserve">https://www.inaturalist.org/observations/395726686</t>
  </si>
  <si>
    <t xml:space="preserve">FALSE 2678</t>
  </si>
  <si>
    <t xml:space="preserve">Batrachoseps luciae</t>
  </si>
  <si>
    <t xml:space="preserve">https://www.inaturalist.org/observations/395715095</t>
  </si>
  <si>
    <t xml:space="preserve">FALSE 2679</t>
  </si>
  <si>
    <t xml:space="preserve">Eurycea melanopleura</t>
  </si>
  <si>
    <t xml:space="preserve">https://www.inaturalist.org/observations/395548161</t>
  </si>
  <si>
    <t xml:space="preserve">FALSE 2680</t>
  </si>
  <si>
    <t xml:space="preserve">https://www.inaturalist.org/observations/395293751</t>
  </si>
  <si>
    <t xml:space="preserve">FALSE 2681</t>
  </si>
  <si>
    <t xml:space="preserve">Pachytriton brevipes</t>
  </si>
  <si>
    <t xml:space="preserve">https://www.inaturalist.org/observations/395151592</t>
  </si>
  <si>
    <t xml:space="preserve">FALSE 2682</t>
  </si>
  <si>
    <t xml:space="preserve">https://www.inaturalist.org/observations/395146688</t>
  </si>
  <si>
    <t xml:space="preserve">FALSE 2683</t>
  </si>
  <si>
    <t xml:space="preserve">Triturus dobrogicus</t>
  </si>
  <si>
    <t xml:space="preserve">https://www.inaturalist.org/observations/394960084</t>
  </si>
  <si>
    <t xml:space="preserve">FALSE 2684</t>
  </si>
  <si>
    <t xml:space="preserve">Hynobius kimurae</t>
  </si>
  <si>
    <t xml:space="preserve">https://www.inaturalist.org/observations/394857097</t>
  </si>
  <si>
    <t xml:space="preserve">FALSE 2685</t>
  </si>
  <si>
    <t xml:space="preserve">Desmognathus ocoee</t>
  </si>
  <si>
    <t xml:space="preserve">https://www.inaturalist.org/observations/394829650</t>
  </si>
  <si>
    <t xml:space="preserve">FALSE 2686</t>
  </si>
  <si>
    <t xml:space="preserve">https://www.inaturalist.org/observations/394741561</t>
  </si>
  <si>
    <t xml:space="preserve">FALSE 2687</t>
  </si>
  <si>
    <t xml:space="preserve">Batrachoseps gavilanensis</t>
  </si>
  <si>
    <t xml:space="preserve">https://www.inaturalist.org/observations/394607371</t>
  </si>
  <si>
    <t xml:space="preserve">FALSE 2688</t>
  </si>
  <si>
    <t xml:space="preserve">https://www.inaturalist.org/observations/394228205</t>
  </si>
  <si>
    <t xml:space="preserve">FALSE 2689</t>
  </si>
  <si>
    <t xml:space="preserve">https://www.inaturalist.org/observations/394227980</t>
  </si>
  <si>
    <t xml:space="preserve">FALSE 2690</t>
  </si>
  <si>
    <t xml:space="preserve">Speleomantes ambrosii</t>
  </si>
  <si>
    <t xml:space="preserve">https://www.inaturalist.org/observations/394107720</t>
  </si>
  <si>
    <t xml:space="preserve">FALSE 2691</t>
  </si>
  <si>
    <t xml:space="preserve">https://www.inaturalist.org/observations/393999724</t>
  </si>
  <si>
    <t xml:space="preserve">FALSE 2692</t>
  </si>
  <si>
    <t xml:space="preserve">https://www.inaturalist.org/observations/393698741</t>
  </si>
  <si>
    <t xml:space="preserve">FALSE 2693</t>
  </si>
  <si>
    <t xml:space="preserve">Desmognathus cheaha</t>
  </si>
  <si>
    <t xml:space="preserve">https://www.inaturalist.org/observations/393554598</t>
  </si>
  <si>
    <t xml:space="preserve">FALSE 2694</t>
  </si>
  <si>
    <t xml:space="preserve">Onychodactylus zhangyapingi</t>
  </si>
  <si>
    <t xml:space="preserve">https://www.inaturalist.org/observations/393319532</t>
  </si>
  <si>
    <t xml:space="preserve">FALSE 2695</t>
  </si>
  <si>
    <t xml:space="preserve">Hypselotriton fudingensis</t>
  </si>
  <si>
    <t xml:space="preserve">https://www.inaturalist.org/observations/393207242</t>
  </si>
  <si>
    <t xml:space="preserve">FALSE 2696</t>
  </si>
  <si>
    <t xml:space="preserve">Salamandrina perspicillata</t>
  </si>
  <si>
    <t xml:space="preserve">https://www.inaturalist.org/observations/393191331</t>
  </si>
  <si>
    <t xml:space="preserve">FALSE 2697</t>
  </si>
  <si>
    <t xml:space="preserve">https://www.inaturalist.org/observations/392846538</t>
  </si>
  <si>
    <t xml:space="preserve">FALSE 2698</t>
  </si>
  <si>
    <t xml:space="preserve">https://www.inaturalist.org/observations/392637352</t>
  </si>
  <si>
    <t xml:space="preserve">FALSE 2699</t>
  </si>
  <si>
    <t xml:space="preserve">https://www.inaturalist.org/observations/392627957</t>
  </si>
  <si>
    <t xml:space="preserve">FALSE 2700</t>
  </si>
  <si>
    <t xml:space="preserve">https://www.inaturalist.org/observations/392489532</t>
  </si>
  <si>
    <t xml:space="preserve">FALSE 2701</t>
  </si>
  <si>
    <t xml:space="preserve">https://www.inaturalist.org/observations/392486249</t>
  </si>
  <si>
    <t xml:space="preserve">FALSE 2702</t>
  </si>
  <si>
    <t xml:space="preserve">https://www.inaturalist.org/observations/392479902</t>
  </si>
  <si>
    <t xml:space="preserve">FALSE 2703</t>
  </si>
  <si>
    <t xml:space="preserve">Pseudotriton montanus</t>
  </si>
  <si>
    <t xml:space="preserve">https://www.inaturalist.org/observations/392379058</t>
  </si>
  <si>
    <t xml:space="preserve">FALSE 2704</t>
  </si>
  <si>
    <t xml:space="preserve">https://www.inaturalist.org/observations/400585812</t>
  </si>
  <si>
    <t xml:space="preserve">FALSE 2705</t>
  </si>
  <si>
    <t xml:space="preserve">https://www.inaturalist.org/observations/400581867</t>
  </si>
  <si>
    <t xml:space="preserve">FALSE 2706</t>
  </si>
  <si>
    <t xml:space="preserve">https://www.inaturalist.org/observations/400581422</t>
  </si>
  <si>
    <t xml:space="preserve">FALSE 2707</t>
  </si>
  <si>
    <t xml:space="preserve">https://www.inaturalist.org/observations/400581379</t>
  </si>
  <si>
    <t xml:space="preserve">FALSE 2708</t>
  </si>
  <si>
    <t xml:space="preserve">Crotalus ruber</t>
  </si>
  <si>
    <t xml:space="preserve">https://www.inaturalist.org/observations/400581080</t>
  </si>
  <si>
    <t xml:space="preserve">FALSE 2709</t>
  </si>
  <si>
    <t xml:space="preserve">https://www.inaturalist.org/observations/400580071</t>
  </si>
  <si>
    <t xml:space="preserve">FALSE 2710</t>
  </si>
  <si>
    <t xml:space="preserve">https://www.inaturalist.org/observations/400579177</t>
  </si>
  <si>
    <t xml:space="preserve">FALSE 2711</t>
  </si>
  <si>
    <t xml:space="preserve">Lampropeltis triangulum</t>
  </si>
  <si>
    <t xml:space="preserve">https://www.inaturalist.org/observations/400578407</t>
  </si>
  <si>
    <t xml:space="preserve">FALSE 2712</t>
  </si>
  <si>
    <t xml:space="preserve">https://www.inaturalist.org/observations/400577317</t>
  </si>
  <si>
    <t xml:space="preserve">FALSE 2713</t>
  </si>
  <si>
    <t xml:space="preserve">https://www.inaturalist.org/observations/400576769</t>
  </si>
  <si>
    <t xml:space="preserve">FALSE 2714</t>
  </si>
  <si>
    <t xml:space="preserve">https://www.inaturalist.org/observations/400576321</t>
  </si>
  <si>
    <t xml:space="preserve">FALSE 2715</t>
  </si>
  <si>
    <t xml:space="preserve">https://www.inaturalist.org/observations/400576161</t>
  </si>
  <si>
    <t xml:space="preserve">FALSE 2716</t>
  </si>
  <si>
    <t xml:space="preserve">Zamenis scalaris</t>
  </si>
  <si>
    <t xml:space="preserve">https://www.inaturalist.org/observations/400576058</t>
  </si>
  <si>
    <t xml:space="preserve">FALSE 2717</t>
  </si>
  <si>
    <t xml:space="preserve">https://www.inaturalist.org/observations/400575520</t>
  </si>
  <si>
    <t xml:space="preserve">FALSE 2718</t>
  </si>
  <si>
    <t xml:space="preserve">https://www.inaturalist.org/observations/400574077</t>
  </si>
  <si>
    <t xml:space="preserve">FALSE 2719</t>
  </si>
  <si>
    <t xml:space="preserve">Micrurus hemprichii</t>
  </si>
  <si>
    <t xml:space="preserve">https://www.inaturalist.org/observations/400573178</t>
  </si>
  <si>
    <t xml:space="preserve">FALSE 2720</t>
  </si>
  <si>
    <t xml:space="preserve">https://www.inaturalist.org/observations/400571140</t>
  </si>
  <si>
    <t xml:space="preserve">FALSE 2721</t>
  </si>
  <si>
    <t xml:space="preserve">https://www.inaturalist.org/observations/400568268</t>
  </si>
  <si>
    <t xml:space="preserve">FALSE 2722</t>
  </si>
  <si>
    <t xml:space="preserve">https://www.inaturalist.org/observations/400568236</t>
  </si>
  <si>
    <t xml:space="preserve">FALSE 2723</t>
  </si>
  <si>
    <t xml:space="preserve">https://www.inaturalist.org/observations/400567703</t>
  </si>
  <si>
    <t xml:space="preserve">FALSE 2724</t>
  </si>
  <si>
    <t xml:space="preserve">Rhadinaea flavilata</t>
  </si>
  <si>
    <t xml:space="preserve">https://www.inaturalist.org/observations/400567637</t>
  </si>
  <si>
    <t xml:space="preserve">FALSE 2725</t>
  </si>
  <si>
    <t xml:space="preserve">https://www.inaturalist.org/observations/400566521</t>
  </si>
  <si>
    <t xml:space="preserve">FALSE 2726</t>
  </si>
  <si>
    <t xml:space="preserve">Morelia spilota</t>
  </si>
  <si>
    <t xml:space="preserve">https://www.inaturalist.org/observations/400566509</t>
  </si>
  <si>
    <t xml:space="preserve">FALSE 2727</t>
  </si>
  <si>
    <t xml:space="preserve">Bothrops atrox</t>
  </si>
  <si>
    <t xml:space="preserve">https://www.inaturalist.org/observations/400564723</t>
  </si>
  <si>
    <t xml:space="preserve">FALSE 2728</t>
  </si>
  <si>
    <t xml:space="preserve">Storeria occipitomaculata obscura</t>
  </si>
  <si>
    <t xml:space="preserve">https://www.inaturalist.org/observations/400563330</t>
  </si>
  <si>
    <t xml:space="preserve">FALSE 2729</t>
  </si>
  <si>
    <t xml:space="preserve">https://www.inaturalist.org/observations/400562853</t>
  </si>
  <si>
    <t xml:space="preserve">FALSE 2730</t>
  </si>
  <si>
    <t xml:space="preserve">Leptophis praestans</t>
  </si>
  <si>
    <t xml:space="preserve">https://www.inaturalist.org/observations/400562355</t>
  </si>
  <si>
    <t xml:space="preserve">FALSE 2731</t>
  </si>
  <si>
    <t xml:space="preserve">Thamnophis ordinoides</t>
  </si>
  <si>
    <t xml:space="preserve">https://www.inaturalist.org/observations/400562284</t>
  </si>
  <si>
    <t xml:space="preserve">FALSE 2732</t>
  </si>
  <si>
    <t xml:space="preserve">Leptophis occidentalis</t>
  </si>
  <si>
    <t xml:space="preserve">https://www.inaturalist.org/observations/400561625</t>
  </si>
  <si>
    <t xml:space="preserve">FALSE 2733</t>
  </si>
  <si>
    <t xml:space="preserve">Nerodia erythrogaster</t>
  </si>
  <si>
    <t xml:space="preserve">https://www.inaturalist.org/observations/400559076</t>
  </si>
  <si>
    <t xml:space="preserve">FALSE 2734</t>
  </si>
  <si>
    <t xml:space="preserve">https://www.inaturalist.org/observations/400558566</t>
  </si>
  <si>
    <t xml:space="preserve">FALSE 2735</t>
  </si>
  <si>
    <t xml:space="preserve">https://www.inaturalist.org/observations/400558044</t>
  </si>
  <si>
    <t xml:space="preserve">FALSE 2736</t>
  </si>
  <si>
    <t xml:space="preserve">Coelognathus helena</t>
  </si>
  <si>
    <t xml:space="preserve">https://www.inaturalist.org/observations/400557583</t>
  </si>
  <si>
    <t xml:space="preserve">FALSE 2737</t>
  </si>
  <si>
    <t xml:space="preserve">https://www.inaturalist.org/observations/400554621</t>
  </si>
  <si>
    <t xml:space="preserve">FALSE 2738</t>
  </si>
  <si>
    <t xml:space="preserve">Pituophis melanoleucus</t>
  </si>
  <si>
    <t xml:space="preserve">https://www.inaturalist.org/observations/400554078</t>
  </si>
  <si>
    <t xml:space="preserve">FALSE 2739</t>
  </si>
  <si>
    <t xml:space="preserve">https://www.inaturalist.org/observations/400553335</t>
  </si>
  <si>
    <t xml:space="preserve">FALSE 2740</t>
  </si>
  <si>
    <t xml:space="preserve">Tropidoclonion lineatum</t>
  </si>
  <si>
    <t xml:space="preserve">https://www.inaturalist.org/observations/400553054</t>
  </si>
  <si>
    <t xml:space="preserve">FALSE 2741</t>
  </si>
  <si>
    <t xml:space="preserve">https://www.inaturalist.org/observations/400552507</t>
  </si>
  <si>
    <t xml:space="preserve">FALSE 2742</t>
  </si>
  <si>
    <t xml:space="preserve">Echis carinatus sochureki</t>
  </si>
  <si>
    <t xml:space="preserve">https://www.inaturalist.org/observations/400550948</t>
  </si>
  <si>
    <t xml:space="preserve">FALSE 2743</t>
  </si>
  <si>
    <t xml:space="preserve">Dryophiops rubescens</t>
  </si>
  <si>
    <t xml:space="preserve">https://www.inaturalist.org/observations/400549988</t>
  </si>
  <si>
    <t xml:space="preserve">FALSE 2744</t>
  </si>
  <si>
    <t xml:space="preserve">https://www.inaturalist.org/observations/400549658</t>
  </si>
  <si>
    <t xml:space="preserve">FALSE 2745</t>
  </si>
  <si>
    <t xml:space="preserve">https://www.inaturalist.org/observations/400545071</t>
  </si>
  <si>
    <t xml:space="preserve">FALSE 2746</t>
  </si>
  <si>
    <t xml:space="preserve">Thamnophis melanogaster</t>
  </si>
  <si>
    <t xml:space="preserve">https://www.inaturalist.org/observations/400540475</t>
  </si>
  <si>
    <t xml:space="preserve">FALSE 2747</t>
  </si>
  <si>
    <t xml:space="preserve">Boa imperator</t>
  </si>
  <si>
    <t xml:space="preserve">https://www.inaturalist.org/observations/400539636</t>
  </si>
  <si>
    <t xml:space="preserve">FALSE 2748</t>
  </si>
  <si>
    <t xml:space="preserve">Helicops angulatus</t>
  </si>
  <si>
    <t xml:space="preserve">https://www.inaturalist.org/observations/400539243</t>
  </si>
  <si>
    <t xml:space="preserve">FALSE 2749</t>
  </si>
  <si>
    <t xml:space="preserve">Bothrops diporus</t>
  </si>
  <si>
    <t xml:space="preserve">https://www.inaturalist.org/observations/400538821</t>
  </si>
  <si>
    <t xml:space="preserve">FALSE 2750</t>
  </si>
  <si>
    <t xml:space="preserve">https://www.inaturalist.org/observations/400538154</t>
  </si>
  <si>
    <t xml:space="preserve">FALSE 2751</t>
  </si>
  <si>
    <t xml:space="preserve">https://www.inaturalist.org/observations/400537859</t>
  </si>
  <si>
    <t xml:space="preserve">FALSE 2752</t>
  </si>
  <si>
    <t xml:space="preserve">https://www.inaturalist.org/observations/400527078</t>
  </si>
  <si>
    <t xml:space="preserve">FALSE 2753</t>
  </si>
  <si>
    <t xml:space="preserve">Eryx jaculus</t>
  </si>
  <si>
    <t xml:space="preserve">https://www.inaturalist.org/observations/400524882</t>
  </si>
  <si>
    <t xml:space="preserve">FALSE 2754</t>
  </si>
  <si>
    <t xml:space="preserve">Psammophylax tritaeniatus</t>
  </si>
  <si>
    <t xml:space="preserve">https://www.inaturalist.org/observations/400523659</t>
  </si>
  <si>
    <t xml:space="preserve">FALSE 2755</t>
  </si>
  <si>
    <t xml:space="preserve">Vipera seoanei</t>
  </si>
  <si>
    <t xml:space="preserve">https://www.inaturalist.org/observations/400522849</t>
  </si>
  <si>
    <t xml:space="preserve">FALSE 2756</t>
  </si>
  <si>
    <t xml:space="preserve">https://www.inaturalist.org/observations/400521674</t>
  </si>
  <si>
    <t xml:space="preserve">FALSE 2757</t>
  </si>
  <si>
    <t xml:space="preserve">Thamnophis sirtalis annectens</t>
  </si>
  <si>
    <t xml:space="preserve">https://www.inaturalist.org/observations/400517972</t>
  </si>
  <si>
    <t xml:space="preserve">FALSE 2758</t>
  </si>
  <si>
    <t xml:space="preserve">Erythrolamprus melanotus lamari</t>
  </si>
  <si>
    <t xml:space="preserve">https://www.inaturalist.org/observations/400517701</t>
  </si>
  <si>
    <t xml:space="preserve">FALSE 2759</t>
  </si>
  <si>
    <t xml:space="preserve">Rhabdophis plumbicolor</t>
  </si>
  <si>
    <t xml:space="preserve">https://www.inaturalist.org/observations/400516987</t>
  </si>
  <si>
    <t xml:space="preserve">FALSE 2760</t>
  </si>
  <si>
    <t xml:space="preserve">https://www.inaturalist.org/observations/400515951</t>
  </si>
  <si>
    <t xml:space="preserve">FALSE 2761</t>
  </si>
  <si>
    <t xml:space="preserve">https://www.inaturalist.org/observations/400515482</t>
  </si>
  <si>
    <t xml:space="preserve">FALSE 2762</t>
  </si>
  <si>
    <t xml:space="preserve">Psammodynastes pulverulentus</t>
  </si>
  <si>
    <t xml:space="preserve">https://www.inaturalist.org/observations/400515335</t>
  </si>
  <si>
    <t xml:space="preserve">FALSE 2763</t>
  </si>
  <si>
    <t xml:space="preserve">Opheodrys vernalis</t>
  </si>
  <si>
    <t xml:space="preserve">https://www.inaturalist.org/observations/400513892</t>
  </si>
  <si>
    <t xml:space="preserve">FALSE 2764</t>
  </si>
  <si>
    <t xml:space="preserve">https://www.inaturalist.org/observations/400513800</t>
  </si>
  <si>
    <t xml:space="preserve">FALSE 2765</t>
  </si>
  <si>
    <t xml:space="preserve">Hierophis viridiflavus carbonarius</t>
  </si>
  <si>
    <t xml:space="preserve">https://www.inaturalist.org/observations/400513495</t>
  </si>
  <si>
    <t xml:space="preserve">FALSE 2766</t>
  </si>
  <si>
    <t xml:space="preserve">Hydrodynastes gigas</t>
  </si>
  <si>
    <t xml:space="preserve">https://www.inaturalist.org/observations/400512851</t>
  </si>
  <si>
    <t xml:space="preserve">FALSE 2767</t>
  </si>
  <si>
    <t xml:space="preserve">https://www.inaturalist.org/observations/400510761</t>
  </si>
  <si>
    <t xml:space="preserve">FALSE 2768</t>
  </si>
  <si>
    <t xml:space="preserve">Pituophis catenifer annectens</t>
  </si>
  <si>
    <t xml:space="preserve">https://www.inaturalist.org/observations/400509905</t>
  </si>
  <si>
    <t xml:space="preserve">FALSE 2769</t>
  </si>
  <si>
    <t xml:space="preserve">Python bivittatus</t>
  </si>
  <si>
    <t xml:space="preserve">https://www.inaturalist.org/observations/400509837</t>
  </si>
  <si>
    <t xml:space="preserve">FALSE 2770</t>
  </si>
  <si>
    <t xml:space="preserve">Naja kaouthia</t>
  </si>
  <si>
    <t xml:space="preserve">https://www.inaturalist.org/observations/400508565</t>
  </si>
  <si>
    <t xml:space="preserve">FALSE 2771</t>
  </si>
  <si>
    <t xml:space="preserve">Crotaphopeltis hotamboeia</t>
  </si>
  <si>
    <t xml:space="preserve">https://www.inaturalist.org/observations/400508234</t>
  </si>
  <si>
    <t xml:space="preserve">FALSE 2772</t>
  </si>
  <si>
    <t xml:space="preserve">https://www.inaturalist.org/observations/400507842</t>
  </si>
  <si>
    <t xml:space="preserve">FALSE 2773</t>
  </si>
  <si>
    <t xml:space="preserve">Coluber constrictor paludicola</t>
  </si>
  <si>
    <t xml:space="preserve">https://www.inaturalist.org/observations/400507392</t>
  </si>
  <si>
    <t xml:space="preserve">FALSE 2774</t>
  </si>
  <si>
    <t xml:space="preserve">Tantilla relicta neilli</t>
  </si>
  <si>
    <t xml:space="preserve">https://www.inaturalist.org/observations/400506577</t>
  </si>
  <si>
    <t xml:space="preserve">FALSE 2775</t>
  </si>
  <si>
    <t xml:space="preserve">Pituophis catenifer sayi</t>
  </si>
  <si>
    <t xml:space="preserve">https://www.inaturalist.org/observations/400505805</t>
  </si>
  <si>
    <t xml:space="preserve">FALSE 2776</t>
  </si>
  <si>
    <t xml:space="preserve">Cerberus rynchops</t>
  </si>
  <si>
    <t xml:space="preserve">https://www.inaturalist.org/observations/400505711</t>
  </si>
  <si>
    <t xml:space="preserve">FALSE 2777</t>
  </si>
  <si>
    <t xml:space="preserve">Dispholidus typus</t>
  </si>
  <si>
    <t xml:space="preserve">https://www.inaturalist.org/observations/400505108</t>
  </si>
  <si>
    <t xml:space="preserve">FALSE 2778</t>
  </si>
  <si>
    <t xml:space="preserve">Python natalensis</t>
  </si>
  <si>
    <t xml:space="preserve">https://www.inaturalist.org/observations/400503889</t>
  </si>
  <si>
    <t xml:space="preserve">FALSE 2779</t>
  </si>
  <si>
    <t xml:space="preserve">https://www.inaturalist.org/observations/400503780</t>
  </si>
  <si>
    <t xml:space="preserve">FALSE 2780</t>
  </si>
  <si>
    <t xml:space="preserve">Natrix astreptophora</t>
  </si>
  <si>
    <t xml:space="preserve">https://www.inaturalist.org/observations/400503296</t>
  </si>
  <si>
    <t xml:space="preserve">FALSE 2781</t>
  </si>
  <si>
    <t xml:space="preserve">Zamenis longissimus</t>
  </si>
  <si>
    <t xml:space="preserve">https://www.inaturalist.org/observations/400502002</t>
  </si>
  <si>
    <t xml:space="preserve">FALSE 2782</t>
  </si>
  <si>
    <t xml:space="preserve">Pantherophis obsoletus</t>
  </si>
  <si>
    <t xml:space="preserve">https://www.inaturalist.org/observations/400501065</t>
  </si>
  <si>
    <t xml:space="preserve">FALSE 2783</t>
  </si>
  <si>
    <t xml:space="preserve">https://www.inaturalist.org/observations/400499349</t>
  </si>
  <si>
    <t xml:space="preserve">FALSE 2784</t>
  </si>
  <si>
    <t xml:space="preserve">https://www.inaturalist.org/observations/400496719</t>
  </si>
  <si>
    <t xml:space="preserve">FALSE 2785</t>
  </si>
  <si>
    <t xml:space="preserve">https://www.inaturalist.org/observations/400496694</t>
  </si>
  <si>
    <t xml:space="preserve">FALSE 2786</t>
  </si>
  <si>
    <t xml:space="preserve">https://www.inaturalist.org/observations/400496681</t>
  </si>
  <si>
    <t xml:space="preserve">FALSE 2787</t>
  </si>
  <si>
    <t xml:space="preserve">Philodryas chamissonis</t>
  </si>
  <si>
    <t xml:space="preserve">https://www.inaturalist.org/observations/400495553</t>
  </si>
  <si>
    <t xml:space="preserve">FALSE 2788</t>
  </si>
  <si>
    <t xml:space="preserve">Agkistrodon piscivorus</t>
  </si>
  <si>
    <t xml:space="preserve">https://www.inaturalist.org/observations/400494667</t>
  </si>
  <si>
    <t xml:space="preserve">FALSE 2789</t>
  </si>
  <si>
    <t xml:space="preserve">Dispholidus typus typus</t>
  </si>
  <si>
    <t xml:space="preserve">https://www.inaturalist.org/observations/400493854</t>
  </si>
  <si>
    <t xml:space="preserve">FALSE 2790</t>
  </si>
  <si>
    <t xml:space="preserve">https://www.inaturalist.org/observations/400492746</t>
  </si>
  <si>
    <t xml:space="preserve">FALSE 2791</t>
  </si>
  <si>
    <t xml:space="preserve">https://www.inaturalist.org/observations/400492625</t>
  </si>
  <si>
    <t xml:space="preserve">FALSE 2792</t>
  </si>
  <si>
    <t xml:space="preserve">Atretium schistosum</t>
  </si>
  <si>
    <t xml:space="preserve">https://www.inaturalist.org/observations/400492443</t>
  </si>
  <si>
    <t xml:space="preserve">FALSE 2793</t>
  </si>
  <si>
    <t xml:space="preserve">https://www.inaturalist.org/observations/400490878</t>
  </si>
  <si>
    <t xml:space="preserve">FALSE 2794</t>
  </si>
  <si>
    <t xml:space="preserve">Hierophis viridiflavus</t>
  </si>
  <si>
    <t xml:space="preserve">https://www.inaturalist.org/observations/400490413</t>
  </si>
  <si>
    <t xml:space="preserve">FALSE 2795</t>
  </si>
  <si>
    <t xml:space="preserve">https://www.inaturalist.org/observations/400486959</t>
  </si>
  <si>
    <t xml:space="preserve">FALSE 2796</t>
  </si>
  <si>
    <t xml:space="preserve">https://www.inaturalist.org/observations/400486446</t>
  </si>
  <si>
    <t xml:space="preserve">FALSE 2797</t>
  </si>
  <si>
    <t xml:space="preserve">https://www.inaturalist.org/observations/400486308</t>
  </si>
  <si>
    <t xml:space="preserve">FALSE 2798</t>
  </si>
  <si>
    <t xml:space="preserve">Virginia valeriae</t>
  </si>
  <si>
    <t xml:space="preserve">https://www.inaturalist.org/observations/400485161</t>
  </si>
  <si>
    <t xml:space="preserve">FALSE 2799</t>
  </si>
  <si>
    <t xml:space="preserve">https://www.inaturalist.org/observations/400484959</t>
  </si>
  <si>
    <t xml:space="preserve">FALSE 2800</t>
  </si>
  <si>
    <t xml:space="preserve">Lampropeltis annulata</t>
  </si>
  <si>
    <t xml:space="preserve">https://www.inaturalist.org/observations/400484814</t>
  </si>
  <si>
    <t xml:space="preserve">FALSE 2801</t>
  </si>
  <si>
    <t xml:space="preserve">https://www.inaturalist.org/observations/400484305</t>
  </si>
  <si>
    <t xml:space="preserve">FALSE 2802</t>
  </si>
  <si>
    <t xml:space="preserve">Salvadora bairdi</t>
  </si>
  <si>
    <t xml:space="preserve">https://www.inaturalist.org/observations/400477479</t>
  </si>
  <si>
    <t xml:space="preserve">FALSE 2803</t>
  </si>
  <si>
    <t xml:space="preserve">Conopsis lineata</t>
  </si>
  <si>
    <t xml:space="preserve">https://www.inaturalist.org/observations/400477309</t>
  </si>
  <si>
    <t xml:space="preserve">FALSE 2804</t>
  </si>
  <si>
    <t xml:space="preserve">Pseudorabdion longiceps</t>
  </si>
  <si>
    <t xml:space="preserve">https://www.inaturalist.org/observations/400475493</t>
  </si>
  <si>
    <t xml:space="preserve">FALSE 2805</t>
  </si>
  <si>
    <t xml:space="preserve">Nerodia fasciata</t>
  </si>
  <si>
    <t xml:space="preserve">https://www.inaturalist.org/observations/400475308</t>
  </si>
  <si>
    <t xml:space="preserve">FALSE 2806</t>
  </si>
  <si>
    <t xml:space="preserve">Lampropeltis rhombomaculata</t>
  </si>
  <si>
    <t xml:space="preserve">https://www.inaturalist.org/observations/400474308</t>
  </si>
  <si>
    <t xml:space="preserve">FALSE 2807</t>
  </si>
  <si>
    <t xml:space="preserve">https://www.inaturalist.org/observations/400473593</t>
  </si>
  <si>
    <t xml:space="preserve">FALSE 2808</t>
  </si>
  <si>
    <t xml:space="preserve">Lampropeltis californiae</t>
  </si>
  <si>
    <t xml:space="preserve">https://www.inaturalist.org/observations/400472669</t>
  </si>
  <si>
    <t xml:space="preserve">FALSE 2809</t>
  </si>
  <si>
    <t xml:space="preserve">https://www.inaturalist.org/observations/400471248</t>
  </si>
  <si>
    <t xml:space="preserve">FALSE 2810</t>
  </si>
  <si>
    <t xml:space="preserve">https://www.inaturalist.org/observations/400469907</t>
  </si>
  <si>
    <t xml:space="preserve">FALSE 2811</t>
  </si>
  <si>
    <t xml:space="preserve">https://www.inaturalist.org/observations/400469847</t>
  </si>
  <si>
    <t xml:space="preserve">FALSE 2812</t>
  </si>
  <si>
    <t xml:space="preserve">https://www.inaturalist.org/observations/400469753</t>
  </si>
  <si>
    <t xml:space="preserve">FALSE 2813</t>
  </si>
  <si>
    <t xml:space="preserve">Sahyadriophis beddomei</t>
  </si>
  <si>
    <t xml:space="preserve">https://www.inaturalist.org/observations/400469649</t>
  </si>
  <si>
    <t xml:space="preserve">FALSE 2814</t>
  </si>
  <si>
    <t xml:space="preserve">https://www.inaturalist.org/observations/400469567</t>
  </si>
  <si>
    <t xml:space="preserve">FALSE 2815</t>
  </si>
  <si>
    <t xml:space="preserve">Cemophora coccinea coccinea</t>
  </si>
  <si>
    <t xml:space="preserve">https://www.inaturalist.org/observations/400469185</t>
  </si>
  <si>
    <t xml:space="preserve">FALSE 2816</t>
  </si>
  <si>
    <t xml:space="preserve">Oxyrhopus trigeminus</t>
  </si>
  <si>
    <t xml:space="preserve">https://www.inaturalist.org/observations/400465088</t>
  </si>
  <si>
    <t xml:space="preserve">FALSE 2817</t>
  </si>
  <si>
    <t xml:space="preserve">https://www.inaturalist.org/observations/400464152</t>
  </si>
  <si>
    <t xml:space="preserve">FALSE 2818</t>
  </si>
  <si>
    <t xml:space="preserve">https://www.inaturalist.org/observations/400463925</t>
  </si>
  <si>
    <t xml:space="preserve">FALSE 2819</t>
  </si>
  <si>
    <t xml:space="preserve">https://www.inaturalist.org/observations/400463213</t>
  </si>
  <si>
    <t xml:space="preserve">FALSE 2820</t>
  </si>
  <si>
    <t xml:space="preserve">Aparallactus capensis</t>
  </si>
  <si>
    <t xml:space="preserve">https://www.inaturalist.org/observations/400463143</t>
  </si>
  <si>
    <t xml:space="preserve">FALSE 2821</t>
  </si>
  <si>
    <t xml:space="preserve">Lycophidion capense</t>
  </si>
  <si>
    <t xml:space="preserve">https://www.inaturalist.org/observations/400463108</t>
  </si>
  <si>
    <t xml:space="preserve">FALSE 2822</t>
  </si>
  <si>
    <t xml:space="preserve">Gloydius brevicaudus</t>
  </si>
  <si>
    <t xml:space="preserve">https://www.inaturalist.org/observations/400463007</t>
  </si>
  <si>
    <t xml:space="preserve">FALSE 2823</t>
  </si>
  <si>
    <t xml:space="preserve">https://www.inaturalist.org/observations/400462575</t>
  </si>
  <si>
    <t xml:space="preserve">FALSE 2824</t>
  </si>
  <si>
    <t xml:space="preserve">Pareas atayal</t>
  </si>
  <si>
    <t xml:space="preserve">https://www.inaturalist.org/observations/400462042</t>
  </si>
  <si>
    <t xml:space="preserve">FALSE 2825</t>
  </si>
  <si>
    <t xml:space="preserve">Naja sumatrana</t>
  </si>
  <si>
    <t xml:space="preserve">https://www.inaturalist.org/observations/400461112</t>
  </si>
  <si>
    <t xml:space="preserve">FALSE 2826</t>
  </si>
  <si>
    <t xml:space="preserve">Suta fasciata</t>
  </si>
  <si>
    <t xml:space="preserve">https://www.inaturalist.org/observations/400460742</t>
  </si>
  <si>
    <t xml:space="preserve">FALSE 2827</t>
  </si>
  <si>
    <t xml:space="preserve">https://www.inaturalist.org/observations/400460652</t>
  </si>
  <si>
    <t xml:space="preserve">FALSE 2828</t>
  </si>
  <si>
    <t xml:space="preserve">Sinomicrurus peinani</t>
  </si>
  <si>
    <t xml:space="preserve">https://www.inaturalist.org/observations/400460587</t>
  </si>
  <si>
    <t xml:space="preserve">FALSE 2829</t>
  </si>
  <si>
    <t xml:space="preserve">https://www.inaturalist.org/observations/400460052</t>
  </si>
  <si>
    <t xml:space="preserve">FALSE 2830</t>
  </si>
  <si>
    <t xml:space="preserve">Vipera berus berus</t>
  </si>
  <si>
    <t xml:space="preserve">https://www.inaturalist.org/observations/400459866</t>
  </si>
  <si>
    <t xml:space="preserve">FALSE 2831</t>
  </si>
  <si>
    <t xml:space="preserve">Hydrophis spiralis</t>
  </si>
  <si>
    <t xml:space="preserve">https://www.inaturalist.org/observations/400456484</t>
  </si>
  <si>
    <t xml:space="preserve">FALSE 2832</t>
  </si>
  <si>
    <t xml:space="preserve">Elaiophis inornatus</t>
  </si>
  <si>
    <t xml:space="preserve">https://www.inaturalist.org/observations/400456207</t>
  </si>
  <si>
    <t xml:space="preserve">FALSE 2833</t>
  </si>
  <si>
    <t xml:space="preserve">Xenopeltis hainanensis</t>
  </si>
  <si>
    <t xml:space="preserve">https://www.inaturalist.org/observations/400455516</t>
  </si>
  <si>
    <t xml:space="preserve">FALSE 2834</t>
  </si>
  <si>
    <t xml:space="preserve">Oxyrhopus guibei</t>
  </si>
  <si>
    <t xml:space="preserve">https://www.inaturalist.org/observations/400455352</t>
  </si>
  <si>
    <t xml:space="preserve">FALSE 2835</t>
  </si>
  <si>
    <t xml:space="preserve">https://www.inaturalist.org/observations/400454870</t>
  </si>
  <si>
    <t xml:space="preserve">FALSE 2836</t>
  </si>
  <si>
    <t xml:space="preserve">Corallus hortulana</t>
  </si>
  <si>
    <t xml:space="preserve">https://www.inaturalist.org/observations/400453437</t>
  </si>
  <si>
    <t xml:space="preserve">FALSE 2837</t>
  </si>
  <si>
    <t xml:space="preserve">Bothriechis nigroviridis</t>
  </si>
  <si>
    <t xml:space="preserve">https://www.inaturalist.org/observations/400451125</t>
  </si>
  <si>
    <t xml:space="preserve">FALSE 2838</t>
  </si>
  <si>
    <t xml:space="preserve">Vipera ursinii ursinii</t>
  </si>
  <si>
    <t xml:space="preserve">https://www.inaturalist.org/observations/400451101</t>
  </si>
  <si>
    <t xml:space="preserve">FALSE 2839</t>
  </si>
  <si>
    <t xml:space="preserve">Erythrolamprus epinephalus</t>
  </si>
  <si>
    <t xml:space="preserve">https://www.inaturalist.org/observations/400451054</t>
  </si>
  <si>
    <t xml:space="preserve">FALSE 2840</t>
  </si>
  <si>
    <t xml:space="preserve">https://www.inaturalist.org/observations/400450898</t>
  </si>
  <si>
    <t xml:space="preserve">FALSE 2841</t>
  </si>
  <si>
    <t xml:space="preserve">Dasypeltis scabra scabra</t>
  </si>
  <si>
    <t xml:space="preserve">https://www.inaturalist.org/observations/400448788</t>
  </si>
  <si>
    <t xml:space="preserve">FALSE 2842</t>
  </si>
  <si>
    <t xml:space="preserve">https://www.inaturalist.org/observations/400448597</t>
  </si>
  <si>
    <t xml:space="preserve">FALSE 2843</t>
  </si>
  <si>
    <t xml:space="preserve">https://www.inaturalist.org/observations/400446797</t>
  </si>
  <si>
    <t xml:space="preserve">FALSE 2844</t>
  </si>
  <si>
    <t xml:space="preserve">Storeria occipitomaculata occipitomaculata</t>
  </si>
  <si>
    <t xml:space="preserve">https://www.inaturalist.org/observations/400445840</t>
  </si>
  <si>
    <t xml:space="preserve">FALSE 2845</t>
  </si>
  <si>
    <t xml:space="preserve">Daboia russelii</t>
  </si>
  <si>
    <t xml:space="preserve">https://www.inaturalist.org/observations/400444034</t>
  </si>
  <si>
    <t xml:space="preserve">FALSE 2846</t>
  </si>
  <si>
    <t xml:space="preserve">https://www.inaturalist.org/observations/400443566</t>
  </si>
  <si>
    <t xml:space="preserve">FALSE 2847</t>
  </si>
  <si>
    <t xml:space="preserve">Crotalus unicolor</t>
  </si>
  <si>
    <t xml:space="preserve">https://www.inaturalist.org/observations/400443208</t>
  </si>
  <si>
    <t xml:space="preserve">FALSE 2848</t>
  </si>
  <si>
    <t xml:space="preserve">Deinagkistrodon acutus</t>
  </si>
  <si>
    <t xml:space="preserve">https://www.inaturalist.org/observations/400442663</t>
  </si>
  <si>
    <t xml:space="preserve">FALSE 2849</t>
  </si>
  <si>
    <t xml:space="preserve">Crotalus durissus</t>
  </si>
  <si>
    <t xml:space="preserve">https://www.inaturalist.org/observations/400442105</t>
  </si>
  <si>
    <t xml:space="preserve">FALSE 2850</t>
  </si>
  <si>
    <t xml:space="preserve">Rena dulcis</t>
  </si>
  <si>
    <t xml:space="preserve">https://www.inaturalist.org/observations/400442023</t>
  </si>
  <si>
    <t xml:space="preserve">FALSE 2851</t>
  </si>
  <si>
    <t xml:space="preserve">Thamnophis sirtalis concinnus</t>
  </si>
  <si>
    <t xml:space="preserve">https://www.inaturalist.org/observations/400441558</t>
  </si>
  <si>
    <t xml:space="preserve">FALSE 2852</t>
  </si>
  <si>
    <t xml:space="preserve">Psammodynastes pulverulentus papenfussi</t>
  </si>
  <si>
    <t xml:space="preserve">https://www.inaturalist.org/observations/400441284</t>
  </si>
  <si>
    <t xml:space="preserve">FALSE 2853</t>
  </si>
  <si>
    <t xml:space="preserve">Xenodon dorbignyi</t>
  </si>
  <si>
    <t xml:space="preserve">https://www.inaturalist.org/observations/400440252</t>
  </si>
  <si>
    <t xml:space="preserve">FALSE 2854</t>
  </si>
  <si>
    <t xml:space="preserve">https://www.inaturalist.org/observations/400440045</t>
  </si>
  <si>
    <t xml:space="preserve">FALSE 2855</t>
  </si>
  <si>
    <t xml:space="preserve">Storeria victa</t>
  </si>
  <si>
    <t xml:space="preserve">https://www.inaturalist.org/observations/400439928</t>
  </si>
  <si>
    <t xml:space="preserve">FALSE 2856</t>
  </si>
  <si>
    <t xml:space="preserve">Bothrops jararaca</t>
  </si>
  <si>
    <t xml:space="preserve">https://www.inaturalist.org/observations/400439198</t>
  </si>
  <si>
    <t xml:space="preserve">FALSE 2857</t>
  </si>
  <si>
    <t xml:space="preserve">Lycodon orientalis</t>
  </si>
  <si>
    <t xml:space="preserve">https://www.inaturalist.org/observations/400437950</t>
  </si>
  <si>
    <t xml:space="preserve">FALSE 2858</t>
  </si>
  <si>
    <t xml:space="preserve">https://www.inaturalist.org/observations/400435739</t>
  </si>
  <si>
    <t xml:space="preserve">FALSE 2859</t>
  </si>
  <si>
    <t xml:space="preserve">Oligodon taeniolatus</t>
  </si>
  <si>
    <t xml:space="preserve">https://www.inaturalist.org/observations/400432924</t>
  </si>
  <si>
    <t xml:space="preserve">FALSE 2860</t>
  </si>
  <si>
    <t xml:space="preserve">https://www.inaturalist.org/observations/400432679</t>
  </si>
  <si>
    <t xml:space="preserve">FALSE 2861</t>
  </si>
  <si>
    <t xml:space="preserve">https://www.inaturalist.org/observations/400431910</t>
  </si>
  <si>
    <t xml:space="preserve">FALSE 2862</t>
  </si>
  <si>
    <t xml:space="preserve">https://www.inaturalist.org/observations/400431761</t>
  </si>
  <si>
    <t xml:space="preserve">FALSE 2863</t>
  </si>
  <si>
    <t xml:space="preserve">https://www.inaturalist.org/observations/400429441</t>
  </si>
  <si>
    <t xml:space="preserve">FALSE 2864</t>
  </si>
  <si>
    <t xml:space="preserve">https://www.inaturalist.org/observations/400428022</t>
  </si>
  <si>
    <t xml:space="preserve">FALSE 2865</t>
  </si>
  <si>
    <t xml:space="preserve">Elaphe quadrivirgata</t>
  </si>
  <si>
    <t xml:space="preserve">https://www.inaturalist.org/observations/400426430</t>
  </si>
  <si>
    <t xml:space="preserve">FALSE 2866</t>
  </si>
  <si>
    <t xml:space="preserve">Elaphe anomala</t>
  </si>
  <si>
    <t xml:space="preserve">https://www.inaturalist.org/observations/400426397</t>
  </si>
  <si>
    <t xml:space="preserve">FALSE 2867</t>
  </si>
  <si>
    <t xml:space="preserve">Echis carinatus</t>
  </si>
  <si>
    <t xml:space="preserve">https://www.inaturalist.org/observations/400425287</t>
  </si>
  <si>
    <t xml:space="preserve">FALSE 2868</t>
  </si>
  <si>
    <t xml:space="preserve">Rhinocheilus lecontei</t>
  </si>
  <si>
    <t xml:space="preserve">https://www.inaturalist.org/observations/400425170</t>
  </si>
  <si>
    <t xml:space="preserve">FALSE 2869</t>
  </si>
  <si>
    <t xml:space="preserve">https://www.inaturalist.org/observations/400425141</t>
  </si>
  <si>
    <t xml:space="preserve">FALSE 2870</t>
  </si>
  <si>
    <t xml:space="preserve">https://www.inaturalist.org/observations/400422580</t>
  </si>
  <si>
    <t xml:space="preserve">FALSE 2871</t>
  </si>
  <si>
    <t xml:space="preserve">Thelotornis capensis</t>
  </si>
  <si>
    <t xml:space="preserve">https://www.inaturalist.org/observations/400422571</t>
  </si>
  <si>
    <t xml:space="preserve">FALSE 2872</t>
  </si>
  <si>
    <t xml:space="preserve">Porthidium nasutum</t>
  </si>
  <si>
    <t xml:space="preserve">https://www.inaturalist.org/observations/400420728</t>
  </si>
  <si>
    <t xml:space="preserve">FALSE 2873</t>
  </si>
  <si>
    <t xml:space="preserve">Ovophis makazayazaya</t>
  </si>
  <si>
    <t xml:space="preserve">https://www.inaturalist.org/observations/400420023</t>
  </si>
  <si>
    <t xml:space="preserve">FALSE 2874</t>
  </si>
  <si>
    <t xml:space="preserve">Dasypeltis scabra</t>
  </si>
  <si>
    <t xml:space="preserve">https://www.inaturalist.org/observations/400419776</t>
  </si>
  <si>
    <t xml:space="preserve">FALSE 2875</t>
  </si>
  <si>
    <t xml:space="preserve">https://www.inaturalist.org/observations/400418242</t>
  </si>
  <si>
    <t xml:space="preserve">FALSE 2876</t>
  </si>
  <si>
    <t xml:space="preserve">Grayia smithii</t>
  </si>
  <si>
    <t xml:space="preserve">https://www.inaturalist.org/observations/400417998</t>
  </si>
  <si>
    <t xml:space="preserve">FALSE 2877</t>
  </si>
  <si>
    <t xml:space="preserve">Antaresia maculosa</t>
  </si>
  <si>
    <t xml:space="preserve">https://www.inaturalist.org/observations/400417609</t>
  </si>
  <si>
    <t xml:space="preserve">FALSE 2878</t>
  </si>
  <si>
    <t xml:space="preserve">https://www.inaturalist.org/observations/400416710</t>
  </si>
  <si>
    <t xml:space="preserve">FALSE 2879</t>
  </si>
  <si>
    <t xml:space="preserve">Madagascarophis colubrinus</t>
  </si>
  <si>
    <t xml:space="preserve">https://www.inaturalist.org/observations/400413522</t>
  </si>
  <si>
    <t xml:space="preserve">FALSE 2880</t>
  </si>
  <si>
    <t xml:space="preserve">Lycodon flavicollis</t>
  </si>
  <si>
    <t xml:space="preserve">https://www.inaturalist.org/observations/400410141</t>
  </si>
  <si>
    <t xml:space="preserve">FALSE 2881</t>
  </si>
  <si>
    <t xml:space="preserve">Liasis fuscus</t>
  </si>
  <si>
    <t xml:space="preserve">https://www.inaturalist.org/observations/400409965</t>
  </si>
  <si>
    <t xml:space="preserve">FALSE 2882</t>
  </si>
  <si>
    <t xml:space="preserve">https://www.inaturalist.org/observations/400404742</t>
  </si>
  <si>
    <t xml:space="preserve">FALSE 2883</t>
  </si>
  <si>
    <t xml:space="preserve">Dendrelaphis caudolineatus</t>
  </si>
  <si>
    <t xml:space="preserve">https://www.inaturalist.org/observations/400404630</t>
  </si>
  <si>
    <t xml:space="preserve">FALSE 2884</t>
  </si>
  <si>
    <t xml:space="preserve">https://www.inaturalist.org/observations/400404210</t>
  </si>
  <si>
    <t xml:space="preserve">FALSE 2885</t>
  </si>
  <si>
    <t xml:space="preserve">https://www.inaturalist.org/observations/400403478</t>
  </si>
  <si>
    <t xml:space="preserve">FALSE 2886</t>
  </si>
  <si>
    <t xml:space="preserve">https://www.inaturalist.org/observations/400401644</t>
  </si>
  <si>
    <t xml:space="preserve">FALSE 2887</t>
  </si>
  <si>
    <t xml:space="preserve">Pseudoxenodon stejnegeri</t>
  </si>
  <si>
    <t xml:space="preserve">https://www.inaturalist.org/observations/400401143</t>
  </si>
  <si>
    <t xml:space="preserve">FALSE 2888</t>
  </si>
  <si>
    <t xml:space="preserve">https://www.inaturalist.org/observations/400400915</t>
  </si>
  <si>
    <t xml:space="preserve">FALSE 2889</t>
  </si>
  <si>
    <t xml:space="preserve">https://www.inaturalist.org/observations/400400673</t>
  </si>
  <si>
    <t xml:space="preserve">FALSE 2890</t>
  </si>
  <si>
    <t xml:space="preserve">https://www.inaturalist.org/observations/400400658</t>
  </si>
  <si>
    <t xml:space="preserve">FALSE 2891</t>
  </si>
  <si>
    <t xml:space="preserve">Elaphe urartica</t>
  </si>
  <si>
    <t xml:space="preserve">https://www.inaturalist.org/observations/400400574</t>
  </si>
  <si>
    <t xml:space="preserve">FALSE 2892</t>
  </si>
  <si>
    <t xml:space="preserve">https://www.inaturalist.org/observations/400400568</t>
  </si>
  <si>
    <t xml:space="preserve">FALSE 2893</t>
  </si>
  <si>
    <t xml:space="preserve">Telescopus fallax iberus</t>
  </si>
  <si>
    <t xml:space="preserve">https://www.inaturalist.org/observations/400400566</t>
  </si>
  <si>
    <t xml:space="preserve">FALSE 2894</t>
  </si>
  <si>
    <t xml:space="preserve">Bitis caudalis</t>
  </si>
  <si>
    <t xml:space="preserve">https://www.inaturalist.org/observations/400400310</t>
  </si>
  <si>
    <t xml:space="preserve">FALSE 2895</t>
  </si>
  <si>
    <t xml:space="preserve">Agkistrodon taylori</t>
  </si>
  <si>
    <t xml:space="preserve">https://www.inaturalist.org/observations/400398651</t>
  </si>
  <si>
    <t xml:space="preserve">FALSE 2896</t>
  </si>
  <si>
    <t xml:space="preserve">Elapognathus coronatus</t>
  </si>
  <si>
    <t xml:space="preserve">https://www.inaturalist.org/observations/400396830</t>
  </si>
  <si>
    <t xml:space="preserve">FALSE 2897</t>
  </si>
  <si>
    <t xml:space="preserve">Homalopsis mereljcoxi</t>
  </si>
  <si>
    <t xml:space="preserve">https://www.inaturalist.org/observations/400394333</t>
  </si>
  <si>
    <t xml:space="preserve">FALSE 2898</t>
  </si>
  <si>
    <t xml:space="preserve">Lycodon fasciatus</t>
  </si>
  <si>
    <t xml:space="preserve">https://www.inaturalist.org/observations/400392916</t>
  </si>
  <si>
    <t xml:space="preserve">FALSE 2899</t>
  </si>
  <si>
    <t xml:space="preserve">Tantilla nigriceps</t>
  </si>
  <si>
    <t xml:space="preserve">https://www.inaturalist.org/observations/400392284</t>
  </si>
  <si>
    <t xml:space="preserve">FALSE 2900</t>
  </si>
  <si>
    <t xml:space="preserve">Hypsiglena jani</t>
  </si>
  <si>
    <t xml:space="preserve">https://www.inaturalist.org/observations/400392201</t>
  </si>
  <si>
    <t xml:space="preserve">FALSE 2901</t>
  </si>
  <si>
    <t xml:space="preserve">Pituophis catenifer affinis</t>
  </si>
  <si>
    <t xml:space="preserve">https://www.inaturalist.org/observations/400391969</t>
  </si>
  <si>
    <t xml:space="preserve">FALSE 2902</t>
  </si>
  <si>
    <t xml:space="preserve">Dendroaspis jamesoni</t>
  </si>
  <si>
    <t xml:space="preserve">https://www.inaturalist.org/observations/400391582</t>
  </si>
  <si>
    <t xml:space="preserve">FALSE 2903</t>
  </si>
  <si>
    <t xml:space="preserve">Calliophis intestinalis</t>
  </si>
  <si>
    <t xml:space="preserve">https://www.inaturalist.org/observations/400391182</t>
  </si>
  <si>
    <t xml:space="preserve">FALSE 2904</t>
  </si>
  <si>
    <t xml:space="preserve">Melanophidium khairei</t>
  </si>
  <si>
    <t xml:space="preserve">https://www.inaturalist.org/observations/400390786</t>
  </si>
  <si>
    <t xml:space="preserve">FALSE 2905</t>
  </si>
  <si>
    <t xml:space="preserve">Opisthotropis maxwelli</t>
  </si>
  <si>
    <t xml:space="preserve">https://www.inaturalist.org/observations/400390257</t>
  </si>
  <si>
    <t xml:space="preserve">FALSE 2906</t>
  </si>
  <si>
    <t xml:space="preserve">https://www.inaturalist.org/observations/400389291</t>
  </si>
  <si>
    <t xml:space="preserve">FALSE 2907</t>
  </si>
  <si>
    <t xml:space="preserve">Crotalus oreganus oreganus</t>
  </si>
  <si>
    <t xml:space="preserve">https://www.inaturalist.org/observations/400388487</t>
  </si>
  <si>
    <t xml:space="preserve">FALSE 2908</t>
  </si>
  <si>
    <t xml:space="preserve">Bothrops erythromelas</t>
  </si>
  <si>
    <t xml:space="preserve">https://www.inaturalist.org/observations/400388420</t>
  </si>
  <si>
    <t xml:space="preserve">FALSE 2909</t>
  </si>
  <si>
    <t xml:space="preserve">Demansia vestigiata</t>
  </si>
  <si>
    <t xml:space="preserve">https://www.inaturalist.org/observations/400387201</t>
  </si>
  <si>
    <t xml:space="preserve">FALSE 2910</t>
  </si>
  <si>
    <t xml:space="preserve">Plagiopholis styani</t>
  </si>
  <si>
    <t xml:space="preserve">https://www.inaturalist.org/observations/400386634</t>
  </si>
  <si>
    <t xml:space="preserve">FALSE 2911</t>
  </si>
  <si>
    <t xml:space="preserve">Masticophis piceus</t>
  </si>
  <si>
    <t xml:space="preserve">https://www.inaturalist.org/observations/400386563</t>
  </si>
  <si>
    <t xml:space="preserve">FALSE 2912</t>
  </si>
  <si>
    <t xml:space="preserve">https://www.inaturalist.org/observations/400385904</t>
  </si>
  <si>
    <t xml:space="preserve">FALSE 2913</t>
  </si>
  <si>
    <t xml:space="preserve">https://www.inaturalist.org/observations/400385765</t>
  </si>
  <si>
    <t xml:space="preserve">FALSE 2914</t>
  </si>
  <si>
    <t xml:space="preserve">https://www.inaturalist.org/observations/400382756</t>
  </si>
  <si>
    <t xml:space="preserve">FALSE 2915</t>
  </si>
  <si>
    <t xml:space="preserve">Nerodia sipedon pleuralis</t>
  </si>
  <si>
    <t xml:space="preserve">https://www.inaturalist.org/observations/400381349</t>
  </si>
  <si>
    <t xml:space="preserve">FALSE 2916</t>
  </si>
  <si>
    <t xml:space="preserve">https://www.inaturalist.org/observations/400381278</t>
  </si>
  <si>
    <t xml:space="preserve">FALSE 2917</t>
  </si>
  <si>
    <t xml:space="preserve">https://www.inaturalist.org/observations/400379412</t>
  </si>
  <si>
    <t xml:space="preserve">FALSE 2918</t>
  </si>
  <si>
    <t xml:space="preserve">Salvadora deserticola</t>
  </si>
  <si>
    <t xml:space="preserve">https://www.inaturalist.org/observations/400378742</t>
  </si>
  <si>
    <t xml:space="preserve">FALSE 2919</t>
  </si>
  <si>
    <t xml:space="preserve">https://www.inaturalist.org/observations/400377019</t>
  </si>
  <si>
    <t xml:space="preserve">FALSE 2920</t>
  </si>
  <si>
    <t xml:space="preserve">Hypsiglena torquata</t>
  </si>
  <si>
    <t xml:space="preserve">https://www.inaturalist.org/observations/400375769</t>
  </si>
  <si>
    <t xml:space="preserve">FALSE 2921</t>
  </si>
  <si>
    <t xml:space="preserve">Sibon dimidiatus</t>
  </si>
  <si>
    <t xml:space="preserve">https://www.inaturalist.org/observations/400375102</t>
  </si>
  <si>
    <t xml:space="preserve">FALSE 2922</t>
  </si>
  <si>
    <t xml:space="preserve">Thamnophis atratus</t>
  </si>
  <si>
    <t xml:space="preserve">https://www.inaturalist.org/observations/400374778</t>
  </si>
  <si>
    <t xml:space="preserve">FALSE 2923</t>
  </si>
  <si>
    <t xml:space="preserve">Bothrops venezuelensis</t>
  </si>
  <si>
    <t xml:space="preserve">https://www.inaturalist.org/observations/400374767</t>
  </si>
  <si>
    <t xml:space="preserve">FALSE 2924</t>
  </si>
  <si>
    <t xml:space="preserve">https://www.inaturalist.org/observations/400374589</t>
  </si>
  <si>
    <t xml:space="preserve">FALSE 2925</t>
  </si>
  <si>
    <t xml:space="preserve">https://www.inaturalist.org/observations/400373123</t>
  </si>
  <si>
    <t xml:space="preserve">FALSE 2926</t>
  </si>
  <si>
    <t xml:space="preserve">Trilepida brevissima</t>
  </si>
  <si>
    <t xml:space="preserve">https://www.inaturalist.org/observations/400373093</t>
  </si>
  <si>
    <t xml:space="preserve">FALSE 2927</t>
  </si>
  <si>
    <t xml:space="preserve">Pseudagkistrodon rudis</t>
  </si>
  <si>
    <t xml:space="preserve">https://www.inaturalist.org/observations/400371018</t>
  </si>
  <si>
    <t xml:space="preserve">FALSE 2928</t>
  </si>
  <si>
    <t xml:space="preserve">https://www.inaturalist.org/observations/400370701</t>
  </si>
  <si>
    <t xml:space="preserve">FALSE 2929</t>
  </si>
  <si>
    <t xml:space="preserve">Lampropeltis nigra</t>
  </si>
  <si>
    <t xml:space="preserve">https://www.inaturalist.org/observations/400369696</t>
  </si>
  <si>
    <t xml:space="preserve">FALSE 2930</t>
  </si>
  <si>
    <t xml:space="preserve">https://www.inaturalist.org/observations/400369481</t>
  </si>
  <si>
    <t xml:space="preserve">FALSE 2931</t>
  </si>
  <si>
    <t xml:space="preserve">https://www.inaturalist.org/observations/400369354</t>
  </si>
  <si>
    <t xml:space="preserve">FALSE 2932</t>
  </si>
  <si>
    <t xml:space="preserve">Conophis lineatus</t>
  </si>
  <si>
    <t xml:space="preserve">https://www.inaturalist.org/observations/400369107</t>
  </si>
  <si>
    <t xml:space="preserve">FALSE 2933</t>
  </si>
  <si>
    <t xml:space="preserve">https://www.inaturalist.org/observations/400368205</t>
  </si>
  <si>
    <t xml:space="preserve">FALSE 2934</t>
  </si>
  <si>
    <t xml:space="preserve">Crotalus lepidus lepidus</t>
  </si>
  <si>
    <t xml:space="preserve">https://www.inaturalist.org/observations/400368145</t>
  </si>
  <si>
    <t xml:space="preserve">FALSE 2935</t>
  </si>
  <si>
    <t xml:space="preserve">Anilius scytale</t>
  </si>
  <si>
    <t xml:space="preserve">https://www.inaturalist.org/observations/400367905</t>
  </si>
  <si>
    <t xml:space="preserve">FALSE 2936</t>
  </si>
  <si>
    <t xml:space="preserve">https://www.inaturalist.org/observations/400366883</t>
  </si>
  <si>
    <t xml:space="preserve">FALSE 2937</t>
  </si>
  <si>
    <t xml:space="preserve">Thamnophis sirtalis semifasciatus</t>
  </si>
  <si>
    <t xml:space="preserve">https://www.inaturalist.org/observations/400363096</t>
  </si>
  <si>
    <t xml:space="preserve">FALSE 2938</t>
  </si>
  <si>
    <t xml:space="preserve">https://www.inaturalist.org/observations/400363081</t>
  </si>
  <si>
    <t xml:space="preserve">FALSE 2939</t>
  </si>
  <si>
    <t xml:space="preserve">https://www.inaturalist.org/observations/400361766</t>
  </si>
  <si>
    <t xml:space="preserve">FALSE 2940</t>
  </si>
  <si>
    <t xml:space="preserve">Thamnophis eques</t>
  </si>
  <si>
    <t xml:space="preserve">https://www.inaturalist.org/observations/400361746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</si>
</sst>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6099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2A6099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u val="single"/>
      <sz val="11"/>
      <color rgb="FF2A6099"/>
      <name val="Cambria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2A6099"/>
      <name val="Cambria"/>
      <family val="0"/>
      <charset val="1"/>
    </font>
    <font>
      <u val="single"/>
      <sz val="11"/>
      <color rgb="FF1155CC"/>
      <name val="Arial"/>
      <family val="0"/>
      <charset val="1"/>
    </font>
    <font>
      <u val="single"/>
      <sz val="10"/>
      <color rgb="FF729FCF"/>
      <name val="Arial"/>
      <family val="0"/>
      <charset val="1"/>
    </font>
    <font>
      <u val="single"/>
      <sz val="11"/>
      <color rgb="FF729FC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aturalist.org/people/alekhaag" TargetMode="External"/><Relationship Id="rId2" Type="http://schemas.openxmlformats.org/officeDocument/2006/relationships/hyperlink" Target="https://creativecommons.org/licenses/by-nc/4.0/" TargetMode="External"/><Relationship Id="rId3" Type="http://schemas.openxmlformats.org/officeDocument/2006/relationships/hyperlink" Target="https://www.inaturalist.org/observations/377146344" TargetMode="External"/><Relationship Id="rId4" Type="http://schemas.openxmlformats.org/officeDocument/2006/relationships/hyperlink" Target="https://www.inaturalist.org/people/alekhaag" TargetMode="External"/><Relationship Id="rId5" Type="http://schemas.openxmlformats.org/officeDocument/2006/relationships/hyperlink" Target="https://creativecommons.org/licenses/by-nc/4.0/" TargetMode="External"/><Relationship Id="rId6" Type="http://schemas.openxmlformats.org/officeDocument/2006/relationships/hyperlink" Target="https://www.inaturalist.org/observations/377146344" TargetMode="External"/><Relationship Id="rId7" Type="http://schemas.openxmlformats.org/officeDocument/2006/relationships/hyperlink" Target="https://www.inaturalist.org/people/joemdo" TargetMode="External"/><Relationship Id="rId8" Type="http://schemas.openxmlformats.org/officeDocument/2006/relationships/hyperlink" Target="https://creativecommons.org/licenses/by-nc/4.0/" TargetMode="External"/><Relationship Id="rId9" Type="http://schemas.openxmlformats.org/officeDocument/2006/relationships/hyperlink" Target="https://www.inaturalist.org/observations/376916735" TargetMode="External"/><Relationship Id="rId10" Type="http://schemas.openxmlformats.org/officeDocument/2006/relationships/hyperlink" Target="https://www.inaturalist.org/people/aniedes" TargetMode="External"/><Relationship Id="rId11" Type="http://schemas.openxmlformats.org/officeDocument/2006/relationships/hyperlink" Target="https://creativecommons.org/licenses/by-nc/4.0/" TargetMode="External"/><Relationship Id="rId12" Type="http://schemas.openxmlformats.org/officeDocument/2006/relationships/hyperlink" Target="https://www.inaturalist.org/observations/376604804" TargetMode="External"/><Relationship Id="rId13" Type="http://schemas.openxmlformats.org/officeDocument/2006/relationships/hyperlink" Target="https://www.inaturalist.org/people/aniedes" TargetMode="External"/><Relationship Id="rId14" Type="http://schemas.openxmlformats.org/officeDocument/2006/relationships/hyperlink" Target="https://creativecommons.org/licenses/by-nc/4.0/" TargetMode="External"/><Relationship Id="rId15" Type="http://schemas.openxmlformats.org/officeDocument/2006/relationships/hyperlink" Target="https://www.inaturalist.org/observations/376604772" TargetMode="External"/><Relationship Id="rId16" Type="http://schemas.openxmlformats.org/officeDocument/2006/relationships/hyperlink" Target="https://www.inaturalist.org/people/aniedes" TargetMode="External"/><Relationship Id="rId17" Type="http://schemas.openxmlformats.org/officeDocument/2006/relationships/hyperlink" Target="https://creativecommons.org/licenses/by-nc/4.0/" TargetMode="External"/><Relationship Id="rId18" Type="http://schemas.openxmlformats.org/officeDocument/2006/relationships/hyperlink" Target="https://www.inaturalist.org/observations/376604739" TargetMode="External"/><Relationship Id="rId19" Type="http://schemas.openxmlformats.org/officeDocument/2006/relationships/hyperlink" Target="https://www.inaturalist.org/people/temminicki" TargetMode="External"/><Relationship Id="rId20" Type="http://schemas.openxmlformats.org/officeDocument/2006/relationships/hyperlink" Target="https://creativecommons.org/licenses/by-nc/4.0/" TargetMode="External"/><Relationship Id="rId21" Type="http://schemas.openxmlformats.org/officeDocument/2006/relationships/hyperlink" Target="https://www.inaturalist.org/observations/376588655" TargetMode="External"/><Relationship Id="rId22" Type="http://schemas.openxmlformats.org/officeDocument/2006/relationships/hyperlink" Target="https://www.inaturalist.org/people/temminicki" TargetMode="External"/><Relationship Id="rId23" Type="http://schemas.openxmlformats.org/officeDocument/2006/relationships/hyperlink" Target="https://creativecommons.org/licenses/by-nc/4.0/" TargetMode="External"/><Relationship Id="rId24" Type="http://schemas.openxmlformats.org/officeDocument/2006/relationships/hyperlink" Target="https://www.inaturalist.org/observations/376588648" TargetMode="External"/><Relationship Id="rId25" Type="http://schemas.openxmlformats.org/officeDocument/2006/relationships/hyperlink" Target="https://www.inaturalist.org/people/skink182" TargetMode="External"/><Relationship Id="rId26" Type="http://schemas.openxmlformats.org/officeDocument/2006/relationships/hyperlink" Target="https://creativecommons.org/licenses/by-nc/4.0/" TargetMode="External"/><Relationship Id="rId27" Type="http://schemas.openxmlformats.org/officeDocument/2006/relationships/hyperlink" Target="https://www.inaturalist.org/observations/376094536" TargetMode="External"/><Relationship Id="rId28" Type="http://schemas.openxmlformats.org/officeDocument/2006/relationships/hyperlink" Target="https://www.inaturalist.org/people/skink182" TargetMode="External"/><Relationship Id="rId29" Type="http://schemas.openxmlformats.org/officeDocument/2006/relationships/hyperlink" Target="https://creativecommons.org/licenses/by-nc/4.0/" TargetMode="External"/><Relationship Id="rId30" Type="http://schemas.openxmlformats.org/officeDocument/2006/relationships/hyperlink" Target="https://www.inaturalist.org/observations/376094536" TargetMode="External"/><Relationship Id="rId31" Type="http://schemas.openxmlformats.org/officeDocument/2006/relationships/hyperlink" Target="https://www.inaturalist.org/people/skink182" TargetMode="External"/><Relationship Id="rId32" Type="http://schemas.openxmlformats.org/officeDocument/2006/relationships/hyperlink" Target="https://creativecommons.org/licenses/by-nc/4.0/" TargetMode="External"/><Relationship Id="rId33" Type="http://schemas.openxmlformats.org/officeDocument/2006/relationships/hyperlink" Target="https://www.inaturalist.org/observations/376094536" TargetMode="External"/><Relationship Id="rId34" Type="http://schemas.openxmlformats.org/officeDocument/2006/relationships/hyperlink" Target="https://www.inaturalist.org/people/temminicki" TargetMode="External"/><Relationship Id="rId35" Type="http://schemas.openxmlformats.org/officeDocument/2006/relationships/hyperlink" Target="https://creativecommons.org/licenses/by-nc/4.0/" TargetMode="External"/><Relationship Id="rId36" Type="http://schemas.openxmlformats.org/officeDocument/2006/relationships/hyperlink" Target="https://www.inaturalist.org/observations/375901277" TargetMode="External"/><Relationship Id="rId37" Type="http://schemas.openxmlformats.org/officeDocument/2006/relationships/hyperlink" Target="https://www.inaturalist.org/people/temminicki" TargetMode="External"/><Relationship Id="rId38" Type="http://schemas.openxmlformats.org/officeDocument/2006/relationships/hyperlink" Target="https://creativecommons.org/licenses/by-nc/4.0/" TargetMode="External"/><Relationship Id="rId39" Type="http://schemas.openxmlformats.org/officeDocument/2006/relationships/hyperlink" Target="https://www.inaturalist.org/observations/375901277" TargetMode="External"/><Relationship Id="rId40" Type="http://schemas.openxmlformats.org/officeDocument/2006/relationships/hyperlink" Target="https://www.inaturalist.org/people/temminicki" TargetMode="External"/><Relationship Id="rId41" Type="http://schemas.openxmlformats.org/officeDocument/2006/relationships/hyperlink" Target="https://creativecommons.org/licenses/by-nc/4.0/" TargetMode="External"/><Relationship Id="rId42" Type="http://schemas.openxmlformats.org/officeDocument/2006/relationships/hyperlink" Target="https://www.inaturalist.org/observations/375901277" TargetMode="External"/><Relationship Id="rId43" Type="http://schemas.openxmlformats.org/officeDocument/2006/relationships/hyperlink" Target="https://www.inaturalist.org/people/arquitectodefecto" TargetMode="External"/><Relationship Id="rId44" Type="http://schemas.openxmlformats.org/officeDocument/2006/relationships/hyperlink" Target="https://creativecommons.org/licenses/by-nc/4.0/" TargetMode="External"/><Relationship Id="rId45" Type="http://schemas.openxmlformats.org/officeDocument/2006/relationships/hyperlink" Target="https://www.inaturalist.org/observations/375727997" TargetMode="External"/><Relationship Id="rId46" Type="http://schemas.openxmlformats.org/officeDocument/2006/relationships/hyperlink" Target="https://www.inaturalist.org/people/eric_hough" TargetMode="External"/><Relationship Id="rId47" Type="http://schemas.openxmlformats.org/officeDocument/2006/relationships/hyperlink" Target="https://creativecommons.org/licenses/by-nc/4.0/" TargetMode="External"/><Relationship Id="rId48" Type="http://schemas.openxmlformats.org/officeDocument/2006/relationships/hyperlink" Target="https://www.inaturalist.org/observations/375472195" TargetMode="External"/><Relationship Id="rId49" Type="http://schemas.openxmlformats.org/officeDocument/2006/relationships/hyperlink" Target="https://www.inaturalist.org/people/eric_hough" TargetMode="External"/><Relationship Id="rId50" Type="http://schemas.openxmlformats.org/officeDocument/2006/relationships/hyperlink" Target="https://creativecommons.org/licenses/by-nc/4.0/" TargetMode="External"/><Relationship Id="rId51" Type="http://schemas.openxmlformats.org/officeDocument/2006/relationships/hyperlink" Target="https://www.inaturalist.org/observations/375472195" TargetMode="External"/><Relationship Id="rId52" Type="http://schemas.openxmlformats.org/officeDocument/2006/relationships/hyperlink" Target="https://www.inaturalist.org/people/bioprats" TargetMode="External"/><Relationship Id="rId53" Type="http://schemas.openxmlformats.org/officeDocument/2006/relationships/hyperlink" Target="https://creativecommons.org/licenses/by-nc/4.0/" TargetMode="External"/><Relationship Id="rId54" Type="http://schemas.openxmlformats.org/officeDocument/2006/relationships/hyperlink" Target="https://www.inaturalist.org/observations/375467914" TargetMode="External"/><Relationship Id="rId55" Type="http://schemas.openxmlformats.org/officeDocument/2006/relationships/hyperlink" Target="https://www.inaturalist.org/people/saraschneider" TargetMode="External"/><Relationship Id="rId56" Type="http://schemas.openxmlformats.org/officeDocument/2006/relationships/hyperlink" Target="https://creativecommons.org/licenses/by-nc/4.0/" TargetMode="External"/><Relationship Id="rId57" Type="http://schemas.openxmlformats.org/officeDocument/2006/relationships/hyperlink" Target="https://www.inaturalist.org/observations/375441989" TargetMode="External"/><Relationship Id="rId58" Type="http://schemas.openxmlformats.org/officeDocument/2006/relationships/hyperlink" Target="https://www.inaturalist.org/people/kiwifruitsc" TargetMode="External"/><Relationship Id="rId59" Type="http://schemas.openxmlformats.org/officeDocument/2006/relationships/hyperlink" Target="https://creativecommons.org/licenses/by-nc/4.0/" TargetMode="External"/><Relationship Id="rId60" Type="http://schemas.openxmlformats.org/officeDocument/2006/relationships/hyperlink" Target="https://www.inaturalist.org/observations/375353286" TargetMode="External"/><Relationship Id="rId61" Type="http://schemas.openxmlformats.org/officeDocument/2006/relationships/hyperlink" Target="https://www.inaturalist.org/people/naturalistnkc" TargetMode="External"/><Relationship Id="rId62" Type="http://schemas.openxmlformats.org/officeDocument/2006/relationships/hyperlink" Target="https://creativecommons.org/licenses/by-nc/4.0/" TargetMode="External"/><Relationship Id="rId63" Type="http://schemas.openxmlformats.org/officeDocument/2006/relationships/hyperlink" Target="https://www.inaturalist.org/observations/374833502" TargetMode="External"/><Relationship Id="rId64" Type="http://schemas.openxmlformats.org/officeDocument/2006/relationships/hyperlink" Target="https://www.inaturalist.org/people/lutes" TargetMode="External"/><Relationship Id="rId65" Type="http://schemas.openxmlformats.org/officeDocument/2006/relationships/hyperlink" Target="https://creativecommons.org/licenses/by-nc/4.0/" TargetMode="External"/><Relationship Id="rId66" Type="http://schemas.openxmlformats.org/officeDocument/2006/relationships/hyperlink" Target="https://www.inaturalist.org/observations/374808199" TargetMode="External"/><Relationship Id="rId67" Type="http://schemas.openxmlformats.org/officeDocument/2006/relationships/hyperlink" Target="https://www.inaturalist.org/people/nomolosx" TargetMode="External"/><Relationship Id="rId68" Type="http://schemas.openxmlformats.org/officeDocument/2006/relationships/hyperlink" Target="https://creativecommons.org/licenses/by-nc/4.0/" TargetMode="External"/><Relationship Id="rId69" Type="http://schemas.openxmlformats.org/officeDocument/2006/relationships/hyperlink" Target="https://www.inaturalist.org/observations/374422924" TargetMode="External"/><Relationship Id="rId70" Type="http://schemas.openxmlformats.org/officeDocument/2006/relationships/hyperlink" Target="https://www.inaturalist.org/people/nomolosx" TargetMode="External"/><Relationship Id="rId71" Type="http://schemas.openxmlformats.org/officeDocument/2006/relationships/hyperlink" Target="https://creativecommons.org/licenses/by-nc/4.0/" TargetMode="External"/><Relationship Id="rId72" Type="http://schemas.openxmlformats.org/officeDocument/2006/relationships/hyperlink" Target="https://www.inaturalist.org/observations/374422924" TargetMode="External"/><Relationship Id="rId73" Type="http://schemas.openxmlformats.org/officeDocument/2006/relationships/hyperlink" Target="https://www.inaturalist.org/people/cassalata" TargetMode="External"/><Relationship Id="rId74" Type="http://schemas.openxmlformats.org/officeDocument/2006/relationships/hyperlink" Target="https://creativecommons.org/licenses/by-nc/4.0/" TargetMode="External"/><Relationship Id="rId75" Type="http://schemas.openxmlformats.org/officeDocument/2006/relationships/hyperlink" Target="https://www.inaturalist.org/observations/374312186" TargetMode="External"/><Relationship Id="rId76" Type="http://schemas.openxmlformats.org/officeDocument/2006/relationships/hyperlink" Target="https://www.inaturalist.org/people/herpdanner" TargetMode="External"/><Relationship Id="rId77" Type="http://schemas.openxmlformats.org/officeDocument/2006/relationships/hyperlink" Target="https://creativecommons.org/licenses/by-nc/4.0/" TargetMode="External"/><Relationship Id="rId78" Type="http://schemas.openxmlformats.org/officeDocument/2006/relationships/hyperlink" Target="https://www.inaturalist.org/observations/374146377" TargetMode="External"/><Relationship Id="rId79" Type="http://schemas.openxmlformats.org/officeDocument/2006/relationships/hyperlink" Target="https://www.inaturalist.org/people/cs1011928410" TargetMode="External"/><Relationship Id="rId80" Type="http://schemas.openxmlformats.org/officeDocument/2006/relationships/hyperlink" Target="https://creativecommons.org/licenses/by-nc/4.0/" TargetMode="External"/><Relationship Id="rId81" Type="http://schemas.openxmlformats.org/officeDocument/2006/relationships/hyperlink" Target="https://www.inaturalist.org/observations/373820338" TargetMode="External"/><Relationship Id="rId82" Type="http://schemas.openxmlformats.org/officeDocument/2006/relationships/hyperlink" Target="https://www.inaturalist.org/people/hybronius" TargetMode="External"/><Relationship Id="rId83" Type="http://schemas.openxmlformats.org/officeDocument/2006/relationships/hyperlink" Target="https://creativecommons.org/licenses/by-nc/4.0/" TargetMode="External"/><Relationship Id="rId84" Type="http://schemas.openxmlformats.org/officeDocument/2006/relationships/hyperlink" Target="https://www.inaturalist.org/observations/373471442" TargetMode="External"/><Relationship Id="rId85" Type="http://schemas.openxmlformats.org/officeDocument/2006/relationships/hyperlink" Target="https://www.inaturalist.org/people/logan33430" TargetMode="External"/><Relationship Id="rId86" Type="http://schemas.openxmlformats.org/officeDocument/2006/relationships/hyperlink" Target="https://creativecommons.org/licenses/by-nc/4.0/" TargetMode="External"/><Relationship Id="rId87" Type="http://schemas.openxmlformats.org/officeDocument/2006/relationships/hyperlink" Target="https://www.inaturalist.org/observations/373293964" TargetMode="External"/><Relationship Id="rId88" Type="http://schemas.openxmlformats.org/officeDocument/2006/relationships/hyperlink" Target="https://www.inaturalist.org/people/econaturalistdotcom" TargetMode="External"/><Relationship Id="rId89" Type="http://schemas.openxmlformats.org/officeDocument/2006/relationships/hyperlink" Target="https://creativecommons.org/licenses/by-nc/4.0/" TargetMode="External"/><Relationship Id="rId90" Type="http://schemas.openxmlformats.org/officeDocument/2006/relationships/hyperlink" Target="https://www.inaturalist.org/observations/373099109" TargetMode="External"/><Relationship Id="rId91" Type="http://schemas.openxmlformats.org/officeDocument/2006/relationships/hyperlink" Target="https://www.inaturalist.org/people/faebugsz" TargetMode="External"/><Relationship Id="rId92" Type="http://schemas.openxmlformats.org/officeDocument/2006/relationships/hyperlink" Target="https://creativecommons.org/licenses/by-nc/4.0/" TargetMode="External"/><Relationship Id="rId93" Type="http://schemas.openxmlformats.org/officeDocument/2006/relationships/hyperlink" Target="https://www.inaturalist.org/observations/372944069" TargetMode="External"/><Relationship Id="rId94" Type="http://schemas.openxmlformats.org/officeDocument/2006/relationships/hyperlink" Target="https://www.inaturalist.org/people/agavepup" TargetMode="External"/><Relationship Id="rId95" Type="http://schemas.openxmlformats.org/officeDocument/2006/relationships/hyperlink" Target="https://creativecommons.org/licenses/by-nc/4.0/" TargetMode="External"/><Relationship Id="rId96" Type="http://schemas.openxmlformats.org/officeDocument/2006/relationships/hyperlink" Target="https://www.inaturalist.org/observations/372688320" TargetMode="External"/><Relationship Id="rId97" Type="http://schemas.openxmlformats.org/officeDocument/2006/relationships/hyperlink" Target="https://www.inaturalist.org/people/crtracy" TargetMode="External"/><Relationship Id="rId98" Type="http://schemas.openxmlformats.org/officeDocument/2006/relationships/hyperlink" Target="https://creativecommons.org/licenses/by-nc/4.0/" TargetMode="External"/><Relationship Id="rId99" Type="http://schemas.openxmlformats.org/officeDocument/2006/relationships/hyperlink" Target="https://www.inaturalist.org/observations/372528453" TargetMode="External"/><Relationship Id="rId100" Type="http://schemas.openxmlformats.org/officeDocument/2006/relationships/hyperlink" Target="https://www.inaturalist.org/people/crtracy" TargetMode="External"/><Relationship Id="rId101" Type="http://schemas.openxmlformats.org/officeDocument/2006/relationships/hyperlink" Target="https://creativecommons.org/licenses/by-nc/4.0/" TargetMode="External"/><Relationship Id="rId102" Type="http://schemas.openxmlformats.org/officeDocument/2006/relationships/hyperlink" Target="https://www.inaturalist.org/observations/372528104" TargetMode="External"/><Relationship Id="rId103" Type="http://schemas.openxmlformats.org/officeDocument/2006/relationships/hyperlink" Target="https://www.inaturalist.org/people/rdaz" TargetMode="External"/><Relationship Id="rId104" Type="http://schemas.openxmlformats.org/officeDocument/2006/relationships/hyperlink" Target="https://creativecommons.org/licenses/by-nc/4.0/" TargetMode="External"/><Relationship Id="rId105" Type="http://schemas.openxmlformats.org/officeDocument/2006/relationships/hyperlink" Target="https://www.inaturalist.org/observations/372193442" TargetMode="External"/><Relationship Id="rId106" Type="http://schemas.openxmlformats.org/officeDocument/2006/relationships/hyperlink" Target="https://www.inaturalist.org/people/david_broek" TargetMode="External"/><Relationship Id="rId107" Type="http://schemas.openxmlformats.org/officeDocument/2006/relationships/hyperlink" Target="https://creativecommons.org/licenses/by-nc/4.0/" TargetMode="External"/><Relationship Id="rId108" Type="http://schemas.openxmlformats.org/officeDocument/2006/relationships/hyperlink" Target="https://www.inaturalist.org/observations/377234694" TargetMode="External"/><Relationship Id="rId109" Type="http://schemas.openxmlformats.org/officeDocument/2006/relationships/hyperlink" Target="https://www.inaturalist.org/people/xochieta" TargetMode="External"/><Relationship Id="rId110" Type="http://schemas.openxmlformats.org/officeDocument/2006/relationships/hyperlink" Target="https://creativecommons.org/licenses/by-nc/4.0/" TargetMode="External"/><Relationship Id="rId111" Type="http://schemas.openxmlformats.org/officeDocument/2006/relationships/hyperlink" Target="https://www.inaturalist.org/observations/376826626" TargetMode="External"/><Relationship Id="rId112" Type="http://schemas.openxmlformats.org/officeDocument/2006/relationships/hyperlink" Target="https://www.inaturalist.org/people/xochieta" TargetMode="External"/><Relationship Id="rId113" Type="http://schemas.openxmlformats.org/officeDocument/2006/relationships/hyperlink" Target="https://creativecommons.org/licenses/by-nc/4.0/" TargetMode="External"/><Relationship Id="rId114" Type="http://schemas.openxmlformats.org/officeDocument/2006/relationships/hyperlink" Target="https://www.inaturalist.org/observations/376826626" TargetMode="External"/><Relationship Id="rId115" Type="http://schemas.openxmlformats.org/officeDocument/2006/relationships/hyperlink" Target="https://www.inaturalist.org/people/xochieta" TargetMode="External"/><Relationship Id="rId116" Type="http://schemas.openxmlformats.org/officeDocument/2006/relationships/hyperlink" Target="https://creativecommons.org/licenses/by-nc/4.0/" TargetMode="External"/><Relationship Id="rId117" Type="http://schemas.openxmlformats.org/officeDocument/2006/relationships/hyperlink" Target="https://www.inaturalist.org/observations/376826626" TargetMode="External"/><Relationship Id="rId118" Type="http://schemas.openxmlformats.org/officeDocument/2006/relationships/hyperlink" Target="https://www.inaturalist.org/people/ragkannan" TargetMode="External"/><Relationship Id="rId119" Type="http://schemas.openxmlformats.org/officeDocument/2006/relationships/hyperlink" Target="https://creativecommons.org/licenses/by-nc/4.0/" TargetMode="External"/><Relationship Id="rId120" Type="http://schemas.openxmlformats.org/officeDocument/2006/relationships/hyperlink" Target="https://www.inaturalist.org/observations/376729533" TargetMode="External"/><Relationship Id="rId121" Type="http://schemas.openxmlformats.org/officeDocument/2006/relationships/hyperlink" Target="https://www.inaturalist.org/people/ragkannan" TargetMode="External"/><Relationship Id="rId122" Type="http://schemas.openxmlformats.org/officeDocument/2006/relationships/hyperlink" Target="https://creativecommons.org/licenses/by-nc/4.0/" TargetMode="External"/><Relationship Id="rId123" Type="http://schemas.openxmlformats.org/officeDocument/2006/relationships/hyperlink" Target="https://www.inaturalist.org/observations/376729533" TargetMode="External"/><Relationship Id="rId124" Type="http://schemas.openxmlformats.org/officeDocument/2006/relationships/hyperlink" Target="https://www.inaturalist.org/people/ty37678" TargetMode="External"/><Relationship Id="rId125" Type="http://schemas.openxmlformats.org/officeDocument/2006/relationships/hyperlink" Target="https://creativecommons.org/licenses/by-nc/4.0/" TargetMode="External"/><Relationship Id="rId126" Type="http://schemas.openxmlformats.org/officeDocument/2006/relationships/hyperlink" Target="https://www.inaturalist.org/observations/376577144" TargetMode="External"/><Relationship Id="rId127" Type="http://schemas.openxmlformats.org/officeDocument/2006/relationships/hyperlink" Target="https://www.inaturalist.org/people/cshure" TargetMode="External"/><Relationship Id="rId128" Type="http://schemas.openxmlformats.org/officeDocument/2006/relationships/hyperlink" Target="https://creativecommons.org/licenses/by-nc/4.0/" TargetMode="External"/><Relationship Id="rId129" Type="http://schemas.openxmlformats.org/officeDocument/2006/relationships/hyperlink" Target="https://www.inaturalist.org/observations/376528185" TargetMode="External"/><Relationship Id="rId130" Type="http://schemas.openxmlformats.org/officeDocument/2006/relationships/hyperlink" Target="https://www.inaturalist.org/people/xochieta" TargetMode="External"/><Relationship Id="rId131" Type="http://schemas.openxmlformats.org/officeDocument/2006/relationships/hyperlink" Target="https://creativecommons.org/licenses/by-nc/4.0/" TargetMode="External"/><Relationship Id="rId132" Type="http://schemas.openxmlformats.org/officeDocument/2006/relationships/hyperlink" Target="https://www.inaturalist.org/observations/376504857" TargetMode="External"/><Relationship Id="rId133" Type="http://schemas.openxmlformats.org/officeDocument/2006/relationships/hyperlink" Target="https://www.inaturalist.org/people/szink00" TargetMode="External"/><Relationship Id="rId134" Type="http://schemas.openxmlformats.org/officeDocument/2006/relationships/hyperlink" Target="https://creativecommons.org/licenses/by-nc/4.0/" TargetMode="External"/><Relationship Id="rId135" Type="http://schemas.openxmlformats.org/officeDocument/2006/relationships/hyperlink" Target="https://www.inaturalist.org/observations/376502992" TargetMode="External"/><Relationship Id="rId136" Type="http://schemas.openxmlformats.org/officeDocument/2006/relationships/hyperlink" Target="https://www.inaturalist.org/people/tnriverpuma" TargetMode="External"/><Relationship Id="rId137" Type="http://schemas.openxmlformats.org/officeDocument/2006/relationships/hyperlink" Target="https://creativecommons.org/licenses/by-nc/4.0/" TargetMode="External"/><Relationship Id="rId138" Type="http://schemas.openxmlformats.org/officeDocument/2006/relationships/hyperlink" Target="https://www.inaturalist.org/observations/369519513" TargetMode="External"/><Relationship Id="rId139" Type="http://schemas.openxmlformats.org/officeDocument/2006/relationships/hyperlink" Target="https://www.inaturalist.org/people/eddy20636" TargetMode="External"/><Relationship Id="rId140" Type="http://schemas.openxmlformats.org/officeDocument/2006/relationships/hyperlink" Target="https://creativecommons.org/licenses/by-nc/4.0/" TargetMode="External"/><Relationship Id="rId141" Type="http://schemas.openxmlformats.org/officeDocument/2006/relationships/hyperlink" Target="https://www.inaturalist.org/observations/368675832" TargetMode="External"/><Relationship Id="rId142" Type="http://schemas.openxmlformats.org/officeDocument/2006/relationships/hyperlink" Target="https://www.inaturalist.org/people/eddy20636" TargetMode="External"/><Relationship Id="rId143" Type="http://schemas.openxmlformats.org/officeDocument/2006/relationships/hyperlink" Target="https://creativecommons.org/licenses/by-nc/4.0/" TargetMode="External"/><Relationship Id="rId144" Type="http://schemas.openxmlformats.org/officeDocument/2006/relationships/hyperlink" Target="https://www.inaturalist.org/observations/368675832" TargetMode="External"/><Relationship Id="rId145" Type="http://schemas.openxmlformats.org/officeDocument/2006/relationships/hyperlink" Target="https://www.inaturalist.org/people/eddy20636" TargetMode="External"/><Relationship Id="rId146" Type="http://schemas.openxmlformats.org/officeDocument/2006/relationships/hyperlink" Target="https://creativecommons.org/licenses/by-nc/4.0/" TargetMode="External"/><Relationship Id="rId147" Type="http://schemas.openxmlformats.org/officeDocument/2006/relationships/hyperlink" Target="https://www.inaturalist.org/observations/368675832" TargetMode="External"/><Relationship Id="rId148" Type="http://schemas.openxmlformats.org/officeDocument/2006/relationships/hyperlink" Target="https://www.inaturalist.org/people/tnriverpuma" TargetMode="External"/><Relationship Id="rId149" Type="http://schemas.openxmlformats.org/officeDocument/2006/relationships/hyperlink" Target="https://creativecommons.org/licenses/by-nc/4.0/" TargetMode="External"/><Relationship Id="rId150" Type="http://schemas.openxmlformats.org/officeDocument/2006/relationships/hyperlink" Target="https://www.inaturalist.org/observations/366838413" TargetMode="External"/><Relationship Id="rId151" Type="http://schemas.openxmlformats.org/officeDocument/2006/relationships/hyperlink" Target="https://www.inaturalist.org/people/brookjameus" TargetMode="External"/><Relationship Id="rId152" Type="http://schemas.openxmlformats.org/officeDocument/2006/relationships/hyperlink" Target="https://creativecommons.org/licenses/by-nc/4.0/" TargetMode="External"/><Relationship Id="rId153" Type="http://schemas.openxmlformats.org/officeDocument/2006/relationships/hyperlink" Target="https://www.inaturalist.org/observations/365252950" TargetMode="External"/><Relationship Id="rId154" Type="http://schemas.openxmlformats.org/officeDocument/2006/relationships/hyperlink" Target="https://www.inaturalist.org/people/del_nanacatl" TargetMode="External"/><Relationship Id="rId155" Type="http://schemas.openxmlformats.org/officeDocument/2006/relationships/hyperlink" Target="https://creativecommons.org/licenses/by-nc/4.0/" TargetMode="External"/><Relationship Id="rId156" Type="http://schemas.openxmlformats.org/officeDocument/2006/relationships/hyperlink" Target="https://www.inaturalist.org/observations/362215892" TargetMode="External"/><Relationship Id="rId157" Type="http://schemas.openxmlformats.org/officeDocument/2006/relationships/hyperlink" Target="https://www.inaturalist.org/people/del_nanacatl" TargetMode="External"/><Relationship Id="rId158" Type="http://schemas.openxmlformats.org/officeDocument/2006/relationships/hyperlink" Target="https://creativecommons.org/licenses/by-nc/4.0/" TargetMode="External"/><Relationship Id="rId159" Type="http://schemas.openxmlformats.org/officeDocument/2006/relationships/hyperlink" Target="https://www.inaturalist.org/observations/362215892" TargetMode="External"/><Relationship Id="rId160" Type="http://schemas.openxmlformats.org/officeDocument/2006/relationships/hyperlink" Target="https://www.inaturalist.org/people/del_nanacatl" TargetMode="External"/><Relationship Id="rId161" Type="http://schemas.openxmlformats.org/officeDocument/2006/relationships/hyperlink" Target="https://creativecommons.org/licenses/by-nc/4.0/" TargetMode="External"/><Relationship Id="rId162" Type="http://schemas.openxmlformats.org/officeDocument/2006/relationships/hyperlink" Target="https://www.inaturalist.org/observations/362215892" TargetMode="External"/><Relationship Id="rId163" Type="http://schemas.openxmlformats.org/officeDocument/2006/relationships/hyperlink" Target="https://www.inaturalist.org/people/olivia_rose5" TargetMode="External"/><Relationship Id="rId164" Type="http://schemas.openxmlformats.org/officeDocument/2006/relationships/hyperlink" Target="https://creativecommons.org/licenses/by-nc/4.0/" TargetMode="External"/><Relationship Id="rId165" Type="http://schemas.openxmlformats.org/officeDocument/2006/relationships/hyperlink" Target="https://www.inaturalist.org/observations/361348462" TargetMode="External"/><Relationship Id="rId166" Type="http://schemas.openxmlformats.org/officeDocument/2006/relationships/hyperlink" Target="https://www.inaturalist.org/people/dani_drn_a" TargetMode="External"/><Relationship Id="rId167" Type="http://schemas.openxmlformats.org/officeDocument/2006/relationships/hyperlink" Target="https://creativecommons.org/licenses/by-nc/4.0/" TargetMode="External"/><Relationship Id="rId168" Type="http://schemas.openxmlformats.org/officeDocument/2006/relationships/hyperlink" Target="https://www.inaturalist.org/observations/361342904" TargetMode="External"/><Relationship Id="rId169" Type="http://schemas.openxmlformats.org/officeDocument/2006/relationships/hyperlink" Target="https://www.inaturalist.org/people/dani_drn_a" TargetMode="External"/><Relationship Id="rId170" Type="http://schemas.openxmlformats.org/officeDocument/2006/relationships/hyperlink" Target="https://creativecommons.org/licenses/by-nc/4.0/" TargetMode="External"/><Relationship Id="rId171" Type="http://schemas.openxmlformats.org/officeDocument/2006/relationships/hyperlink" Target="https://www.inaturalist.org/observations/361342904" TargetMode="External"/><Relationship Id="rId172" Type="http://schemas.openxmlformats.org/officeDocument/2006/relationships/hyperlink" Target="https://www.inaturalist.org/people/chaacreekbze" TargetMode="External"/><Relationship Id="rId173" Type="http://schemas.openxmlformats.org/officeDocument/2006/relationships/hyperlink" Target="https://creativecommons.org/licenses/by-nc/4.0/" TargetMode="External"/><Relationship Id="rId174" Type="http://schemas.openxmlformats.org/officeDocument/2006/relationships/hyperlink" Target="https://www.inaturalist.org/observations/361318211" TargetMode="External"/><Relationship Id="rId175" Type="http://schemas.openxmlformats.org/officeDocument/2006/relationships/hyperlink" Target="https://www.inaturalist.org/people/kascopic" TargetMode="External"/><Relationship Id="rId176" Type="http://schemas.openxmlformats.org/officeDocument/2006/relationships/hyperlink" Target="https://creativecommons.org/licenses/by-nc/4.0/" TargetMode="External"/><Relationship Id="rId177" Type="http://schemas.openxmlformats.org/officeDocument/2006/relationships/hyperlink" Target="https://www.inaturalist.org/observations/360588784" TargetMode="External"/><Relationship Id="rId178" Type="http://schemas.openxmlformats.org/officeDocument/2006/relationships/hyperlink" Target="https://www.inaturalist.org/people/alexis_lora" TargetMode="External"/><Relationship Id="rId179" Type="http://schemas.openxmlformats.org/officeDocument/2006/relationships/hyperlink" Target="https://creativecommons.org/licenses/by-nc/4.0/" TargetMode="External"/><Relationship Id="rId180" Type="http://schemas.openxmlformats.org/officeDocument/2006/relationships/hyperlink" Target="https://www.inaturalist.org/observations/359066182" TargetMode="External"/><Relationship Id="rId181" Type="http://schemas.openxmlformats.org/officeDocument/2006/relationships/hyperlink" Target="https://www.inaturalist.org/people/luis_mendez05" TargetMode="External"/><Relationship Id="rId182" Type="http://schemas.openxmlformats.org/officeDocument/2006/relationships/hyperlink" Target="https://creativecommons.org/licenses/by-nc/4.0/" TargetMode="External"/><Relationship Id="rId183" Type="http://schemas.openxmlformats.org/officeDocument/2006/relationships/hyperlink" Target="https://www.inaturalist.org/observations/357272595" TargetMode="External"/><Relationship Id="rId184" Type="http://schemas.openxmlformats.org/officeDocument/2006/relationships/hyperlink" Target="https://www.inaturalist.org/people/victoriacontreras_25" TargetMode="External"/><Relationship Id="rId185" Type="http://schemas.openxmlformats.org/officeDocument/2006/relationships/hyperlink" Target="https://creativecommons.org/licenses/by-nc/4.0/" TargetMode="External"/><Relationship Id="rId186" Type="http://schemas.openxmlformats.org/officeDocument/2006/relationships/hyperlink" Target="https://www.inaturalist.org/observations/356771211" TargetMode="External"/><Relationship Id="rId187" Type="http://schemas.openxmlformats.org/officeDocument/2006/relationships/hyperlink" Target="https://www.inaturalist.org/people/sandradzul" TargetMode="External"/><Relationship Id="rId188" Type="http://schemas.openxmlformats.org/officeDocument/2006/relationships/hyperlink" Target="https://creativecommons.org/licenses/by-nc/4.0/" TargetMode="External"/><Relationship Id="rId189" Type="http://schemas.openxmlformats.org/officeDocument/2006/relationships/hyperlink" Target="https://www.inaturalist.org/observations/356701906" TargetMode="External"/><Relationship Id="rId190" Type="http://schemas.openxmlformats.org/officeDocument/2006/relationships/hyperlink" Target="https://www.inaturalist.org/people/milohongo76" TargetMode="External"/><Relationship Id="rId191" Type="http://schemas.openxmlformats.org/officeDocument/2006/relationships/hyperlink" Target="https://creativecommons.org/licenses/by-nc/4.0/" TargetMode="External"/><Relationship Id="rId192" Type="http://schemas.openxmlformats.org/officeDocument/2006/relationships/hyperlink" Target="https://www.inaturalist.org/observations/356634498" TargetMode="External"/><Relationship Id="rId193" Type="http://schemas.openxmlformats.org/officeDocument/2006/relationships/hyperlink" Target="https://www.inaturalist.org/people/cesarkauil" TargetMode="External"/><Relationship Id="rId194" Type="http://schemas.openxmlformats.org/officeDocument/2006/relationships/hyperlink" Target="https://creativecommons.org/licenses/by-nc/4.0/" TargetMode="External"/><Relationship Id="rId195" Type="http://schemas.openxmlformats.org/officeDocument/2006/relationships/hyperlink" Target="https://www.inaturalist.org/observations/356319207" TargetMode="External"/><Relationship Id="rId196" Type="http://schemas.openxmlformats.org/officeDocument/2006/relationships/hyperlink" Target="https://www.inaturalist.org/people/angelio29" TargetMode="External"/><Relationship Id="rId197" Type="http://schemas.openxmlformats.org/officeDocument/2006/relationships/hyperlink" Target="https://creativecommons.org/licenses/by-nc/4.0/" TargetMode="External"/><Relationship Id="rId198" Type="http://schemas.openxmlformats.org/officeDocument/2006/relationships/hyperlink" Target="https://www.inaturalist.org/observations/356316582" TargetMode="External"/><Relationship Id="rId199" Type="http://schemas.openxmlformats.org/officeDocument/2006/relationships/hyperlink" Target="https://www.inaturalist.org/people/carlanoh" TargetMode="External"/><Relationship Id="rId200" Type="http://schemas.openxmlformats.org/officeDocument/2006/relationships/hyperlink" Target="https://creativecommons.org/licenses/by-nc/4.0/" TargetMode="External"/><Relationship Id="rId201" Type="http://schemas.openxmlformats.org/officeDocument/2006/relationships/hyperlink" Target="https://www.inaturalist.org/observations/356280679" TargetMode="External"/><Relationship Id="rId202" Type="http://schemas.openxmlformats.org/officeDocument/2006/relationships/hyperlink" Target="https://www.inaturalist.org/people/kevin_morales_mclernon" TargetMode="External"/><Relationship Id="rId203" Type="http://schemas.openxmlformats.org/officeDocument/2006/relationships/hyperlink" Target="https://creativecommons.org/licenses/by-nc/4.0/" TargetMode="External"/><Relationship Id="rId204" Type="http://schemas.openxmlformats.org/officeDocument/2006/relationships/hyperlink" Target="https://www.inaturalist.org/observations/356223919" TargetMode="External"/><Relationship Id="rId205" Type="http://schemas.openxmlformats.org/officeDocument/2006/relationships/hyperlink" Target="https://www.inaturalist.org/people/angel_ac" TargetMode="External"/><Relationship Id="rId206" Type="http://schemas.openxmlformats.org/officeDocument/2006/relationships/hyperlink" Target="https://creativecommons.org/licenses/by-nc/4.0/" TargetMode="External"/><Relationship Id="rId207" Type="http://schemas.openxmlformats.org/officeDocument/2006/relationships/hyperlink" Target="https://www.inaturalist.org/observations/356132377" TargetMode="External"/><Relationship Id="rId208" Type="http://schemas.openxmlformats.org/officeDocument/2006/relationships/hyperlink" Target="https://www.inaturalist.org/people/angel_ac" TargetMode="External"/><Relationship Id="rId209" Type="http://schemas.openxmlformats.org/officeDocument/2006/relationships/hyperlink" Target="https://creativecommons.org/licenses/by-nc/4.0/" TargetMode="External"/><Relationship Id="rId210" Type="http://schemas.openxmlformats.org/officeDocument/2006/relationships/hyperlink" Target="https://www.inaturalist.org/observations/356132377" TargetMode="External"/><Relationship Id="rId211" Type="http://schemas.openxmlformats.org/officeDocument/2006/relationships/hyperlink" Target="https://www.inaturalist.org/people/nebraska_fish" TargetMode="External"/><Relationship Id="rId212" Type="http://schemas.openxmlformats.org/officeDocument/2006/relationships/hyperlink" Target="https://creativecommons.org/licenses/by-nc/4.0/" TargetMode="External"/><Relationship Id="rId213" Type="http://schemas.openxmlformats.org/officeDocument/2006/relationships/hyperlink" Target="https://www.inaturalist.org/observations/377341039" TargetMode="External"/><Relationship Id="rId214" Type="http://schemas.openxmlformats.org/officeDocument/2006/relationships/hyperlink" Target="https://www.inaturalist.org/people/ismael_carreon" TargetMode="External"/><Relationship Id="rId215" Type="http://schemas.openxmlformats.org/officeDocument/2006/relationships/hyperlink" Target="https://creativecommons.org/licenses/by-nc/4.0/" TargetMode="External"/><Relationship Id="rId216" Type="http://schemas.openxmlformats.org/officeDocument/2006/relationships/hyperlink" Target="https://www.inaturalist.org/observations/374839439" TargetMode="External"/><Relationship Id="rId217" Type="http://schemas.openxmlformats.org/officeDocument/2006/relationships/hyperlink" Target="https://www.inaturalist.org/people/jasonguozichen" TargetMode="External"/><Relationship Id="rId218" Type="http://schemas.openxmlformats.org/officeDocument/2006/relationships/hyperlink" Target="https://creativecommons.org/licenses/by-nc/4.0/" TargetMode="External"/><Relationship Id="rId219" Type="http://schemas.openxmlformats.org/officeDocument/2006/relationships/hyperlink" Target="https://www.inaturalist.org/observations/374363437" TargetMode="External"/><Relationship Id="rId220" Type="http://schemas.openxmlformats.org/officeDocument/2006/relationships/hyperlink" Target="https://www.inaturalist.org/people/hammondhou" TargetMode="External"/><Relationship Id="rId221" Type="http://schemas.openxmlformats.org/officeDocument/2006/relationships/hyperlink" Target="https://creativecommons.org/licenses/by-nc/4.0/" TargetMode="External"/><Relationship Id="rId222" Type="http://schemas.openxmlformats.org/officeDocument/2006/relationships/hyperlink" Target="https://www.inaturalist.org/observations/374189787" TargetMode="External"/><Relationship Id="rId223" Type="http://schemas.openxmlformats.org/officeDocument/2006/relationships/hyperlink" Target="https://www.inaturalist.org/people/nickie1212" TargetMode="External"/><Relationship Id="rId224" Type="http://schemas.openxmlformats.org/officeDocument/2006/relationships/hyperlink" Target="https://creativecommons.org/licenses/by-nc/4.0/" TargetMode="External"/><Relationship Id="rId225" Type="http://schemas.openxmlformats.org/officeDocument/2006/relationships/hyperlink" Target="https://www.inaturalist.org/observations/374055567" TargetMode="External"/><Relationship Id="rId226" Type="http://schemas.openxmlformats.org/officeDocument/2006/relationships/hyperlink" Target="https://www.inaturalist.org/people/diomedea_exulans_li" TargetMode="External"/><Relationship Id="rId227" Type="http://schemas.openxmlformats.org/officeDocument/2006/relationships/hyperlink" Target="https://creativecommons.org/licenses/by-nc/4.0/" TargetMode="External"/><Relationship Id="rId228" Type="http://schemas.openxmlformats.org/officeDocument/2006/relationships/hyperlink" Target="https://www.inaturalist.org/observations/374048415" TargetMode="External"/><Relationship Id="rId229" Type="http://schemas.openxmlformats.org/officeDocument/2006/relationships/hyperlink" Target="https://www.inaturalist.org/people/diomedea_exulans_li" TargetMode="External"/><Relationship Id="rId230" Type="http://schemas.openxmlformats.org/officeDocument/2006/relationships/hyperlink" Target="https://creativecommons.org/licenses/by-nc/4.0/" TargetMode="External"/><Relationship Id="rId231" Type="http://schemas.openxmlformats.org/officeDocument/2006/relationships/hyperlink" Target="https://www.inaturalist.org/observations/374048415" TargetMode="External"/><Relationship Id="rId232" Type="http://schemas.openxmlformats.org/officeDocument/2006/relationships/hyperlink" Target="https://www.inaturalist.org/people/diomedea_exulans_li" TargetMode="External"/><Relationship Id="rId233" Type="http://schemas.openxmlformats.org/officeDocument/2006/relationships/hyperlink" Target="https://creativecommons.org/licenses/by-nc/4.0/" TargetMode="External"/><Relationship Id="rId234" Type="http://schemas.openxmlformats.org/officeDocument/2006/relationships/hyperlink" Target="https://www.inaturalist.org/observations/374048415" TargetMode="External"/><Relationship Id="rId235" Type="http://schemas.openxmlformats.org/officeDocument/2006/relationships/hyperlink" Target="https://www.inaturalist.org/people/mako252" TargetMode="External"/><Relationship Id="rId236" Type="http://schemas.openxmlformats.org/officeDocument/2006/relationships/hyperlink" Target="https://creativecommons.org/licenses/by-nc/4.0/" TargetMode="External"/><Relationship Id="rId237" Type="http://schemas.openxmlformats.org/officeDocument/2006/relationships/hyperlink" Target="https://www.inaturalist.org/observations/371592600" TargetMode="External"/><Relationship Id="rId238" Type="http://schemas.openxmlformats.org/officeDocument/2006/relationships/hyperlink" Target="https://www.inaturalist.org/people/dmiller423" TargetMode="External"/><Relationship Id="rId239" Type="http://schemas.openxmlformats.org/officeDocument/2006/relationships/hyperlink" Target="https://creativecommons.org/licenses/by-nc/4.0/" TargetMode="External"/><Relationship Id="rId240" Type="http://schemas.openxmlformats.org/officeDocument/2006/relationships/hyperlink" Target="https://www.inaturalist.org/observations/371325188" TargetMode="External"/><Relationship Id="rId241" Type="http://schemas.openxmlformats.org/officeDocument/2006/relationships/hyperlink" Target="https://www.inaturalist.org/people/bjdw03" TargetMode="External"/><Relationship Id="rId242" Type="http://schemas.openxmlformats.org/officeDocument/2006/relationships/hyperlink" Target="https://creativecommons.org/licenses/by-nc/4.0/" TargetMode="External"/><Relationship Id="rId243" Type="http://schemas.openxmlformats.org/officeDocument/2006/relationships/hyperlink" Target="https://www.inaturalist.org/observations/370504851" TargetMode="External"/><Relationship Id="rId244" Type="http://schemas.openxmlformats.org/officeDocument/2006/relationships/hyperlink" Target="https://www.inaturalist.org/people/jvzel" TargetMode="External"/><Relationship Id="rId245" Type="http://schemas.openxmlformats.org/officeDocument/2006/relationships/hyperlink" Target="https://creativecommons.org/licenses/by-nc/4.0/" TargetMode="External"/><Relationship Id="rId246" Type="http://schemas.openxmlformats.org/officeDocument/2006/relationships/hyperlink" Target="https://www.inaturalist.org/observations/370087127" TargetMode="External"/><Relationship Id="rId247" Type="http://schemas.openxmlformats.org/officeDocument/2006/relationships/hyperlink" Target="https://www.inaturalist.org/people/jorden_perrett" TargetMode="External"/><Relationship Id="rId248" Type="http://schemas.openxmlformats.org/officeDocument/2006/relationships/hyperlink" Target="https://creativecommons.org/licenses/by-nc/4.0/" TargetMode="External"/><Relationship Id="rId249" Type="http://schemas.openxmlformats.org/officeDocument/2006/relationships/hyperlink" Target="https://www.inaturalist.org/observations/367942679" TargetMode="External"/><Relationship Id="rId250" Type="http://schemas.openxmlformats.org/officeDocument/2006/relationships/hyperlink" Target="https://www.inaturalist.org/people/mothington" TargetMode="External"/><Relationship Id="rId251" Type="http://schemas.openxmlformats.org/officeDocument/2006/relationships/hyperlink" Target="https://creativecommons.org/licenses/by-nc/4.0/" TargetMode="External"/><Relationship Id="rId252" Type="http://schemas.openxmlformats.org/officeDocument/2006/relationships/hyperlink" Target="https://www.inaturalist.org/observations/367320503" TargetMode="External"/><Relationship Id="rId253" Type="http://schemas.openxmlformats.org/officeDocument/2006/relationships/hyperlink" Target="https://www.inaturalist.org/people/ulyssesboulton" TargetMode="External"/><Relationship Id="rId254" Type="http://schemas.openxmlformats.org/officeDocument/2006/relationships/hyperlink" Target="https://creativecommons.org/licenses/by-nc/4.0/" TargetMode="External"/><Relationship Id="rId255" Type="http://schemas.openxmlformats.org/officeDocument/2006/relationships/hyperlink" Target="https://www.inaturalist.org/observations/366399238" TargetMode="External"/><Relationship Id="rId256" Type="http://schemas.openxmlformats.org/officeDocument/2006/relationships/hyperlink" Target="https://www.inaturalist.org/people/ulyssesboulton" TargetMode="External"/><Relationship Id="rId257" Type="http://schemas.openxmlformats.org/officeDocument/2006/relationships/hyperlink" Target="https://creativecommons.org/licenses/by-nc/4.0/" TargetMode="External"/><Relationship Id="rId258" Type="http://schemas.openxmlformats.org/officeDocument/2006/relationships/hyperlink" Target="https://www.inaturalist.org/observations/366397434" TargetMode="External"/><Relationship Id="rId259" Type="http://schemas.openxmlformats.org/officeDocument/2006/relationships/hyperlink" Target="https://www.inaturalist.org/people/pecosvalleydiamond" TargetMode="External"/><Relationship Id="rId260" Type="http://schemas.openxmlformats.org/officeDocument/2006/relationships/hyperlink" Target="https://creativecommons.org/licenses/by-nc/4.0/" TargetMode="External"/><Relationship Id="rId261" Type="http://schemas.openxmlformats.org/officeDocument/2006/relationships/hyperlink" Target="https://www.inaturalist.org/observations/364757369" TargetMode="External"/><Relationship Id="rId262" Type="http://schemas.openxmlformats.org/officeDocument/2006/relationships/hyperlink" Target="https://www.inaturalist.org/people/pecosvalleydiamond" TargetMode="External"/><Relationship Id="rId263" Type="http://schemas.openxmlformats.org/officeDocument/2006/relationships/hyperlink" Target="https://creativecommons.org/licenses/by-nc/4.0/" TargetMode="External"/><Relationship Id="rId264" Type="http://schemas.openxmlformats.org/officeDocument/2006/relationships/hyperlink" Target="https://www.inaturalist.org/observations/364757369" TargetMode="External"/><Relationship Id="rId265" Type="http://schemas.openxmlformats.org/officeDocument/2006/relationships/hyperlink" Target="https://www.inaturalist.org/people/crotrox" TargetMode="External"/><Relationship Id="rId266" Type="http://schemas.openxmlformats.org/officeDocument/2006/relationships/hyperlink" Target="https://creativecommons.org/licenses/by-nc/4.0/" TargetMode="External"/><Relationship Id="rId267" Type="http://schemas.openxmlformats.org/officeDocument/2006/relationships/hyperlink" Target="https://www.inaturalist.org/observations/364748528" TargetMode="External"/><Relationship Id="rId268" Type="http://schemas.openxmlformats.org/officeDocument/2006/relationships/hyperlink" Target="https://www.inaturalist.org/people/katherine_lentz" TargetMode="External"/><Relationship Id="rId269" Type="http://schemas.openxmlformats.org/officeDocument/2006/relationships/hyperlink" Target="https://creativecommons.org/licenses/by-nc/4.0/" TargetMode="External"/><Relationship Id="rId270" Type="http://schemas.openxmlformats.org/officeDocument/2006/relationships/hyperlink" Target="https://www.inaturalist.org/observations/363558639" TargetMode="External"/><Relationship Id="rId271" Type="http://schemas.openxmlformats.org/officeDocument/2006/relationships/hyperlink" Target="https://www.inaturalist.org/people/jugbayjs" TargetMode="External"/><Relationship Id="rId272" Type="http://schemas.openxmlformats.org/officeDocument/2006/relationships/hyperlink" Target="https://creativecommons.org/licenses/by-nc/4.0/" TargetMode="External"/><Relationship Id="rId273" Type="http://schemas.openxmlformats.org/officeDocument/2006/relationships/hyperlink" Target="https://www.inaturalist.org/observations/362344791" TargetMode="External"/><Relationship Id="rId274" Type="http://schemas.openxmlformats.org/officeDocument/2006/relationships/hyperlink" Target="https://www.inaturalist.org/people/doofnschmutz" TargetMode="External"/><Relationship Id="rId275" Type="http://schemas.openxmlformats.org/officeDocument/2006/relationships/hyperlink" Target="https://creativecommons.org/licenses/by-nc/4.0/" TargetMode="External"/><Relationship Id="rId276" Type="http://schemas.openxmlformats.org/officeDocument/2006/relationships/hyperlink" Target="https://www.inaturalist.org/observations/361354968" TargetMode="External"/><Relationship Id="rId277" Type="http://schemas.openxmlformats.org/officeDocument/2006/relationships/hyperlink" Target="https://www.inaturalist.org/people/doofnschmutz" TargetMode="External"/><Relationship Id="rId278" Type="http://schemas.openxmlformats.org/officeDocument/2006/relationships/hyperlink" Target="https://creativecommons.org/licenses/by-nc/4.0/" TargetMode="External"/><Relationship Id="rId279" Type="http://schemas.openxmlformats.org/officeDocument/2006/relationships/hyperlink" Target="https://www.inaturalist.org/observations/361354968" TargetMode="External"/><Relationship Id="rId280" Type="http://schemas.openxmlformats.org/officeDocument/2006/relationships/hyperlink" Target="https://www.inaturalist.org/people/claudiamuc" TargetMode="External"/><Relationship Id="rId281" Type="http://schemas.openxmlformats.org/officeDocument/2006/relationships/hyperlink" Target="https://creativecommons.org/licenses/by-nc/4.0/" TargetMode="External"/><Relationship Id="rId282" Type="http://schemas.openxmlformats.org/officeDocument/2006/relationships/hyperlink" Target="https://www.inaturalist.org/observations/331350963" TargetMode="External"/><Relationship Id="rId283" Type="http://schemas.openxmlformats.org/officeDocument/2006/relationships/hyperlink" Target="https://www.inaturalist.org/people/mako252" TargetMode="External"/><Relationship Id="rId284" Type="http://schemas.openxmlformats.org/officeDocument/2006/relationships/hyperlink" Target="https://creativecommons.org/licenses/by-nc/4.0/" TargetMode="External"/><Relationship Id="rId285" Type="http://schemas.openxmlformats.org/officeDocument/2006/relationships/hyperlink" Target="https://www.inaturalist.org/observations/359064173" TargetMode="External"/><Relationship Id="rId286" Type="http://schemas.openxmlformats.org/officeDocument/2006/relationships/hyperlink" Target="https://www.inaturalist.org/people/mooniemagnum" TargetMode="External"/><Relationship Id="rId287" Type="http://schemas.openxmlformats.org/officeDocument/2006/relationships/hyperlink" Target="https://creativecommons.org/licenses/by-nc/4.0/" TargetMode="External"/><Relationship Id="rId288" Type="http://schemas.openxmlformats.org/officeDocument/2006/relationships/hyperlink" Target="https://www.inaturalist.org/observations/358660505" TargetMode="External"/><Relationship Id="rId289" Type="http://schemas.openxmlformats.org/officeDocument/2006/relationships/hyperlink" Target="https://www.inaturalist.org/people/agzzc" TargetMode="External"/><Relationship Id="rId290" Type="http://schemas.openxmlformats.org/officeDocument/2006/relationships/hyperlink" Target="https://creativecommons.org/licenses/by-nc/4.0/" TargetMode="External"/><Relationship Id="rId291" Type="http://schemas.openxmlformats.org/officeDocument/2006/relationships/hyperlink" Target="https://www.inaturalist.org/observations/357409939" TargetMode="External"/><Relationship Id="rId292" Type="http://schemas.openxmlformats.org/officeDocument/2006/relationships/hyperlink" Target="https://www.inaturalist.org/people/dey_29dio" TargetMode="External"/><Relationship Id="rId293" Type="http://schemas.openxmlformats.org/officeDocument/2006/relationships/hyperlink" Target="https://creativecommons.org/licenses/by-nc/4.0/" TargetMode="External"/><Relationship Id="rId294" Type="http://schemas.openxmlformats.org/officeDocument/2006/relationships/hyperlink" Target="https://www.inaturalist.org/observations/357364616" TargetMode="External"/><Relationship Id="rId295" Type="http://schemas.openxmlformats.org/officeDocument/2006/relationships/hyperlink" Target="https://www.inaturalist.org/people/eldoradospencer" TargetMode="External"/><Relationship Id="rId296" Type="http://schemas.openxmlformats.org/officeDocument/2006/relationships/hyperlink" Target="https://creativecommons.org/licenses/by-nc/4.0/" TargetMode="External"/><Relationship Id="rId297" Type="http://schemas.openxmlformats.org/officeDocument/2006/relationships/hyperlink" Target="https://www.inaturalist.org/observations/352609417" TargetMode="External"/><Relationship Id="rId298" Type="http://schemas.openxmlformats.org/officeDocument/2006/relationships/hyperlink" Target="https://www.inaturalist.org/people/jacksonb03" TargetMode="External"/><Relationship Id="rId299" Type="http://schemas.openxmlformats.org/officeDocument/2006/relationships/hyperlink" Target="https://creativecommons.org/licenses/by-nc/4.0/" TargetMode="External"/><Relationship Id="rId300" Type="http://schemas.openxmlformats.org/officeDocument/2006/relationships/hyperlink" Target="https://www.inaturalist.org/observations/350903356" TargetMode="External"/><Relationship Id="rId301" Type="http://schemas.openxmlformats.org/officeDocument/2006/relationships/hyperlink" Target="https://www.inaturalist.org/people/hillisdm" TargetMode="External"/><Relationship Id="rId302" Type="http://schemas.openxmlformats.org/officeDocument/2006/relationships/hyperlink" Target="https://creativecommons.org/licenses/by-nc/4.0/" TargetMode="External"/><Relationship Id="rId303" Type="http://schemas.openxmlformats.org/officeDocument/2006/relationships/hyperlink" Target="https://www.inaturalist.org/observations/350702720" TargetMode="External"/><Relationship Id="rId304" Type="http://schemas.openxmlformats.org/officeDocument/2006/relationships/hyperlink" Target="https://www.inaturalist.org/people/hillisdm" TargetMode="External"/><Relationship Id="rId305" Type="http://schemas.openxmlformats.org/officeDocument/2006/relationships/hyperlink" Target="https://creativecommons.org/licenses/by-nc/4.0/" TargetMode="External"/><Relationship Id="rId306" Type="http://schemas.openxmlformats.org/officeDocument/2006/relationships/hyperlink" Target="https://www.inaturalist.org/observations/350702720" TargetMode="External"/><Relationship Id="rId307" Type="http://schemas.openxmlformats.org/officeDocument/2006/relationships/hyperlink" Target="https://www.inaturalist.org/people/dbh" TargetMode="External"/><Relationship Id="rId308" Type="http://schemas.openxmlformats.org/officeDocument/2006/relationships/hyperlink" Target="https://creativecommons.org/licenses/by-nc/4.0/" TargetMode="External"/><Relationship Id="rId309" Type="http://schemas.openxmlformats.org/officeDocument/2006/relationships/hyperlink" Target="https://www.inaturalist.org/observations/348368877" TargetMode="External"/><Relationship Id="rId310" Type="http://schemas.openxmlformats.org/officeDocument/2006/relationships/hyperlink" Target="https://www.inaturalist.org/people/jonwebb2" TargetMode="External"/><Relationship Id="rId311" Type="http://schemas.openxmlformats.org/officeDocument/2006/relationships/hyperlink" Target="https://creativecommons.org/licenses/by-nc/4.0/" TargetMode="External"/><Relationship Id="rId312" Type="http://schemas.openxmlformats.org/officeDocument/2006/relationships/hyperlink" Target="https://www.inaturalist.org/observations/345965985" TargetMode="External"/><Relationship Id="rId313" Type="http://schemas.openxmlformats.org/officeDocument/2006/relationships/hyperlink" Target="https://www.inaturalist.org/people/jonwebb2" TargetMode="External"/><Relationship Id="rId314" Type="http://schemas.openxmlformats.org/officeDocument/2006/relationships/hyperlink" Target="https://creativecommons.org/licenses/by-nc/4.0/" TargetMode="External"/><Relationship Id="rId315" Type="http://schemas.openxmlformats.org/officeDocument/2006/relationships/hyperlink" Target="https://www.inaturalist.org/observations/345965985" TargetMode="External"/><Relationship Id="rId316" Type="http://schemas.openxmlformats.org/officeDocument/2006/relationships/hyperlink" Target="https://www.inaturalist.org/people/siddhanta23" TargetMode="External"/><Relationship Id="rId317" Type="http://schemas.openxmlformats.org/officeDocument/2006/relationships/hyperlink" Target="https://creativecommons.org/licenses/by-nc/4.0/" TargetMode="External"/><Relationship Id="rId318" Type="http://schemas.openxmlformats.org/officeDocument/2006/relationships/hyperlink" Target="https://www.inaturalist.org/observations/363055925" TargetMode="External"/><Relationship Id="rId319" Type="http://schemas.openxmlformats.org/officeDocument/2006/relationships/hyperlink" Target="https://www.inaturalist.org/people/rakeshkumarmohalik" TargetMode="External"/><Relationship Id="rId320" Type="http://schemas.openxmlformats.org/officeDocument/2006/relationships/hyperlink" Target="https://creativecommons.org/licenses/by-nc/4.0/" TargetMode="External"/><Relationship Id="rId321" Type="http://schemas.openxmlformats.org/officeDocument/2006/relationships/hyperlink" Target="https://www.inaturalist.org/observations/314069485" TargetMode="External"/><Relationship Id="rId322" Type="http://schemas.openxmlformats.org/officeDocument/2006/relationships/hyperlink" Target="https://www.inaturalist.org/people/biswajit_1995" TargetMode="External"/><Relationship Id="rId323" Type="http://schemas.openxmlformats.org/officeDocument/2006/relationships/hyperlink" Target="https://creativecommons.org/licenses/by-nc/4.0/" TargetMode="External"/><Relationship Id="rId324" Type="http://schemas.openxmlformats.org/officeDocument/2006/relationships/hyperlink" Target="https://www.inaturalist.org/observations/311624616" TargetMode="External"/><Relationship Id="rId325" Type="http://schemas.openxmlformats.org/officeDocument/2006/relationships/hyperlink" Target="https://www.inaturalist.org/people/biswajit_1995" TargetMode="External"/><Relationship Id="rId326" Type="http://schemas.openxmlformats.org/officeDocument/2006/relationships/hyperlink" Target="https://creativecommons.org/licenses/by-nc/4.0/" TargetMode="External"/><Relationship Id="rId327" Type="http://schemas.openxmlformats.org/officeDocument/2006/relationships/hyperlink" Target="https://www.inaturalist.org/observations/311624616" TargetMode="External"/><Relationship Id="rId328" Type="http://schemas.openxmlformats.org/officeDocument/2006/relationships/hyperlink" Target="https://www.inaturalist.org/people/biswajit_1995" TargetMode="External"/><Relationship Id="rId329" Type="http://schemas.openxmlformats.org/officeDocument/2006/relationships/hyperlink" Target="https://creativecommons.org/licenses/by-nc/4.0/" TargetMode="External"/><Relationship Id="rId330" Type="http://schemas.openxmlformats.org/officeDocument/2006/relationships/hyperlink" Target="https://www.inaturalist.org/observations/311624050" TargetMode="External"/><Relationship Id="rId331" Type="http://schemas.openxmlformats.org/officeDocument/2006/relationships/hyperlink" Target="https://www.inaturalist.org/people/biswajit_1995" TargetMode="External"/><Relationship Id="rId332" Type="http://schemas.openxmlformats.org/officeDocument/2006/relationships/hyperlink" Target="https://creativecommons.org/licenses/by-nc/4.0/" TargetMode="External"/><Relationship Id="rId333" Type="http://schemas.openxmlformats.org/officeDocument/2006/relationships/hyperlink" Target="https://www.inaturalist.org/observations/311624050" TargetMode="External"/><Relationship Id="rId334" Type="http://schemas.openxmlformats.org/officeDocument/2006/relationships/hyperlink" Target="https://www.inaturalist.org/people/biswajit_1995" TargetMode="External"/><Relationship Id="rId335" Type="http://schemas.openxmlformats.org/officeDocument/2006/relationships/hyperlink" Target="https://creativecommons.org/licenses/by-nc/4.0/" TargetMode="External"/><Relationship Id="rId336" Type="http://schemas.openxmlformats.org/officeDocument/2006/relationships/hyperlink" Target="https://www.inaturalist.org/observations/311624050" TargetMode="External"/><Relationship Id="rId337" Type="http://schemas.openxmlformats.org/officeDocument/2006/relationships/hyperlink" Target="https://www.inaturalist.org/people/thamizh" TargetMode="External"/><Relationship Id="rId338" Type="http://schemas.openxmlformats.org/officeDocument/2006/relationships/hyperlink" Target="https://creativecommons.org/licenses/by-nc/4.0/" TargetMode="External"/><Relationship Id="rId339" Type="http://schemas.openxmlformats.org/officeDocument/2006/relationships/hyperlink" Target="https://www.inaturalist.org/observations/305729195" TargetMode="External"/><Relationship Id="rId340" Type="http://schemas.openxmlformats.org/officeDocument/2006/relationships/hyperlink" Target="https://www.inaturalist.org/people/biswajit_1995" TargetMode="External"/><Relationship Id="rId341" Type="http://schemas.openxmlformats.org/officeDocument/2006/relationships/hyperlink" Target="https://creativecommons.org/licenses/by-nc/4.0/" TargetMode="External"/><Relationship Id="rId342" Type="http://schemas.openxmlformats.org/officeDocument/2006/relationships/hyperlink" Target="https://www.inaturalist.org/observations/303338257" TargetMode="External"/><Relationship Id="rId343" Type="http://schemas.openxmlformats.org/officeDocument/2006/relationships/hyperlink" Target="https://www.inaturalist.org/people/biswajit_1995" TargetMode="External"/><Relationship Id="rId344" Type="http://schemas.openxmlformats.org/officeDocument/2006/relationships/hyperlink" Target="https://creativecommons.org/licenses/by-nc/4.0/" TargetMode="External"/><Relationship Id="rId345" Type="http://schemas.openxmlformats.org/officeDocument/2006/relationships/hyperlink" Target="https://www.inaturalist.org/observations/300733898" TargetMode="External"/><Relationship Id="rId346" Type="http://schemas.openxmlformats.org/officeDocument/2006/relationships/hyperlink" Target="https://www.inaturalist.org/people/biswajit_1995" TargetMode="External"/><Relationship Id="rId347" Type="http://schemas.openxmlformats.org/officeDocument/2006/relationships/hyperlink" Target="https://creativecommons.org/licenses/by-nc/4.0/" TargetMode="External"/><Relationship Id="rId348" Type="http://schemas.openxmlformats.org/officeDocument/2006/relationships/hyperlink" Target="https://www.inaturalist.org/observations/300733898" TargetMode="External"/><Relationship Id="rId349" Type="http://schemas.openxmlformats.org/officeDocument/2006/relationships/hyperlink" Target="https://www.inaturalist.org/people/biswajit_1995" TargetMode="External"/><Relationship Id="rId350" Type="http://schemas.openxmlformats.org/officeDocument/2006/relationships/hyperlink" Target="https://creativecommons.org/licenses/by-nc/4.0/" TargetMode="External"/><Relationship Id="rId351" Type="http://schemas.openxmlformats.org/officeDocument/2006/relationships/hyperlink" Target="https://www.inaturalist.org/observations/300733898" TargetMode="External"/><Relationship Id="rId352" Type="http://schemas.openxmlformats.org/officeDocument/2006/relationships/hyperlink" Target="https://www.inaturalist.org/people/siddhanta23" TargetMode="External"/><Relationship Id="rId353" Type="http://schemas.openxmlformats.org/officeDocument/2006/relationships/hyperlink" Target="https://creativecommons.org/licenses/by-nc/4.0/" TargetMode="External"/><Relationship Id="rId354" Type="http://schemas.openxmlformats.org/officeDocument/2006/relationships/hyperlink" Target="https://www.inaturalist.org/observations/300731785" TargetMode="External"/><Relationship Id="rId355" Type="http://schemas.openxmlformats.org/officeDocument/2006/relationships/hyperlink" Target="https://www.inaturalist.org/people/chandra_sekhar_" TargetMode="External"/><Relationship Id="rId356" Type="http://schemas.openxmlformats.org/officeDocument/2006/relationships/hyperlink" Target="https://creativecommons.org/licenses/by-nc/4.0/" TargetMode="External"/><Relationship Id="rId357" Type="http://schemas.openxmlformats.org/officeDocument/2006/relationships/hyperlink" Target="https://www.inaturalist.org/observations/299734329" TargetMode="External"/><Relationship Id="rId358" Type="http://schemas.openxmlformats.org/officeDocument/2006/relationships/hyperlink" Target="https://www.inaturalist.org/people/chandra_sekhar_" TargetMode="External"/><Relationship Id="rId359" Type="http://schemas.openxmlformats.org/officeDocument/2006/relationships/hyperlink" Target="https://creativecommons.org/licenses/by-nc/4.0/" TargetMode="External"/><Relationship Id="rId360" Type="http://schemas.openxmlformats.org/officeDocument/2006/relationships/hyperlink" Target="https://www.inaturalist.org/observations/299734329" TargetMode="External"/><Relationship Id="rId361" Type="http://schemas.openxmlformats.org/officeDocument/2006/relationships/hyperlink" Target="https://www.inaturalist.org/people/chaitanya_t" TargetMode="External"/><Relationship Id="rId362" Type="http://schemas.openxmlformats.org/officeDocument/2006/relationships/hyperlink" Target="https://creativecommons.org/licenses/by-nc/4.0/" TargetMode="External"/><Relationship Id="rId363" Type="http://schemas.openxmlformats.org/officeDocument/2006/relationships/hyperlink" Target="https://www.inaturalist.org/observations/297518629" TargetMode="External"/><Relationship Id="rId364" Type="http://schemas.openxmlformats.org/officeDocument/2006/relationships/hyperlink" Target="https://www.inaturalist.org/people/chaitanya_t" TargetMode="External"/><Relationship Id="rId365" Type="http://schemas.openxmlformats.org/officeDocument/2006/relationships/hyperlink" Target="https://creativecommons.org/licenses/by-nc/4.0/" TargetMode="External"/><Relationship Id="rId366" Type="http://schemas.openxmlformats.org/officeDocument/2006/relationships/hyperlink" Target="https://www.inaturalist.org/observations/297518629" TargetMode="External"/><Relationship Id="rId367" Type="http://schemas.openxmlformats.org/officeDocument/2006/relationships/hyperlink" Target="https://www.inaturalist.org/people/chaitanya_t" TargetMode="External"/><Relationship Id="rId368" Type="http://schemas.openxmlformats.org/officeDocument/2006/relationships/hyperlink" Target="https://creativecommons.org/licenses/by-nc/4.0/" TargetMode="External"/><Relationship Id="rId369" Type="http://schemas.openxmlformats.org/officeDocument/2006/relationships/hyperlink" Target="https://www.inaturalist.org/observations/297518629" TargetMode="External"/><Relationship Id="rId370" Type="http://schemas.openxmlformats.org/officeDocument/2006/relationships/hyperlink" Target="https://www.inaturalist.org/people/siddhanta23" TargetMode="External"/><Relationship Id="rId371" Type="http://schemas.openxmlformats.org/officeDocument/2006/relationships/hyperlink" Target="https://creativecommons.org/licenses/by-nc/4.0/" TargetMode="External"/><Relationship Id="rId372" Type="http://schemas.openxmlformats.org/officeDocument/2006/relationships/hyperlink" Target="https://www.inaturalist.org/observations/296288856" TargetMode="External"/><Relationship Id="rId373" Type="http://schemas.openxmlformats.org/officeDocument/2006/relationships/hyperlink" Target="https://www.inaturalist.org/people/arunkumar_thyadi1" TargetMode="External"/><Relationship Id="rId374" Type="http://schemas.openxmlformats.org/officeDocument/2006/relationships/hyperlink" Target="https://creativecommons.org/licenses/by-nc/4.0/" TargetMode="External"/><Relationship Id="rId375" Type="http://schemas.openxmlformats.org/officeDocument/2006/relationships/hyperlink" Target="https://www.inaturalist.org/observations/284208292" TargetMode="External"/><Relationship Id="rId376" Type="http://schemas.openxmlformats.org/officeDocument/2006/relationships/hyperlink" Target="https://www.inaturalist.org/people/komarraju" TargetMode="External"/><Relationship Id="rId377" Type="http://schemas.openxmlformats.org/officeDocument/2006/relationships/hyperlink" Target="https://creativecommons.org/licenses/by-nc/4.0/" TargetMode="External"/><Relationship Id="rId378" Type="http://schemas.openxmlformats.org/officeDocument/2006/relationships/hyperlink" Target="https://www.inaturalist.org/observations/280234684" TargetMode="External"/><Relationship Id="rId379" Type="http://schemas.openxmlformats.org/officeDocument/2006/relationships/hyperlink" Target="https://www.inaturalist.org/people/chandra_sekhar_" TargetMode="External"/><Relationship Id="rId380" Type="http://schemas.openxmlformats.org/officeDocument/2006/relationships/hyperlink" Target="https://creativecommons.org/licenses/by-nc/4.0/" TargetMode="External"/><Relationship Id="rId381" Type="http://schemas.openxmlformats.org/officeDocument/2006/relationships/hyperlink" Target="https://www.inaturalist.org/observations/255283246" TargetMode="External"/><Relationship Id="rId382" Type="http://schemas.openxmlformats.org/officeDocument/2006/relationships/hyperlink" Target="https://www.inaturalist.org/people/chandra_sekhar_" TargetMode="External"/><Relationship Id="rId383" Type="http://schemas.openxmlformats.org/officeDocument/2006/relationships/hyperlink" Target="https://creativecommons.org/licenses/by-nc/4.0/" TargetMode="External"/><Relationship Id="rId384" Type="http://schemas.openxmlformats.org/officeDocument/2006/relationships/hyperlink" Target="https://www.inaturalist.org/observations/255283246" TargetMode="External"/><Relationship Id="rId385" Type="http://schemas.openxmlformats.org/officeDocument/2006/relationships/hyperlink" Target="https://www.inaturalist.org/people/biswajit_1995" TargetMode="External"/><Relationship Id="rId386" Type="http://schemas.openxmlformats.org/officeDocument/2006/relationships/hyperlink" Target="https://creativecommons.org/licenses/by-nc/4.0/" TargetMode="External"/><Relationship Id="rId387" Type="http://schemas.openxmlformats.org/officeDocument/2006/relationships/hyperlink" Target="https://www.inaturalist.org/observations/241301145" TargetMode="External"/><Relationship Id="rId388" Type="http://schemas.openxmlformats.org/officeDocument/2006/relationships/hyperlink" Target="https://www.inaturalist.org/people/biswajit_1995" TargetMode="External"/><Relationship Id="rId389" Type="http://schemas.openxmlformats.org/officeDocument/2006/relationships/hyperlink" Target="https://creativecommons.org/licenses/by-nc/4.0/" TargetMode="External"/><Relationship Id="rId390" Type="http://schemas.openxmlformats.org/officeDocument/2006/relationships/hyperlink" Target="https://www.inaturalist.org/observations/241301145" TargetMode="External"/><Relationship Id="rId391" Type="http://schemas.openxmlformats.org/officeDocument/2006/relationships/hyperlink" Target="https://www.inaturalist.org/people/biswajit_1995" TargetMode="External"/><Relationship Id="rId392" Type="http://schemas.openxmlformats.org/officeDocument/2006/relationships/hyperlink" Target="https://creativecommons.org/licenses/by-nc/4.0/" TargetMode="External"/><Relationship Id="rId393" Type="http://schemas.openxmlformats.org/officeDocument/2006/relationships/hyperlink" Target="https://www.inaturalist.org/observations/240367094" TargetMode="External"/><Relationship Id="rId394" Type="http://schemas.openxmlformats.org/officeDocument/2006/relationships/hyperlink" Target="https://www.inaturalist.org/people/biswajit_1995" TargetMode="External"/><Relationship Id="rId395" Type="http://schemas.openxmlformats.org/officeDocument/2006/relationships/hyperlink" Target="https://creativecommons.org/licenses/by-nc/4.0/" TargetMode="External"/><Relationship Id="rId396" Type="http://schemas.openxmlformats.org/officeDocument/2006/relationships/hyperlink" Target="https://www.inaturalist.org/observations/240367094" TargetMode="External"/><Relationship Id="rId397" Type="http://schemas.openxmlformats.org/officeDocument/2006/relationships/hyperlink" Target="https://www.inaturalist.org/people/biswajit_1995" TargetMode="External"/><Relationship Id="rId398" Type="http://schemas.openxmlformats.org/officeDocument/2006/relationships/hyperlink" Target="https://creativecommons.org/licenses/by-nc/4.0/" TargetMode="External"/><Relationship Id="rId399" Type="http://schemas.openxmlformats.org/officeDocument/2006/relationships/hyperlink" Target="https://www.inaturalist.org/observations/240367094" TargetMode="External"/><Relationship Id="rId400" Type="http://schemas.openxmlformats.org/officeDocument/2006/relationships/hyperlink" Target="https://www.inaturalist.org/people/biswajit_1995" TargetMode="External"/><Relationship Id="rId401" Type="http://schemas.openxmlformats.org/officeDocument/2006/relationships/hyperlink" Target="https://creativecommons.org/licenses/by-nc/4.0/" TargetMode="External"/><Relationship Id="rId402" Type="http://schemas.openxmlformats.org/officeDocument/2006/relationships/hyperlink" Target="https://www.inaturalist.org/observations/239327238" TargetMode="External"/><Relationship Id="rId403" Type="http://schemas.openxmlformats.org/officeDocument/2006/relationships/hyperlink" Target="https://www.inaturalist.org/people/biswajit_1995" TargetMode="External"/><Relationship Id="rId404" Type="http://schemas.openxmlformats.org/officeDocument/2006/relationships/hyperlink" Target="https://creativecommons.org/licenses/by-nc/4.0/" TargetMode="External"/><Relationship Id="rId405" Type="http://schemas.openxmlformats.org/officeDocument/2006/relationships/hyperlink" Target="https://www.inaturalist.org/observations/239327238" TargetMode="External"/><Relationship Id="rId406" Type="http://schemas.openxmlformats.org/officeDocument/2006/relationships/hyperlink" Target="https://www.inaturalist.org/people/biswajit_1995" TargetMode="External"/><Relationship Id="rId407" Type="http://schemas.openxmlformats.org/officeDocument/2006/relationships/hyperlink" Target="https://creativecommons.org/licenses/by-nc/4.0/" TargetMode="External"/><Relationship Id="rId408" Type="http://schemas.openxmlformats.org/officeDocument/2006/relationships/hyperlink" Target="https://www.inaturalist.org/observations/239327238" TargetMode="External"/><Relationship Id="rId409" Type="http://schemas.openxmlformats.org/officeDocument/2006/relationships/hyperlink" Target="https://www.inaturalist.org/people/avrajjal" TargetMode="External"/><Relationship Id="rId410" Type="http://schemas.openxmlformats.org/officeDocument/2006/relationships/hyperlink" Target="https://creativecommons.org/licenses/by-nc/4.0/" TargetMode="External"/><Relationship Id="rId411" Type="http://schemas.openxmlformats.org/officeDocument/2006/relationships/hyperlink" Target="https://www.inaturalist.org/observations/225693409" TargetMode="External"/><Relationship Id="rId412" Type="http://schemas.openxmlformats.org/officeDocument/2006/relationships/hyperlink" Target="https://www.inaturalist.org/people/siddhanta23" TargetMode="External"/><Relationship Id="rId413" Type="http://schemas.openxmlformats.org/officeDocument/2006/relationships/hyperlink" Target="https://creativecommons.org/licenses/by-nc/4.0/" TargetMode="External"/><Relationship Id="rId414" Type="http://schemas.openxmlformats.org/officeDocument/2006/relationships/hyperlink" Target="https://www.inaturalist.org/observations/207334921" TargetMode="External"/><Relationship Id="rId415" Type="http://schemas.openxmlformats.org/officeDocument/2006/relationships/hyperlink" Target="https://www.inaturalist.org/people/chandra_sekhar_" TargetMode="External"/><Relationship Id="rId416" Type="http://schemas.openxmlformats.org/officeDocument/2006/relationships/hyperlink" Target="https://creativecommons.org/licenses/by-nc/4.0/" TargetMode="External"/><Relationship Id="rId417" Type="http://schemas.openxmlformats.org/officeDocument/2006/relationships/hyperlink" Target="https://www.inaturalist.org/observations/169206892" TargetMode="External"/><Relationship Id="rId418" Type="http://schemas.openxmlformats.org/officeDocument/2006/relationships/hyperlink" Target="https://www.inaturalist.org/people/dr_deepu_visweswar" TargetMode="External"/><Relationship Id="rId419" Type="http://schemas.openxmlformats.org/officeDocument/2006/relationships/hyperlink" Target="https://creativecommons.org/licenses/by-nc/4.0/" TargetMode="External"/><Relationship Id="rId420" Type="http://schemas.openxmlformats.org/officeDocument/2006/relationships/hyperlink" Target="https://www.inaturalist.org/observations/163797975" TargetMode="External"/><Relationship Id="rId421" Type="http://schemas.openxmlformats.org/officeDocument/2006/relationships/hyperlink" Target="https://www.inaturalist.org/people/ankitha_jayanth" TargetMode="External"/><Relationship Id="rId422" Type="http://schemas.openxmlformats.org/officeDocument/2006/relationships/hyperlink" Target="https://creativecommons.org/licenses/by-nc/4.0/" TargetMode="External"/><Relationship Id="rId423" Type="http://schemas.openxmlformats.org/officeDocument/2006/relationships/hyperlink" Target="https://www.inaturalist.org/observations/331935514" TargetMode="External"/><Relationship Id="rId424" Type="http://schemas.openxmlformats.org/officeDocument/2006/relationships/hyperlink" Target="https://www.inaturalist.org/people/joshiag" TargetMode="External"/><Relationship Id="rId425" Type="http://schemas.openxmlformats.org/officeDocument/2006/relationships/hyperlink" Target="https://creativecommons.org/licenses/by-nc/4.0/" TargetMode="External"/><Relationship Id="rId426" Type="http://schemas.openxmlformats.org/officeDocument/2006/relationships/hyperlink" Target="https://www.inaturalist.org/observations/327402352" TargetMode="External"/><Relationship Id="rId427" Type="http://schemas.openxmlformats.org/officeDocument/2006/relationships/hyperlink" Target="https://www.inaturalist.org/people/joshiag" TargetMode="External"/><Relationship Id="rId428" Type="http://schemas.openxmlformats.org/officeDocument/2006/relationships/hyperlink" Target="https://creativecommons.org/licenses/by-nc/4.0/" TargetMode="External"/><Relationship Id="rId429" Type="http://schemas.openxmlformats.org/officeDocument/2006/relationships/hyperlink" Target="https://www.inaturalist.org/observations/327402352" TargetMode="External"/><Relationship Id="rId430" Type="http://schemas.openxmlformats.org/officeDocument/2006/relationships/hyperlink" Target="https://www.inaturalist.org/people/naushadtheba" TargetMode="External"/><Relationship Id="rId431" Type="http://schemas.openxmlformats.org/officeDocument/2006/relationships/hyperlink" Target="https://creativecommons.org/licenses/by-nc/4.0/" TargetMode="External"/><Relationship Id="rId432" Type="http://schemas.openxmlformats.org/officeDocument/2006/relationships/hyperlink" Target="https://www.inaturalist.org/observations/326152169" TargetMode="External"/><Relationship Id="rId433" Type="http://schemas.openxmlformats.org/officeDocument/2006/relationships/hyperlink" Target="https://www.inaturalist.org/people/siddhantmhetre09" TargetMode="External"/><Relationship Id="rId434" Type="http://schemas.openxmlformats.org/officeDocument/2006/relationships/hyperlink" Target="https://creativecommons.org/licenses/by-nc/4.0/" TargetMode="External"/><Relationship Id="rId435" Type="http://schemas.openxmlformats.org/officeDocument/2006/relationships/hyperlink" Target="https://www.inaturalist.org/observations/281267885" TargetMode="External"/><Relationship Id="rId436" Type="http://schemas.openxmlformats.org/officeDocument/2006/relationships/hyperlink" Target="https://www.inaturalist.org/people/avishkar" TargetMode="External"/><Relationship Id="rId437" Type="http://schemas.openxmlformats.org/officeDocument/2006/relationships/hyperlink" Target="https://creativecommons.org/licenses/by-nc/4.0/" TargetMode="External"/><Relationship Id="rId438" Type="http://schemas.openxmlformats.org/officeDocument/2006/relationships/hyperlink" Target="https://www.inaturalist.org/observations/254727066" TargetMode="External"/><Relationship Id="rId439" Type="http://schemas.openxmlformats.org/officeDocument/2006/relationships/hyperlink" Target="https://www.inaturalist.org/people/ritul" TargetMode="External"/><Relationship Id="rId440" Type="http://schemas.openxmlformats.org/officeDocument/2006/relationships/hyperlink" Target="https://creativecommons.org/licenses/by-nc/4.0/" TargetMode="External"/><Relationship Id="rId441" Type="http://schemas.openxmlformats.org/officeDocument/2006/relationships/hyperlink" Target="https://www.inaturalist.org/observations/244652501" TargetMode="External"/><Relationship Id="rId442" Type="http://schemas.openxmlformats.org/officeDocument/2006/relationships/hyperlink" Target="https://www.inaturalist.org/people/ritul" TargetMode="External"/><Relationship Id="rId443" Type="http://schemas.openxmlformats.org/officeDocument/2006/relationships/hyperlink" Target="https://creativecommons.org/licenses/by-nc/4.0/" TargetMode="External"/><Relationship Id="rId444" Type="http://schemas.openxmlformats.org/officeDocument/2006/relationships/hyperlink" Target="https://www.inaturalist.org/observations/244652501" TargetMode="External"/><Relationship Id="rId445" Type="http://schemas.openxmlformats.org/officeDocument/2006/relationships/hyperlink" Target="https://www.inaturalist.org/people/ritul" TargetMode="External"/><Relationship Id="rId446" Type="http://schemas.openxmlformats.org/officeDocument/2006/relationships/hyperlink" Target="https://creativecommons.org/licenses/by-nc/4.0/" TargetMode="External"/><Relationship Id="rId447" Type="http://schemas.openxmlformats.org/officeDocument/2006/relationships/hyperlink" Target="https://www.inaturalist.org/observations/244652501" TargetMode="External"/><Relationship Id="rId448" Type="http://schemas.openxmlformats.org/officeDocument/2006/relationships/hyperlink" Target="https://www.inaturalist.org/people/ritul" TargetMode="External"/><Relationship Id="rId449" Type="http://schemas.openxmlformats.org/officeDocument/2006/relationships/hyperlink" Target="https://creativecommons.org/licenses/by-nc/4.0/" TargetMode="External"/><Relationship Id="rId450" Type="http://schemas.openxmlformats.org/officeDocument/2006/relationships/hyperlink" Target="https://www.inaturalist.org/observations/244652501" TargetMode="External"/><Relationship Id="rId451" Type="http://schemas.openxmlformats.org/officeDocument/2006/relationships/hyperlink" Target="https://www.inaturalist.org/people/avinashbhagat2" TargetMode="External"/><Relationship Id="rId452" Type="http://schemas.openxmlformats.org/officeDocument/2006/relationships/hyperlink" Target="https://creativecommons.org/licenses/by-nc/4.0/" TargetMode="External"/><Relationship Id="rId453" Type="http://schemas.openxmlformats.org/officeDocument/2006/relationships/hyperlink" Target="https://www.inaturalist.org/observations/188702529" TargetMode="External"/><Relationship Id="rId454" Type="http://schemas.openxmlformats.org/officeDocument/2006/relationships/hyperlink" Target="https://www.inaturalist.org/people/avinashbhagat2" TargetMode="External"/><Relationship Id="rId455" Type="http://schemas.openxmlformats.org/officeDocument/2006/relationships/hyperlink" Target="https://creativecommons.org/licenses/by-nc/4.0/" TargetMode="External"/><Relationship Id="rId456" Type="http://schemas.openxmlformats.org/officeDocument/2006/relationships/hyperlink" Target="https://www.inaturalist.org/observations/188127741" TargetMode="External"/><Relationship Id="rId457" Type="http://schemas.openxmlformats.org/officeDocument/2006/relationships/hyperlink" Target="https://www.inaturalist.org/people/avinashbhagat2" TargetMode="External"/><Relationship Id="rId458" Type="http://schemas.openxmlformats.org/officeDocument/2006/relationships/hyperlink" Target="https://creativecommons.org/licenses/by-nc/4.0/" TargetMode="External"/><Relationship Id="rId459" Type="http://schemas.openxmlformats.org/officeDocument/2006/relationships/hyperlink" Target="https://www.inaturalist.org/observations/188127741" TargetMode="External"/><Relationship Id="rId460" Type="http://schemas.openxmlformats.org/officeDocument/2006/relationships/hyperlink" Target="https://www.inaturalist.org/people/karan_7" TargetMode="External"/><Relationship Id="rId461" Type="http://schemas.openxmlformats.org/officeDocument/2006/relationships/hyperlink" Target="https://creativecommons.org/licenses/by-nc/4.0/" TargetMode="External"/><Relationship Id="rId462" Type="http://schemas.openxmlformats.org/officeDocument/2006/relationships/hyperlink" Target="https://www.inaturalist.org/observations/184822942" TargetMode="External"/><Relationship Id="rId463" Type="http://schemas.openxmlformats.org/officeDocument/2006/relationships/hyperlink" Target="https://www.inaturalist.org/people/jonhakim" TargetMode="External"/><Relationship Id="rId464" Type="http://schemas.openxmlformats.org/officeDocument/2006/relationships/hyperlink" Target="https://creativecommons.org/licenses/by-nc/4.0/" TargetMode="External"/><Relationship Id="rId465" Type="http://schemas.openxmlformats.org/officeDocument/2006/relationships/hyperlink" Target="https://www.inaturalist.org/observations/176969378" TargetMode="External"/><Relationship Id="rId466" Type="http://schemas.openxmlformats.org/officeDocument/2006/relationships/hyperlink" Target="https://www.inaturalist.org/people/jonhakim" TargetMode="External"/><Relationship Id="rId467" Type="http://schemas.openxmlformats.org/officeDocument/2006/relationships/hyperlink" Target="https://creativecommons.org/licenses/by-nc/4.0/" TargetMode="External"/><Relationship Id="rId468" Type="http://schemas.openxmlformats.org/officeDocument/2006/relationships/hyperlink" Target="https://www.inaturalist.org/observations/176969357" TargetMode="External"/><Relationship Id="rId469" Type="http://schemas.openxmlformats.org/officeDocument/2006/relationships/hyperlink" Target="https://www.inaturalist.org/people/jonhakim" TargetMode="External"/><Relationship Id="rId470" Type="http://schemas.openxmlformats.org/officeDocument/2006/relationships/hyperlink" Target="https://creativecommons.org/licenses/by-nc/4.0/" TargetMode="External"/><Relationship Id="rId471" Type="http://schemas.openxmlformats.org/officeDocument/2006/relationships/hyperlink" Target="https://www.inaturalist.org/observations/176862948" TargetMode="External"/><Relationship Id="rId472" Type="http://schemas.openxmlformats.org/officeDocument/2006/relationships/hyperlink" Target="https://www.inaturalist.org/people/jonhakim" TargetMode="External"/><Relationship Id="rId473" Type="http://schemas.openxmlformats.org/officeDocument/2006/relationships/hyperlink" Target="https://creativecommons.org/licenses/by-nc/4.0/" TargetMode="External"/><Relationship Id="rId474" Type="http://schemas.openxmlformats.org/officeDocument/2006/relationships/hyperlink" Target="https://www.inaturalist.org/observations/176862948" TargetMode="External"/><Relationship Id="rId475" Type="http://schemas.openxmlformats.org/officeDocument/2006/relationships/hyperlink" Target="https://www.inaturalist.org/people/jonhakim" TargetMode="External"/><Relationship Id="rId476" Type="http://schemas.openxmlformats.org/officeDocument/2006/relationships/hyperlink" Target="https://creativecommons.org/licenses/by-nc/4.0/" TargetMode="External"/><Relationship Id="rId477" Type="http://schemas.openxmlformats.org/officeDocument/2006/relationships/hyperlink" Target="https://www.inaturalist.org/observations/176862948" TargetMode="External"/><Relationship Id="rId478" Type="http://schemas.openxmlformats.org/officeDocument/2006/relationships/hyperlink" Target="https://www.inaturalist.org/people/jayantdeshpande" TargetMode="External"/><Relationship Id="rId479" Type="http://schemas.openxmlformats.org/officeDocument/2006/relationships/hyperlink" Target="https://creativecommons.org/licenses/by-nc/4.0/" TargetMode="External"/><Relationship Id="rId480" Type="http://schemas.openxmlformats.org/officeDocument/2006/relationships/hyperlink" Target="https://www.inaturalist.org/observations/121993372" TargetMode="External"/><Relationship Id="rId481" Type="http://schemas.openxmlformats.org/officeDocument/2006/relationships/hyperlink" Target="https://www.inaturalist.org/people/pittatours" TargetMode="External"/><Relationship Id="rId482" Type="http://schemas.openxmlformats.org/officeDocument/2006/relationships/hyperlink" Target="https://creativecommons.org/licenses/by-nc/4.0/" TargetMode="External"/><Relationship Id="rId483" Type="http://schemas.openxmlformats.org/officeDocument/2006/relationships/hyperlink" Target="https://www.inaturalist.org/observations/109499645" TargetMode="External"/><Relationship Id="rId484" Type="http://schemas.openxmlformats.org/officeDocument/2006/relationships/hyperlink" Target="https://www.inaturalist.org/people/pramodmahanubhav" TargetMode="External"/><Relationship Id="rId485" Type="http://schemas.openxmlformats.org/officeDocument/2006/relationships/hyperlink" Target="https://creativecommons.org/licenses/by-nc/4.0/" TargetMode="External"/><Relationship Id="rId486" Type="http://schemas.openxmlformats.org/officeDocument/2006/relationships/hyperlink" Target="https://www.inaturalist.org/observations/91107487" TargetMode="External"/><Relationship Id="rId487" Type="http://schemas.openxmlformats.org/officeDocument/2006/relationships/hyperlink" Target="https://www.inaturalist.org/people/shaileshg1806" TargetMode="External"/><Relationship Id="rId488" Type="http://schemas.openxmlformats.org/officeDocument/2006/relationships/hyperlink" Target="https://creativecommons.org/licenses/by-nc/4.0/" TargetMode="External"/><Relationship Id="rId489" Type="http://schemas.openxmlformats.org/officeDocument/2006/relationships/hyperlink" Target="https://www.inaturalist.org/observations/78623420" TargetMode="External"/><Relationship Id="rId490" Type="http://schemas.openxmlformats.org/officeDocument/2006/relationships/hyperlink" Target="https://www.inaturalist.org/people/udayagashe" TargetMode="External"/><Relationship Id="rId491" Type="http://schemas.openxmlformats.org/officeDocument/2006/relationships/hyperlink" Target="https://creativecommons.org/licenses/by-nc/4.0/" TargetMode="External"/><Relationship Id="rId492" Type="http://schemas.openxmlformats.org/officeDocument/2006/relationships/hyperlink" Target="https://www.inaturalist.org/observations/56207056" TargetMode="External"/><Relationship Id="rId493" Type="http://schemas.openxmlformats.org/officeDocument/2006/relationships/hyperlink" Target="https://www.inaturalist.org/people/udayagashe" TargetMode="External"/><Relationship Id="rId494" Type="http://schemas.openxmlformats.org/officeDocument/2006/relationships/hyperlink" Target="https://creativecommons.org/licenses/by-nc/4.0/" TargetMode="External"/><Relationship Id="rId495" Type="http://schemas.openxmlformats.org/officeDocument/2006/relationships/hyperlink" Target="https://www.inaturalist.org/observations/56207055" TargetMode="External"/><Relationship Id="rId496" Type="http://schemas.openxmlformats.org/officeDocument/2006/relationships/hyperlink" Target="https://www.inaturalist.org/people/udayagashe" TargetMode="External"/><Relationship Id="rId497" Type="http://schemas.openxmlformats.org/officeDocument/2006/relationships/hyperlink" Target="https://creativecommons.org/licenses/by-nc/4.0/" TargetMode="External"/><Relationship Id="rId498" Type="http://schemas.openxmlformats.org/officeDocument/2006/relationships/hyperlink" Target="https://www.inaturalist.org/observations/56201102" TargetMode="External"/><Relationship Id="rId499" Type="http://schemas.openxmlformats.org/officeDocument/2006/relationships/hyperlink" Target="https://www.inaturalist.org/people/ygurjar" TargetMode="External"/><Relationship Id="rId500" Type="http://schemas.openxmlformats.org/officeDocument/2006/relationships/hyperlink" Target="https://creativecommons.org/licenses/by-nc/4.0/" TargetMode="External"/><Relationship Id="rId501" Type="http://schemas.openxmlformats.org/officeDocument/2006/relationships/hyperlink" Target="https://www.inaturalist.org/observations/55768159" TargetMode="External"/><Relationship Id="rId502" Type="http://schemas.openxmlformats.org/officeDocument/2006/relationships/hyperlink" Target="https://www.inaturalist.org/people/ygurjar" TargetMode="External"/><Relationship Id="rId503" Type="http://schemas.openxmlformats.org/officeDocument/2006/relationships/hyperlink" Target="https://creativecommons.org/licenses/by-nc/4.0/" TargetMode="External"/><Relationship Id="rId504" Type="http://schemas.openxmlformats.org/officeDocument/2006/relationships/hyperlink" Target="https://www.inaturalist.org/observations/55768158" TargetMode="External"/><Relationship Id="rId505" Type="http://schemas.openxmlformats.org/officeDocument/2006/relationships/hyperlink" Target="https://www.inaturalist.org/people/ygurjar" TargetMode="External"/><Relationship Id="rId506" Type="http://schemas.openxmlformats.org/officeDocument/2006/relationships/hyperlink" Target="https://creativecommons.org/licenses/by-nc/4.0/" TargetMode="External"/><Relationship Id="rId507" Type="http://schemas.openxmlformats.org/officeDocument/2006/relationships/hyperlink" Target="https://www.inaturalist.org/observations/55766991" TargetMode="External"/><Relationship Id="rId508" Type="http://schemas.openxmlformats.org/officeDocument/2006/relationships/hyperlink" Target="https://www.inaturalist.org/people/ygurjar" TargetMode="External"/><Relationship Id="rId509" Type="http://schemas.openxmlformats.org/officeDocument/2006/relationships/hyperlink" Target="https://creativecommons.org/licenses/by-nc/4.0/" TargetMode="External"/><Relationship Id="rId510" Type="http://schemas.openxmlformats.org/officeDocument/2006/relationships/hyperlink" Target="https://www.inaturalist.org/observations/55682487" TargetMode="External"/><Relationship Id="rId511" Type="http://schemas.openxmlformats.org/officeDocument/2006/relationships/hyperlink" Target="https://www.inaturalist.org/people/ygurjar" TargetMode="External"/><Relationship Id="rId512" Type="http://schemas.openxmlformats.org/officeDocument/2006/relationships/hyperlink" Target="https://creativecommons.org/licenses/by-nc/4.0/" TargetMode="External"/><Relationship Id="rId513" Type="http://schemas.openxmlformats.org/officeDocument/2006/relationships/hyperlink" Target="https://www.inaturalist.org/observations/55585094" TargetMode="External"/><Relationship Id="rId514" Type="http://schemas.openxmlformats.org/officeDocument/2006/relationships/hyperlink" Target="https://www.inaturalist.org/people/swanand" TargetMode="External"/><Relationship Id="rId515" Type="http://schemas.openxmlformats.org/officeDocument/2006/relationships/hyperlink" Target="https://creativecommons.org/licenses/by-nc/4.0/" TargetMode="External"/><Relationship Id="rId516" Type="http://schemas.openxmlformats.org/officeDocument/2006/relationships/hyperlink" Target="https://www.inaturalist.org/observations/52831058" TargetMode="External"/><Relationship Id="rId517" Type="http://schemas.openxmlformats.org/officeDocument/2006/relationships/hyperlink" Target="https://www.inaturalist.org/people/rujutavinod" TargetMode="External"/><Relationship Id="rId518" Type="http://schemas.openxmlformats.org/officeDocument/2006/relationships/hyperlink" Target="https://creativecommons.org/licenses/by-nc/4.0/" TargetMode="External"/><Relationship Id="rId519" Type="http://schemas.openxmlformats.org/officeDocument/2006/relationships/hyperlink" Target="https://www.inaturalist.org/observations/52662646" TargetMode="External"/><Relationship Id="rId520" Type="http://schemas.openxmlformats.org/officeDocument/2006/relationships/hyperlink" Target="https://www.inaturalist.org/people/rujutavinod" TargetMode="External"/><Relationship Id="rId521" Type="http://schemas.openxmlformats.org/officeDocument/2006/relationships/hyperlink" Target="https://creativecommons.org/licenses/by-nc/4.0/" TargetMode="External"/><Relationship Id="rId522" Type="http://schemas.openxmlformats.org/officeDocument/2006/relationships/hyperlink" Target="https://www.inaturalist.org/observations/52662645" TargetMode="External"/><Relationship Id="rId523" Type="http://schemas.openxmlformats.org/officeDocument/2006/relationships/hyperlink" Target="https://www.inaturalist.org/people/swanand" TargetMode="External"/><Relationship Id="rId524" Type="http://schemas.openxmlformats.org/officeDocument/2006/relationships/hyperlink" Target="https://creativecommons.org/licenses/by-nc/4.0/" TargetMode="External"/><Relationship Id="rId525" Type="http://schemas.openxmlformats.org/officeDocument/2006/relationships/hyperlink" Target="https://www.inaturalist.org/observations/39147735" TargetMode="External"/><Relationship Id="rId526" Type="http://schemas.openxmlformats.org/officeDocument/2006/relationships/hyperlink" Target="https://www.inaturalist.org/people/faustoalexei" TargetMode="External"/><Relationship Id="rId527" Type="http://schemas.openxmlformats.org/officeDocument/2006/relationships/hyperlink" Target="https://creativecommons.org/licenses/by-nc/4.0/" TargetMode="External"/><Relationship Id="rId528" Type="http://schemas.openxmlformats.org/officeDocument/2006/relationships/hyperlink" Target="https://www.inaturalist.org/observations/377054599" TargetMode="External"/><Relationship Id="rId529" Type="http://schemas.openxmlformats.org/officeDocument/2006/relationships/hyperlink" Target="https://www.inaturalist.org/people/faustoalexei" TargetMode="External"/><Relationship Id="rId530" Type="http://schemas.openxmlformats.org/officeDocument/2006/relationships/hyperlink" Target="https://creativecommons.org/licenses/by-nc/4.0/" TargetMode="External"/><Relationship Id="rId531" Type="http://schemas.openxmlformats.org/officeDocument/2006/relationships/hyperlink" Target="https://www.inaturalist.org/observations/377054599" TargetMode="External"/><Relationship Id="rId532" Type="http://schemas.openxmlformats.org/officeDocument/2006/relationships/hyperlink" Target="https://www.inaturalist.org/people/burgundyreptilesjr" TargetMode="External"/><Relationship Id="rId533" Type="http://schemas.openxmlformats.org/officeDocument/2006/relationships/hyperlink" Target="https://creativecommons.org/licenses/by-nc/4.0/" TargetMode="External"/><Relationship Id="rId534" Type="http://schemas.openxmlformats.org/officeDocument/2006/relationships/hyperlink" Target="https://www.inaturalist.org/observations/331015415" TargetMode="External"/><Relationship Id="rId535" Type="http://schemas.openxmlformats.org/officeDocument/2006/relationships/hyperlink" Target="https://www.inaturalist.org/people/burgundyreptilesjr" TargetMode="External"/><Relationship Id="rId536" Type="http://schemas.openxmlformats.org/officeDocument/2006/relationships/hyperlink" Target="https://creativecommons.org/licenses/by-nc/4.0/" TargetMode="External"/><Relationship Id="rId537" Type="http://schemas.openxmlformats.org/officeDocument/2006/relationships/hyperlink" Target="https://www.inaturalist.org/observations/331015415" TargetMode="External"/><Relationship Id="rId538" Type="http://schemas.openxmlformats.org/officeDocument/2006/relationships/hyperlink" Target="https://www.inaturalist.org/people/fateh_sher" TargetMode="External"/><Relationship Id="rId539" Type="http://schemas.openxmlformats.org/officeDocument/2006/relationships/hyperlink" Target="https://creativecommons.org/licenses/by-nc/4.0/" TargetMode="External"/><Relationship Id="rId540" Type="http://schemas.openxmlformats.org/officeDocument/2006/relationships/hyperlink" Target="https://www.inaturalist.org/observations/323453492" TargetMode="External"/><Relationship Id="rId541" Type="http://schemas.openxmlformats.org/officeDocument/2006/relationships/hyperlink" Target="https://www.inaturalist.org/people/astrapia" TargetMode="External"/><Relationship Id="rId542" Type="http://schemas.openxmlformats.org/officeDocument/2006/relationships/hyperlink" Target="https://creativecommons.org/licenses/by-nc/4.0/" TargetMode="External"/><Relationship Id="rId543" Type="http://schemas.openxmlformats.org/officeDocument/2006/relationships/hyperlink" Target="https://www.inaturalist.org/observations/287027399" TargetMode="External"/><Relationship Id="rId544" Type="http://schemas.openxmlformats.org/officeDocument/2006/relationships/hyperlink" Target="https://www.inaturalist.org/people/astrapia" TargetMode="External"/><Relationship Id="rId545" Type="http://schemas.openxmlformats.org/officeDocument/2006/relationships/hyperlink" Target="https://creativecommons.org/licenses/by-nc/4.0/" TargetMode="External"/><Relationship Id="rId546" Type="http://schemas.openxmlformats.org/officeDocument/2006/relationships/hyperlink" Target="https://www.inaturalist.org/observations/287027399" TargetMode="External"/><Relationship Id="rId547" Type="http://schemas.openxmlformats.org/officeDocument/2006/relationships/hyperlink" Target="https://www.inaturalist.org/people/astrapia" TargetMode="External"/><Relationship Id="rId548" Type="http://schemas.openxmlformats.org/officeDocument/2006/relationships/hyperlink" Target="https://creativecommons.org/licenses/by-nc/4.0/" TargetMode="External"/><Relationship Id="rId549" Type="http://schemas.openxmlformats.org/officeDocument/2006/relationships/hyperlink" Target="https://www.inaturalist.org/observations/287027399" TargetMode="External"/><Relationship Id="rId550" Type="http://schemas.openxmlformats.org/officeDocument/2006/relationships/hyperlink" Target="https://www.inaturalist.org/people/astrapia" TargetMode="External"/><Relationship Id="rId551" Type="http://schemas.openxmlformats.org/officeDocument/2006/relationships/hyperlink" Target="https://creativecommons.org/licenses/by-nc/4.0/" TargetMode="External"/><Relationship Id="rId552" Type="http://schemas.openxmlformats.org/officeDocument/2006/relationships/hyperlink" Target="https://www.inaturalist.org/observations/287027399" TargetMode="External"/><Relationship Id="rId553" Type="http://schemas.openxmlformats.org/officeDocument/2006/relationships/hyperlink" Target="https://www.inaturalist.org/people/aary" TargetMode="External"/><Relationship Id="rId554" Type="http://schemas.openxmlformats.org/officeDocument/2006/relationships/hyperlink" Target="https://creativecommons.org/licenses/by-nc/4.0/" TargetMode="External"/><Relationship Id="rId555" Type="http://schemas.openxmlformats.org/officeDocument/2006/relationships/hyperlink" Target="https://www.inaturalist.org/observations/271474107" TargetMode="External"/><Relationship Id="rId556" Type="http://schemas.openxmlformats.org/officeDocument/2006/relationships/hyperlink" Target="https://www.inaturalist.org/people/khateebsherani" TargetMode="External"/><Relationship Id="rId557" Type="http://schemas.openxmlformats.org/officeDocument/2006/relationships/hyperlink" Target="https://creativecommons.org/licenses/by-nc/4.0/" TargetMode="External"/><Relationship Id="rId558" Type="http://schemas.openxmlformats.org/officeDocument/2006/relationships/hyperlink" Target="https://www.inaturalist.org/observations/267159284" TargetMode="External"/><Relationship Id="rId559" Type="http://schemas.openxmlformats.org/officeDocument/2006/relationships/hyperlink" Target="https://www.inaturalist.org/people/zafeershaikh" TargetMode="External"/><Relationship Id="rId560" Type="http://schemas.openxmlformats.org/officeDocument/2006/relationships/hyperlink" Target="https://creativecommons.org/licenses/by-nc/4.0/" TargetMode="External"/><Relationship Id="rId561" Type="http://schemas.openxmlformats.org/officeDocument/2006/relationships/hyperlink" Target="https://www.inaturalist.org/observations/235312839" TargetMode="External"/><Relationship Id="rId562" Type="http://schemas.openxmlformats.org/officeDocument/2006/relationships/hyperlink" Target="https://www.inaturalist.org/people/zafeershaikh" TargetMode="External"/><Relationship Id="rId563" Type="http://schemas.openxmlformats.org/officeDocument/2006/relationships/hyperlink" Target="https://creativecommons.org/licenses/by-nc/4.0/" TargetMode="External"/><Relationship Id="rId564" Type="http://schemas.openxmlformats.org/officeDocument/2006/relationships/hyperlink" Target="https://www.inaturalist.org/observations/235312839" TargetMode="External"/><Relationship Id="rId565" Type="http://schemas.openxmlformats.org/officeDocument/2006/relationships/hyperlink" Target="https://www.inaturalist.org/people/zafeershaikh" TargetMode="External"/><Relationship Id="rId566" Type="http://schemas.openxmlformats.org/officeDocument/2006/relationships/hyperlink" Target="https://creativecommons.org/licenses/by-nc/4.0/" TargetMode="External"/><Relationship Id="rId567" Type="http://schemas.openxmlformats.org/officeDocument/2006/relationships/hyperlink" Target="https://www.inaturalist.org/observations/235312839" TargetMode="External"/><Relationship Id="rId568" Type="http://schemas.openxmlformats.org/officeDocument/2006/relationships/hyperlink" Target="https://www.inaturalist.org/people/zafeershaikh" TargetMode="External"/><Relationship Id="rId569" Type="http://schemas.openxmlformats.org/officeDocument/2006/relationships/hyperlink" Target="https://creativecommons.org/licenses/by-nc/4.0/" TargetMode="External"/><Relationship Id="rId570" Type="http://schemas.openxmlformats.org/officeDocument/2006/relationships/hyperlink" Target="https://www.inaturalist.org/observations/235312839" TargetMode="External"/><Relationship Id="rId571" Type="http://schemas.openxmlformats.org/officeDocument/2006/relationships/hyperlink" Target="https://www.inaturalist.org/people/zafeershaikh" TargetMode="External"/><Relationship Id="rId572" Type="http://schemas.openxmlformats.org/officeDocument/2006/relationships/hyperlink" Target="https://creativecommons.org/licenses/by-nc/4.0/" TargetMode="External"/><Relationship Id="rId573" Type="http://schemas.openxmlformats.org/officeDocument/2006/relationships/hyperlink" Target="https://www.inaturalist.org/observations/235312839" TargetMode="External"/><Relationship Id="rId574" Type="http://schemas.openxmlformats.org/officeDocument/2006/relationships/hyperlink" Target="https://www.inaturalist.org/people/zafeershaikh" TargetMode="External"/><Relationship Id="rId575" Type="http://schemas.openxmlformats.org/officeDocument/2006/relationships/hyperlink" Target="https://creativecommons.org/licenses/by-nc/4.0/" TargetMode="External"/><Relationship Id="rId576" Type="http://schemas.openxmlformats.org/officeDocument/2006/relationships/hyperlink" Target="https://www.inaturalist.org/observations/235312839" TargetMode="External"/><Relationship Id="rId577" Type="http://schemas.openxmlformats.org/officeDocument/2006/relationships/hyperlink" Target="https://www.inaturalist.org/people/zafeershaikh" TargetMode="External"/><Relationship Id="rId578" Type="http://schemas.openxmlformats.org/officeDocument/2006/relationships/hyperlink" Target="https://creativecommons.org/licenses/by-nc/4.0/" TargetMode="External"/><Relationship Id="rId579" Type="http://schemas.openxmlformats.org/officeDocument/2006/relationships/hyperlink" Target="https://www.inaturalist.org/observations/235312839" TargetMode="External"/><Relationship Id="rId580" Type="http://schemas.openxmlformats.org/officeDocument/2006/relationships/hyperlink" Target="https://creativecommons.org/licenses/by-nc/4.0/" TargetMode="External"/><Relationship Id="rId581" Type="http://schemas.openxmlformats.org/officeDocument/2006/relationships/hyperlink" Target="https://www.inaturalist.org/observations/235312839" TargetMode="External"/><Relationship Id="rId582" Type="http://schemas.openxmlformats.org/officeDocument/2006/relationships/hyperlink" Target="https://www.inaturalist.org/people/zafeershaikh" TargetMode="External"/><Relationship Id="rId583" Type="http://schemas.openxmlformats.org/officeDocument/2006/relationships/hyperlink" Target="https://creativecommons.org/licenses/by-nc/4.0/" TargetMode="External"/><Relationship Id="rId584" Type="http://schemas.openxmlformats.org/officeDocument/2006/relationships/hyperlink" Target="https://www.inaturalist.org/observations/235312839" TargetMode="External"/><Relationship Id="rId585" Type="http://schemas.openxmlformats.org/officeDocument/2006/relationships/hyperlink" Target="https://www.inaturalist.org/people/zafeershaikh" TargetMode="External"/><Relationship Id="rId586" Type="http://schemas.openxmlformats.org/officeDocument/2006/relationships/hyperlink" Target="https://creativecommons.org/licenses/by-nc/4.0/" TargetMode="External"/><Relationship Id="rId587" Type="http://schemas.openxmlformats.org/officeDocument/2006/relationships/hyperlink" Target="https://www.inaturalist.org/observations/235312839" TargetMode="External"/><Relationship Id="rId588" Type="http://schemas.openxmlformats.org/officeDocument/2006/relationships/hyperlink" Target="https://www.inaturalist.org/people/wildsam_16" TargetMode="External"/><Relationship Id="rId589" Type="http://schemas.openxmlformats.org/officeDocument/2006/relationships/hyperlink" Target="https://creativecommons.org/licenses/by-nc/4.0/" TargetMode="External"/><Relationship Id="rId590" Type="http://schemas.openxmlformats.org/officeDocument/2006/relationships/hyperlink" Target="https://www.inaturalist.org/observations/178502708" TargetMode="External"/><Relationship Id="rId591" Type="http://schemas.openxmlformats.org/officeDocument/2006/relationships/hyperlink" Target="https://www.inaturalist.org/people/wildsam_16" TargetMode="External"/><Relationship Id="rId592" Type="http://schemas.openxmlformats.org/officeDocument/2006/relationships/hyperlink" Target="https://creativecommons.org/licenses/by-nc/4.0/" TargetMode="External"/><Relationship Id="rId593" Type="http://schemas.openxmlformats.org/officeDocument/2006/relationships/hyperlink" Target="https://www.inaturalist.org/observations/178502708" TargetMode="External"/><Relationship Id="rId594" Type="http://schemas.openxmlformats.org/officeDocument/2006/relationships/hyperlink" Target="https://www.inaturalist.org/people/grahamarmstrong" TargetMode="External"/><Relationship Id="rId595" Type="http://schemas.openxmlformats.org/officeDocument/2006/relationships/hyperlink" Target="https://creativecommons.org/licenses/by-nc/4.0/" TargetMode="External"/><Relationship Id="rId596" Type="http://schemas.openxmlformats.org/officeDocument/2006/relationships/hyperlink" Target="https://www.inaturalist.org/observations/107355755" TargetMode="External"/><Relationship Id="rId597" Type="http://schemas.openxmlformats.org/officeDocument/2006/relationships/hyperlink" Target="https://www.inaturalist.org/people/grahamarmstrong" TargetMode="External"/><Relationship Id="rId598" Type="http://schemas.openxmlformats.org/officeDocument/2006/relationships/hyperlink" Target="https://creativecommons.org/licenses/by-nc/4.0/" TargetMode="External"/><Relationship Id="rId599" Type="http://schemas.openxmlformats.org/officeDocument/2006/relationships/hyperlink" Target="https://www.inaturalist.org/observations/107355360" TargetMode="External"/><Relationship Id="rId600" Type="http://schemas.openxmlformats.org/officeDocument/2006/relationships/hyperlink" Target="https://www.inaturalist.org/people/magicwombat" TargetMode="External"/><Relationship Id="rId601" Type="http://schemas.openxmlformats.org/officeDocument/2006/relationships/hyperlink" Target="https://creativecommons.org/licenses/by-nc/4.0/" TargetMode="External"/><Relationship Id="rId602" Type="http://schemas.openxmlformats.org/officeDocument/2006/relationships/hyperlink" Target="https://www.inaturalist.org/observations/30469162" TargetMode="External"/><Relationship Id="rId603" Type="http://schemas.openxmlformats.org/officeDocument/2006/relationships/hyperlink" Target="https://www.inaturalist.org/people/magicwombat" TargetMode="External"/><Relationship Id="rId604" Type="http://schemas.openxmlformats.org/officeDocument/2006/relationships/hyperlink" Target="https://creativecommons.org/licenses/by-nc/4.0/" TargetMode="External"/><Relationship Id="rId605" Type="http://schemas.openxmlformats.org/officeDocument/2006/relationships/hyperlink" Target="https://www.inaturalist.org/observations/30469162" TargetMode="External"/><Relationship Id="rId606" Type="http://schemas.openxmlformats.org/officeDocument/2006/relationships/hyperlink" Target="https://www.inaturalist.org/people/magicwombat" TargetMode="External"/><Relationship Id="rId607" Type="http://schemas.openxmlformats.org/officeDocument/2006/relationships/hyperlink" Target="https://creativecommons.org/licenses/by-nc/4.0/" TargetMode="External"/><Relationship Id="rId608" Type="http://schemas.openxmlformats.org/officeDocument/2006/relationships/hyperlink" Target="https://www.inaturalist.org/observations/30469162" TargetMode="External"/><Relationship Id="rId609" Type="http://schemas.openxmlformats.org/officeDocument/2006/relationships/hyperlink" Target="https://www.inaturalist.org/people/dodomae98" TargetMode="External"/><Relationship Id="rId610" Type="http://schemas.openxmlformats.org/officeDocument/2006/relationships/hyperlink" Target="https://creativecommons.org/licenses/by-nc/4.0/" TargetMode="External"/><Relationship Id="rId611" Type="http://schemas.openxmlformats.org/officeDocument/2006/relationships/hyperlink" Target="https://www.inaturalist.org/observations/13658491" TargetMode="External"/><Relationship Id="rId612" Type="http://schemas.openxmlformats.org/officeDocument/2006/relationships/hyperlink" Target="https://www.inaturalist.org/people/cmus" TargetMode="External"/><Relationship Id="rId613" Type="http://schemas.openxmlformats.org/officeDocument/2006/relationships/hyperlink" Target="https://creativecommons.org/licenses/by-nc/4.0/" TargetMode="External"/><Relationship Id="rId614" Type="http://schemas.openxmlformats.org/officeDocument/2006/relationships/hyperlink" Target="https://www.inaturalist.org/observations/1669419" TargetMode="External"/><Relationship Id="rId615" Type="http://schemas.openxmlformats.org/officeDocument/2006/relationships/hyperlink" Target="https://creativecommons.org/licenses/by-nc/4.0/" TargetMode="External"/><Relationship Id="rId616" Type="http://schemas.openxmlformats.org/officeDocument/2006/relationships/hyperlink" Target="https://creativecommons.org/licenses/by-nc/4.0/" TargetMode="External"/><Relationship Id="rId617" Type="http://schemas.openxmlformats.org/officeDocument/2006/relationships/hyperlink" Target="https://creativecommons.org/licenses/by-nc/4.0/" TargetMode="External"/><Relationship Id="rId618" Type="http://schemas.openxmlformats.org/officeDocument/2006/relationships/hyperlink" Target="https://creativecommons.org/licenses/by-nc/4.0/" TargetMode="External"/><Relationship Id="rId619" Type="http://schemas.openxmlformats.org/officeDocument/2006/relationships/hyperlink" Target="https://creativecommons.org/licenses/by-nc/4.0/" TargetMode="External"/><Relationship Id="rId620" Type="http://schemas.openxmlformats.org/officeDocument/2006/relationships/hyperlink" Target="https://www.inaturalist.org/people/beizi125" TargetMode="External"/><Relationship Id="rId621" Type="http://schemas.openxmlformats.org/officeDocument/2006/relationships/hyperlink" Target="https://creativecommons.org/licenses/by-nc/4.0/" TargetMode="External"/><Relationship Id="rId622" Type="http://schemas.openxmlformats.org/officeDocument/2006/relationships/hyperlink" Target="https://www.inaturalist.org/observations/374513494" TargetMode="External"/><Relationship Id="rId623" Type="http://schemas.openxmlformats.org/officeDocument/2006/relationships/hyperlink" Target="https://www.inaturalist.org/people/o-o2002" TargetMode="External"/><Relationship Id="rId624" Type="http://schemas.openxmlformats.org/officeDocument/2006/relationships/hyperlink" Target="https://creativecommons.org/licenses/by-nc/4.0/" TargetMode="External"/><Relationship Id="rId625" Type="http://schemas.openxmlformats.org/officeDocument/2006/relationships/hyperlink" Target="https://www.inaturalist.org/observations/357912640" TargetMode="External"/><Relationship Id="rId626" Type="http://schemas.openxmlformats.org/officeDocument/2006/relationships/hyperlink" Target="https://www.inaturalist.org/people/fugee" TargetMode="External"/><Relationship Id="rId627" Type="http://schemas.openxmlformats.org/officeDocument/2006/relationships/hyperlink" Target="https://creativecommons.org/licenses/by-nc/4.0/" TargetMode="External"/><Relationship Id="rId628" Type="http://schemas.openxmlformats.org/officeDocument/2006/relationships/hyperlink" Target="https://www.inaturalist.org/observations/342874388" TargetMode="External"/><Relationship Id="rId629" Type="http://schemas.openxmlformats.org/officeDocument/2006/relationships/hyperlink" Target="https://www.inaturalist.org/people/chinesepaddlefish" TargetMode="External"/><Relationship Id="rId630" Type="http://schemas.openxmlformats.org/officeDocument/2006/relationships/hyperlink" Target="https://creativecommons.org/licenses/by-nc/4.0/" TargetMode="External"/><Relationship Id="rId631" Type="http://schemas.openxmlformats.org/officeDocument/2006/relationships/hyperlink" Target="https://www.inaturalist.org/observations/333889464" TargetMode="External"/><Relationship Id="rId632" Type="http://schemas.openxmlformats.org/officeDocument/2006/relationships/hyperlink" Target="https://www.inaturalist.org/people/chinesepaddlefish" TargetMode="External"/><Relationship Id="rId633" Type="http://schemas.openxmlformats.org/officeDocument/2006/relationships/hyperlink" Target="https://creativecommons.org/licenses/by-nc/4.0/" TargetMode="External"/><Relationship Id="rId634" Type="http://schemas.openxmlformats.org/officeDocument/2006/relationships/hyperlink" Target="https://www.inaturalist.org/observations/333889464" TargetMode="External"/><Relationship Id="rId635" Type="http://schemas.openxmlformats.org/officeDocument/2006/relationships/hyperlink" Target="https://www.inaturalist.org/people/shensike" TargetMode="External"/><Relationship Id="rId636" Type="http://schemas.openxmlformats.org/officeDocument/2006/relationships/hyperlink" Target="https://creativecommons.org/licenses/by-nc/4.0/" TargetMode="External"/><Relationship Id="rId637" Type="http://schemas.openxmlformats.org/officeDocument/2006/relationships/hyperlink" Target="https://www.inaturalist.org/observations/325141068" TargetMode="External"/><Relationship Id="rId638" Type="http://schemas.openxmlformats.org/officeDocument/2006/relationships/hyperlink" Target="https://www.inaturalist.org/people/shensike" TargetMode="External"/><Relationship Id="rId639" Type="http://schemas.openxmlformats.org/officeDocument/2006/relationships/hyperlink" Target="https://creativecommons.org/licenses/by-nc/4.0/" TargetMode="External"/><Relationship Id="rId640" Type="http://schemas.openxmlformats.org/officeDocument/2006/relationships/hyperlink" Target="https://www.inaturalist.org/observations/325141068" TargetMode="External"/><Relationship Id="rId641" Type="http://schemas.openxmlformats.org/officeDocument/2006/relationships/hyperlink" Target="https://www.inaturalist.org/people/shensike" TargetMode="External"/><Relationship Id="rId642" Type="http://schemas.openxmlformats.org/officeDocument/2006/relationships/hyperlink" Target="https://creativecommons.org/licenses/by-nc/4.0/" TargetMode="External"/><Relationship Id="rId643" Type="http://schemas.openxmlformats.org/officeDocument/2006/relationships/hyperlink" Target="https://www.inaturalist.org/observations/325141068" TargetMode="External"/><Relationship Id="rId644" Type="http://schemas.openxmlformats.org/officeDocument/2006/relationships/hyperlink" Target="https://www.inaturalist.org/people/haitongyu" TargetMode="External"/><Relationship Id="rId645" Type="http://schemas.openxmlformats.org/officeDocument/2006/relationships/hyperlink" Target="https://creativecommons.org/licenses/by-nc/4.0/" TargetMode="External"/><Relationship Id="rId646" Type="http://schemas.openxmlformats.org/officeDocument/2006/relationships/hyperlink" Target="https://www.inaturalist.org/observations/313470140" TargetMode="External"/><Relationship Id="rId647" Type="http://schemas.openxmlformats.org/officeDocument/2006/relationships/hyperlink" Target="https://www.inaturalist.org/people/yexingcha" TargetMode="External"/><Relationship Id="rId648" Type="http://schemas.openxmlformats.org/officeDocument/2006/relationships/hyperlink" Target="https://creativecommons.org/licenses/by-nc/4.0/" TargetMode="External"/><Relationship Id="rId649" Type="http://schemas.openxmlformats.org/officeDocument/2006/relationships/hyperlink" Target="https://www.inaturalist.org/observations/304155023" TargetMode="External"/><Relationship Id="rId650" Type="http://schemas.openxmlformats.org/officeDocument/2006/relationships/hyperlink" Target="https://www.inaturalist.org/people/haocong_cat" TargetMode="External"/><Relationship Id="rId651" Type="http://schemas.openxmlformats.org/officeDocument/2006/relationships/hyperlink" Target="https://creativecommons.org/licenses/by-nc/4.0/" TargetMode="External"/><Relationship Id="rId652" Type="http://schemas.openxmlformats.org/officeDocument/2006/relationships/hyperlink" Target="https://www.inaturalist.org/observations/303431938" TargetMode="External"/><Relationship Id="rId653" Type="http://schemas.openxmlformats.org/officeDocument/2006/relationships/hyperlink" Target="https://www.inaturalist.org/people/haocong_cat" TargetMode="External"/><Relationship Id="rId654" Type="http://schemas.openxmlformats.org/officeDocument/2006/relationships/hyperlink" Target="https://creativecommons.org/licenses/by-nc/4.0/" TargetMode="External"/><Relationship Id="rId655" Type="http://schemas.openxmlformats.org/officeDocument/2006/relationships/hyperlink" Target="https://www.inaturalist.org/observations/303431938" TargetMode="External"/><Relationship Id="rId656" Type="http://schemas.openxmlformats.org/officeDocument/2006/relationships/hyperlink" Target="https://www.inaturalist.org/people/byd_sb" TargetMode="External"/><Relationship Id="rId657" Type="http://schemas.openxmlformats.org/officeDocument/2006/relationships/hyperlink" Target="https://creativecommons.org/licenses/by-nc/4.0/" TargetMode="External"/><Relationship Id="rId658" Type="http://schemas.openxmlformats.org/officeDocument/2006/relationships/hyperlink" Target="https://www.inaturalist.org/observations/300725590" TargetMode="External"/><Relationship Id="rId659" Type="http://schemas.openxmlformats.org/officeDocument/2006/relationships/hyperlink" Target="https://www.inaturalist.org/people/rainbowlkc" TargetMode="External"/><Relationship Id="rId660" Type="http://schemas.openxmlformats.org/officeDocument/2006/relationships/hyperlink" Target="https://creativecommons.org/licenses/by-nc/4.0/" TargetMode="External"/><Relationship Id="rId661" Type="http://schemas.openxmlformats.org/officeDocument/2006/relationships/hyperlink" Target="https://www.inaturalist.org/observations/299116747" TargetMode="External"/><Relationship Id="rId662" Type="http://schemas.openxmlformats.org/officeDocument/2006/relationships/hyperlink" Target="https://www.inaturalist.org/people/rainbowlkc" TargetMode="External"/><Relationship Id="rId663" Type="http://schemas.openxmlformats.org/officeDocument/2006/relationships/hyperlink" Target="https://creativecommons.org/licenses/by-nc/4.0/" TargetMode="External"/><Relationship Id="rId664" Type="http://schemas.openxmlformats.org/officeDocument/2006/relationships/hyperlink" Target="https://www.inaturalist.org/observations/299116723" TargetMode="External"/><Relationship Id="rId665" Type="http://schemas.openxmlformats.org/officeDocument/2006/relationships/hyperlink" Target="https://www.inaturalist.org/people/rainbowlkc" TargetMode="External"/><Relationship Id="rId666" Type="http://schemas.openxmlformats.org/officeDocument/2006/relationships/hyperlink" Target="https://creativecommons.org/licenses/by-nc/4.0/" TargetMode="External"/><Relationship Id="rId667" Type="http://schemas.openxmlformats.org/officeDocument/2006/relationships/hyperlink" Target="https://www.inaturalist.org/observations/299116693" TargetMode="External"/><Relationship Id="rId668" Type="http://schemas.openxmlformats.org/officeDocument/2006/relationships/hyperlink" Target="https://www.inaturalist.org/people/rainbowlkc" TargetMode="External"/><Relationship Id="rId669" Type="http://schemas.openxmlformats.org/officeDocument/2006/relationships/hyperlink" Target="https://creativecommons.org/licenses/by-nc/4.0/" TargetMode="External"/><Relationship Id="rId670" Type="http://schemas.openxmlformats.org/officeDocument/2006/relationships/hyperlink" Target="https://www.inaturalist.org/observations/299116646" TargetMode="External"/><Relationship Id="rId671" Type="http://schemas.openxmlformats.org/officeDocument/2006/relationships/hyperlink" Target="https://www.inaturalist.org/people/rainbowlkc" TargetMode="External"/><Relationship Id="rId672" Type="http://schemas.openxmlformats.org/officeDocument/2006/relationships/hyperlink" Target="https://creativecommons.org/licenses/by-nc/4.0/" TargetMode="External"/><Relationship Id="rId673" Type="http://schemas.openxmlformats.org/officeDocument/2006/relationships/hyperlink" Target="https://www.inaturalist.org/observations/299116622" TargetMode="External"/><Relationship Id="rId674" Type="http://schemas.openxmlformats.org/officeDocument/2006/relationships/hyperlink" Target="https://www.inaturalist.org/people/rainbowlkc" TargetMode="External"/><Relationship Id="rId675" Type="http://schemas.openxmlformats.org/officeDocument/2006/relationships/hyperlink" Target="https://creativecommons.org/licenses/by-nc/4.0/" TargetMode="External"/><Relationship Id="rId676" Type="http://schemas.openxmlformats.org/officeDocument/2006/relationships/hyperlink" Target="https://www.inaturalist.org/observations/299116606" TargetMode="External"/><Relationship Id="rId677" Type="http://schemas.openxmlformats.org/officeDocument/2006/relationships/hyperlink" Target="https://www.inaturalist.org/people/rainbowlkc" TargetMode="External"/><Relationship Id="rId678" Type="http://schemas.openxmlformats.org/officeDocument/2006/relationships/hyperlink" Target="https://creativecommons.org/licenses/by-nc/4.0/" TargetMode="External"/><Relationship Id="rId679" Type="http://schemas.openxmlformats.org/officeDocument/2006/relationships/hyperlink" Target="https://www.inaturalist.org/observations/299116569" TargetMode="External"/><Relationship Id="rId680" Type="http://schemas.openxmlformats.org/officeDocument/2006/relationships/hyperlink" Target="https://www.inaturalist.org/people/rainbowlkc" TargetMode="External"/><Relationship Id="rId681" Type="http://schemas.openxmlformats.org/officeDocument/2006/relationships/hyperlink" Target="https://creativecommons.org/licenses/by-nc/4.0/" TargetMode="External"/><Relationship Id="rId682" Type="http://schemas.openxmlformats.org/officeDocument/2006/relationships/hyperlink" Target="https://www.inaturalist.org/observations/299116516" TargetMode="External"/><Relationship Id="rId683" Type="http://schemas.openxmlformats.org/officeDocument/2006/relationships/hyperlink" Target="https://www.inaturalist.org/people/rainbowlkc" TargetMode="External"/><Relationship Id="rId684" Type="http://schemas.openxmlformats.org/officeDocument/2006/relationships/hyperlink" Target="https://creativecommons.org/licenses/by-nc/4.0/" TargetMode="External"/><Relationship Id="rId685" Type="http://schemas.openxmlformats.org/officeDocument/2006/relationships/hyperlink" Target="https://www.inaturalist.org/observations/299116493" TargetMode="External"/><Relationship Id="rId686" Type="http://schemas.openxmlformats.org/officeDocument/2006/relationships/hyperlink" Target="https://www.inaturalist.org/people/rainbowlkc" TargetMode="External"/><Relationship Id="rId687" Type="http://schemas.openxmlformats.org/officeDocument/2006/relationships/hyperlink" Target="https://creativecommons.org/licenses/by-nc/4.0/" TargetMode="External"/><Relationship Id="rId688" Type="http://schemas.openxmlformats.org/officeDocument/2006/relationships/hyperlink" Target="https://www.inaturalist.org/observations/299116466" TargetMode="External"/><Relationship Id="rId689" Type="http://schemas.openxmlformats.org/officeDocument/2006/relationships/hyperlink" Target="https://www.inaturalist.org/people/rainbowlkc" TargetMode="External"/><Relationship Id="rId690" Type="http://schemas.openxmlformats.org/officeDocument/2006/relationships/hyperlink" Target="https://creativecommons.org/licenses/by-nc/4.0/" TargetMode="External"/><Relationship Id="rId691" Type="http://schemas.openxmlformats.org/officeDocument/2006/relationships/hyperlink" Target="https://www.inaturalist.org/observations/299116435" TargetMode="External"/><Relationship Id="rId692" Type="http://schemas.openxmlformats.org/officeDocument/2006/relationships/hyperlink" Target="https://www.inaturalist.org/people/islander_iskander" TargetMode="External"/><Relationship Id="rId693" Type="http://schemas.openxmlformats.org/officeDocument/2006/relationships/hyperlink" Target="https://creativecommons.org/licenses/by-nc/4.0/" TargetMode="External"/><Relationship Id="rId694" Type="http://schemas.openxmlformats.org/officeDocument/2006/relationships/hyperlink" Target="https://www.inaturalist.org/observations/299010601" TargetMode="External"/><Relationship Id="rId695" Type="http://schemas.openxmlformats.org/officeDocument/2006/relationships/hyperlink" Target="https://www.inaturalist.org/people/islander_iskander" TargetMode="External"/><Relationship Id="rId696" Type="http://schemas.openxmlformats.org/officeDocument/2006/relationships/hyperlink" Target="https://creativecommons.org/licenses/by-nc/4.0/" TargetMode="External"/><Relationship Id="rId697" Type="http://schemas.openxmlformats.org/officeDocument/2006/relationships/hyperlink" Target="https://www.inaturalist.org/observations/299010499" TargetMode="External"/><Relationship Id="rId698" Type="http://schemas.openxmlformats.org/officeDocument/2006/relationships/hyperlink" Target="https://www.inaturalist.org/people/islander_iskander" TargetMode="External"/><Relationship Id="rId699" Type="http://schemas.openxmlformats.org/officeDocument/2006/relationships/hyperlink" Target="https://creativecommons.org/licenses/by-nc/4.0/" TargetMode="External"/><Relationship Id="rId700" Type="http://schemas.openxmlformats.org/officeDocument/2006/relationships/hyperlink" Target="https://www.inaturalist.org/observations/299010420" TargetMode="External"/><Relationship Id="rId701" Type="http://schemas.openxmlformats.org/officeDocument/2006/relationships/hyperlink" Target="https://www.inaturalist.org/people/islander_iskander" TargetMode="External"/><Relationship Id="rId702" Type="http://schemas.openxmlformats.org/officeDocument/2006/relationships/hyperlink" Target="https://creativecommons.org/licenses/by-nc/4.0/" TargetMode="External"/><Relationship Id="rId703" Type="http://schemas.openxmlformats.org/officeDocument/2006/relationships/hyperlink" Target="https://www.inaturalist.org/observations/299010299" TargetMode="External"/><Relationship Id="rId704" Type="http://schemas.openxmlformats.org/officeDocument/2006/relationships/hyperlink" Target="https://www.inaturalist.org/people/islander_iskander" TargetMode="External"/><Relationship Id="rId705" Type="http://schemas.openxmlformats.org/officeDocument/2006/relationships/hyperlink" Target="https://creativecommons.org/licenses/by-nc/4.0/" TargetMode="External"/><Relationship Id="rId706" Type="http://schemas.openxmlformats.org/officeDocument/2006/relationships/hyperlink" Target="https://www.inaturalist.org/observations/299010150" TargetMode="External"/><Relationship Id="rId707" Type="http://schemas.openxmlformats.org/officeDocument/2006/relationships/hyperlink" Target="https://www.inaturalist.org/people/islander_iskander" TargetMode="External"/><Relationship Id="rId708" Type="http://schemas.openxmlformats.org/officeDocument/2006/relationships/hyperlink" Target="https://creativecommons.org/licenses/by-nc/4.0/" TargetMode="External"/><Relationship Id="rId709" Type="http://schemas.openxmlformats.org/officeDocument/2006/relationships/hyperlink" Target="https://www.inaturalist.org/observations/299010024" TargetMode="External"/><Relationship Id="rId710" Type="http://schemas.openxmlformats.org/officeDocument/2006/relationships/hyperlink" Target="https://www.inaturalist.org/people/islander_iskander" TargetMode="External"/><Relationship Id="rId711" Type="http://schemas.openxmlformats.org/officeDocument/2006/relationships/hyperlink" Target="https://creativecommons.org/licenses/by-nc/4.0/" TargetMode="External"/><Relationship Id="rId712" Type="http://schemas.openxmlformats.org/officeDocument/2006/relationships/hyperlink" Target="https://www.inaturalist.org/observations/299009947" TargetMode="External"/><Relationship Id="rId713" Type="http://schemas.openxmlformats.org/officeDocument/2006/relationships/hyperlink" Target="https://www.inaturalist.org/people/islander_iskander" TargetMode="External"/><Relationship Id="rId714" Type="http://schemas.openxmlformats.org/officeDocument/2006/relationships/hyperlink" Target="https://creativecommons.org/licenses/by-nc/4.0/" TargetMode="External"/><Relationship Id="rId715" Type="http://schemas.openxmlformats.org/officeDocument/2006/relationships/hyperlink" Target="https://www.inaturalist.org/observations/299009856" TargetMode="External"/><Relationship Id="rId716" Type="http://schemas.openxmlformats.org/officeDocument/2006/relationships/hyperlink" Target="https://www.inaturalist.org/people/islander_iskander" TargetMode="External"/><Relationship Id="rId717" Type="http://schemas.openxmlformats.org/officeDocument/2006/relationships/hyperlink" Target="https://creativecommons.org/licenses/by-nc/4.0/" TargetMode="External"/><Relationship Id="rId718" Type="http://schemas.openxmlformats.org/officeDocument/2006/relationships/hyperlink" Target="https://www.inaturalist.org/observations/299009754" TargetMode="External"/><Relationship Id="rId719" Type="http://schemas.openxmlformats.org/officeDocument/2006/relationships/hyperlink" Target="https://www.inaturalist.org/people/leekelai" TargetMode="External"/><Relationship Id="rId720" Type="http://schemas.openxmlformats.org/officeDocument/2006/relationships/hyperlink" Target="https://creativecommons.org/licenses/by-nc/4.0/" TargetMode="External"/><Relationship Id="rId721" Type="http://schemas.openxmlformats.org/officeDocument/2006/relationships/hyperlink" Target="https://www.inaturalist.org/observations/287790924" TargetMode="External"/><Relationship Id="rId722" Type="http://schemas.openxmlformats.org/officeDocument/2006/relationships/hyperlink" Target="https://www.inaturalist.org/people/leekelai" TargetMode="External"/><Relationship Id="rId723" Type="http://schemas.openxmlformats.org/officeDocument/2006/relationships/hyperlink" Target="https://creativecommons.org/licenses/by-nc/4.0/" TargetMode="External"/><Relationship Id="rId724" Type="http://schemas.openxmlformats.org/officeDocument/2006/relationships/hyperlink" Target="https://www.inaturalist.org/observations/287790924" TargetMode="External"/><Relationship Id="rId725" Type="http://schemas.openxmlformats.org/officeDocument/2006/relationships/hyperlink" Target="https://www.inaturalist.org/people/yizhidegua" TargetMode="External"/><Relationship Id="rId726" Type="http://schemas.openxmlformats.org/officeDocument/2006/relationships/hyperlink" Target="https://creativecommons.org/licenses/by-nc/4.0/" TargetMode="External"/><Relationship Id="rId727" Type="http://schemas.openxmlformats.org/officeDocument/2006/relationships/hyperlink" Target="https://www.inaturalist.org/observations/379140983" TargetMode="External"/><Relationship Id="rId728" Type="http://schemas.openxmlformats.org/officeDocument/2006/relationships/hyperlink" Target="https://www.inaturalist.org/people/yizhidegua" TargetMode="External"/><Relationship Id="rId729" Type="http://schemas.openxmlformats.org/officeDocument/2006/relationships/hyperlink" Target="https://creativecommons.org/licenses/by-nc/4.0/" TargetMode="External"/><Relationship Id="rId730" Type="http://schemas.openxmlformats.org/officeDocument/2006/relationships/hyperlink" Target="https://www.inaturalist.org/observations/379140983" TargetMode="External"/><Relationship Id="rId731" Type="http://schemas.openxmlformats.org/officeDocument/2006/relationships/hyperlink" Target="https://www.inaturalist.org/people/yizhidegua" TargetMode="External"/><Relationship Id="rId732" Type="http://schemas.openxmlformats.org/officeDocument/2006/relationships/hyperlink" Target="https://creativecommons.org/licenses/by-nc/4.0/" TargetMode="External"/><Relationship Id="rId733" Type="http://schemas.openxmlformats.org/officeDocument/2006/relationships/hyperlink" Target="https://www.inaturalist.org/observations/379140983" TargetMode="External"/><Relationship Id="rId734" Type="http://schemas.openxmlformats.org/officeDocument/2006/relationships/hyperlink" Target="https://www.inaturalist.org/people/yizhidegua" TargetMode="External"/><Relationship Id="rId735" Type="http://schemas.openxmlformats.org/officeDocument/2006/relationships/hyperlink" Target="https://creativecommons.org/licenses/by-nc/4.0/" TargetMode="External"/><Relationship Id="rId736" Type="http://schemas.openxmlformats.org/officeDocument/2006/relationships/hyperlink" Target="https://www.inaturalist.org/observations/379140983" TargetMode="External"/><Relationship Id="rId737" Type="http://schemas.openxmlformats.org/officeDocument/2006/relationships/hyperlink" Target="https://www.inaturalist.org/people/nianian" TargetMode="External"/><Relationship Id="rId738" Type="http://schemas.openxmlformats.org/officeDocument/2006/relationships/hyperlink" Target="https://creativecommons.org/licenses/by-nc/4.0/" TargetMode="External"/><Relationship Id="rId739" Type="http://schemas.openxmlformats.org/officeDocument/2006/relationships/hyperlink" Target="https://www.inaturalist.org/observations/361087273" TargetMode="External"/><Relationship Id="rId740" Type="http://schemas.openxmlformats.org/officeDocument/2006/relationships/hyperlink" Target="https://www.inaturalist.org/people/nianian" TargetMode="External"/><Relationship Id="rId741" Type="http://schemas.openxmlformats.org/officeDocument/2006/relationships/hyperlink" Target="https://creativecommons.org/licenses/by-nc/4.0/" TargetMode="External"/><Relationship Id="rId742" Type="http://schemas.openxmlformats.org/officeDocument/2006/relationships/hyperlink" Target="https://www.inaturalist.org/observations/361087273" TargetMode="External"/><Relationship Id="rId743" Type="http://schemas.openxmlformats.org/officeDocument/2006/relationships/hyperlink" Target="https://www.inaturalist.org/people/nianian" TargetMode="External"/><Relationship Id="rId744" Type="http://schemas.openxmlformats.org/officeDocument/2006/relationships/hyperlink" Target="https://creativecommons.org/licenses/by-nc/4.0/" TargetMode="External"/><Relationship Id="rId745" Type="http://schemas.openxmlformats.org/officeDocument/2006/relationships/hyperlink" Target="https://www.inaturalist.org/observations/361087273" TargetMode="External"/><Relationship Id="rId746" Type="http://schemas.openxmlformats.org/officeDocument/2006/relationships/hyperlink" Target="https://www.inaturalist.org/people/nianian" TargetMode="External"/><Relationship Id="rId747" Type="http://schemas.openxmlformats.org/officeDocument/2006/relationships/hyperlink" Target="https://creativecommons.org/licenses/by-nc/4.0/" TargetMode="External"/><Relationship Id="rId748" Type="http://schemas.openxmlformats.org/officeDocument/2006/relationships/hyperlink" Target="https://www.inaturalist.org/observations/361087273" TargetMode="External"/><Relationship Id="rId749" Type="http://schemas.openxmlformats.org/officeDocument/2006/relationships/hyperlink" Target="https://www.inaturalist.org/people/liushi" TargetMode="External"/><Relationship Id="rId750" Type="http://schemas.openxmlformats.org/officeDocument/2006/relationships/hyperlink" Target="https://creativecommons.org/licenses/by-nc/4.0/" TargetMode="External"/><Relationship Id="rId751" Type="http://schemas.openxmlformats.org/officeDocument/2006/relationships/hyperlink" Target="https://www.inaturalist.org/observations/349134751" TargetMode="External"/><Relationship Id="rId752" Type="http://schemas.openxmlformats.org/officeDocument/2006/relationships/hyperlink" Target="https://www.inaturalist.org/people/kragikuak" TargetMode="External"/><Relationship Id="rId753" Type="http://schemas.openxmlformats.org/officeDocument/2006/relationships/hyperlink" Target="https://creativecommons.org/licenses/by-nc/4.0/" TargetMode="External"/><Relationship Id="rId754" Type="http://schemas.openxmlformats.org/officeDocument/2006/relationships/hyperlink" Target="https://www.inaturalist.org/observations/347329292" TargetMode="External"/><Relationship Id="rId755" Type="http://schemas.openxmlformats.org/officeDocument/2006/relationships/hyperlink" Target="https://www.inaturalist.org/people/kragikuak" TargetMode="External"/><Relationship Id="rId756" Type="http://schemas.openxmlformats.org/officeDocument/2006/relationships/hyperlink" Target="https://creativecommons.org/licenses/by-nc/4.0/" TargetMode="External"/><Relationship Id="rId757" Type="http://schemas.openxmlformats.org/officeDocument/2006/relationships/hyperlink" Target="https://www.inaturalist.org/observations/346838252" TargetMode="External"/><Relationship Id="rId758" Type="http://schemas.openxmlformats.org/officeDocument/2006/relationships/hyperlink" Target="https://www.inaturalist.org/people/kragikuak" TargetMode="External"/><Relationship Id="rId759" Type="http://schemas.openxmlformats.org/officeDocument/2006/relationships/hyperlink" Target="https://creativecommons.org/licenses/by-nc/4.0/" TargetMode="External"/><Relationship Id="rId760" Type="http://schemas.openxmlformats.org/officeDocument/2006/relationships/hyperlink" Target="https://www.inaturalist.org/observations/346838252" TargetMode="External"/><Relationship Id="rId761" Type="http://schemas.openxmlformats.org/officeDocument/2006/relationships/hyperlink" Target="https://www.inaturalist.org/people/kragikuak" TargetMode="External"/><Relationship Id="rId762" Type="http://schemas.openxmlformats.org/officeDocument/2006/relationships/hyperlink" Target="https://creativecommons.org/licenses/by-nc/4.0/" TargetMode="External"/><Relationship Id="rId763" Type="http://schemas.openxmlformats.org/officeDocument/2006/relationships/hyperlink" Target="https://www.inaturalist.org/observations/346838252" TargetMode="External"/><Relationship Id="rId764" Type="http://schemas.openxmlformats.org/officeDocument/2006/relationships/hyperlink" Target="https://www.inaturalist.org/people/kragikuak" TargetMode="External"/><Relationship Id="rId765" Type="http://schemas.openxmlformats.org/officeDocument/2006/relationships/hyperlink" Target="https://creativecommons.org/licenses/by-nc/4.0/" TargetMode="External"/><Relationship Id="rId766" Type="http://schemas.openxmlformats.org/officeDocument/2006/relationships/hyperlink" Target="https://www.inaturalist.org/observations/346838252" TargetMode="External"/><Relationship Id="rId767" Type="http://schemas.openxmlformats.org/officeDocument/2006/relationships/hyperlink" Target="https://www.inaturalist.org/people/kragikuak" TargetMode="External"/><Relationship Id="rId768" Type="http://schemas.openxmlformats.org/officeDocument/2006/relationships/hyperlink" Target="https://creativecommons.org/licenses/by-nc/4.0/" TargetMode="External"/><Relationship Id="rId769" Type="http://schemas.openxmlformats.org/officeDocument/2006/relationships/hyperlink" Target="https://www.inaturalist.org/observations/346838252" TargetMode="External"/><Relationship Id="rId770" Type="http://schemas.openxmlformats.org/officeDocument/2006/relationships/hyperlink" Target="https://www.inaturalist.org/people/merdeux" TargetMode="External"/><Relationship Id="rId771" Type="http://schemas.openxmlformats.org/officeDocument/2006/relationships/hyperlink" Target="https://creativecommons.org/licenses/by-nc/4.0/" TargetMode="External"/><Relationship Id="rId772" Type="http://schemas.openxmlformats.org/officeDocument/2006/relationships/hyperlink" Target="https://www.inaturalist.org/observations/321042679" TargetMode="External"/><Relationship Id="rId773" Type="http://schemas.openxmlformats.org/officeDocument/2006/relationships/hyperlink" Target="https://www.inaturalist.org/people/merdeux" TargetMode="External"/><Relationship Id="rId774" Type="http://schemas.openxmlformats.org/officeDocument/2006/relationships/hyperlink" Target="https://creativecommons.org/licenses/by-nc/4.0/" TargetMode="External"/><Relationship Id="rId775" Type="http://schemas.openxmlformats.org/officeDocument/2006/relationships/hyperlink" Target="https://www.inaturalist.org/observations/321042679" TargetMode="External"/><Relationship Id="rId776" Type="http://schemas.openxmlformats.org/officeDocument/2006/relationships/hyperlink" Target="https://www.inaturalist.org/people/merdeux" TargetMode="External"/><Relationship Id="rId777" Type="http://schemas.openxmlformats.org/officeDocument/2006/relationships/hyperlink" Target="https://creativecommons.org/licenses/by-nc/4.0/" TargetMode="External"/><Relationship Id="rId778" Type="http://schemas.openxmlformats.org/officeDocument/2006/relationships/hyperlink" Target="https://www.inaturalist.org/observations/321042679" TargetMode="External"/><Relationship Id="rId779" Type="http://schemas.openxmlformats.org/officeDocument/2006/relationships/hyperlink" Target="https://www.inaturalist.org/people/merdeux" TargetMode="External"/><Relationship Id="rId780" Type="http://schemas.openxmlformats.org/officeDocument/2006/relationships/hyperlink" Target="https://creativecommons.org/licenses/by-nc/4.0/" TargetMode="External"/><Relationship Id="rId781" Type="http://schemas.openxmlformats.org/officeDocument/2006/relationships/hyperlink" Target="https://www.inaturalist.org/observations/321042679" TargetMode="External"/><Relationship Id="rId782" Type="http://schemas.openxmlformats.org/officeDocument/2006/relationships/hyperlink" Target="https://www.inaturalist.org/people/merdeux" TargetMode="External"/><Relationship Id="rId783" Type="http://schemas.openxmlformats.org/officeDocument/2006/relationships/hyperlink" Target="https://creativecommons.org/licenses/by-nc/4.0/" TargetMode="External"/><Relationship Id="rId784" Type="http://schemas.openxmlformats.org/officeDocument/2006/relationships/hyperlink" Target="https://www.inaturalist.org/observations/320580731" TargetMode="External"/><Relationship Id="rId785" Type="http://schemas.openxmlformats.org/officeDocument/2006/relationships/hyperlink" Target="https://www.inaturalist.org/people/merdeux" TargetMode="External"/><Relationship Id="rId786" Type="http://schemas.openxmlformats.org/officeDocument/2006/relationships/hyperlink" Target="https://creativecommons.org/licenses/by-nc/4.0/" TargetMode="External"/><Relationship Id="rId787" Type="http://schemas.openxmlformats.org/officeDocument/2006/relationships/hyperlink" Target="https://www.inaturalist.org/observations/320580731" TargetMode="External"/><Relationship Id="rId788" Type="http://schemas.openxmlformats.org/officeDocument/2006/relationships/hyperlink" Target="https://www.inaturalist.org/people/merdeux" TargetMode="External"/><Relationship Id="rId789" Type="http://schemas.openxmlformats.org/officeDocument/2006/relationships/hyperlink" Target="https://creativecommons.org/licenses/by-nc/4.0/" TargetMode="External"/><Relationship Id="rId790" Type="http://schemas.openxmlformats.org/officeDocument/2006/relationships/hyperlink" Target="https://www.inaturalist.org/observations/319870609" TargetMode="External"/><Relationship Id="rId791" Type="http://schemas.openxmlformats.org/officeDocument/2006/relationships/hyperlink" Target="https://www.inaturalist.org/people/psyduckey" TargetMode="External"/><Relationship Id="rId792" Type="http://schemas.openxmlformats.org/officeDocument/2006/relationships/hyperlink" Target="https://creativecommons.org/licenses/by-nc/4.0/" TargetMode="External"/><Relationship Id="rId793" Type="http://schemas.openxmlformats.org/officeDocument/2006/relationships/hyperlink" Target="https://www.inaturalist.org/observations/319322821" TargetMode="External"/><Relationship Id="rId794" Type="http://schemas.openxmlformats.org/officeDocument/2006/relationships/hyperlink" Target="https://www.inaturalist.org/people/psyduckey" TargetMode="External"/><Relationship Id="rId795" Type="http://schemas.openxmlformats.org/officeDocument/2006/relationships/hyperlink" Target="https://creativecommons.org/licenses/by-nc/4.0/" TargetMode="External"/><Relationship Id="rId796" Type="http://schemas.openxmlformats.org/officeDocument/2006/relationships/hyperlink" Target="https://www.inaturalist.org/observations/318537436" TargetMode="External"/><Relationship Id="rId797" Type="http://schemas.openxmlformats.org/officeDocument/2006/relationships/hyperlink" Target="https://www.inaturalist.org/people/psyduckey" TargetMode="External"/><Relationship Id="rId798" Type="http://schemas.openxmlformats.org/officeDocument/2006/relationships/hyperlink" Target="https://creativecommons.org/licenses/by-nc/4.0/" TargetMode="External"/><Relationship Id="rId799" Type="http://schemas.openxmlformats.org/officeDocument/2006/relationships/hyperlink" Target="https://www.inaturalist.org/observations/318537433" TargetMode="External"/><Relationship Id="rId800" Type="http://schemas.openxmlformats.org/officeDocument/2006/relationships/hyperlink" Target="https://www.inaturalist.org/people/xx2023" TargetMode="External"/><Relationship Id="rId801" Type="http://schemas.openxmlformats.org/officeDocument/2006/relationships/hyperlink" Target="https://creativecommons.org/licenses/by-nc/4.0/" TargetMode="External"/><Relationship Id="rId802" Type="http://schemas.openxmlformats.org/officeDocument/2006/relationships/hyperlink" Target="https://www.inaturalist.org/observations/316918437" TargetMode="External"/><Relationship Id="rId803" Type="http://schemas.openxmlformats.org/officeDocument/2006/relationships/hyperlink" Target="https://www.inaturalist.org/people/xx2023" TargetMode="External"/><Relationship Id="rId804" Type="http://schemas.openxmlformats.org/officeDocument/2006/relationships/hyperlink" Target="https://creativecommons.org/licenses/by-nc/4.0/" TargetMode="External"/><Relationship Id="rId805" Type="http://schemas.openxmlformats.org/officeDocument/2006/relationships/hyperlink" Target="https://www.inaturalist.org/observations/316918383" TargetMode="External"/><Relationship Id="rId806" Type="http://schemas.openxmlformats.org/officeDocument/2006/relationships/hyperlink" Target="https://www.inaturalist.org/people/xx2023" TargetMode="External"/><Relationship Id="rId807" Type="http://schemas.openxmlformats.org/officeDocument/2006/relationships/hyperlink" Target="https://creativecommons.org/licenses/by-nc/4.0/" TargetMode="External"/><Relationship Id="rId808" Type="http://schemas.openxmlformats.org/officeDocument/2006/relationships/hyperlink" Target="https://www.inaturalist.org/observations/316918383" TargetMode="External"/><Relationship Id="rId809" Type="http://schemas.openxmlformats.org/officeDocument/2006/relationships/hyperlink" Target="https://www.inaturalist.org/people/mohubuqing" TargetMode="External"/><Relationship Id="rId810" Type="http://schemas.openxmlformats.org/officeDocument/2006/relationships/hyperlink" Target="https://creativecommons.org/licenses/by-nc/4.0/" TargetMode="External"/><Relationship Id="rId811" Type="http://schemas.openxmlformats.org/officeDocument/2006/relationships/hyperlink" Target="https://www.inaturalist.org/observations/308231308" TargetMode="External"/><Relationship Id="rId812" Type="http://schemas.openxmlformats.org/officeDocument/2006/relationships/hyperlink" Target="https://www.inaturalist.org/people/mohubuqing" TargetMode="External"/><Relationship Id="rId813" Type="http://schemas.openxmlformats.org/officeDocument/2006/relationships/hyperlink" Target="https://creativecommons.org/licenses/by-nc/4.0/" TargetMode="External"/><Relationship Id="rId814" Type="http://schemas.openxmlformats.org/officeDocument/2006/relationships/hyperlink" Target="https://www.inaturalist.org/observations/308231172" TargetMode="External"/><Relationship Id="rId815" Type="http://schemas.openxmlformats.org/officeDocument/2006/relationships/hyperlink" Target="https://www.inaturalist.org/people/mohubuqing" TargetMode="External"/><Relationship Id="rId816" Type="http://schemas.openxmlformats.org/officeDocument/2006/relationships/hyperlink" Target="https://creativecommons.org/licenses/by-nc/4.0/" TargetMode="External"/><Relationship Id="rId817" Type="http://schemas.openxmlformats.org/officeDocument/2006/relationships/hyperlink" Target="https://www.inaturalist.org/observations/308229194" TargetMode="External"/><Relationship Id="rId818" Type="http://schemas.openxmlformats.org/officeDocument/2006/relationships/hyperlink" Target="https://www.inaturalist.org/people/mohubuqing" TargetMode="External"/><Relationship Id="rId819" Type="http://schemas.openxmlformats.org/officeDocument/2006/relationships/hyperlink" Target="https://creativecommons.org/licenses/by-nc/4.0/" TargetMode="External"/><Relationship Id="rId820" Type="http://schemas.openxmlformats.org/officeDocument/2006/relationships/hyperlink" Target="https://www.inaturalist.org/observations/308229194" TargetMode="External"/><Relationship Id="rId821" Type="http://schemas.openxmlformats.org/officeDocument/2006/relationships/hyperlink" Target="https://www.inaturalist.org/people/jame_jian" TargetMode="External"/><Relationship Id="rId822" Type="http://schemas.openxmlformats.org/officeDocument/2006/relationships/hyperlink" Target="https://creativecommons.org/licenses/by-nc/4.0/" TargetMode="External"/><Relationship Id="rId823" Type="http://schemas.openxmlformats.org/officeDocument/2006/relationships/hyperlink" Target="https://www.inaturalist.org/observations/306927742" TargetMode="External"/><Relationship Id="rId824" Type="http://schemas.openxmlformats.org/officeDocument/2006/relationships/hyperlink" Target="https://www.inaturalist.org/people/yexiao" TargetMode="External"/><Relationship Id="rId825" Type="http://schemas.openxmlformats.org/officeDocument/2006/relationships/hyperlink" Target="https://creativecommons.org/licenses/by-nc/4.0/" TargetMode="External"/><Relationship Id="rId826" Type="http://schemas.openxmlformats.org/officeDocument/2006/relationships/hyperlink" Target="https://www.inaturalist.org/observations/306033904" TargetMode="External"/><Relationship Id="rId827" Type="http://schemas.openxmlformats.org/officeDocument/2006/relationships/hyperlink" Target="https://www.inaturalist.org/people/yexiao" TargetMode="External"/><Relationship Id="rId828" Type="http://schemas.openxmlformats.org/officeDocument/2006/relationships/hyperlink" Target="https://creativecommons.org/licenses/by-nc/4.0/" TargetMode="External"/><Relationship Id="rId829" Type="http://schemas.openxmlformats.org/officeDocument/2006/relationships/hyperlink" Target="https://www.inaturalist.org/observations/306033893" TargetMode="External"/><Relationship Id="rId830" Type="http://schemas.openxmlformats.org/officeDocument/2006/relationships/hyperlink" Target="https://www.inaturalist.org/people/chinesepaddlefish" TargetMode="External"/><Relationship Id="rId831" Type="http://schemas.openxmlformats.org/officeDocument/2006/relationships/hyperlink" Target="https://creativecommons.org/licenses/by-nc/4.0/" TargetMode="External"/><Relationship Id="rId832" Type="http://schemas.openxmlformats.org/officeDocument/2006/relationships/hyperlink" Target="https://www.inaturalist.org/observations/371697030" TargetMode="External"/><Relationship Id="rId833" Type="http://schemas.openxmlformats.org/officeDocument/2006/relationships/hyperlink" Target="https://www.inaturalist.org/people/chinesepaddlefish" TargetMode="External"/><Relationship Id="rId834" Type="http://schemas.openxmlformats.org/officeDocument/2006/relationships/hyperlink" Target="https://creativecommons.org/licenses/by-nc/4.0/" TargetMode="External"/><Relationship Id="rId835" Type="http://schemas.openxmlformats.org/officeDocument/2006/relationships/hyperlink" Target="https://www.inaturalist.org/observations/371697030" TargetMode="External"/><Relationship Id="rId836" Type="http://schemas.openxmlformats.org/officeDocument/2006/relationships/hyperlink" Target="https://www.inaturalist.org/people/chinesepaddlefish" TargetMode="External"/><Relationship Id="rId837" Type="http://schemas.openxmlformats.org/officeDocument/2006/relationships/hyperlink" Target="https://creativecommons.org/licenses/by-nc/4.0/" TargetMode="External"/><Relationship Id="rId838" Type="http://schemas.openxmlformats.org/officeDocument/2006/relationships/hyperlink" Target="https://www.inaturalist.org/observations/371697030" TargetMode="External"/><Relationship Id="rId839" Type="http://schemas.openxmlformats.org/officeDocument/2006/relationships/hyperlink" Target="https://www.inaturalist.org/people/miles1221" TargetMode="External"/><Relationship Id="rId840" Type="http://schemas.openxmlformats.org/officeDocument/2006/relationships/hyperlink" Target="https://creativecommons.org/licenses/by-nc/4.0/" TargetMode="External"/><Relationship Id="rId841" Type="http://schemas.openxmlformats.org/officeDocument/2006/relationships/hyperlink" Target="https://www.inaturalist.org/observations/364179417" TargetMode="External"/><Relationship Id="rId842" Type="http://schemas.openxmlformats.org/officeDocument/2006/relationships/hyperlink" Target="https://www.inaturalist.org/people/daisy_tardis" TargetMode="External"/><Relationship Id="rId843" Type="http://schemas.openxmlformats.org/officeDocument/2006/relationships/hyperlink" Target="https://creativecommons.org/licenses/by-nc/4.0/" TargetMode="External"/><Relationship Id="rId844" Type="http://schemas.openxmlformats.org/officeDocument/2006/relationships/hyperlink" Target="https://www.inaturalist.org/observations/353792114" TargetMode="External"/><Relationship Id="rId845" Type="http://schemas.openxmlformats.org/officeDocument/2006/relationships/hyperlink" Target="https://www.inaturalist.org/people/haocong_cat" TargetMode="External"/><Relationship Id="rId846" Type="http://schemas.openxmlformats.org/officeDocument/2006/relationships/hyperlink" Target="https://creativecommons.org/licenses/by-nc/4.0/" TargetMode="External"/><Relationship Id="rId847" Type="http://schemas.openxmlformats.org/officeDocument/2006/relationships/hyperlink" Target="https://www.inaturalist.org/observations/349580059" TargetMode="External"/><Relationship Id="rId848" Type="http://schemas.openxmlformats.org/officeDocument/2006/relationships/hyperlink" Target="https://www.inaturalist.org/people/haocong_cat" TargetMode="External"/><Relationship Id="rId849" Type="http://schemas.openxmlformats.org/officeDocument/2006/relationships/hyperlink" Target="https://creativecommons.org/licenses/by-nc/4.0/" TargetMode="External"/><Relationship Id="rId850" Type="http://schemas.openxmlformats.org/officeDocument/2006/relationships/hyperlink" Target="https://www.inaturalist.org/observations/349580042" TargetMode="External"/><Relationship Id="rId851" Type="http://schemas.openxmlformats.org/officeDocument/2006/relationships/hyperlink" Target="https://www.inaturalist.org/people/haocong_cat" TargetMode="External"/><Relationship Id="rId852" Type="http://schemas.openxmlformats.org/officeDocument/2006/relationships/hyperlink" Target="https://creativecommons.org/licenses/by-nc/4.0/" TargetMode="External"/><Relationship Id="rId853" Type="http://schemas.openxmlformats.org/officeDocument/2006/relationships/hyperlink" Target="https://www.inaturalist.org/observations/349580042" TargetMode="External"/><Relationship Id="rId854" Type="http://schemas.openxmlformats.org/officeDocument/2006/relationships/hyperlink" Target="https://www.inaturalist.org/people/haocong_cat" TargetMode="External"/><Relationship Id="rId855" Type="http://schemas.openxmlformats.org/officeDocument/2006/relationships/hyperlink" Target="https://creativecommons.org/licenses/by-nc/4.0/" TargetMode="External"/><Relationship Id="rId856" Type="http://schemas.openxmlformats.org/officeDocument/2006/relationships/hyperlink" Target="https://www.inaturalist.org/observations/349580041" TargetMode="External"/><Relationship Id="rId857" Type="http://schemas.openxmlformats.org/officeDocument/2006/relationships/hyperlink" Target="https://www.inaturalist.org/people/haocong_cat" TargetMode="External"/><Relationship Id="rId858" Type="http://schemas.openxmlformats.org/officeDocument/2006/relationships/hyperlink" Target="https://creativecommons.org/licenses/by-nc/4.0/" TargetMode="External"/><Relationship Id="rId859" Type="http://schemas.openxmlformats.org/officeDocument/2006/relationships/hyperlink" Target="https://www.inaturalist.org/observations/349580034" TargetMode="External"/><Relationship Id="rId860" Type="http://schemas.openxmlformats.org/officeDocument/2006/relationships/hyperlink" Target="https://www.inaturalist.org/people/haocong_cat" TargetMode="External"/><Relationship Id="rId861" Type="http://schemas.openxmlformats.org/officeDocument/2006/relationships/hyperlink" Target="https://creativecommons.org/licenses/by-nc/4.0/" TargetMode="External"/><Relationship Id="rId862" Type="http://schemas.openxmlformats.org/officeDocument/2006/relationships/hyperlink" Target="https://www.inaturalist.org/observations/349580031" TargetMode="External"/><Relationship Id="rId863" Type="http://schemas.openxmlformats.org/officeDocument/2006/relationships/hyperlink" Target="https://www.inaturalist.org/people/manfu" TargetMode="External"/><Relationship Id="rId864" Type="http://schemas.openxmlformats.org/officeDocument/2006/relationships/hyperlink" Target="https://creativecommons.org/licenses/by-nc/4.0/" TargetMode="External"/><Relationship Id="rId865" Type="http://schemas.openxmlformats.org/officeDocument/2006/relationships/hyperlink" Target="https://www.inaturalist.org/observations/340269769" TargetMode="External"/><Relationship Id="rId866" Type="http://schemas.openxmlformats.org/officeDocument/2006/relationships/hyperlink" Target="https://www.inaturalist.org/people/yufufu" TargetMode="External"/><Relationship Id="rId867" Type="http://schemas.openxmlformats.org/officeDocument/2006/relationships/hyperlink" Target="https://creativecommons.org/licenses/by-nc/4.0/" TargetMode="External"/><Relationship Id="rId868" Type="http://schemas.openxmlformats.org/officeDocument/2006/relationships/hyperlink" Target="https://www.inaturalist.org/observations/339855028" TargetMode="External"/><Relationship Id="rId869" Type="http://schemas.openxmlformats.org/officeDocument/2006/relationships/hyperlink" Target="https://www.inaturalist.org/people/vinitor" TargetMode="External"/><Relationship Id="rId870" Type="http://schemas.openxmlformats.org/officeDocument/2006/relationships/hyperlink" Target="https://creativecommons.org/licenses/by-nc/4.0/" TargetMode="External"/><Relationship Id="rId871" Type="http://schemas.openxmlformats.org/officeDocument/2006/relationships/hyperlink" Target="https://www.inaturalist.org/observations/336207246" TargetMode="External"/><Relationship Id="rId872" Type="http://schemas.openxmlformats.org/officeDocument/2006/relationships/hyperlink" Target="https://www.inaturalist.org/people/vinitor" TargetMode="External"/><Relationship Id="rId873" Type="http://schemas.openxmlformats.org/officeDocument/2006/relationships/hyperlink" Target="https://creativecommons.org/licenses/by-nc/4.0/" TargetMode="External"/><Relationship Id="rId874" Type="http://schemas.openxmlformats.org/officeDocument/2006/relationships/hyperlink" Target="https://www.inaturalist.org/observations/336207246" TargetMode="External"/><Relationship Id="rId875" Type="http://schemas.openxmlformats.org/officeDocument/2006/relationships/hyperlink" Target="https://www.inaturalist.org/people/yamato_desu" TargetMode="External"/><Relationship Id="rId876" Type="http://schemas.openxmlformats.org/officeDocument/2006/relationships/hyperlink" Target="https://creativecommons.org/licenses/by-nc/4.0/" TargetMode="External"/><Relationship Id="rId877" Type="http://schemas.openxmlformats.org/officeDocument/2006/relationships/hyperlink" Target="https://www.inaturalist.org/observations/333466651" TargetMode="External"/><Relationship Id="rId878" Type="http://schemas.openxmlformats.org/officeDocument/2006/relationships/hyperlink" Target="https://www.inaturalist.org/people/esther28230" TargetMode="External"/><Relationship Id="rId879" Type="http://schemas.openxmlformats.org/officeDocument/2006/relationships/hyperlink" Target="https://creativecommons.org/licenses/by-nc/4.0/" TargetMode="External"/><Relationship Id="rId880" Type="http://schemas.openxmlformats.org/officeDocument/2006/relationships/hyperlink" Target="https://www.inaturalist.org/observations/333446690" TargetMode="External"/><Relationship Id="rId881" Type="http://schemas.openxmlformats.org/officeDocument/2006/relationships/hyperlink" Target="https://www.inaturalist.org/people/beizi125" TargetMode="External"/><Relationship Id="rId882" Type="http://schemas.openxmlformats.org/officeDocument/2006/relationships/hyperlink" Target="https://creativecommons.org/licenses/by-nc/4.0/" TargetMode="External"/><Relationship Id="rId883" Type="http://schemas.openxmlformats.org/officeDocument/2006/relationships/hyperlink" Target="https://www.inaturalist.org/observations/330211347" TargetMode="External"/><Relationship Id="rId884" Type="http://schemas.openxmlformats.org/officeDocument/2006/relationships/hyperlink" Target="https://www.inaturalist.org/people/michaelzheng" TargetMode="External"/><Relationship Id="rId885" Type="http://schemas.openxmlformats.org/officeDocument/2006/relationships/hyperlink" Target="https://creativecommons.org/licenses/by-nc/4.0/" TargetMode="External"/><Relationship Id="rId886" Type="http://schemas.openxmlformats.org/officeDocument/2006/relationships/hyperlink" Target="https://www.inaturalist.org/observations/261229501" TargetMode="External"/><Relationship Id="rId887" Type="http://schemas.openxmlformats.org/officeDocument/2006/relationships/hyperlink" Target="https://www.inaturalist.org/people/yexingcha" TargetMode="External"/><Relationship Id="rId888" Type="http://schemas.openxmlformats.org/officeDocument/2006/relationships/hyperlink" Target="https://creativecommons.org/licenses/by-nc/4.0/" TargetMode="External"/><Relationship Id="rId889" Type="http://schemas.openxmlformats.org/officeDocument/2006/relationships/hyperlink" Target="https://www.inaturalist.org/observations/242503261" TargetMode="External"/><Relationship Id="rId890" Type="http://schemas.openxmlformats.org/officeDocument/2006/relationships/hyperlink" Target="https://www.inaturalist.org/people/xiongge" TargetMode="External"/><Relationship Id="rId891" Type="http://schemas.openxmlformats.org/officeDocument/2006/relationships/hyperlink" Target="https://creativecommons.org/licenses/by-nc/4.0/" TargetMode="External"/><Relationship Id="rId892" Type="http://schemas.openxmlformats.org/officeDocument/2006/relationships/hyperlink" Target="https://www.inaturalist.org/observations/238378792" TargetMode="External"/><Relationship Id="rId893" Type="http://schemas.openxmlformats.org/officeDocument/2006/relationships/hyperlink" Target="https://www.inaturalist.org/people/xiongge" TargetMode="External"/><Relationship Id="rId894" Type="http://schemas.openxmlformats.org/officeDocument/2006/relationships/hyperlink" Target="https://creativecommons.org/licenses/by-nc/4.0/" TargetMode="External"/><Relationship Id="rId895" Type="http://schemas.openxmlformats.org/officeDocument/2006/relationships/hyperlink" Target="https://www.inaturalist.org/observations/238378792" TargetMode="External"/><Relationship Id="rId896" Type="http://schemas.openxmlformats.org/officeDocument/2006/relationships/hyperlink" Target="https://www.inaturalist.org/people/xiongge" TargetMode="External"/><Relationship Id="rId897" Type="http://schemas.openxmlformats.org/officeDocument/2006/relationships/hyperlink" Target="https://creativecommons.org/licenses/by-nc/4.0/" TargetMode="External"/><Relationship Id="rId898" Type="http://schemas.openxmlformats.org/officeDocument/2006/relationships/hyperlink" Target="https://www.inaturalist.org/observations/238378792" TargetMode="External"/><Relationship Id="rId899" Type="http://schemas.openxmlformats.org/officeDocument/2006/relationships/hyperlink" Target="https://www.inaturalist.org/people/k0ng" TargetMode="External"/><Relationship Id="rId900" Type="http://schemas.openxmlformats.org/officeDocument/2006/relationships/hyperlink" Target="https://creativecommons.org/licenses/by-nc/4.0/" TargetMode="External"/><Relationship Id="rId901" Type="http://schemas.openxmlformats.org/officeDocument/2006/relationships/hyperlink" Target="https://www.inaturalist.org/observations/233630553" TargetMode="External"/><Relationship Id="rId902" Type="http://schemas.openxmlformats.org/officeDocument/2006/relationships/hyperlink" Target="https://www.inaturalist.org/people/k0ng" TargetMode="External"/><Relationship Id="rId903" Type="http://schemas.openxmlformats.org/officeDocument/2006/relationships/hyperlink" Target="https://creativecommons.org/licenses/by-nc/4.0/" TargetMode="External"/><Relationship Id="rId904" Type="http://schemas.openxmlformats.org/officeDocument/2006/relationships/hyperlink" Target="https://www.inaturalist.org/observations/233630553" TargetMode="External"/><Relationship Id="rId905" Type="http://schemas.openxmlformats.org/officeDocument/2006/relationships/hyperlink" Target="https://www.inaturalist.org/people/k0ng" TargetMode="External"/><Relationship Id="rId906" Type="http://schemas.openxmlformats.org/officeDocument/2006/relationships/hyperlink" Target="https://creativecommons.org/licenses/by-nc/4.0/" TargetMode="External"/><Relationship Id="rId907" Type="http://schemas.openxmlformats.org/officeDocument/2006/relationships/hyperlink" Target="https://www.inaturalist.org/observations/233630427" TargetMode="External"/><Relationship Id="rId908" Type="http://schemas.openxmlformats.org/officeDocument/2006/relationships/hyperlink" Target="https://www.inaturalist.org/people/k0ng" TargetMode="External"/><Relationship Id="rId909" Type="http://schemas.openxmlformats.org/officeDocument/2006/relationships/hyperlink" Target="https://creativecommons.org/licenses/by-nc/4.0/" TargetMode="External"/><Relationship Id="rId910" Type="http://schemas.openxmlformats.org/officeDocument/2006/relationships/hyperlink" Target="https://www.inaturalist.org/observations/233630427" TargetMode="External"/><Relationship Id="rId911" Type="http://schemas.openxmlformats.org/officeDocument/2006/relationships/hyperlink" Target="https://www.inaturalist.org/people/gaogao123" TargetMode="External"/><Relationship Id="rId912" Type="http://schemas.openxmlformats.org/officeDocument/2006/relationships/hyperlink" Target="https://creativecommons.org/licenses/by-nc/4.0/" TargetMode="External"/><Relationship Id="rId913" Type="http://schemas.openxmlformats.org/officeDocument/2006/relationships/hyperlink" Target="https://www.inaturalist.org/observations/228017155" TargetMode="External"/><Relationship Id="rId914" Type="http://schemas.openxmlformats.org/officeDocument/2006/relationships/hyperlink" Target="https://www.inaturalist.org/people/rook_fu" TargetMode="External"/><Relationship Id="rId915" Type="http://schemas.openxmlformats.org/officeDocument/2006/relationships/hyperlink" Target="https://creativecommons.org/licenses/by-nc/4.0/" TargetMode="External"/><Relationship Id="rId916" Type="http://schemas.openxmlformats.org/officeDocument/2006/relationships/hyperlink" Target="https://www.inaturalist.org/observations/226834432" TargetMode="External"/><Relationship Id="rId917" Type="http://schemas.openxmlformats.org/officeDocument/2006/relationships/hyperlink" Target="https://www.inaturalist.org/people/rook_fu" TargetMode="External"/><Relationship Id="rId918" Type="http://schemas.openxmlformats.org/officeDocument/2006/relationships/hyperlink" Target="https://creativecommons.org/licenses/by-nc/4.0/" TargetMode="External"/><Relationship Id="rId919" Type="http://schemas.openxmlformats.org/officeDocument/2006/relationships/hyperlink" Target="https://www.inaturalist.org/observations/226834192" TargetMode="External"/><Relationship Id="rId920" Type="http://schemas.openxmlformats.org/officeDocument/2006/relationships/hyperlink" Target="https://www.inaturalist.org/people/observe-syz" TargetMode="External"/><Relationship Id="rId921" Type="http://schemas.openxmlformats.org/officeDocument/2006/relationships/hyperlink" Target="https://creativecommons.org/licenses/by-nc/4.0/" TargetMode="External"/><Relationship Id="rId922" Type="http://schemas.openxmlformats.org/officeDocument/2006/relationships/hyperlink" Target="https://www.inaturalist.org/observations/196888281" TargetMode="External"/><Relationship Id="rId923" Type="http://schemas.openxmlformats.org/officeDocument/2006/relationships/hyperlink" Target="https://www.inaturalist.org/people/cypselurus" TargetMode="External"/><Relationship Id="rId924" Type="http://schemas.openxmlformats.org/officeDocument/2006/relationships/hyperlink" Target="https://creativecommons.org/licenses/by-nc/4.0/" TargetMode="External"/><Relationship Id="rId925" Type="http://schemas.openxmlformats.org/officeDocument/2006/relationships/hyperlink" Target="https://www.inaturalist.org/observations/195668182" TargetMode="External"/><Relationship Id="rId926" Type="http://schemas.openxmlformats.org/officeDocument/2006/relationships/hyperlink" Target="https://www.inaturalist.org/people/cypselurus" TargetMode="External"/><Relationship Id="rId927" Type="http://schemas.openxmlformats.org/officeDocument/2006/relationships/hyperlink" Target="https://creativecommons.org/licenses/by-nc/4.0/" TargetMode="External"/><Relationship Id="rId928" Type="http://schemas.openxmlformats.org/officeDocument/2006/relationships/hyperlink" Target="https://www.inaturalist.org/observations/195668182" TargetMode="External"/><Relationship Id="rId929" Type="http://schemas.openxmlformats.org/officeDocument/2006/relationships/hyperlink" Target="https://www.inaturalist.org/people/cypselurus" TargetMode="External"/><Relationship Id="rId930" Type="http://schemas.openxmlformats.org/officeDocument/2006/relationships/hyperlink" Target="https://creativecommons.org/licenses/by-nc/4.0/" TargetMode="External"/><Relationship Id="rId931" Type="http://schemas.openxmlformats.org/officeDocument/2006/relationships/hyperlink" Target="https://www.inaturalist.org/observations/195668182" TargetMode="External"/><Relationship Id="rId932" Type="http://schemas.openxmlformats.org/officeDocument/2006/relationships/hyperlink" Target="https://www.inaturalist.org/people/cypselurus" TargetMode="External"/><Relationship Id="rId933" Type="http://schemas.openxmlformats.org/officeDocument/2006/relationships/hyperlink" Target="https://creativecommons.org/licenses/by-nc/4.0/" TargetMode="External"/><Relationship Id="rId934" Type="http://schemas.openxmlformats.org/officeDocument/2006/relationships/hyperlink" Target="https://www.inaturalist.org/observations/195668182" TargetMode="External"/><Relationship Id="rId935" Type="http://schemas.openxmlformats.org/officeDocument/2006/relationships/hyperlink" Target="https://www.inaturalist.org/people/insecta666" TargetMode="External"/><Relationship Id="rId936" Type="http://schemas.openxmlformats.org/officeDocument/2006/relationships/hyperlink" Target="https://creativecommons.org/licenses/by-nc/4.0/" TargetMode="External"/><Relationship Id="rId937" Type="http://schemas.openxmlformats.org/officeDocument/2006/relationships/hyperlink" Target="https://www.inaturalist.org/observations/379069457" TargetMode="External"/><Relationship Id="rId938" Type="http://schemas.openxmlformats.org/officeDocument/2006/relationships/hyperlink" Target="https://www.inaturalist.org/people/serang" TargetMode="External"/><Relationship Id="rId939" Type="http://schemas.openxmlformats.org/officeDocument/2006/relationships/hyperlink" Target="https://creativecommons.org/licenses/by-nc/4.0/" TargetMode="External"/><Relationship Id="rId940" Type="http://schemas.openxmlformats.org/officeDocument/2006/relationships/hyperlink" Target="https://www.inaturalist.org/observations/376441261" TargetMode="External"/><Relationship Id="rId941" Type="http://schemas.openxmlformats.org/officeDocument/2006/relationships/hyperlink" Target="https://www.inaturalist.org/people/yapjg" TargetMode="External"/><Relationship Id="rId942" Type="http://schemas.openxmlformats.org/officeDocument/2006/relationships/hyperlink" Target="https://creativecommons.org/licenses/by-nc/4.0/" TargetMode="External"/><Relationship Id="rId943" Type="http://schemas.openxmlformats.org/officeDocument/2006/relationships/hyperlink" Target="https://www.inaturalist.org/observations/375238525" TargetMode="External"/><Relationship Id="rId944" Type="http://schemas.openxmlformats.org/officeDocument/2006/relationships/hyperlink" Target="https://www.inaturalist.org/people/yapjg" TargetMode="External"/><Relationship Id="rId945" Type="http://schemas.openxmlformats.org/officeDocument/2006/relationships/hyperlink" Target="https://creativecommons.org/licenses/by-nc/4.0/" TargetMode="External"/><Relationship Id="rId946" Type="http://schemas.openxmlformats.org/officeDocument/2006/relationships/hyperlink" Target="https://www.inaturalist.org/observations/375238525" TargetMode="External"/><Relationship Id="rId947" Type="http://schemas.openxmlformats.org/officeDocument/2006/relationships/hyperlink" Target="https://www.inaturalist.org/people/peterchristiaen" TargetMode="External"/><Relationship Id="rId948" Type="http://schemas.openxmlformats.org/officeDocument/2006/relationships/hyperlink" Target="https://creativecommons.org/licenses/by-nc/4.0/" TargetMode="External"/><Relationship Id="rId949" Type="http://schemas.openxmlformats.org/officeDocument/2006/relationships/hyperlink" Target="https://www.inaturalist.org/observations/374826359" TargetMode="External"/><Relationship Id="rId950" Type="http://schemas.openxmlformats.org/officeDocument/2006/relationships/hyperlink" Target="https://www.inaturalist.org/people/peterchristiaen" TargetMode="External"/><Relationship Id="rId951" Type="http://schemas.openxmlformats.org/officeDocument/2006/relationships/hyperlink" Target="https://creativecommons.org/licenses/by-nc/4.0/" TargetMode="External"/><Relationship Id="rId952" Type="http://schemas.openxmlformats.org/officeDocument/2006/relationships/hyperlink" Target="https://www.inaturalist.org/observations/374826359" TargetMode="External"/><Relationship Id="rId953" Type="http://schemas.openxmlformats.org/officeDocument/2006/relationships/hyperlink" Target="https://www.inaturalist.org/people/bobzakaria" TargetMode="External"/><Relationship Id="rId954" Type="http://schemas.openxmlformats.org/officeDocument/2006/relationships/hyperlink" Target="https://creativecommons.org/licenses/by-nc/4.0/" TargetMode="External"/><Relationship Id="rId955" Type="http://schemas.openxmlformats.org/officeDocument/2006/relationships/hyperlink" Target="https://www.inaturalist.org/observations/374599201" TargetMode="External"/><Relationship Id="rId956" Type="http://schemas.openxmlformats.org/officeDocument/2006/relationships/hyperlink" Target="https://www.inaturalist.org/people/bobzakaria" TargetMode="External"/><Relationship Id="rId957" Type="http://schemas.openxmlformats.org/officeDocument/2006/relationships/hyperlink" Target="https://creativecommons.org/licenses/by-nc/4.0/" TargetMode="External"/><Relationship Id="rId958" Type="http://schemas.openxmlformats.org/officeDocument/2006/relationships/hyperlink" Target="https://www.inaturalist.org/observations/374252224" TargetMode="External"/><Relationship Id="rId959" Type="http://schemas.openxmlformats.org/officeDocument/2006/relationships/hyperlink" Target="https://www.inaturalist.org/people/david_broek" TargetMode="External"/><Relationship Id="rId960" Type="http://schemas.openxmlformats.org/officeDocument/2006/relationships/hyperlink" Target="https://creativecommons.org/licenses/by-nc/4.0/" TargetMode="External"/><Relationship Id="rId961" Type="http://schemas.openxmlformats.org/officeDocument/2006/relationships/hyperlink" Target="https://www.inaturalist.org/observations/373867408" TargetMode="External"/><Relationship Id="rId962" Type="http://schemas.openxmlformats.org/officeDocument/2006/relationships/hyperlink" Target="https://www.inaturalist.org/people/bobzakaria" TargetMode="External"/><Relationship Id="rId963" Type="http://schemas.openxmlformats.org/officeDocument/2006/relationships/hyperlink" Target="https://creativecommons.org/licenses/by-nc/4.0/" TargetMode="External"/><Relationship Id="rId964" Type="http://schemas.openxmlformats.org/officeDocument/2006/relationships/hyperlink" Target="https://www.inaturalist.org/observations/372918777" TargetMode="External"/><Relationship Id="rId965" Type="http://schemas.openxmlformats.org/officeDocument/2006/relationships/hyperlink" Target="https://www.inaturalist.org/people/bobzakaria" TargetMode="External"/><Relationship Id="rId966" Type="http://schemas.openxmlformats.org/officeDocument/2006/relationships/hyperlink" Target="https://creativecommons.org/licenses/by-nc/4.0/" TargetMode="External"/><Relationship Id="rId967" Type="http://schemas.openxmlformats.org/officeDocument/2006/relationships/hyperlink" Target="https://www.inaturalist.org/observations/372917282" TargetMode="External"/><Relationship Id="rId968" Type="http://schemas.openxmlformats.org/officeDocument/2006/relationships/hyperlink" Target="https://www.inaturalist.org/people/baotruong999" TargetMode="External"/><Relationship Id="rId969" Type="http://schemas.openxmlformats.org/officeDocument/2006/relationships/hyperlink" Target="https://creativecommons.org/licenses/by-nc/4.0/" TargetMode="External"/><Relationship Id="rId970" Type="http://schemas.openxmlformats.org/officeDocument/2006/relationships/hyperlink" Target="https://www.inaturalist.org/observations/371691435" TargetMode="External"/><Relationship Id="rId971" Type="http://schemas.openxmlformats.org/officeDocument/2006/relationships/hyperlink" Target="https://www.inaturalist.org/people/shawayliu" TargetMode="External"/><Relationship Id="rId972" Type="http://schemas.openxmlformats.org/officeDocument/2006/relationships/hyperlink" Target="https://creativecommons.org/licenses/by-nc/4.0/" TargetMode="External"/><Relationship Id="rId973" Type="http://schemas.openxmlformats.org/officeDocument/2006/relationships/hyperlink" Target="https://www.inaturalist.org/observations/371517587" TargetMode="External"/><Relationship Id="rId974" Type="http://schemas.openxmlformats.org/officeDocument/2006/relationships/hyperlink" Target="https://www.inaturalist.org/people/rahmand8" TargetMode="External"/><Relationship Id="rId975" Type="http://schemas.openxmlformats.org/officeDocument/2006/relationships/hyperlink" Target="https://creativecommons.org/licenses/by-nc/4.0/" TargetMode="External"/><Relationship Id="rId976" Type="http://schemas.openxmlformats.org/officeDocument/2006/relationships/hyperlink" Target="https://www.inaturalist.org/observations/370609900" TargetMode="External"/><Relationship Id="rId977" Type="http://schemas.openxmlformats.org/officeDocument/2006/relationships/hyperlink" Target="https://www.inaturalist.org/people/ayuwat" TargetMode="External"/><Relationship Id="rId978" Type="http://schemas.openxmlformats.org/officeDocument/2006/relationships/hyperlink" Target="https://creativecommons.org/licenses/by-nc/4.0/" TargetMode="External"/><Relationship Id="rId979" Type="http://schemas.openxmlformats.org/officeDocument/2006/relationships/hyperlink" Target="https://www.inaturalist.org/observations/258916002" TargetMode="External"/><Relationship Id="rId980" Type="http://schemas.openxmlformats.org/officeDocument/2006/relationships/hyperlink" Target="https://www.inaturalist.org/people/oliverben92" TargetMode="External"/><Relationship Id="rId981" Type="http://schemas.openxmlformats.org/officeDocument/2006/relationships/hyperlink" Target="https://creativecommons.org/licenses/by-nc/4.0/" TargetMode="External"/><Relationship Id="rId982" Type="http://schemas.openxmlformats.org/officeDocument/2006/relationships/hyperlink" Target="https://www.inaturalist.org/observations/238739409" TargetMode="External"/><Relationship Id="rId983" Type="http://schemas.openxmlformats.org/officeDocument/2006/relationships/hyperlink" Target="https://www.inaturalist.org/people/ingkayut" TargetMode="External"/><Relationship Id="rId984" Type="http://schemas.openxmlformats.org/officeDocument/2006/relationships/hyperlink" Target="https://creativecommons.org/licenses/by-nc/4.0/" TargetMode="External"/><Relationship Id="rId985" Type="http://schemas.openxmlformats.org/officeDocument/2006/relationships/hyperlink" Target="https://www.inaturalist.org/observations/369192743" TargetMode="External"/><Relationship Id="rId986" Type="http://schemas.openxmlformats.org/officeDocument/2006/relationships/hyperlink" Target="https://www.inaturalist.org/people/ingkayut" TargetMode="External"/><Relationship Id="rId987" Type="http://schemas.openxmlformats.org/officeDocument/2006/relationships/hyperlink" Target="https://creativecommons.org/licenses/by-nc/4.0/" TargetMode="External"/><Relationship Id="rId988" Type="http://schemas.openxmlformats.org/officeDocument/2006/relationships/hyperlink" Target="https://www.inaturalist.org/observations/369192743" TargetMode="External"/><Relationship Id="rId989" Type="http://schemas.openxmlformats.org/officeDocument/2006/relationships/hyperlink" Target="https://www.inaturalist.org/people/biom" TargetMode="External"/><Relationship Id="rId990" Type="http://schemas.openxmlformats.org/officeDocument/2006/relationships/hyperlink" Target="https://creativecommons.org/licenses/by-nc/4.0/" TargetMode="External"/><Relationship Id="rId991" Type="http://schemas.openxmlformats.org/officeDocument/2006/relationships/hyperlink" Target="https://www.inaturalist.org/observations/367994927" TargetMode="External"/><Relationship Id="rId992" Type="http://schemas.openxmlformats.org/officeDocument/2006/relationships/hyperlink" Target="https://www.inaturalist.org/people/bobzakaria" TargetMode="External"/><Relationship Id="rId993" Type="http://schemas.openxmlformats.org/officeDocument/2006/relationships/hyperlink" Target="https://creativecommons.org/licenses/by-nc/4.0/" TargetMode="External"/><Relationship Id="rId994" Type="http://schemas.openxmlformats.org/officeDocument/2006/relationships/hyperlink" Target="https://www.inaturalist.org/observations/364586629" TargetMode="External"/><Relationship Id="rId995" Type="http://schemas.openxmlformats.org/officeDocument/2006/relationships/hyperlink" Target="https://www.inaturalist.org/people/seb_rea" TargetMode="External"/><Relationship Id="rId996" Type="http://schemas.openxmlformats.org/officeDocument/2006/relationships/hyperlink" Target="https://creativecommons.org/licenses/by-nc/4.0/" TargetMode="External"/><Relationship Id="rId997" Type="http://schemas.openxmlformats.org/officeDocument/2006/relationships/hyperlink" Target="https://www.inaturalist.org/observations/359118781" TargetMode="External"/><Relationship Id="rId998" Type="http://schemas.openxmlformats.org/officeDocument/2006/relationships/hyperlink" Target="https://www.inaturalist.org/people/liyoyo" TargetMode="External"/><Relationship Id="rId999" Type="http://schemas.openxmlformats.org/officeDocument/2006/relationships/hyperlink" Target="https://creativecommons.org/licenses/by-nc/4.0/" TargetMode="External"/><Relationship Id="rId1000" Type="http://schemas.openxmlformats.org/officeDocument/2006/relationships/hyperlink" Target="https://www.inaturalist.org/observations/347791544" TargetMode="External"/><Relationship Id="rId1001" Type="http://schemas.openxmlformats.org/officeDocument/2006/relationships/hyperlink" Target="https://www.inaturalist.org/people/liyoyo" TargetMode="External"/><Relationship Id="rId1002" Type="http://schemas.openxmlformats.org/officeDocument/2006/relationships/hyperlink" Target="https://creativecommons.org/licenses/by-nc/4.0/" TargetMode="External"/><Relationship Id="rId1003" Type="http://schemas.openxmlformats.org/officeDocument/2006/relationships/hyperlink" Target="https://www.inaturalist.org/observations/347791544" TargetMode="External"/><Relationship Id="rId1004" Type="http://schemas.openxmlformats.org/officeDocument/2006/relationships/hyperlink" Target="https://www.inaturalist.org/people/liyoyo" TargetMode="External"/><Relationship Id="rId1005" Type="http://schemas.openxmlformats.org/officeDocument/2006/relationships/hyperlink" Target="https://creativecommons.org/licenses/by-nc/4.0/" TargetMode="External"/><Relationship Id="rId1006" Type="http://schemas.openxmlformats.org/officeDocument/2006/relationships/hyperlink" Target="https://www.inaturalist.org/observations/347791544" TargetMode="External"/><Relationship Id="rId1007" Type="http://schemas.openxmlformats.org/officeDocument/2006/relationships/hyperlink" Target="https://www.inaturalist.org/people/oorthuysen" TargetMode="External"/><Relationship Id="rId1008" Type="http://schemas.openxmlformats.org/officeDocument/2006/relationships/hyperlink" Target="https://creativecommons.org/licenses/by-nc/4.0/" TargetMode="External"/><Relationship Id="rId1009" Type="http://schemas.openxmlformats.org/officeDocument/2006/relationships/hyperlink" Target="https://www.inaturalist.org/observations/347051049" TargetMode="External"/><Relationship Id="rId1010" Type="http://schemas.openxmlformats.org/officeDocument/2006/relationships/hyperlink" Target="https://www.inaturalist.org/people/antoine_vespe" TargetMode="External"/><Relationship Id="rId1011" Type="http://schemas.openxmlformats.org/officeDocument/2006/relationships/hyperlink" Target="https://creativecommons.org/licenses/by-nc/4.0/" TargetMode="External"/><Relationship Id="rId1012" Type="http://schemas.openxmlformats.org/officeDocument/2006/relationships/hyperlink" Target="https://www.inaturalist.org/observations/343752012" TargetMode="External"/><Relationship Id="rId1013" Type="http://schemas.openxmlformats.org/officeDocument/2006/relationships/hyperlink" Target="https://www.inaturalist.org/people/antoine_vespe" TargetMode="External"/><Relationship Id="rId1014" Type="http://schemas.openxmlformats.org/officeDocument/2006/relationships/hyperlink" Target="https://creativecommons.org/licenses/by-nc/4.0/" TargetMode="External"/><Relationship Id="rId1015" Type="http://schemas.openxmlformats.org/officeDocument/2006/relationships/hyperlink" Target="https://www.inaturalist.org/observations/343752012" TargetMode="External"/><Relationship Id="rId1016" Type="http://schemas.openxmlformats.org/officeDocument/2006/relationships/hyperlink" Target="https://www.inaturalist.org/people/oorthuysen" TargetMode="External"/><Relationship Id="rId1017" Type="http://schemas.openxmlformats.org/officeDocument/2006/relationships/hyperlink" Target="https://creativecommons.org/licenses/by-nc/4.0/" TargetMode="External"/><Relationship Id="rId1018" Type="http://schemas.openxmlformats.org/officeDocument/2006/relationships/hyperlink" Target="https://www.inaturalist.org/observations/343619155" TargetMode="External"/><Relationship Id="rId1019" Type="http://schemas.openxmlformats.org/officeDocument/2006/relationships/hyperlink" Target="https://www.inaturalist.org/people/fjwlhk" TargetMode="External"/><Relationship Id="rId1020" Type="http://schemas.openxmlformats.org/officeDocument/2006/relationships/hyperlink" Target="https://creativecommons.org/licenses/by-nc/4.0/" TargetMode="External"/><Relationship Id="rId1021" Type="http://schemas.openxmlformats.org/officeDocument/2006/relationships/hyperlink" Target="https://www.inaturalist.org/observations/343097686" TargetMode="External"/><Relationship Id="rId1022" Type="http://schemas.openxmlformats.org/officeDocument/2006/relationships/hyperlink" Target="https://www.inaturalist.org/people/smegmarc" TargetMode="External"/><Relationship Id="rId1023" Type="http://schemas.openxmlformats.org/officeDocument/2006/relationships/hyperlink" Target="https://creativecommons.org/licenses/by-nc/4.0/" TargetMode="External"/><Relationship Id="rId1024" Type="http://schemas.openxmlformats.org/officeDocument/2006/relationships/hyperlink" Target="https://www.inaturalist.org/observations/342559584" TargetMode="External"/><Relationship Id="rId1025" Type="http://schemas.openxmlformats.org/officeDocument/2006/relationships/hyperlink" Target="https://www.inaturalist.org/people/andrea93iga" TargetMode="External"/><Relationship Id="rId1026" Type="http://schemas.openxmlformats.org/officeDocument/2006/relationships/hyperlink" Target="https://creativecommons.org/licenses/by-nc/4.0/" TargetMode="External"/><Relationship Id="rId1027" Type="http://schemas.openxmlformats.org/officeDocument/2006/relationships/hyperlink" Target="https://www.inaturalist.org/observations/341885201" TargetMode="External"/><Relationship Id="rId1028" Type="http://schemas.openxmlformats.org/officeDocument/2006/relationships/hyperlink" Target="https://www.inaturalist.org/people/andrea93iga" TargetMode="External"/><Relationship Id="rId1029" Type="http://schemas.openxmlformats.org/officeDocument/2006/relationships/hyperlink" Target="https://creativecommons.org/licenses/by-nc/4.0/" TargetMode="External"/><Relationship Id="rId1030" Type="http://schemas.openxmlformats.org/officeDocument/2006/relationships/hyperlink" Target="https://www.inaturalist.org/observations/341885063" TargetMode="External"/><Relationship Id="rId1031" Type="http://schemas.openxmlformats.org/officeDocument/2006/relationships/hyperlink" Target="https://www.inaturalist.org/people/andrea93iga" TargetMode="External"/><Relationship Id="rId1032" Type="http://schemas.openxmlformats.org/officeDocument/2006/relationships/hyperlink" Target="https://creativecommons.org/licenses/by-nc/4.0/" TargetMode="External"/><Relationship Id="rId1033" Type="http://schemas.openxmlformats.org/officeDocument/2006/relationships/hyperlink" Target="https://www.inaturalist.org/observations/341884413" TargetMode="External"/><Relationship Id="rId1034" Type="http://schemas.openxmlformats.org/officeDocument/2006/relationships/hyperlink" Target="https://www.inaturalist.org/people/rimbawan_37" TargetMode="External"/><Relationship Id="rId1035" Type="http://schemas.openxmlformats.org/officeDocument/2006/relationships/hyperlink" Target="https://creativecommons.org/licenses/by-nc/4.0/" TargetMode="External"/><Relationship Id="rId1036" Type="http://schemas.openxmlformats.org/officeDocument/2006/relationships/hyperlink" Target="https://www.inaturalist.org/observations/341063794" TargetMode="External"/><Relationship Id="rId1037" Type="http://schemas.openxmlformats.org/officeDocument/2006/relationships/hyperlink" Target="https://www.inaturalist.org/people/kdvorhies" TargetMode="External"/><Relationship Id="rId1038" Type="http://schemas.openxmlformats.org/officeDocument/2006/relationships/hyperlink" Target="https://creativecommons.org/licenses/by-nc/4.0/" TargetMode="External"/><Relationship Id="rId1039" Type="http://schemas.openxmlformats.org/officeDocument/2006/relationships/hyperlink" Target="https://www.inaturalist.org/observations/339024072" TargetMode="External"/><Relationship Id="rId1040" Type="http://schemas.openxmlformats.org/officeDocument/2006/relationships/hyperlink" Target="https://www.inaturalist.org/people/flyfof" TargetMode="External"/><Relationship Id="rId1041" Type="http://schemas.openxmlformats.org/officeDocument/2006/relationships/hyperlink" Target="https://creativecommons.org/licenses/by-nc/4.0/" TargetMode="External"/><Relationship Id="rId1042" Type="http://schemas.openxmlformats.org/officeDocument/2006/relationships/hyperlink" Target="https://www.inaturalist.org/observations/363112705" TargetMode="External"/><Relationship Id="rId1043" Type="http://schemas.openxmlformats.org/officeDocument/2006/relationships/hyperlink" Target="https://www.inaturalist.org/people/aloys_pichard" TargetMode="External"/><Relationship Id="rId1044" Type="http://schemas.openxmlformats.org/officeDocument/2006/relationships/hyperlink" Target="https://creativecommons.org/licenses/by-nc/4.0/" TargetMode="External"/><Relationship Id="rId1045" Type="http://schemas.openxmlformats.org/officeDocument/2006/relationships/hyperlink" Target="https://www.inaturalist.org/observations/362724881" TargetMode="External"/><Relationship Id="rId1046" Type="http://schemas.openxmlformats.org/officeDocument/2006/relationships/hyperlink" Target="https://www.inaturalist.org/people/lucas-moreaux" TargetMode="External"/><Relationship Id="rId1047" Type="http://schemas.openxmlformats.org/officeDocument/2006/relationships/hyperlink" Target="https://creativecommons.org/licenses/by-nc/4.0/" TargetMode="External"/><Relationship Id="rId1048" Type="http://schemas.openxmlformats.org/officeDocument/2006/relationships/hyperlink" Target="https://www.inaturalist.org/observations/362061712" TargetMode="External"/><Relationship Id="rId1049" Type="http://schemas.openxmlformats.org/officeDocument/2006/relationships/hyperlink" Target="https://www.inaturalist.org/people/lucas-moreaux" TargetMode="External"/><Relationship Id="rId1050" Type="http://schemas.openxmlformats.org/officeDocument/2006/relationships/hyperlink" Target="https://creativecommons.org/licenses/by-nc/4.0/" TargetMode="External"/><Relationship Id="rId1051" Type="http://schemas.openxmlformats.org/officeDocument/2006/relationships/hyperlink" Target="https://www.inaturalist.org/observations/362061710" TargetMode="External"/><Relationship Id="rId1052" Type="http://schemas.openxmlformats.org/officeDocument/2006/relationships/hyperlink" Target="https://www.inaturalist.org/people/tarmand" TargetMode="External"/><Relationship Id="rId1053" Type="http://schemas.openxmlformats.org/officeDocument/2006/relationships/hyperlink" Target="https://creativecommons.org/licenses/by-nc/4.0/" TargetMode="External"/><Relationship Id="rId1054" Type="http://schemas.openxmlformats.org/officeDocument/2006/relationships/hyperlink" Target="https://www.inaturalist.org/observations/347920514" TargetMode="External"/><Relationship Id="rId1055" Type="http://schemas.openxmlformats.org/officeDocument/2006/relationships/hyperlink" Target="https://www.inaturalist.org/people/schnurmacher_richard" TargetMode="External"/><Relationship Id="rId1056" Type="http://schemas.openxmlformats.org/officeDocument/2006/relationships/hyperlink" Target="https://creativecommons.org/licenses/by-nc/4.0/" TargetMode="External"/><Relationship Id="rId1057" Type="http://schemas.openxmlformats.org/officeDocument/2006/relationships/hyperlink" Target="https://www.inaturalist.org/observations/341416585" TargetMode="External"/><Relationship Id="rId1058" Type="http://schemas.openxmlformats.org/officeDocument/2006/relationships/hyperlink" Target="https://www.inaturalist.org/people/schnurmacher_richard" TargetMode="External"/><Relationship Id="rId1059" Type="http://schemas.openxmlformats.org/officeDocument/2006/relationships/hyperlink" Target="https://creativecommons.org/licenses/by-nc/4.0/" TargetMode="External"/><Relationship Id="rId1060" Type="http://schemas.openxmlformats.org/officeDocument/2006/relationships/hyperlink" Target="https://www.inaturalist.org/observations/341416585" TargetMode="External"/><Relationship Id="rId1061" Type="http://schemas.openxmlformats.org/officeDocument/2006/relationships/hyperlink" Target="https://www.inaturalist.org/people/schnurmacher_richard" TargetMode="External"/><Relationship Id="rId1062" Type="http://schemas.openxmlformats.org/officeDocument/2006/relationships/hyperlink" Target="https://creativecommons.org/licenses/by-nc/4.0/" TargetMode="External"/><Relationship Id="rId1063" Type="http://schemas.openxmlformats.org/officeDocument/2006/relationships/hyperlink" Target="https://www.inaturalist.org/observations/341416585" TargetMode="External"/><Relationship Id="rId1064" Type="http://schemas.openxmlformats.org/officeDocument/2006/relationships/hyperlink" Target="https://www.inaturalist.org/people/schnurmacher_richard" TargetMode="External"/><Relationship Id="rId1065" Type="http://schemas.openxmlformats.org/officeDocument/2006/relationships/hyperlink" Target="https://creativecommons.org/licenses/by-nc/4.0/" TargetMode="External"/><Relationship Id="rId1066" Type="http://schemas.openxmlformats.org/officeDocument/2006/relationships/hyperlink" Target="https://www.inaturalist.org/observations/341416585" TargetMode="External"/><Relationship Id="rId1067" Type="http://schemas.openxmlformats.org/officeDocument/2006/relationships/hyperlink" Target="https://www.inaturalist.org/people/misikmilo" TargetMode="External"/><Relationship Id="rId1068" Type="http://schemas.openxmlformats.org/officeDocument/2006/relationships/hyperlink" Target="https://creativecommons.org/licenses/by-nc/4.0/" TargetMode="External"/><Relationship Id="rId1069" Type="http://schemas.openxmlformats.org/officeDocument/2006/relationships/hyperlink" Target="https://www.inaturalist.org/observations/340579425" TargetMode="External"/><Relationship Id="rId1070" Type="http://schemas.openxmlformats.org/officeDocument/2006/relationships/hyperlink" Target="https://www.inaturalist.org/people/misikmilo" TargetMode="External"/><Relationship Id="rId1071" Type="http://schemas.openxmlformats.org/officeDocument/2006/relationships/hyperlink" Target="https://creativecommons.org/licenses/by-nc/4.0/" TargetMode="External"/><Relationship Id="rId1072" Type="http://schemas.openxmlformats.org/officeDocument/2006/relationships/hyperlink" Target="https://www.inaturalist.org/observations/340579425" TargetMode="External"/><Relationship Id="rId1073" Type="http://schemas.openxmlformats.org/officeDocument/2006/relationships/hyperlink" Target="https://www.inaturalist.org/people/misikmilo" TargetMode="External"/><Relationship Id="rId1074" Type="http://schemas.openxmlformats.org/officeDocument/2006/relationships/hyperlink" Target="https://creativecommons.org/licenses/by-nc/4.0/" TargetMode="External"/><Relationship Id="rId1075" Type="http://schemas.openxmlformats.org/officeDocument/2006/relationships/hyperlink" Target="https://www.inaturalist.org/observations/340579425" TargetMode="External"/><Relationship Id="rId1076" Type="http://schemas.openxmlformats.org/officeDocument/2006/relationships/hyperlink" Target="https://www.inaturalist.org/people/misikmilo" TargetMode="External"/><Relationship Id="rId1077" Type="http://schemas.openxmlformats.org/officeDocument/2006/relationships/hyperlink" Target="https://creativecommons.org/licenses/by-nc/4.0/" TargetMode="External"/><Relationship Id="rId1078" Type="http://schemas.openxmlformats.org/officeDocument/2006/relationships/hyperlink" Target="https://www.inaturalist.org/observations/340579425" TargetMode="External"/><Relationship Id="rId1079" Type="http://schemas.openxmlformats.org/officeDocument/2006/relationships/hyperlink" Target="https://www.inaturalist.org/people/mikeadams_13" TargetMode="External"/><Relationship Id="rId1080" Type="http://schemas.openxmlformats.org/officeDocument/2006/relationships/hyperlink" Target="https://creativecommons.org/licenses/by-nc/4.0/" TargetMode="External"/><Relationship Id="rId1081" Type="http://schemas.openxmlformats.org/officeDocument/2006/relationships/hyperlink" Target="https://www.inaturalist.org/observations/250654384" TargetMode="External"/><Relationship Id="rId1082" Type="http://schemas.openxmlformats.org/officeDocument/2006/relationships/hyperlink" Target="https://www.inaturalist.org/people/alexheffernan" TargetMode="External"/><Relationship Id="rId1083" Type="http://schemas.openxmlformats.org/officeDocument/2006/relationships/hyperlink" Target="https://creativecommons.org/licenses/by-nc/4.0/" TargetMode="External"/><Relationship Id="rId1084" Type="http://schemas.openxmlformats.org/officeDocument/2006/relationships/hyperlink" Target="https://www.inaturalist.org/observations/330902233" TargetMode="External"/><Relationship Id="rId1085" Type="http://schemas.openxmlformats.org/officeDocument/2006/relationships/hyperlink" Target="https://www.inaturalist.org/people/lesbectrotters" TargetMode="External"/><Relationship Id="rId1086" Type="http://schemas.openxmlformats.org/officeDocument/2006/relationships/hyperlink" Target="https://creativecommons.org/licenses/by-nc/4.0/" TargetMode="External"/><Relationship Id="rId1087" Type="http://schemas.openxmlformats.org/officeDocument/2006/relationships/hyperlink" Target="https://www.inaturalist.org/observations/249886842" TargetMode="External"/><Relationship Id="rId1088" Type="http://schemas.openxmlformats.org/officeDocument/2006/relationships/hyperlink" Target="https://www.inaturalist.org/people/lesbectrotters" TargetMode="External"/><Relationship Id="rId1089" Type="http://schemas.openxmlformats.org/officeDocument/2006/relationships/hyperlink" Target="https://creativecommons.org/licenses/by-nc/4.0/" TargetMode="External"/><Relationship Id="rId1090" Type="http://schemas.openxmlformats.org/officeDocument/2006/relationships/hyperlink" Target="https://www.inaturalist.org/observations/249886842" TargetMode="External"/><Relationship Id="rId1091" Type="http://schemas.openxmlformats.org/officeDocument/2006/relationships/hyperlink" Target="https://www.inaturalist.org/people/eva_saison" TargetMode="External"/><Relationship Id="rId1092" Type="http://schemas.openxmlformats.org/officeDocument/2006/relationships/hyperlink" Target="https://creativecommons.org/licenses/by-nc/4.0/" TargetMode="External"/><Relationship Id="rId1093" Type="http://schemas.openxmlformats.org/officeDocument/2006/relationships/hyperlink" Target="https://www.inaturalist.org/observations/248989699" TargetMode="External"/><Relationship Id="rId1094" Type="http://schemas.openxmlformats.org/officeDocument/2006/relationships/hyperlink" Target="https://www.inaturalist.org/people/aaronjo" TargetMode="External"/><Relationship Id="rId1095" Type="http://schemas.openxmlformats.org/officeDocument/2006/relationships/hyperlink" Target="https://creativecommons.org/licenses/by-nc/4.0/" TargetMode="External"/><Relationship Id="rId1096" Type="http://schemas.openxmlformats.org/officeDocument/2006/relationships/hyperlink" Target="https://www.inaturalist.org/observations/340893661" TargetMode="External"/><Relationship Id="rId1097" Type="http://schemas.openxmlformats.org/officeDocument/2006/relationships/hyperlink" Target="https://www.inaturalist.org/people/mppwildlife" TargetMode="External"/><Relationship Id="rId1098" Type="http://schemas.openxmlformats.org/officeDocument/2006/relationships/hyperlink" Target="https://creativecommons.org/licenses/by-nc/4.0/" TargetMode="External"/><Relationship Id="rId1099" Type="http://schemas.openxmlformats.org/officeDocument/2006/relationships/hyperlink" Target="https://www.inaturalist.org/people/clement_lgrs" TargetMode="External"/><Relationship Id="rId1100" Type="http://schemas.openxmlformats.org/officeDocument/2006/relationships/hyperlink" Target="https://creativecommons.org/licenses/by-nc/4.0/" TargetMode="External"/><Relationship Id="rId1101" Type="http://schemas.openxmlformats.org/officeDocument/2006/relationships/hyperlink" Target="https://www.inaturalist.org/observations/339960955" TargetMode="External"/><Relationship Id="rId1102" Type="http://schemas.openxmlformats.org/officeDocument/2006/relationships/hyperlink" Target="https://www.inaturalist.org/people/villagedawn" TargetMode="External"/><Relationship Id="rId1103" Type="http://schemas.openxmlformats.org/officeDocument/2006/relationships/hyperlink" Target="https://creativecommons.org/licenses/by-nc/4.0/" TargetMode="External"/><Relationship Id="rId1104" Type="http://schemas.openxmlformats.org/officeDocument/2006/relationships/hyperlink" Target="https://www.inaturalist.org/observations/246989551" TargetMode="External"/><Relationship Id="rId1105" Type="http://schemas.openxmlformats.org/officeDocument/2006/relationships/hyperlink" Target="https://www.inaturalist.org/people/m_nicolas" TargetMode="External"/><Relationship Id="rId1106" Type="http://schemas.openxmlformats.org/officeDocument/2006/relationships/hyperlink" Target="https://creativecommons.org/licenses/by-nc/4.0/" TargetMode="External"/><Relationship Id="rId1107" Type="http://schemas.openxmlformats.org/officeDocument/2006/relationships/hyperlink" Target="https://www.inaturalist.org/observations/215045095" TargetMode="External"/><Relationship Id="rId1108" Type="http://schemas.openxmlformats.org/officeDocument/2006/relationships/hyperlink" Target="https://www.inaturalist.org/people/m_nicolas" TargetMode="External"/><Relationship Id="rId1109" Type="http://schemas.openxmlformats.org/officeDocument/2006/relationships/hyperlink" Target="https://creativecommons.org/licenses/by-nc/4.0/" TargetMode="External"/><Relationship Id="rId1110" Type="http://schemas.openxmlformats.org/officeDocument/2006/relationships/hyperlink" Target="https://www.inaturalist.org/observations/215045095" TargetMode="External"/><Relationship Id="rId1111" Type="http://schemas.openxmlformats.org/officeDocument/2006/relationships/hyperlink" Target="https://www.inaturalist.org/people/cephasmongs" TargetMode="External"/><Relationship Id="rId1112" Type="http://schemas.openxmlformats.org/officeDocument/2006/relationships/hyperlink" Target="https://creativecommons.org/licenses/by-nc/4.0/" TargetMode="External"/><Relationship Id="rId1113" Type="http://schemas.openxmlformats.org/officeDocument/2006/relationships/hyperlink" Target="https://www.inaturalist.org/observations/198710945" TargetMode="External"/><Relationship Id="rId1114" Type="http://schemas.openxmlformats.org/officeDocument/2006/relationships/hyperlink" Target="https://www.inaturalist.org/people/camcam7" TargetMode="External"/><Relationship Id="rId1115" Type="http://schemas.openxmlformats.org/officeDocument/2006/relationships/hyperlink" Target="https://creativecommons.org/licenses/by-nc/4.0/" TargetMode="External"/><Relationship Id="rId1116" Type="http://schemas.openxmlformats.org/officeDocument/2006/relationships/hyperlink" Target="https://www.inaturalist.org/observations/198676037" TargetMode="External"/><Relationship Id="rId1117" Type="http://schemas.openxmlformats.org/officeDocument/2006/relationships/hyperlink" Target="https://www.inaturalist.org/people/afropavo" TargetMode="External"/><Relationship Id="rId1118" Type="http://schemas.openxmlformats.org/officeDocument/2006/relationships/hyperlink" Target="https://creativecommons.org/licenses/by-nc/4.0/" TargetMode="External"/><Relationship Id="rId1119" Type="http://schemas.openxmlformats.org/officeDocument/2006/relationships/hyperlink" Target="https://www.inaturalist.org/observations/165705572" TargetMode="External"/><Relationship Id="rId1120" Type="http://schemas.openxmlformats.org/officeDocument/2006/relationships/hyperlink" Target="https://www.inaturalist.org/people/bahleman" TargetMode="External"/><Relationship Id="rId1121" Type="http://schemas.openxmlformats.org/officeDocument/2006/relationships/hyperlink" Target="https://creativecommons.org/licenses/by-nc/4.0/" TargetMode="External"/><Relationship Id="rId1122" Type="http://schemas.openxmlformats.org/officeDocument/2006/relationships/hyperlink" Target="https://www.inaturalist.org/observations/69083015" TargetMode="External"/><Relationship Id="rId1123" Type="http://schemas.openxmlformats.org/officeDocument/2006/relationships/hyperlink" Target="https://www.inaturalist.org/people/lydiamulvaney" TargetMode="External"/><Relationship Id="rId1124" Type="http://schemas.openxmlformats.org/officeDocument/2006/relationships/hyperlink" Target="https://creativecommons.org/licenses/by-nc/4.0/" TargetMode="External"/><Relationship Id="rId1125" Type="http://schemas.openxmlformats.org/officeDocument/2006/relationships/hyperlink" Target="https://www.inaturalist.org/observations/40153507" TargetMode="External"/><Relationship Id="rId1126" Type="http://schemas.openxmlformats.org/officeDocument/2006/relationships/hyperlink" Target="https://www.inaturalist.org/people/lydiamulvaney" TargetMode="External"/><Relationship Id="rId1127" Type="http://schemas.openxmlformats.org/officeDocument/2006/relationships/hyperlink" Target="https://creativecommons.org/licenses/by-nc/4.0/" TargetMode="External"/><Relationship Id="rId1128" Type="http://schemas.openxmlformats.org/officeDocument/2006/relationships/hyperlink" Target="https://www.inaturalist.org/observations/40153507" TargetMode="External"/><Relationship Id="rId1129" Type="http://schemas.openxmlformats.org/officeDocument/2006/relationships/hyperlink" Target="https://www.inaturalist.org/people/mwatts" TargetMode="External"/><Relationship Id="rId1130" Type="http://schemas.openxmlformats.org/officeDocument/2006/relationships/hyperlink" Target="https://creativecommons.org/licenses/by-nc/4.0/" TargetMode="External"/><Relationship Id="rId1131" Type="http://schemas.openxmlformats.org/officeDocument/2006/relationships/hyperlink" Target="https://www.inaturalist.org/observations/22363061" TargetMode="External"/><Relationship Id="rId1132" Type="http://schemas.openxmlformats.org/officeDocument/2006/relationships/hyperlink" Target="https://www.inaturalist.org/people/toganim" TargetMode="External"/><Relationship Id="rId1133" Type="http://schemas.openxmlformats.org/officeDocument/2006/relationships/hyperlink" Target="https://creativecommons.org/licenses/by-nc/4.0/" TargetMode="External"/><Relationship Id="rId1134" Type="http://schemas.openxmlformats.org/officeDocument/2006/relationships/hyperlink" Target="https://www.inaturalist.org/observations/20112280" TargetMode="External"/><Relationship Id="rId1135" Type="http://schemas.openxmlformats.org/officeDocument/2006/relationships/hyperlink" Target="https://www.inaturalist.org/people/rangeldiaz" TargetMode="External"/><Relationship Id="rId1136" Type="http://schemas.openxmlformats.org/officeDocument/2006/relationships/hyperlink" Target="https://creativecommons.org/licenses/by-nc/4.0/" TargetMode="External"/><Relationship Id="rId1137" Type="http://schemas.openxmlformats.org/officeDocument/2006/relationships/hyperlink" Target="https://www.inaturalist.org/observations/358173383" TargetMode="External"/><Relationship Id="rId1138" Type="http://schemas.openxmlformats.org/officeDocument/2006/relationships/hyperlink" Target="https://www.inaturalist.org/people/steven1993" TargetMode="External"/><Relationship Id="rId1139" Type="http://schemas.openxmlformats.org/officeDocument/2006/relationships/hyperlink" Target="https://creativecommons.org/licenses/by-nc/4.0/" TargetMode="External"/><Relationship Id="rId1140" Type="http://schemas.openxmlformats.org/officeDocument/2006/relationships/hyperlink" Target="https://www.inaturalist.org/observations/359104834" TargetMode="External"/><Relationship Id="rId1141" Type="http://schemas.openxmlformats.org/officeDocument/2006/relationships/hyperlink" Target="https://www.inaturalist.org/people/julian_leiva" TargetMode="External"/><Relationship Id="rId1142" Type="http://schemas.openxmlformats.org/officeDocument/2006/relationships/hyperlink" Target="https://creativecommons.org/licenses/by-nc/4.0/" TargetMode="External"/><Relationship Id="rId1143" Type="http://schemas.openxmlformats.org/officeDocument/2006/relationships/hyperlink" Target="https://www.inaturalist.org/observations/359507166" TargetMode="External"/><Relationship Id="rId1144" Type="http://schemas.openxmlformats.org/officeDocument/2006/relationships/hyperlink" Target="https://www.inaturalist.org/people/ethankinsey" TargetMode="External"/><Relationship Id="rId1145" Type="http://schemas.openxmlformats.org/officeDocument/2006/relationships/hyperlink" Target="https://creativecommons.org/licenses/by-nc/4.0/" TargetMode="External"/><Relationship Id="rId1146" Type="http://schemas.openxmlformats.org/officeDocument/2006/relationships/hyperlink" Target="https://www.inaturalist.org/observations/345868678" TargetMode="External"/><Relationship Id="rId1147" Type="http://schemas.openxmlformats.org/officeDocument/2006/relationships/hyperlink" Target="https://www.inaturalist.org/people/blackdogto" TargetMode="External"/><Relationship Id="rId1148" Type="http://schemas.openxmlformats.org/officeDocument/2006/relationships/hyperlink" Target="https://creativecommons.org/licenses/by-nc/4.0/" TargetMode="External"/><Relationship Id="rId1149" Type="http://schemas.openxmlformats.org/officeDocument/2006/relationships/hyperlink" Target="https://www.inaturalist.org/observations/335599574" TargetMode="External"/><Relationship Id="rId1150" Type="http://schemas.openxmlformats.org/officeDocument/2006/relationships/hyperlink" Target="https://www.inaturalist.org/people/blackdogto" TargetMode="External"/><Relationship Id="rId1151" Type="http://schemas.openxmlformats.org/officeDocument/2006/relationships/hyperlink" Target="https://creativecommons.org/licenses/by-nc/4.0/" TargetMode="External"/><Relationship Id="rId1152" Type="http://schemas.openxmlformats.org/officeDocument/2006/relationships/hyperlink" Target="https://www.inaturalist.org/observations/335599574" TargetMode="External"/><Relationship Id="rId1153" Type="http://schemas.openxmlformats.org/officeDocument/2006/relationships/hyperlink" Target="https://www.inaturalist.org/people/peadarbrehony" TargetMode="External"/><Relationship Id="rId1154" Type="http://schemas.openxmlformats.org/officeDocument/2006/relationships/hyperlink" Target="https://creativecommons.org/licenses/by-nc/4.0/" TargetMode="External"/><Relationship Id="rId1155" Type="http://schemas.openxmlformats.org/officeDocument/2006/relationships/hyperlink" Target="https://www.inaturalist.org/observations/280832128" TargetMode="External"/><Relationship Id="rId1156" Type="http://schemas.openxmlformats.org/officeDocument/2006/relationships/hyperlink" Target="https://www.inaturalist.org/people/rainbowli" TargetMode="External"/><Relationship Id="rId1157" Type="http://schemas.openxmlformats.org/officeDocument/2006/relationships/hyperlink" Target="https://creativecommons.org/licenses/by-nc/4.0/" TargetMode="External"/><Relationship Id="rId1158" Type="http://schemas.openxmlformats.org/officeDocument/2006/relationships/hyperlink" Target="https://www.inaturalist.org/observations/243027475" TargetMode="External"/><Relationship Id="rId1159" Type="http://schemas.openxmlformats.org/officeDocument/2006/relationships/hyperlink" Target="https://www.inaturalist.org/people/michal_sulc1" TargetMode="External"/><Relationship Id="rId1160" Type="http://schemas.openxmlformats.org/officeDocument/2006/relationships/hyperlink" Target="https://creativecommons.org/licenses/by-nc/4.0/" TargetMode="External"/><Relationship Id="rId1161" Type="http://schemas.openxmlformats.org/officeDocument/2006/relationships/hyperlink" Target="https://www.inaturalist.org/observations/230314205" TargetMode="External"/><Relationship Id="rId1162" Type="http://schemas.openxmlformats.org/officeDocument/2006/relationships/hyperlink" Target="https://www.inaturalist.org/people/chemp" TargetMode="External"/><Relationship Id="rId1163" Type="http://schemas.openxmlformats.org/officeDocument/2006/relationships/hyperlink" Target="https://creativecommons.org/licenses/by-nc/4.0/" TargetMode="External"/><Relationship Id="rId1164" Type="http://schemas.openxmlformats.org/officeDocument/2006/relationships/hyperlink" Target="https://www.inaturalist.org/observations/139865426" TargetMode="External"/><Relationship Id="rId1165" Type="http://schemas.openxmlformats.org/officeDocument/2006/relationships/hyperlink" Target="https://www.inaturalist.org/people/glorysummay" TargetMode="External"/><Relationship Id="rId1166" Type="http://schemas.openxmlformats.org/officeDocument/2006/relationships/hyperlink" Target="https://creativecommons.org/licenses/by-nc/4.0/" TargetMode="External"/><Relationship Id="rId1167" Type="http://schemas.openxmlformats.org/officeDocument/2006/relationships/hyperlink" Target="https://www.inaturalist.org/observations/34055338" TargetMode="External"/><Relationship Id="rId1168" Type="http://schemas.openxmlformats.org/officeDocument/2006/relationships/hyperlink" Target="https://www.inaturalist.org/people/mefupa" TargetMode="External"/><Relationship Id="rId1169" Type="http://schemas.openxmlformats.org/officeDocument/2006/relationships/hyperlink" Target="https://creativecommons.org/licenses/by-nc/4.0/" TargetMode="External"/><Relationship Id="rId1170" Type="http://schemas.openxmlformats.org/officeDocument/2006/relationships/hyperlink" Target="https://www.inaturalist.org/observations/22205872" TargetMode="External"/><Relationship Id="rId1171" Type="http://schemas.openxmlformats.org/officeDocument/2006/relationships/hyperlink" Target="https://www.inaturalist.org/people/kerejoo" TargetMode="External"/><Relationship Id="rId1172" Type="http://schemas.openxmlformats.org/officeDocument/2006/relationships/hyperlink" Target="https://creativecommons.org/licenses/by-nc/4.0/" TargetMode="External"/><Relationship Id="rId1173" Type="http://schemas.openxmlformats.org/officeDocument/2006/relationships/hyperlink" Target="https://www.inaturalist.org/observations/293327" TargetMode="External"/><Relationship Id="rId1174" Type="http://schemas.openxmlformats.org/officeDocument/2006/relationships/hyperlink" Target="https://www.inaturalist.org/people/edwinr21" TargetMode="External"/><Relationship Id="rId1175" Type="http://schemas.openxmlformats.org/officeDocument/2006/relationships/hyperlink" Target="https://creativecommons.org/licenses/by-nc/4.0/" TargetMode="External"/><Relationship Id="rId1176" Type="http://schemas.openxmlformats.org/officeDocument/2006/relationships/hyperlink" Target="https://www.inaturalist.org/observations/360588567" TargetMode="External"/><Relationship Id="rId1177" Type="http://schemas.openxmlformats.org/officeDocument/2006/relationships/hyperlink" Target="https://www.inaturalist.org/people/edwinr21" TargetMode="External"/><Relationship Id="rId1178" Type="http://schemas.openxmlformats.org/officeDocument/2006/relationships/hyperlink" Target="https://creativecommons.org/licenses/by-nc/4.0/" TargetMode="External"/><Relationship Id="rId1179" Type="http://schemas.openxmlformats.org/officeDocument/2006/relationships/hyperlink" Target="https://www.inaturalist.org/observations/360588567" TargetMode="External"/><Relationship Id="rId1180" Type="http://schemas.openxmlformats.org/officeDocument/2006/relationships/hyperlink" Target="https://www.inaturalist.org/people/snakelover2011" TargetMode="External"/><Relationship Id="rId1181" Type="http://schemas.openxmlformats.org/officeDocument/2006/relationships/hyperlink" Target="https://creativecommons.org/licenses/by-nc/4.0/" TargetMode="External"/><Relationship Id="rId1182" Type="http://schemas.openxmlformats.org/officeDocument/2006/relationships/hyperlink" Target="https://www.inaturalist.org/observations/367158040" TargetMode="External"/><Relationship Id="rId1183" Type="http://schemas.openxmlformats.org/officeDocument/2006/relationships/hyperlink" Target="https://www.inaturalist.org/people/caroceren" TargetMode="External"/><Relationship Id="rId1184" Type="http://schemas.openxmlformats.org/officeDocument/2006/relationships/hyperlink" Target="https://creativecommons.org/licenses/by-nc/4.0/" TargetMode="External"/><Relationship Id="rId1185" Type="http://schemas.openxmlformats.org/officeDocument/2006/relationships/hyperlink" Target="https://www.inaturalist.org/observations/367766149" TargetMode="External"/><Relationship Id="rId1186" Type="http://schemas.openxmlformats.org/officeDocument/2006/relationships/hyperlink" Target="https://www.inaturalist.org/people/annabreww" TargetMode="External"/><Relationship Id="rId1187" Type="http://schemas.openxmlformats.org/officeDocument/2006/relationships/hyperlink" Target="https://creativecommons.org/licenses/by-nc/4.0/" TargetMode="External"/><Relationship Id="rId1188" Type="http://schemas.openxmlformats.org/officeDocument/2006/relationships/hyperlink" Target="https://www.inaturalist.org/observations/368534439" TargetMode="External"/><Relationship Id="rId1189" Type="http://schemas.openxmlformats.org/officeDocument/2006/relationships/hyperlink" Target="https://www.inaturalist.org/people/jasanchez" TargetMode="External"/><Relationship Id="rId1190" Type="http://schemas.openxmlformats.org/officeDocument/2006/relationships/hyperlink" Target="https://creativecommons.org/licenses/by-nc/4.0/" TargetMode="External"/><Relationship Id="rId1191" Type="http://schemas.openxmlformats.org/officeDocument/2006/relationships/hyperlink" Target="https://www.inaturalist.org/observations/368842600" TargetMode="External"/><Relationship Id="rId1192" Type="http://schemas.openxmlformats.org/officeDocument/2006/relationships/hyperlink" Target="https://www.inaturalist.org/people/anamvallecillo" TargetMode="External"/><Relationship Id="rId1193" Type="http://schemas.openxmlformats.org/officeDocument/2006/relationships/hyperlink" Target="https://creativecommons.org/licenses/by-nc/4.0/" TargetMode="External"/><Relationship Id="rId1194" Type="http://schemas.openxmlformats.org/officeDocument/2006/relationships/hyperlink" Target="https://www.inaturalist.org/observations/371585454" TargetMode="External"/><Relationship Id="rId1195" Type="http://schemas.openxmlformats.org/officeDocument/2006/relationships/hyperlink" Target="https://www.inaturalist.org/people/anamvallecillo" TargetMode="External"/><Relationship Id="rId1196" Type="http://schemas.openxmlformats.org/officeDocument/2006/relationships/hyperlink" Target="https://creativecommons.org/licenses/by-nc/4.0/" TargetMode="External"/><Relationship Id="rId1197" Type="http://schemas.openxmlformats.org/officeDocument/2006/relationships/hyperlink" Target="https://www.inaturalist.org/observations/371585454" TargetMode="External"/><Relationship Id="rId1198" Type="http://schemas.openxmlformats.org/officeDocument/2006/relationships/hyperlink" Target="https://www.inaturalist.org/people/jmoya" TargetMode="External"/><Relationship Id="rId1199" Type="http://schemas.openxmlformats.org/officeDocument/2006/relationships/hyperlink" Target="https://creativecommons.org/licenses/by-nc/4.0/" TargetMode="External"/><Relationship Id="rId1200" Type="http://schemas.openxmlformats.org/officeDocument/2006/relationships/hyperlink" Target="https://www.inaturalist.org/observations/371603026" TargetMode="External"/><Relationship Id="rId1201" Type="http://schemas.openxmlformats.org/officeDocument/2006/relationships/hyperlink" Target="https://www.inaturalist.org/people/jakelin_sg" TargetMode="External"/><Relationship Id="rId1202" Type="http://schemas.openxmlformats.org/officeDocument/2006/relationships/hyperlink" Target="https://creativecommons.org/licenses/by-nc/4.0/" TargetMode="External"/><Relationship Id="rId1203" Type="http://schemas.openxmlformats.org/officeDocument/2006/relationships/hyperlink" Target="https://www.inaturalist.org/observations/371711277" TargetMode="External"/><Relationship Id="rId1204" Type="http://schemas.openxmlformats.org/officeDocument/2006/relationships/hyperlink" Target="https://www.inaturalist.org/people/jakelin_sg" TargetMode="External"/><Relationship Id="rId1205" Type="http://schemas.openxmlformats.org/officeDocument/2006/relationships/hyperlink" Target="https://creativecommons.org/licenses/by-nc/4.0/" TargetMode="External"/><Relationship Id="rId1206" Type="http://schemas.openxmlformats.org/officeDocument/2006/relationships/hyperlink" Target="https://www.inaturalist.org/observations/371711277" TargetMode="External"/><Relationship Id="rId1207" Type="http://schemas.openxmlformats.org/officeDocument/2006/relationships/hyperlink" Target="https://www.inaturalist.org/people/suitanarvaez" TargetMode="External"/><Relationship Id="rId1208" Type="http://schemas.openxmlformats.org/officeDocument/2006/relationships/hyperlink" Target="https://creativecommons.org/licenses/by-nc/4.0/" TargetMode="External"/><Relationship Id="rId1209" Type="http://schemas.openxmlformats.org/officeDocument/2006/relationships/hyperlink" Target="https://www.inaturalist.org/observations/371841818" TargetMode="External"/><Relationship Id="rId1210" Type="http://schemas.openxmlformats.org/officeDocument/2006/relationships/hyperlink" Target="https://www.inaturalist.org/people/rubendariobio" TargetMode="External"/><Relationship Id="rId1211" Type="http://schemas.openxmlformats.org/officeDocument/2006/relationships/hyperlink" Target="https://creativecommons.org/licenses/by-nc/4.0/" TargetMode="External"/><Relationship Id="rId1212" Type="http://schemas.openxmlformats.org/officeDocument/2006/relationships/hyperlink" Target="https://www.inaturalist.org/observations/371858269" TargetMode="External"/><Relationship Id="rId1213" Type="http://schemas.openxmlformats.org/officeDocument/2006/relationships/hyperlink" Target="https://www.inaturalist.org/people/replicon" TargetMode="External"/><Relationship Id="rId1214" Type="http://schemas.openxmlformats.org/officeDocument/2006/relationships/hyperlink" Target="https://creativecommons.org/licenses/by-nc/4.0/" TargetMode="External"/><Relationship Id="rId1215" Type="http://schemas.openxmlformats.org/officeDocument/2006/relationships/hyperlink" Target="https://www.inaturalist.org/observations/373577828" TargetMode="External"/><Relationship Id="rId1216" Type="http://schemas.openxmlformats.org/officeDocument/2006/relationships/hyperlink" Target="https://www.inaturalist.org/people/replicon" TargetMode="External"/><Relationship Id="rId1217" Type="http://schemas.openxmlformats.org/officeDocument/2006/relationships/hyperlink" Target="https://creativecommons.org/licenses/by-nc/4.0/" TargetMode="External"/><Relationship Id="rId1218" Type="http://schemas.openxmlformats.org/officeDocument/2006/relationships/hyperlink" Target="https://www.inaturalist.org/observations/373577828" TargetMode="External"/><Relationship Id="rId1219" Type="http://schemas.openxmlformats.org/officeDocument/2006/relationships/hyperlink" Target="https://www.inaturalist.org/people/josuergg" TargetMode="External"/><Relationship Id="rId1220" Type="http://schemas.openxmlformats.org/officeDocument/2006/relationships/hyperlink" Target="https://creativecommons.org/licenses/by-nc/4.0/" TargetMode="External"/><Relationship Id="rId1221" Type="http://schemas.openxmlformats.org/officeDocument/2006/relationships/hyperlink" Target="https://www.inaturalist.org/observations/374641405" TargetMode="External"/><Relationship Id="rId1222" Type="http://schemas.openxmlformats.org/officeDocument/2006/relationships/hyperlink" Target="https://www.inaturalist.org/people/ocurex" TargetMode="External"/><Relationship Id="rId1223" Type="http://schemas.openxmlformats.org/officeDocument/2006/relationships/hyperlink" Target="https://creativecommons.org/licenses/by-nc/4.0/" TargetMode="External"/><Relationship Id="rId1224" Type="http://schemas.openxmlformats.org/officeDocument/2006/relationships/hyperlink" Target="https://www.inaturalist.org/observations/375081438" TargetMode="External"/><Relationship Id="rId1225" Type="http://schemas.openxmlformats.org/officeDocument/2006/relationships/hyperlink" Target="https://www.inaturalist.org/people/josuergg" TargetMode="External"/><Relationship Id="rId1226" Type="http://schemas.openxmlformats.org/officeDocument/2006/relationships/hyperlink" Target="https://creativecommons.org/licenses/by-nc/4.0/" TargetMode="External"/><Relationship Id="rId1227" Type="http://schemas.openxmlformats.org/officeDocument/2006/relationships/hyperlink" Target="https://www.inaturalist.org/observations/378593632" TargetMode="External"/><Relationship Id="rId1228" Type="http://schemas.openxmlformats.org/officeDocument/2006/relationships/hyperlink" Target="https://www.inaturalist.org/people/kajdeg" TargetMode="External"/><Relationship Id="rId1229" Type="http://schemas.openxmlformats.org/officeDocument/2006/relationships/hyperlink" Target="https://creativecommons.org/licenses/by-nc/4.0/" TargetMode="External"/><Relationship Id="rId1230" Type="http://schemas.openxmlformats.org/officeDocument/2006/relationships/hyperlink" Target="https://www.inaturalist.org/observations/379587630" TargetMode="External"/><Relationship Id="rId1231" Type="http://schemas.openxmlformats.org/officeDocument/2006/relationships/hyperlink" Target="https://www.inaturalist.org/people/antye" TargetMode="External"/><Relationship Id="rId1232" Type="http://schemas.openxmlformats.org/officeDocument/2006/relationships/hyperlink" Target="https://creativecommons.org/licenses/by-nc/4.0/" TargetMode="External"/><Relationship Id="rId1233" Type="http://schemas.openxmlformats.org/officeDocument/2006/relationships/hyperlink" Target="https://www.inaturalist.org/observations/381882471" TargetMode="External"/><Relationship Id="rId1234" Type="http://schemas.openxmlformats.org/officeDocument/2006/relationships/hyperlink" Target="https://www.inaturalist.org/people/pglaouto" TargetMode="External"/><Relationship Id="rId1235" Type="http://schemas.openxmlformats.org/officeDocument/2006/relationships/hyperlink" Target="https://creativecommons.org/licenses/by-nc/4.0/" TargetMode="External"/><Relationship Id="rId1236" Type="http://schemas.openxmlformats.org/officeDocument/2006/relationships/hyperlink" Target="https://www.inaturalist.org/observations/383204889" TargetMode="External"/><Relationship Id="rId1237" Type="http://schemas.openxmlformats.org/officeDocument/2006/relationships/hyperlink" Target="https://www.inaturalist.org/people/jmcca08" TargetMode="External"/><Relationship Id="rId1238" Type="http://schemas.openxmlformats.org/officeDocument/2006/relationships/hyperlink" Target="https://creativecommons.org/licenses/by-nc/4.0/" TargetMode="External"/><Relationship Id="rId1239" Type="http://schemas.openxmlformats.org/officeDocument/2006/relationships/hyperlink" Target="https://www.inaturalist.org/observations/385979832" TargetMode="External"/><Relationship Id="rId1240" Type="http://schemas.openxmlformats.org/officeDocument/2006/relationships/hyperlink" Target="https://www.inaturalist.org/people/antonioleala" TargetMode="External"/><Relationship Id="rId1241" Type="http://schemas.openxmlformats.org/officeDocument/2006/relationships/hyperlink" Target="https://creativecommons.org/licenses/by-nc/4.0/" TargetMode="External"/><Relationship Id="rId1242" Type="http://schemas.openxmlformats.org/officeDocument/2006/relationships/hyperlink" Target="https://www.inaturalist.org/observations/387386551" TargetMode="External"/><Relationship Id="rId1243" Type="http://schemas.openxmlformats.org/officeDocument/2006/relationships/hyperlink" Target="https://www.inaturalist.org/people/antonioleala" TargetMode="External"/><Relationship Id="rId1244" Type="http://schemas.openxmlformats.org/officeDocument/2006/relationships/hyperlink" Target="https://creativecommons.org/licenses/by-nc/4.0/" TargetMode="External"/><Relationship Id="rId1245" Type="http://schemas.openxmlformats.org/officeDocument/2006/relationships/hyperlink" Target="https://www.inaturalist.org/observations/387386551" TargetMode="External"/><Relationship Id="rId1246" Type="http://schemas.openxmlformats.org/officeDocument/2006/relationships/hyperlink" Target="https://www.inaturalist.org/people/alexheffernan" TargetMode="External"/><Relationship Id="rId1247" Type="http://schemas.openxmlformats.org/officeDocument/2006/relationships/hyperlink" Target="https://creativecommons.org/licenses/by-nc/4.0/" TargetMode="External"/><Relationship Id="rId1248" Type="http://schemas.openxmlformats.org/officeDocument/2006/relationships/hyperlink" Target="https://www.inaturalist.org/observations/330902232" TargetMode="External"/><Relationship Id="rId1249" Type="http://schemas.openxmlformats.org/officeDocument/2006/relationships/hyperlink" Target="https://www.inaturalist.org/people/noansv" TargetMode="External"/><Relationship Id="rId1250" Type="http://schemas.openxmlformats.org/officeDocument/2006/relationships/hyperlink" Target="https://creativecommons.org/licenses/by-nc/4.0/" TargetMode="External"/><Relationship Id="rId1251" Type="http://schemas.openxmlformats.org/officeDocument/2006/relationships/hyperlink" Target="https://www.inaturalist.org/observations/375789439" TargetMode="External"/><Relationship Id="rId1252" Type="http://schemas.openxmlformats.org/officeDocument/2006/relationships/hyperlink" Target="https://www.inaturalist.org/people/maggie_blonski" TargetMode="External"/><Relationship Id="rId1253" Type="http://schemas.openxmlformats.org/officeDocument/2006/relationships/hyperlink" Target="https://creativecommons.org/licenses/by-nc/4.0/" TargetMode="External"/><Relationship Id="rId1254" Type="http://schemas.openxmlformats.org/officeDocument/2006/relationships/hyperlink" Target="https://www.inaturalist.org/observations/375765932" TargetMode="External"/><Relationship Id="rId1255" Type="http://schemas.openxmlformats.org/officeDocument/2006/relationships/hyperlink" Target="https://www.inaturalist.org/people/uetz" TargetMode="External"/><Relationship Id="rId1256" Type="http://schemas.openxmlformats.org/officeDocument/2006/relationships/hyperlink" Target="https://creativecommons.org/licenses/by/4.0/" TargetMode="External"/><Relationship Id="rId1257" Type="http://schemas.openxmlformats.org/officeDocument/2006/relationships/hyperlink" Target="https://www.inaturalist.org/observations/375757987" TargetMode="External"/><Relationship Id="rId1258" Type="http://schemas.openxmlformats.org/officeDocument/2006/relationships/hyperlink" Target="https://www.inaturalist.org/people/robotpie" TargetMode="External"/><Relationship Id="rId1259" Type="http://schemas.openxmlformats.org/officeDocument/2006/relationships/hyperlink" Target="https://creativecommons.org/licenses/by-nc/4.0/" TargetMode="External"/><Relationship Id="rId1260" Type="http://schemas.openxmlformats.org/officeDocument/2006/relationships/hyperlink" Target="https://www.inaturalist.org/observations/375554693" TargetMode="External"/><Relationship Id="rId1261" Type="http://schemas.openxmlformats.org/officeDocument/2006/relationships/hyperlink" Target="https://www.inaturalist.org/people/abdul_hanif" TargetMode="External"/><Relationship Id="rId1262" Type="http://schemas.openxmlformats.org/officeDocument/2006/relationships/hyperlink" Target="https://creativecommons.org/licenses/by/4.0/" TargetMode="External"/><Relationship Id="rId1263" Type="http://schemas.openxmlformats.org/officeDocument/2006/relationships/hyperlink" Target="https://www.inaturalist.org/observations/375523509" TargetMode="External"/><Relationship Id="rId1264" Type="http://schemas.openxmlformats.org/officeDocument/2006/relationships/hyperlink" Target="https://www.inaturalist.org/people/abdul_hanif" TargetMode="External"/><Relationship Id="rId1265" Type="http://schemas.openxmlformats.org/officeDocument/2006/relationships/hyperlink" Target="https://creativecommons.org/licenses/by/4.0/" TargetMode="External"/><Relationship Id="rId1266" Type="http://schemas.openxmlformats.org/officeDocument/2006/relationships/hyperlink" Target="https://www.inaturalist.org/observations/375523136" TargetMode="External"/><Relationship Id="rId1267" Type="http://schemas.openxmlformats.org/officeDocument/2006/relationships/hyperlink" Target="https://www.inaturalist.org/people/abdul_hanif" TargetMode="External"/><Relationship Id="rId1268" Type="http://schemas.openxmlformats.org/officeDocument/2006/relationships/hyperlink" Target="https://creativecommons.org/licenses/by/4.0/" TargetMode="External"/><Relationship Id="rId1269" Type="http://schemas.openxmlformats.org/officeDocument/2006/relationships/hyperlink" Target="https://www.inaturalist.org/observations/375522948" TargetMode="External"/><Relationship Id="rId1270" Type="http://schemas.openxmlformats.org/officeDocument/2006/relationships/hyperlink" Target="https://www.inaturalist.org/people/observervietnam" TargetMode="External"/><Relationship Id="rId1271" Type="http://schemas.openxmlformats.org/officeDocument/2006/relationships/hyperlink" Target="https://creativecommons.org/licenses/by-nc/4.0/" TargetMode="External"/><Relationship Id="rId1272" Type="http://schemas.openxmlformats.org/officeDocument/2006/relationships/hyperlink" Target="https://www.inaturalist.org/observations/375475702" TargetMode="External"/><Relationship Id="rId1273" Type="http://schemas.openxmlformats.org/officeDocument/2006/relationships/hyperlink" Target="https://www.inaturalist.org/people/hugo_yip" TargetMode="External"/><Relationship Id="rId1274" Type="http://schemas.openxmlformats.org/officeDocument/2006/relationships/hyperlink" Target="https://creativecommons.org/licenses/by-nc/4.0/" TargetMode="External"/><Relationship Id="rId1275" Type="http://schemas.openxmlformats.org/officeDocument/2006/relationships/hyperlink" Target="https://www.inaturalist.org/observations/375419772" TargetMode="External"/><Relationship Id="rId1276" Type="http://schemas.openxmlformats.org/officeDocument/2006/relationships/hyperlink" Target="https://www.inaturalist.org/people/patrik_naturalist" TargetMode="External"/><Relationship Id="rId1277" Type="http://schemas.openxmlformats.org/officeDocument/2006/relationships/hyperlink" Target="https://creativecommons.org/licenses/by-nc/4.0/" TargetMode="External"/><Relationship Id="rId1278" Type="http://schemas.openxmlformats.org/officeDocument/2006/relationships/hyperlink" Target="https://www.inaturalist.org/observations/375328276" TargetMode="External"/><Relationship Id="rId1279" Type="http://schemas.openxmlformats.org/officeDocument/2006/relationships/hyperlink" Target="https://www.inaturalist.org/people/adirahman" TargetMode="External"/><Relationship Id="rId1280" Type="http://schemas.openxmlformats.org/officeDocument/2006/relationships/hyperlink" Target="https://creativecommons.org/licenses/by-nc/4.0/" TargetMode="External"/><Relationship Id="rId1281" Type="http://schemas.openxmlformats.org/officeDocument/2006/relationships/hyperlink" Target="https://www.inaturalist.org/observations/360612456" TargetMode="External"/><Relationship Id="rId1282" Type="http://schemas.openxmlformats.org/officeDocument/2006/relationships/hyperlink" Target="https://www.inaturalist.org/people/phytopranav" TargetMode="External"/><Relationship Id="rId1283" Type="http://schemas.openxmlformats.org/officeDocument/2006/relationships/hyperlink" Target="https://creativecommons.org/licenses/by-nc/4.0/" TargetMode="External"/><Relationship Id="rId1284" Type="http://schemas.openxmlformats.org/officeDocument/2006/relationships/hyperlink" Target="https://www.inaturalist.org/observations/360131513" TargetMode="External"/><Relationship Id="rId1285" Type="http://schemas.openxmlformats.org/officeDocument/2006/relationships/hyperlink" Target="https://www.inaturalist.org/people/sylviem76" TargetMode="External"/><Relationship Id="rId1286" Type="http://schemas.openxmlformats.org/officeDocument/2006/relationships/hyperlink" Target="https://creativecommons.org/licenses/by-nc/4.0/" TargetMode="External"/><Relationship Id="rId1287" Type="http://schemas.openxmlformats.org/officeDocument/2006/relationships/hyperlink" Target="https://www.inaturalist.org/observations/375239316" TargetMode="External"/><Relationship Id="rId1288" Type="http://schemas.openxmlformats.org/officeDocument/2006/relationships/hyperlink" Target="https://www.inaturalist.org/people/antoine_vespe" TargetMode="External"/><Relationship Id="rId1289" Type="http://schemas.openxmlformats.org/officeDocument/2006/relationships/hyperlink" Target="https://creativecommons.org/licenses/by-nc/4.0/" TargetMode="External"/><Relationship Id="rId1290" Type="http://schemas.openxmlformats.org/officeDocument/2006/relationships/hyperlink" Target="https://www.inaturalist.org/observations/375118180" TargetMode="External"/><Relationship Id="rId1291" Type="http://schemas.openxmlformats.org/officeDocument/2006/relationships/hyperlink" Target="https://www.inaturalist.org/people/sylviem76" TargetMode="External"/><Relationship Id="rId1292" Type="http://schemas.openxmlformats.org/officeDocument/2006/relationships/hyperlink" Target="https://creativecommons.org/licenses/by-nc/4.0/" TargetMode="External"/><Relationship Id="rId1293" Type="http://schemas.openxmlformats.org/officeDocument/2006/relationships/hyperlink" Target="https://www.inaturalist.org/observations/374988285" TargetMode="External"/><Relationship Id="rId1294" Type="http://schemas.openxmlformats.org/officeDocument/2006/relationships/hyperlink" Target="https://www.inaturalist.org/people/sylviem76" TargetMode="External"/><Relationship Id="rId1295" Type="http://schemas.openxmlformats.org/officeDocument/2006/relationships/hyperlink" Target="https://creativecommons.org/licenses/by-nc/4.0/" TargetMode="External"/><Relationship Id="rId1296" Type="http://schemas.openxmlformats.org/officeDocument/2006/relationships/hyperlink" Target="https://www.inaturalist.org/observations/374988285" TargetMode="External"/><Relationship Id="rId1297" Type="http://schemas.openxmlformats.org/officeDocument/2006/relationships/hyperlink" Target="https://www.inaturalist.org/people/chalida" TargetMode="External"/><Relationship Id="rId1298" Type="http://schemas.openxmlformats.org/officeDocument/2006/relationships/hyperlink" Target="https://creativecommons.org/licenses/by-nc/4.0/" TargetMode="External"/><Relationship Id="rId1299" Type="http://schemas.openxmlformats.org/officeDocument/2006/relationships/hyperlink" Target="https://www.inaturalist.org/observations/350756010" TargetMode="External"/><Relationship Id="rId1300" Type="http://schemas.openxmlformats.org/officeDocument/2006/relationships/hyperlink" Target="https://www.inaturalist.org/people/rockycreature" TargetMode="External"/><Relationship Id="rId1301" Type="http://schemas.openxmlformats.org/officeDocument/2006/relationships/hyperlink" Target="https://creativecommons.org/licenses/by-nc/4.0/" TargetMode="External"/><Relationship Id="rId1302" Type="http://schemas.openxmlformats.org/officeDocument/2006/relationships/hyperlink" Target="https://www.inaturalist.org/observations/350560093" TargetMode="External"/><Relationship Id="rId1303" Type="http://schemas.openxmlformats.org/officeDocument/2006/relationships/hyperlink" Target="https://www.inaturalist.org/people/christopherreiger" TargetMode="External"/><Relationship Id="rId1304" Type="http://schemas.openxmlformats.org/officeDocument/2006/relationships/hyperlink" Target="https://creativecommons.org/licenses/by-nc/4.0/" TargetMode="External"/><Relationship Id="rId1305" Type="http://schemas.openxmlformats.org/officeDocument/2006/relationships/hyperlink" Target="https://www.inaturalist.org/observations/374899262" TargetMode="External"/><Relationship Id="rId1306" Type="http://schemas.openxmlformats.org/officeDocument/2006/relationships/hyperlink" Target="https://www.inaturalist.org/people/antoine_vespe" TargetMode="External"/><Relationship Id="rId1307" Type="http://schemas.openxmlformats.org/officeDocument/2006/relationships/hyperlink" Target="https://creativecommons.org/licenses/by-nc/4.0/" TargetMode="External"/><Relationship Id="rId1308" Type="http://schemas.openxmlformats.org/officeDocument/2006/relationships/hyperlink" Target="https://www.inaturalist.org/observations/374859268" TargetMode="External"/><Relationship Id="rId1309" Type="http://schemas.openxmlformats.org/officeDocument/2006/relationships/hyperlink" Target="https://www.inaturalist.org/people/peter54448" TargetMode="External"/><Relationship Id="rId1310" Type="http://schemas.openxmlformats.org/officeDocument/2006/relationships/hyperlink" Target="https://creativecommons.org/licenses/by-nc/4.0/" TargetMode="External"/><Relationship Id="rId1311" Type="http://schemas.openxmlformats.org/officeDocument/2006/relationships/hyperlink" Target="https://www.inaturalist.org/observations/350395892" TargetMode="External"/><Relationship Id="rId1312" Type="http://schemas.openxmlformats.org/officeDocument/2006/relationships/hyperlink" Target="https://www.inaturalist.org/people/nianian" TargetMode="External"/><Relationship Id="rId1313" Type="http://schemas.openxmlformats.org/officeDocument/2006/relationships/hyperlink" Target="https://creativecommons.org/licenses/by-nc/4.0/" TargetMode="External"/><Relationship Id="rId1314" Type="http://schemas.openxmlformats.org/officeDocument/2006/relationships/hyperlink" Target="https://www.inaturalist.org/observations/374810760" TargetMode="External"/><Relationship Id="rId1315" Type="http://schemas.openxmlformats.org/officeDocument/2006/relationships/hyperlink" Target="https://www.inaturalist.org/people/nianian" TargetMode="External"/><Relationship Id="rId1316" Type="http://schemas.openxmlformats.org/officeDocument/2006/relationships/hyperlink" Target="https://creativecommons.org/licenses/by-nc/4.0/" TargetMode="External"/><Relationship Id="rId1317" Type="http://schemas.openxmlformats.org/officeDocument/2006/relationships/hyperlink" Target="https://www.inaturalist.org/observations/374810760" TargetMode="External"/><Relationship Id="rId1318" Type="http://schemas.openxmlformats.org/officeDocument/2006/relationships/hyperlink" Target="https://www.inaturalist.org/people/nianian" TargetMode="External"/><Relationship Id="rId1319" Type="http://schemas.openxmlformats.org/officeDocument/2006/relationships/hyperlink" Target="https://creativecommons.org/licenses/by-nc/4.0/" TargetMode="External"/><Relationship Id="rId1320" Type="http://schemas.openxmlformats.org/officeDocument/2006/relationships/hyperlink" Target="https://www.inaturalist.org/observations/374810760" TargetMode="External"/><Relationship Id="rId1321" Type="http://schemas.openxmlformats.org/officeDocument/2006/relationships/hyperlink" Target="https://www.inaturalist.org/people/nianian" TargetMode="External"/><Relationship Id="rId1322" Type="http://schemas.openxmlformats.org/officeDocument/2006/relationships/hyperlink" Target="https://creativecommons.org/licenses/by-nc/4.0/" TargetMode="External"/><Relationship Id="rId1323" Type="http://schemas.openxmlformats.org/officeDocument/2006/relationships/hyperlink" Target="https://www.inaturalist.org/observations/374810760" TargetMode="External"/><Relationship Id="rId1324" Type="http://schemas.openxmlformats.org/officeDocument/2006/relationships/hyperlink" Target="https://www.inaturalist.org/people/nianian" TargetMode="External"/><Relationship Id="rId1325" Type="http://schemas.openxmlformats.org/officeDocument/2006/relationships/hyperlink" Target="https://creativecommons.org/licenses/by-nc/4.0/" TargetMode="External"/><Relationship Id="rId1326" Type="http://schemas.openxmlformats.org/officeDocument/2006/relationships/hyperlink" Target="https://www.inaturalist.org/observations/374810760" TargetMode="External"/><Relationship Id="rId1327" Type="http://schemas.openxmlformats.org/officeDocument/2006/relationships/hyperlink" Target="https://www.inaturalist.org/people/jules_cadiou" TargetMode="External"/><Relationship Id="rId1328" Type="http://schemas.openxmlformats.org/officeDocument/2006/relationships/hyperlink" Target="https://creativecommons.org/licenses/by-nc/4.0/" TargetMode="External"/><Relationship Id="rId1329" Type="http://schemas.openxmlformats.org/officeDocument/2006/relationships/hyperlink" Target="https://www.inaturalist.org/observations/374803357" TargetMode="External"/><Relationship Id="rId1330" Type="http://schemas.openxmlformats.org/officeDocument/2006/relationships/hyperlink" Target="https://www.inaturalist.org/people/kintankhn" TargetMode="External"/><Relationship Id="rId1331" Type="http://schemas.openxmlformats.org/officeDocument/2006/relationships/hyperlink" Target="https://creativecommons.org/licenses/by-nc/4.0/" TargetMode="External"/><Relationship Id="rId1332" Type="http://schemas.openxmlformats.org/officeDocument/2006/relationships/hyperlink" Target="https://www.inaturalist.org/observations/374794952" TargetMode="External"/><Relationship Id="rId1333" Type="http://schemas.openxmlformats.org/officeDocument/2006/relationships/hyperlink" Target="https://www.inaturalist.org/people/djerf67" TargetMode="External"/><Relationship Id="rId1334" Type="http://schemas.openxmlformats.org/officeDocument/2006/relationships/hyperlink" Target="https://creativecommons.org/licenses/by-nc/4.0/" TargetMode="External"/><Relationship Id="rId1335" Type="http://schemas.openxmlformats.org/officeDocument/2006/relationships/hyperlink" Target="https://www.inaturalist.org/observations/374573033" TargetMode="External"/><Relationship Id="rId1336" Type="http://schemas.openxmlformats.org/officeDocument/2006/relationships/hyperlink" Target="https://www.inaturalist.org/people/cyka008" TargetMode="External"/><Relationship Id="rId1337" Type="http://schemas.openxmlformats.org/officeDocument/2006/relationships/hyperlink" Target="https://creativecommons.org/licenses/by-nc/4.0/" TargetMode="External"/><Relationship Id="rId1338" Type="http://schemas.openxmlformats.org/officeDocument/2006/relationships/hyperlink" Target="https://www.inaturalist.org/observations/374468574" TargetMode="External"/><Relationship Id="rId1339" Type="http://schemas.openxmlformats.org/officeDocument/2006/relationships/hyperlink" Target="https://www.inaturalist.org/people/emmatch" TargetMode="External"/><Relationship Id="rId1340" Type="http://schemas.openxmlformats.org/officeDocument/2006/relationships/hyperlink" Target="https://creativecommons.org/licenses/by-nc/4.0/" TargetMode="External"/><Relationship Id="rId1341" Type="http://schemas.openxmlformats.org/officeDocument/2006/relationships/hyperlink" Target="https://www.inaturalist.org/observations/374301140" TargetMode="External"/><Relationship Id="rId1342" Type="http://schemas.openxmlformats.org/officeDocument/2006/relationships/hyperlink" Target="https://www.inaturalist.org/people/animal_jeds" TargetMode="External"/><Relationship Id="rId1343" Type="http://schemas.openxmlformats.org/officeDocument/2006/relationships/hyperlink" Target="https://creativecommons.org/licenses/by-nc/4.0/" TargetMode="External"/><Relationship Id="rId1344" Type="http://schemas.openxmlformats.org/officeDocument/2006/relationships/hyperlink" Target="https://www.inaturalist.org/observations/374182816" TargetMode="External"/><Relationship Id="rId1345" Type="http://schemas.openxmlformats.org/officeDocument/2006/relationships/hyperlink" Target="https://www.inaturalist.org/people/evgenii_zinner" TargetMode="External"/><Relationship Id="rId1346" Type="http://schemas.openxmlformats.org/officeDocument/2006/relationships/hyperlink" Target="https://creativecommons.org/licenses/by-nc/4.0/" TargetMode="External"/><Relationship Id="rId1347" Type="http://schemas.openxmlformats.org/officeDocument/2006/relationships/hyperlink" Target="https://www.inaturalist.org/observations/374030751" TargetMode="External"/><Relationship Id="rId1348" Type="http://schemas.openxmlformats.org/officeDocument/2006/relationships/hyperlink" Target="https://www.inaturalist.org/people/christopherreiger" TargetMode="External"/><Relationship Id="rId1349" Type="http://schemas.openxmlformats.org/officeDocument/2006/relationships/hyperlink" Target="https://creativecommons.org/licenses/by-nc/4.0/" TargetMode="External"/><Relationship Id="rId1350" Type="http://schemas.openxmlformats.org/officeDocument/2006/relationships/hyperlink" Target="https://www.inaturalist.org/observations/373936535" TargetMode="External"/><Relationship Id="rId1351" Type="http://schemas.openxmlformats.org/officeDocument/2006/relationships/hyperlink" Target="https://www.inaturalist.org/people/marlaform" TargetMode="External"/><Relationship Id="rId1352" Type="http://schemas.openxmlformats.org/officeDocument/2006/relationships/hyperlink" Target="https://creativecommons.org/licenses/by-nc/4.0/" TargetMode="External"/><Relationship Id="rId1353" Type="http://schemas.openxmlformats.org/officeDocument/2006/relationships/hyperlink" Target="https://www.inaturalist.org/observations/373922730" TargetMode="External"/><Relationship Id="rId1354" Type="http://schemas.openxmlformats.org/officeDocument/2006/relationships/hyperlink" Target="https://www.inaturalist.org/people/falco_lou" TargetMode="External"/><Relationship Id="rId1355" Type="http://schemas.openxmlformats.org/officeDocument/2006/relationships/hyperlink" Target="https://creativecommons.org/licenses/by-nc/4.0/" TargetMode="External"/><Relationship Id="rId1356" Type="http://schemas.openxmlformats.org/officeDocument/2006/relationships/hyperlink" Target="https://www.inaturalist.org/observations/379399729" TargetMode="External"/><Relationship Id="rId1357" Type="http://schemas.openxmlformats.org/officeDocument/2006/relationships/hyperlink" Target="https://www.inaturalist.org/people/vargasbrando9" TargetMode="External"/><Relationship Id="rId1358" Type="http://schemas.openxmlformats.org/officeDocument/2006/relationships/hyperlink" Target="https://creativecommons.org/licenses/by-nc/4.0/" TargetMode="External"/><Relationship Id="rId1359" Type="http://schemas.openxmlformats.org/officeDocument/2006/relationships/hyperlink" Target="https://www.inaturalist.org/observations/379391237" TargetMode="External"/><Relationship Id="rId1360" Type="http://schemas.openxmlformats.org/officeDocument/2006/relationships/hyperlink" Target="https://www.inaturalist.org/people/becchi_tokyo" TargetMode="External"/><Relationship Id="rId1361" Type="http://schemas.openxmlformats.org/officeDocument/2006/relationships/hyperlink" Target="https://creativecommons.org/licenses/by-nc/4.0/" TargetMode="External"/><Relationship Id="rId1362" Type="http://schemas.openxmlformats.org/officeDocument/2006/relationships/hyperlink" Target="https://www.inaturalist.org/observations/379387960" TargetMode="External"/><Relationship Id="rId1363" Type="http://schemas.openxmlformats.org/officeDocument/2006/relationships/hyperlink" Target="https://www.inaturalist.org/people/jmoles" TargetMode="External"/><Relationship Id="rId1364" Type="http://schemas.openxmlformats.org/officeDocument/2006/relationships/hyperlink" Target="https://creativecommons.org/licenses/by-nc/4.0/" TargetMode="External"/><Relationship Id="rId1365" Type="http://schemas.openxmlformats.org/officeDocument/2006/relationships/hyperlink" Target="https://www.inaturalist.org/observations/379380146" TargetMode="External"/><Relationship Id="rId1366" Type="http://schemas.openxmlformats.org/officeDocument/2006/relationships/hyperlink" Target="https://www.inaturalist.org/people/maza_" TargetMode="External"/><Relationship Id="rId1367" Type="http://schemas.openxmlformats.org/officeDocument/2006/relationships/hyperlink" Target="https://creativecommons.org/licenses/by-nc/4.0/" TargetMode="External"/><Relationship Id="rId1368" Type="http://schemas.openxmlformats.org/officeDocument/2006/relationships/hyperlink" Target="https://www.inaturalist.org/observations/379234261" TargetMode="External"/><Relationship Id="rId1369" Type="http://schemas.openxmlformats.org/officeDocument/2006/relationships/hyperlink" Target="https://www.inaturalist.org/people/maza_" TargetMode="External"/><Relationship Id="rId1370" Type="http://schemas.openxmlformats.org/officeDocument/2006/relationships/hyperlink" Target="https://creativecommons.org/licenses/by-nc/4.0/" TargetMode="External"/><Relationship Id="rId1371" Type="http://schemas.openxmlformats.org/officeDocument/2006/relationships/hyperlink" Target="https://www.inaturalist.org/observations/379234261" TargetMode="External"/><Relationship Id="rId1372" Type="http://schemas.openxmlformats.org/officeDocument/2006/relationships/hyperlink" Target="https://www.inaturalist.org/people/umeboshiboys" TargetMode="External"/><Relationship Id="rId1373" Type="http://schemas.openxmlformats.org/officeDocument/2006/relationships/hyperlink" Target="https://creativecommons.org/licenses/by-nc/4.0/" TargetMode="External"/><Relationship Id="rId1374" Type="http://schemas.openxmlformats.org/officeDocument/2006/relationships/hyperlink" Target="https://www.inaturalist.org/observations/379076510" TargetMode="External"/><Relationship Id="rId1375" Type="http://schemas.openxmlformats.org/officeDocument/2006/relationships/hyperlink" Target="https://www.inaturalist.org/people/spiderpalooza" TargetMode="External"/><Relationship Id="rId1376" Type="http://schemas.openxmlformats.org/officeDocument/2006/relationships/hyperlink" Target="https://creativecommons.org/licenses/by-nc/4.0/" TargetMode="External"/><Relationship Id="rId1377" Type="http://schemas.openxmlformats.org/officeDocument/2006/relationships/hyperlink" Target="https://www.inaturalist.org/observations/378334252" TargetMode="External"/><Relationship Id="rId1378" Type="http://schemas.openxmlformats.org/officeDocument/2006/relationships/hyperlink" Target="https://www.inaturalist.org/people/smalltown_huang" TargetMode="External"/><Relationship Id="rId1379" Type="http://schemas.openxmlformats.org/officeDocument/2006/relationships/hyperlink" Target="https://creativecommons.org/licenses/by-nc/4.0/" TargetMode="External"/><Relationship Id="rId1380" Type="http://schemas.openxmlformats.org/officeDocument/2006/relationships/hyperlink" Target="https://www.inaturalist.org/observations/378075625" TargetMode="External"/><Relationship Id="rId1381" Type="http://schemas.openxmlformats.org/officeDocument/2006/relationships/hyperlink" Target="https://www.inaturalist.org/people/naturalist126241" TargetMode="External"/><Relationship Id="rId1382" Type="http://schemas.openxmlformats.org/officeDocument/2006/relationships/hyperlink" Target="https://creativecommons.org/licenses/by-nc/4.0/" TargetMode="External"/><Relationship Id="rId1383" Type="http://schemas.openxmlformats.org/officeDocument/2006/relationships/hyperlink" Target="https://www.inaturalist.org/observations/377691855" TargetMode="External"/><Relationship Id="rId1384" Type="http://schemas.openxmlformats.org/officeDocument/2006/relationships/hyperlink" Target="https://www.inaturalist.org/people/chikencababldo" TargetMode="External"/><Relationship Id="rId1385" Type="http://schemas.openxmlformats.org/officeDocument/2006/relationships/hyperlink" Target="https://creativecommons.org/licenses/by-nc/4.0/" TargetMode="External"/><Relationship Id="rId1386" Type="http://schemas.openxmlformats.org/officeDocument/2006/relationships/hyperlink" Target="https://www.inaturalist.org/observations/377683757" TargetMode="External"/><Relationship Id="rId1387" Type="http://schemas.openxmlformats.org/officeDocument/2006/relationships/hyperlink" Target="https://www.inaturalist.org/people/takuyatamura" TargetMode="External"/><Relationship Id="rId1388" Type="http://schemas.openxmlformats.org/officeDocument/2006/relationships/hyperlink" Target="https://creativecommons.org/licenses/by-nc/4.0/" TargetMode="External"/><Relationship Id="rId1389" Type="http://schemas.openxmlformats.org/officeDocument/2006/relationships/hyperlink" Target="https://www.inaturalist.org/observations/377677903" TargetMode="External"/><Relationship Id="rId1390" Type="http://schemas.openxmlformats.org/officeDocument/2006/relationships/hyperlink" Target="https://www.inaturalist.org/people/quailsandpsyllids" TargetMode="External"/><Relationship Id="rId1391" Type="http://schemas.openxmlformats.org/officeDocument/2006/relationships/hyperlink" Target="https://creativecommons.org/licenses/by-nc/4.0/" TargetMode="External"/><Relationship Id="rId1392" Type="http://schemas.openxmlformats.org/officeDocument/2006/relationships/hyperlink" Target="https://www.inaturalist.org/observations/377461183" TargetMode="External"/><Relationship Id="rId1393" Type="http://schemas.openxmlformats.org/officeDocument/2006/relationships/hyperlink" Target="https://www.inaturalist.org/people/sakkusaku" TargetMode="External"/><Relationship Id="rId1394" Type="http://schemas.openxmlformats.org/officeDocument/2006/relationships/hyperlink" Target="https://creativecommons.org/licenses/by-nc/4.0/" TargetMode="External"/><Relationship Id="rId1395" Type="http://schemas.openxmlformats.org/officeDocument/2006/relationships/hyperlink" Target="https://www.inaturalist.org/observations/377344464" TargetMode="External"/><Relationship Id="rId1396" Type="http://schemas.openxmlformats.org/officeDocument/2006/relationships/hyperlink" Target="https://www.inaturalist.org/people/qaq523" TargetMode="External"/><Relationship Id="rId1397" Type="http://schemas.openxmlformats.org/officeDocument/2006/relationships/hyperlink" Target="https://creativecommons.org/licenses/by-nc/4.0/" TargetMode="External"/><Relationship Id="rId1398" Type="http://schemas.openxmlformats.org/officeDocument/2006/relationships/hyperlink" Target="https://www.inaturalist.org/observations/377063987" TargetMode="External"/><Relationship Id="rId1399" Type="http://schemas.openxmlformats.org/officeDocument/2006/relationships/hyperlink" Target="https://www.inaturalist.org/people/qaq523" TargetMode="External"/><Relationship Id="rId1400" Type="http://schemas.openxmlformats.org/officeDocument/2006/relationships/hyperlink" Target="https://creativecommons.org/licenses/by-nc/4.0/" TargetMode="External"/><Relationship Id="rId1401" Type="http://schemas.openxmlformats.org/officeDocument/2006/relationships/hyperlink" Target="https://www.inaturalist.org/observations/377063987" TargetMode="External"/><Relationship Id="rId1402" Type="http://schemas.openxmlformats.org/officeDocument/2006/relationships/hyperlink" Target="https://www.inaturalist.org/people/naturalist159746" TargetMode="External"/><Relationship Id="rId1403" Type="http://schemas.openxmlformats.org/officeDocument/2006/relationships/hyperlink" Target="https://creativecommons.org/licenses/by-nc/4.0/" TargetMode="External"/><Relationship Id="rId1404" Type="http://schemas.openxmlformats.org/officeDocument/2006/relationships/hyperlink" Target="https://www.inaturalist.org/observations/376803592" TargetMode="External"/><Relationship Id="rId1405" Type="http://schemas.openxmlformats.org/officeDocument/2006/relationships/hyperlink" Target="https://www.inaturalist.org/people/nittan_lover" TargetMode="External"/><Relationship Id="rId1406" Type="http://schemas.openxmlformats.org/officeDocument/2006/relationships/hyperlink" Target="https://creativecommons.org/licenses/by-nc/4.0/" TargetMode="External"/><Relationship Id="rId1407" Type="http://schemas.openxmlformats.org/officeDocument/2006/relationships/hyperlink" Target="https://www.inaturalist.org/observations/376756884" TargetMode="External"/><Relationship Id="rId1408" Type="http://schemas.openxmlformats.org/officeDocument/2006/relationships/hyperlink" Target="https://www.inaturalist.org/people/shino_san" TargetMode="External"/><Relationship Id="rId1409" Type="http://schemas.openxmlformats.org/officeDocument/2006/relationships/hyperlink" Target="https://creativecommons.org/licenses/by-nc/4.0/" TargetMode="External"/><Relationship Id="rId1410" Type="http://schemas.openxmlformats.org/officeDocument/2006/relationships/hyperlink" Target="https://www.inaturalist.org/observations/376755754" TargetMode="External"/><Relationship Id="rId1411" Type="http://schemas.openxmlformats.org/officeDocument/2006/relationships/hyperlink" Target="https://www.inaturalist.org/people/bucky533" TargetMode="External"/><Relationship Id="rId1412" Type="http://schemas.openxmlformats.org/officeDocument/2006/relationships/hyperlink" Target="https://creativecommons.org/licenses/by-nc/4.0/" TargetMode="External"/><Relationship Id="rId1413" Type="http://schemas.openxmlformats.org/officeDocument/2006/relationships/hyperlink" Target="https://www.inaturalist.org/observations/376162896" TargetMode="External"/><Relationship Id="rId1414" Type="http://schemas.openxmlformats.org/officeDocument/2006/relationships/hyperlink" Target="https://www.inaturalist.org/people/waterdeer" TargetMode="External"/><Relationship Id="rId1415" Type="http://schemas.openxmlformats.org/officeDocument/2006/relationships/hyperlink" Target="https://creativecommons.org/licenses/by-nc/4.0/" TargetMode="External"/><Relationship Id="rId1416" Type="http://schemas.openxmlformats.org/officeDocument/2006/relationships/hyperlink" Target="https://www.inaturalist.org/observations/376128098" TargetMode="External"/><Relationship Id="rId1417" Type="http://schemas.openxmlformats.org/officeDocument/2006/relationships/hyperlink" Target="https://www.inaturalist.org/people/takuyatamura" TargetMode="External"/><Relationship Id="rId1418" Type="http://schemas.openxmlformats.org/officeDocument/2006/relationships/hyperlink" Target="https://creativecommons.org/licenses/by-nc/4.0/" TargetMode="External"/><Relationship Id="rId1419" Type="http://schemas.openxmlformats.org/officeDocument/2006/relationships/hyperlink" Target="https://www.inaturalist.org/observations/375886645" TargetMode="External"/><Relationship Id="rId1420" Type="http://schemas.openxmlformats.org/officeDocument/2006/relationships/hyperlink" Target="https://www.inaturalist.org/people/fuyodo_san" TargetMode="External"/><Relationship Id="rId1421" Type="http://schemas.openxmlformats.org/officeDocument/2006/relationships/hyperlink" Target="https://creativecommons.org/licenses/by-nc/4.0/" TargetMode="External"/><Relationship Id="rId1422" Type="http://schemas.openxmlformats.org/officeDocument/2006/relationships/hyperlink" Target="https://www.inaturalist.org/observations/375243864" TargetMode="External"/><Relationship Id="rId1423" Type="http://schemas.openxmlformats.org/officeDocument/2006/relationships/hyperlink" Target="https://www.inaturalist.org/people/fuyodo_san" TargetMode="External"/><Relationship Id="rId1424" Type="http://schemas.openxmlformats.org/officeDocument/2006/relationships/hyperlink" Target="https://creativecommons.org/licenses/by-nc/4.0/" TargetMode="External"/><Relationship Id="rId1425" Type="http://schemas.openxmlformats.org/officeDocument/2006/relationships/hyperlink" Target="https://www.inaturalist.org/observations/375243862" TargetMode="External"/><Relationship Id="rId1426" Type="http://schemas.openxmlformats.org/officeDocument/2006/relationships/hyperlink" Target="https://www.inaturalist.org/people/fuyodo_san" TargetMode="External"/><Relationship Id="rId1427" Type="http://schemas.openxmlformats.org/officeDocument/2006/relationships/hyperlink" Target="https://creativecommons.org/licenses/by-nc/4.0/" TargetMode="External"/><Relationship Id="rId1428" Type="http://schemas.openxmlformats.org/officeDocument/2006/relationships/hyperlink" Target="https://www.inaturalist.org/observations/375243860" TargetMode="External"/><Relationship Id="rId1429" Type="http://schemas.openxmlformats.org/officeDocument/2006/relationships/hyperlink" Target="https://www.inaturalist.org/people/soyorin_" TargetMode="External"/><Relationship Id="rId1430" Type="http://schemas.openxmlformats.org/officeDocument/2006/relationships/hyperlink" Target="https://creativecommons.org/licenses/by-nc/4.0/" TargetMode="External"/><Relationship Id="rId1431" Type="http://schemas.openxmlformats.org/officeDocument/2006/relationships/hyperlink" Target="https://www.inaturalist.org/observations/375209989" TargetMode="External"/><Relationship Id="rId1432" Type="http://schemas.openxmlformats.org/officeDocument/2006/relationships/hyperlink" Target="https://www.inaturalist.org/people/alanbrod" TargetMode="External"/><Relationship Id="rId1433" Type="http://schemas.openxmlformats.org/officeDocument/2006/relationships/hyperlink" Target="https://creativecommons.org/licenses/by-nc/4.0/" TargetMode="External"/><Relationship Id="rId1434" Type="http://schemas.openxmlformats.org/officeDocument/2006/relationships/hyperlink" Target="https://www.inaturalist.org/observations/374709622" TargetMode="External"/><Relationship Id="rId1435" Type="http://schemas.openxmlformats.org/officeDocument/2006/relationships/hyperlink" Target="https://www.inaturalist.org/people/marina2797" TargetMode="External"/><Relationship Id="rId1436" Type="http://schemas.openxmlformats.org/officeDocument/2006/relationships/hyperlink" Target="https://creativecommons.org/licenses/by-nc/4.0/" TargetMode="External"/><Relationship Id="rId1437" Type="http://schemas.openxmlformats.org/officeDocument/2006/relationships/hyperlink" Target="https://www.inaturalist.org/observations/374573757" TargetMode="External"/><Relationship Id="rId1438" Type="http://schemas.openxmlformats.org/officeDocument/2006/relationships/hyperlink" Target="https://www.inaturalist.org/people/akanekoch" TargetMode="External"/><Relationship Id="rId1439" Type="http://schemas.openxmlformats.org/officeDocument/2006/relationships/hyperlink" Target="https://creativecommons.org/licenses/by-nc/4.0/" TargetMode="External"/><Relationship Id="rId1440" Type="http://schemas.openxmlformats.org/officeDocument/2006/relationships/hyperlink" Target="https://www.inaturalist.org/observations/374279390" TargetMode="External"/><Relationship Id="rId1441" Type="http://schemas.openxmlformats.org/officeDocument/2006/relationships/hyperlink" Target="https://www.inaturalist.org/people/baishi" TargetMode="External"/><Relationship Id="rId1442" Type="http://schemas.openxmlformats.org/officeDocument/2006/relationships/hyperlink" Target="https://creativecommons.org/licenses/by-nc/4.0/" TargetMode="External"/><Relationship Id="rId1443" Type="http://schemas.openxmlformats.org/officeDocument/2006/relationships/hyperlink" Target="https://www.inaturalist.org/observations/374236766" TargetMode="External"/><Relationship Id="rId1444" Type="http://schemas.openxmlformats.org/officeDocument/2006/relationships/hyperlink" Target="https://www.inaturalist.org/people/lice_on_rice" TargetMode="External"/><Relationship Id="rId1445" Type="http://schemas.openxmlformats.org/officeDocument/2006/relationships/hyperlink" Target="https://creativecommons.org/licenses/by-nc/4.0/" TargetMode="External"/><Relationship Id="rId1446" Type="http://schemas.openxmlformats.org/officeDocument/2006/relationships/hyperlink" Target="https://www.inaturalist.org/observations/374154995" TargetMode="External"/><Relationship Id="rId1447" Type="http://schemas.openxmlformats.org/officeDocument/2006/relationships/hyperlink" Target="https://www.inaturalist.org/people/tangxing" TargetMode="External"/><Relationship Id="rId1448" Type="http://schemas.openxmlformats.org/officeDocument/2006/relationships/hyperlink" Target="https://creativecommons.org/licenses/by-nc/4.0/" TargetMode="External"/><Relationship Id="rId1449" Type="http://schemas.openxmlformats.org/officeDocument/2006/relationships/hyperlink" Target="https://www.inaturalist.org/observations/373216594" TargetMode="External"/><Relationship Id="rId1450" Type="http://schemas.openxmlformats.org/officeDocument/2006/relationships/hyperlink" Target="https://www.inaturalist.org/people/umeboshiboys" TargetMode="External"/><Relationship Id="rId1451" Type="http://schemas.openxmlformats.org/officeDocument/2006/relationships/hyperlink" Target="https://creativecommons.org/licenses/by-nc/4.0/" TargetMode="External"/><Relationship Id="rId1452" Type="http://schemas.openxmlformats.org/officeDocument/2006/relationships/hyperlink" Target="https://www.inaturalist.org/observations/373203725" TargetMode="External"/><Relationship Id="rId1453" Type="http://schemas.openxmlformats.org/officeDocument/2006/relationships/hyperlink" Target="https://www.inaturalist.org/people/milky_lzn" TargetMode="External"/><Relationship Id="rId1454" Type="http://schemas.openxmlformats.org/officeDocument/2006/relationships/hyperlink" Target="https://creativecommons.org/licenses/by-nc/4.0/" TargetMode="External"/><Relationship Id="rId1455" Type="http://schemas.openxmlformats.org/officeDocument/2006/relationships/hyperlink" Target="https://www.inaturalist.org/observations/373014126" TargetMode="External"/><Relationship Id="rId1456" Type="http://schemas.openxmlformats.org/officeDocument/2006/relationships/hyperlink" Target="https://www.inaturalist.org/people/ydyd" TargetMode="External"/><Relationship Id="rId1457" Type="http://schemas.openxmlformats.org/officeDocument/2006/relationships/hyperlink" Target="https://creativecommons.org/licenses/by-nc/4.0/" TargetMode="External"/><Relationship Id="rId1458" Type="http://schemas.openxmlformats.org/officeDocument/2006/relationships/hyperlink" Target="https://www.inaturalist.org/observations/372775893" TargetMode="External"/><Relationship Id="rId1459" Type="http://schemas.openxmlformats.org/officeDocument/2006/relationships/hyperlink" Target="https://www.inaturalist.org/people/cressgil" TargetMode="External"/><Relationship Id="rId1460" Type="http://schemas.openxmlformats.org/officeDocument/2006/relationships/hyperlink" Target="https://creativecommons.org/licenses/by-nc/4.0/" TargetMode="External"/><Relationship Id="rId1461" Type="http://schemas.openxmlformats.org/officeDocument/2006/relationships/hyperlink" Target="https://www.inaturalist.org/observations/378362456" TargetMode="External"/><Relationship Id="rId1462" Type="http://schemas.openxmlformats.org/officeDocument/2006/relationships/hyperlink" Target="https://www.inaturalist.org/people/allansander" TargetMode="External"/><Relationship Id="rId1463" Type="http://schemas.openxmlformats.org/officeDocument/2006/relationships/hyperlink" Target="https://creativecommons.org/licenses/by-nc/4.0/" TargetMode="External"/><Relationship Id="rId1464" Type="http://schemas.openxmlformats.org/officeDocument/2006/relationships/hyperlink" Target="https://www.inaturalist.org/observations/378245106" TargetMode="External"/><Relationship Id="rId1465" Type="http://schemas.openxmlformats.org/officeDocument/2006/relationships/hyperlink" Target="https://www.inaturalist.org/people/allansander" TargetMode="External"/><Relationship Id="rId1466" Type="http://schemas.openxmlformats.org/officeDocument/2006/relationships/hyperlink" Target="https://creativecommons.org/licenses/by-nc/4.0/" TargetMode="External"/><Relationship Id="rId1467" Type="http://schemas.openxmlformats.org/officeDocument/2006/relationships/hyperlink" Target="https://www.inaturalist.org/observations/378245106" TargetMode="External"/><Relationship Id="rId1468" Type="http://schemas.openxmlformats.org/officeDocument/2006/relationships/hyperlink" Target="https://www.inaturalist.org/people/antoine_vespe" TargetMode="External"/><Relationship Id="rId1469" Type="http://schemas.openxmlformats.org/officeDocument/2006/relationships/hyperlink" Target="https://creativecommons.org/licenses/by-nc/4.0/" TargetMode="External"/><Relationship Id="rId1470" Type="http://schemas.openxmlformats.org/officeDocument/2006/relationships/hyperlink" Target="https://www.inaturalist.org/observations/378024451" TargetMode="External"/><Relationship Id="rId1471" Type="http://schemas.openxmlformats.org/officeDocument/2006/relationships/hyperlink" Target="https://www.inaturalist.org/people/harumeku12" TargetMode="External"/><Relationship Id="rId1472" Type="http://schemas.openxmlformats.org/officeDocument/2006/relationships/hyperlink" Target="https://creativecommons.org/licenses/by-nc/4.0/" TargetMode="External"/><Relationship Id="rId1473" Type="http://schemas.openxmlformats.org/officeDocument/2006/relationships/hyperlink" Target="https://www.inaturalist.org/observations/376417856" TargetMode="External"/><Relationship Id="rId1474" Type="http://schemas.openxmlformats.org/officeDocument/2006/relationships/hyperlink" Target="https://www.inaturalist.org/people/chugbug111" TargetMode="External"/><Relationship Id="rId1475" Type="http://schemas.openxmlformats.org/officeDocument/2006/relationships/hyperlink" Target="https://creativecommons.org/licenses/by-nc/4.0/" TargetMode="External"/><Relationship Id="rId1476" Type="http://schemas.openxmlformats.org/officeDocument/2006/relationships/hyperlink" Target="https://www.inaturalist.org/observations/376050768" TargetMode="External"/><Relationship Id="rId1477" Type="http://schemas.openxmlformats.org/officeDocument/2006/relationships/hyperlink" Target="https://www.inaturalist.org/people/marcel-silvius" TargetMode="External"/><Relationship Id="rId1478" Type="http://schemas.openxmlformats.org/officeDocument/2006/relationships/hyperlink" Target="https://creativecommons.org/licenses/by-nc/4.0/" TargetMode="External"/><Relationship Id="rId1479" Type="http://schemas.openxmlformats.org/officeDocument/2006/relationships/hyperlink" Target="https://www.inaturalist.org/observations/375516354" TargetMode="External"/><Relationship Id="rId1480" Type="http://schemas.openxmlformats.org/officeDocument/2006/relationships/hyperlink" Target="https://www.inaturalist.org/people/ctilapia" TargetMode="External"/><Relationship Id="rId1481" Type="http://schemas.openxmlformats.org/officeDocument/2006/relationships/hyperlink" Target="https://creativecommons.org/licenses/by-nc/4.0/" TargetMode="External"/><Relationship Id="rId1482" Type="http://schemas.openxmlformats.org/officeDocument/2006/relationships/hyperlink" Target="https://www.inaturalist.org/observations/374948132" TargetMode="External"/><Relationship Id="rId1483" Type="http://schemas.openxmlformats.org/officeDocument/2006/relationships/hyperlink" Target="https://www.inaturalist.org/people/kareopadi" TargetMode="External"/><Relationship Id="rId1484" Type="http://schemas.openxmlformats.org/officeDocument/2006/relationships/hyperlink" Target="https://creativecommons.org/licenses/by-nc/4.0/" TargetMode="External"/><Relationship Id="rId1485" Type="http://schemas.openxmlformats.org/officeDocument/2006/relationships/hyperlink" Target="https://www.inaturalist.org/observations/374879109" TargetMode="External"/><Relationship Id="rId1486" Type="http://schemas.openxmlformats.org/officeDocument/2006/relationships/hyperlink" Target="https://www.inaturalist.org/people/kareopadi" TargetMode="External"/><Relationship Id="rId1487" Type="http://schemas.openxmlformats.org/officeDocument/2006/relationships/hyperlink" Target="https://creativecommons.org/licenses/by-nc/4.0/" TargetMode="External"/><Relationship Id="rId1488" Type="http://schemas.openxmlformats.org/officeDocument/2006/relationships/hyperlink" Target="https://www.inaturalist.org/observations/374879109" TargetMode="External"/><Relationship Id="rId1489" Type="http://schemas.openxmlformats.org/officeDocument/2006/relationships/hyperlink" Target="https://www.inaturalist.org/people/philbenstead" TargetMode="External"/><Relationship Id="rId1490" Type="http://schemas.openxmlformats.org/officeDocument/2006/relationships/hyperlink" Target="https://creativecommons.org/licenses/by-nc/4.0/" TargetMode="External"/><Relationship Id="rId1491" Type="http://schemas.openxmlformats.org/officeDocument/2006/relationships/hyperlink" Target="https://www.inaturalist.org/observations/374614220" TargetMode="External"/><Relationship Id="rId1492" Type="http://schemas.openxmlformats.org/officeDocument/2006/relationships/hyperlink" Target="https://www.inaturalist.org/people/ctilapia" TargetMode="External"/><Relationship Id="rId1493" Type="http://schemas.openxmlformats.org/officeDocument/2006/relationships/hyperlink" Target="https://creativecommons.org/licenses/by-nc/4.0/" TargetMode="External"/><Relationship Id="rId1494" Type="http://schemas.openxmlformats.org/officeDocument/2006/relationships/hyperlink" Target="https://www.inaturalist.org/observations/374524484" TargetMode="External"/><Relationship Id="rId1495" Type="http://schemas.openxmlformats.org/officeDocument/2006/relationships/hyperlink" Target="https://www.inaturalist.org/people/ctilapia" TargetMode="External"/><Relationship Id="rId1496" Type="http://schemas.openxmlformats.org/officeDocument/2006/relationships/hyperlink" Target="https://creativecommons.org/licenses/by-nc/4.0/" TargetMode="External"/><Relationship Id="rId1497" Type="http://schemas.openxmlformats.org/officeDocument/2006/relationships/hyperlink" Target="https://www.inaturalist.org/observations/374524484" TargetMode="External"/><Relationship Id="rId1498" Type="http://schemas.openxmlformats.org/officeDocument/2006/relationships/hyperlink" Target="https://www.inaturalist.org/people/ftnabilah" TargetMode="External"/><Relationship Id="rId1499" Type="http://schemas.openxmlformats.org/officeDocument/2006/relationships/hyperlink" Target="https://creativecommons.org/licenses/by-nc/4.0/" TargetMode="External"/><Relationship Id="rId1500" Type="http://schemas.openxmlformats.org/officeDocument/2006/relationships/hyperlink" Target="https://www.inaturalist.org/observations/374293183" TargetMode="External"/><Relationship Id="rId1501" Type="http://schemas.openxmlformats.org/officeDocument/2006/relationships/hyperlink" Target="https://www.inaturalist.org/people/fomalout" TargetMode="External"/><Relationship Id="rId1502" Type="http://schemas.openxmlformats.org/officeDocument/2006/relationships/hyperlink" Target="https://creativecommons.org/licenses/by-nc/4.0/" TargetMode="External"/><Relationship Id="rId1503" Type="http://schemas.openxmlformats.org/officeDocument/2006/relationships/hyperlink" Target="https://www.inaturalist.org/observations/374255956" TargetMode="External"/><Relationship Id="rId1504" Type="http://schemas.openxmlformats.org/officeDocument/2006/relationships/hyperlink" Target="https://www.inaturalist.org/people/fraserboyd91" TargetMode="External"/><Relationship Id="rId1505" Type="http://schemas.openxmlformats.org/officeDocument/2006/relationships/hyperlink" Target="https://creativecommons.org/licenses/by-nc/4.0/" TargetMode="External"/><Relationship Id="rId1506" Type="http://schemas.openxmlformats.org/officeDocument/2006/relationships/hyperlink" Target="https://www.inaturalist.org/observations/373879322" TargetMode="External"/><Relationship Id="rId1507" Type="http://schemas.openxmlformats.org/officeDocument/2006/relationships/hyperlink" Target="https://www.inaturalist.org/people/lukib32" TargetMode="External"/><Relationship Id="rId1508" Type="http://schemas.openxmlformats.org/officeDocument/2006/relationships/hyperlink" Target="https://creativecommons.org/licenses/by-nc/4.0/" TargetMode="External"/><Relationship Id="rId1509" Type="http://schemas.openxmlformats.org/officeDocument/2006/relationships/hyperlink" Target="https://www.inaturalist.org/observations/373209923" TargetMode="External"/><Relationship Id="rId1510" Type="http://schemas.openxmlformats.org/officeDocument/2006/relationships/hyperlink" Target="https://www.inaturalist.org/people/maxreptileroom" TargetMode="External"/><Relationship Id="rId1511" Type="http://schemas.openxmlformats.org/officeDocument/2006/relationships/hyperlink" Target="https://creativecommons.org/licenses/by-nc/4.0/" TargetMode="External"/><Relationship Id="rId1512" Type="http://schemas.openxmlformats.org/officeDocument/2006/relationships/hyperlink" Target="https://www.inaturalist.org/observations/370721984" TargetMode="External"/><Relationship Id="rId1513" Type="http://schemas.openxmlformats.org/officeDocument/2006/relationships/hyperlink" Target="https://www.inaturalist.org/people/sandylingchoo" TargetMode="External"/><Relationship Id="rId1514" Type="http://schemas.openxmlformats.org/officeDocument/2006/relationships/hyperlink" Target="https://creativecommons.org/licenses/by-nc/4.0/" TargetMode="External"/><Relationship Id="rId1515" Type="http://schemas.openxmlformats.org/officeDocument/2006/relationships/hyperlink" Target="https://www.inaturalist.org/observations/369325895" TargetMode="External"/><Relationship Id="rId1516" Type="http://schemas.openxmlformats.org/officeDocument/2006/relationships/hyperlink" Target="https://www.inaturalist.org/people/norbert_cs" TargetMode="External"/><Relationship Id="rId1517" Type="http://schemas.openxmlformats.org/officeDocument/2006/relationships/hyperlink" Target="https://creativecommons.org/licenses/by-nc/4.0/" TargetMode="External"/><Relationship Id="rId1518" Type="http://schemas.openxmlformats.org/officeDocument/2006/relationships/hyperlink" Target="https://www.inaturalist.org/observations/369228759" TargetMode="External"/><Relationship Id="rId1519" Type="http://schemas.openxmlformats.org/officeDocument/2006/relationships/hyperlink" Target="https://www.inaturalist.org/people/maltesellin" TargetMode="External"/><Relationship Id="rId1520" Type="http://schemas.openxmlformats.org/officeDocument/2006/relationships/hyperlink" Target="https://creativecommons.org/licenses/by-nc/4.0/" TargetMode="External"/><Relationship Id="rId1521" Type="http://schemas.openxmlformats.org/officeDocument/2006/relationships/hyperlink" Target="https://www.inaturalist.org/observations/366544153" TargetMode="External"/><Relationship Id="rId1522" Type="http://schemas.openxmlformats.org/officeDocument/2006/relationships/hyperlink" Target="https://www.inaturalist.org/people/whelantang" TargetMode="External"/><Relationship Id="rId1523" Type="http://schemas.openxmlformats.org/officeDocument/2006/relationships/hyperlink" Target="https://creativecommons.org/licenses/by-nc/4.0/" TargetMode="External"/><Relationship Id="rId1524" Type="http://schemas.openxmlformats.org/officeDocument/2006/relationships/hyperlink" Target="https://www.inaturalist.org/observations/366000777" TargetMode="External"/><Relationship Id="rId1525" Type="http://schemas.openxmlformats.org/officeDocument/2006/relationships/hyperlink" Target="https://www.inaturalist.org/people/cirolana" TargetMode="External"/><Relationship Id="rId1526" Type="http://schemas.openxmlformats.org/officeDocument/2006/relationships/hyperlink" Target="https://creativecommons.org/licenses/by-nc/4.0/" TargetMode="External"/><Relationship Id="rId1527" Type="http://schemas.openxmlformats.org/officeDocument/2006/relationships/hyperlink" Target="https://www.inaturalist.org/observations/365941056" TargetMode="External"/><Relationship Id="rId1528" Type="http://schemas.openxmlformats.org/officeDocument/2006/relationships/hyperlink" Target="https://www.inaturalist.org/people/marcdomenech" TargetMode="External"/><Relationship Id="rId1529" Type="http://schemas.openxmlformats.org/officeDocument/2006/relationships/hyperlink" Target="https://creativecommons.org/licenses/by-nc/4.0/" TargetMode="External"/><Relationship Id="rId1530" Type="http://schemas.openxmlformats.org/officeDocument/2006/relationships/hyperlink" Target="https://www.inaturalist.org/observations/365195005" TargetMode="External"/><Relationship Id="rId1531" Type="http://schemas.openxmlformats.org/officeDocument/2006/relationships/hyperlink" Target="https://www.inaturalist.org/people/marcdomenech" TargetMode="External"/><Relationship Id="rId1532" Type="http://schemas.openxmlformats.org/officeDocument/2006/relationships/hyperlink" Target="https://creativecommons.org/licenses/by-nc/4.0/" TargetMode="External"/><Relationship Id="rId1533" Type="http://schemas.openxmlformats.org/officeDocument/2006/relationships/hyperlink" Target="https://www.inaturalist.org/observations/365194998" TargetMode="External"/><Relationship Id="rId1534" Type="http://schemas.openxmlformats.org/officeDocument/2006/relationships/hyperlink" Target="https://www.inaturalist.org/people/yourlocalcarwash" TargetMode="External"/><Relationship Id="rId1535" Type="http://schemas.openxmlformats.org/officeDocument/2006/relationships/hyperlink" Target="https://creativecommons.org/licenses/by-nc/4.0/" TargetMode="External"/><Relationship Id="rId1536" Type="http://schemas.openxmlformats.org/officeDocument/2006/relationships/hyperlink" Target="https://www.inaturalist.org/observations/363725592" TargetMode="External"/><Relationship Id="rId1537" Type="http://schemas.openxmlformats.org/officeDocument/2006/relationships/hyperlink" Target="https://www.inaturalist.org/people/athenebrama" TargetMode="External"/><Relationship Id="rId1538" Type="http://schemas.openxmlformats.org/officeDocument/2006/relationships/hyperlink" Target="https://creativecommons.org/licenses/by-nc/4.0/" TargetMode="External"/><Relationship Id="rId1539" Type="http://schemas.openxmlformats.org/officeDocument/2006/relationships/hyperlink" Target="https://www.inaturalist.org/observations/363539460" TargetMode="External"/><Relationship Id="rId1540" Type="http://schemas.openxmlformats.org/officeDocument/2006/relationships/hyperlink" Target="https://www.inaturalist.org/people/exploring_the_world" TargetMode="External"/><Relationship Id="rId1541" Type="http://schemas.openxmlformats.org/officeDocument/2006/relationships/hyperlink" Target="https://creativecommons.org/licenses/by-nc/4.0/" TargetMode="External"/><Relationship Id="rId1542" Type="http://schemas.openxmlformats.org/officeDocument/2006/relationships/hyperlink" Target="https://www.inaturalist.org/observations/363538659" TargetMode="External"/><Relationship Id="rId1543" Type="http://schemas.openxmlformats.org/officeDocument/2006/relationships/hyperlink" Target="https://www.inaturalist.org/people/fourleafklover" TargetMode="External"/><Relationship Id="rId1544" Type="http://schemas.openxmlformats.org/officeDocument/2006/relationships/hyperlink" Target="https://creativecommons.org/licenses/by-nc/4.0/" TargetMode="External"/><Relationship Id="rId1545" Type="http://schemas.openxmlformats.org/officeDocument/2006/relationships/hyperlink" Target="https://www.inaturalist.org/observations/361966258" TargetMode="External"/><Relationship Id="rId1546" Type="http://schemas.openxmlformats.org/officeDocument/2006/relationships/hyperlink" Target="https://www.inaturalist.org/people/fourleafklover" TargetMode="External"/><Relationship Id="rId1547" Type="http://schemas.openxmlformats.org/officeDocument/2006/relationships/hyperlink" Target="https://creativecommons.org/licenses/by-nc/4.0/" TargetMode="External"/><Relationship Id="rId1548" Type="http://schemas.openxmlformats.org/officeDocument/2006/relationships/hyperlink" Target="https://www.inaturalist.org/observations/361966258" TargetMode="External"/><Relationship Id="rId1549" Type="http://schemas.openxmlformats.org/officeDocument/2006/relationships/hyperlink" Target="https://www.inaturalist.org/people/kengkittipon28" TargetMode="External"/><Relationship Id="rId1550" Type="http://schemas.openxmlformats.org/officeDocument/2006/relationships/hyperlink" Target="https://creativecommons.org/licenses/by-nc/4.0/" TargetMode="External"/><Relationship Id="rId1551" Type="http://schemas.openxmlformats.org/officeDocument/2006/relationships/hyperlink" Target="https://www.inaturalist.org/observations/361235731" TargetMode="External"/><Relationship Id="rId1552" Type="http://schemas.openxmlformats.org/officeDocument/2006/relationships/hyperlink" Target="https://www.inaturalist.org/people/kengkittipon28" TargetMode="External"/><Relationship Id="rId1553" Type="http://schemas.openxmlformats.org/officeDocument/2006/relationships/hyperlink" Target="https://creativecommons.org/licenses/by-nc/4.0/" TargetMode="External"/><Relationship Id="rId1554" Type="http://schemas.openxmlformats.org/officeDocument/2006/relationships/hyperlink" Target="https://www.inaturalist.org/observations/361235731" TargetMode="External"/><Relationship Id="rId1555" Type="http://schemas.openxmlformats.org/officeDocument/2006/relationships/hyperlink" Target="https://www.inaturalist.org/people/jamg0121" TargetMode="External"/><Relationship Id="rId1556" Type="http://schemas.openxmlformats.org/officeDocument/2006/relationships/hyperlink" Target="https://creativecommons.org/licenses/by-nc/4.0/" TargetMode="External"/><Relationship Id="rId1557" Type="http://schemas.openxmlformats.org/officeDocument/2006/relationships/hyperlink" Target="https://www.inaturalist.org/observations/360514573" TargetMode="External"/><Relationship Id="rId1558" Type="http://schemas.openxmlformats.org/officeDocument/2006/relationships/hyperlink" Target="https://www.inaturalist.org/people/harumeku12" TargetMode="External"/><Relationship Id="rId1559" Type="http://schemas.openxmlformats.org/officeDocument/2006/relationships/hyperlink" Target="https://creativecommons.org/licenses/by-nc/4.0/" TargetMode="External"/><Relationship Id="rId1560" Type="http://schemas.openxmlformats.org/officeDocument/2006/relationships/hyperlink" Target="https://www.inaturalist.org/observations/360228971" TargetMode="External"/><Relationship Id="rId1561" Type="http://schemas.openxmlformats.org/officeDocument/2006/relationships/hyperlink" Target="https://www.inaturalist.org/people/loomins_zoomins" TargetMode="External"/><Relationship Id="rId1562" Type="http://schemas.openxmlformats.org/officeDocument/2006/relationships/hyperlink" Target="https://creativecommons.org/licenses/by-nc/4.0/" TargetMode="External"/><Relationship Id="rId1563" Type="http://schemas.openxmlformats.org/officeDocument/2006/relationships/hyperlink" Target="https://www.inaturalist.org/observations/359827471" TargetMode="External"/><Relationship Id="rId1564" Type="http://schemas.openxmlformats.org/officeDocument/2006/relationships/hyperlink" Target="https://www.inaturalist.org/people/xdjcz" TargetMode="External"/><Relationship Id="rId1565" Type="http://schemas.openxmlformats.org/officeDocument/2006/relationships/hyperlink" Target="https://creativecommons.org/licenses/by-nc/4.0/" TargetMode="External"/><Relationship Id="rId1566" Type="http://schemas.openxmlformats.org/officeDocument/2006/relationships/hyperlink" Target="https://www.inaturalist.org/observations/376064069" TargetMode="External"/><Relationship Id="rId1567" Type="http://schemas.openxmlformats.org/officeDocument/2006/relationships/hyperlink" Target="https://www.inaturalist.org/people/xdjcz" TargetMode="External"/><Relationship Id="rId1568" Type="http://schemas.openxmlformats.org/officeDocument/2006/relationships/hyperlink" Target="https://creativecommons.org/licenses/by-nc/4.0/" TargetMode="External"/><Relationship Id="rId1569" Type="http://schemas.openxmlformats.org/officeDocument/2006/relationships/hyperlink" Target="https://www.inaturalist.org/observations/376063921" TargetMode="External"/><Relationship Id="rId1570" Type="http://schemas.openxmlformats.org/officeDocument/2006/relationships/hyperlink" Target="https://www.inaturalist.org/people/hpenrod2" TargetMode="External"/><Relationship Id="rId1571" Type="http://schemas.openxmlformats.org/officeDocument/2006/relationships/hyperlink" Target="https://creativecommons.org/licenses/by-nc/4.0/" TargetMode="External"/><Relationship Id="rId1572" Type="http://schemas.openxmlformats.org/officeDocument/2006/relationships/hyperlink" Target="https://www.inaturalist.org/observations/376055934" TargetMode="External"/><Relationship Id="rId1573" Type="http://schemas.openxmlformats.org/officeDocument/2006/relationships/hyperlink" Target="https://www.inaturalist.org/people/hpenrod2" TargetMode="External"/><Relationship Id="rId1574" Type="http://schemas.openxmlformats.org/officeDocument/2006/relationships/hyperlink" Target="https://creativecommons.org/licenses/by-nc/4.0/" TargetMode="External"/><Relationship Id="rId1575" Type="http://schemas.openxmlformats.org/officeDocument/2006/relationships/hyperlink" Target="https://www.inaturalist.org/observations/376055934" TargetMode="External"/><Relationship Id="rId1576" Type="http://schemas.openxmlformats.org/officeDocument/2006/relationships/hyperlink" Target="https://www.inaturalist.org/people/tbs_wilderness" TargetMode="External"/><Relationship Id="rId1577" Type="http://schemas.openxmlformats.org/officeDocument/2006/relationships/hyperlink" Target="https://creativecommons.org/licenses/by-nc/4.0/" TargetMode="External"/><Relationship Id="rId1578" Type="http://schemas.openxmlformats.org/officeDocument/2006/relationships/hyperlink" Target="https://www.inaturalist.org/observations/376027313" TargetMode="External"/><Relationship Id="rId1579" Type="http://schemas.openxmlformats.org/officeDocument/2006/relationships/hyperlink" Target="https://www.inaturalist.org/people/aeithalis" TargetMode="External"/><Relationship Id="rId1580" Type="http://schemas.openxmlformats.org/officeDocument/2006/relationships/hyperlink" Target="https://creativecommons.org/licenses/by-nc/4.0/" TargetMode="External"/><Relationship Id="rId1581" Type="http://schemas.openxmlformats.org/officeDocument/2006/relationships/hyperlink" Target="https://www.inaturalist.org/observations/376009317" TargetMode="External"/><Relationship Id="rId1582" Type="http://schemas.openxmlformats.org/officeDocument/2006/relationships/hyperlink" Target="https://www.inaturalist.org/people/zakry7" TargetMode="External"/><Relationship Id="rId1583" Type="http://schemas.openxmlformats.org/officeDocument/2006/relationships/hyperlink" Target="https://creativecommons.org/licenses/by-nc/4.0/" TargetMode="External"/><Relationship Id="rId1584" Type="http://schemas.openxmlformats.org/officeDocument/2006/relationships/hyperlink" Target="https://www.inaturalist.org/observations/375985961" TargetMode="External"/><Relationship Id="rId1585" Type="http://schemas.openxmlformats.org/officeDocument/2006/relationships/hyperlink" Target="https://www.inaturalist.org/people/zakry7" TargetMode="External"/><Relationship Id="rId1586" Type="http://schemas.openxmlformats.org/officeDocument/2006/relationships/hyperlink" Target="https://creativecommons.org/licenses/by-nc/4.0/" TargetMode="External"/><Relationship Id="rId1587" Type="http://schemas.openxmlformats.org/officeDocument/2006/relationships/hyperlink" Target="https://www.inaturalist.org/observations/375985961" TargetMode="External"/><Relationship Id="rId1588" Type="http://schemas.openxmlformats.org/officeDocument/2006/relationships/hyperlink" Target="https://www.inaturalist.org/people/edgar-f-maldonado" TargetMode="External"/><Relationship Id="rId1589" Type="http://schemas.openxmlformats.org/officeDocument/2006/relationships/hyperlink" Target="https://creativecommons.org/licenses/by-nc/4.0/" TargetMode="External"/><Relationship Id="rId1590" Type="http://schemas.openxmlformats.org/officeDocument/2006/relationships/hyperlink" Target="https://www.inaturalist.org/observations/375901166" TargetMode="External"/><Relationship Id="rId1591" Type="http://schemas.openxmlformats.org/officeDocument/2006/relationships/hyperlink" Target="https://www.inaturalist.org/people/maltebroecker" TargetMode="External"/><Relationship Id="rId1592" Type="http://schemas.openxmlformats.org/officeDocument/2006/relationships/hyperlink" Target="https://creativecommons.org/licenses/by-nc/4.0/" TargetMode="External"/><Relationship Id="rId1593" Type="http://schemas.openxmlformats.org/officeDocument/2006/relationships/hyperlink" Target="https://www.inaturalist.org/observations/375797684" TargetMode="External"/><Relationship Id="rId1594" Type="http://schemas.openxmlformats.org/officeDocument/2006/relationships/hyperlink" Target="https://www.inaturalist.org/people/alazon" TargetMode="External"/><Relationship Id="rId1595" Type="http://schemas.openxmlformats.org/officeDocument/2006/relationships/hyperlink" Target="https://creativecommons.org/licenses/by-nc/4.0/" TargetMode="External"/><Relationship Id="rId1596" Type="http://schemas.openxmlformats.org/officeDocument/2006/relationships/hyperlink" Target="https://www.inaturalist.org/observations/375631008" TargetMode="External"/><Relationship Id="rId1597" Type="http://schemas.openxmlformats.org/officeDocument/2006/relationships/hyperlink" Target="https://www.inaturalist.org/people/squib25" TargetMode="External"/><Relationship Id="rId1598" Type="http://schemas.openxmlformats.org/officeDocument/2006/relationships/hyperlink" Target="https://creativecommons.org/licenses/by-nc/4.0/" TargetMode="External"/><Relationship Id="rId1599" Type="http://schemas.openxmlformats.org/officeDocument/2006/relationships/hyperlink" Target="https://www.inaturalist.org/observations/375620816" TargetMode="External"/><Relationship Id="rId1600" Type="http://schemas.openxmlformats.org/officeDocument/2006/relationships/hyperlink" Target="https://www.inaturalist.org/people/king2004" TargetMode="External"/><Relationship Id="rId1601" Type="http://schemas.openxmlformats.org/officeDocument/2006/relationships/hyperlink" Target="https://creativecommons.org/licenses/by-nc/4.0/" TargetMode="External"/><Relationship Id="rId1602" Type="http://schemas.openxmlformats.org/officeDocument/2006/relationships/hyperlink" Target="https://www.inaturalist.org/observations/375610260" TargetMode="External"/><Relationship Id="rId1603" Type="http://schemas.openxmlformats.org/officeDocument/2006/relationships/hyperlink" Target="https://www.inaturalist.org/people/observatorio1873" TargetMode="External"/><Relationship Id="rId1604" Type="http://schemas.openxmlformats.org/officeDocument/2006/relationships/hyperlink" Target="https://creativecommons.org/licenses/by-nc/4.0/" TargetMode="External"/><Relationship Id="rId1605" Type="http://schemas.openxmlformats.org/officeDocument/2006/relationships/hyperlink" Target="https://www.inaturalist.org/observations/375598304" TargetMode="External"/><Relationship Id="rId1606" Type="http://schemas.openxmlformats.org/officeDocument/2006/relationships/hyperlink" Target="https://www.inaturalist.org/people/wklo" TargetMode="External"/><Relationship Id="rId1607" Type="http://schemas.openxmlformats.org/officeDocument/2006/relationships/hyperlink" Target="https://creativecommons.org/licenses/by-nc/4.0/" TargetMode="External"/><Relationship Id="rId1608" Type="http://schemas.openxmlformats.org/officeDocument/2006/relationships/hyperlink" Target="https://www.inaturalist.org/observations/375552773" TargetMode="External"/><Relationship Id="rId1609" Type="http://schemas.openxmlformats.org/officeDocument/2006/relationships/hyperlink" Target="https://www.inaturalist.org/people/amir2010" TargetMode="External"/><Relationship Id="rId1610" Type="http://schemas.openxmlformats.org/officeDocument/2006/relationships/hyperlink" Target="https://creativecommons.org/licenses/by-nc/4.0/" TargetMode="External"/><Relationship Id="rId1611" Type="http://schemas.openxmlformats.org/officeDocument/2006/relationships/hyperlink" Target="https://www.inaturalist.org/observations/375499709" TargetMode="External"/><Relationship Id="rId1612" Type="http://schemas.openxmlformats.org/officeDocument/2006/relationships/hyperlink" Target="https://www.inaturalist.org/people/garlice99" TargetMode="External"/><Relationship Id="rId1613" Type="http://schemas.openxmlformats.org/officeDocument/2006/relationships/hyperlink" Target="https://creativecommons.org/licenses/by-nc/4.0/" TargetMode="External"/><Relationship Id="rId1614" Type="http://schemas.openxmlformats.org/officeDocument/2006/relationships/hyperlink" Target="https://www.inaturalist.org/observations/375489034" TargetMode="External"/><Relationship Id="rId1615" Type="http://schemas.openxmlformats.org/officeDocument/2006/relationships/hyperlink" Target="https://www.inaturalist.org/people/owen65" TargetMode="External"/><Relationship Id="rId1616" Type="http://schemas.openxmlformats.org/officeDocument/2006/relationships/hyperlink" Target="https://creativecommons.org/licenses/by-nc/4.0/" TargetMode="External"/><Relationship Id="rId1617" Type="http://schemas.openxmlformats.org/officeDocument/2006/relationships/hyperlink" Target="https://www.inaturalist.org/observations/375480523" TargetMode="External"/><Relationship Id="rId1618" Type="http://schemas.openxmlformats.org/officeDocument/2006/relationships/hyperlink" Target="https://www.inaturalist.org/people/benwalters" TargetMode="External"/><Relationship Id="rId1619" Type="http://schemas.openxmlformats.org/officeDocument/2006/relationships/hyperlink" Target="https://creativecommons.org/licenses/by-nc/4.0/" TargetMode="External"/><Relationship Id="rId1620" Type="http://schemas.openxmlformats.org/officeDocument/2006/relationships/hyperlink" Target="https://www.inaturalist.org/observations/375462222" TargetMode="External"/><Relationship Id="rId1621" Type="http://schemas.openxmlformats.org/officeDocument/2006/relationships/hyperlink" Target="https://www.inaturalist.org/people/sirlarus" TargetMode="External"/><Relationship Id="rId1622" Type="http://schemas.openxmlformats.org/officeDocument/2006/relationships/hyperlink" Target="https://creativecommons.org/licenses/by-nc/4.0/" TargetMode="External"/><Relationship Id="rId1623" Type="http://schemas.openxmlformats.org/officeDocument/2006/relationships/hyperlink" Target="https://www.inaturalist.org/observations/375459683" TargetMode="External"/><Relationship Id="rId1624" Type="http://schemas.openxmlformats.org/officeDocument/2006/relationships/hyperlink" Target="https://www.inaturalist.org/people/maltesellin" TargetMode="External"/><Relationship Id="rId1625" Type="http://schemas.openxmlformats.org/officeDocument/2006/relationships/hyperlink" Target="https://creativecommons.org/licenses/by-nc/4.0/" TargetMode="External"/><Relationship Id="rId1626" Type="http://schemas.openxmlformats.org/officeDocument/2006/relationships/hyperlink" Target="https://www.inaturalist.org/observations/375444741" TargetMode="External"/><Relationship Id="rId1627" Type="http://schemas.openxmlformats.org/officeDocument/2006/relationships/hyperlink" Target="https://www.inaturalist.org/people/wohlrab" TargetMode="External"/><Relationship Id="rId1628" Type="http://schemas.openxmlformats.org/officeDocument/2006/relationships/hyperlink" Target="https://creativecommons.org/licenses/by-nc/4.0/" TargetMode="External"/><Relationship Id="rId1629" Type="http://schemas.openxmlformats.org/officeDocument/2006/relationships/hyperlink" Target="https://www.inaturalist.org/observations/375429585" TargetMode="External"/><Relationship Id="rId1630" Type="http://schemas.openxmlformats.org/officeDocument/2006/relationships/hyperlink" Target="https://www.inaturalist.org/people/leytonjfreid" TargetMode="External"/><Relationship Id="rId1631" Type="http://schemas.openxmlformats.org/officeDocument/2006/relationships/hyperlink" Target="https://creativecommons.org/licenses/by-nc/4.0/" TargetMode="External"/><Relationship Id="rId1632" Type="http://schemas.openxmlformats.org/officeDocument/2006/relationships/hyperlink" Target="https://www.inaturalist.org/observations/375427361" TargetMode="External"/><Relationship Id="rId1633" Type="http://schemas.openxmlformats.org/officeDocument/2006/relationships/hyperlink" Target="https://www.inaturalist.org/people/yangae" TargetMode="External"/><Relationship Id="rId1634" Type="http://schemas.openxmlformats.org/officeDocument/2006/relationships/hyperlink" Target="https://creativecommons.org/licenses/by-nc/4.0/" TargetMode="External"/><Relationship Id="rId1635" Type="http://schemas.openxmlformats.org/officeDocument/2006/relationships/hyperlink" Target="https://www.inaturalist.org/observations/375420315" TargetMode="External"/><Relationship Id="rId1636" Type="http://schemas.openxmlformats.org/officeDocument/2006/relationships/hyperlink" Target="https://www.inaturalist.org/people/tetraponera_attenuata" TargetMode="External"/><Relationship Id="rId1637" Type="http://schemas.openxmlformats.org/officeDocument/2006/relationships/hyperlink" Target="https://creativecommons.org/licenses/by-nc/4.0/" TargetMode="External"/><Relationship Id="rId1638" Type="http://schemas.openxmlformats.org/officeDocument/2006/relationships/hyperlink" Target="https://www.inaturalist.org/observations/375416216" TargetMode="External"/><Relationship Id="rId1639" Type="http://schemas.openxmlformats.org/officeDocument/2006/relationships/hyperlink" Target="https://www.inaturalist.org/people/wssailor" TargetMode="External"/><Relationship Id="rId1640" Type="http://schemas.openxmlformats.org/officeDocument/2006/relationships/hyperlink" Target="https://creativecommons.org/licenses/by-nc/4.0/" TargetMode="External"/><Relationship Id="rId1641" Type="http://schemas.openxmlformats.org/officeDocument/2006/relationships/hyperlink" Target="https://www.inaturalist.org/observations/375375557" TargetMode="External"/><Relationship Id="rId1642" Type="http://schemas.openxmlformats.org/officeDocument/2006/relationships/hyperlink" Target="https://www.inaturalist.org/people/archiedowdeswell" TargetMode="External"/><Relationship Id="rId1643" Type="http://schemas.openxmlformats.org/officeDocument/2006/relationships/hyperlink" Target="https://creativecommons.org/licenses/by-nc/4.0/" TargetMode="External"/><Relationship Id="rId1644" Type="http://schemas.openxmlformats.org/officeDocument/2006/relationships/hyperlink" Target="https://www.inaturalist.org/observations/375351009" TargetMode="External"/><Relationship Id="rId1645" Type="http://schemas.openxmlformats.org/officeDocument/2006/relationships/hyperlink" Target="https://www.inaturalist.org/people/prosenjit" TargetMode="External"/><Relationship Id="rId1646" Type="http://schemas.openxmlformats.org/officeDocument/2006/relationships/hyperlink" Target="https://creativecommons.org/licenses/by-nc/4.0/" TargetMode="External"/><Relationship Id="rId1647" Type="http://schemas.openxmlformats.org/officeDocument/2006/relationships/hyperlink" Target="https://www.inaturalist.org/observations/375322336" TargetMode="External"/><Relationship Id="rId1648" Type="http://schemas.openxmlformats.org/officeDocument/2006/relationships/hyperlink" Target="https://www.inaturalist.org/people/meatw0rmri" TargetMode="External"/><Relationship Id="rId1649" Type="http://schemas.openxmlformats.org/officeDocument/2006/relationships/hyperlink" Target="https://creativecommons.org/licenses/by-nc/4.0/" TargetMode="External"/><Relationship Id="rId1650" Type="http://schemas.openxmlformats.org/officeDocument/2006/relationships/hyperlink" Target="https://www.inaturalist.org/observations/375306367" TargetMode="External"/><Relationship Id="rId1651" Type="http://schemas.openxmlformats.org/officeDocument/2006/relationships/hyperlink" Target="https://www.inaturalist.org/people/kragikuak" TargetMode="External"/><Relationship Id="rId1652" Type="http://schemas.openxmlformats.org/officeDocument/2006/relationships/hyperlink" Target="https://creativecommons.org/licenses/by-nc/4.0/" TargetMode="External"/><Relationship Id="rId1653" Type="http://schemas.openxmlformats.org/officeDocument/2006/relationships/hyperlink" Target="https://www.inaturalist.org/observations/375282875" TargetMode="External"/><Relationship Id="rId1654" Type="http://schemas.openxmlformats.org/officeDocument/2006/relationships/hyperlink" Target="https://www.inaturalist.org/people/kragikuak" TargetMode="External"/><Relationship Id="rId1655" Type="http://schemas.openxmlformats.org/officeDocument/2006/relationships/hyperlink" Target="https://creativecommons.org/licenses/by-nc/4.0/" TargetMode="External"/><Relationship Id="rId1656" Type="http://schemas.openxmlformats.org/officeDocument/2006/relationships/hyperlink" Target="https://www.inaturalist.org/observations/375282875" TargetMode="External"/><Relationship Id="rId1657" Type="http://schemas.openxmlformats.org/officeDocument/2006/relationships/hyperlink" Target="https://www.inaturalist.org/people/vlad64893" TargetMode="External"/><Relationship Id="rId1658" Type="http://schemas.openxmlformats.org/officeDocument/2006/relationships/hyperlink" Target="https://creativecommons.org/licenses/by-nc/4.0/" TargetMode="External"/><Relationship Id="rId1659" Type="http://schemas.openxmlformats.org/officeDocument/2006/relationships/hyperlink" Target="https://www.inaturalist.org/observations/375263552" TargetMode="External"/><Relationship Id="rId1660" Type="http://schemas.openxmlformats.org/officeDocument/2006/relationships/hyperlink" Target="https://www.inaturalist.org/people/sylviem76" TargetMode="External"/><Relationship Id="rId1661" Type="http://schemas.openxmlformats.org/officeDocument/2006/relationships/hyperlink" Target="https://creativecommons.org/licenses/by-nc/4.0/" TargetMode="External"/><Relationship Id="rId1662" Type="http://schemas.openxmlformats.org/officeDocument/2006/relationships/hyperlink" Target="https://www.inaturalist.org/observations/375263225" TargetMode="External"/><Relationship Id="rId1663" Type="http://schemas.openxmlformats.org/officeDocument/2006/relationships/hyperlink" Target="https://www.inaturalist.org/people/mschuang" TargetMode="External"/><Relationship Id="rId1664" Type="http://schemas.openxmlformats.org/officeDocument/2006/relationships/hyperlink" Target="https://creativecommons.org/licenses/by-nc/4.0/" TargetMode="External"/><Relationship Id="rId1665" Type="http://schemas.openxmlformats.org/officeDocument/2006/relationships/hyperlink" Target="https://www.inaturalist.org/observations/375237464" TargetMode="External"/><Relationship Id="rId1666" Type="http://schemas.openxmlformats.org/officeDocument/2006/relationships/hyperlink" Target="https://www.inaturalist.org/people/mschuang" TargetMode="External"/><Relationship Id="rId1667" Type="http://schemas.openxmlformats.org/officeDocument/2006/relationships/hyperlink" Target="https://creativecommons.org/licenses/by-nc/4.0/" TargetMode="External"/><Relationship Id="rId1668" Type="http://schemas.openxmlformats.org/officeDocument/2006/relationships/hyperlink" Target="https://www.inaturalist.org/observations/375231455" TargetMode="External"/><Relationship Id="rId1669" Type="http://schemas.openxmlformats.org/officeDocument/2006/relationships/hyperlink" Target="https://www.inaturalist.org/people/m_hoekwater" TargetMode="External"/><Relationship Id="rId1670" Type="http://schemas.openxmlformats.org/officeDocument/2006/relationships/hyperlink" Target="https://creativecommons.org/licenses/by-nc/4.0/" TargetMode="External"/><Relationship Id="rId1671" Type="http://schemas.openxmlformats.org/officeDocument/2006/relationships/hyperlink" Target="https://www.inaturalist.org/observations/379843142" TargetMode="External"/><Relationship Id="rId1672" Type="http://schemas.openxmlformats.org/officeDocument/2006/relationships/hyperlink" Target="https://www.inaturalist.org/people/utfarmstand" TargetMode="External"/><Relationship Id="rId1673" Type="http://schemas.openxmlformats.org/officeDocument/2006/relationships/hyperlink" Target="https://creativecommons.org/licenses/by-nc/4.0/" TargetMode="External"/><Relationship Id="rId1674" Type="http://schemas.openxmlformats.org/officeDocument/2006/relationships/hyperlink" Target="https://www.inaturalist.org/observations/379837353" TargetMode="External"/><Relationship Id="rId1675" Type="http://schemas.openxmlformats.org/officeDocument/2006/relationships/hyperlink" Target="https://www.inaturalist.org/people/riley_bieker" TargetMode="External"/><Relationship Id="rId1676" Type="http://schemas.openxmlformats.org/officeDocument/2006/relationships/hyperlink" Target="https://creativecommons.org/licenses/by-nc/4.0/" TargetMode="External"/><Relationship Id="rId1677" Type="http://schemas.openxmlformats.org/officeDocument/2006/relationships/hyperlink" Target="https://www.inaturalist.org/observations/379832540" TargetMode="External"/><Relationship Id="rId1678" Type="http://schemas.openxmlformats.org/officeDocument/2006/relationships/hyperlink" Target="https://www.inaturalist.org/people/evarant" TargetMode="External"/><Relationship Id="rId1679" Type="http://schemas.openxmlformats.org/officeDocument/2006/relationships/hyperlink" Target="https://creativecommons.org/licenses/by-nc/4.0/" TargetMode="External"/><Relationship Id="rId1680" Type="http://schemas.openxmlformats.org/officeDocument/2006/relationships/hyperlink" Target="https://www.inaturalist.org/observations/379822000" TargetMode="External"/><Relationship Id="rId1681" Type="http://schemas.openxmlformats.org/officeDocument/2006/relationships/hyperlink" Target="https://www.inaturalist.org/people/mokasworld" TargetMode="External"/><Relationship Id="rId1682" Type="http://schemas.openxmlformats.org/officeDocument/2006/relationships/hyperlink" Target="https://creativecommons.org/licenses/by-nc/4.0/" TargetMode="External"/><Relationship Id="rId1683" Type="http://schemas.openxmlformats.org/officeDocument/2006/relationships/hyperlink" Target="https://www.inaturalist.org/observations/379818336" TargetMode="External"/><Relationship Id="rId1684" Type="http://schemas.openxmlformats.org/officeDocument/2006/relationships/hyperlink" Target="https://www.inaturalist.org/people/alexia_pavard" TargetMode="External"/><Relationship Id="rId1685" Type="http://schemas.openxmlformats.org/officeDocument/2006/relationships/hyperlink" Target="https://creativecommons.org/licenses/by-nc/4.0/" TargetMode="External"/><Relationship Id="rId1686" Type="http://schemas.openxmlformats.org/officeDocument/2006/relationships/hyperlink" Target="https://www.inaturalist.org/observations/379814122" TargetMode="External"/><Relationship Id="rId1687" Type="http://schemas.openxmlformats.org/officeDocument/2006/relationships/hyperlink" Target="https://www.inaturalist.org/people/pschmitz" TargetMode="External"/><Relationship Id="rId1688" Type="http://schemas.openxmlformats.org/officeDocument/2006/relationships/hyperlink" Target="https://creativecommons.org/licenses/by-nc/4.0/" TargetMode="External"/><Relationship Id="rId1689" Type="http://schemas.openxmlformats.org/officeDocument/2006/relationships/hyperlink" Target="https://www.inaturalist.org/observations/379790118" TargetMode="External"/><Relationship Id="rId1690" Type="http://schemas.openxmlformats.org/officeDocument/2006/relationships/hyperlink" Target="https://www.inaturalist.org/people/cynsternberg" TargetMode="External"/><Relationship Id="rId1691" Type="http://schemas.openxmlformats.org/officeDocument/2006/relationships/hyperlink" Target="https://creativecommons.org/licenses/by-nc/4.0/" TargetMode="External"/><Relationship Id="rId1692" Type="http://schemas.openxmlformats.org/officeDocument/2006/relationships/hyperlink" Target="https://www.inaturalist.org/observations/379782880" TargetMode="External"/><Relationship Id="rId1693" Type="http://schemas.openxmlformats.org/officeDocument/2006/relationships/hyperlink" Target="https://www.inaturalist.org/people/yan_tonz" TargetMode="External"/><Relationship Id="rId1694" Type="http://schemas.openxmlformats.org/officeDocument/2006/relationships/hyperlink" Target="https://creativecommons.org/licenses/by-nc/4.0/" TargetMode="External"/><Relationship Id="rId1695" Type="http://schemas.openxmlformats.org/officeDocument/2006/relationships/hyperlink" Target="https://www.inaturalist.org/observations/379766325" TargetMode="External"/><Relationship Id="rId1696" Type="http://schemas.openxmlformats.org/officeDocument/2006/relationships/hyperlink" Target="https://www.inaturalist.org/people/millipedeman56" TargetMode="External"/><Relationship Id="rId1697" Type="http://schemas.openxmlformats.org/officeDocument/2006/relationships/hyperlink" Target="https://creativecommons.org/licenses/by-nc/4.0/" TargetMode="External"/><Relationship Id="rId1698" Type="http://schemas.openxmlformats.org/officeDocument/2006/relationships/hyperlink" Target="https://www.inaturalist.org/observations/379765940" TargetMode="External"/><Relationship Id="rId1699" Type="http://schemas.openxmlformats.org/officeDocument/2006/relationships/hyperlink" Target="https://www.inaturalist.org/people/ciaracastro09" TargetMode="External"/><Relationship Id="rId1700" Type="http://schemas.openxmlformats.org/officeDocument/2006/relationships/hyperlink" Target="https://creativecommons.org/licenses/by-nc/4.0/" TargetMode="External"/><Relationship Id="rId1701" Type="http://schemas.openxmlformats.org/officeDocument/2006/relationships/hyperlink" Target="https://www.inaturalist.org/observations/379761730" TargetMode="External"/><Relationship Id="rId1702" Type="http://schemas.openxmlformats.org/officeDocument/2006/relationships/hyperlink" Target="https://www.inaturalist.org/people/dwilliams95" TargetMode="External"/><Relationship Id="rId1703" Type="http://schemas.openxmlformats.org/officeDocument/2006/relationships/hyperlink" Target="https://creativecommons.org/licenses/by-nc/4.0/" TargetMode="External"/><Relationship Id="rId1704" Type="http://schemas.openxmlformats.org/officeDocument/2006/relationships/hyperlink" Target="https://www.inaturalist.org/observations/379745406" TargetMode="External"/><Relationship Id="rId1705" Type="http://schemas.openxmlformats.org/officeDocument/2006/relationships/hyperlink" Target="https://www.inaturalist.org/people/oscar66139" TargetMode="External"/><Relationship Id="rId1706" Type="http://schemas.openxmlformats.org/officeDocument/2006/relationships/hyperlink" Target="https://creativecommons.org/licenses/by-nc/4.0/" TargetMode="External"/><Relationship Id="rId1707" Type="http://schemas.openxmlformats.org/officeDocument/2006/relationships/hyperlink" Target="https://www.inaturalist.org/observations/379719638" TargetMode="External"/><Relationship Id="rId1708" Type="http://schemas.openxmlformats.org/officeDocument/2006/relationships/hyperlink" Target="https://www.inaturalist.org/people/aaron3431" TargetMode="External"/><Relationship Id="rId1709" Type="http://schemas.openxmlformats.org/officeDocument/2006/relationships/hyperlink" Target="https://creativecommons.org/licenses/by-nc/4.0/" TargetMode="External"/><Relationship Id="rId1710" Type="http://schemas.openxmlformats.org/officeDocument/2006/relationships/hyperlink" Target="https://www.inaturalist.org/observations/379710128" TargetMode="External"/><Relationship Id="rId1711" Type="http://schemas.openxmlformats.org/officeDocument/2006/relationships/hyperlink" Target="https://www.inaturalist.org/people/greenturtleeee" TargetMode="External"/><Relationship Id="rId1712" Type="http://schemas.openxmlformats.org/officeDocument/2006/relationships/hyperlink" Target="https://creativecommons.org/licenses/by-nc/4.0/" TargetMode="External"/><Relationship Id="rId1713" Type="http://schemas.openxmlformats.org/officeDocument/2006/relationships/hyperlink" Target="https://www.inaturalist.org/observations/379698800" TargetMode="External"/><Relationship Id="rId1714" Type="http://schemas.openxmlformats.org/officeDocument/2006/relationships/hyperlink" Target="https://www.inaturalist.org/people/rexstutter" TargetMode="External"/><Relationship Id="rId1715" Type="http://schemas.openxmlformats.org/officeDocument/2006/relationships/hyperlink" Target="https://creativecommons.org/licenses/by-nc/4.0/" TargetMode="External"/><Relationship Id="rId1716" Type="http://schemas.openxmlformats.org/officeDocument/2006/relationships/hyperlink" Target="https://www.inaturalist.org/observations/379689369" TargetMode="External"/><Relationship Id="rId1717" Type="http://schemas.openxmlformats.org/officeDocument/2006/relationships/hyperlink" Target="https://www.inaturalist.org/people/katylou90" TargetMode="External"/><Relationship Id="rId1718" Type="http://schemas.openxmlformats.org/officeDocument/2006/relationships/hyperlink" Target="https://creativecommons.org/licenses/by-nc/4.0/" TargetMode="External"/><Relationship Id="rId1719" Type="http://schemas.openxmlformats.org/officeDocument/2006/relationships/hyperlink" Target="https://www.inaturalist.org/observations/379615749" TargetMode="External"/><Relationship Id="rId1720" Type="http://schemas.openxmlformats.org/officeDocument/2006/relationships/hyperlink" Target="https://www.inaturalist.org/people/angelruiz303" TargetMode="External"/><Relationship Id="rId1721" Type="http://schemas.openxmlformats.org/officeDocument/2006/relationships/hyperlink" Target="https://creativecommons.org/licenses/by-nc/4.0/" TargetMode="External"/><Relationship Id="rId1722" Type="http://schemas.openxmlformats.org/officeDocument/2006/relationships/hyperlink" Target="https://www.inaturalist.org/observations/379595470" TargetMode="External"/><Relationship Id="rId1723" Type="http://schemas.openxmlformats.org/officeDocument/2006/relationships/hyperlink" Target="https://www.inaturalist.org/people/angelruiz303" TargetMode="External"/><Relationship Id="rId1724" Type="http://schemas.openxmlformats.org/officeDocument/2006/relationships/hyperlink" Target="https://creativecommons.org/licenses/by-nc/4.0/" TargetMode="External"/><Relationship Id="rId1725" Type="http://schemas.openxmlformats.org/officeDocument/2006/relationships/hyperlink" Target="https://www.inaturalist.org/observations/379595470" TargetMode="External"/><Relationship Id="rId1726" Type="http://schemas.openxmlformats.org/officeDocument/2006/relationships/hyperlink" Target="https://www.inaturalist.org/people/mako252" TargetMode="External"/><Relationship Id="rId1727" Type="http://schemas.openxmlformats.org/officeDocument/2006/relationships/hyperlink" Target="https://creativecommons.org/licenses/by-nc/4.0/" TargetMode="External"/><Relationship Id="rId1728" Type="http://schemas.openxmlformats.org/officeDocument/2006/relationships/hyperlink" Target="https://www.inaturalist.org/observations/379591938" TargetMode="External"/><Relationship Id="rId1729" Type="http://schemas.openxmlformats.org/officeDocument/2006/relationships/hyperlink" Target="https://www.inaturalist.org/people/luca44" TargetMode="External"/><Relationship Id="rId1730" Type="http://schemas.openxmlformats.org/officeDocument/2006/relationships/hyperlink" Target="https://creativecommons.org/licenses/by-nc/4.0/" TargetMode="External"/><Relationship Id="rId1731" Type="http://schemas.openxmlformats.org/officeDocument/2006/relationships/hyperlink" Target="https://www.inaturalist.org/observations/379591785" TargetMode="External"/><Relationship Id="rId1732" Type="http://schemas.openxmlformats.org/officeDocument/2006/relationships/hyperlink" Target="https://www.inaturalist.org/people/johanagf" TargetMode="External"/><Relationship Id="rId1733" Type="http://schemas.openxmlformats.org/officeDocument/2006/relationships/hyperlink" Target="https://creativecommons.org/licenses/by-nc/4.0/" TargetMode="External"/><Relationship Id="rId1734" Type="http://schemas.openxmlformats.org/officeDocument/2006/relationships/hyperlink" Target="https://www.inaturalist.org/observations/379587883" TargetMode="External"/><Relationship Id="rId1735" Type="http://schemas.openxmlformats.org/officeDocument/2006/relationships/hyperlink" Target="https://www.inaturalist.org/people/benzerante" TargetMode="External"/><Relationship Id="rId1736" Type="http://schemas.openxmlformats.org/officeDocument/2006/relationships/hyperlink" Target="https://creativecommons.org/licenses/by-nc/4.0/" TargetMode="External"/><Relationship Id="rId1737" Type="http://schemas.openxmlformats.org/officeDocument/2006/relationships/hyperlink" Target="https://www.inaturalist.org/observations/379587818" TargetMode="External"/><Relationship Id="rId1738" Type="http://schemas.openxmlformats.org/officeDocument/2006/relationships/hyperlink" Target="https://www.inaturalist.org/people/murkiness2537" TargetMode="External"/><Relationship Id="rId1739" Type="http://schemas.openxmlformats.org/officeDocument/2006/relationships/hyperlink" Target="https://creativecommons.org/licenses/by-nc/4.0/" TargetMode="External"/><Relationship Id="rId1740" Type="http://schemas.openxmlformats.org/officeDocument/2006/relationships/hyperlink" Target="https://www.inaturalist.org/observations/379566113" TargetMode="External"/><Relationship Id="rId1741" Type="http://schemas.openxmlformats.org/officeDocument/2006/relationships/hyperlink" Target="https://www.inaturalist.org/people/mokasworld" TargetMode="External"/><Relationship Id="rId1742" Type="http://schemas.openxmlformats.org/officeDocument/2006/relationships/hyperlink" Target="https://creativecommons.org/licenses/by-nc/4.0/" TargetMode="External"/><Relationship Id="rId1743" Type="http://schemas.openxmlformats.org/officeDocument/2006/relationships/hyperlink" Target="https://www.inaturalist.org/observations/379560363" TargetMode="External"/><Relationship Id="rId1744" Type="http://schemas.openxmlformats.org/officeDocument/2006/relationships/hyperlink" Target="https://www.inaturalist.org/people/sbuglug" TargetMode="External"/><Relationship Id="rId1745" Type="http://schemas.openxmlformats.org/officeDocument/2006/relationships/hyperlink" Target="https://creativecommons.org/licenses/by-nc/4.0/" TargetMode="External"/><Relationship Id="rId1746" Type="http://schemas.openxmlformats.org/officeDocument/2006/relationships/hyperlink" Target="https://www.inaturalist.org/observations/379541235" TargetMode="External"/><Relationship Id="rId1747" Type="http://schemas.openxmlformats.org/officeDocument/2006/relationships/hyperlink" Target="https://www.inaturalist.org/people/natasha777" TargetMode="External"/><Relationship Id="rId1748" Type="http://schemas.openxmlformats.org/officeDocument/2006/relationships/hyperlink" Target="https://creativecommons.org/licenses/by-nc/4.0/" TargetMode="External"/><Relationship Id="rId1749" Type="http://schemas.openxmlformats.org/officeDocument/2006/relationships/hyperlink" Target="https://www.inaturalist.org/observations/379531274" TargetMode="External"/><Relationship Id="rId1750" Type="http://schemas.openxmlformats.org/officeDocument/2006/relationships/hyperlink" Target="https://www.inaturalist.org/people/theslowloris" TargetMode="External"/><Relationship Id="rId1751" Type="http://schemas.openxmlformats.org/officeDocument/2006/relationships/hyperlink" Target="https://creativecommons.org/licenses/by-nc/4.0/" TargetMode="External"/><Relationship Id="rId1752" Type="http://schemas.openxmlformats.org/officeDocument/2006/relationships/hyperlink" Target="https://www.inaturalist.org/observations/379514706" TargetMode="External"/><Relationship Id="rId1753" Type="http://schemas.openxmlformats.org/officeDocument/2006/relationships/hyperlink" Target="https://www.inaturalist.org/people/martinwettges" TargetMode="External"/><Relationship Id="rId1754" Type="http://schemas.openxmlformats.org/officeDocument/2006/relationships/hyperlink" Target="https://creativecommons.org/licenses/by-nc/4.0/" TargetMode="External"/><Relationship Id="rId1755" Type="http://schemas.openxmlformats.org/officeDocument/2006/relationships/hyperlink" Target="https://www.inaturalist.org/observations/379484927" TargetMode="External"/><Relationship Id="rId1756" Type="http://schemas.openxmlformats.org/officeDocument/2006/relationships/hyperlink" Target="https://www.inaturalist.org/people/sam-i-am429" TargetMode="External"/><Relationship Id="rId1757" Type="http://schemas.openxmlformats.org/officeDocument/2006/relationships/hyperlink" Target="https://creativecommons.org/licenses/by-nc/4.0/" TargetMode="External"/><Relationship Id="rId1758" Type="http://schemas.openxmlformats.org/officeDocument/2006/relationships/hyperlink" Target="https://www.inaturalist.org/observations/379467631" TargetMode="External"/><Relationship Id="rId1759" Type="http://schemas.openxmlformats.org/officeDocument/2006/relationships/hyperlink" Target="https://www.inaturalist.org/people/neomyte" TargetMode="External"/><Relationship Id="rId1760" Type="http://schemas.openxmlformats.org/officeDocument/2006/relationships/hyperlink" Target="https://creativecommons.org/licenses/by-nc/4.0/" TargetMode="External"/><Relationship Id="rId1761" Type="http://schemas.openxmlformats.org/officeDocument/2006/relationships/hyperlink" Target="https://www.inaturalist.org/observations/379433320" TargetMode="External"/><Relationship Id="rId1762" Type="http://schemas.openxmlformats.org/officeDocument/2006/relationships/hyperlink" Target="https://www.inaturalist.org/people/majo4s" TargetMode="External"/><Relationship Id="rId1763" Type="http://schemas.openxmlformats.org/officeDocument/2006/relationships/hyperlink" Target="https://creativecommons.org/licenses/by-nc/4.0/" TargetMode="External"/><Relationship Id="rId1764" Type="http://schemas.openxmlformats.org/officeDocument/2006/relationships/hyperlink" Target="https://www.inaturalist.org/observations/379423115" TargetMode="External"/><Relationship Id="rId1765" Type="http://schemas.openxmlformats.org/officeDocument/2006/relationships/hyperlink" Target="https://www.inaturalist.org/people/radia6" TargetMode="External"/><Relationship Id="rId1766" Type="http://schemas.openxmlformats.org/officeDocument/2006/relationships/hyperlink" Target="https://creativecommons.org/licenses/by-nc/4.0/" TargetMode="External"/><Relationship Id="rId1767" Type="http://schemas.openxmlformats.org/officeDocument/2006/relationships/hyperlink" Target="https://www.inaturalist.org/observations/379382430" TargetMode="External"/><Relationship Id="rId1768" Type="http://schemas.openxmlformats.org/officeDocument/2006/relationships/hyperlink" Target="https://www.inaturalist.org/people/wildlife-conservation-steph" TargetMode="External"/><Relationship Id="rId1769" Type="http://schemas.openxmlformats.org/officeDocument/2006/relationships/hyperlink" Target="https://creativecommons.org/licenses/by-nc/4.0/" TargetMode="External"/><Relationship Id="rId1770" Type="http://schemas.openxmlformats.org/officeDocument/2006/relationships/hyperlink" Target="https://www.inaturalist.org/observations/379357641" TargetMode="External"/><Relationship Id="rId1771" Type="http://schemas.openxmlformats.org/officeDocument/2006/relationships/hyperlink" Target="https://www.inaturalist.org/people/vkohan" TargetMode="External"/><Relationship Id="rId1772" Type="http://schemas.openxmlformats.org/officeDocument/2006/relationships/hyperlink" Target="https://creativecommons.org/licenses/by-nc/4.0/" TargetMode="External"/><Relationship Id="rId1773" Type="http://schemas.openxmlformats.org/officeDocument/2006/relationships/hyperlink" Target="https://www.inaturalist.org/observations/379299543" TargetMode="External"/><Relationship Id="rId1774" Type="http://schemas.openxmlformats.org/officeDocument/2006/relationships/hyperlink" Target="https://www.inaturalist.org/people/merle-gara" TargetMode="External"/><Relationship Id="rId1775" Type="http://schemas.openxmlformats.org/officeDocument/2006/relationships/hyperlink" Target="https://creativecommons.org/licenses/by-nc/4.0/" TargetMode="External"/><Relationship Id="rId1776" Type="http://schemas.openxmlformats.org/officeDocument/2006/relationships/hyperlink" Target="https://www.inaturalist.org/observations/379646456" TargetMode="External"/><Relationship Id="rId1777" Type="http://schemas.openxmlformats.org/officeDocument/2006/relationships/hyperlink" Target="https://www.inaturalist.org/people/analisase" TargetMode="External"/><Relationship Id="rId1778" Type="http://schemas.openxmlformats.org/officeDocument/2006/relationships/hyperlink" Target="https://creativecommons.org/licenses/by-nc/4.0/" TargetMode="External"/><Relationship Id="rId1779" Type="http://schemas.openxmlformats.org/officeDocument/2006/relationships/hyperlink" Target="https://www.inaturalist.org/observations/379595645" TargetMode="External"/><Relationship Id="rId1780" Type="http://schemas.openxmlformats.org/officeDocument/2006/relationships/hyperlink" Target="https://www.inaturalist.org/people/louisette3" TargetMode="External"/><Relationship Id="rId1781" Type="http://schemas.openxmlformats.org/officeDocument/2006/relationships/hyperlink" Target="https://creativecommons.org/licenses/by-nc/4.0/" TargetMode="External"/><Relationship Id="rId1782" Type="http://schemas.openxmlformats.org/officeDocument/2006/relationships/hyperlink" Target="https://www.inaturalist.org/observations/379544146" TargetMode="External"/><Relationship Id="rId1783" Type="http://schemas.openxmlformats.org/officeDocument/2006/relationships/hyperlink" Target="https://www.inaturalist.org/people/maria74031" TargetMode="External"/><Relationship Id="rId1784" Type="http://schemas.openxmlformats.org/officeDocument/2006/relationships/hyperlink" Target="https://creativecommons.org/licenses/by-nc/4.0/" TargetMode="External"/><Relationship Id="rId1785" Type="http://schemas.openxmlformats.org/officeDocument/2006/relationships/hyperlink" Target="https://www.inaturalist.org/observations/379259136" TargetMode="External"/><Relationship Id="rId1786" Type="http://schemas.openxmlformats.org/officeDocument/2006/relationships/hyperlink" Target="https://www.inaturalist.org/people/egow222" TargetMode="External"/><Relationship Id="rId1787" Type="http://schemas.openxmlformats.org/officeDocument/2006/relationships/hyperlink" Target="https://creativecommons.org/licenses/by-nc/4.0/" TargetMode="External"/><Relationship Id="rId1788" Type="http://schemas.openxmlformats.org/officeDocument/2006/relationships/hyperlink" Target="https://www.inaturalist.org/observations/378594754" TargetMode="External"/><Relationship Id="rId1789" Type="http://schemas.openxmlformats.org/officeDocument/2006/relationships/hyperlink" Target="https://www.inaturalist.org/people/egow222" TargetMode="External"/><Relationship Id="rId1790" Type="http://schemas.openxmlformats.org/officeDocument/2006/relationships/hyperlink" Target="https://creativecommons.org/licenses/by-nc/4.0/" TargetMode="External"/><Relationship Id="rId1791" Type="http://schemas.openxmlformats.org/officeDocument/2006/relationships/hyperlink" Target="https://www.inaturalist.org/observations/378594754" TargetMode="External"/><Relationship Id="rId1792" Type="http://schemas.openxmlformats.org/officeDocument/2006/relationships/hyperlink" Target="https://www.inaturalist.org/people/steviekgold" TargetMode="External"/><Relationship Id="rId1793" Type="http://schemas.openxmlformats.org/officeDocument/2006/relationships/hyperlink" Target="https://creativecommons.org/licenses/by-nc/4.0/" TargetMode="External"/><Relationship Id="rId1794" Type="http://schemas.openxmlformats.org/officeDocument/2006/relationships/hyperlink" Target="https://www.inaturalist.org/observations/378282919" TargetMode="External"/><Relationship Id="rId1795" Type="http://schemas.openxmlformats.org/officeDocument/2006/relationships/hyperlink" Target="https://www.inaturalist.org/people/kristybaker" TargetMode="External"/><Relationship Id="rId1796" Type="http://schemas.openxmlformats.org/officeDocument/2006/relationships/hyperlink" Target="https://creativecommons.org/licenses/by-nc/4.0/" TargetMode="External"/><Relationship Id="rId1797" Type="http://schemas.openxmlformats.org/officeDocument/2006/relationships/hyperlink" Target="https://www.inaturalist.org/observations/378117874" TargetMode="External"/><Relationship Id="rId1798" Type="http://schemas.openxmlformats.org/officeDocument/2006/relationships/hyperlink" Target="https://www.inaturalist.org/people/kristybaker" TargetMode="External"/><Relationship Id="rId1799" Type="http://schemas.openxmlformats.org/officeDocument/2006/relationships/hyperlink" Target="https://creativecommons.org/licenses/by-nc/4.0/" TargetMode="External"/><Relationship Id="rId1800" Type="http://schemas.openxmlformats.org/officeDocument/2006/relationships/hyperlink" Target="https://www.inaturalist.org/observations/378117874" TargetMode="External"/><Relationship Id="rId1801" Type="http://schemas.openxmlformats.org/officeDocument/2006/relationships/hyperlink" Target="https://www.inaturalist.org/people/thisula_shehan" TargetMode="External"/><Relationship Id="rId1802" Type="http://schemas.openxmlformats.org/officeDocument/2006/relationships/hyperlink" Target="https://creativecommons.org/licenses/by-nc/4.0/" TargetMode="External"/><Relationship Id="rId1803" Type="http://schemas.openxmlformats.org/officeDocument/2006/relationships/hyperlink" Target="https://www.inaturalist.org/observations/378096394" TargetMode="External"/><Relationship Id="rId1804" Type="http://schemas.openxmlformats.org/officeDocument/2006/relationships/hyperlink" Target="https://www.inaturalist.org/people/cassreynolds" TargetMode="External"/><Relationship Id="rId1805" Type="http://schemas.openxmlformats.org/officeDocument/2006/relationships/hyperlink" Target="https://creativecommons.org/licenses/by-nc/4.0/" TargetMode="External"/><Relationship Id="rId1806" Type="http://schemas.openxmlformats.org/officeDocument/2006/relationships/hyperlink" Target="https://www.inaturalist.org/observations/377924132" TargetMode="External"/><Relationship Id="rId1807" Type="http://schemas.openxmlformats.org/officeDocument/2006/relationships/hyperlink" Target="https://www.inaturalist.org/people/chaangnoy" TargetMode="External"/><Relationship Id="rId1808" Type="http://schemas.openxmlformats.org/officeDocument/2006/relationships/hyperlink" Target="https://creativecommons.org/licenses/by-nc/4.0/" TargetMode="External"/><Relationship Id="rId1809" Type="http://schemas.openxmlformats.org/officeDocument/2006/relationships/hyperlink" Target="https://www.inaturalist.org/observations/377691227" TargetMode="External"/><Relationship Id="rId1810" Type="http://schemas.openxmlformats.org/officeDocument/2006/relationships/hyperlink" Target="https://www.inaturalist.org/people/salticidude" TargetMode="External"/><Relationship Id="rId1811" Type="http://schemas.openxmlformats.org/officeDocument/2006/relationships/hyperlink" Target="https://creativecommons.org/licenses/by-nc/4.0/" TargetMode="External"/><Relationship Id="rId1812" Type="http://schemas.openxmlformats.org/officeDocument/2006/relationships/hyperlink" Target="https://www.inaturalist.org/observations/377297863" TargetMode="External"/><Relationship Id="rId1813" Type="http://schemas.openxmlformats.org/officeDocument/2006/relationships/hyperlink" Target="https://www.inaturalist.org/people/clauderdale" TargetMode="External"/><Relationship Id="rId1814" Type="http://schemas.openxmlformats.org/officeDocument/2006/relationships/hyperlink" Target="https://creativecommons.org/licenses/by-nc/4.0/" TargetMode="External"/><Relationship Id="rId1815" Type="http://schemas.openxmlformats.org/officeDocument/2006/relationships/hyperlink" Target="https://www.inaturalist.org/observations/376652949" TargetMode="External"/><Relationship Id="rId1816" Type="http://schemas.openxmlformats.org/officeDocument/2006/relationships/hyperlink" Target="https://www.inaturalist.org/people/junpark2" TargetMode="External"/><Relationship Id="rId1817" Type="http://schemas.openxmlformats.org/officeDocument/2006/relationships/hyperlink" Target="https://creativecommons.org/licenses/by-nc/4.0/" TargetMode="External"/><Relationship Id="rId1818" Type="http://schemas.openxmlformats.org/officeDocument/2006/relationships/hyperlink" Target="https://www.inaturalist.org/observations/376538391" TargetMode="External"/><Relationship Id="rId1819" Type="http://schemas.openxmlformats.org/officeDocument/2006/relationships/hyperlink" Target="https://www.inaturalist.org/people/mitchderise" TargetMode="External"/><Relationship Id="rId1820" Type="http://schemas.openxmlformats.org/officeDocument/2006/relationships/hyperlink" Target="https://creativecommons.org/licenses/by-nc/4.0/" TargetMode="External"/><Relationship Id="rId1821" Type="http://schemas.openxmlformats.org/officeDocument/2006/relationships/hyperlink" Target="https://www.inaturalist.org/observations/376433869" TargetMode="External"/><Relationship Id="rId1822" Type="http://schemas.openxmlformats.org/officeDocument/2006/relationships/hyperlink" Target="https://www.inaturalist.org/people/nahualconsarna" TargetMode="External"/><Relationship Id="rId1823" Type="http://schemas.openxmlformats.org/officeDocument/2006/relationships/hyperlink" Target="https://creativecommons.org/licenses/by-nc/4.0/" TargetMode="External"/><Relationship Id="rId1824" Type="http://schemas.openxmlformats.org/officeDocument/2006/relationships/hyperlink" Target="https://www.inaturalist.org/observations/375818182" TargetMode="External"/><Relationship Id="rId1825" Type="http://schemas.openxmlformats.org/officeDocument/2006/relationships/hyperlink" Target="https://www.inaturalist.org/people/nahualconsarna" TargetMode="External"/><Relationship Id="rId1826" Type="http://schemas.openxmlformats.org/officeDocument/2006/relationships/hyperlink" Target="https://creativecommons.org/licenses/by-nc/4.0/" TargetMode="External"/><Relationship Id="rId1827" Type="http://schemas.openxmlformats.org/officeDocument/2006/relationships/hyperlink" Target="https://www.inaturalist.org/observations/375818182" TargetMode="External"/><Relationship Id="rId1828" Type="http://schemas.openxmlformats.org/officeDocument/2006/relationships/hyperlink" Target="https://www.inaturalist.org/people/selachimorpha" TargetMode="External"/><Relationship Id="rId1829" Type="http://schemas.openxmlformats.org/officeDocument/2006/relationships/hyperlink" Target="https://creativecommons.org/licenses/by-nc/4.0/" TargetMode="External"/><Relationship Id="rId1830" Type="http://schemas.openxmlformats.org/officeDocument/2006/relationships/hyperlink" Target="https://www.inaturalist.org/observations/375751119" TargetMode="External"/><Relationship Id="rId1831" Type="http://schemas.openxmlformats.org/officeDocument/2006/relationships/hyperlink" Target="https://www.inaturalist.org/people/bender_real" TargetMode="External"/><Relationship Id="rId1832" Type="http://schemas.openxmlformats.org/officeDocument/2006/relationships/hyperlink" Target="https://creativecommons.org/licenses/by-nc/4.0/" TargetMode="External"/><Relationship Id="rId1833" Type="http://schemas.openxmlformats.org/officeDocument/2006/relationships/hyperlink" Target="https://www.inaturalist.org/observations/375731955" TargetMode="External"/><Relationship Id="rId1834" Type="http://schemas.openxmlformats.org/officeDocument/2006/relationships/hyperlink" Target="https://www.inaturalist.org/people/kshirodini" TargetMode="External"/><Relationship Id="rId1835" Type="http://schemas.openxmlformats.org/officeDocument/2006/relationships/hyperlink" Target="https://creativecommons.org/licenses/by-nc/4.0/" TargetMode="External"/><Relationship Id="rId1836" Type="http://schemas.openxmlformats.org/officeDocument/2006/relationships/hyperlink" Target="https://www.inaturalist.org/observations/375382355" TargetMode="External"/><Relationship Id="rId1837" Type="http://schemas.openxmlformats.org/officeDocument/2006/relationships/hyperlink" Target="https://www.inaturalist.org/people/hhrewilding" TargetMode="External"/><Relationship Id="rId1838" Type="http://schemas.openxmlformats.org/officeDocument/2006/relationships/hyperlink" Target="https://creativecommons.org/licenses/by-nc/4.0/" TargetMode="External"/><Relationship Id="rId1839" Type="http://schemas.openxmlformats.org/officeDocument/2006/relationships/hyperlink" Target="https://www.inaturalist.org/observations/375191300" TargetMode="External"/><Relationship Id="rId1840" Type="http://schemas.openxmlformats.org/officeDocument/2006/relationships/hyperlink" Target="https://www.inaturalist.org/people/wombatgarden" TargetMode="External"/><Relationship Id="rId1841" Type="http://schemas.openxmlformats.org/officeDocument/2006/relationships/hyperlink" Target="https://creativecommons.org/licenses/by-nc/4.0/" TargetMode="External"/><Relationship Id="rId1842" Type="http://schemas.openxmlformats.org/officeDocument/2006/relationships/hyperlink" Target="https://www.inaturalist.org/observations/374914897" TargetMode="External"/><Relationship Id="rId1843" Type="http://schemas.openxmlformats.org/officeDocument/2006/relationships/hyperlink" Target="https://www.inaturalist.org/people/britanylynne91" TargetMode="External"/><Relationship Id="rId1844" Type="http://schemas.openxmlformats.org/officeDocument/2006/relationships/hyperlink" Target="https://creativecommons.org/licenses/by-nc/4.0/" TargetMode="External"/><Relationship Id="rId1845" Type="http://schemas.openxmlformats.org/officeDocument/2006/relationships/hyperlink" Target="https://www.inaturalist.org/observations/374663370" TargetMode="External"/><Relationship Id="rId1846" Type="http://schemas.openxmlformats.org/officeDocument/2006/relationships/hyperlink" Target="https://www.inaturalist.org/people/britanylynne91" TargetMode="External"/><Relationship Id="rId1847" Type="http://schemas.openxmlformats.org/officeDocument/2006/relationships/hyperlink" Target="https://creativecommons.org/licenses/by-nc/4.0/" TargetMode="External"/><Relationship Id="rId1848" Type="http://schemas.openxmlformats.org/officeDocument/2006/relationships/hyperlink" Target="https://www.inaturalist.org/observations/374663370" TargetMode="External"/><Relationship Id="rId1849" Type="http://schemas.openxmlformats.org/officeDocument/2006/relationships/hyperlink" Target="https://www.inaturalist.org/people/na_ti" TargetMode="External"/><Relationship Id="rId1850" Type="http://schemas.openxmlformats.org/officeDocument/2006/relationships/hyperlink" Target="https://creativecommons.org/licenses/by-nc/4.0/" TargetMode="External"/><Relationship Id="rId1851" Type="http://schemas.openxmlformats.org/officeDocument/2006/relationships/hyperlink" Target="https://www.inaturalist.org/observations/372425201" TargetMode="External"/><Relationship Id="rId1852" Type="http://schemas.openxmlformats.org/officeDocument/2006/relationships/hyperlink" Target="https://www.inaturalist.org/people/corah1312" TargetMode="External"/><Relationship Id="rId1853" Type="http://schemas.openxmlformats.org/officeDocument/2006/relationships/hyperlink" Target="https://creativecommons.org/licenses/by-nc/4.0/" TargetMode="External"/><Relationship Id="rId1854" Type="http://schemas.openxmlformats.org/officeDocument/2006/relationships/hyperlink" Target="https://www.inaturalist.org/observations/371853159" TargetMode="External"/><Relationship Id="rId1855" Type="http://schemas.openxmlformats.org/officeDocument/2006/relationships/hyperlink" Target="https://www.inaturalist.org/people/priyanshu_chowdhary" TargetMode="External"/><Relationship Id="rId1856" Type="http://schemas.openxmlformats.org/officeDocument/2006/relationships/hyperlink" Target="https://creativecommons.org/licenses/by-nc/4.0/" TargetMode="External"/><Relationship Id="rId1857" Type="http://schemas.openxmlformats.org/officeDocument/2006/relationships/hyperlink" Target="https://www.inaturalist.org/observations/371259711" TargetMode="External"/><Relationship Id="rId1858" Type="http://schemas.openxmlformats.org/officeDocument/2006/relationships/hyperlink" Target="https://www.inaturalist.org/people/sandrissima" TargetMode="External"/><Relationship Id="rId1859" Type="http://schemas.openxmlformats.org/officeDocument/2006/relationships/hyperlink" Target="https://creativecommons.org/licenses/by-nc/4.0/" TargetMode="External"/><Relationship Id="rId1860" Type="http://schemas.openxmlformats.org/officeDocument/2006/relationships/hyperlink" Target="https://www.inaturalist.org/observations/369983264" TargetMode="External"/><Relationship Id="rId1861" Type="http://schemas.openxmlformats.org/officeDocument/2006/relationships/hyperlink" Target="https://www.inaturalist.org/people/cobal" TargetMode="External"/><Relationship Id="rId1862" Type="http://schemas.openxmlformats.org/officeDocument/2006/relationships/hyperlink" Target="https://creativecommons.org/licenses/by-nc/4.0/" TargetMode="External"/><Relationship Id="rId1863" Type="http://schemas.openxmlformats.org/officeDocument/2006/relationships/hyperlink" Target="https://www.inaturalist.org/observations/369832462" TargetMode="External"/><Relationship Id="rId1864" Type="http://schemas.openxmlformats.org/officeDocument/2006/relationships/hyperlink" Target="https://www.inaturalist.org/people/elainamckay" TargetMode="External"/><Relationship Id="rId1865" Type="http://schemas.openxmlformats.org/officeDocument/2006/relationships/hyperlink" Target="https://creativecommons.org/licenses/by-nc/4.0/" TargetMode="External"/><Relationship Id="rId1866" Type="http://schemas.openxmlformats.org/officeDocument/2006/relationships/hyperlink" Target="https://www.inaturalist.org/observations/369574499" TargetMode="External"/><Relationship Id="rId1867" Type="http://schemas.openxmlformats.org/officeDocument/2006/relationships/hyperlink" Target="https://www.inaturalist.org/people/kritadi" TargetMode="External"/><Relationship Id="rId1868" Type="http://schemas.openxmlformats.org/officeDocument/2006/relationships/hyperlink" Target="https://creativecommons.org/licenses/by-nc/4.0/" TargetMode="External"/><Relationship Id="rId1869" Type="http://schemas.openxmlformats.org/officeDocument/2006/relationships/hyperlink" Target="https://www.inaturalist.org/observations/369297422" TargetMode="External"/><Relationship Id="rId1870" Type="http://schemas.openxmlformats.org/officeDocument/2006/relationships/hyperlink" Target="https://www.inaturalist.org/people/sylviab14" TargetMode="External"/><Relationship Id="rId1871" Type="http://schemas.openxmlformats.org/officeDocument/2006/relationships/hyperlink" Target="https://creativecommons.org/licenses/by-nc/4.0/" TargetMode="External"/><Relationship Id="rId1872" Type="http://schemas.openxmlformats.org/officeDocument/2006/relationships/hyperlink" Target="https://www.inaturalist.org/observations/369193886" TargetMode="External"/><Relationship Id="rId1873" Type="http://schemas.openxmlformats.org/officeDocument/2006/relationships/hyperlink" Target="https://www.inaturalist.org/people/alenalex" TargetMode="External"/><Relationship Id="rId1874" Type="http://schemas.openxmlformats.org/officeDocument/2006/relationships/hyperlink" Target="https://creativecommons.org/licenses/by-nc/4.0/" TargetMode="External"/><Relationship Id="rId1875" Type="http://schemas.openxmlformats.org/officeDocument/2006/relationships/hyperlink" Target="https://www.inaturalist.org/observations/368638025" TargetMode="External"/><Relationship Id="rId1876" Type="http://schemas.openxmlformats.org/officeDocument/2006/relationships/hyperlink" Target="https://www.inaturalist.org/people/crotrox" TargetMode="External"/><Relationship Id="rId1877" Type="http://schemas.openxmlformats.org/officeDocument/2006/relationships/hyperlink" Target="https://creativecommons.org/licenses/by-nc/4.0/" TargetMode="External"/><Relationship Id="rId1878" Type="http://schemas.openxmlformats.org/officeDocument/2006/relationships/hyperlink" Target="https://www.inaturalist.org/observations/367169030" TargetMode="External"/><Relationship Id="rId1879" Type="http://schemas.openxmlformats.org/officeDocument/2006/relationships/hyperlink" Target="https://www.inaturalist.org/people/erich_volschenk" TargetMode="External"/><Relationship Id="rId1880" Type="http://schemas.openxmlformats.org/officeDocument/2006/relationships/hyperlink" Target="https://creativecommons.org/licenses/by-nc/4.0/" TargetMode="External"/><Relationship Id="rId1881" Type="http://schemas.openxmlformats.org/officeDocument/2006/relationships/hyperlink" Target="https://www.inaturalist.org/observations/327076080" TargetMode="External"/><Relationship Id="rId1882" Type="http://schemas.openxmlformats.org/officeDocument/2006/relationships/hyperlink" Target="https://www.inaturalist.org/people/standapavouk" TargetMode="External"/><Relationship Id="rId1883" Type="http://schemas.openxmlformats.org/officeDocument/2006/relationships/hyperlink" Target="https://creativecommons.org/licenses/by-nc/4.0/" TargetMode="External"/><Relationship Id="rId1884" Type="http://schemas.openxmlformats.org/officeDocument/2006/relationships/hyperlink" Target="https://www.inaturalist.org/observations/321282348" TargetMode="External"/><Relationship Id="rId1885" Type="http://schemas.openxmlformats.org/officeDocument/2006/relationships/hyperlink" Target="https://www.inaturalist.org/people/standapavouk" TargetMode="External"/><Relationship Id="rId1886" Type="http://schemas.openxmlformats.org/officeDocument/2006/relationships/hyperlink" Target="https://creativecommons.org/licenses/by-nc/4.0/" TargetMode="External"/><Relationship Id="rId1887" Type="http://schemas.openxmlformats.org/officeDocument/2006/relationships/hyperlink" Target="https://www.inaturalist.org/observations/269280828" TargetMode="External"/><Relationship Id="rId1888" Type="http://schemas.openxmlformats.org/officeDocument/2006/relationships/hyperlink" Target="https://www.inaturalist.org/people/standapavouk" TargetMode="External"/><Relationship Id="rId1889" Type="http://schemas.openxmlformats.org/officeDocument/2006/relationships/hyperlink" Target="https://creativecommons.org/licenses/by-nc/4.0/" TargetMode="External"/><Relationship Id="rId1890" Type="http://schemas.openxmlformats.org/officeDocument/2006/relationships/hyperlink" Target="https://www.inaturalist.org/observations/253176417" TargetMode="External"/><Relationship Id="rId1891" Type="http://schemas.openxmlformats.org/officeDocument/2006/relationships/hyperlink" Target="https://www.inaturalist.org/people/standapavouk" TargetMode="External"/><Relationship Id="rId1892" Type="http://schemas.openxmlformats.org/officeDocument/2006/relationships/hyperlink" Target="https://creativecommons.org/licenses/by-nc/4.0/" TargetMode="External"/><Relationship Id="rId1893" Type="http://schemas.openxmlformats.org/officeDocument/2006/relationships/hyperlink" Target="https://www.inaturalist.org/observations/251324950" TargetMode="External"/><Relationship Id="rId1894" Type="http://schemas.openxmlformats.org/officeDocument/2006/relationships/hyperlink" Target="https://www.inaturalist.org/people/muehehe_hehe_cat" TargetMode="External"/><Relationship Id="rId1895" Type="http://schemas.openxmlformats.org/officeDocument/2006/relationships/hyperlink" Target="https://creativecommons.org/licenses/by-nc/4.0/" TargetMode="External"/><Relationship Id="rId1896" Type="http://schemas.openxmlformats.org/officeDocument/2006/relationships/hyperlink" Target="https://www.inaturalist.org/observations/248853715" TargetMode="External"/><Relationship Id="rId1897" Type="http://schemas.openxmlformats.org/officeDocument/2006/relationships/hyperlink" Target="https://www.inaturalist.org/people/lee_meow" TargetMode="External"/><Relationship Id="rId1898" Type="http://schemas.openxmlformats.org/officeDocument/2006/relationships/hyperlink" Target="https://creativecommons.org/licenses/by-nc/4.0/" TargetMode="External"/><Relationship Id="rId1899" Type="http://schemas.openxmlformats.org/officeDocument/2006/relationships/hyperlink" Target="https://www.inaturalist.org/observations/245229475" TargetMode="External"/><Relationship Id="rId1900" Type="http://schemas.openxmlformats.org/officeDocument/2006/relationships/hyperlink" Target="https://www.inaturalist.org/people/wingcarrie" TargetMode="External"/><Relationship Id="rId1901" Type="http://schemas.openxmlformats.org/officeDocument/2006/relationships/hyperlink" Target="https://creativecommons.org/licenses/by-nc/4.0/" TargetMode="External"/><Relationship Id="rId1902" Type="http://schemas.openxmlformats.org/officeDocument/2006/relationships/hyperlink" Target="https://www.inaturalist.org/observations/237314302" TargetMode="External"/><Relationship Id="rId1903" Type="http://schemas.openxmlformats.org/officeDocument/2006/relationships/hyperlink" Target="https://www.inaturalist.org/people/wingcarrie" TargetMode="External"/><Relationship Id="rId1904" Type="http://schemas.openxmlformats.org/officeDocument/2006/relationships/hyperlink" Target="https://creativecommons.org/licenses/by-nc/4.0/" TargetMode="External"/><Relationship Id="rId1905" Type="http://schemas.openxmlformats.org/officeDocument/2006/relationships/hyperlink" Target="https://www.inaturalist.org/observations/237314302" TargetMode="External"/><Relationship Id="rId1906" Type="http://schemas.openxmlformats.org/officeDocument/2006/relationships/hyperlink" Target="https://www.inaturalist.org/people/royc614" TargetMode="External"/><Relationship Id="rId1907" Type="http://schemas.openxmlformats.org/officeDocument/2006/relationships/hyperlink" Target="https://creativecommons.org/licenses/by-nc/4.0/" TargetMode="External"/><Relationship Id="rId1908" Type="http://schemas.openxmlformats.org/officeDocument/2006/relationships/hyperlink" Target="https://www.inaturalist.org/observations/236855729" TargetMode="External"/><Relationship Id="rId1909" Type="http://schemas.openxmlformats.org/officeDocument/2006/relationships/hyperlink" Target="https://www.inaturalist.org/people/muehehe_hehe_cat" TargetMode="External"/><Relationship Id="rId1910" Type="http://schemas.openxmlformats.org/officeDocument/2006/relationships/hyperlink" Target="https://creativecommons.org/licenses/by-nc/4.0/" TargetMode="External"/><Relationship Id="rId1911" Type="http://schemas.openxmlformats.org/officeDocument/2006/relationships/hyperlink" Target="https://www.inaturalist.org/observations/231228547" TargetMode="External"/><Relationship Id="rId1912" Type="http://schemas.openxmlformats.org/officeDocument/2006/relationships/hyperlink" Target="https://www.inaturalist.org/people/muehehe_hehe_cat" TargetMode="External"/><Relationship Id="rId1913" Type="http://schemas.openxmlformats.org/officeDocument/2006/relationships/hyperlink" Target="https://creativecommons.org/licenses/by-nc/4.0/" TargetMode="External"/><Relationship Id="rId1914" Type="http://schemas.openxmlformats.org/officeDocument/2006/relationships/hyperlink" Target="https://www.inaturalist.org/observations/231228547" TargetMode="External"/><Relationship Id="rId1915" Type="http://schemas.openxmlformats.org/officeDocument/2006/relationships/hyperlink" Target="https://www.inaturalist.org/people/nickvolpe" TargetMode="External"/><Relationship Id="rId1916" Type="http://schemas.openxmlformats.org/officeDocument/2006/relationships/hyperlink" Target="https://creativecommons.org/licenses/by-nc/4.0/" TargetMode="External"/><Relationship Id="rId1917" Type="http://schemas.openxmlformats.org/officeDocument/2006/relationships/hyperlink" Target="https://www.inaturalist.org/observations/205446900" TargetMode="External"/><Relationship Id="rId1918" Type="http://schemas.openxmlformats.org/officeDocument/2006/relationships/hyperlink" Target="https://www.inaturalist.org/people/rimbawan_37" TargetMode="External"/><Relationship Id="rId1919" Type="http://schemas.openxmlformats.org/officeDocument/2006/relationships/hyperlink" Target="https://creativecommons.org/licenses/by-nc/4.0/" TargetMode="External"/><Relationship Id="rId1920" Type="http://schemas.openxmlformats.org/officeDocument/2006/relationships/hyperlink" Target="https://www.inaturalist.org/observations/200898220" TargetMode="External"/><Relationship Id="rId1921" Type="http://schemas.openxmlformats.org/officeDocument/2006/relationships/hyperlink" Target="https://www.inaturalist.org/people/rimbawan_37" TargetMode="External"/><Relationship Id="rId1922" Type="http://schemas.openxmlformats.org/officeDocument/2006/relationships/hyperlink" Target="https://creativecommons.org/licenses/by-nc/4.0/" TargetMode="External"/><Relationship Id="rId1923" Type="http://schemas.openxmlformats.org/officeDocument/2006/relationships/hyperlink" Target="https://www.inaturalist.org/observations/200898220" TargetMode="External"/><Relationship Id="rId1924" Type="http://schemas.openxmlformats.org/officeDocument/2006/relationships/hyperlink" Target="https://www.inaturalist.org/people/rimbawan_37" TargetMode="External"/><Relationship Id="rId1925" Type="http://schemas.openxmlformats.org/officeDocument/2006/relationships/hyperlink" Target="https://creativecommons.org/licenses/by-nc/4.0/" TargetMode="External"/><Relationship Id="rId1926" Type="http://schemas.openxmlformats.org/officeDocument/2006/relationships/hyperlink" Target="https://www.inaturalist.org/observations/200898220" TargetMode="External"/><Relationship Id="rId1927" Type="http://schemas.openxmlformats.org/officeDocument/2006/relationships/hyperlink" Target="https://www.inaturalist.org/people/muehehe_hehe_cat" TargetMode="External"/><Relationship Id="rId1928" Type="http://schemas.openxmlformats.org/officeDocument/2006/relationships/hyperlink" Target="https://creativecommons.org/licenses/by-nc/4.0/" TargetMode="External"/><Relationship Id="rId1929" Type="http://schemas.openxmlformats.org/officeDocument/2006/relationships/hyperlink" Target="https://www.inaturalist.org/observations/194631105" TargetMode="External"/><Relationship Id="rId1930" Type="http://schemas.openxmlformats.org/officeDocument/2006/relationships/hyperlink" Target="https://www.inaturalist.org/people/faizolhakimi" TargetMode="External"/><Relationship Id="rId1931" Type="http://schemas.openxmlformats.org/officeDocument/2006/relationships/hyperlink" Target="https://creativecommons.org/licenses/by-nc/4.0/" TargetMode="External"/><Relationship Id="rId1932" Type="http://schemas.openxmlformats.org/officeDocument/2006/relationships/hyperlink" Target="https://www.inaturalist.org/observations/193352826" TargetMode="External"/><Relationship Id="rId1933" Type="http://schemas.openxmlformats.org/officeDocument/2006/relationships/hyperlink" Target="https://www.inaturalist.org/people/glendakhoo" TargetMode="External"/><Relationship Id="rId1934" Type="http://schemas.openxmlformats.org/officeDocument/2006/relationships/hyperlink" Target="https://creativecommons.org/licenses/by-nc/4.0/" TargetMode="External"/><Relationship Id="rId1935" Type="http://schemas.openxmlformats.org/officeDocument/2006/relationships/hyperlink" Target="https://www.inaturalist.org/observations/187797874" TargetMode="External"/><Relationship Id="rId1936" Type="http://schemas.openxmlformats.org/officeDocument/2006/relationships/hyperlink" Target="https://www.inaturalist.org/people/thomas_bader" TargetMode="External"/><Relationship Id="rId1937" Type="http://schemas.openxmlformats.org/officeDocument/2006/relationships/hyperlink" Target="https://creativecommons.org/licenses/by-nc/4.0/" TargetMode="External"/><Relationship Id="rId1938" Type="http://schemas.openxmlformats.org/officeDocument/2006/relationships/hyperlink" Target="https://www.inaturalist.org/observations/168715180" TargetMode="External"/><Relationship Id="rId1939" Type="http://schemas.openxmlformats.org/officeDocument/2006/relationships/hyperlink" Target="https://www.inaturalist.org/people/muehehe_hehe_cat" TargetMode="External"/><Relationship Id="rId1940" Type="http://schemas.openxmlformats.org/officeDocument/2006/relationships/hyperlink" Target="https://creativecommons.org/licenses/by-nc/4.0/" TargetMode="External"/><Relationship Id="rId1941" Type="http://schemas.openxmlformats.org/officeDocument/2006/relationships/hyperlink" Target="https://www.inaturalist.org/observations/147513617" TargetMode="External"/><Relationship Id="rId1942" Type="http://schemas.openxmlformats.org/officeDocument/2006/relationships/hyperlink" Target="https://www.inaturalist.org/people/muehehe_hehe_cat" TargetMode="External"/><Relationship Id="rId1943" Type="http://schemas.openxmlformats.org/officeDocument/2006/relationships/hyperlink" Target="https://creativecommons.org/licenses/by-nc/4.0/" TargetMode="External"/><Relationship Id="rId1944" Type="http://schemas.openxmlformats.org/officeDocument/2006/relationships/hyperlink" Target="https://www.inaturalist.org/observations/120932176" TargetMode="External"/><Relationship Id="rId1945" Type="http://schemas.openxmlformats.org/officeDocument/2006/relationships/hyperlink" Target="https://www.inaturalist.org/people/muehehe_hehe_cat" TargetMode="External"/><Relationship Id="rId1946" Type="http://schemas.openxmlformats.org/officeDocument/2006/relationships/hyperlink" Target="https://creativecommons.org/licenses/by-nc/4.0/" TargetMode="External"/><Relationship Id="rId1947" Type="http://schemas.openxmlformats.org/officeDocument/2006/relationships/hyperlink" Target="https://www.inaturalist.org/observations/115296692" TargetMode="External"/><Relationship Id="rId1948" Type="http://schemas.openxmlformats.org/officeDocument/2006/relationships/hyperlink" Target="https://www.inaturalist.org/people/albertkang" TargetMode="External"/><Relationship Id="rId1949" Type="http://schemas.openxmlformats.org/officeDocument/2006/relationships/hyperlink" Target="https://creativecommons.org/licenses/by-nc/4.0/" TargetMode="External"/><Relationship Id="rId1950" Type="http://schemas.openxmlformats.org/officeDocument/2006/relationships/hyperlink" Target="https://www.inaturalist.org/observations/91477873" TargetMode="External"/><Relationship Id="rId1951" Type="http://schemas.openxmlformats.org/officeDocument/2006/relationships/hyperlink" Target="https://www.inaturalist.org/people/albertkang" TargetMode="External"/><Relationship Id="rId1952" Type="http://schemas.openxmlformats.org/officeDocument/2006/relationships/hyperlink" Target="https://creativecommons.org/licenses/by-nc/4.0/" TargetMode="External"/><Relationship Id="rId1953" Type="http://schemas.openxmlformats.org/officeDocument/2006/relationships/hyperlink" Target="https://www.inaturalist.org/observations/79113699" TargetMode="External"/><Relationship Id="rId1954" Type="http://schemas.openxmlformats.org/officeDocument/2006/relationships/hyperlink" Target="https://www.inaturalist.org/people/knotsnake" TargetMode="External"/><Relationship Id="rId1955" Type="http://schemas.openxmlformats.org/officeDocument/2006/relationships/hyperlink" Target="https://creativecommons.org/licenses/by-nc/4.0/" TargetMode="External"/><Relationship Id="rId1956" Type="http://schemas.openxmlformats.org/officeDocument/2006/relationships/hyperlink" Target="https://www.inaturalist.org/observations/73408762" TargetMode="External"/><Relationship Id="rId1957" Type="http://schemas.openxmlformats.org/officeDocument/2006/relationships/hyperlink" Target="https://www.inaturalist.org/people/albertkang" TargetMode="External"/><Relationship Id="rId1958" Type="http://schemas.openxmlformats.org/officeDocument/2006/relationships/hyperlink" Target="https://creativecommons.org/licenses/by-nc/4.0/" TargetMode="External"/><Relationship Id="rId1959" Type="http://schemas.openxmlformats.org/officeDocument/2006/relationships/hyperlink" Target="https://www.inaturalist.org/observations/72662236" TargetMode="External"/><Relationship Id="rId1960" Type="http://schemas.openxmlformats.org/officeDocument/2006/relationships/hyperlink" Target="https://www.inaturalist.org/people/albertkang" TargetMode="External"/><Relationship Id="rId1961" Type="http://schemas.openxmlformats.org/officeDocument/2006/relationships/hyperlink" Target="https://creativecommons.org/licenses/by-nc/4.0/" TargetMode="External"/><Relationship Id="rId1962" Type="http://schemas.openxmlformats.org/officeDocument/2006/relationships/hyperlink" Target="https://www.inaturalist.org/observations/67390180" TargetMode="External"/><Relationship Id="rId1963" Type="http://schemas.openxmlformats.org/officeDocument/2006/relationships/hyperlink" Target="https://www.inaturalist.org/people/albertkang" TargetMode="External"/><Relationship Id="rId1964" Type="http://schemas.openxmlformats.org/officeDocument/2006/relationships/hyperlink" Target="https://creativecommons.org/licenses/by-nc/4.0/" TargetMode="External"/><Relationship Id="rId1965" Type="http://schemas.openxmlformats.org/officeDocument/2006/relationships/hyperlink" Target="https://www.inaturalist.org/observations/66863473" TargetMode="External"/><Relationship Id="rId1966" Type="http://schemas.openxmlformats.org/officeDocument/2006/relationships/hyperlink" Target="https://www.inaturalist.org/people/albertkang" TargetMode="External"/><Relationship Id="rId1967" Type="http://schemas.openxmlformats.org/officeDocument/2006/relationships/hyperlink" Target="https://creativecommons.org/licenses/by-nc/4.0/" TargetMode="External"/><Relationship Id="rId1968" Type="http://schemas.openxmlformats.org/officeDocument/2006/relationships/hyperlink" Target="https://www.inaturalist.org/observations/64919932" TargetMode="External"/><Relationship Id="rId1969" Type="http://schemas.openxmlformats.org/officeDocument/2006/relationships/hyperlink" Target="https://www.inaturalist.org/people/celine_ng" TargetMode="External"/><Relationship Id="rId1970" Type="http://schemas.openxmlformats.org/officeDocument/2006/relationships/hyperlink" Target="https://creativecommons.org/licenses/by-nc/4.0/" TargetMode="External"/><Relationship Id="rId1971" Type="http://schemas.openxmlformats.org/officeDocument/2006/relationships/hyperlink" Target="https://www.inaturalist.org/observations/45867203" TargetMode="External"/><Relationship Id="rId1972" Type="http://schemas.openxmlformats.org/officeDocument/2006/relationships/hyperlink" Target="https://www.inaturalist.org/people/gcgan" TargetMode="External"/><Relationship Id="rId1973" Type="http://schemas.openxmlformats.org/officeDocument/2006/relationships/hyperlink" Target="https://creativecommons.org/licenses/by-nc/4.0/" TargetMode="External"/><Relationship Id="rId1974" Type="http://schemas.openxmlformats.org/officeDocument/2006/relationships/hyperlink" Target="https://www.inaturalist.org/observations/27021572" TargetMode="External"/><Relationship Id="rId1975" Type="http://schemas.openxmlformats.org/officeDocument/2006/relationships/hyperlink" Target="https://www.inaturalist.org/people/nazirulmusidi" TargetMode="External"/><Relationship Id="rId1976" Type="http://schemas.openxmlformats.org/officeDocument/2006/relationships/hyperlink" Target="https://creativecommons.org/licenses/by-nc/4.0/" TargetMode="External"/><Relationship Id="rId1977" Type="http://schemas.openxmlformats.org/officeDocument/2006/relationships/hyperlink" Target="https://www.inaturalist.org/observations/23940106" TargetMode="External"/><Relationship Id="rId1978" Type="http://schemas.openxmlformats.org/officeDocument/2006/relationships/hyperlink" Target="https://www.inaturalist.org/people/hamrish_singh" TargetMode="External"/><Relationship Id="rId1979" Type="http://schemas.openxmlformats.org/officeDocument/2006/relationships/hyperlink" Target="https://creativecommons.org/licenses/by-nc/4.0/" TargetMode="External"/><Relationship Id="rId1980" Type="http://schemas.openxmlformats.org/officeDocument/2006/relationships/hyperlink" Target="https://www.inaturalist.org/observations/21784706" TargetMode="External"/><Relationship Id="rId1981" Type="http://schemas.openxmlformats.org/officeDocument/2006/relationships/hyperlink" Target="https://www.inaturalist.org/people/gcgan" TargetMode="External"/><Relationship Id="rId1982" Type="http://schemas.openxmlformats.org/officeDocument/2006/relationships/hyperlink" Target="https://creativecommons.org/licenses/by-nc/4.0/" TargetMode="External"/><Relationship Id="rId1983" Type="http://schemas.openxmlformats.org/officeDocument/2006/relationships/hyperlink" Target="https://www.inaturalist.org/observations/21625618" TargetMode="External"/><Relationship Id="rId1984" Type="http://schemas.openxmlformats.org/officeDocument/2006/relationships/hyperlink" Target="https://www.inaturalist.org/people/zspyk007" TargetMode="External"/><Relationship Id="rId1985" Type="http://schemas.openxmlformats.org/officeDocument/2006/relationships/hyperlink" Target="https://creativecommons.org/licenses/by-nc/4.0/" TargetMode="External"/><Relationship Id="rId1986" Type="http://schemas.openxmlformats.org/officeDocument/2006/relationships/hyperlink" Target="https://www.inaturalist.org/observations/367673515" TargetMode="External"/><Relationship Id="rId1987" Type="http://schemas.openxmlformats.org/officeDocument/2006/relationships/hyperlink" Target="https://www.inaturalist.org/people/giuliacelotto03" TargetMode="External"/><Relationship Id="rId1988" Type="http://schemas.openxmlformats.org/officeDocument/2006/relationships/hyperlink" Target="https://creativecommons.org/licenses/by-nc/4.0/" TargetMode="External"/><Relationship Id="rId1989" Type="http://schemas.openxmlformats.org/officeDocument/2006/relationships/hyperlink" Target="https://www.inaturalist.org/observations/365410748" TargetMode="External"/><Relationship Id="rId1990" Type="http://schemas.openxmlformats.org/officeDocument/2006/relationships/hyperlink" Target="https://www.inaturalist.org/people/zspyk007" TargetMode="External"/><Relationship Id="rId1991" Type="http://schemas.openxmlformats.org/officeDocument/2006/relationships/hyperlink" Target="https://creativecommons.org/licenses/by-nc/4.0/" TargetMode="External"/><Relationship Id="rId1992" Type="http://schemas.openxmlformats.org/officeDocument/2006/relationships/hyperlink" Target="https://www.inaturalist.org/observations/364359175" TargetMode="External"/><Relationship Id="rId1993" Type="http://schemas.openxmlformats.org/officeDocument/2006/relationships/hyperlink" Target="https://www.inaturalist.org/people/jorge_abad" TargetMode="External"/><Relationship Id="rId1994" Type="http://schemas.openxmlformats.org/officeDocument/2006/relationships/hyperlink" Target="https://creativecommons.org/licenses/by-nc/4.0/" TargetMode="External"/><Relationship Id="rId1995" Type="http://schemas.openxmlformats.org/officeDocument/2006/relationships/hyperlink" Target="https://www.inaturalist.org/observations/358632860" TargetMode="External"/><Relationship Id="rId1996" Type="http://schemas.openxmlformats.org/officeDocument/2006/relationships/hyperlink" Target="https://www.inaturalist.org/people/jorge_abad" TargetMode="External"/><Relationship Id="rId1997" Type="http://schemas.openxmlformats.org/officeDocument/2006/relationships/hyperlink" Target="https://creativecommons.org/licenses/by-nc/4.0/" TargetMode="External"/><Relationship Id="rId1998" Type="http://schemas.openxmlformats.org/officeDocument/2006/relationships/hyperlink" Target="https://www.inaturalist.org/observations/358632859" TargetMode="External"/><Relationship Id="rId1999" Type="http://schemas.openxmlformats.org/officeDocument/2006/relationships/hyperlink" Target="https://www.inaturalist.org/people/eldoradospencer" TargetMode="External"/><Relationship Id="rId2000" Type="http://schemas.openxmlformats.org/officeDocument/2006/relationships/hyperlink" Target="https://creativecommons.org/licenses/by-nc/4.0/" TargetMode="External"/><Relationship Id="rId2001" Type="http://schemas.openxmlformats.org/officeDocument/2006/relationships/hyperlink" Target="https://www.inaturalist.org/observations/356023877" TargetMode="External"/><Relationship Id="rId2002" Type="http://schemas.openxmlformats.org/officeDocument/2006/relationships/hyperlink" Target="https://www.inaturalist.org/people/vic663" TargetMode="External"/><Relationship Id="rId2003" Type="http://schemas.openxmlformats.org/officeDocument/2006/relationships/hyperlink" Target="https://creativecommons.org/licenses/by-nc/4.0/" TargetMode="External"/><Relationship Id="rId2004" Type="http://schemas.openxmlformats.org/officeDocument/2006/relationships/hyperlink" Target="https://www.inaturalist.org/observations/338730830" TargetMode="External"/><Relationship Id="rId2005" Type="http://schemas.openxmlformats.org/officeDocument/2006/relationships/hyperlink" Target="https://www.inaturalist.org/people/franchie" TargetMode="External"/><Relationship Id="rId2006" Type="http://schemas.openxmlformats.org/officeDocument/2006/relationships/hyperlink" Target="https://creativecommons.org/licenses/by-nc/4.0/" TargetMode="External"/><Relationship Id="rId2007" Type="http://schemas.openxmlformats.org/officeDocument/2006/relationships/hyperlink" Target="https://www.inaturalist.org/observations/338562892" TargetMode="External"/><Relationship Id="rId2008" Type="http://schemas.openxmlformats.org/officeDocument/2006/relationships/hyperlink" Target="https://www.inaturalist.org/people/ededwarddd" TargetMode="External"/><Relationship Id="rId2009" Type="http://schemas.openxmlformats.org/officeDocument/2006/relationships/hyperlink" Target="https://creativecommons.org/licenses/by-nc/4.0/" TargetMode="External"/><Relationship Id="rId2010" Type="http://schemas.openxmlformats.org/officeDocument/2006/relationships/hyperlink" Target="https://www.inaturalist.org/observations/336947375" TargetMode="External"/><Relationship Id="rId2011" Type="http://schemas.openxmlformats.org/officeDocument/2006/relationships/hyperlink" Target="https://www.inaturalist.org/people/feriet" TargetMode="External"/><Relationship Id="rId2012" Type="http://schemas.openxmlformats.org/officeDocument/2006/relationships/hyperlink" Target="https://creativecommons.org/licenses/by-nc/4.0/" TargetMode="External"/><Relationship Id="rId2013" Type="http://schemas.openxmlformats.org/officeDocument/2006/relationships/hyperlink" Target="https://www.inaturalist.org/observations/333119677" TargetMode="External"/><Relationship Id="rId2014" Type="http://schemas.openxmlformats.org/officeDocument/2006/relationships/hyperlink" Target="https://www.inaturalist.org/people/frelj" TargetMode="External"/><Relationship Id="rId2015" Type="http://schemas.openxmlformats.org/officeDocument/2006/relationships/hyperlink" Target="https://creativecommons.org/licenses/by-nc/4.0/" TargetMode="External"/><Relationship Id="rId2016" Type="http://schemas.openxmlformats.org/officeDocument/2006/relationships/hyperlink" Target="https://www.inaturalist.org/observations/328205099" TargetMode="External"/><Relationship Id="rId2017" Type="http://schemas.openxmlformats.org/officeDocument/2006/relationships/hyperlink" Target="https://www.inaturalist.org/people/christonis" TargetMode="External"/><Relationship Id="rId2018" Type="http://schemas.openxmlformats.org/officeDocument/2006/relationships/hyperlink" Target="https://creativecommons.org/licenses/by-nc/4.0/" TargetMode="External"/><Relationship Id="rId2019" Type="http://schemas.openxmlformats.org/officeDocument/2006/relationships/hyperlink" Target="https://www.inaturalist.org/observations/324697261" TargetMode="External"/><Relationship Id="rId2020" Type="http://schemas.openxmlformats.org/officeDocument/2006/relationships/hyperlink" Target="https://www.inaturalist.org/people/m_wilms" TargetMode="External"/><Relationship Id="rId2021" Type="http://schemas.openxmlformats.org/officeDocument/2006/relationships/hyperlink" Target="https://creativecommons.org/licenses/by-nc/4.0/" TargetMode="External"/><Relationship Id="rId2022" Type="http://schemas.openxmlformats.org/officeDocument/2006/relationships/hyperlink" Target="https://www.inaturalist.org/observations/324400972" TargetMode="External"/><Relationship Id="rId2023" Type="http://schemas.openxmlformats.org/officeDocument/2006/relationships/hyperlink" Target="https://www.inaturalist.org/people/m_wilms" TargetMode="External"/><Relationship Id="rId2024" Type="http://schemas.openxmlformats.org/officeDocument/2006/relationships/hyperlink" Target="https://creativecommons.org/licenses/by-nc/4.0/" TargetMode="External"/><Relationship Id="rId2025" Type="http://schemas.openxmlformats.org/officeDocument/2006/relationships/hyperlink" Target="https://www.inaturalist.org/observations/324400972" TargetMode="External"/><Relationship Id="rId2026" Type="http://schemas.openxmlformats.org/officeDocument/2006/relationships/hyperlink" Target="https://www.inaturalist.org/people/m_wilms" TargetMode="External"/><Relationship Id="rId2027" Type="http://schemas.openxmlformats.org/officeDocument/2006/relationships/hyperlink" Target="https://creativecommons.org/licenses/by-nc/4.0/" TargetMode="External"/><Relationship Id="rId2028" Type="http://schemas.openxmlformats.org/officeDocument/2006/relationships/hyperlink" Target="https://www.inaturalist.org/observations/324400972" TargetMode="External"/><Relationship Id="rId2029" Type="http://schemas.openxmlformats.org/officeDocument/2006/relationships/hyperlink" Target="https://www.inaturalist.org/people/m_wilms" TargetMode="External"/><Relationship Id="rId2030" Type="http://schemas.openxmlformats.org/officeDocument/2006/relationships/hyperlink" Target="https://creativecommons.org/licenses/by-nc/4.0/" TargetMode="External"/><Relationship Id="rId2031" Type="http://schemas.openxmlformats.org/officeDocument/2006/relationships/hyperlink" Target="https://www.inaturalist.org/observations/324400972" TargetMode="External"/><Relationship Id="rId2032" Type="http://schemas.openxmlformats.org/officeDocument/2006/relationships/hyperlink" Target="https://www.inaturalist.org/people/m_wilms" TargetMode="External"/><Relationship Id="rId2033" Type="http://schemas.openxmlformats.org/officeDocument/2006/relationships/hyperlink" Target="https://creativecommons.org/licenses/by-nc/4.0/" TargetMode="External"/><Relationship Id="rId2034" Type="http://schemas.openxmlformats.org/officeDocument/2006/relationships/hyperlink" Target="https://www.inaturalist.org/observations/316377452" TargetMode="External"/><Relationship Id="rId2035" Type="http://schemas.openxmlformats.org/officeDocument/2006/relationships/hyperlink" Target="https://www.inaturalist.org/people/m_wilms" TargetMode="External"/><Relationship Id="rId2036" Type="http://schemas.openxmlformats.org/officeDocument/2006/relationships/hyperlink" Target="https://creativecommons.org/licenses/by-nc/4.0/" TargetMode="External"/><Relationship Id="rId2037" Type="http://schemas.openxmlformats.org/officeDocument/2006/relationships/hyperlink" Target="https://www.inaturalist.org/observations/316375562" TargetMode="External"/><Relationship Id="rId2038" Type="http://schemas.openxmlformats.org/officeDocument/2006/relationships/hyperlink" Target="https://www.inaturalist.org/people/m_wilms" TargetMode="External"/><Relationship Id="rId2039" Type="http://schemas.openxmlformats.org/officeDocument/2006/relationships/hyperlink" Target="https://creativecommons.org/licenses/by-nc/4.0/" TargetMode="External"/><Relationship Id="rId2040" Type="http://schemas.openxmlformats.org/officeDocument/2006/relationships/hyperlink" Target="https://www.inaturalist.org/observations/316375562" TargetMode="External"/><Relationship Id="rId2041" Type="http://schemas.openxmlformats.org/officeDocument/2006/relationships/hyperlink" Target="https://www.inaturalist.org/people/m_wilms" TargetMode="External"/><Relationship Id="rId2042" Type="http://schemas.openxmlformats.org/officeDocument/2006/relationships/hyperlink" Target="https://creativecommons.org/licenses/by-nc/4.0/" TargetMode="External"/><Relationship Id="rId2043" Type="http://schemas.openxmlformats.org/officeDocument/2006/relationships/hyperlink" Target="https://www.inaturalist.org/observations/316375562" TargetMode="External"/><Relationship Id="rId2044" Type="http://schemas.openxmlformats.org/officeDocument/2006/relationships/hyperlink" Target="https://www.inaturalist.org/people/m_wilms" TargetMode="External"/><Relationship Id="rId2045" Type="http://schemas.openxmlformats.org/officeDocument/2006/relationships/hyperlink" Target="https://creativecommons.org/licenses/by-nc/4.0/" TargetMode="External"/><Relationship Id="rId2046" Type="http://schemas.openxmlformats.org/officeDocument/2006/relationships/hyperlink" Target="https://www.inaturalist.org/observations/315904559" TargetMode="External"/><Relationship Id="rId2047" Type="http://schemas.openxmlformats.org/officeDocument/2006/relationships/hyperlink" Target="https://www.inaturalist.org/people/oilezzsk" TargetMode="External"/><Relationship Id="rId2048" Type="http://schemas.openxmlformats.org/officeDocument/2006/relationships/hyperlink" Target="https://creativecommons.org/licenses/by-nc/4.0/" TargetMode="External"/><Relationship Id="rId2049" Type="http://schemas.openxmlformats.org/officeDocument/2006/relationships/hyperlink" Target="https://www.inaturalist.org/observations/308142930" TargetMode="External"/><Relationship Id="rId2050" Type="http://schemas.openxmlformats.org/officeDocument/2006/relationships/hyperlink" Target="https://www.inaturalist.org/people/sukanya_thanombuddha" TargetMode="External"/><Relationship Id="rId2051" Type="http://schemas.openxmlformats.org/officeDocument/2006/relationships/hyperlink" Target="https://creativecommons.org/licenses/by-nc/4.0/" TargetMode="External"/><Relationship Id="rId2052" Type="http://schemas.openxmlformats.org/officeDocument/2006/relationships/hyperlink" Target="https://www.inaturalist.org/observations/307730636" TargetMode="External"/><Relationship Id="rId2053" Type="http://schemas.openxmlformats.org/officeDocument/2006/relationships/hyperlink" Target="https://www.inaturalist.org/people/ou_wildlife" TargetMode="External"/><Relationship Id="rId2054" Type="http://schemas.openxmlformats.org/officeDocument/2006/relationships/hyperlink" Target="https://creativecommons.org/licenses/by-nc/4.0/" TargetMode="External"/><Relationship Id="rId2055" Type="http://schemas.openxmlformats.org/officeDocument/2006/relationships/hyperlink" Target="https://www.inaturalist.org/observations/307229783" TargetMode="External"/><Relationship Id="rId2056" Type="http://schemas.openxmlformats.org/officeDocument/2006/relationships/hyperlink" Target="https://www.inaturalist.org/people/ou_wildlife" TargetMode="External"/><Relationship Id="rId2057" Type="http://schemas.openxmlformats.org/officeDocument/2006/relationships/hyperlink" Target="https://creativecommons.org/licenses/by-nc/4.0/" TargetMode="External"/><Relationship Id="rId2058" Type="http://schemas.openxmlformats.org/officeDocument/2006/relationships/hyperlink" Target="https://www.inaturalist.org/observations/307229783" TargetMode="External"/><Relationship Id="rId2059" Type="http://schemas.openxmlformats.org/officeDocument/2006/relationships/hyperlink" Target="https://www.inaturalist.org/people/ou_wildlife" TargetMode="External"/><Relationship Id="rId2060" Type="http://schemas.openxmlformats.org/officeDocument/2006/relationships/hyperlink" Target="https://creativecommons.org/licenses/by-nc/4.0/" TargetMode="External"/><Relationship Id="rId2061" Type="http://schemas.openxmlformats.org/officeDocument/2006/relationships/hyperlink" Target="https://www.inaturalist.org/observations/307229098" TargetMode="External"/><Relationship Id="rId2062" Type="http://schemas.openxmlformats.org/officeDocument/2006/relationships/hyperlink" Target="https://www.inaturalist.org/people/ou_wildlife" TargetMode="External"/><Relationship Id="rId2063" Type="http://schemas.openxmlformats.org/officeDocument/2006/relationships/hyperlink" Target="https://creativecommons.org/licenses/by-nc/4.0/" TargetMode="External"/><Relationship Id="rId2064" Type="http://schemas.openxmlformats.org/officeDocument/2006/relationships/hyperlink" Target="https://www.inaturalist.org/observations/307229098" TargetMode="External"/><Relationship Id="rId2065" Type="http://schemas.openxmlformats.org/officeDocument/2006/relationships/hyperlink" Target="https://www.inaturalist.org/people/biom" TargetMode="External"/><Relationship Id="rId2066" Type="http://schemas.openxmlformats.org/officeDocument/2006/relationships/hyperlink" Target="https://creativecommons.org/licenses/by-nc/4.0/" TargetMode="External"/><Relationship Id="rId2067" Type="http://schemas.openxmlformats.org/officeDocument/2006/relationships/hyperlink" Target="https://www.inaturalist.org/observations/307013601" TargetMode="External"/><Relationship Id="rId2068" Type="http://schemas.openxmlformats.org/officeDocument/2006/relationships/hyperlink" Target="https://www.inaturalist.org/people/biom" TargetMode="External"/><Relationship Id="rId2069" Type="http://schemas.openxmlformats.org/officeDocument/2006/relationships/hyperlink" Target="https://creativecommons.org/licenses/by-nc/4.0/" TargetMode="External"/><Relationship Id="rId2070" Type="http://schemas.openxmlformats.org/officeDocument/2006/relationships/hyperlink" Target="https://www.inaturalist.org/observations/307013601" TargetMode="External"/><Relationship Id="rId2071" Type="http://schemas.openxmlformats.org/officeDocument/2006/relationships/hyperlink" Target="https://www.inaturalist.org/people/rusik-r2d2" TargetMode="External"/><Relationship Id="rId2072" Type="http://schemas.openxmlformats.org/officeDocument/2006/relationships/hyperlink" Target="https://creativecommons.org/licenses/by-nc/4.0/" TargetMode="External"/><Relationship Id="rId2073" Type="http://schemas.openxmlformats.org/officeDocument/2006/relationships/hyperlink" Target="https://www.inaturalist.org/observations/276669192" TargetMode="External"/><Relationship Id="rId2074" Type="http://schemas.openxmlformats.org/officeDocument/2006/relationships/hyperlink" Target="https://www.inaturalist.org/people/scalabotes" TargetMode="External"/><Relationship Id="rId2075" Type="http://schemas.openxmlformats.org/officeDocument/2006/relationships/hyperlink" Target="https://creativecommons.org/licenses/by-nc/4.0/" TargetMode="External"/><Relationship Id="rId2076" Type="http://schemas.openxmlformats.org/officeDocument/2006/relationships/hyperlink" Target="https://www.inaturalist.org/observations/265425990" TargetMode="External"/><Relationship Id="rId2077" Type="http://schemas.openxmlformats.org/officeDocument/2006/relationships/hyperlink" Target="https://www.inaturalist.org/people/fabiominati" TargetMode="External"/><Relationship Id="rId2078" Type="http://schemas.openxmlformats.org/officeDocument/2006/relationships/hyperlink" Target="https://creativecommons.org/licenses/by-nc/4.0/" TargetMode="External"/><Relationship Id="rId2079" Type="http://schemas.openxmlformats.org/officeDocument/2006/relationships/hyperlink" Target="https://www.inaturalist.org/observations/263179619" TargetMode="External"/><Relationship Id="rId2080" Type="http://schemas.openxmlformats.org/officeDocument/2006/relationships/hyperlink" Target="https://www.inaturalist.org/people/fabiominati" TargetMode="External"/><Relationship Id="rId2081" Type="http://schemas.openxmlformats.org/officeDocument/2006/relationships/hyperlink" Target="https://creativecommons.org/licenses/by-nc/4.0/" TargetMode="External"/><Relationship Id="rId2082" Type="http://schemas.openxmlformats.org/officeDocument/2006/relationships/hyperlink" Target="https://www.inaturalist.org/observations/263176384" TargetMode="External"/><Relationship Id="rId2083" Type="http://schemas.openxmlformats.org/officeDocument/2006/relationships/hyperlink" Target="https://www.inaturalist.org/people/lennart_schmid" TargetMode="External"/><Relationship Id="rId2084" Type="http://schemas.openxmlformats.org/officeDocument/2006/relationships/hyperlink" Target="https://creativecommons.org/licenses/by-nc/4.0/" TargetMode="External"/><Relationship Id="rId2085" Type="http://schemas.openxmlformats.org/officeDocument/2006/relationships/hyperlink" Target="https://www.inaturalist.org/observations/260176714" TargetMode="External"/><Relationship Id="rId2086" Type="http://schemas.openxmlformats.org/officeDocument/2006/relationships/hyperlink" Target="https://www.inaturalist.org/people/pavelkornev" TargetMode="External"/><Relationship Id="rId2087" Type="http://schemas.openxmlformats.org/officeDocument/2006/relationships/hyperlink" Target="https://creativecommons.org/licenses/by-nc/4.0/" TargetMode="External"/><Relationship Id="rId2088" Type="http://schemas.openxmlformats.org/officeDocument/2006/relationships/hyperlink" Target="https://www.inaturalist.org/observations/251788733" TargetMode="External"/><Relationship Id="rId2089" Type="http://schemas.openxmlformats.org/officeDocument/2006/relationships/hyperlink" Target="https://www.inaturalist.org/people/scalabotes" TargetMode="External"/><Relationship Id="rId2090" Type="http://schemas.openxmlformats.org/officeDocument/2006/relationships/hyperlink" Target="https://creativecommons.org/licenses/by-nc/4.0/" TargetMode="External"/><Relationship Id="rId2091" Type="http://schemas.openxmlformats.org/officeDocument/2006/relationships/hyperlink" Target="https://www.inaturalist.org/observations/373713176" TargetMode="External"/><Relationship Id="rId2092" Type="http://schemas.openxmlformats.org/officeDocument/2006/relationships/hyperlink" Target="https://www.inaturalist.org/people/thanyarat_bo" TargetMode="External"/><Relationship Id="rId2093" Type="http://schemas.openxmlformats.org/officeDocument/2006/relationships/hyperlink" Target="https://creativecommons.org/licenses/by-nc/4.0/" TargetMode="External"/><Relationship Id="rId2094" Type="http://schemas.openxmlformats.org/officeDocument/2006/relationships/hyperlink" Target="https://www.inaturalist.org/observations/366318763" TargetMode="External"/><Relationship Id="rId2095" Type="http://schemas.openxmlformats.org/officeDocument/2006/relationships/hyperlink" Target="https://www.inaturalist.org/people/thanyarat_bo" TargetMode="External"/><Relationship Id="rId2096" Type="http://schemas.openxmlformats.org/officeDocument/2006/relationships/hyperlink" Target="https://creativecommons.org/licenses/by-nc/4.0/" TargetMode="External"/><Relationship Id="rId2097" Type="http://schemas.openxmlformats.org/officeDocument/2006/relationships/hyperlink" Target="https://www.inaturalist.org/observations/366318763" TargetMode="External"/><Relationship Id="rId2098" Type="http://schemas.openxmlformats.org/officeDocument/2006/relationships/hyperlink" Target="https://www.inaturalist.org/people/thanyarat_bo" TargetMode="External"/><Relationship Id="rId2099" Type="http://schemas.openxmlformats.org/officeDocument/2006/relationships/hyperlink" Target="https://creativecommons.org/licenses/by-nc/4.0/" TargetMode="External"/><Relationship Id="rId2100" Type="http://schemas.openxmlformats.org/officeDocument/2006/relationships/hyperlink" Target="https://www.inaturalist.org/observations/366318763" TargetMode="External"/><Relationship Id="rId2101" Type="http://schemas.openxmlformats.org/officeDocument/2006/relationships/hyperlink" Target="https://www.inaturalist.org/people/siriwatdangsri" TargetMode="External"/><Relationship Id="rId2102" Type="http://schemas.openxmlformats.org/officeDocument/2006/relationships/hyperlink" Target="https://creativecommons.org/licenses/by-nc/4.0/" TargetMode="External"/><Relationship Id="rId2103" Type="http://schemas.openxmlformats.org/officeDocument/2006/relationships/hyperlink" Target="https://www.inaturalist.org/observations/364545319" TargetMode="External"/><Relationship Id="rId2104" Type="http://schemas.openxmlformats.org/officeDocument/2006/relationships/hyperlink" Target="https://www.inaturalist.org/people/charliev" TargetMode="External"/><Relationship Id="rId2105" Type="http://schemas.openxmlformats.org/officeDocument/2006/relationships/hyperlink" Target="https://creativecommons.org/licenses/by-nc/4.0/" TargetMode="External"/><Relationship Id="rId2106" Type="http://schemas.openxmlformats.org/officeDocument/2006/relationships/hyperlink" Target="https://www.inaturalist.org/observations/353465221" TargetMode="External"/><Relationship Id="rId2107" Type="http://schemas.openxmlformats.org/officeDocument/2006/relationships/hyperlink" Target="https://www.inaturalist.org/people/emily_tusnadi" TargetMode="External"/><Relationship Id="rId2108" Type="http://schemas.openxmlformats.org/officeDocument/2006/relationships/hyperlink" Target="https://creativecommons.org/licenses/by-nc/4.0/" TargetMode="External"/><Relationship Id="rId2109" Type="http://schemas.openxmlformats.org/officeDocument/2006/relationships/hyperlink" Target="https://www.inaturalist.org/observations/330744192" TargetMode="External"/><Relationship Id="rId2110" Type="http://schemas.openxmlformats.org/officeDocument/2006/relationships/hyperlink" Target="https://www.inaturalist.org/people/emily_tusnadi" TargetMode="External"/><Relationship Id="rId2111" Type="http://schemas.openxmlformats.org/officeDocument/2006/relationships/hyperlink" Target="https://creativecommons.org/licenses/by-nc/4.0/" TargetMode="External"/><Relationship Id="rId2112" Type="http://schemas.openxmlformats.org/officeDocument/2006/relationships/hyperlink" Target="https://www.inaturalist.org/observations/330744192" TargetMode="External"/><Relationship Id="rId2113" Type="http://schemas.openxmlformats.org/officeDocument/2006/relationships/hyperlink" Target="https://www.inaturalist.org/people/megans67" TargetMode="External"/><Relationship Id="rId2114" Type="http://schemas.openxmlformats.org/officeDocument/2006/relationships/hyperlink" Target="https://creativecommons.org/licenses/by-nc/4.0/" TargetMode="External"/><Relationship Id="rId2115" Type="http://schemas.openxmlformats.org/officeDocument/2006/relationships/hyperlink" Target="https://www.inaturalist.org/observations/330471590" TargetMode="External"/><Relationship Id="rId2116" Type="http://schemas.openxmlformats.org/officeDocument/2006/relationships/hyperlink" Target="https://www.inaturalist.org/people/megans67" TargetMode="External"/><Relationship Id="rId2117" Type="http://schemas.openxmlformats.org/officeDocument/2006/relationships/hyperlink" Target="https://creativecommons.org/licenses/by-nc/4.0/" TargetMode="External"/><Relationship Id="rId2118" Type="http://schemas.openxmlformats.org/officeDocument/2006/relationships/hyperlink" Target="https://www.inaturalist.org/observations/330471590" TargetMode="External"/><Relationship Id="rId2119" Type="http://schemas.openxmlformats.org/officeDocument/2006/relationships/hyperlink" Target="https://www.inaturalist.org/people/megans67" TargetMode="External"/><Relationship Id="rId2120" Type="http://schemas.openxmlformats.org/officeDocument/2006/relationships/hyperlink" Target="https://creativecommons.org/licenses/by-nc/4.0/" TargetMode="External"/><Relationship Id="rId2121" Type="http://schemas.openxmlformats.org/officeDocument/2006/relationships/hyperlink" Target="https://www.inaturalist.org/observations/330471590" TargetMode="External"/><Relationship Id="rId2122" Type="http://schemas.openxmlformats.org/officeDocument/2006/relationships/hyperlink" Target="https://www.inaturalist.org/people/megans67" TargetMode="External"/><Relationship Id="rId2123" Type="http://schemas.openxmlformats.org/officeDocument/2006/relationships/hyperlink" Target="https://creativecommons.org/licenses/by-nc/4.0/" TargetMode="External"/><Relationship Id="rId2124" Type="http://schemas.openxmlformats.org/officeDocument/2006/relationships/hyperlink" Target="https://www.inaturalist.org/observations/330471590" TargetMode="External"/><Relationship Id="rId2125" Type="http://schemas.openxmlformats.org/officeDocument/2006/relationships/hyperlink" Target="https://www.inaturalist.org/people/marcel_wildlife" TargetMode="External"/><Relationship Id="rId2126" Type="http://schemas.openxmlformats.org/officeDocument/2006/relationships/hyperlink" Target="https://creativecommons.org/licenses/by-nc/4.0/" TargetMode="External"/><Relationship Id="rId2127" Type="http://schemas.openxmlformats.org/officeDocument/2006/relationships/hyperlink" Target="https://www.inaturalist.org/observations/327105993" TargetMode="External"/><Relationship Id="rId2128" Type="http://schemas.openxmlformats.org/officeDocument/2006/relationships/hyperlink" Target="https://www.inaturalist.org/people/christonis" TargetMode="External"/><Relationship Id="rId2129" Type="http://schemas.openxmlformats.org/officeDocument/2006/relationships/hyperlink" Target="https://creativecommons.org/licenses/by-nc/4.0/" TargetMode="External"/><Relationship Id="rId2130" Type="http://schemas.openxmlformats.org/officeDocument/2006/relationships/hyperlink" Target="https://www.inaturalist.org/observations/325706628" TargetMode="External"/><Relationship Id="rId2131" Type="http://schemas.openxmlformats.org/officeDocument/2006/relationships/hyperlink" Target="https://www.inaturalist.org/people/emilymendel" TargetMode="External"/><Relationship Id="rId2132" Type="http://schemas.openxmlformats.org/officeDocument/2006/relationships/hyperlink" Target="https://creativecommons.org/licenses/by-nc/4.0/" TargetMode="External"/><Relationship Id="rId2133" Type="http://schemas.openxmlformats.org/officeDocument/2006/relationships/hyperlink" Target="https://www.inaturalist.org/observations/324319957" TargetMode="External"/><Relationship Id="rId2134" Type="http://schemas.openxmlformats.org/officeDocument/2006/relationships/hyperlink" Target="https://www.inaturalist.org/people/m_wilms" TargetMode="External"/><Relationship Id="rId2135" Type="http://schemas.openxmlformats.org/officeDocument/2006/relationships/hyperlink" Target="https://creativecommons.org/licenses/by-nc/4.0/" TargetMode="External"/><Relationship Id="rId2136" Type="http://schemas.openxmlformats.org/officeDocument/2006/relationships/hyperlink" Target="https://www.inaturalist.org/observations/316156118" TargetMode="External"/><Relationship Id="rId2137" Type="http://schemas.openxmlformats.org/officeDocument/2006/relationships/hyperlink" Target="https://www.inaturalist.org/people/m_wilms" TargetMode="External"/><Relationship Id="rId2138" Type="http://schemas.openxmlformats.org/officeDocument/2006/relationships/hyperlink" Target="https://creativecommons.org/licenses/by-nc/4.0/" TargetMode="External"/><Relationship Id="rId2139" Type="http://schemas.openxmlformats.org/officeDocument/2006/relationships/hyperlink" Target="https://www.inaturalist.org/observations/316156118" TargetMode="External"/><Relationship Id="rId2140" Type="http://schemas.openxmlformats.org/officeDocument/2006/relationships/hyperlink" Target="https://www.inaturalist.org/people/rueangritp" TargetMode="External"/><Relationship Id="rId2141" Type="http://schemas.openxmlformats.org/officeDocument/2006/relationships/hyperlink" Target="https://creativecommons.org/licenses/by-nc/4.0/" TargetMode="External"/><Relationship Id="rId2142" Type="http://schemas.openxmlformats.org/officeDocument/2006/relationships/hyperlink" Target="https://www.inaturalist.org/observations/308441046" TargetMode="External"/><Relationship Id="rId2143" Type="http://schemas.openxmlformats.org/officeDocument/2006/relationships/hyperlink" Target="https://www.inaturalist.org/people/sukanya_thanombuddha" TargetMode="External"/><Relationship Id="rId2144" Type="http://schemas.openxmlformats.org/officeDocument/2006/relationships/hyperlink" Target="https://creativecommons.org/licenses/by-nc/4.0/" TargetMode="External"/><Relationship Id="rId2145" Type="http://schemas.openxmlformats.org/officeDocument/2006/relationships/hyperlink" Target="https://www.inaturalist.org/observations/307731821" TargetMode="External"/><Relationship Id="rId2146" Type="http://schemas.openxmlformats.org/officeDocument/2006/relationships/hyperlink" Target="https://www.inaturalist.org/people/andrewpierce" TargetMode="External"/><Relationship Id="rId2147" Type="http://schemas.openxmlformats.org/officeDocument/2006/relationships/hyperlink" Target="https://creativecommons.org/licenses/by-nc/4.0/" TargetMode="External"/><Relationship Id="rId2148" Type="http://schemas.openxmlformats.org/officeDocument/2006/relationships/hyperlink" Target="https://www.inaturalist.org/observations/301843397" TargetMode="External"/><Relationship Id="rId2149" Type="http://schemas.openxmlformats.org/officeDocument/2006/relationships/hyperlink" Target="https://www.inaturalist.org/people/andrewpierce" TargetMode="External"/><Relationship Id="rId2150" Type="http://schemas.openxmlformats.org/officeDocument/2006/relationships/hyperlink" Target="https://creativecommons.org/licenses/by-nc/4.0/" TargetMode="External"/><Relationship Id="rId2151" Type="http://schemas.openxmlformats.org/officeDocument/2006/relationships/hyperlink" Target="https://www.inaturalist.org/observations/301843397" TargetMode="External"/><Relationship Id="rId2152" Type="http://schemas.openxmlformats.org/officeDocument/2006/relationships/hyperlink" Target="https://www.inaturalist.org/people/devinbyrne" TargetMode="External"/><Relationship Id="rId2153" Type="http://schemas.openxmlformats.org/officeDocument/2006/relationships/hyperlink" Target="https://creativecommons.org/licenses/by-nc/4.0/" TargetMode="External"/><Relationship Id="rId2154" Type="http://schemas.openxmlformats.org/officeDocument/2006/relationships/hyperlink" Target="https://www.inaturalist.org/observations/299696072" TargetMode="External"/><Relationship Id="rId2155" Type="http://schemas.openxmlformats.org/officeDocument/2006/relationships/hyperlink" Target="https://www.inaturalist.org/people/punvius_othmerius" TargetMode="External"/><Relationship Id="rId2156" Type="http://schemas.openxmlformats.org/officeDocument/2006/relationships/hyperlink" Target="https://creativecommons.org/licenses/by-nc/4.0/" TargetMode="External"/><Relationship Id="rId2157" Type="http://schemas.openxmlformats.org/officeDocument/2006/relationships/hyperlink" Target="https://www.inaturalist.org/observations/292570133" TargetMode="External"/><Relationship Id="rId2158" Type="http://schemas.openxmlformats.org/officeDocument/2006/relationships/hyperlink" Target="https://www.inaturalist.org/people/kdvorhies" TargetMode="External"/><Relationship Id="rId2159" Type="http://schemas.openxmlformats.org/officeDocument/2006/relationships/hyperlink" Target="https://creativecommons.org/licenses/by-nc/4.0/" TargetMode="External"/><Relationship Id="rId2160" Type="http://schemas.openxmlformats.org/officeDocument/2006/relationships/hyperlink" Target="https://www.inaturalist.org/observations/291958862" TargetMode="External"/><Relationship Id="rId2161" Type="http://schemas.openxmlformats.org/officeDocument/2006/relationships/hyperlink" Target="https://www.inaturalist.org/people/siriwatdangsri" TargetMode="External"/><Relationship Id="rId2162" Type="http://schemas.openxmlformats.org/officeDocument/2006/relationships/hyperlink" Target="https://creativecommons.org/licenses/by-nc/4.0/" TargetMode="External"/><Relationship Id="rId2163" Type="http://schemas.openxmlformats.org/officeDocument/2006/relationships/hyperlink" Target="https://www.inaturalist.org/observations/283815120" TargetMode="External"/><Relationship Id="rId2164" Type="http://schemas.openxmlformats.org/officeDocument/2006/relationships/hyperlink" Target="https://www.inaturalist.org/people/hattaya1" TargetMode="External"/><Relationship Id="rId2165" Type="http://schemas.openxmlformats.org/officeDocument/2006/relationships/hyperlink" Target="https://creativecommons.org/licenses/by-nc/4.0/" TargetMode="External"/><Relationship Id="rId2166" Type="http://schemas.openxmlformats.org/officeDocument/2006/relationships/hyperlink" Target="https://www.inaturalist.org/observations/276715623" TargetMode="External"/><Relationship Id="rId2167" Type="http://schemas.openxmlformats.org/officeDocument/2006/relationships/hyperlink" Target="https://www.inaturalist.org/people/charliev" TargetMode="External"/><Relationship Id="rId2168" Type="http://schemas.openxmlformats.org/officeDocument/2006/relationships/hyperlink" Target="https://creativecommons.org/licenses/by-nc/4.0/" TargetMode="External"/><Relationship Id="rId2169" Type="http://schemas.openxmlformats.org/officeDocument/2006/relationships/hyperlink" Target="https://www.inaturalist.org/observations/273853660" TargetMode="External"/><Relationship Id="rId2170" Type="http://schemas.openxmlformats.org/officeDocument/2006/relationships/hyperlink" Target="https://www.inaturalist.org/people/setaphong" TargetMode="External"/><Relationship Id="rId2171" Type="http://schemas.openxmlformats.org/officeDocument/2006/relationships/hyperlink" Target="https://creativecommons.org/licenses/by-nc/4.0/" TargetMode="External"/><Relationship Id="rId2172" Type="http://schemas.openxmlformats.org/officeDocument/2006/relationships/hyperlink" Target="https://www.inaturalist.org/observations/262378078" TargetMode="External"/><Relationship Id="rId2173" Type="http://schemas.openxmlformats.org/officeDocument/2006/relationships/hyperlink" Target="https://www.inaturalist.org/people/jtreacy" TargetMode="External"/><Relationship Id="rId2174" Type="http://schemas.openxmlformats.org/officeDocument/2006/relationships/hyperlink" Target="https://creativecommons.org/licenses/by-nc/4.0/" TargetMode="External"/><Relationship Id="rId2175" Type="http://schemas.openxmlformats.org/officeDocument/2006/relationships/hyperlink" Target="https://www.inaturalist.org/observations/260651713" TargetMode="External"/><Relationship Id="rId2176" Type="http://schemas.openxmlformats.org/officeDocument/2006/relationships/hyperlink" Target="https://www.inaturalist.org/people/lennart_schmid" TargetMode="External"/><Relationship Id="rId2177" Type="http://schemas.openxmlformats.org/officeDocument/2006/relationships/hyperlink" Target="https://creativecommons.org/licenses/by-nc/4.0/" TargetMode="External"/><Relationship Id="rId2178" Type="http://schemas.openxmlformats.org/officeDocument/2006/relationships/hyperlink" Target="https://www.inaturalist.org/observations/260176712" TargetMode="External"/><Relationship Id="rId2179" Type="http://schemas.openxmlformats.org/officeDocument/2006/relationships/hyperlink" Target="https://www.inaturalist.org/people/christonis" TargetMode="External"/><Relationship Id="rId2180" Type="http://schemas.openxmlformats.org/officeDocument/2006/relationships/hyperlink" Target="https://creativecommons.org/licenses/by-nc/4.0/" TargetMode="External"/><Relationship Id="rId2181" Type="http://schemas.openxmlformats.org/officeDocument/2006/relationships/hyperlink" Target="https://www.inaturalist.org/observations/258474128" TargetMode="External"/><Relationship Id="rId2182" Type="http://schemas.openxmlformats.org/officeDocument/2006/relationships/hyperlink" Target="https://www.inaturalist.org/people/piyapong" TargetMode="External"/><Relationship Id="rId2183" Type="http://schemas.openxmlformats.org/officeDocument/2006/relationships/hyperlink" Target="https://creativecommons.org/licenses/by-nc/4.0/" TargetMode="External"/><Relationship Id="rId2184" Type="http://schemas.openxmlformats.org/officeDocument/2006/relationships/hyperlink" Target="https://www.inaturalist.org/observations/258032110" TargetMode="External"/><Relationship Id="rId2185" Type="http://schemas.openxmlformats.org/officeDocument/2006/relationships/hyperlink" Target="https://www.inaturalist.org/people/siriwatdangsri" TargetMode="External"/><Relationship Id="rId2186" Type="http://schemas.openxmlformats.org/officeDocument/2006/relationships/hyperlink" Target="https://creativecommons.org/licenses/by-nc/4.0/" TargetMode="External"/><Relationship Id="rId2187" Type="http://schemas.openxmlformats.org/officeDocument/2006/relationships/hyperlink" Target="https://www.inaturalist.org/observations/251744686" TargetMode="External"/><Relationship Id="rId2188" Type="http://schemas.openxmlformats.org/officeDocument/2006/relationships/hyperlink" Target="https://www.inaturalist.org/people/siriwatdangsri" TargetMode="External"/><Relationship Id="rId2189" Type="http://schemas.openxmlformats.org/officeDocument/2006/relationships/hyperlink" Target="https://creativecommons.org/licenses/by-nc/4.0/" TargetMode="External"/><Relationship Id="rId2190" Type="http://schemas.openxmlformats.org/officeDocument/2006/relationships/hyperlink" Target="https://www.inaturalist.org/observations/248866931" TargetMode="External"/><Relationship Id="rId2191" Type="http://schemas.openxmlformats.org/officeDocument/2006/relationships/hyperlink" Target="https://www.inaturalist.org/people/charliev" TargetMode="External"/><Relationship Id="rId2192" Type="http://schemas.openxmlformats.org/officeDocument/2006/relationships/hyperlink" Target="https://creativecommons.org/licenses/by-nc/4.0/" TargetMode="External"/><Relationship Id="rId2193" Type="http://schemas.openxmlformats.org/officeDocument/2006/relationships/hyperlink" Target="https://www.inaturalist.org/observations/237836804" TargetMode="External"/><Relationship Id="rId2194" Type="http://schemas.openxmlformats.org/officeDocument/2006/relationships/hyperlink" Target="https://www.inaturalist.org/people/natviniamin" TargetMode="External"/><Relationship Id="rId2195" Type="http://schemas.openxmlformats.org/officeDocument/2006/relationships/hyperlink" Target="https://creativecommons.org/licenses/by-nc/4.0/" TargetMode="External"/><Relationship Id="rId2196" Type="http://schemas.openxmlformats.org/officeDocument/2006/relationships/hyperlink" Target="https://www.inaturalist.org/observations/379317902" TargetMode="External"/><Relationship Id="rId2197" Type="http://schemas.openxmlformats.org/officeDocument/2006/relationships/hyperlink" Target="https://www.inaturalist.org/people/natviniamin" TargetMode="External"/><Relationship Id="rId2198" Type="http://schemas.openxmlformats.org/officeDocument/2006/relationships/hyperlink" Target="https://creativecommons.org/licenses/by-nc/4.0/" TargetMode="External"/><Relationship Id="rId2199" Type="http://schemas.openxmlformats.org/officeDocument/2006/relationships/hyperlink" Target="https://www.inaturalist.org/observations/379315342" TargetMode="External"/><Relationship Id="rId2200" Type="http://schemas.openxmlformats.org/officeDocument/2006/relationships/hyperlink" Target="https://www.inaturalist.org/people/ecuwaidis" TargetMode="External"/><Relationship Id="rId2201" Type="http://schemas.openxmlformats.org/officeDocument/2006/relationships/hyperlink" Target="https://creativecommons.org/licenses/by-nc/4.0/" TargetMode="External"/><Relationship Id="rId2202" Type="http://schemas.openxmlformats.org/officeDocument/2006/relationships/hyperlink" Target="https://www.inaturalist.org/observations/378211573" TargetMode="External"/><Relationship Id="rId2203" Type="http://schemas.openxmlformats.org/officeDocument/2006/relationships/hyperlink" Target="https://www.inaturalist.org/people/angelomg" TargetMode="External"/><Relationship Id="rId2204" Type="http://schemas.openxmlformats.org/officeDocument/2006/relationships/hyperlink" Target="https://creativecommons.org/licenses/by-nc/4.0/" TargetMode="External"/><Relationship Id="rId2205" Type="http://schemas.openxmlformats.org/officeDocument/2006/relationships/hyperlink" Target="https://www.inaturalist.org/observations/376925113" TargetMode="External"/><Relationship Id="rId2206" Type="http://schemas.openxmlformats.org/officeDocument/2006/relationships/hyperlink" Target="https://www.inaturalist.org/people/aschmidt95" TargetMode="External"/><Relationship Id="rId2207" Type="http://schemas.openxmlformats.org/officeDocument/2006/relationships/hyperlink" Target="https://creativecommons.org/licenses/by-nc/4.0/" TargetMode="External"/><Relationship Id="rId2208" Type="http://schemas.openxmlformats.org/officeDocument/2006/relationships/hyperlink" Target="https://www.inaturalist.org/observations/374299156" TargetMode="External"/><Relationship Id="rId2209" Type="http://schemas.openxmlformats.org/officeDocument/2006/relationships/hyperlink" Target="https://www.inaturalist.org/people/kellym301" TargetMode="External"/><Relationship Id="rId2210" Type="http://schemas.openxmlformats.org/officeDocument/2006/relationships/hyperlink" Target="https://creativecommons.org/licenses/by-nc/4.0/" TargetMode="External"/><Relationship Id="rId2211" Type="http://schemas.openxmlformats.org/officeDocument/2006/relationships/hyperlink" Target="https://www.inaturalist.org/observations/374001724" TargetMode="External"/><Relationship Id="rId2212" Type="http://schemas.openxmlformats.org/officeDocument/2006/relationships/hyperlink" Target="https://www.inaturalist.org/people/ktschmid" TargetMode="External"/><Relationship Id="rId2213" Type="http://schemas.openxmlformats.org/officeDocument/2006/relationships/hyperlink" Target="https://creativecommons.org/licenses/by-nc/4.0/" TargetMode="External"/><Relationship Id="rId2214" Type="http://schemas.openxmlformats.org/officeDocument/2006/relationships/hyperlink" Target="https://www.inaturalist.org/observations/372653415" TargetMode="External"/><Relationship Id="rId2215" Type="http://schemas.openxmlformats.org/officeDocument/2006/relationships/hyperlink" Target="https://www.inaturalist.org/people/myrog333" TargetMode="External"/><Relationship Id="rId2216" Type="http://schemas.openxmlformats.org/officeDocument/2006/relationships/hyperlink" Target="https://creativecommons.org/licenses/by-nc/4.0/" TargetMode="External"/><Relationship Id="rId2217" Type="http://schemas.openxmlformats.org/officeDocument/2006/relationships/hyperlink" Target="https://www.inaturalist.org/observations/372629666" TargetMode="External"/><Relationship Id="rId2218" Type="http://schemas.openxmlformats.org/officeDocument/2006/relationships/hyperlink" Target="https://www.inaturalist.org/people/bakerboy92" TargetMode="External"/><Relationship Id="rId2219" Type="http://schemas.openxmlformats.org/officeDocument/2006/relationships/hyperlink" Target="https://creativecommons.org/licenses/by-nc/4.0/" TargetMode="External"/><Relationship Id="rId2220" Type="http://schemas.openxmlformats.org/officeDocument/2006/relationships/hyperlink" Target="https://www.inaturalist.org/observations/370998226" TargetMode="External"/><Relationship Id="rId2221" Type="http://schemas.openxmlformats.org/officeDocument/2006/relationships/hyperlink" Target="https://www.inaturalist.org/people/samuel28632" TargetMode="External"/><Relationship Id="rId2222" Type="http://schemas.openxmlformats.org/officeDocument/2006/relationships/hyperlink" Target="https://creativecommons.org/licenses/by-nc/4.0/" TargetMode="External"/><Relationship Id="rId2223" Type="http://schemas.openxmlformats.org/officeDocument/2006/relationships/hyperlink" Target="https://www.inaturalist.org/observations/370842365" TargetMode="External"/><Relationship Id="rId2224" Type="http://schemas.openxmlformats.org/officeDocument/2006/relationships/hyperlink" Target="https://www.inaturalist.org/people/jairo_uribarri" TargetMode="External"/><Relationship Id="rId2225" Type="http://schemas.openxmlformats.org/officeDocument/2006/relationships/hyperlink" Target="https://creativecommons.org/licenses/by-nc/4.0/" TargetMode="External"/><Relationship Id="rId2226" Type="http://schemas.openxmlformats.org/officeDocument/2006/relationships/hyperlink" Target="https://www.inaturalist.org/observations/370604931" TargetMode="External"/><Relationship Id="rId2227" Type="http://schemas.openxmlformats.org/officeDocument/2006/relationships/hyperlink" Target="https://www.inaturalist.org/people/morgans_finds" TargetMode="External"/><Relationship Id="rId2228" Type="http://schemas.openxmlformats.org/officeDocument/2006/relationships/hyperlink" Target="https://creativecommons.org/licenses/by-nc/4.0/" TargetMode="External"/><Relationship Id="rId2229" Type="http://schemas.openxmlformats.org/officeDocument/2006/relationships/hyperlink" Target="https://www.inaturalist.org/observations/370332037" TargetMode="External"/><Relationship Id="rId2230" Type="http://schemas.openxmlformats.org/officeDocument/2006/relationships/hyperlink" Target="https://www.inaturalist.org/people/hi_ocean" TargetMode="External"/><Relationship Id="rId2231" Type="http://schemas.openxmlformats.org/officeDocument/2006/relationships/hyperlink" Target="https://creativecommons.org/licenses/by-nc/4.0/" TargetMode="External"/><Relationship Id="rId2232" Type="http://schemas.openxmlformats.org/officeDocument/2006/relationships/hyperlink" Target="https://www.inaturalist.org/observations/369847777" TargetMode="External"/><Relationship Id="rId2233" Type="http://schemas.openxmlformats.org/officeDocument/2006/relationships/hyperlink" Target="https://www.inaturalist.org/people/surftheworld" TargetMode="External"/><Relationship Id="rId2234" Type="http://schemas.openxmlformats.org/officeDocument/2006/relationships/hyperlink" Target="https://creativecommons.org/licenses/by-nc/4.0/" TargetMode="External"/><Relationship Id="rId2235" Type="http://schemas.openxmlformats.org/officeDocument/2006/relationships/hyperlink" Target="https://www.inaturalist.org/observations/368924926" TargetMode="External"/><Relationship Id="rId2236" Type="http://schemas.openxmlformats.org/officeDocument/2006/relationships/hyperlink" Target="https://www.inaturalist.org/people/saty2" TargetMode="External"/><Relationship Id="rId2237" Type="http://schemas.openxmlformats.org/officeDocument/2006/relationships/hyperlink" Target="https://creativecommons.org/licenses/by-nc/4.0/" TargetMode="External"/><Relationship Id="rId2238" Type="http://schemas.openxmlformats.org/officeDocument/2006/relationships/hyperlink" Target="https://www.inaturalist.org/observations/368514915" TargetMode="External"/><Relationship Id="rId2239" Type="http://schemas.openxmlformats.org/officeDocument/2006/relationships/hyperlink" Target="https://www.inaturalist.org/people/ormr" TargetMode="External"/><Relationship Id="rId2240" Type="http://schemas.openxmlformats.org/officeDocument/2006/relationships/hyperlink" Target="https://creativecommons.org/licenses/by-nc/4.0/" TargetMode="External"/><Relationship Id="rId2241" Type="http://schemas.openxmlformats.org/officeDocument/2006/relationships/hyperlink" Target="https://www.inaturalist.org/observations/368014724" TargetMode="External"/><Relationship Id="rId2242" Type="http://schemas.openxmlformats.org/officeDocument/2006/relationships/hyperlink" Target="https://www.inaturalist.org/people/ormr" TargetMode="External"/><Relationship Id="rId2243" Type="http://schemas.openxmlformats.org/officeDocument/2006/relationships/hyperlink" Target="https://creativecommons.org/licenses/by-nc/4.0/" TargetMode="External"/><Relationship Id="rId2244" Type="http://schemas.openxmlformats.org/officeDocument/2006/relationships/hyperlink" Target="https://www.inaturalist.org/observations/368014717" TargetMode="External"/><Relationship Id="rId2245" Type="http://schemas.openxmlformats.org/officeDocument/2006/relationships/hyperlink" Target="https://www.inaturalist.org/people/ormr" TargetMode="External"/><Relationship Id="rId2246" Type="http://schemas.openxmlformats.org/officeDocument/2006/relationships/hyperlink" Target="https://creativecommons.org/licenses/by-nc/4.0/" TargetMode="External"/><Relationship Id="rId2247" Type="http://schemas.openxmlformats.org/officeDocument/2006/relationships/hyperlink" Target="https://www.inaturalist.org/observations/368014699" TargetMode="External"/><Relationship Id="rId2248" Type="http://schemas.openxmlformats.org/officeDocument/2006/relationships/hyperlink" Target="https://www.inaturalist.org/people/bmbratt" TargetMode="External"/><Relationship Id="rId2249" Type="http://schemas.openxmlformats.org/officeDocument/2006/relationships/hyperlink" Target="https://creativecommons.org/licenses/by-nc/4.0/" TargetMode="External"/><Relationship Id="rId2250" Type="http://schemas.openxmlformats.org/officeDocument/2006/relationships/hyperlink" Target="https://www.inaturalist.org/observations/367252413" TargetMode="External"/><Relationship Id="rId2251" Type="http://schemas.openxmlformats.org/officeDocument/2006/relationships/hyperlink" Target="https://www.inaturalist.org/people/saty2" TargetMode="External"/><Relationship Id="rId2252" Type="http://schemas.openxmlformats.org/officeDocument/2006/relationships/hyperlink" Target="https://creativecommons.org/licenses/by-nc/4.0/" TargetMode="External"/><Relationship Id="rId2253" Type="http://schemas.openxmlformats.org/officeDocument/2006/relationships/hyperlink" Target="https://www.inaturalist.org/observations/366921875" TargetMode="External"/><Relationship Id="rId2254" Type="http://schemas.openxmlformats.org/officeDocument/2006/relationships/hyperlink" Target="https://www.inaturalist.org/people/zouldiego" TargetMode="External"/><Relationship Id="rId2255" Type="http://schemas.openxmlformats.org/officeDocument/2006/relationships/hyperlink" Target="https://creativecommons.org/licenses/by-nc/4.0/" TargetMode="External"/><Relationship Id="rId2256" Type="http://schemas.openxmlformats.org/officeDocument/2006/relationships/hyperlink" Target="https://www.inaturalist.org/observations/366590406" TargetMode="External"/><Relationship Id="rId2257" Type="http://schemas.openxmlformats.org/officeDocument/2006/relationships/hyperlink" Target="https://www.inaturalist.org/people/sandboa" TargetMode="External"/><Relationship Id="rId2258" Type="http://schemas.openxmlformats.org/officeDocument/2006/relationships/hyperlink" Target="https://creativecommons.org/licenses/by-nc/4.0/" TargetMode="External"/><Relationship Id="rId2259" Type="http://schemas.openxmlformats.org/officeDocument/2006/relationships/hyperlink" Target="https://www.inaturalist.org/observations/366481723" TargetMode="External"/><Relationship Id="rId2260" Type="http://schemas.openxmlformats.org/officeDocument/2006/relationships/hyperlink" Target="https://www.inaturalist.org/people/albert-leaflovesafari" TargetMode="External"/><Relationship Id="rId2261" Type="http://schemas.openxmlformats.org/officeDocument/2006/relationships/hyperlink" Target="https://creativecommons.org/licenses/by-nc/4.0/" TargetMode="External"/><Relationship Id="rId2262" Type="http://schemas.openxmlformats.org/officeDocument/2006/relationships/hyperlink" Target="https://www.inaturalist.org/observations/364286586" TargetMode="External"/><Relationship Id="rId2263" Type="http://schemas.openxmlformats.org/officeDocument/2006/relationships/hyperlink" Target="https://www.inaturalist.org/people/calamity_jane808" TargetMode="External"/><Relationship Id="rId2264" Type="http://schemas.openxmlformats.org/officeDocument/2006/relationships/hyperlink" Target="https://creativecommons.org/licenses/by-nc/4.0/" TargetMode="External"/><Relationship Id="rId2265" Type="http://schemas.openxmlformats.org/officeDocument/2006/relationships/hyperlink" Target="https://www.inaturalist.org/observations/362569779" TargetMode="External"/><Relationship Id="rId2266" Type="http://schemas.openxmlformats.org/officeDocument/2006/relationships/hyperlink" Target="https://www.inaturalist.org/people/danielblanco521" TargetMode="External"/><Relationship Id="rId2267" Type="http://schemas.openxmlformats.org/officeDocument/2006/relationships/hyperlink" Target="https://creativecommons.org/licenses/by-nc/4.0/" TargetMode="External"/><Relationship Id="rId2268" Type="http://schemas.openxmlformats.org/officeDocument/2006/relationships/hyperlink" Target="https://www.inaturalist.org/observations/361056200" TargetMode="External"/><Relationship Id="rId2269" Type="http://schemas.openxmlformats.org/officeDocument/2006/relationships/hyperlink" Target="https://www.inaturalist.org/people/danielblanco521" TargetMode="External"/><Relationship Id="rId2270" Type="http://schemas.openxmlformats.org/officeDocument/2006/relationships/hyperlink" Target="https://creativecommons.org/licenses/by-nc/4.0/" TargetMode="External"/><Relationship Id="rId2271" Type="http://schemas.openxmlformats.org/officeDocument/2006/relationships/hyperlink" Target="https://www.inaturalist.org/observations/361027596" TargetMode="External"/><Relationship Id="rId2272" Type="http://schemas.openxmlformats.org/officeDocument/2006/relationships/hyperlink" Target="https://www.inaturalist.org/people/sophiegp" TargetMode="External"/><Relationship Id="rId2273" Type="http://schemas.openxmlformats.org/officeDocument/2006/relationships/hyperlink" Target="https://creativecommons.org/licenses/by-nc/4.0/" TargetMode="External"/><Relationship Id="rId2274" Type="http://schemas.openxmlformats.org/officeDocument/2006/relationships/hyperlink" Target="https://www.inaturalist.org/observations/360961451" TargetMode="External"/><Relationship Id="rId2275" Type="http://schemas.openxmlformats.org/officeDocument/2006/relationships/hyperlink" Target="https://www.inaturalist.org/people/tmcroydon2002" TargetMode="External"/><Relationship Id="rId2276" Type="http://schemas.openxmlformats.org/officeDocument/2006/relationships/hyperlink" Target="https://creativecommons.org/licenses/by-nc/4.0/" TargetMode="External"/><Relationship Id="rId2277" Type="http://schemas.openxmlformats.org/officeDocument/2006/relationships/hyperlink" Target="https://www.inaturalist.org/observations/360797519" TargetMode="External"/><Relationship Id="rId2278" Type="http://schemas.openxmlformats.org/officeDocument/2006/relationships/hyperlink" Target="https://www.inaturalist.org/people/waelbenaba" TargetMode="External"/><Relationship Id="rId2279" Type="http://schemas.openxmlformats.org/officeDocument/2006/relationships/hyperlink" Target="https://creativecommons.org/licenses/by-nc/4.0/" TargetMode="External"/><Relationship Id="rId2280" Type="http://schemas.openxmlformats.org/officeDocument/2006/relationships/hyperlink" Target="https://www.inaturalist.org/observations/360379603" TargetMode="External"/><Relationship Id="rId2281" Type="http://schemas.openxmlformats.org/officeDocument/2006/relationships/hyperlink" Target="https://www.inaturalist.org/people/waelbenaba" TargetMode="External"/><Relationship Id="rId2282" Type="http://schemas.openxmlformats.org/officeDocument/2006/relationships/hyperlink" Target="https://creativecommons.org/licenses/by-nc/4.0/" TargetMode="External"/><Relationship Id="rId2283" Type="http://schemas.openxmlformats.org/officeDocument/2006/relationships/hyperlink" Target="https://www.inaturalist.org/observations/360369705" TargetMode="External"/><Relationship Id="rId2284" Type="http://schemas.openxmlformats.org/officeDocument/2006/relationships/hyperlink" Target="https://www.inaturalist.org/people/tmcroydon2002" TargetMode="External"/><Relationship Id="rId2285" Type="http://schemas.openxmlformats.org/officeDocument/2006/relationships/hyperlink" Target="https://creativecommons.org/licenses/by-nc/4.0/" TargetMode="External"/><Relationship Id="rId2286" Type="http://schemas.openxmlformats.org/officeDocument/2006/relationships/hyperlink" Target="https://www.inaturalist.org/observations/358633001" TargetMode="External"/><Relationship Id="rId2287" Type="http://schemas.openxmlformats.org/officeDocument/2006/relationships/hyperlink" Target="https://www.inaturalist.org/people/nicole27903" TargetMode="External"/><Relationship Id="rId2288" Type="http://schemas.openxmlformats.org/officeDocument/2006/relationships/hyperlink" Target="https://creativecommons.org/licenses/by-nc/4.0/" TargetMode="External"/><Relationship Id="rId2289" Type="http://schemas.openxmlformats.org/officeDocument/2006/relationships/hyperlink" Target="https://www.inaturalist.org/observations/356550940" TargetMode="External"/><Relationship Id="rId2290" Type="http://schemas.openxmlformats.org/officeDocument/2006/relationships/hyperlink" Target="https://www.inaturalist.org/people/hasenzahn" TargetMode="External"/><Relationship Id="rId2291" Type="http://schemas.openxmlformats.org/officeDocument/2006/relationships/hyperlink" Target="https://creativecommons.org/licenses/by-nc/4.0/" TargetMode="External"/><Relationship Id="rId2292" Type="http://schemas.openxmlformats.org/officeDocument/2006/relationships/hyperlink" Target="https://www.inaturalist.org/observations/357851949" TargetMode="External"/><Relationship Id="rId2293" Type="http://schemas.openxmlformats.org/officeDocument/2006/relationships/hyperlink" Target="https://www.inaturalist.org/people/hasenzahn" TargetMode="External"/><Relationship Id="rId2294" Type="http://schemas.openxmlformats.org/officeDocument/2006/relationships/hyperlink" Target="https://creativecommons.org/licenses/by-nc/4.0/" TargetMode="External"/><Relationship Id="rId2295" Type="http://schemas.openxmlformats.org/officeDocument/2006/relationships/hyperlink" Target="https://www.inaturalist.org/observations/355474330" TargetMode="External"/><Relationship Id="rId2296" Type="http://schemas.openxmlformats.org/officeDocument/2006/relationships/hyperlink" Target="https://www.inaturalist.org/people/juliencw" TargetMode="External"/><Relationship Id="rId2297" Type="http://schemas.openxmlformats.org/officeDocument/2006/relationships/hyperlink" Target="https://creativecommons.org/licenses/by-nc/4.0/" TargetMode="External"/><Relationship Id="rId2298" Type="http://schemas.openxmlformats.org/officeDocument/2006/relationships/hyperlink" Target="https://www.inaturalist.org/observations/353274211" TargetMode="External"/><Relationship Id="rId2299" Type="http://schemas.openxmlformats.org/officeDocument/2006/relationships/hyperlink" Target="https://www.inaturalist.org/people/gremlinteeth" TargetMode="External"/><Relationship Id="rId2300" Type="http://schemas.openxmlformats.org/officeDocument/2006/relationships/hyperlink" Target="https://creativecommons.org/licenses/by-nc/4.0/" TargetMode="External"/><Relationship Id="rId2301" Type="http://schemas.openxmlformats.org/officeDocument/2006/relationships/hyperlink" Target="https://www.inaturalist.org/observations/379612010" TargetMode="External"/><Relationship Id="rId2302" Type="http://schemas.openxmlformats.org/officeDocument/2006/relationships/hyperlink" Target="https://www.inaturalist.org/people/erebus_odora" TargetMode="External"/><Relationship Id="rId2303" Type="http://schemas.openxmlformats.org/officeDocument/2006/relationships/hyperlink" Target="https://creativecommons.org/licenses/by-nc/4.0/" TargetMode="External"/><Relationship Id="rId2304" Type="http://schemas.openxmlformats.org/officeDocument/2006/relationships/hyperlink" Target="https://www.inaturalist.org/observations/379492740" TargetMode="External"/><Relationship Id="rId2305" Type="http://schemas.openxmlformats.org/officeDocument/2006/relationships/hyperlink" Target="https://www.inaturalist.org/people/erebus_odora" TargetMode="External"/><Relationship Id="rId2306" Type="http://schemas.openxmlformats.org/officeDocument/2006/relationships/hyperlink" Target="https://creativecommons.org/licenses/by-nc/4.0/" TargetMode="External"/><Relationship Id="rId2307" Type="http://schemas.openxmlformats.org/officeDocument/2006/relationships/hyperlink" Target="https://www.inaturalist.org/observations/379492717" TargetMode="External"/><Relationship Id="rId2308" Type="http://schemas.openxmlformats.org/officeDocument/2006/relationships/hyperlink" Target="https://www.inaturalist.org/people/erebus_odora" TargetMode="External"/><Relationship Id="rId2309" Type="http://schemas.openxmlformats.org/officeDocument/2006/relationships/hyperlink" Target="https://creativecommons.org/licenses/by-nc/4.0/" TargetMode="External"/><Relationship Id="rId2310" Type="http://schemas.openxmlformats.org/officeDocument/2006/relationships/hyperlink" Target="https://www.inaturalist.org/observations/379492508" TargetMode="External"/><Relationship Id="rId2311" Type="http://schemas.openxmlformats.org/officeDocument/2006/relationships/hyperlink" Target="https://www.inaturalist.org/people/jeremy52048" TargetMode="External"/><Relationship Id="rId2312" Type="http://schemas.openxmlformats.org/officeDocument/2006/relationships/hyperlink" Target="https://creativecommons.org/licenses/by-nc/4.0/" TargetMode="External"/><Relationship Id="rId2313" Type="http://schemas.openxmlformats.org/officeDocument/2006/relationships/hyperlink" Target="https://www.inaturalist.org/observations/379265375" TargetMode="External"/><Relationship Id="rId2314" Type="http://schemas.openxmlformats.org/officeDocument/2006/relationships/hyperlink" Target="https://www.inaturalist.org/people/kathyguerra25" TargetMode="External"/><Relationship Id="rId2315" Type="http://schemas.openxmlformats.org/officeDocument/2006/relationships/hyperlink" Target="https://creativecommons.org/licenses/by-nc/4.0/" TargetMode="External"/><Relationship Id="rId2316" Type="http://schemas.openxmlformats.org/officeDocument/2006/relationships/hyperlink" Target="https://www.inaturalist.org/observations/379262822" TargetMode="External"/><Relationship Id="rId2317" Type="http://schemas.openxmlformats.org/officeDocument/2006/relationships/hyperlink" Target="https://www.inaturalist.org/people/kathyguerra25" TargetMode="External"/><Relationship Id="rId2318" Type="http://schemas.openxmlformats.org/officeDocument/2006/relationships/hyperlink" Target="https://creativecommons.org/licenses/by-nc/4.0/" TargetMode="External"/><Relationship Id="rId2319" Type="http://schemas.openxmlformats.org/officeDocument/2006/relationships/hyperlink" Target="https://www.inaturalist.org/observations/379262553" TargetMode="External"/><Relationship Id="rId2320" Type="http://schemas.openxmlformats.org/officeDocument/2006/relationships/hyperlink" Target="https://www.inaturalist.org/people/michaela-ann" TargetMode="External"/><Relationship Id="rId2321" Type="http://schemas.openxmlformats.org/officeDocument/2006/relationships/hyperlink" Target="https://creativecommons.org/licenses/by-nc/4.0/" TargetMode="External"/><Relationship Id="rId2322" Type="http://schemas.openxmlformats.org/officeDocument/2006/relationships/hyperlink" Target="https://www.inaturalist.org/observations/379239430" TargetMode="External"/><Relationship Id="rId2323" Type="http://schemas.openxmlformats.org/officeDocument/2006/relationships/hyperlink" Target="https://www.inaturalist.org/people/benjamin_k_603" TargetMode="External"/><Relationship Id="rId2324" Type="http://schemas.openxmlformats.org/officeDocument/2006/relationships/hyperlink" Target="https://creativecommons.org/licenses/by-nc/4.0/" TargetMode="External"/><Relationship Id="rId2325" Type="http://schemas.openxmlformats.org/officeDocument/2006/relationships/hyperlink" Target="https://www.inaturalist.org/observations/379214607" TargetMode="External"/><Relationship Id="rId2326" Type="http://schemas.openxmlformats.org/officeDocument/2006/relationships/hyperlink" Target="https://www.inaturalist.org/people/michele86005" TargetMode="External"/><Relationship Id="rId2327" Type="http://schemas.openxmlformats.org/officeDocument/2006/relationships/hyperlink" Target="https://creativecommons.org/licenses/by-nc/4.0/" TargetMode="External"/><Relationship Id="rId2328" Type="http://schemas.openxmlformats.org/officeDocument/2006/relationships/hyperlink" Target="https://www.inaturalist.org/observations/379147545" TargetMode="External"/><Relationship Id="rId2329" Type="http://schemas.openxmlformats.org/officeDocument/2006/relationships/hyperlink" Target="https://www.inaturalist.org/people/hopemielke" TargetMode="External"/><Relationship Id="rId2330" Type="http://schemas.openxmlformats.org/officeDocument/2006/relationships/hyperlink" Target="https://creativecommons.org/licenses/by-nc/4.0/" TargetMode="External"/><Relationship Id="rId2331" Type="http://schemas.openxmlformats.org/officeDocument/2006/relationships/hyperlink" Target="https://www.inaturalist.org/observations/379130538" TargetMode="External"/><Relationship Id="rId2332" Type="http://schemas.openxmlformats.org/officeDocument/2006/relationships/hyperlink" Target="https://www.inaturalist.org/people/tdad" TargetMode="External"/><Relationship Id="rId2333" Type="http://schemas.openxmlformats.org/officeDocument/2006/relationships/hyperlink" Target="https://creativecommons.org/licenses/by-nc/4.0/" TargetMode="External"/><Relationship Id="rId2334" Type="http://schemas.openxmlformats.org/officeDocument/2006/relationships/hyperlink" Target="https://www.inaturalist.org/observations/379044768" TargetMode="External"/><Relationship Id="rId2335" Type="http://schemas.openxmlformats.org/officeDocument/2006/relationships/hyperlink" Target="https://www.inaturalist.org/people/adamstinks" TargetMode="External"/><Relationship Id="rId2336" Type="http://schemas.openxmlformats.org/officeDocument/2006/relationships/hyperlink" Target="https://creativecommons.org/licenses/by-nc/4.0/" TargetMode="External"/><Relationship Id="rId2337" Type="http://schemas.openxmlformats.org/officeDocument/2006/relationships/hyperlink" Target="https://www.inaturalist.org/observations/378987535" TargetMode="External"/><Relationship Id="rId2338" Type="http://schemas.openxmlformats.org/officeDocument/2006/relationships/hyperlink" Target="https://www.inaturalist.org/people/mermaidmagic" TargetMode="External"/><Relationship Id="rId2339" Type="http://schemas.openxmlformats.org/officeDocument/2006/relationships/hyperlink" Target="https://creativecommons.org/licenses/by-nc/4.0/" TargetMode="External"/><Relationship Id="rId2340" Type="http://schemas.openxmlformats.org/officeDocument/2006/relationships/hyperlink" Target="https://www.inaturalist.org/observations/378978726" TargetMode="External"/><Relationship Id="rId2341" Type="http://schemas.openxmlformats.org/officeDocument/2006/relationships/hyperlink" Target="https://www.inaturalist.org/people/life_observer" TargetMode="External"/><Relationship Id="rId2342" Type="http://schemas.openxmlformats.org/officeDocument/2006/relationships/hyperlink" Target="https://creativecommons.org/licenses/by-nc/4.0/" TargetMode="External"/><Relationship Id="rId2343" Type="http://schemas.openxmlformats.org/officeDocument/2006/relationships/hyperlink" Target="https://www.inaturalist.org/observations/378976642" TargetMode="External"/><Relationship Id="rId2344" Type="http://schemas.openxmlformats.org/officeDocument/2006/relationships/hyperlink" Target="https://www.inaturalist.org/people/life_observer" TargetMode="External"/><Relationship Id="rId2345" Type="http://schemas.openxmlformats.org/officeDocument/2006/relationships/hyperlink" Target="https://creativecommons.org/licenses/by-nc/4.0/" TargetMode="External"/><Relationship Id="rId2346" Type="http://schemas.openxmlformats.org/officeDocument/2006/relationships/hyperlink" Target="https://www.inaturalist.org/observations/378976506" TargetMode="External"/><Relationship Id="rId2347" Type="http://schemas.openxmlformats.org/officeDocument/2006/relationships/hyperlink" Target="https://www.inaturalist.org/people/trishx" TargetMode="External"/><Relationship Id="rId2348" Type="http://schemas.openxmlformats.org/officeDocument/2006/relationships/hyperlink" Target="https://creativecommons.org/licenses/by-nc/4.0/" TargetMode="External"/><Relationship Id="rId2349" Type="http://schemas.openxmlformats.org/officeDocument/2006/relationships/hyperlink" Target="https://www.inaturalist.org/observations/378940972" TargetMode="External"/><Relationship Id="rId2350" Type="http://schemas.openxmlformats.org/officeDocument/2006/relationships/hyperlink" Target="https://www.inaturalist.org/people/howder" TargetMode="External"/><Relationship Id="rId2351" Type="http://schemas.openxmlformats.org/officeDocument/2006/relationships/hyperlink" Target="https://creativecommons.org/licenses/by-nc/4.0/" TargetMode="External"/><Relationship Id="rId2352" Type="http://schemas.openxmlformats.org/officeDocument/2006/relationships/hyperlink" Target="https://www.inaturalist.org/observations/378914368" TargetMode="External"/><Relationship Id="rId2353" Type="http://schemas.openxmlformats.org/officeDocument/2006/relationships/hyperlink" Target="https://www.inaturalist.org/people/seanconway2" TargetMode="External"/><Relationship Id="rId2354" Type="http://schemas.openxmlformats.org/officeDocument/2006/relationships/hyperlink" Target="https://creativecommons.org/licenses/by-nc/4.0/" TargetMode="External"/><Relationship Id="rId2355" Type="http://schemas.openxmlformats.org/officeDocument/2006/relationships/hyperlink" Target="https://www.inaturalist.org/observations/378680761" TargetMode="External"/><Relationship Id="rId2356" Type="http://schemas.openxmlformats.org/officeDocument/2006/relationships/hyperlink" Target="https://www.inaturalist.org/people/roobydoo" TargetMode="External"/><Relationship Id="rId2357" Type="http://schemas.openxmlformats.org/officeDocument/2006/relationships/hyperlink" Target="https://creativecommons.org/licenses/by-nc/4.0/" TargetMode="External"/><Relationship Id="rId2358" Type="http://schemas.openxmlformats.org/officeDocument/2006/relationships/hyperlink" Target="https://www.inaturalist.org/observations/378237585" TargetMode="External"/><Relationship Id="rId2359" Type="http://schemas.openxmlformats.org/officeDocument/2006/relationships/hyperlink" Target="https://www.inaturalist.org/people/erebus_odora" TargetMode="External"/><Relationship Id="rId2360" Type="http://schemas.openxmlformats.org/officeDocument/2006/relationships/hyperlink" Target="https://creativecommons.org/licenses/by-nc/4.0/" TargetMode="External"/><Relationship Id="rId2361" Type="http://schemas.openxmlformats.org/officeDocument/2006/relationships/hyperlink" Target="https://www.inaturalist.org/observations/377842262" TargetMode="External"/><Relationship Id="rId2362" Type="http://schemas.openxmlformats.org/officeDocument/2006/relationships/hyperlink" Target="https://www.inaturalist.org/people/howder" TargetMode="External"/><Relationship Id="rId2363" Type="http://schemas.openxmlformats.org/officeDocument/2006/relationships/hyperlink" Target="https://creativecommons.org/licenses/by-nc/4.0/" TargetMode="External"/><Relationship Id="rId2364" Type="http://schemas.openxmlformats.org/officeDocument/2006/relationships/hyperlink" Target="https://www.inaturalist.org/observations/377633912" TargetMode="External"/><Relationship Id="rId2365" Type="http://schemas.openxmlformats.org/officeDocument/2006/relationships/hyperlink" Target="https://www.inaturalist.org/people/korbynhoerner" TargetMode="External"/><Relationship Id="rId2366" Type="http://schemas.openxmlformats.org/officeDocument/2006/relationships/hyperlink" Target="https://creativecommons.org/licenses/by-nc/4.0/" TargetMode="External"/><Relationship Id="rId2367" Type="http://schemas.openxmlformats.org/officeDocument/2006/relationships/hyperlink" Target="https://www.inaturalist.org/observations/377608828" TargetMode="External"/><Relationship Id="rId2368" Type="http://schemas.openxmlformats.org/officeDocument/2006/relationships/hyperlink" Target="https://www.inaturalist.org/people/hsampson96" TargetMode="External"/><Relationship Id="rId2369" Type="http://schemas.openxmlformats.org/officeDocument/2006/relationships/hyperlink" Target="https://creativecommons.org/licenses/by-nc/4.0/" TargetMode="External"/><Relationship Id="rId2370" Type="http://schemas.openxmlformats.org/officeDocument/2006/relationships/hyperlink" Target="https://www.inaturalist.org/observations/377551951" TargetMode="External"/><Relationship Id="rId2371" Type="http://schemas.openxmlformats.org/officeDocument/2006/relationships/hyperlink" Target="https://www.inaturalist.org/people/lguindon" TargetMode="External"/><Relationship Id="rId2372" Type="http://schemas.openxmlformats.org/officeDocument/2006/relationships/hyperlink" Target="https://creativecommons.org/licenses/by-nc/4.0/" TargetMode="External"/><Relationship Id="rId2373" Type="http://schemas.openxmlformats.org/officeDocument/2006/relationships/hyperlink" Target="https://www.inaturalist.org/observations/377548938" TargetMode="External"/><Relationship Id="rId2374" Type="http://schemas.openxmlformats.org/officeDocument/2006/relationships/hyperlink" Target="https://www.inaturalist.org/people/sarek05" TargetMode="External"/><Relationship Id="rId2375" Type="http://schemas.openxmlformats.org/officeDocument/2006/relationships/hyperlink" Target="https://creativecommons.org/licenses/by-nc/4.0/" TargetMode="External"/><Relationship Id="rId2376" Type="http://schemas.openxmlformats.org/officeDocument/2006/relationships/hyperlink" Target="https://www.inaturalist.org/observations/377259796" TargetMode="External"/><Relationship Id="rId2377" Type="http://schemas.openxmlformats.org/officeDocument/2006/relationships/hyperlink" Target="https://www.inaturalist.org/people/timbir5" TargetMode="External"/><Relationship Id="rId2378" Type="http://schemas.openxmlformats.org/officeDocument/2006/relationships/hyperlink" Target="https://creativecommons.org/licenses/by-nc/4.0/" TargetMode="External"/><Relationship Id="rId2379" Type="http://schemas.openxmlformats.org/officeDocument/2006/relationships/hyperlink" Target="https://www.inaturalist.org/observations/377182829" TargetMode="External"/><Relationship Id="rId2380" Type="http://schemas.openxmlformats.org/officeDocument/2006/relationships/hyperlink" Target="https://www.inaturalist.org/people/juliencw" TargetMode="External"/><Relationship Id="rId2381" Type="http://schemas.openxmlformats.org/officeDocument/2006/relationships/hyperlink" Target="https://creativecommons.org/licenses/by-nc/4.0/" TargetMode="External"/><Relationship Id="rId2382" Type="http://schemas.openxmlformats.org/officeDocument/2006/relationships/hyperlink" Target="https://www.inaturalist.org/observations/377045661" TargetMode="External"/><Relationship Id="rId2383" Type="http://schemas.openxmlformats.org/officeDocument/2006/relationships/hyperlink" Target="https://www.inaturalist.org/people/ava_buxton" TargetMode="External"/><Relationship Id="rId2384" Type="http://schemas.openxmlformats.org/officeDocument/2006/relationships/hyperlink" Target="https://creativecommons.org/licenses/by-nc/4.0/" TargetMode="External"/><Relationship Id="rId2385" Type="http://schemas.openxmlformats.org/officeDocument/2006/relationships/hyperlink" Target="https://www.inaturalist.org/observations/377035594" TargetMode="External"/><Relationship Id="rId2386" Type="http://schemas.openxmlformats.org/officeDocument/2006/relationships/hyperlink" Target="https://www.inaturalist.org/people/max_gus_minnie" TargetMode="External"/><Relationship Id="rId2387" Type="http://schemas.openxmlformats.org/officeDocument/2006/relationships/hyperlink" Target="https://creativecommons.org/licenses/by-nc/4.0/" TargetMode="External"/><Relationship Id="rId2388" Type="http://schemas.openxmlformats.org/officeDocument/2006/relationships/hyperlink" Target="https://www.inaturalist.org/observations/376940959" TargetMode="External"/><Relationship Id="rId2389" Type="http://schemas.openxmlformats.org/officeDocument/2006/relationships/hyperlink" Target="https://www.inaturalist.org/people/slkalish" TargetMode="External"/><Relationship Id="rId2390" Type="http://schemas.openxmlformats.org/officeDocument/2006/relationships/hyperlink" Target="https://creativecommons.org/licenses/by-nc/4.0/" TargetMode="External"/><Relationship Id="rId2391" Type="http://schemas.openxmlformats.org/officeDocument/2006/relationships/hyperlink" Target="https://www.inaturalist.org/observations/376873282" TargetMode="External"/><Relationship Id="rId2392" Type="http://schemas.openxmlformats.org/officeDocument/2006/relationships/hyperlink" Target="https://www.inaturalist.org/people/mathieu_dmf" TargetMode="External"/><Relationship Id="rId2393" Type="http://schemas.openxmlformats.org/officeDocument/2006/relationships/hyperlink" Target="https://creativecommons.org/licenses/by-nc/4.0/" TargetMode="External"/><Relationship Id="rId2394" Type="http://schemas.openxmlformats.org/officeDocument/2006/relationships/hyperlink" Target="https://www.inaturalist.org/observations/376852948" TargetMode="External"/><Relationship Id="rId2395" Type="http://schemas.openxmlformats.org/officeDocument/2006/relationships/hyperlink" Target="https://www.inaturalist.org/people/friendofafern" TargetMode="External"/><Relationship Id="rId2396" Type="http://schemas.openxmlformats.org/officeDocument/2006/relationships/hyperlink" Target="https://creativecommons.org/licenses/by-nc/4.0/" TargetMode="External"/><Relationship Id="rId2397" Type="http://schemas.openxmlformats.org/officeDocument/2006/relationships/hyperlink" Target="https://www.inaturalist.org/observations/376751959" TargetMode="External"/><Relationship Id="rId2398" Type="http://schemas.openxmlformats.org/officeDocument/2006/relationships/hyperlink" Target="https://www.inaturalist.org/people/kwat" TargetMode="External"/><Relationship Id="rId2399" Type="http://schemas.openxmlformats.org/officeDocument/2006/relationships/hyperlink" Target="https://creativecommons.org/licenses/by-nc/4.0/" TargetMode="External"/><Relationship Id="rId2400" Type="http://schemas.openxmlformats.org/officeDocument/2006/relationships/hyperlink" Target="https://www.inaturalist.org/observations/376735536" TargetMode="External"/><Relationship Id="rId2401" Type="http://schemas.openxmlformats.org/officeDocument/2006/relationships/hyperlink" Target="https://www.inaturalist.org/people/sethalopod" TargetMode="External"/><Relationship Id="rId2402" Type="http://schemas.openxmlformats.org/officeDocument/2006/relationships/hyperlink" Target="https://creativecommons.org/licenses/by-nc/4.0/" TargetMode="External"/><Relationship Id="rId2403" Type="http://schemas.openxmlformats.org/officeDocument/2006/relationships/hyperlink" Target="https://www.inaturalist.org/observations/376431074" TargetMode="External"/><Relationship Id="rId2404" Type="http://schemas.openxmlformats.org/officeDocument/2006/relationships/hyperlink" Target="https://www.inaturalist.org/people/kjaeger" TargetMode="External"/><Relationship Id="rId2405" Type="http://schemas.openxmlformats.org/officeDocument/2006/relationships/hyperlink" Target="https://creativecommons.org/licenses/by-nc/4.0/" TargetMode="External"/><Relationship Id="rId2406" Type="http://schemas.openxmlformats.org/officeDocument/2006/relationships/hyperlink" Target="https://www.inaturalist.org/observations/376810412" TargetMode="External"/><Relationship Id="rId2407" Type="http://schemas.openxmlformats.org/officeDocument/2006/relationships/hyperlink" Target="https://www.inaturalist.org/people/forosix" TargetMode="External"/><Relationship Id="rId2408" Type="http://schemas.openxmlformats.org/officeDocument/2006/relationships/hyperlink" Target="https://creativecommons.org/licenses/by-nc/4.0/" TargetMode="External"/><Relationship Id="rId2409" Type="http://schemas.openxmlformats.org/officeDocument/2006/relationships/hyperlink" Target="https://www.inaturalist.org/observations/371864866" TargetMode="External"/><Relationship Id="rId2410" Type="http://schemas.openxmlformats.org/officeDocument/2006/relationships/hyperlink" Target="https://www.inaturalist.org/people/cwlonie" TargetMode="External"/><Relationship Id="rId2411" Type="http://schemas.openxmlformats.org/officeDocument/2006/relationships/hyperlink" Target="https://creativecommons.org/licenses/by-nc/4.0/" TargetMode="External"/><Relationship Id="rId2412" Type="http://schemas.openxmlformats.org/officeDocument/2006/relationships/hyperlink" Target="https://www.inaturalist.org/observations/371533808" TargetMode="External"/><Relationship Id="rId2413" Type="http://schemas.openxmlformats.org/officeDocument/2006/relationships/hyperlink" Target="https://www.inaturalist.org/people/chrihi" TargetMode="External"/><Relationship Id="rId2414" Type="http://schemas.openxmlformats.org/officeDocument/2006/relationships/hyperlink" Target="https://creativecommons.org/licenses/by-nc/4.0/" TargetMode="External"/><Relationship Id="rId2415" Type="http://schemas.openxmlformats.org/officeDocument/2006/relationships/hyperlink" Target="https://www.inaturalist.org/observations/371529790" TargetMode="External"/><Relationship Id="rId2416" Type="http://schemas.openxmlformats.org/officeDocument/2006/relationships/hyperlink" Target="https://www.inaturalist.org/people/chrihi" TargetMode="External"/><Relationship Id="rId2417" Type="http://schemas.openxmlformats.org/officeDocument/2006/relationships/hyperlink" Target="https://creativecommons.org/licenses/by-nc/4.0/" TargetMode="External"/><Relationship Id="rId2418" Type="http://schemas.openxmlformats.org/officeDocument/2006/relationships/hyperlink" Target="https://www.inaturalist.org/observations/371529790" TargetMode="External"/><Relationship Id="rId2419" Type="http://schemas.openxmlformats.org/officeDocument/2006/relationships/hyperlink" Target="https://www.inaturalist.org/people/jsulan" TargetMode="External"/><Relationship Id="rId2420" Type="http://schemas.openxmlformats.org/officeDocument/2006/relationships/hyperlink" Target="https://creativecommons.org/licenses/by-nc/4.0/" TargetMode="External"/><Relationship Id="rId2421" Type="http://schemas.openxmlformats.org/officeDocument/2006/relationships/hyperlink" Target="https://www.inaturalist.org/observations/370623596" TargetMode="External"/><Relationship Id="rId2422" Type="http://schemas.openxmlformats.org/officeDocument/2006/relationships/hyperlink" Target="https://www.inaturalist.org/people/naturalistchu" TargetMode="External"/><Relationship Id="rId2423" Type="http://schemas.openxmlformats.org/officeDocument/2006/relationships/hyperlink" Target="https://creativecommons.org/licenses/by-nc/4.0/" TargetMode="External"/><Relationship Id="rId2424" Type="http://schemas.openxmlformats.org/officeDocument/2006/relationships/hyperlink" Target="https://www.inaturalist.org/observations/370602692" TargetMode="External"/><Relationship Id="rId2425" Type="http://schemas.openxmlformats.org/officeDocument/2006/relationships/hyperlink" Target="https://www.inaturalist.org/people/naturalistchu" TargetMode="External"/><Relationship Id="rId2426" Type="http://schemas.openxmlformats.org/officeDocument/2006/relationships/hyperlink" Target="https://creativecommons.org/licenses/by-nc/4.0/" TargetMode="External"/><Relationship Id="rId2427" Type="http://schemas.openxmlformats.org/officeDocument/2006/relationships/hyperlink" Target="https://www.inaturalist.org/observations/370602692" TargetMode="External"/><Relationship Id="rId2428" Type="http://schemas.openxmlformats.org/officeDocument/2006/relationships/hyperlink" Target="https://www.inaturalist.org/people/silversea_starsong" TargetMode="External"/><Relationship Id="rId2429" Type="http://schemas.openxmlformats.org/officeDocument/2006/relationships/hyperlink" Target="https://creativecommons.org/licenses/by-nc/4.0/" TargetMode="External"/><Relationship Id="rId2430" Type="http://schemas.openxmlformats.org/officeDocument/2006/relationships/hyperlink" Target="https://www.inaturalist.org/observations/363521200" TargetMode="External"/><Relationship Id="rId2431" Type="http://schemas.openxmlformats.org/officeDocument/2006/relationships/hyperlink" Target="https://www.inaturalist.org/people/silversea_starsong" TargetMode="External"/><Relationship Id="rId2432" Type="http://schemas.openxmlformats.org/officeDocument/2006/relationships/hyperlink" Target="https://creativecommons.org/licenses/by-nc/4.0/" TargetMode="External"/><Relationship Id="rId2433" Type="http://schemas.openxmlformats.org/officeDocument/2006/relationships/hyperlink" Target="https://www.inaturalist.org/observations/363521200" TargetMode="External"/><Relationship Id="rId2434" Type="http://schemas.openxmlformats.org/officeDocument/2006/relationships/hyperlink" Target="https://www.inaturalist.org/people/ormr" TargetMode="External"/><Relationship Id="rId2435" Type="http://schemas.openxmlformats.org/officeDocument/2006/relationships/hyperlink" Target="https://creativecommons.org/licenses/by-nc/4.0/" TargetMode="External"/><Relationship Id="rId2436" Type="http://schemas.openxmlformats.org/officeDocument/2006/relationships/hyperlink" Target="https://www.inaturalist.org/observations/357971573" TargetMode="External"/><Relationship Id="rId2437" Type="http://schemas.openxmlformats.org/officeDocument/2006/relationships/hyperlink" Target="https://www.inaturalist.org/people/rietlex" TargetMode="External"/><Relationship Id="rId2438" Type="http://schemas.openxmlformats.org/officeDocument/2006/relationships/hyperlink" Target="https://creativecommons.org/licenses/by-nc/4.0/" TargetMode="External"/><Relationship Id="rId2439" Type="http://schemas.openxmlformats.org/officeDocument/2006/relationships/hyperlink" Target="https://www.inaturalist.org/observations/354182540" TargetMode="External"/><Relationship Id="rId2440" Type="http://schemas.openxmlformats.org/officeDocument/2006/relationships/hyperlink" Target="https://www.inaturalist.org/people/nickbuys" TargetMode="External"/><Relationship Id="rId2441" Type="http://schemas.openxmlformats.org/officeDocument/2006/relationships/hyperlink" Target="https://creativecommons.org/licenses/by-nc/4.0/" TargetMode="External"/><Relationship Id="rId2442" Type="http://schemas.openxmlformats.org/officeDocument/2006/relationships/hyperlink" Target="https://www.inaturalist.org/observations/350770666" TargetMode="External"/><Relationship Id="rId2443" Type="http://schemas.openxmlformats.org/officeDocument/2006/relationships/hyperlink" Target="https://www.inaturalist.org/people/markus_b" TargetMode="External"/><Relationship Id="rId2444" Type="http://schemas.openxmlformats.org/officeDocument/2006/relationships/hyperlink" Target="https://creativecommons.org/licenses/by-nc/4.0/" TargetMode="External"/><Relationship Id="rId2445" Type="http://schemas.openxmlformats.org/officeDocument/2006/relationships/hyperlink" Target="https://www.inaturalist.org/observations/350232820" TargetMode="External"/><Relationship Id="rId2446" Type="http://schemas.openxmlformats.org/officeDocument/2006/relationships/hyperlink" Target="https://www.inaturalist.org/people/silversea_starsong" TargetMode="External"/><Relationship Id="rId2447" Type="http://schemas.openxmlformats.org/officeDocument/2006/relationships/hyperlink" Target="https://creativecommons.org/licenses/by-nc/4.0/" TargetMode="External"/><Relationship Id="rId2448" Type="http://schemas.openxmlformats.org/officeDocument/2006/relationships/hyperlink" Target="https://www.inaturalist.org/observations/349928360" TargetMode="External"/><Relationship Id="rId2449" Type="http://schemas.openxmlformats.org/officeDocument/2006/relationships/hyperlink" Target="https://www.inaturalist.org/people/silversea_starsong" TargetMode="External"/><Relationship Id="rId2450" Type="http://schemas.openxmlformats.org/officeDocument/2006/relationships/hyperlink" Target="https://creativecommons.org/licenses/by-nc/4.0/" TargetMode="External"/><Relationship Id="rId2451" Type="http://schemas.openxmlformats.org/officeDocument/2006/relationships/hyperlink" Target="https://www.inaturalist.org/observations/349928360" TargetMode="External"/><Relationship Id="rId2452" Type="http://schemas.openxmlformats.org/officeDocument/2006/relationships/hyperlink" Target="https://www.inaturalist.org/people/silversea_starsong" TargetMode="External"/><Relationship Id="rId2453" Type="http://schemas.openxmlformats.org/officeDocument/2006/relationships/hyperlink" Target="https://creativecommons.org/licenses/by-nc/4.0/" TargetMode="External"/><Relationship Id="rId2454" Type="http://schemas.openxmlformats.org/officeDocument/2006/relationships/hyperlink" Target="https://www.inaturalist.org/observations/349864150" TargetMode="External"/><Relationship Id="rId2455" Type="http://schemas.openxmlformats.org/officeDocument/2006/relationships/hyperlink" Target="https://www.inaturalist.org/people/silversea_starsong" TargetMode="External"/><Relationship Id="rId2456" Type="http://schemas.openxmlformats.org/officeDocument/2006/relationships/hyperlink" Target="https://creativecommons.org/licenses/by-nc/4.0/" TargetMode="External"/><Relationship Id="rId2457" Type="http://schemas.openxmlformats.org/officeDocument/2006/relationships/hyperlink" Target="https://www.inaturalist.org/observations/349864150" TargetMode="External"/><Relationship Id="rId2458" Type="http://schemas.openxmlformats.org/officeDocument/2006/relationships/hyperlink" Target="https://www.inaturalist.org/people/silversea_starsong" TargetMode="External"/><Relationship Id="rId2459" Type="http://schemas.openxmlformats.org/officeDocument/2006/relationships/hyperlink" Target="https://creativecommons.org/licenses/by-nc/4.0/" TargetMode="External"/><Relationship Id="rId2460" Type="http://schemas.openxmlformats.org/officeDocument/2006/relationships/hyperlink" Target="https://www.inaturalist.org/observations/348663163" TargetMode="External"/><Relationship Id="rId2461" Type="http://schemas.openxmlformats.org/officeDocument/2006/relationships/hyperlink" Target="https://www.inaturalist.org/people/mannkaii" TargetMode="External"/><Relationship Id="rId2462" Type="http://schemas.openxmlformats.org/officeDocument/2006/relationships/hyperlink" Target="https://creativecommons.org/licenses/by-nc/4.0/" TargetMode="External"/><Relationship Id="rId2463" Type="http://schemas.openxmlformats.org/officeDocument/2006/relationships/hyperlink" Target="https://www.inaturalist.org/observations/348477003" TargetMode="External"/><Relationship Id="rId2464" Type="http://schemas.openxmlformats.org/officeDocument/2006/relationships/hyperlink" Target="https://www.inaturalist.org/people/mannkaii" TargetMode="External"/><Relationship Id="rId2465" Type="http://schemas.openxmlformats.org/officeDocument/2006/relationships/hyperlink" Target="https://creativecommons.org/licenses/by-nc/4.0/" TargetMode="External"/><Relationship Id="rId2466" Type="http://schemas.openxmlformats.org/officeDocument/2006/relationships/hyperlink" Target="https://www.inaturalist.org/observations/348477003" TargetMode="External"/><Relationship Id="rId2467" Type="http://schemas.openxmlformats.org/officeDocument/2006/relationships/hyperlink" Target="https://www.inaturalist.org/people/saemmi" TargetMode="External"/><Relationship Id="rId2468" Type="http://schemas.openxmlformats.org/officeDocument/2006/relationships/hyperlink" Target="https://creativecommons.org/licenses/by-nc/4.0/" TargetMode="External"/><Relationship Id="rId2469" Type="http://schemas.openxmlformats.org/officeDocument/2006/relationships/hyperlink" Target="https://www.inaturalist.org/observations/346113856" TargetMode="External"/><Relationship Id="rId2470" Type="http://schemas.openxmlformats.org/officeDocument/2006/relationships/hyperlink" Target="https://www.inaturalist.org/people/botaneek" TargetMode="External"/><Relationship Id="rId2471" Type="http://schemas.openxmlformats.org/officeDocument/2006/relationships/hyperlink" Target="https://creativecommons.org/licenses/by-nc/4.0/" TargetMode="External"/><Relationship Id="rId2472" Type="http://schemas.openxmlformats.org/officeDocument/2006/relationships/hyperlink" Target="https://www.inaturalist.org/observations/344889080" TargetMode="External"/><Relationship Id="rId2473" Type="http://schemas.openxmlformats.org/officeDocument/2006/relationships/hyperlink" Target="https://www.inaturalist.org/people/botaneek" TargetMode="External"/><Relationship Id="rId2474" Type="http://schemas.openxmlformats.org/officeDocument/2006/relationships/hyperlink" Target="https://creativecommons.org/licenses/by-nc/4.0/" TargetMode="External"/><Relationship Id="rId2475" Type="http://schemas.openxmlformats.org/officeDocument/2006/relationships/hyperlink" Target="https://www.inaturalist.org/observations/344889080" TargetMode="External"/><Relationship Id="rId2476" Type="http://schemas.openxmlformats.org/officeDocument/2006/relationships/hyperlink" Target="https://www.inaturalist.org/people/eec2022" TargetMode="External"/><Relationship Id="rId2477" Type="http://schemas.openxmlformats.org/officeDocument/2006/relationships/hyperlink" Target="https://creativecommons.org/licenses/by-nc/4.0/" TargetMode="External"/><Relationship Id="rId2478" Type="http://schemas.openxmlformats.org/officeDocument/2006/relationships/hyperlink" Target="https://www.inaturalist.org/observations/342419219" TargetMode="External"/><Relationship Id="rId2479" Type="http://schemas.openxmlformats.org/officeDocument/2006/relationships/hyperlink" Target="https://www.inaturalist.org/people/eec2022" TargetMode="External"/><Relationship Id="rId2480" Type="http://schemas.openxmlformats.org/officeDocument/2006/relationships/hyperlink" Target="https://creativecommons.org/licenses/by-nc/4.0/" TargetMode="External"/><Relationship Id="rId2481" Type="http://schemas.openxmlformats.org/officeDocument/2006/relationships/hyperlink" Target="https://www.inaturalist.org/observations/342419219" TargetMode="External"/><Relationship Id="rId2482" Type="http://schemas.openxmlformats.org/officeDocument/2006/relationships/hyperlink" Target="https://www.inaturalist.org/people/rusik-r2d2" TargetMode="External"/><Relationship Id="rId2483" Type="http://schemas.openxmlformats.org/officeDocument/2006/relationships/hyperlink" Target="https://creativecommons.org/licenses/by-nc/4.0/" TargetMode="External"/><Relationship Id="rId2484" Type="http://schemas.openxmlformats.org/officeDocument/2006/relationships/hyperlink" Target="https://www.inaturalist.org/observations/340003122" TargetMode="External"/><Relationship Id="rId2485" Type="http://schemas.openxmlformats.org/officeDocument/2006/relationships/hyperlink" Target="https://www.inaturalist.org/people/wouterbeukema" TargetMode="External"/><Relationship Id="rId2486" Type="http://schemas.openxmlformats.org/officeDocument/2006/relationships/hyperlink" Target="https://creativecommons.org/licenses/by-nc/4.0/" TargetMode="External"/><Relationship Id="rId2487" Type="http://schemas.openxmlformats.org/officeDocument/2006/relationships/hyperlink" Target="https://www.inaturalist.org/observations/339766212" TargetMode="External"/><Relationship Id="rId2488" Type="http://schemas.openxmlformats.org/officeDocument/2006/relationships/hyperlink" Target="https://www.inaturalist.org/people/leo_gentile" TargetMode="External"/><Relationship Id="rId2489" Type="http://schemas.openxmlformats.org/officeDocument/2006/relationships/hyperlink" Target="https://creativecommons.org/licenses/by-nc/4.0/" TargetMode="External"/><Relationship Id="rId2490" Type="http://schemas.openxmlformats.org/officeDocument/2006/relationships/hyperlink" Target="https://www.inaturalist.org/observations/339701230" TargetMode="External"/><Relationship Id="rId2491" Type="http://schemas.openxmlformats.org/officeDocument/2006/relationships/hyperlink" Target="https://www.inaturalist.org/people/hollythefrog" TargetMode="External"/><Relationship Id="rId2492" Type="http://schemas.openxmlformats.org/officeDocument/2006/relationships/hyperlink" Target="https://creativecommons.org/licenses/by-nc/4.0/" TargetMode="External"/><Relationship Id="rId2493" Type="http://schemas.openxmlformats.org/officeDocument/2006/relationships/hyperlink" Target="https://www.inaturalist.org/observations/334457944" TargetMode="External"/><Relationship Id="rId2494" Type="http://schemas.openxmlformats.org/officeDocument/2006/relationships/hyperlink" Target="https://www.inaturalist.org/people/hollythefrog" TargetMode="External"/><Relationship Id="rId2495" Type="http://schemas.openxmlformats.org/officeDocument/2006/relationships/hyperlink" Target="https://creativecommons.org/licenses/by-nc/4.0/" TargetMode="External"/><Relationship Id="rId2496" Type="http://schemas.openxmlformats.org/officeDocument/2006/relationships/hyperlink" Target="https://www.inaturalist.org/observations/334457921" TargetMode="External"/><Relationship Id="rId2497" Type="http://schemas.openxmlformats.org/officeDocument/2006/relationships/hyperlink" Target="https://www.inaturalist.org/people/merec0" TargetMode="External"/><Relationship Id="rId2498" Type="http://schemas.openxmlformats.org/officeDocument/2006/relationships/hyperlink" Target="https://creativecommons.org/licenses/by-nc/4.0/" TargetMode="External"/><Relationship Id="rId2499" Type="http://schemas.openxmlformats.org/officeDocument/2006/relationships/hyperlink" Target="https://www.inaturalist.org/observations/333442316" TargetMode="External"/><Relationship Id="rId2500" Type="http://schemas.openxmlformats.org/officeDocument/2006/relationships/hyperlink" Target="https://www.inaturalist.org/people/pierre" TargetMode="External"/><Relationship Id="rId2501" Type="http://schemas.openxmlformats.org/officeDocument/2006/relationships/hyperlink" Target="https://creativecommons.org/licenses/by-nc/4.0/" TargetMode="External"/><Relationship Id="rId2502" Type="http://schemas.openxmlformats.org/officeDocument/2006/relationships/hyperlink" Target="https://www.inaturalist.org/observations/332270041" TargetMode="External"/><Relationship Id="rId2503" Type="http://schemas.openxmlformats.org/officeDocument/2006/relationships/hyperlink" Target="https://www.inaturalist.org/people/angelomg" TargetMode="External"/><Relationship Id="rId2504" Type="http://schemas.openxmlformats.org/officeDocument/2006/relationships/hyperlink" Target="https://creativecommons.org/licenses/by-nc/4.0/" TargetMode="External"/><Relationship Id="rId2505" Type="http://schemas.openxmlformats.org/officeDocument/2006/relationships/hyperlink" Target="https://www.inaturalist.org/observations/329830895" TargetMode="External"/><Relationship Id="rId2506" Type="http://schemas.openxmlformats.org/officeDocument/2006/relationships/hyperlink" Target="https://www.inaturalist.org/people/aandmg" TargetMode="External"/><Relationship Id="rId2507" Type="http://schemas.openxmlformats.org/officeDocument/2006/relationships/hyperlink" Target="https://creativecommons.org/licenses/by-nc/4.0/" TargetMode="External"/><Relationship Id="rId2508" Type="http://schemas.openxmlformats.org/officeDocument/2006/relationships/hyperlink" Target="https://www.inaturalist.org/observations/328289981" TargetMode="External"/><Relationship Id="rId2509" Type="http://schemas.openxmlformats.org/officeDocument/2006/relationships/hyperlink" Target="https://www.inaturalist.org/people/fharrihill" TargetMode="External"/><Relationship Id="rId2510" Type="http://schemas.openxmlformats.org/officeDocument/2006/relationships/hyperlink" Target="https://creativecommons.org/licenses/by-nc/4.0/" TargetMode="External"/><Relationship Id="rId2511" Type="http://schemas.openxmlformats.org/officeDocument/2006/relationships/hyperlink" Target="https://www.inaturalist.org/observations/378679041" TargetMode="External"/><Relationship Id="rId2512" Type="http://schemas.openxmlformats.org/officeDocument/2006/relationships/hyperlink" Target="https://www.inaturalist.org/people/kenty_8881" TargetMode="External"/><Relationship Id="rId2513" Type="http://schemas.openxmlformats.org/officeDocument/2006/relationships/hyperlink" Target="https://creativecommons.org/licenses/by-nc/4.0/" TargetMode="External"/><Relationship Id="rId2514" Type="http://schemas.openxmlformats.org/officeDocument/2006/relationships/hyperlink" Target="https://www.inaturalist.org/observations/368942249" TargetMode="External"/><Relationship Id="rId2515" Type="http://schemas.openxmlformats.org/officeDocument/2006/relationships/hyperlink" Target="https://www.inaturalist.org/people/lmk96" TargetMode="External"/><Relationship Id="rId2516" Type="http://schemas.openxmlformats.org/officeDocument/2006/relationships/hyperlink" Target="https://creativecommons.org/licenses/by-nc/4.0/" TargetMode="External"/><Relationship Id="rId2517" Type="http://schemas.openxmlformats.org/officeDocument/2006/relationships/hyperlink" Target="https://www.inaturalist.org/observations/361939589" TargetMode="External"/><Relationship Id="rId2518" Type="http://schemas.openxmlformats.org/officeDocument/2006/relationships/hyperlink" Target="https://www.inaturalist.org/people/lmk96" TargetMode="External"/><Relationship Id="rId2519" Type="http://schemas.openxmlformats.org/officeDocument/2006/relationships/hyperlink" Target="https://creativecommons.org/licenses/by-nc/4.0/" TargetMode="External"/><Relationship Id="rId2520" Type="http://schemas.openxmlformats.org/officeDocument/2006/relationships/hyperlink" Target="https://www.inaturalist.org/observations/361939589" TargetMode="External"/><Relationship Id="rId2521" Type="http://schemas.openxmlformats.org/officeDocument/2006/relationships/hyperlink" Target="https://www.inaturalist.org/people/misoa" TargetMode="External"/><Relationship Id="rId2522" Type="http://schemas.openxmlformats.org/officeDocument/2006/relationships/hyperlink" Target="https://creativecommons.org/licenses/by-nc/4.0/" TargetMode="External"/><Relationship Id="rId2523" Type="http://schemas.openxmlformats.org/officeDocument/2006/relationships/hyperlink" Target="https://www.inaturalist.org/observations/354372448" TargetMode="External"/><Relationship Id="rId2524" Type="http://schemas.openxmlformats.org/officeDocument/2006/relationships/hyperlink" Target="https://www.inaturalist.org/people/hardyhancock" TargetMode="External"/><Relationship Id="rId2525" Type="http://schemas.openxmlformats.org/officeDocument/2006/relationships/hyperlink" Target="https://creativecommons.org/licenses/by-nc/4.0/" TargetMode="External"/><Relationship Id="rId2526" Type="http://schemas.openxmlformats.org/officeDocument/2006/relationships/hyperlink" Target="https://www.inaturalist.org/observations/351076587" TargetMode="External"/><Relationship Id="rId2527" Type="http://schemas.openxmlformats.org/officeDocument/2006/relationships/hyperlink" Target="https://www.inaturalist.org/people/merbadger" TargetMode="External"/><Relationship Id="rId2528" Type="http://schemas.openxmlformats.org/officeDocument/2006/relationships/hyperlink" Target="https://creativecommons.org/licenses/by-nc/4.0/" TargetMode="External"/><Relationship Id="rId2529" Type="http://schemas.openxmlformats.org/officeDocument/2006/relationships/hyperlink" Target="https://www.inaturalist.org/observations/349170259" TargetMode="External"/><Relationship Id="rId2530" Type="http://schemas.openxmlformats.org/officeDocument/2006/relationships/hyperlink" Target="https://www.inaturalist.org/people/anatinus" TargetMode="External"/><Relationship Id="rId2531" Type="http://schemas.openxmlformats.org/officeDocument/2006/relationships/hyperlink" Target="https://creativecommons.org/licenses/by-nc/4.0/" TargetMode="External"/><Relationship Id="rId2532" Type="http://schemas.openxmlformats.org/officeDocument/2006/relationships/hyperlink" Target="https://www.inaturalist.org/observations/342523184" TargetMode="External"/><Relationship Id="rId2533" Type="http://schemas.openxmlformats.org/officeDocument/2006/relationships/hyperlink" Target="https://www.inaturalist.org/people/anatinus" TargetMode="External"/><Relationship Id="rId2534" Type="http://schemas.openxmlformats.org/officeDocument/2006/relationships/hyperlink" Target="https://creativecommons.org/licenses/by-nc/4.0/" TargetMode="External"/><Relationship Id="rId2535" Type="http://schemas.openxmlformats.org/officeDocument/2006/relationships/hyperlink" Target="https://www.inaturalist.org/observations/342523184" TargetMode="External"/><Relationship Id="rId2536" Type="http://schemas.openxmlformats.org/officeDocument/2006/relationships/hyperlink" Target="https://www.inaturalist.org/people/n_white" TargetMode="External"/><Relationship Id="rId2537" Type="http://schemas.openxmlformats.org/officeDocument/2006/relationships/hyperlink" Target="https://creativecommons.org/licenses/by-nc/4.0/" TargetMode="External"/><Relationship Id="rId2538" Type="http://schemas.openxmlformats.org/officeDocument/2006/relationships/hyperlink" Target="https://www.inaturalist.org/observations/341618974" TargetMode="External"/><Relationship Id="rId2539" Type="http://schemas.openxmlformats.org/officeDocument/2006/relationships/hyperlink" Target="https://www.inaturalist.org/people/anatinus" TargetMode="External"/><Relationship Id="rId2540" Type="http://schemas.openxmlformats.org/officeDocument/2006/relationships/hyperlink" Target="https://creativecommons.org/licenses/by-nc/4.0/" TargetMode="External"/><Relationship Id="rId2541" Type="http://schemas.openxmlformats.org/officeDocument/2006/relationships/hyperlink" Target="https://www.inaturalist.org/observations/341525333" TargetMode="External"/><Relationship Id="rId2542" Type="http://schemas.openxmlformats.org/officeDocument/2006/relationships/hyperlink" Target="https://www.inaturalist.org/people/anatinus" TargetMode="External"/><Relationship Id="rId2543" Type="http://schemas.openxmlformats.org/officeDocument/2006/relationships/hyperlink" Target="https://creativecommons.org/licenses/by-nc/4.0/" TargetMode="External"/><Relationship Id="rId2544" Type="http://schemas.openxmlformats.org/officeDocument/2006/relationships/hyperlink" Target="https://www.inaturalist.org/observations/341525333" TargetMode="External"/><Relationship Id="rId2545" Type="http://schemas.openxmlformats.org/officeDocument/2006/relationships/hyperlink" Target="https://www.inaturalist.org/people/nicomoll" TargetMode="External"/><Relationship Id="rId2546" Type="http://schemas.openxmlformats.org/officeDocument/2006/relationships/hyperlink" Target="https://creativecommons.org/licenses/by-nc/4.0/" TargetMode="External"/><Relationship Id="rId2547" Type="http://schemas.openxmlformats.org/officeDocument/2006/relationships/hyperlink" Target="https://www.inaturalist.org/observations/339889261" TargetMode="External"/><Relationship Id="rId2548" Type="http://schemas.openxmlformats.org/officeDocument/2006/relationships/hyperlink" Target="https://www.inaturalist.org/people/guigzzz" TargetMode="External"/><Relationship Id="rId2549" Type="http://schemas.openxmlformats.org/officeDocument/2006/relationships/hyperlink" Target="https://creativecommons.org/licenses/by-nc/4.0/" TargetMode="External"/><Relationship Id="rId2550" Type="http://schemas.openxmlformats.org/officeDocument/2006/relationships/hyperlink" Target="https://www.inaturalist.org/observations/339254655" TargetMode="External"/><Relationship Id="rId2551" Type="http://schemas.openxmlformats.org/officeDocument/2006/relationships/hyperlink" Target="https://www.inaturalist.org/people/guigzzz" TargetMode="External"/><Relationship Id="rId2552" Type="http://schemas.openxmlformats.org/officeDocument/2006/relationships/hyperlink" Target="https://creativecommons.org/licenses/by-nc/4.0/" TargetMode="External"/><Relationship Id="rId2553" Type="http://schemas.openxmlformats.org/officeDocument/2006/relationships/hyperlink" Target="https://www.inaturalist.org/observations/339254655" TargetMode="External"/><Relationship Id="rId2554" Type="http://schemas.openxmlformats.org/officeDocument/2006/relationships/hyperlink" Target="https://www.inaturalist.org/people/amelielague" TargetMode="External"/><Relationship Id="rId2555" Type="http://schemas.openxmlformats.org/officeDocument/2006/relationships/hyperlink" Target="https://creativecommons.org/licenses/by-nc/4.0/" TargetMode="External"/><Relationship Id="rId2556" Type="http://schemas.openxmlformats.org/officeDocument/2006/relationships/hyperlink" Target="https://www.inaturalist.org/observations/335601949" TargetMode="External"/><Relationship Id="rId2557" Type="http://schemas.openxmlformats.org/officeDocument/2006/relationships/hyperlink" Target="https://www.inaturalist.org/people/amelielague" TargetMode="External"/><Relationship Id="rId2558" Type="http://schemas.openxmlformats.org/officeDocument/2006/relationships/hyperlink" Target="https://creativecommons.org/licenses/by-nc/4.0/" TargetMode="External"/><Relationship Id="rId2559" Type="http://schemas.openxmlformats.org/officeDocument/2006/relationships/hyperlink" Target="https://www.inaturalist.org/observations/335214881" TargetMode="External"/><Relationship Id="rId2560" Type="http://schemas.openxmlformats.org/officeDocument/2006/relationships/hyperlink" Target="https://www.inaturalist.org/people/ennis_de_vos" TargetMode="External"/><Relationship Id="rId2561" Type="http://schemas.openxmlformats.org/officeDocument/2006/relationships/hyperlink" Target="https://creativecommons.org/licenses/by-nc/4.0/" TargetMode="External"/><Relationship Id="rId2562" Type="http://schemas.openxmlformats.org/officeDocument/2006/relationships/hyperlink" Target="https://www.inaturalist.org/observations/332991314" TargetMode="External"/><Relationship Id="rId2563" Type="http://schemas.openxmlformats.org/officeDocument/2006/relationships/hyperlink" Target="https://www.inaturalist.org/people/ennis_de_vos" TargetMode="External"/><Relationship Id="rId2564" Type="http://schemas.openxmlformats.org/officeDocument/2006/relationships/hyperlink" Target="https://creativecommons.org/licenses/by-nc/4.0/" TargetMode="External"/><Relationship Id="rId2565" Type="http://schemas.openxmlformats.org/officeDocument/2006/relationships/hyperlink" Target="https://www.inaturalist.org/observations/332991314" TargetMode="External"/><Relationship Id="rId2566" Type="http://schemas.openxmlformats.org/officeDocument/2006/relationships/hyperlink" Target="https://www.inaturalist.org/people/forresthe" TargetMode="External"/><Relationship Id="rId2567" Type="http://schemas.openxmlformats.org/officeDocument/2006/relationships/hyperlink" Target="https://creativecommons.org/licenses/by-nc/4.0/" TargetMode="External"/><Relationship Id="rId2568" Type="http://schemas.openxmlformats.org/officeDocument/2006/relationships/hyperlink" Target="https://www.inaturalist.org/observations/331198239" TargetMode="External"/><Relationship Id="rId2569" Type="http://schemas.openxmlformats.org/officeDocument/2006/relationships/hyperlink" Target="https://www.inaturalist.org/people/micaela19720" TargetMode="External"/><Relationship Id="rId2570" Type="http://schemas.openxmlformats.org/officeDocument/2006/relationships/hyperlink" Target="https://creativecommons.org/licenses/by-nc/4.0/" TargetMode="External"/><Relationship Id="rId2571" Type="http://schemas.openxmlformats.org/officeDocument/2006/relationships/hyperlink" Target="https://www.inaturalist.org/observations/330342641" TargetMode="External"/><Relationship Id="rId2572" Type="http://schemas.openxmlformats.org/officeDocument/2006/relationships/hyperlink" Target="https://www.inaturalist.org/people/aville" TargetMode="External"/><Relationship Id="rId2573" Type="http://schemas.openxmlformats.org/officeDocument/2006/relationships/hyperlink" Target="https://creativecommons.org/licenses/by-nc/4.0/" TargetMode="External"/><Relationship Id="rId2574" Type="http://schemas.openxmlformats.org/officeDocument/2006/relationships/hyperlink" Target="https://www.inaturalist.org/observations/329831402" TargetMode="External"/><Relationship Id="rId2575" Type="http://schemas.openxmlformats.org/officeDocument/2006/relationships/hyperlink" Target="https://www.inaturalist.org/people/mariodriesen" TargetMode="External"/><Relationship Id="rId2576" Type="http://schemas.openxmlformats.org/officeDocument/2006/relationships/hyperlink" Target="https://creativecommons.org/licenses/by-nc/4.0/" TargetMode="External"/><Relationship Id="rId2577" Type="http://schemas.openxmlformats.org/officeDocument/2006/relationships/hyperlink" Target="https://www.inaturalist.org/observations/328450451" TargetMode="External"/><Relationship Id="rId2578" Type="http://schemas.openxmlformats.org/officeDocument/2006/relationships/hyperlink" Target="https://www.inaturalist.org/people/womby" TargetMode="External"/><Relationship Id="rId2579" Type="http://schemas.openxmlformats.org/officeDocument/2006/relationships/hyperlink" Target="https://creativecommons.org/licenses/by-nc/4.0/" TargetMode="External"/><Relationship Id="rId2580" Type="http://schemas.openxmlformats.org/officeDocument/2006/relationships/hyperlink" Target="https://www.inaturalist.org/observations/328336912" TargetMode="External"/><Relationship Id="rId2581" Type="http://schemas.openxmlformats.org/officeDocument/2006/relationships/hyperlink" Target="https://www.inaturalist.org/people/mariodriesen" TargetMode="External"/><Relationship Id="rId2582" Type="http://schemas.openxmlformats.org/officeDocument/2006/relationships/hyperlink" Target="https://creativecommons.org/licenses/by-nc/4.0/" TargetMode="External"/><Relationship Id="rId2583" Type="http://schemas.openxmlformats.org/officeDocument/2006/relationships/hyperlink" Target="https://www.inaturalist.org/observations/327234193" TargetMode="External"/><Relationship Id="rId2584" Type="http://schemas.openxmlformats.org/officeDocument/2006/relationships/hyperlink" Target="https://www.inaturalist.org/people/mariodriesen" TargetMode="External"/><Relationship Id="rId2585" Type="http://schemas.openxmlformats.org/officeDocument/2006/relationships/hyperlink" Target="https://creativecommons.org/licenses/by-nc/4.0/" TargetMode="External"/><Relationship Id="rId2586" Type="http://schemas.openxmlformats.org/officeDocument/2006/relationships/hyperlink" Target="https://www.inaturalist.org/observations/327064796" TargetMode="External"/><Relationship Id="rId2587" Type="http://schemas.openxmlformats.org/officeDocument/2006/relationships/hyperlink" Target="https://www.inaturalist.org/people/rreams" TargetMode="External"/><Relationship Id="rId2588" Type="http://schemas.openxmlformats.org/officeDocument/2006/relationships/hyperlink" Target="https://creativecommons.org/licenses/by-nc/4.0/" TargetMode="External"/><Relationship Id="rId2589" Type="http://schemas.openxmlformats.org/officeDocument/2006/relationships/hyperlink" Target="https://www.inaturalist.org/observations/326733099" TargetMode="External"/><Relationship Id="rId2590" Type="http://schemas.openxmlformats.org/officeDocument/2006/relationships/hyperlink" Target="https://www.inaturalist.org/people/rreams" TargetMode="External"/><Relationship Id="rId2591" Type="http://schemas.openxmlformats.org/officeDocument/2006/relationships/hyperlink" Target="https://creativecommons.org/licenses/by-nc/4.0/" TargetMode="External"/><Relationship Id="rId2592" Type="http://schemas.openxmlformats.org/officeDocument/2006/relationships/hyperlink" Target="https://www.inaturalist.org/observations/326580710" TargetMode="External"/><Relationship Id="rId2593" Type="http://schemas.openxmlformats.org/officeDocument/2006/relationships/hyperlink" Target="https://www.inaturalist.org/people/mariodriesen" TargetMode="External"/><Relationship Id="rId2594" Type="http://schemas.openxmlformats.org/officeDocument/2006/relationships/hyperlink" Target="https://creativecommons.org/licenses/by-nc/4.0/" TargetMode="External"/><Relationship Id="rId2595" Type="http://schemas.openxmlformats.org/officeDocument/2006/relationships/hyperlink" Target="https://www.inaturalist.org/observations/326169109" TargetMode="External"/><Relationship Id="rId2596" Type="http://schemas.openxmlformats.org/officeDocument/2006/relationships/hyperlink" Target="https://www.inaturalist.org/people/mariodriesen" TargetMode="External"/><Relationship Id="rId2597" Type="http://schemas.openxmlformats.org/officeDocument/2006/relationships/hyperlink" Target="https://creativecommons.org/licenses/by-nc/4.0/" TargetMode="External"/><Relationship Id="rId2598" Type="http://schemas.openxmlformats.org/officeDocument/2006/relationships/hyperlink" Target="https://www.inaturalist.org/observations/326169109" TargetMode="External"/><Relationship Id="rId2599" Type="http://schemas.openxmlformats.org/officeDocument/2006/relationships/hyperlink" Target="https://www.inaturalist.org/people/emmafitzy" TargetMode="External"/><Relationship Id="rId2600" Type="http://schemas.openxmlformats.org/officeDocument/2006/relationships/hyperlink" Target="https://creativecommons.org/licenses/by-nc/4.0/" TargetMode="External"/><Relationship Id="rId2601" Type="http://schemas.openxmlformats.org/officeDocument/2006/relationships/hyperlink" Target="https://www.inaturalist.org/observations/325975854" TargetMode="External"/><Relationship Id="rId2602" Type="http://schemas.openxmlformats.org/officeDocument/2006/relationships/hyperlink" Target="https://www.inaturalist.org/people/emmafitzy" TargetMode="External"/><Relationship Id="rId2603" Type="http://schemas.openxmlformats.org/officeDocument/2006/relationships/hyperlink" Target="https://creativecommons.org/licenses/by-nc/4.0/" TargetMode="External"/><Relationship Id="rId2604" Type="http://schemas.openxmlformats.org/officeDocument/2006/relationships/hyperlink" Target="https://www.inaturalist.org/observations/325975854" TargetMode="External"/><Relationship Id="rId2605" Type="http://schemas.openxmlformats.org/officeDocument/2006/relationships/hyperlink" Target="https://www.inaturalist.org/people/emmafitzy" TargetMode="External"/><Relationship Id="rId2606" Type="http://schemas.openxmlformats.org/officeDocument/2006/relationships/hyperlink" Target="https://creativecommons.org/licenses/by-nc/4.0/" TargetMode="External"/><Relationship Id="rId2607" Type="http://schemas.openxmlformats.org/officeDocument/2006/relationships/hyperlink" Target="https://www.inaturalist.org/observations/325975854" TargetMode="External"/><Relationship Id="rId2608" Type="http://schemas.openxmlformats.org/officeDocument/2006/relationships/hyperlink" Target="https://www.inaturalist.org/people/delanyd" TargetMode="External"/><Relationship Id="rId2609" Type="http://schemas.openxmlformats.org/officeDocument/2006/relationships/hyperlink" Target="https://creativecommons.org/licenses/by-nc/4.0/" TargetMode="External"/><Relationship Id="rId2610" Type="http://schemas.openxmlformats.org/officeDocument/2006/relationships/hyperlink" Target="https://www.inaturalist.org/observations/325476231" TargetMode="External"/><Relationship Id="rId2611" Type="http://schemas.openxmlformats.org/officeDocument/2006/relationships/hyperlink" Target="https://www.inaturalist.org/people/delanyd" TargetMode="External"/><Relationship Id="rId2612" Type="http://schemas.openxmlformats.org/officeDocument/2006/relationships/hyperlink" Target="https://creativecommons.org/licenses/by-nc/4.0/" TargetMode="External"/><Relationship Id="rId2613" Type="http://schemas.openxmlformats.org/officeDocument/2006/relationships/hyperlink" Target="https://www.inaturalist.org/observations/325476231" TargetMode="External"/><Relationship Id="rId2614" Type="http://schemas.openxmlformats.org/officeDocument/2006/relationships/hyperlink" Target="https://www.inaturalist.org/people/finnhall" TargetMode="External"/><Relationship Id="rId2615" Type="http://schemas.openxmlformats.org/officeDocument/2006/relationships/hyperlink" Target="https://creativecommons.org/licenses/by-nc/4.0/" TargetMode="External"/><Relationship Id="rId2616" Type="http://schemas.openxmlformats.org/officeDocument/2006/relationships/hyperlink" Target="https://www.inaturalist.org/observations/371091163" TargetMode="External"/><Relationship Id="rId2617" Type="http://schemas.openxmlformats.org/officeDocument/2006/relationships/hyperlink" Target="https://www.inaturalist.org/people/boardy1" TargetMode="External"/><Relationship Id="rId2618" Type="http://schemas.openxmlformats.org/officeDocument/2006/relationships/hyperlink" Target="https://creativecommons.org/licenses/by-nc/4.0/" TargetMode="External"/><Relationship Id="rId2619" Type="http://schemas.openxmlformats.org/officeDocument/2006/relationships/hyperlink" Target="https://www.inaturalist.org/observations/363898306" TargetMode="External"/><Relationship Id="rId2620" Type="http://schemas.openxmlformats.org/officeDocument/2006/relationships/hyperlink" Target="https://www.inaturalist.org/people/boardy1" TargetMode="External"/><Relationship Id="rId2621" Type="http://schemas.openxmlformats.org/officeDocument/2006/relationships/hyperlink" Target="https://creativecommons.org/licenses/by-nc/4.0/" TargetMode="External"/><Relationship Id="rId2622" Type="http://schemas.openxmlformats.org/officeDocument/2006/relationships/hyperlink" Target="https://www.inaturalist.org/observations/363898306" TargetMode="External"/><Relationship Id="rId2623" Type="http://schemas.openxmlformats.org/officeDocument/2006/relationships/hyperlink" Target="https://www.inaturalist.org/people/gregory38317" TargetMode="External"/><Relationship Id="rId2624" Type="http://schemas.openxmlformats.org/officeDocument/2006/relationships/hyperlink" Target="https://creativecommons.org/licenses/by-nc/4.0/" TargetMode="External"/><Relationship Id="rId2625" Type="http://schemas.openxmlformats.org/officeDocument/2006/relationships/hyperlink" Target="https://www.inaturalist.org/observations/359186652" TargetMode="External"/><Relationship Id="rId2626" Type="http://schemas.openxmlformats.org/officeDocument/2006/relationships/hyperlink" Target="https://www.inaturalist.org/people/jasvink" TargetMode="External"/><Relationship Id="rId2627" Type="http://schemas.openxmlformats.org/officeDocument/2006/relationships/hyperlink" Target="https://creativecommons.org/licenses/by-nc/4.0/" TargetMode="External"/><Relationship Id="rId2628" Type="http://schemas.openxmlformats.org/officeDocument/2006/relationships/hyperlink" Target="https://www.inaturalist.org/observations/346475996" TargetMode="External"/><Relationship Id="rId2629" Type="http://schemas.openxmlformats.org/officeDocument/2006/relationships/hyperlink" Target="https://www.inaturalist.org/people/jackcaleo09" TargetMode="External"/><Relationship Id="rId2630" Type="http://schemas.openxmlformats.org/officeDocument/2006/relationships/hyperlink" Target="https://creativecommons.org/licenses/by-nc/4.0/" TargetMode="External"/><Relationship Id="rId2631" Type="http://schemas.openxmlformats.org/officeDocument/2006/relationships/hyperlink" Target="https://www.inaturalist.org/observations/336443799" TargetMode="External"/><Relationship Id="rId2632" Type="http://schemas.openxmlformats.org/officeDocument/2006/relationships/hyperlink" Target="https://www.inaturalist.org/people/jackcaleo09" TargetMode="External"/><Relationship Id="rId2633" Type="http://schemas.openxmlformats.org/officeDocument/2006/relationships/hyperlink" Target="https://creativecommons.org/licenses/by-nc/4.0/" TargetMode="External"/><Relationship Id="rId2634" Type="http://schemas.openxmlformats.org/officeDocument/2006/relationships/hyperlink" Target="https://www.inaturalist.org/observations/336443799" TargetMode="External"/><Relationship Id="rId2635" Type="http://schemas.openxmlformats.org/officeDocument/2006/relationships/hyperlink" Target="https://www.inaturalist.org/people/narbethong" TargetMode="External"/><Relationship Id="rId2636" Type="http://schemas.openxmlformats.org/officeDocument/2006/relationships/hyperlink" Target="https://creativecommons.org/licenses/by-nc/4.0/" TargetMode="External"/><Relationship Id="rId2637" Type="http://schemas.openxmlformats.org/officeDocument/2006/relationships/hyperlink" Target="https://www.inaturalist.org/observations/336050483" TargetMode="External"/><Relationship Id="rId2638" Type="http://schemas.openxmlformats.org/officeDocument/2006/relationships/hyperlink" Target="https://www.inaturalist.org/people/abiepatt" TargetMode="External"/><Relationship Id="rId2639" Type="http://schemas.openxmlformats.org/officeDocument/2006/relationships/hyperlink" Target="https://creativecommons.org/licenses/by-nc/4.0/" TargetMode="External"/><Relationship Id="rId2640" Type="http://schemas.openxmlformats.org/officeDocument/2006/relationships/hyperlink" Target="https://www.inaturalist.org/observations/334324844" TargetMode="External"/><Relationship Id="rId2641" Type="http://schemas.openxmlformats.org/officeDocument/2006/relationships/hyperlink" Target="https://www.inaturalist.org/people/mick76663" TargetMode="External"/><Relationship Id="rId2642" Type="http://schemas.openxmlformats.org/officeDocument/2006/relationships/hyperlink" Target="https://creativecommons.org/licenses/by-nc/4.0/" TargetMode="External"/><Relationship Id="rId2643" Type="http://schemas.openxmlformats.org/officeDocument/2006/relationships/hyperlink" Target="https://www.inaturalist.org/observations/331524662" TargetMode="External"/><Relationship Id="rId2644" Type="http://schemas.openxmlformats.org/officeDocument/2006/relationships/hyperlink" Target="https://www.inaturalist.org/people/mick76663" TargetMode="External"/><Relationship Id="rId2645" Type="http://schemas.openxmlformats.org/officeDocument/2006/relationships/hyperlink" Target="https://creativecommons.org/licenses/by-nc/4.0/" TargetMode="External"/><Relationship Id="rId2646" Type="http://schemas.openxmlformats.org/officeDocument/2006/relationships/hyperlink" Target="https://www.inaturalist.org/observations/331524662" TargetMode="External"/><Relationship Id="rId2647" Type="http://schemas.openxmlformats.org/officeDocument/2006/relationships/hyperlink" Target="https://www.inaturalist.org/people/brother-nature" TargetMode="External"/><Relationship Id="rId2648" Type="http://schemas.openxmlformats.org/officeDocument/2006/relationships/hyperlink" Target="https://creativecommons.org/licenses/by-nc/4.0/" TargetMode="External"/><Relationship Id="rId2649" Type="http://schemas.openxmlformats.org/officeDocument/2006/relationships/hyperlink" Target="https://www.inaturalist.org/observations/331183501" TargetMode="External"/><Relationship Id="rId2650" Type="http://schemas.openxmlformats.org/officeDocument/2006/relationships/hyperlink" Target="https://www.inaturalist.org/people/jeff55746" TargetMode="External"/><Relationship Id="rId2651" Type="http://schemas.openxmlformats.org/officeDocument/2006/relationships/hyperlink" Target="https://creativecommons.org/licenses/by-nc/4.0/" TargetMode="External"/><Relationship Id="rId2652" Type="http://schemas.openxmlformats.org/officeDocument/2006/relationships/hyperlink" Target="https://www.inaturalist.org/observations/329366114" TargetMode="External"/><Relationship Id="rId2653" Type="http://schemas.openxmlformats.org/officeDocument/2006/relationships/hyperlink" Target="https://www.inaturalist.org/people/jeff55746" TargetMode="External"/><Relationship Id="rId2654" Type="http://schemas.openxmlformats.org/officeDocument/2006/relationships/hyperlink" Target="https://creativecommons.org/licenses/by-nc/4.0/" TargetMode="External"/><Relationship Id="rId2655" Type="http://schemas.openxmlformats.org/officeDocument/2006/relationships/hyperlink" Target="https://www.inaturalist.org/observations/329366114" TargetMode="External"/><Relationship Id="rId2656" Type="http://schemas.openxmlformats.org/officeDocument/2006/relationships/hyperlink" Target="https://www.inaturalist.org/people/faunabytes" TargetMode="External"/><Relationship Id="rId2657" Type="http://schemas.openxmlformats.org/officeDocument/2006/relationships/hyperlink" Target="https://creativecommons.org/licenses/by-nc/4.0/" TargetMode="External"/><Relationship Id="rId2658" Type="http://schemas.openxmlformats.org/officeDocument/2006/relationships/hyperlink" Target="https://www.inaturalist.org/observations/322691668" TargetMode="External"/><Relationship Id="rId2659" Type="http://schemas.openxmlformats.org/officeDocument/2006/relationships/hyperlink" Target="https://www.inaturalist.org/people/faunabytes" TargetMode="External"/><Relationship Id="rId2660" Type="http://schemas.openxmlformats.org/officeDocument/2006/relationships/hyperlink" Target="https://creativecommons.org/licenses/by-nc/4.0/" TargetMode="External"/><Relationship Id="rId2661" Type="http://schemas.openxmlformats.org/officeDocument/2006/relationships/hyperlink" Target="https://www.inaturalist.org/observations/322691668" TargetMode="External"/><Relationship Id="rId2662" Type="http://schemas.openxmlformats.org/officeDocument/2006/relationships/hyperlink" Target="https://www.inaturalist.org/people/sophiemah" TargetMode="External"/><Relationship Id="rId2663" Type="http://schemas.openxmlformats.org/officeDocument/2006/relationships/hyperlink" Target="https://creativecommons.org/licenses/by-nc/4.0/" TargetMode="External"/><Relationship Id="rId2664" Type="http://schemas.openxmlformats.org/officeDocument/2006/relationships/hyperlink" Target="https://www.inaturalist.org/observations/322564766" TargetMode="External"/><Relationship Id="rId2665" Type="http://schemas.openxmlformats.org/officeDocument/2006/relationships/hyperlink" Target="https://www.inaturalist.org/people/jackcaleo09" TargetMode="External"/><Relationship Id="rId2666" Type="http://schemas.openxmlformats.org/officeDocument/2006/relationships/hyperlink" Target="https://creativecommons.org/licenses/by-nc/4.0/" TargetMode="External"/><Relationship Id="rId2667" Type="http://schemas.openxmlformats.org/officeDocument/2006/relationships/hyperlink" Target="https://www.inaturalist.org/observations/314913365" TargetMode="External"/><Relationship Id="rId2668" Type="http://schemas.openxmlformats.org/officeDocument/2006/relationships/hyperlink" Target="https://www.inaturalist.org/people/lorcanmc" TargetMode="External"/><Relationship Id="rId2669" Type="http://schemas.openxmlformats.org/officeDocument/2006/relationships/hyperlink" Target="https://creativecommons.org/licenses/by-nc/4.0/" TargetMode="External"/><Relationship Id="rId2670" Type="http://schemas.openxmlformats.org/officeDocument/2006/relationships/hyperlink" Target="https://www.inaturalist.org/observations/290831069" TargetMode="External"/><Relationship Id="rId2671" Type="http://schemas.openxmlformats.org/officeDocument/2006/relationships/hyperlink" Target="https://www.inaturalist.org/people/michael_chay_photography" TargetMode="External"/><Relationship Id="rId2672" Type="http://schemas.openxmlformats.org/officeDocument/2006/relationships/hyperlink" Target="https://creativecommons.org/licenses/by-nc/4.0/" TargetMode="External"/><Relationship Id="rId2673" Type="http://schemas.openxmlformats.org/officeDocument/2006/relationships/hyperlink" Target="https://www.inaturalist.org/observations/290082030" TargetMode="External"/><Relationship Id="rId2674" Type="http://schemas.openxmlformats.org/officeDocument/2006/relationships/hyperlink" Target="https://www.inaturalist.org/people/rufusgrandis" TargetMode="External"/><Relationship Id="rId2675" Type="http://schemas.openxmlformats.org/officeDocument/2006/relationships/hyperlink" Target="https://creativecommons.org/licenses/by-nc/4.0/" TargetMode="External"/><Relationship Id="rId2676" Type="http://schemas.openxmlformats.org/officeDocument/2006/relationships/hyperlink" Target="https://www.inaturalist.org/observations/286914236" TargetMode="External"/><Relationship Id="rId2677" Type="http://schemas.openxmlformats.org/officeDocument/2006/relationships/hyperlink" Target="https://www.inaturalist.org/people/rufusgrandis" TargetMode="External"/><Relationship Id="rId2678" Type="http://schemas.openxmlformats.org/officeDocument/2006/relationships/hyperlink" Target="https://creativecommons.org/licenses/by-nc/4.0/" TargetMode="External"/><Relationship Id="rId2679" Type="http://schemas.openxmlformats.org/officeDocument/2006/relationships/hyperlink" Target="https://www.inaturalist.org/observations/286914236" TargetMode="External"/><Relationship Id="rId2680" Type="http://schemas.openxmlformats.org/officeDocument/2006/relationships/hyperlink" Target="https://www.inaturalist.org/people/stephen_zozaya" TargetMode="External"/><Relationship Id="rId2681" Type="http://schemas.openxmlformats.org/officeDocument/2006/relationships/hyperlink" Target="https://creativecommons.org/licenses/by-nc/4.0/" TargetMode="External"/><Relationship Id="rId2682" Type="http://schemas.openxmlformats.org/officeDocument/2006/relationships/hyperlink" Target="https://www.inaturalist.org/observations/276960750" TargetMode="External"/><Relationship Id="rId2683" Type="http://schemas.openxmlformats.org/officeDocument/2006/relationships/hyperlink" Target="https://www.inaturalist.org/people/braden1" TargetMode="External"/><Relationship Id="rId2684" Type="http://schemas.openxmlformats.org/officeDocument/2006/relationships/hyperlink" Target="https://creativecommons.org/licenses/by-nc/4.0/" TargetMode="External"/><Relationship Id="rId2685" Type="http://schemas.openxmlformats.org/officeDocument/2006/relationships/hyperlink" Target="https://www.inaturalist.org/observations/273743917" TargetMode="External"/><Relationship Id="rId2686" Type="http://schemas.openxmlformats.org/officeDocument/2006/relationships/hyperlink" Target="https://www.inaturalist.org/people/stephen_zozaya" TargetMode="External"/><Relationship Id="rId2687" Type="http://schemas.openxmlformats.org/officeDocument/2006/relationships/hyperlink" Target="https://creativecommons.org/licenses/by-nc/4.0/" TargetMode="External"/><Relationship Id="rId2688" Type="http://schemas.openxmlformats.org/officeDocument/2006/relationships/hyperlink" Target="https://www.inaturalist.org/observations/273414615" TargetMode="External"/><Relationship Id="rId2689" Type="http://schemas.openxmlformats.org/officeDocument/2006/relationships/hyperlink" Target="https://www.inaturalist.org/people/roxylaz" TargetMode="External"/><Relationship Id="rId2690" Type="http://schemas.openxmlformats.org/officeDocument/2006/relationships/hyperlink" Target="https://creativecommons.org/licenses/by-nc/4.0/" TargetMode="External"/><Relationship Id="rId2691" Type="http://schemas.openxmlformats.org/officeDocument/2006/relationships/hyperlink" Target="https://www.inaturalist.org/observations/264667987" TargetMode="External"/><Relationship Id="rId2692" Type="http://schemas.openxmlformats.org/officeDocument/2006/relationships/hyperlink" Target="https://www.inaturalist.org/people/roxylaz" TargetMode="External"/><Relationship Id="rId2693" Type="http://schemas.openxmlformats.org/officeDocument/2006/relationships/hyperlink" Target="https://creativecommons.org/licenses/by-nc/4.0/" TargetMode="External"/><Relationship Id="rId2694" Type="http://schemas.openxmlformats.org/officeDocument/2006/relationships/hyperlink" Target="https://www.inaturalist.org/observations/264667987" TargetMode="External"/><Relationship Id="rId2695" Type="http://schemas.openxmlformats.org/officeDocument/2006/relationships/hyperlink" Target="https://www.inaturalist.org/people/camille10687" TargetMode="External"/><Relationship Id="rId2696" Type="http://schemas.openxmlformats.org/officeDocument/2006/relationships/hyperlink" Target="https://creativecommons.org/licenses/by-nc/4.0/" TargetMode="External"/><Relationship Id="rId2697" Type="http://schemas.openxmlformats.org/officeDocument/2006/relationships/hyperlink" Target="https://www.inaturalist.org/observations/264467030" TargetMode="External"/><Relationship Id="rId2698" Type="http://schemas.openxmlformats.org/officeDocument/2006/relationships/hyperlink" Target="https://www.inaturalist.org/people/camille10687" TargetMode="External"/><Relationship Id="rId2699" Type="http://schemas.openxmlformats.org/officeDocument/2006/relationships/hyperlink" Target="https://creativecommons.org/licenses/by-nc/4.0/" TargetMode="External"/><Relationship Id="rId2700" Type="http://schemas.openxmlformats.org/officeDocument/2006/relationships/hyperlink" Target="https://www.inaturalist.org/observations/264467030" TargetMode="External"/><Relationship Id="rId2701" Type="http://schemas.openxmlformats.org/officeDocument/2006/relationships/hyperlink" Target="https://www.inaturalist.org/people/beaustock350" TargetMode="External"/><Relationship Id="rId2702" Type="http://schemas.openxmlformats.org/officeDocument/2006/relationships/hyperlink" Target="https://creativecommons.org/licenses/by-nc/4.0/" TargetMode="External"/><Relationship Id="rId2703" Type="http://schemas.openxmlformats.org/officeDocument/2006/relationships/hyperlink" Target="https://www.inaturalist.org/observations/258946011" TargetMode="External"/><Relationship Id="rId2704" Type="http://schemas.openxmlformats.org/officeDocument/2006/relationships/hyperlink" Target="https://www.inaturalist.org/people/brucewannan" TargetMode="External"/><Relationship Id="rId2705" Type="http://schemas.openxmlformats.org/officeDocument/2006/relationships/hyperlink" Target="https://creativecommons.org/licenses/by-nc/4.0/" TargetMode="External"/><Relationship Id="rId2706" Type="http://schemas.openxmlformats.org/officeDocument/2006/relationships/hyperlink" Target="https://www.inaturalist.org/observations/256730297" TargetMode="External"/><Relationship Id="rId2707" Type="http://schemas.openxmlformats.org/officeDocument/2006/relationships/hyperlink" Target="https://www.inaturalist.org/people/lucaslego" TargetMode="External"/><Relationship Id="rId2708" Type="http://schemas.openxmlformats.org/officeDocument/2006/relationships/hyperlink" Target="https://creativecommons.org/licenses/by-nc/4.0/" TargetMode="External"/><Relationship Id="rId2709" Type="http://schemas.openxmlformats.org/officeDocument/2006/relationships/hyperlink" Target="https://www.inaturalist.org/observations/256162286" TargetMode="External"/><Relationship Id="rId2710" Type="http://schemas.openxmlformats.org/officeDocument/2006/relationships/hyperlink" Target="https://www.inaturalist.org/people/lucaslego" TargetMode="External"/><Relationship Id="rId2711" Type="http://schemas.openxmlformats.org/officeDocument/2006/relationships/hyperlink" Target="https://creativecommons.org/licenses/by-nc/4.0/" TargetMode="External"/><Relationship Id="rId2712" Type="http://schemas.openxmlformats.org/officeDocument/2006/relationships/hyperlink" Target="https://www.inaturalist.org/observations/256162286" TargetMode="External"/><Relationship Id="rId2713" Type="http://schemas.openxmlformats.org/officeDocument/2006/relationships/hyperlink" Target="https://www.inaturalist.org/people/lucaslego" TargetMode="External"/><Relationship Id="rId2714" Type="http://schemas.openxmlformats.org/officeDocument/2006/relationships/hyperlink" Target="https://creativecommons.org/licenses/by-nc/4.0/" TargetMode="External"/><Relationship Id="rId2715" Type="http://schemas.openxmlformats.org/officeDocument/2006/relationships/hyperlink" Target="https://www.inaturalist.org/observations/256162286" TargetMode="External"/><Relationship Id="rId2716" Type="http://schemas.openxmlformats.org/officeDocument/2006/relationships/hyperlink" Target="https://www.inaturalist.org/people/indrabone" TargetMode="External"/><Relationship Id="rId2717" Type="http://schemas.openxmlformats.org/officeDocument/2006/relationships/hyperlink" Target="https://creativecommons.org/licenses/by-nc/4.0/" TargetMode="External"/><Relationship Id="rId2718" Type="http://schemas.openxmlformats.org/officeDocument/2006/relationships/hyperlink" Target="https://www.inaturalist.org/observations/248034708" TargetMode="External"/><Relationship Id="rId2719" Type="http://schemas.openxmlformats.org/officeDocument/2006/relationships/hyperlink" Target="https://www.inaturalist.org/people/niamhdouglas" TargetMode="External"/><Relationship Id="rId2720" Type="http://schemas.openxmlformats.org/officeDocument/2006/relationships/hyperlink" Target="https://creativecommons.org/licenses/by-nc/4.0/" TargetMode="External"/><Relationship Id="rId2721" Type="http://schemas.openxmlformats.org/officeDocument/2006/relationships/hyperlink" Target="https://www.inaturalist.org/observations/360536734" TargetMode="External"/><Relationship Id="rId2722" Type="http://schemas.openxmlformats.org/officeDocument/2006/relationships/hyperlink" Target="https://www.inaturalist.org/people/zebsphotography" TargetMode="External"/><Relationship Id="rId2723" Type="http://schemas.openxmlformats.org/officeDocument/2006/relationships/hyperlink" Target="https://creativecommons.org/licenses/by-nc/4.0/" TargetMode="External"/><Relationship Id="rId2724" Type="http://schemas.openxmlformats.org/officeDocument/2006/relationships/hyperlink" Target="https://www.inaturalist.org/observations/348870546" TargetMode="External"/><Relationship Id="rId2725" Type="http://schemas.openxmlformats.org/officeDocument/2006/relationships/hyperlink" Target="https://www.inaturalist.org/people/zebsphotography" TargetMode="External"/><Relationship Id="rId2726" Type="http://schemas.openxmlformats.org/officeDocument/2006/relationships/hyperlink" Target="https://creativecommons.org/licenses/by-nc/4.0/" TargetMode="External"/><Relationship Id="rId2727" Type="http://schemas.openxmlformats.org/officeDocument/2006/relationships/hyperlink" Target="https://www.inaturalist.org/observations/348870546" TargetMode="External"/><Relationship Id="rId2728" Type="http://schemas.openxmlformats.org/officeDocument/2006/relationships/hyperlink" Target="https://www.inaturalist.org/people/dusk38" TargetMode="External"/><Relationship Id="rId2729" Type="http://schemas.openxmlformats.org/officeDocument/2006/relationships/hyperlink" Target="https://creativecommons.org/licenses/by-nc/4.0/" TargetMode="External"/><Relationship Id="rId2730" Type="http://schemas.openxmlformats.org/officeDocument/2006/relationships/hyperlink" Target="https://www.inaturalist.org/observations/343736768" TargetMode="External"/><Relationship Id="rId2731" Type="http://schemas.openxmlformats.org/officeDocument/2006/relationships/hyperlink" Target="https://www.inaturalist.org/people/dusk38" TargetMode="External"/><Relationship Id="rId2732" Type="http://schemas.openxmlformats.org/officeDocument/2006/relationships/hyperlink" Target="https://creativecommons.org/licenses/by-nc/4.0/" TargetMode="External"/><Relationship Id="rId2733" Type="http://schemas.openxmlformats.org/officeDocument/2006/relationships/hyperlink" Target="https://www.inaturalist.org/observations/343736768" TargetMode="External"/><Relationship Id="rId2734" Type="http://schemas.openxmlformats.org/officeDocument/2006/relationships/hyperlink" Target="https://www.inaturalist.org/people/dusk38" TargetMode="External"/><Relationship Id="rId2735" Type="http://schemas.openxmlformats.org/officeDocument/2006/relationships/hyperlink" Target="https://creativecommons.org/licenses/by-nc/4.0/" TargetMode="External"/><Relationship Id="rId2736" Type="http://schemas.openxmlformats.org/officeDocument/2006/relationships/hyperlink" Target="https://www.inaturalist.org/observations/343736768" TargetMode="External"/><Relationship Id="rId2737" Type="http://schemas.openxmlformats.org/officeDocument/2006/relationships/hyperlink" Target="https://www.inaturalist.org/people/chuditch" TargetMode="External"/><Relationship Id="rId2738" Type="http://schemas.openxmlformats.org/officeDocument/2006/relationships/hyperlink" Target="https://creativecommons.org/licenses/by-nc/4.0/" TargetMode="External"/><Relationship Id="rId2739" Type="http://schemas.openxmlformats.org/officeDocument/2006/relationships/hyperlink" Target="https://www.inaturalist.org/observations/338870556" TargetMode="External"/><Relationship Id="rId2740" Type="http://schemas.openxmlformats.org/officeDocument/2006/relationships/hyperlink" Target="https://www.inaturalist.org/people/chuditch" TargetMode="External"/><Relationship Id="rId2741" Type="http://schemas.openxmlformats.org/officeDocument/2006/relationships/hyperlink" Target="https://creativecommons.org/licenses/by-nc/4.0/" TargetMode="External"/><Relationship Id="rId2742" Type="http://schemas.openxmlformats.org/officeDocument/2006/relationships/hyperlink" Target="https://www.inaturalist.org/observations/330566457" TargetMode="External"/><Relationship Id="rId2743" Type="http://schemas.openxmlformats.org/officeDocument/2006/relationships/hyperlink" Target="https://www.inaturalist.org/people/stephen_zozaya" TargetMode="External"/><Relationship Id="rId2744" Type="http://schemas.openxmlformats.org/officeDocument/2006/relationships/hyperlink" Target="https://creativecommons.org/licenses/by-nc/4.0/" TargetMode="External"/><Relationship Id="rId2745" Type="http://schemas.openxmlformats.org/officeDocument/2006/relationships/hyperlink" Target="https://www.inaturalist.org/observations/325462202" TargetMode="External"/><Relationship Id="rId2746" Type="http://schemas.openxmlformats.org/officeDocument/2006/relationships/hyperlink" Target="https://www.inaturalist.org/people/adrianuren" TargetMode="External"/><Relationship Id="rId2747" Type="http://schemas.openxmlformats.org/officeDocument/2006/relationships/hyperlink" Target="https://creativecommons.org/licenses/by-nc/4.0/" TargetMode="External"/><Relationship Id="rId2748" Type="http://schemas.openxmlformats.org/officeDocument/2006/relationships/hyperlink" Target="https://www.inaturalist.org/observations/324321075" TargetMode="External"/><Relationship Id="rId2749" Type="http://schemas.openxmlformats.org/officeDocument/2006/relationships/hyperlink" Target="https://www.inaturalist.org/people/adrianuren" TargetMode="External"/><Relationship Id="rId2750" Type="http://schemas.openxmlformats.org/officeDocument/2006/relationships/hyperlink" Target="https://creativecommons.org/licenses/by-nc/4.0/" TargetMode="External"/><Relationship Id="rId2751" Type="http://schemas.openxmlformats.org/officeDocument/2006/relationships/hyperlink" Target="https://www.inaturalist.org/observations/324321075" TargetMode="External"/><Relationship Id="rId2752" Type="http://schemas.openxmlformats.org/officeDocument/2006/relationships/hyperlink" Target="https://www.inaturalist.org/people/adrianuren" TargetMode="External"/><Relationship Id="rId2753" Type="http://schemas.openxmlformats.org/officeDocument/2006/relationships/hyperlink" Target="https://creativecommons.org/licenses/by-nc/4.0/" TargetMode="External"/><Relationship Id="rId2754" Type="http://schemas.openxmlformats.org/officeDocument/2006/relationships/hyperlink" Target="https://www.inaturalist.org/observations/324321075" TargetMode="External"/><Relationship Id="rId2755" Type="http://schemas.openxmlformats.org/officeDocument/2006/relationships/hyperlink" Target="https://www.inaturalist.org/people/mbrobbins" TargetMode="External"/><Relationship Id="rId2756" Type="http://schemas.openxmlformats.org/officeDocument/2006/relationships/hyperlink" Target="https://creativecommons.org/licenses/by-nc/4.0/" TargetMode="External"/><Relationship Id="rId2757" Type="http://schemas.openxmlformats.org/officeDocument/2006/relationships/hyperlink" Target="https://www.inaturalist.org/observations/321684336" TargetMode="External"/><Relationship Id="rId2758" Type="http://schemas.openxmlformats.org/officeDocument/2006/relationships/hyperlink" Target="https://www.inaturalist.org/people/mbrobbins" TargetMode="External"/><Relationship Id="rId2759" Type="http://schemas.openxmlformats.org/officeDocument/2006/relationships/hyperlink" Target="https://creativecommons.org/licenses/by-nc/4.0/" TargetMode="External"/><Relationship Id="rId2760" Type="http://schemas.openxmlformats.org/officeDocument/2006/relationships/hyperlink" Target="https://www.inaturalist.org/observations/321684336" TargetMode="External"/><Relationship Id="rId2761" Type="http://schemas.openxmlformats.org/officeDocument/2006/relationships/hyperlink" Target="https://www.inaturalist.org/people/naturerichmond" TargetMode="External"/><Relationship Id="rId2762" Type="http://schemas.openxmlformats.org/officeDocument/2006/relationships/hyperlink" Target="https://creativecommons.org/licenses/by-nc/4.0/" TargetMode="External"/><Relationship Id="rId2763" Type="http://schemas.openxmlformats.org/officeDocument/2006/relationships/hyperlink" Target="https://www.inaturalist.org/observations/302055528" TargetMode="External"/><Relationship Id="rId2764" Type="http://schemas.openxmlformats.org/officeDocument/2006/relationships/hyperlink" Target="https://www.inaturalist.org/people/naturerichmond" TargetMode="External"/><Relationship Id="rId2765" Type="http://schemas.openxmlformats.org/officeDocument/2006/relationships/hyperlink" Target="https://creativecommons.org/licenses/by-nc/4.0/" TargetMode="External"/><Relationship Id="rId2766" Type="http://schemas.openxmlformats.org/officeDocument/2006/relationships/hyperlink" Target="https://www.inaturalist.org/observations/302055528" TargetMode="External"/><Relationship Id="rId2767" Type="http://schemas.openxmlformats.org/officeDocument/2006/relationships/hyperlink" Target="https://www.inaturalist.org/people/callani" TargetMode="External"/><Relationship Id="rId2768" Type="http://schemas.openxmlformats.org/officeDocument/2006/relationships/hyperlink" Target="https://creativecommons.org/licenses/by-nc/4.0/" TargetMode="External"/><Relationship Id="rId2769" Type="http://schemas.openxmlformats.org/officeDocument/2006/relationships/hyperlink" Target="https://www.inaturalist.org/observations/277523984" TargetMode="External"/><Relationship Id="rId2770" Type="http://schemas.openxmlformats.org/officeDocument/2006/relationships/hyperlink" Target="https://www.inaturalist.org/people/nick_vine" TargetMode="External"/><Relationship Id="rId2771" Type="http://schemas.openxmlformats.org/officeDocument/2006/relationships/hyperlink" Target="https://creativecommons.org/licenses/by-nc/4.0/" TargetMode="External"/><Relationship Id="rId2772" Type="http://schemas.openxmlformats.org/officeDocument/2006/relationships/hyperlink" Target="https://www.inaturalist.org/observations/265332905" TargetMode="External"/><Relationship Id="rId2773" Type="http://schemas.openxmlformats.org/officeDocument/2006/relationships/hyperlink" Target="https://www.inaturalist.org/people/jbilby" TargetMode="External"/><Relationship Id="rId2774" Type="http://schemas.openxmlformats.org/officeDocument/2006/relationships/hyperlink" Target="https://creativecommons.org/licenses/by-nc/4.0/" TargetMode="External"/><Relationship Id="rId2775" Type="http://schemas.openxmlformats.org/officeDocument/2006/relationships/hyperlink" Target="https://www.inaturalist.org/observations/260597401" TargetMode="External"/><Relationship Id="rId2776" Type="http://schemas.openxmlformats.org/officeDocument/2006/relationships/hyperlink" Target="https://www.inaturalist.org/people/emilymendel" TargetMode="External"/><Relationship Id="rId2777" Type="http://schemas.openxmlformats.org/officeDocument/2006/relationships/hyperlink" Target="https://creativecommons.org/licenses/by-nc/4.0/" TargetMode="External"/><Relationship Id="rId2778" Type="http://schemas.openxmlformats.org/officeDocument/2006/relationships/hyperlink" Target="https://www.inaturalist.org/observations/257440460" TargetMode="External"/><Relationship Id="rId2779" Type="http://schemas.openxmlformats.org/officeDocument/2006/relationships/hyperlink" Target="https://www.inaturalist.org/people/jvanweenen" TargetMode="External"/><Relationship Id="rId2780" Type="http://schemas.openxmlformats.org/officeDocument/2006/relationships/hyperlink" Target="https://creativecommons.org/licenses/by-nc/4.0/" TargetMode="External"/><Relationship Id="rId2781" Type="http://schemas.openxmlformats.org/officeDocument/2006/relationships/hyperlink" Target="https://www.inaturalist.org/observations/257414639" TargetMode="External"/><Relationship Id="rId2782" Type="http://schemas.openxmlformats.org/officeDocument/2006/relationships/hyperlink" Target="https://www.inaturalist.org/people/jvanweenen" TargetMode="External"/><Relationship Id="rId2783" Type="http://schemas.openxmlformats.org/officeDocument/2006/relationships/hyperlink" Target="https://creativecommons.org/licenses/by-nc/4.0/" TargetMode="External"/><Relationship Id="rId2784" Type="http://schemas.openxmlformats.org/officeDocument/2006/relationships/hyperlink" Target="https://www.inaturalist.org/observations/257414639" TargetMode="External"/><Relationship Id="rId2785" Type="http://schemas.openxmlformats.org/officeDocument/2006/relationships/hyperlink" Target="https://www.inaturalist.org/people/jvanweenen" TargetMode="External"/><Relationship Id="rId2786" Type="http://schemas.openxmlformats.org/officeDocument/2006/relationships/hyperlink" Target="https://creativecommons.org/licenses/by-nc/4.0/" TargetMode="External"/><Relationship Id="rId2787" Type="http://schemas.openxmlformats.org/officeDocument/2006/relationships/hyperlink" Target="https://www.inaturalist.org/observations/257414639" TargetMode="External"/><Relationship Id="rId2788" Type="http://schemas.openxmlformats.org/officeDocument/2006/relationships/hyperlink" Target="https://www.inaturalist.org/people/isaacclarey" TargetMode="External"/><Relationship Id="rId2789" Type="http://schemas.openxmlformats.org/officeDocument/2006/relationships/hyperlink" Target="https://creativecommons.org/licenses/by-nc/4.0/" TargetMode="External"/><Relationship Id="rId2790" Type="http://schemas.openxmlformats.org/officeDocument/2006/relationships/hyperlink" Target="https://www.inaturalist.org/observations/257342001" TargetMode="External"/><Relationship Id="rId2791" Type="http://schemas.openxmlformats.org/officeDocument/2006/relationships/hyperlink" Target="https://www.inaturalist.org/people/isaacclarey" TargetMode="External"/><Relationship Id="rId2792" Type="http://schemas.openxmlformats.org/officeDocument/2006/relationships/hyperlink" Target="https://creativecommons.org/licenses/by-nc/4.0/" TargetMode="External"/><Relationship Id="rId2793" Type="http://schemas.openxmlformats.org/officeDocument/2006/relationships/hyperlink" Target="https://www.inaturalist.org/observations/257342001" TargetMode="External"/><Relationship Id="rId2794" Type="http://schemas.openxmlformats.org/officeDocument/2006/relationships/hyperlink" Target="https://www.inaturalist.org/people/lilbobaggins19" TargetMode="External"/><Relationship Id="rId2795" Type="http://schemas.openxmlformats.org/officeDocument/2006/relationships/hyperlink" Target="https://creativecommons.org/licenses/by-nc/4.0/" TargetMode="External"/><Relationship Id="rId2796" Type="http://schemas.openxmlformats.org/officeDocument/2006/relationships/hyperlink" Target="https://www.inaturalist.org/observations/257109044" TargetMode="External"/><Relationship Id="rId2797" Type="http://schemas.openxmlformats.org/officeDocument/2006/relationships/hyperlink" Target="https://www.inaturalist.org/people/lilbobaggins19" TargetMode="External"/><Relationship Id="rId2798" Type="http://schemas.openxmlformats.org/officeDocument/2006/relationships/hyperlink" Target="https://creativecommons.org/licenses/by-nc/4.0/" TargetMode="External"/><Relationship Id="rId2799" Type="http://schemas.openxmlformats.org/officeDocument/2006/relationships/hyperlink" Target="https://www.inaturalist.org/observations/257109044" TargetMode="External"/><Relationship Id="rId2800" Type="http://schemas.openxmlformats.org/officeDocument/2006/relationships/hyperlink" Target="https://www.inaturalist.org/people/lilbobaggins19" TargetMode="External"/><Relationship Id="rId2801" Type="http://schemas.openxmlformats.org/officeDocument/2006/relationships/hyperlink" Target="https://creativecommons.org/licenses/by-nc/4.0/" TargetMode="External"/><Relationship Id="rId2802" Type="http://schemas.openxmlformats.org/officeDocument/2006/relationships/hyperlink" Target="https://www.inaturalist.org/observations/257109044" TargetMode="External"/><Relationship Id="rId2803" Type="http://schemas.openxmlformats.org/officeDocument/2006/relationships/hyperlink" Target="https://www.inaturalist.org/people/eliap" TargetMode="External"/><Relationship Id="rId2804" Type="http://schemas.openxmlformats.org/officeDocument/2006/relationships/hyperlink" Target="https://creativecommons.org/licenses/by-nc/4.0/" TargetMode="External"/><Relationship Id="rId2805" Type="http://schemas.openxmlformats.org/officeDocument/2006/relationships/hyperlink" Target="https://www.inaturalist.org/observations/250556550" TargetMode="External"/><Relationship Id="rId2806" Type="http://schemas.openxmlformats.org/officeDocument/2006/relationships/hyperlink" Target="https://www.inaturalist.org/people/eliap" TargetMode="External"/><Relationship Id="rId2807" Type="http://schemas.openxmlformats.org/officeDocument/2006/relationships/hyperlink" Target="https://creativecommons.org/licenses/by-nc/4.0/" TargetMode="External"/><Relationship Id="rId2808" Type="http://schemas.openxmlformats.org/officeDocument/2006/relationships/hyperlink" Target="https://www.inaturalist.org/observations/250556550" TargetMode="External"/><Relationship Id="rId2809" Type="http://schemas.openxmlformats.org/officeDocument/2006/relationships/hyperlink" Target="https://www.inaturalist.org/people/eliap" TargetMode="External"/><Relationship Id="rId2810" Type="http://schemas.openxmlformats.org/officeDocument/2006/relationships/hyperlink" Target="https://creativecommons.org/licenses/by-nc/4.0/" TargetMode="External"/><Relationship Id="rId2811" Type="http://schemas.openxmlformats.org/officeDocument/2006/relationships/hyperlink" Target="https://www.inaturalist.org/observations/250556515" TargetMode="External"/><Relationship Id="rId2812" Type="http://schemas.openxmlformats.org/officeDocument/2006/relationships/hyperlink" Target="https://www.inaturalist.org/people/eliap" TargetMode="External"/><Relationship Id="rId2813" Type="http://schemas.openxmlformats.org/officeDocument/2006/relationships/hyperlink" Target="https://creativecommons.org/licenses/by-nc/4.0/" TargetMode="External"/><Relationship Id="rId2814" Type="http://schemas.openxmlformats.org/officeDocument/2006/relationships/hyperlink" Target="https://www.inaturalist.org/observations/250556515" TargetMode="External"/><Relationship Id="rId2815" Type="http://schemas.openxmlformats.org/officeDocument/2006/relationships/hyperlink" Target="https://www.inaturalist.org/people/chuditch" TargetMode="External"/><Relationship Id="rId2816" Type="http://schemas.openxmlformats.org/officeDocument/2006/relationships/hyperlink" Target="https://creativecommons.org/licenses/by-nc/4.0/" TargetMode="External"/><Relationship Id="rId2817" Type="http://schemas.openxmlformats.org/officeDocument/2006/relationships/hyperlink" Target="https://www.inaturalist.org/observations/204895490" TargetMode="External"/><Relationship Id="rId2818" Type="http://schemas.openxmlformats.org/officeDocument/2006/relationships/hyperlink" Target="https://www.inaturalist.org/people/chuditch" TargetMode="External"/><Relationship Id="rId2819" Type="http://schemas.openxmlformats.org/officeDocument/2006/relationships/hyperlink" Target="https://creativecommons.org/licenses/by-nc/4.0/" TargetMode="External"/><Relationship Id="rId2820" Type="http://schemas.openxmlformats.org/officeDocument/2006/relationships/hyperlink" Target="https://www.inaturalist.org/observations/204895490" TargetMode="External"/><Relationship Id="rId2821" Type="http://schemas.openxmlformats.org/officeDocument/2006/relationships/hyperlink" Target="https://www.inaturalist.org/people/chuditch" TargetMode="External"/><Relationship Id="rId2822" Type="http://schemas.openxmlformats.org/officeDocument/2006/relationships/hyperlink" Target="https://creativecommons.org/licenses/by-nc/4.0/" TargetMode="External"/><Relationship Id="rId2823" Type="http://schemas.openxmlformats.org/officeDocument/2006/relationships/hyperlink" Target="https://www.inaturalist.org/observations/204895490" TargetMode="External"/><Relationship Id="rId2824" Type="http://schemas.openxmlformats.org/officeDocument/2006/relationships/hyperlink" Target="https://www.inaturalist.org/people/hannahdc" TargetMode="External"/><Relationship Id="rId2825" Type="http://schemas.openxmlformats.org/officeDocument/2006/relationships/hyperlink" Target="https://creativecommons.org/licenses/by-nc/4.0/" TargetMode="External"/><Relationship Id="rId2826" Type="http://schemas.openxmlformats.org/officeDocument/2006/relationships/hyperlink" Target="https://www.inaturalist.org/observations/379574224" TargetMode="External"/><Relationship Id="rId2827" Type="http://schemas.openxmlformats.org/officeDocument/2006/relationships/hyperlink" Target="https://www.inaturalist.org/people/hannahdc" TargetMode="External"/><Relationship Id="rId2828" Type="http://schemas.openxmlformats.org/officeDocument/2006/relationships/hyperlink" Target="https://creativecommons.org/licenses/by-nc/4.0/" TargetMode="External"/><Relationship Id="rId2829" Type="http://schemas.openxmlformats.org/officeDocument/2006/relationships/hyperlink" Target="https://www.inaturalist.org/observations/379574224" TargetMode="External"/><Relationship Id="rId2830" Type="http://schemas.openxmlformats.org/officeDocument/2006/relationships/hyperlink" Target="https://www.inaturalist.org/people/marshal451" TargetMode="External"/><Relationship Id="rId2831" Type="http://schemas.openxmlformats.org/officeDocument/2006/relationships/hyperlink" Target="https://creativecommons.org/licenses/by-nc/4.0/" TargetMode="External"/><Relationship Id="rId2832" Type="http://schemas.openxmlformats.org/officeDocument/2006/relationships/hyperlink" Target="https://www.inaturalist.org/observations/378732559" TargetMode="External"/><Relationship Id="rId2833" Type="http://schemas.openxmlformats.org/officeDocument/2006/relationships/hyperlink" Target="https://www.inaturalist.org/people/kalec" TargetMode="External"/><Relationship Id="rId2834" Type="http://schemas.openxmlformats.org/officeDocument/2006/relationships/hyperlink" Target="https://creativecommons.org/licenses/by-nc/4.0/" TargetMode="External"/><Relationship Id="rId2835" Type="http://schemas.openxmlformats.org/officeDocument/2006/relationships/hyperlink" Target="https://www.inaturalist.org/observations/376769909" TargetMode="External"/><Relationship Id="rId2836" Type="http://schemas.openxmlformats.org/officeDocument/2006/relationships/hyperlink" Target="https://www.inaturalist.org/people/sausagemahonie" TargetMode="External"/><Relationship Id="rId2837" Type="http://schemas.openxmlformats.org/officeDocument/2006/relationships/hyperlink" Target="https://creativecommons.org/licenses/by-nc/4.0/" TargetMode="External"/><Relationship Id="rId2838" Type="http://schemas.openxmlformats.org/officeDocument/2006/relationships/hyperlink" Target="https://www.inaturalist.org/observations/373178100" TargetMode="External"/><Relationship Id="rId2839" Type="http://schemas.openxmlformats.org/officeDocument/2006/relationships/hyperlink" Target="https://www.inaturalist.org/people/sausagemahonie" TargetMode="External"/><Relationship Id="rId2840" Type="http://schemas.openxmlformats.org/officeDocument/2006/relationships/hyperlink" Target="https://creativecommons.org/licenses/by-nc/4.0/" TargetMode="External"/><Relationship Id="rId2841" Type="http://schemas.openxmlformats.org/officeDocument/2006/relationships/hyperlink" Target="https://www.inaturalist.org/observations/373178100" TargetMode="External"/><Relationship Id="rId2842" Type="http://schemas.openxmlformats.org/officeDocument/2006/relationships/hyperlink" Target="https://www.inaturalist.org/people/wandering_the_hills" TargetMode="External"/><Relationship Id="rId2843" Type="http://schemas.openxmlformats.org/officeDocument/2006/relationships/hyperlink" Target="https://creativecommons.org/licenses/by-nc/4.0/" TargetMode="External"/><Relationship Id="rId2844" Type="http://schemas.openxmlformats.org/officeDocument/2006/relationships/hyperlink" Target="https://www.inaturalist.org/observations/372859067" TargetMode="External"/><Relationship Id="rId2845" Type="http://schemas.openxmlformats.org/officeDocument/2006/relationships/hyperlink" Target="https://www.inaturalist.org/people/mikrakov" TargetMode="External"/><Relationship Id="rId2846" Type="http://schemas.openxmlformats.org/officeDocument/2006/relationships/hyperlink" Target="https://creativecommons.org/licenses/by-nc/4.0/" TargetMode="External"/><Relationship Id="rId2847" Type="http://schemas.openxmlformats.org/officeDocument/2006/relationships/hyperlink" Target="https://www.inaturalist.org/observations/372614411" TargetMode="External"/><Relationship Id="rId2848" Type="http://schemas.openxmlformats.org/officeDocument/2006/relationships/hyperlink" Target="https://www.inaturalist.org/people/samuel_beerkens" TargetMode="External"/><Relationship Id="rId2849" Type="http://schemas.openxmlformats.org/officeDocument/2006/relationships/hyperlink" Target="https://creativecommons.org/licenses/by-nc/4.0/" TargetMode="External"/><Relationship Id="rId2850" Type="http://schemas.openxmlformats.org/officeDocument/2006/relationships/hyperlink" Target="https://www.inaturalist.org/observations/371872433" TargetMode="External"/><Relationship Id="rId2851" Type="http://schemas.openxmlformats.org/officeDocument/2006/relationships/hyperlink" Target="https://www.inaturalist.org/people/lana92247" TargetMode="External"/><Relationship Id="rId2852" Type="http://schemas.openxmlformats.org/officeDocument/2006/relationships/hyperlink" Target="https://creativecommons.org/licenses/by-nc/4.0/" TargetMode="External"/><Relationship Id="rId2853" Type="http://schemas.openxmlformats.org/officeDocument/2006/relationships/hyperlink" Target="https://www.inaturalist.org/observations/370917264" TargetMode="External"/><Relationship Id="rId2854" Type="http://schemas.openxmlformats.org/officeDocument/2006/relationships/hyperlink" Target="https://www.inaturalist.org/people/lana92247" TargetMode="External"/><Relationship Id="rId2855" Type="http://schemas.openxmlformats.org/officeDocument/2006/relationships/hyperlink" Target="https://creativecommons.org/licenses/by-nc/4.0/" TargetMode="External"/><Relationship Id="rId2856" Type="http://schemas.openxmlformats.org/officeDocument/2006/relationships/hyperlink" Target="https://www.inaturalist.org/observations/370917264" TargetMode="External"/><Relationship Id="rId2857" Type="http://schemas.openxmlformats.org/officeDocument/2006/relationships/hyperlink" Target="https://www.inaturalist.org/people/axeholmes" TargetMode="External"/><Relationship Id="rId2858" Type="http://schemas.openxmlformats.org/officeDocument/2006/relationships/hyperlink" Target="https://creativecommons.org/licenses/by-nc/4.0/" TargetMode="External"/><Relationship Id="rId2859" Type="http://schemas.openxmlformats.org/officeDocument/2006/relationships/hyperlink" Target="https://www.inaturalist.org/observations/370317441" TargetMode="External"/><Relationship Id="rId2860" Type="http://schemas.openxmlformats.org/officeDocument/2006/relationships/hyperlink" Target="https://www.inaturalist.org/people/ba_damson" TargetMode="External"/><Relationship Id="rId2861" Type="http://schemas.openxmlformats.org/officeDocument/2006/relationships/hyperlink" Target="https://creativecommons.org/licenses/by-nc/4.0/" TargetMode="External"/><Relationship Id="rId2862" Type="http://schemas.openxmlformats.org/officeDocument/2006/relationships/hyperlink" Target="https://www.inaturalist.org/observations/370008342" TargetMode="External"/><Relationship Id="rId2863" Type="http://schemas.openxmlformats.org/officeDocument/2006/relationships/hyperlink" Target="https://www.inaturalist.org/people/ba_damson" TargetMode="External"/><Relationship Id="rId2864" Type="http://schemas.openxmlformats.org/officeDocument/2006/relationships/hyperlink" Target="https://creativecommons.org/licenses/by-nc/4.0/" TargetMode="External"/><Relationship Id="rId2865" Type="http://schemas.openxmlformats.org/officeDocument/2006/relationships/hyperlink" Target="https://www.inaturalist.org/observations/370008342" TargetMode="External"/><Relationship Id="rId2866" Type="http://schemas.openxmlformats.org/officeDocument/2006/relationships/hyperlink" Target="https://www.inaturalist.org/people/waynechaffey" TargetMode="External"/><Relationship Id="rId2867" Type="http://schemas.openxmlformats.org/officeDocument/2006/relationships/hyperlink" Target="https://creativecommons.org/licenses/by-nc/4.0/" TargetMode="External"/><Relationship Id="rId2868" Type="http://schemas.openxmlformats.org/officeDocument/2006/relationships/hyperlink" Target="https://www.inaturalist.org/observations/369634468" TargetMode="External"/><Relationship Id="rId2869" Type="http://schemas.openxmlformats.org/officeDocument/2006/relationships/hyperlink" Target="https://www.inaturalist.org/people/waynechaffey" TargetMode="External"/><Relationship Id="rId2870" Type="http://schemas.openxmlformats.org/officeDocument/2006/relationships/hyperlink" Target="https://creativecommons.org/licenses/by-nc/4.0/" TargetMode="External"/><Relationship Id="rId2871" Type="http://schemas.openxmlformats.org/officeDocument/2006/relationships/hyperlink" Target="https://www.inaturalist.org/observations/369634468" TargetMode="External"/><Relationship Id="rId2872" Type="http://schemas.openxmlformats.org/officeDocument/2006/relationships/hyperlink" Target="https://www.inaturalist.org/people/asmolbugobserver" TargetMode="External"/><Relationship Id="rId2873" Type="http://schemas.openxmlformats.org/officeDocument/2006/relationships/hyperlink" Target="https://creativecommons.org/licenses/by-nc/4.0/" TargetMode="External"/><Relationship Id="rId2874" Type="http://schemas.openxmlformats.org/officeDocument/2006/relationships/hyperlink" Target="https://www.inaturalist.org/observations/369601431" TargetMode="External"/><Relationship Id="rId2875" Type="http://schemas.openxmlformats.org/officeDocument/2006/relationships/hyperlink" Target="https://www.inaturalist.org/people/johnsear" TargetMode="External"/><Relationship Id="rId2876" Type="http://schemas.openxmlformats.org/officeDocument/2006/relationships/hyperlink" Target="https://creativecommons.org/licenses/by-nc/4.0/" TargetMode="External"/><Relationship Id="rId2877" Type="http://schemas.openxmlformats.org/officeDocument/2006/relationships/hyperlink" Target="https://www.inaturalist.org/observations/367976771" TargetMode="External"/><Relationship Id="rId2878" Type="http://schemas.openxmlformats.org/officeDocument/2006/relationships/hyperlink" Target="https://www.inaturalist.org/people/helinurse" TargetMode="External"/><Relationship Id="rId2879" Type="http://schemas.openxmlformats.org/officeDocument/2006/relationships/hyperlink" Target="https://creativecommons.org/licenses/by-nc/4.0/" TargetMode="External"/><Relationship Id="rId2880" Type="http://schemas.openxmlformats.org/officeDocument/2006/relationships/hyperlink" Target="https://www.inaturalist.org/observations/367948387" TargetMode="External"/><Relationship Id="rId2881" Type="http://schemas.openxmlformats.org/officeDocument/2006/relationships/hyperlink" Target="https://www.inaturalist.org/people/cladocalyx" TargetMode="External"/><Relationship Id="rId2882" Type="http://schemas.openxmlformats.org/officeDocument/2006/relationships/hyperlink" Target="https://creativecommons.org/licenses/by-nc/4.0/" TargetMode="External"/><Relationship Id="rId2883" Type="http://schemas.openxmlformats.org/officeDocument/2006/relationships/hyperlink" Target="https://www.inaturalist.org/observations/366304174" TargetMode="External"/><Relationship Id="rId2884" Type="http://schemas.openxmlformats.org/officeDocument/2006/relationships/hyperlink" Target="https://www.inaturalist.org/people/snowdennis" TargetMode="External"/><Relationship Id="rId2885" Type="http://schemas.openxmlformats.org/officeDocument/2006/relationships/hyperlink" Target="https://creativecommons.org/licenses/by-nc/4.0/" TargetMode="External"/><Relationship Id="rId2886" Type="http://schemas.openxmlformats.org/officeDocument/2006/relationships/hyperlink" Target="https://www.inaturalist.org/observations/366256617" TargetMode="External"/><Relationship Id="rId2887" Type="http://schemas.openxmlformats.org/officeDocument/2006/relationships/hyperlink" Target="https://www.inaturalist.org/people/amelielague" TargetMode="External"/><Relationship Id="rId2888" Type="http://schemas.openxmlformats.org/officeDocument/2006/relationships/hyperlink" Target="https://creativecommons.org/licenses/by-nc/4.0/" TargetMode="External"/><Relationship Id="rId2889" Type="http://schemas.openxmlformats.org/officeDocument/2006/relationships/hyperlink" Target="https://www.inaturalist.org/observations/365904043" TargetMode="External"/><Relationship Id="rId2890" Type="http://schemas.openxmlformats.org/officeDocument/2006/relationships/hyperlink" Target="https://www.inaturalist.org/people/twohawk" TargetMode="External"/><Relationship Id="rId2891" Type="http://schemas.openxmlformats.org/officeDocument/2006/relationships/hyperlink" Target="https://creativecommons.org/licenses/by-nc/4.0/" TargetMode="External"/><Relationship Id="rId2892" Type="http://schemas.openxmlformats.org/officeDocument/2006/relationships/hyperlink" Target="https://www.inaturalist.org/observations/365606196" TargetMode="External"/><Relationship Id="rId2893" Type="http://schemas.openxmlformats.org/officeDocument/2006/relationships/hyperlink" Target="https://www.inaturalist.org/people/mad_exotics_and_reptile_care" TargetMode="External"/><Relationship Id="rId2894" Type="http://schemas.openxmlformats.org/officeDocument/2006/relationships/hyperlink" Target="https://creativecommons.org/licenses/by-nc/4.0/" TargetMode="External"/><Relationship Id="rId2895" Type="http://schemas.openxmlformats.org/officeDocument/2006/relationships/hyperlink" Target="https://www.inaturalist.org/observations/364479411" TargetMode="External"/><Relationship Id="rId2896" Type="http://schemas.openxmlformats.org/officeDocument/2006/relationships/hyperlink" Target="https://www.inaturalist.org/people/axeholmes" TargetMode="External"/><Relationship Id="rId2897" Type="http://schemas.openxmlformats.org/officeDocument/2006/relationships/hyperlink" Target="https://creativecommons.org/licenses/by-nc/4.0/" TargetMode="External"/><Relationship Id="rId2898" Type="http://schemas.openxmlformats.org/officeDocument/2006/relationships/hyperlink" Target="https://www.inaturalist.org/observations/364172304" TargetMode="External"/><Relationship Id="rId2899" Type="http://schemas.openxmlformats.org/officeDocument/2006/relationships/hyperlink" Target="https://www.inaturalist.org/people/johnlread" TargetMode="External"/><Relationship Id="rId2900" Type="http://schemas.openxmlformats.org/officeDocument/2006/relationships/hyperlink" Target="https://creativecommons.org/licenses/by-nc/4.0/" TargetMode="External"/><Relationship Id="rId2901" Type="http://schemas.openxmlformats.org/officeDocument/2006/relationships/hyperlink" Target="https://www.inaturalist.org/observations/363931896" TargetMode="External"/><Relationship Id="rId2902" Type="http://schemas.openxmlformats.org/officeDocument/2006/relationships/hyperlink" Target="https://www.inaturalist.org/people/llllllllll" TargetMode="External"/><Relationship Id="rId2903" Type="http://schemas.openxmlformats.org/officeDocument/2006/relationships/hyperlink" Target="https://creativecommons.org/licenses/by-nc/4.0/" TargetMode="External"/><Relationship Id="rId2904" Type="http://schemas.openxmlformats.org/officeDocument/2006/relationships/hyperlink" Target="https://www.inaturalist.org/observations/363800813" TargetMode="External"/><Relationship Id="rId2905" Type="http://schemas.openxmlformats.org/officeDocument/2006/relationships/hyperlink" Target="https://www.inaturalist.org/people/wa_island_havens" TargetMode="External"/><Relationship Id="rId2906" Type="http://schemas.openxmlformats.org/officeDocument/2006/relationships/hyperlink" Target="https://creativecommons.org/licenses/by-nc/4.0/" TargetMode="External"/><Relationship Id="rId2907" Type="http://schemas.openxmlformats.org/officeDocument/2006/relationships/hyperlink" Target="https://www.inaturalist.org/observations/363293625" TargetMode="External"/><Relationship Id="rId2908" Type="http://schemas.openxmlformats.org/officeDocument/2006/relationships/hyperlink" Target="https://www.inaturalist.org/people/snowdennis" TargetMode="External"/><Relationship Id="rId2909" Type="http://schemas.openxmlformats.org/officeDocument/2006/relationships/hyperlink" Target="https://creativecommons.org/licenses/by-nc/4.0/" TargetMode="External"/><Relationship Id="rId2910" Type="http://schemas.openxmlformats.org/officeDocument/2006/relationships/hyperlink" Target="https://www.inaturalist.org/observations/362654963" TargetMode="External"/><Relationship Id="rId2911" Type="http://schemas.openxmlformats.org/officeDocument/2006/relationships/hyperlink" Target="https://www.inaturalist.org/people/igviljoen" TargetMode="External"/><Relationship Id="rId2912" Type="http://schemas.openxmlformats.org/officeDocument/2006/relationships/hyperlink" Target="https://creativecommons.org/licenses/by-nc/4.0/" TargetMode="External"/><Relationship Id="rId2913" Type="http://schemas.openxmlformats.org/officeDocument/2006/relationships/hyperlink" Target="https://www.inaturalist.org/observations/361670731" TargetMode="External"/><Relationship Id="rId2914" Type="http://schemas.openxmlformats.org/officeDocument/2006/relationships/hyperlink" Target="https://www.inaturalist.org/people/igviljoen" TargetMode="External"/><Relationship Id="rId2915" Type="http://schemas.openxmlformats.org/officeDocument/2006/relationships/hyperlink" Target="https://creativecommons.org/licenses/by-nc/4.0/" TargetMode="External"/><Relationship Id="rId2916" Type="http://schemas.openxmlformats.org/officeDocument/2006/relationships/hyperlink" Target="https://www.inaturalist.org/observations/361670731" TargetMode="External"/><Relationship Id="rId2917" Type="http://schemas.openxmlformats.org/officeDocument/2006/relationships/hyperlink" Target="https://www.inaturalist.org/people/moose0505" TargetMode="External"/><Relationship Id="rId2918" Type="http://schemas.openxmlformats.org/officeDocument/2006/relationships/hyperlink" Target="https://creativecommons.org/licenses/by-nc/4.0/" TargetMode="External"/><Relationship Id="rId2919" Type="http://schemas.openxmlformats.org/officeDocument/2006/relationships/hyperlink" Target="https://www.inaturalist.org/observations/361417198" TargetMode="External"/><Relationship Id="rId2920" Type="http://schemas.openxmlformats.org/officeDocument/2006/relationships/hyperlink" Target="https://www.inaturalist.org/people/j_beatts" TargetMode="External"/><Relationship Id="rId2921" Type="http://schemas.openxmlformats.org/officeDocument/2006/relationships/hyperlink" Target="https://creativecommons.org/licenses/by-nc/4.0/" TargetMode="External"/><Relationship Id="rId2922" Type="http://schemas.openxmlformats.org/officeDocument/2006/relationships/hyperlink" Target="https://www.inaturalist.org/observations/361153219" TargetMode="External"/><Relationship Id="rId2923" Type="http://schemas.openxmlformats.org/officeDocument/2006/relationships/hyperlink" Target="https://www.inaturalist.org/people/adrianuren" TargetMode="External"/><Relationship Id="rId2924" Type="http://schemas.openxmlformats.org/officeDocument/2006/relationships/hyperlink" Target="https://creativecommons.org/licenses/by-nc/4.0/" TargetMode="External"/><Relationship Id="rId2925" Type="http://schemas.openxmlformats.org/officeDocument/2006/relationships/hyperlink" Target="https://www.inaturalist.org/observations/361085986" TargetMode="External"/><Relationship Id="rId2926" Type="http://schemas.openxmlformats.org/officeDocument/2006/relationships/hyperlink" Target="https://www.inaturalist.org/people/niamhdouglas" TargetMode="External"/><Relationship Id="rId2927" Type="http://schemas.openxmlformats.org/officeDocument/2006/relationships/hyperlink" Target="https://creativecommons.org/licenses/by-nc/4.0/" TargetMode="External"/><Relationship Id="rId2928" Type="http://schemas.openxmlformats.org/officeDocument/2006/relationships/hyperlink" Target="https://www.inaturalist.org/observations/360537324" TargetMode="External"/><Relationship Id="rId2929" Type="http://schemas.openxmlformats.org/officeDocument/2006/relationships/hyperlink" Target="https://www.inaturalist.org/people/mashalevene" TargetMode="External"/><Relationship Id="rId2930" Type="http://schemas.openxmlformats.org/officeDocument/2006/relationships/hyperlink" Target="https://creativecommons.org/licenses/by-nc/4.0/" TargetMode="External"/><Relationship Id="rId2931" Type="http://schemas.openxmlformats.org/officeDocument/2006/relationships/hyperlink" Target="https://www.inaturalist.org/observations/378727309" TargetMode="External"/><Relationship Id="rId2932" Type="http://schemas.openxmlformats.org/officeDocument/2006/relationships/hyperlink" Target="https://www.inaturalist.org/people/adahlby" TargetMode="External"/><Relationship Id="rId2933" Type="http://schemas.openxmlformats.org/officeDocument/2006/relationships/hyperlink" Target="https://creativecommons.org/licenses/by-nc/4.0/" TargetMode="External"/><Relationship Id="rId2934" Type="http://schemas.openxmlformats.org/officeDocument/2006/relationships/hyperlink" Target="https://www.inaturalist.org/observations/368210274" TargetMode="External"/><Relationship Id="rId2935" Type="http://schemas.openxmlformats.org/officeDocument/2006/relationships/hyperlink" Target="https://www.inaturalist.org/people/kym1959" TargetMode="External"/><Relationship Id="rId2936" Type="http://schemas.openxmlformats.org/officeDocument/2006/relationships/hyperlink" Target="https://creativecommons.org/licenses/by-nc/4.0/" TargetMode="External"/><Relationship Id="rId2937" Type="http://schemas.openxmlformats.org/officeDocument/2006/relationships/hyperlink" Target="https://www.inaturalist.org/observations/363495093" TargetMode="External"/><Relationship Id="rId2938" Type="http://schemas.openxmlformats.org/officeDocument/2006/relationships/hyperlink" Target="https://www.inaturalist.org/people/lread" TargetMode="External"/><Relationship Id="rId2939" Type="http://schemas.openxmlformats.org/officeDocument/2006/relationships/hyperlink" Target="https://creativecommons.org/licenses/by-nc/4.0/" TargetMode="External"/><Relationship Id="rId2940" Type="http://schemas.openxmlformats.org/officeDocument/2006/relationships/hyperlink" Target="https://www.inaturalist.org/observations/362385283" TargetMode="External"/><Relationship Id="rId2941" Type="http://schemas.openxmlformats.org/officeDocument/2006/relationships/hyperlink" Target="https://www.inaturalist.org/people/rowt" TargetMode="External"/><Relationship Id="rId2942" Type="http://schemas.openxmlformats.org/officeDocument/2006/relationships/hyperlink" Target="https://creativecommons.org/licenses/by-nc/4.0/" TargetMode="External"/><Relationship Id="rId2943" Type="http://schemas.openxmlformats.org/officeDocument/2006/relationships/hyperlink" Target="https://www.inaturalist.org/observations/360765054" TargetMode="External"/><Relationship Id="rId2944" Type="http://schemas.openxmlformats.org/officeDocument/2006/relationships/hyperlink" Target="https://www.inaturalist.org/people/rowt" TargetMode="External"/><Relationship Id="rId2945" Type="http://schemas.openxmlformats.org/officeDocument/2006/relationships/hyperlink" Target="https://creativecommons.org/licenses/by-nc/4.0/" TargetMode="External"/><Relationship Id="rId2946" Type="http://schemas.openxmlformats.org/officeDocument/2006/relationships/hyperlink" Target="https://www.inaturalist.org/observations/360712715" TargetMode="External"/><Relationship Id="rId2947" Type="http://schemas.openxmlformats.org/officeDocument/2006/relationships/hyperlink" Target="https://www.inaturalist.org/people/rowt" TargetMode="External"/><Relationship Id="rId2948" Type="http://schemas.openxmlformats.org/officeDocument/2006/relationships/hyperlink" Target="https://creativecommons.org/licenses/by-nc/4.0/" TargetMode="External"/><Relationship Id="rId2949" Type="http://schemas.openxmlformats.org/officeDocument/2006/relationships/hyperlink" Target="https://www.inaturalist.org/observations/360703494" TargetMode="External"/><Relationship Id="rId2950" Type="http://schemas.openxmlformats.org/officeDocument/2006/relationships/hyperlink" Target="https://www.inaturalist.org/people/meganslade96" TargetMode="External"/><Relationship Id="rId2951" Type="http://schemas.openxmlformats.org/officeDocument/2006/relationships/hyperlink" Target="https://creativecommons.org/licenses/by-nc/4.0/" TargetMode="External"/><Relationship Id="rId2952" Type="http://schemas.openxmlformats.org/officeDocument/2006/relationships/hyperlink" Target="https://www.inaturalist.org/observations/346346126" TargetMode="External"/><Relationship Id="rId2953" Type="http://schemas.openxmlformats.org/officeDocument/2006/relationships/hyperlink" Target="https://www.inaturalist.org/people/peterwest" TargetMode="External"/><Relationship Id="rId2954" Type="http://schemas.openxmlformats.org/officeDocument/2006/relationships/hyperlink" Target="https://creativecommons.org/licenses/by-nc/4.0/" TargetMode="External"/><Relationship Id="rId2955" Type="http://schemas.openxmlformats.org/officeDocument/2006/relationships/hyperlink" Target="https://www.inaturalist.org/observations/343967623" TargetMode="External"/><Relationship Id="rId2956" Type="http://schemas.openxmlformats.org/officeDocument/2006/relationships/hyperlink" Target="https://www.inaturalist.org/people/peterwest" TargetMode="External"/><Relationship Id="rId2957" Type="http://schemas.openxmlformats.org/officeDocument/2006/relationships/hyperlink" Target="https://creativecommons.org/licenses/by-nc/4.0/" TargetMode="External"/><Relationship Id="rId2958" Type="http://schemas.openxmlformats.org/officeDocument/2006/relationships/hyperlink" Target="https://www.inaturalist.org/observations/343967623" TargetMode="External"/><Relationship Id="rId2959" Type="http://schemas.openxmlformats.org/officeDocument/2006/relationships/hyperlink" Target="https://www.inaturalist.org/people/chienyu1" TargetMode="External"/><Relationship Id="rId2960" Type="http://schemas.openxmlformats.org/officeDocument/2006/relationships/hyperlink" Target="https://creativecommons.org/licenses/by-nc/4.0/" TargetMode="External"/><Relationship Id="rId2961" Type="http://schemas.openxmlformats.org/officeDocument/2006/relationships/hyperlink" Target="https://www.inaturalist.org/observations/342744757" TargetMode="External"/><Relationship Id="rId2962" Type="http://schemas.openxmlformats.org/officeDocument/2006/relationships/hyperlink" Target="https://www.inaturalist.org/people/samantha85628" TargetMode="External"/><Relationship Id="rId2963" Type="http://schemas.openxmlformats.org/officeDocument/2006/relationships/hyperlink" Target="https://creativecommons.org/licenses/by-nc/4.0/" TargetMode="External"/><Relationship Id="rId2964" Type="http://schemas.openxmlformats.org/officeDocument/2006/relationships/hyperlink" Target="https://www.inaturalist.org/observations/341597581" TargetMode="External"/><Relationship Id="rId2965" Type="http://schemas.openxmlformats.org/officeDocument/2006/relationships/hyperlink" Target="https://www.inaturalist.org/people/mwhoran" TargetMode="External"/><Relationship Id="rId2966" Type="http://schemas.openxmlformats.org/officeDocument/2006/relationships/hyperlink" Target="https://creativecommons.org/licenses/by-nc/4.0/" TargetMode="External"/><Relationship Id="rId2967" Type="http://schemas.openxmlformats.org/officeDocument/2006/relationships/hyperlink" Target="https://www.inaturalist.org/observations/339152837" TargetMode="External"/><Relationship Id="rId2968" Type="http://schemas.openxmlformats.org/officeDocument/2006/relationships/hyperlink" Target="https://www.inaturalist.org/people/rob12410" TargetMode="External"/><Relationship Id="rId2969" Type="http://schemas.openxmlformats.org/officeDocument/2006/relationships/hyperlink" Target="https://creativecommons.org/licenses/by-nc/4.0/" TargetMode="External"/><Relationship Id="rId2970" Type="http://schemas.openxmlformats.org/officeDocument/2006/relationships/hyperlink" Target="https://www.inaturalist.org/observations/336730361" TargetMode="External"/><Relationship Id="rId2971" Type="http://schemas.openxmlformats.org/officeDocument/2006/relationships/hyperlink" Target="https://www.inaturalist.org/people/beccbbbec" TargetMode="External"/><Relationship Id="rId2972" Type="http://schemas.openxmlformats.org/officeDocument/2006/relationships/hyperlink" Target="https://creativecommons.org/licenses/by-nc/4.0/" TargetMode="External"/><Relationship Id="rId2973" Type="http://schemas.openxmlformats.org/officeDocument/2006/relationships/hyperlink" Target="https://www.inaturalist.org/observations/336051427" TargetMode="External"/><Relationship Id="rId2974" Type="http://schemas.openxmlformats.org/officeDocument/2006/relationships/hyperlink" Target="https://www.inaturalist.org/people/lethalspread" TargetMode="External"/><Relationship Id="rId2975" Type="http://schemas.openxmlformats.org/officeDocument/2006/relationships/hyperlink" Target="https://creativecommons.org/licenses/by-nc/4.0/" TargetMode="External"/><Relationship Id="rId2976" Type="http://schemas.openxmlformats.org/officeDocument/2006/relationships/hyperlink" Target="https://www.inaturalist.org/observations/335428205" TargetMode="External"/><Relationship Id="rId2977" Type="http://schemas.openxmlformats.org/officeDocument/2006/relationships/hyperlink" Target="https://www.inaturalist.org/people/lethalspread" TargetMode="External"/><Relationship Id="rId2978" Type="http://schemas.openxmlformats.org/officeDocument/2006/relationships/hyperlink" Target="https://creativecommons.org/licenses/by-nc/4.0/" TargetMode="External"/><Relationship Id="rId2979" Type="http://schemas.openxmlformats.org/officeDocument/2006/relationships/hyperlink" Target="https://www.inaturalist.org/observations/335427633" TargetMode="External"/><Relationship Id="rId2980" Type="http://schemas.openxmlformats.org/officeDocument/2006/relationships/hyperlink" Target="https://www.inaturalist.org/people/owenlishmund" TargetMode="External"/><Relationship Id="rId2981" Type="http://schemas.openxmlformats.org/officeDocument/2006/relationships/hyperlink" Target="https://creativecommons.org/licenses/by-nc/4.0/" TargetMode="External"/><Relationship Id="rId2982" Type="http://schemas.openxmlformats.org/officeDocument/2006/relationships/hyperlink" Target="https://www.inaturalist.org/observations/330793944" TargetMode="External"/><Relationship Id="rId2983" Type="http://schemas.openxmlformats.org/officeDocument/2006/relationships/hyperlink" Target="https://www.inaturalist.org/people/owenlishmund" TargetMode="External"/><Relationship Id="rId2984" Type="http://schemas.openxmlformats.org/officeDocument/2006/relationships/hyperlink" Target="https://creativecommons.org/licenses/by-nc/4.0/" TargetMode="External"/><Relationship Id="rId2985" Type="http://schemas.openxmlformats.org/officeDocument/2006/relationships/hyperlink" Target="https://www.inaturalist.org/observations/330793940" TargetMode="External"/><Relationship Id="rId2986" Type="http://schemas.openxmlformats.org/officeDocument/2006/relationships/hyperlink" Target="https://www.inaturalist.org/people/owenlishmund" TargetMode="External"/><Relationship Id="rId2987" Type="http://schemas.openxmlformats.org/officeDocument/2006/relationships/hyperlink" Target="https://creativecommons.org/licenses/by-nc/4.0/" TargetMode="External"/><Relationship Id="rId2988" Type="http://schemas.openxmlformats.org/officeDocument/2006/relationships/hyperlink" Target="https://www.inaturalist.org/observations/330793933" TargetMode="External"/><Relationship Id="rId2989" Type="http://schemas.openxmlformats.org/officeDocument/2006/relationships/hyperlink" Target="https://www.inaturalist.org/people/owenlishmund" TargetMode="External"/><Relationship Id="rId2990" Type="http://schemas.openxmlformats.org/officeDocument/2006/relationships/hyperlink" Target="https://creativecommons.org/licenses/by-nc/4.0/" TargetMode="External"/><Relationship Id="rId2991" Type="http://schemas.openxmlformats.org/officeDocument/2006/relationships/hyperlink" Target="https://www.inaturalist.org/observations/330793931" TargetMode="External"/><Relationship Id="rId2992" Type="http://schemas.openxmlformats.org/officeDocument/2006/relationships/hyperlink" Target="https://www.inaturalist.org/people/p35530" TargetMode="External"/><Relationship Id="rId2993" Type="http://schemas.openxmlformats.org/officeDocument/2006/relationships/hyperlink" Target="https://creativecommons.org/licenses/by-nc/4.0/" TargetMode="External"/><Relationship Id="rId2994" Type="http://schemas.openxmlformats.org/officeDocument/2006/relationships/hyperlink" Target="https://www.inaturalist.org/observations/330694671" TargetMode="External"/><Relationship Id="rId2995" Type="http://schemas.openxmlformats.org/officeDocument/2006/relationships/hyperlink" Target="https://www.inaturalist.org/people/p35530" TargetMode="External"/><Relationship Id="rId2996" Type="http://schemas.openxmlformats.org/officeDocument/2006/relationships/hyperlink" Target="https://creativecommons.org/licenses/by-nc/4.0/" TargetMode="External"/><Relationship Id="rId2997" Type="http://schemas.openxmlformats.org/officeDocument/2006/relationships/hyperlink" Target="https://www.inaturalist.org/observations/330694671" TargetMode="External"/><Relationship Id="rId2998" Type="http://schemas.openxmlformats.org/officeDocument/2006/relationships/hyperlink" Target="https://www.inaturalist.org/people/rattus_magneticus" TargetMode="External"/><Relationship Id="rId2999" Type="http://schemas.openxmlformats.org/officeDocument/2006/relationships/hyperlink" Target="https://creativecommons.org/licenses/by-nc/4.0/" TargetMode="External"/><Relationship Id="rId3000" Type="http://schemas.openxmlformats.org/officeDocument/2006/relationships/hyperlink" Target="https://www.inaturalist.org/observations/327984201" TargetMode="External"/><Relationship Id="rId3001" Type="http://schemas.openxmlformats.org/officeDocument/2006/relationships/hyperlink" Target="https://www.inaturalist.org/people/rattus_magneticus" TargetMode="External"/><Relationship Id="rId3002" Type="http://schemas.openxmlformats.org/officeDocument/2006/relationships/hyperlink" Target="https://creativecommons.org/licenses/by-nc/4.0/" TargetMode="External"/><Relationship Id="rId3003" Type="http://schemas.openxmlformats.org/officeDocument/2006/relationships/hyperlink" Target="https://www.inaturalist.org/observations/327984201" TargetMode="External"/><Relationship Id="rId3004" Type="http://schemas.openxmlformats.org/officeDocument/2006/relationships/hyperlink" Target="https://www.inaturalist.org/people/rattus_magneticus" TargetMode="External"/><Relationship Id="rId3005" Type="http://schemas.openxmlformats.org/officeDocument/2006/relationships/hyperlink" Target="https://creativecommons.org/licenses/by-nc/4.0/" TargetMode="External"/><Relationship Id="rId3006" Type="http://schemas.openxmlformats.org/officeDocument/2006/relationships/hyperlink" Target="https://www.inaturalist.org/observations/327984201" TargetMode="External"/><Relationship Id="rId3007" Type="http://schemas.openxmlformats.org/officeDocument/2006/relationships/hyperlink" Target="https://www.inaturalist.org/people/rattus_magneticus" TargetMode="External"/><Relationship Id="rId3008" Type="http://schemas.openxmlformats.org/officeDocument/2006/relationships/hyperlink" Target="https://creativecommons.org/licenses/by-nc/4.0/" TargetMode="External"/><Relationship Id="rId3009" Type="http://schemas.openxmlformats.org/officeDocument/2006/relationships/hyperlink" Target="https://www.inaturalist.org/observations/327984201" TargetMode="External"/><Relationship Id="rId3010" Type="http://schemas.openxmlformats.org/officeDocument/2006/relationships/hyperlink" Target="https://www.inaturalist.org/people/nat_is_a_lost" TargetMode="External"/><Relationship Id="rId3011" Type="http://schemas.openxmlformats.org/officeDocument/2006/relationships/hyperlink" Target="https://creativecommons.org/licenses/by-nc/4.0/" TargetMode="External"/><Relationship Id="rId3012" Type="http://schemas.openxmlformats.org/officeDocument/2006/relationships/hyperlink" Target="https://www.inaturalist.org/observations/327443298" TargetMode="External"/><Relationship Id="rId3013" Type="http://schemas.openxmlformats.org/officeDocument/2006/relationships/hyperlink" Target="https://www.inaturalist.org/people/rreams" TargetMode="External"/><Relationship Id="rId3014" Type="http://schemas.openxmlformats.org/officeDocument/2006/relationships/hyperlink" Target="https://creativecommons.org/licenses/by-nc/4.0/" TargetMode="External"/><Relationship Id="rId3015" Type="http://schemas.openxmlformats.org/officeDocument/2006/relationships/hyperlink" Target="https://www.inaturalist.org/observations/327033749" TargetMode="External"/><Relationship Id="rId3016" Type="http://schemas.openxmlformats.org/officeDocument/2006/relationships/hyperlink" Target="https://www.inaturalist.org/people/lucaslego" TargetMode="External"/><Relationship Id="rId3017" Type="http://schemas.openxmlformats.org/officeDocument/2006/relationships/hyperlink" Target="https://creativecommons.org/licenses/by-nc/4.0/" TargetMode="External"/><Relationship Id="rId3018" Type="http://schemas.openxmlformats.org/officeDocument/2006/relationships/hyperlink" Target="https://www.inaturalist.org/observations/326391831" TargetMode="External"/><Relationship Id="rId3019" Type="http://schemas.openxmlformats.org/officeDocument/2006/relationships/hyperlink" Target="https://www.inaturalist.org/people/lucaslego" TargetMode="External"/><Relationship Id="rId3020" Type="http://schemas.openxmlformats.org/officeDocument/2006/relationships/hyperlink" Target="https://creativecommons.org/licenses/by-nc/4.0/" TargetMode="External"/><Relationship Id="rId3021" Type="http://schemas.openxmlformats.org/officeDocument/2006/relationships/hyperlink" Target="https://www.inaturalist.org/observations/326391831" TargetMode="External"/><Relationship Id="rId3022" Type="http://schemas.openxmlformats.org/officeDocument/2006/relationships/hyperlink" Target="https://www.inaturalist.org/people/econeighbour_" TargetMode="External"/><Relationship Id="rId3023" Type="http://schemas.openxmlformats.org/officeDocument/2006/relationships/hyperlink" Target="https://creativecommons.org/licenses/by-nc/4.0/" TargetMode="External"/><Relationship Id="rId3024" Type="http://schemas.openxmlformats.org/officeDocument/2006/relationships/hyperlink" Target="https://www.inaturalist.org/observations/326325537" TargetMode="External"/><Relationship Id="rId3025" Type="http://schemas.openxmlformats.org/officeDocument/2006/relationships/hyperlink" Target="https://www.inaturalist.org/people/econeighbour_" TargetMode="External"/><Relationship Id="rId3026" Type="http://schemas.openxmlformats.org/officeDocument/2006/relationships/hyperlink" Target="https://creativecommons.org/licenses/by-nc/4.0/" TargetMode="External"/><Relationship Id="rId3027" Type="http://schemas.openxmlformats.org/officeDocument/2006/relationships/hyperlink" Target="https://www.inaturalist.org/observations/326325535" TargetMode="External"/><Relationship Id="rId3028" Type="http://schemas.openxmlformats.org/officeDocument/2006/relationships/hyperlink" Target="https://www.inaturalist.org/people/econeighbour_" TargetMode="External"/><Relationship Id="rId3029" Type="http://schemas.openxmlformats.org/officeDocument/2006/relationships/hyperlink" Target="https://creativecommons.org/licenses/by-nc/4.0/" TargetMode="External"/><Relationship Id="rId3030" Type="http://schemas.openxmlformats.org/officeDocument/2006/relationships/hyperlink" Target="https://www.inaturalist.org/observations/326325529" TargetMode="External"/><Relationship Id="rId3031" Type="http://schemas.openxmlformats.org/officeDocument/2006/relationships/hyperlink" Target="https://www.inaturalist.org/people/econeighbour_" TargetMode="External"/><Relationship Id="rId3032" Type="http://schemas.openxmlformats.org/officeDocument/2006/relationships/hyperlink" Target="https://creativecommons.org/licenses/by-nc/4.0/" TargetMode="External"/><Relationship Id="rId3033" Type="http://schemas.openxmlformats.org/officeDocument/2006/relationships/hyperlink" Target="https://www.inaturalist.org/observations/326325521" TargetMode="External"/><Relationship Id="rId3034" Type="http://schemas.openxmlformats.org/officeDocument/2006/relationships/hyperlink" Target="https://www.inaturalist.org/people/richardllewellyn" TargetMode="External"/><Relationship Id="rId3035" Type="http://schemas.openxmlformats.org/officeDocument/2006/relationships/hyperlink" Target="https://creativecommons.org/licenses/by-nc/4.0/" TargetMode="External"/><Relationship Id="rId3036" Type="http://schemas.openxmlformats.org/officeDocument/2006/relationships/hyperlink" Target="https://www.inaturalist.org/observations/366555987" TargetMode="External"/><Relationship Id="rId3037" Type="http://schemas.openxmlformats.org/officeDocument/2006/relationships/hyperlink" Target="https://www.inaturalist.org/people/jackcaleo09" TargetMode="External"/><Relationship Id="rId3038" Type="http://schemas.openxmlformats.org/officeDocument/2006/relationships/hyperlink" Target="https://creativecommons.org/licenses/by-nc/4.0/" TargetMode="External"/><Relationship Id="rId3039" Type="http://schemas.openxmlformats.org/officeDocument/2006/relationships/hyperlink" Target="https://www.inaturalist.org/observations/348565322" TargetMode="External"/><Relationship Id="rId3040" Type="http://schemas.openxmlformats.org/officeDocument/2006/relationships/hyperlink" Target="https://www.inaturalist.org/people/jackcaleo09" TargetMode="External"/><Relationship Id="rId3041" Type="http://schemas.openxmlformats.org/officeDocument/2006/relationships/hyperlink" Target="https://creativecommons.org/licenses/by-nc/4.0/" TargetMode="External"/><Relationship Id="rId3042" Type="http://schemas.openxmlformats.org/officeDocument/2006/relationships/hyperlink" Target="https://www.inaturalist.org/observations/348565322" TargetMode="External"/><Relationship Id="rId3043" Type="http://schemas.openxmlformats.org/officeDocument/2006/relationships/hyperlink" Target="https://www.inaturalist.org/people/jackcaleo09" TargetMode="External"/><Relationship Id="rId3044" Type="http://schemas.openxmlformats.org/officeDocument/2006/relationships/hyperlink" Target="https://creativecommons.org/licenses/by-nc/4.0/" TargetMode="External"/><Relationship Id="rId3045" Type="http://schemas.openxmlformats.org/officeDocument/2006/relationships/hyperlink" Target="https://www.inaturalist.org/observations/348565322" TargetMode="External"/><Relationship Id="rId3046" Type="http://schemas.openxmlformats.org/officeDocument/2006/relationships/hyperlink" Target="https://www.inaturalist.org/people/jackcaleo09" TargetMode="External"/><Relationship Id="rId3047" Type="http://schemas.openxmlformats.org/officeDocument/2006/relationships/hyperlink" Target="https://creativecommons.org/licenses/by-nc/4.0/" TargetMode="External"/><Relationship Id="rId3048" Type="http://schemas.openxmlformats.org/officeDocument/2006/relationships/hyperlink" Target="https://www.inaturalist.org/observations/348565322" TargetMode="External"/><Relationship Id="rId3049" Type="http://schemas.openxmlformats.org/officeDocument/2006/relationships/hyperlink" Target="https://www.inaturalist.org/people/jackcaleo09" TargetMode="External"/><Relationship Id="rId3050" Type="http://schemas.openxmlformats.org/officeDocument/2006/relationships/hyperlink" Target="https://creativecommons.org/licenses/by-nc/4.0/" TargetMode="External"/><Relationship Id="rId3051" Type="http://schemas.openxmlformats.org/officeDocument/2006/relationships/hyperlink" Target="https://www.inaturalist.org/observations/348565322" TargetMode="External"/><Relationship Id="rId3052" Type="http://schemas.openxmlformats.org/officeDocument/2006/relationships/hyperlink" Target="https://www.inaturalist.org/people/sally364" TargetMode="External"/><Relationship Id="rId3053" Type="http://schemas.openxmlformats.org/officeDocument/2006/relationships/hyperlink" Target="https://creativecommons.org/licenses/by-nc/4.0/" TargetMode="External"/><Relationship Id="rId3054" Type="http://schemas.openxmlformats.org/officeDocument/2006/relationships/hyperlink" Target="https://www.inaturalist.org/observations/347744842" TargetMode="External"/><Relationship Id="rId3055" Type="http://schemas.openxmlformats.org/officeDocument/2006/relationships/hyperlink" Target="https://www.inaturalist.org/people/sally364" TargetMode="External"/><Relationship Id="rId3056" Type="http://schemas.openxmlformats.org/officeDocument/2006/relationships/hyperlink" Target="https://creativecommons.org/licenses/by-nc/4.0/" TargetMode="External"/><Relationship Id="rId3057" Type="http://schemas.openxmlformats.org/officeDocument/2006/relationships/hyperlink" Target="https://www.inaturalist.org/observations/347744842" TargetMode="External"/><Relationship Id="rId3058" Type="http://schemas.openxmlformats.org/officeDocument/2006/relationships/hyperlink" Target="https://www.inaturalist.org/people/sally364" TargetMode="External"/><Relationship Id="rId3059" Type="http://schemas.openxmlformats.org/officeDocument/2006/relationships/hyperlink" Target="https://creativecommons.org/licenses/by-nc/4.0/" TargetMode="External"/><Relationship Id="rId3060" Type="http://schemas.openxmlformats.org/officeDocument/2006/relationships/hyperlink" Target="https://www.inaturalist.org/observations/347744842" TargetMode="External"/><Relationship Id="rId3061" Type="http://schemas.openxmlformats.org/officeDocument/2006/relationships/hyperlink" Target="https://www.inaturalist.org/people/sally364" TargetMode="External"/><Relationship Id="rId3062" Type="http://schemas.openxmlformats.org/officeDocument/2006/relationships/hyperlink" Target="https://creativecommons.org/licenses/by-nc/4.0/" TargetMode="External"/><Relationship Id="rId3063" Type="http://schemas.openxmlformats.org/officeDocument/2006/relationships/hyperlink" Target="https://www.inaturalist.org/observations/347744842" TargetMode="External"/><Relationship Id="rId3064" Type="http://schemas.openxmlformats.org/officeDocument/2006/relationships/hyperlink" Target="https://www.inaturalist.org/people/ross_coupland" TargetMode="External"/><Relationship Id="rId3065" Type="http://schemas.openxmlformats.org/officeDocument/2006/relationships/hyperlink" Target="https://creativecommons.org/licenses/by-nc/4.0/" TargetMode="External"/><Relationship Id="rId3066" Type="http://schemas.openxmlformats.org/officeDocument/2006/relationships/hyperlink" Target="https://www.inaturalist.org/observations/340015516" TargetMode="External"/><Relationship Id="rId3067" Type="http://schemas.openxmlformats.org/officeDocument/2006/relationships/hyperlink" Target="https://www.inaturalist.org/people/gordon-loomberah" TargetMode="External"/><Relationship Id="rId3068" Type="http://schemas.openxmlformats.org/officeDocument/2006/relationships/hyperlink" Target="https://creativecommons.org/licenses/by-nc/4.0/" TargetMode="External"/><Relationship Id="rId3069" Type="http://schemas.openxmlformats.org/officeDocument/2006/relationships/hyperlink" Target="https://www.inaturalist.org/observations/332560566" TargetMode="External"/><Relationship Id="rId3070" Type="http://schemas.openxmlformats.org/officeDocument/2006/relationships/hyperlink" Target="https://www.inaturalist.org/people/lisekool" TargetMode="External"/><Relationship Id="rId3071" Type="http://schemas.openxmlformats.org/officeDocument/2006/relationships/hyperlink" Target="https://creativecommons.org/licenses/by-nc/4.0/" TargetMode="External"/><Relationship Id="rId3072" Type="http://schemas.openxmlformats.org/officeDocument/2006/relationships/hyperlink" Target="https://www.inaturalist.org/observations/321989121" TargetMode="External"/><Relationship Id="rId3073" Type="http://schemas.openxmlformats.org/officeDocument/2006/relationships/hyperlink" Target="https://www.inaturalist.org/people/springdalerd" TargetMode="External"/><Relationship Id="rId3074" Type="http://schemas.openxmlformats.org/officeDocument/2006/relationships/hyperlink" Target="https://creativecommons.org/licenses/by-nc/4.0/" TargetMode="External"/><Relationship Id="rId3075" Type="http://schemas.openxmlformats.org/officeDocument/2006/relationships/hyperlink" Target="https://www.inaturalist.org/observations/264902592" TargetMode="External"/><Relationship Id="rId3076" Type="http://schemas.openxmlformats.org/officeDocument/2006/relationships/hyperlink" Target="https://www.inaturalist.org/people/petegrono" TargetMode="External"/><Relationship Id="rId3077" Type="http://schemas.openxmlformats.org/officeDocument/2006/relationships/hyperlink" Target="https://creativecommons.org/licenses/by-nc/4.0/" TargetMode="External"/><Relationship Id="rId3078" Type="http://schemas.openxmlformats.org/officeDocument/2006/relationships/hyperlink" Target="https://www.inaturalist.org/observations/264641994" TargetMode="External"/><Relationship Id="rId3079" Type="http://schemas.openxmlformats.org/officeDocument/2006/relationships/hyperlink" Target="https://www.inaturalist.org/people/millyinthebush" TargetMode="External"/><Relationship Id="rId3080" Type="http://schemas.openxmlformats.org/officeDocument/2006/relationships/hyperlink" Target="https://creativecommons.org/licenses/by-nc/4.0/" TargetMode="External"/><Relationship Id="rId3081" Type="http://schemas.openxmlformats.org/officeDocument/2006/relationships/hyperlink" Target="https://www.inaturalist.org/observations/257746991" TargetMode="External"/><Relationship Id="rId3082" Type="http://schemas.openxmlformats.org/officeDocument/2006/relationships/hyperlink" Target="https://www.inaturalist.org/people/millyinthebush" TargetMode="External"/><Relationship Id="rId3083" Type="http://schemas.openxmlformats.org/officeDocument/2006/relationships/hyperlink" Target="https://creativecommons.org/licenses/by-nc/4.0/" TargetMode="External"/><Relationship Id="rId3084" Type="http://schemas.openxmlformats.org/officeDocument/2006/relationships/hyperlink" Target="https://www.inaturalist.org/observations/257746991" TargetMode="External"/><Relationship Id="rId3085" Type="http://schemas.openxmlformats.org/officeDocument/2006/relationships/hyperlink" Target="https://www.inaturalist.org/people/millyinthebush" TargetMode="External"/><Relationship Id="rId3086" Type="http://schemas.openxmlformats.org/officeDocument/2006/relationships/hyperlink" Target="https://creativecommons.org/licenses/by-nc/4.0/" TargetMode="External"/><Relationship Id="rId3087" Type="http://schemas.openxmlformats.org/officeDocument/2006/relationships/hyperlink" Target="https://www.inaturalist.org/observations/257746991" TargetMode="External"/><Relationship Id="rId3088" Type="http://schemas.openxmlformats.org/officeDocument/2006/relationships/hyperlink" Target="https://www.inaturalist.org/people/oktaylor" TargetMode="External"/><Relationship Id="rId3089" Type="http://schemas.openxmlformats.org/officeDocument/2006/relationships/hyperlink" Target="https://creativecommons.org/licenses/by-nc/4.0/" TargetMode="External"/><Relationship Id="rId3090" Type="http://schemas.openxmlformats.org/officeDocument/2006/relationships/hyperlink" Target="https://www.inaturalist.org/observations/254949059" TargetMode="External"/><Relationship Id="rId3091" Type="http://schemas.openxmlformats.org/officeDocument/2006/relationships/hyperlink" Target="https://www.inaturalist.org/people/oktaylor" TargetMode="External"/><Relationship Id="rId3092" Type="http://schemas.openxmlformats.org/officeDocument/2006/relationships/hyperlink" Target="https://creativecommons.org/licenses/by-nc/4.0/" TargetMode="External"/><Relationship Id="rId3093" Type="http://schemas.openxmlformats.org/officeDocument/2006/relationships/hyperlink" Target="https://www.inaturalist.org/observations/254949059" TargetMode="External"/><Relationship Id="rId3094" Type="http://schemas.openxmlformats.org/officeDocument/2006/relationships/hyperlink" Target="https://www.inaturalist.org/people/oktaylor" TargetMode="External"/><Relationship Id="rId3095" Type="http://schemas.openxmlformats.org/officeDocument/2006/relationships/hyperlink" Target="https://creativecommons.org/licenses/by-nc/4.0/" TargetMode="External"/><Relationship Id="rId3096" Type="http://schemas.openxmlformats.org/officeDocument/2006/relationships/hyperlink" Target="https://www.inaturalist.org/observations/254949059" TargetMode="External"/><Relationship Id="rId3097" Type="http://schemas.openxmlformats.org/officeDocument/2006/relationships/hyperlink" Target="https://www.inaturalist.org/people/oktaylor" TargetMode="External"/><Relationship Id="rId3098" Type="http://schemas.openxmlformats.org/officeDocument/2006/relationships/hyperlink" Target="https://creativecommons.org/licenses/by-nc/4.0/" TargetMode="External"/><Relationship Id="rId3099" Type="http://schemas.openxmlformats.org/officeDocument/2006/relationships/hyperlink" Target="https://www.inaturalist.org/observations/254949059" TargetMode="External"/><Relationship Id="rId3100" Type="http://schemas.openxmlformats.org/officeDocument/2006/relationships/hyperlink" Target="https://www.inaturalist.org/people/darren_fielder" TargetMode="External"/><Relationship Id="rId3101" Type="http://schemas.openxmlformats.org/officeDocument/2006/relationships/hyperlink" Target="https://creativecommons.org/licenses/by-nc/4.0/" TargetMode="External"/><Relationship Id="rId3102" Type="http://schemas.openxmlformats.org/officeDocument/2006/relationships/hyperlink" Target="https://www.inaturalist.org/observations/248218135" TargetMode="External"/><Relationship Id="rId3103" Type="http://schemas.openxmlformats.org/officeDocument/2006/relationships/hyperlink" Target="https://www.inaturalist.org/people/darren_fielder" TargetMode="External"/><Relationship Id="rId3104" Type="http://schemas.openxmlformats.org/officeDocument/2006/relationships/hyperlink" Target="https://creativecommons.org/licenses/by-nc/4.0/" TargetMode="External"/><Relationship Id="rId3105" Type="http://schemas.openxmlformats.org/officeDocument/2006/relationships/hyperlink" Target="https://www.inaturalist.org/observations/248218135" TargetMode="External"/><Relationship Id="rId3106" Type="http://schemas.openxmlformats.org/officeDocument/2006/relationships/hyperlink" Target="https://www.inaturalist.org/people/darren_fielder" TargetMode="External"/><Relationship Id="rId3107" Type="http://schemas.openxmlformats.org/officeDocument/2006/relationships/hyperlink" Target="https://creativecommons.org/licenses/by-nc/4.0/" TargetMode="External"/><Relationship Id="rId3108" Type="http://schemas.openxmlformats.org/officeDocument/2006/relationships/hyperlink" Target="https://www.inaturalist.org/observations/248209312" TargetMode="External"/><Relationship Id="rId3109" Type="http://schemas.openxmlformats.org/officeDocument/2006/relationships/hyperlink" Target="https://www.inaturalist.org/people/darren_fielder" TargetMode="External"/><Relationship Id="rId3110" Type="http://schemas.openxmlformats.org/officeDocument/2006/relationships/hyperlink" Target="https://creativecommons.org/licenses/by-nc/4.0/" TargetMode="External"/><Relationship Id="rId3111" Type="http://schemas.openxmlformats.org/officeDocument/2006/relationships/hyperlink" Target="https://www.inaturalist.org/observations/248209312" TargetMode="External"/><Relationship Id="rId3112" Type="http://schemas.openxmlformats.org/officeDocument/2006/relationships/hyperlink" Target="https://www.inaturalist.org/people/darren_fielder" TargetMode="External"/><Relationship Id="rId3113" Type="http://schemas.openxmlformats.org/officeDocument/2006/relationships/hyperlink" Target="https://creativecommons.org/licenses/by-nc/4.0/" TargetMode="External"/><Relationship Id="rId3114" Type="http://schemas.openxmlformats.org/officeDocument/2006/relationships/hyperlink" Target="https://www.inaturalist.org/observations/247734148" TargetMode="External"/><Relationship Id="rId3115" Type="http://schemas.openxmlformats.org/officeDocument/2006/relationships/hyperlink" Target="https://www.inaturalist.org/people/darren_fielder" TargetMode="External"/><Relationship Id="rId3116" Type="http://schemas.openxmlformats.org/officeDocument/2006/relationships/hyperlink" Target="https://creativecommons.org/licenses/by-nc/4.0/" TargetMode="External"/><Relationship Id="rId3117" Type="http://schemas.openxmlformats.org/officeDocument/2006/relationships/hyperlink" Target="https://www.inaturalist.org/observations/247291762" TargetMode="External"/><Relationship Id="rId3118" Type="http://schemas.openxmlformats.org/officeDocument/2006/relationships/hyperlink" Target="https://www.inaturalist.org/people/darren_fielder" TargetMode="External"/><Relationship Id="rId3119" Type="http://schemas.openxmlformats.org/officeDocument/2006/relationships/hyperlink" Target="https://creativecommons.org/licenses/by-nc/4.0/" TargetMode="External"/><Relationship Id="rId3120" Type="http://schemas.openxmlformats.org/officeDocument/2006/relationships/hyperlink" Target="https://www.inaturalist.org/observations/247291762" TargetMode="External"/><Relationship Id="rId3121" Type="http://schemas.openxmlformats.org/officeDocument/2006/relationships/hyperlink" Target="https://www.inaturalist.org/people/oktaylor" TargetMode="External"/><Relationship Id="rId3122" Type="http://schemas.openxmlformats.org/officeDocument/2006/relationships/hyperlink" Target="https://creativecommons.org/licenses/by-nc/4.0/" TargetMode="External"/><Relationship Id="rId3123" Type="http://schemas.openxmlformats.org/officeDocument/2006/relationships/hyperlink" Target="https://www.inaturalist.org/observations/202895610" TargetMode="External"/><Relationship Id="rId3124" Type="http://schemas.openxmlformats.org/officeDocument/2006/relationships/hyperlink" Target="https://www.inaturalist.org/people/oktaylor" TargetMode="External"/><Relationship Id="rId3125" Type="http://schemas.openxmlformats.org/officeDocument/2006/relationships/hyperlink" Target="https://creativecommons.org/licenses/by-nc/4.0/" TargetMode="External"/><Relationship Id="rId3126" Type="http://schemas.openxmlformats.org/officeDocument/2006/relationships/hyperlink" Target="https://www.inaturalist.org/observations/202895610" TargetMode="External"/><Relationship Id="rId3127" Type="http://schemas.openxmlformats.org/officeDocument/2006/relationships/hyperlink" Target="https://www.inaturalist.org/people/lintukoto" TargetMode="External"/><Relationship Id="rId3128" Type="http://schemas.openxmlformats.org/officeDocument/2006/relationships/hyperlink" Target="https://creativecommons.org/licenses/by-nc/4.0/" TargetMode="External"/><Relationship Id="rId3129" Type="http://schemas.openxmlformats.org/officeDocument/2006/relationships/hyperlink" Target="https://www.inaturalist.org/observations/385009141" TargetMode="External"/><Relationship Id="rId3130" Type="http://schemas.openxmlformats.org/officeDocument/2006/relationships/hyperlink" Target="https://www.inaturalist.org/people/owenlishmund" TargetMode="External"/><Relationship Id="rId3131" Type="http://schemas.openxmlformats.org/officeDocument/2006/relationships/hyperlink" Target="https://creativecommons.org/licenses/by-nc/4.0/" TargetMode="External"/><Relationship Id="rId3132" Type="http://schemas.openxmlformats.org/officeDocument/2006/relationships/hyperlink" Target="https://www.inaturalist.org/observations/187741008" TargetMode="External"/><Relationship Id="rId3133" Type="http://schemas.openxmlformats.org/officeDocument/2006/relationships/hyperlink" Target="https://www.inaturalist.org/people/spookpadda" TargetMode="External"/><Relationship Id="rId3134" Type="http://schemas.openxmlformats.org/officeDocument/2006/relationships/hyperlink" Target="https://creativecommons.org/licenses/by-nc/4.0/" TargetMode="External"/><Relationship Id="rId3135" Type="http://schemas.openxmlformats.org/officeDocument/2006/relationships/hyperlink" Target="https://www.inaturalist.org/observations/147857440" TargetMode="External"/><Relationship Id="rId3136" Type="http://schemas.openxmlformats.org/officeDocument/2006/relationships/hyperlink" Target="https://www.inaturalist.org/people/spookpadda" TargetMode="External"/><Relationship Id="rId3137" Type="http://schemas.openxmlformats.org/officeDocument/2006/relationships/hyperlink" Target="https://creativecommons.org/licenses/by-nc/4.0/" TargetMode="External"/><Relationship Id="rId3138" Type="http://schemas.openxmlformats.org/officeDocument/2006/relationships/hyperlink" Target="https://www.inaturalist.org/observations/147857440" TargetMode="External"/><Relationship Id="rId3139" Type="http://schemas.openxmlformats.org/officeDocument/2006/relationships/hyperlink" Target="https://www.inaturalist.org/people/superbum2" TargetMode="External"/><Relationship Id="rId3140" Type="http://schemas.openxmlformats.org/officeDocument/2006/relationships/hyperlink" Target="https://creativecommons.org/licenses/by-nc/4.0/" TargetMode="External"/><Relationship Id="rId3141" Type="http://schemas.openxmlformats.org/officeDocument/2006/relationships/hyperlink" Target="https://www.inaturalist.org/observations/379055040" TargetMode="External"/><Relationship Id="rId3142" Type="http://schemas.openxmlformats.org/officeDocument/2006/relationships/hyperlink" Target="https://www.inaturalist.org/people/angusf" TargetMode="External"/><Relationship Id="rId3143" Type="http://schemas.openxmlformats.org/officeDocument/2006/relationships/hyperlink" Target="https://creativecommons.org/licenses/by-nc/4.0/" TargetMode="External"/><Relationship Id="rId3144" Type="http://schemas.openxmlformats.org/officeDocument/2006/relationships/hyperlink" Target="https://www.inaturalist.org/observations/378992418" TargetMode="External"/><Relationship Id="rId3145" Type="http://schemas.openxmlformats.org/officeDocument/2006/relationships/hyperlink" Target="https://www.inaturalist.org/people/pin_" TargetMode="External"/><Relationship Id="rId3146" Type="http://schemas.openxmlformats.org/officeDocument/2006/relationships/hyperlink" Target="https://creativecommons.org/licenses/by-nc/4.0/" TargetMode="External"/><Relationship Id="rId3147" Type="http://schemas.openxmlformats.org/officeDocument/2006/relationships/hyperlink" Target="https://www.inaturalist.org/observations/377418539" TargetMode="External"/><Relationship Id="rId3148" Type="http://schemas.openxmlformats.org/officeDocument/2006/relationships/hyperlink" Target="https://www.inaturalist.org/people/elysia_desille" TargetMode="External"/><Relationship Id="rId3149" Type="http://schemas.openxmlformats.org/officeDocument/2006/relationships/hyperlink" Target="https://creativecommons.org/licenses/by-nc/4.0/" TargetMode="External"/><Relationship Id="rId3150" Type="http://schemas.openxmlformats.org/officeDocument/2006/relationships/hyperlink" Target="https://www.inaturalist.org/observations/375726835" TargetMode="External"/><Relationship Id="rId3151" Type="http://schemas.openxmlformats.org/officeDocument/2006/relationships/hyperlink" Target="https://www.inaturalist.org/people/jennytathome" TargetMode="External"/><Relationship Id="rId3152" Type="http://schemas.openxmlformats.org/officeDocument/2006/relationships/hyperlink" Target="https://creativecommons.org/licenses/by-nc/4.0/" TargetMode="External"/><Relationship Id="rId3153" Type="http://schemas.openxmlformats.org/officeDocument/2006/relationships/hyperlink" Target="https://www.inaturalist.org/observations/375437013" TargetMode="External"/><Relationship Id="rId3154" Type="http://schemas.openxmlformats.org/officeDocument/2006/relationships/hyperlink" Target="https://www.inaturalist.org/people/bellack" TargetMode="External"/><Relationship Id="rId3155" Type="http://schemas.openxmlformats.org/officeDocument/2006/relationships/hyperlink" Target="https://creativecommons.org/licenses/by-nc/4.0/" TargetMode="External"/><Relationship Id="rId3156" Type="http://schemas.openxmlformats.org/officeDocument/2006/relationships/hyperlink" Target="https://www.inaturalist.org/observations/374514673" TargetMode="External"/><Relationship Id="rId3157" Type="http://schemas.openxmlformats.org/officeDocument/2006/relationships/hyperlink" Target="https://www.inaturalist.org/people/jesbarbz" TargetMode="External"/><Relationship Id="rId3158" Type="http://schemas.openxmlformats.org/officeDocument/2006/relationships/hyperlink" Target="https://creativecommons.org/licenses/by-nc/4.0/" TargetMode="External"/><Relationship Id="rId3159" Type="http://schemas.openxmlformats.org/officeDocument/2006/relationships/hyperlink" Target="https://www.inaturalist.org/observations/373509166" TargetMode="External"/><Relationship Id="rId3160" Type="http://schemas.openxmlformats.org/officeDocument/2006/relationships/hyperlink" Target="https://www.inaturalist.org/people/bargosnows" TargetMode="External"/><Relationship Id="rId3161" Type="http://schemas.openxmlformats.org/officeDocument/2006/relationships/hyperlink" Target="https://creativecommons.org/licenses/by-nc/4.0/" TargetMode="External"/><Relationship Id="rId3162" Type="http://schemas.openxmlformats.org/officeDocument/2006/relationships/hyperlink" Target="https://www.inaturalist.org/observations/373124095" TargetMode="External"/><Relationship Id="rId3163" Type="http://schemas.openxmlformats.org/officeDocument/2006/relationships/hyperlink" Target="https://www.inaturalist.org/people/jackwoodswildlife" TargetMode="External"/><Relationship Id="rId3164" Type="http://schemas.openxmlformats.org/officeDocument/2006/relationships/hyperlink" Target="https://creativecommons.org/licenses/by-nc/4.0/" TargetMode="External"/><Relationship Id="rId3165" Type="http://schemas.openxmlformats.org/officeDocument/2006/relationships/hyperlink" Target="https://www.inaturalist.org/observations/369570748" TargetMode="External"/><Relationship Id="rId3166" Type="http://schemas.openxmlformats.org/officeDocument/2006/relationships/hyperlink" Target="https://www.inaturalist.org/people/pkelgren" TargetMode="External"/><Relationship Id="rId3167" Type="http://schemas.openxmlformats.org/officeDocument/2006/relationships/hyperlink" Target="https://creativecommons.org/licenses/by-nc/4.0/" TargetMode="External"/><Relationship Id="rId3168" Type="http://schemas.openxmlformats.org/officeDocument/2006/relationships/hyperlink" Target="https://www.inaturalist.org/observations/369557632" TargetMode="External"/><Relationship Id="rId3169" Type="http://schemas.openxmlformats.org/officeDocument/2006/relationships/hyperlink" Target="https://www.inaturalist.org/people/donglerthrongler" TargetMode="External"/><Relationship Id="rId3170" Type="http://schemas.openxmlformats.org/officeDocument/2006/relationships/hyperlink" Target="https://creativecommons.org/licenses/by-nc/4.0/" TargetMode="External"/><Relationship Id="rId3171" Type="http://schemas.openxmlformats.org/officeDocument/2006/relationships/hyperlink" Target="https://www.inaturalist.org/observations/366511137" TargetMode="External"/><Relationship Id="rId3172" Type="http://schemas.openxmlformats.org/officeDocument/2006/relationships/hyperlink" Target="https://www.inaturalist.org/people/bpscicada" TargetMode="External"/><Relationship Id="rId3173" Type="http://schemas.openxmlformats.org/officeDocument/2006/relationships/hyperlink" Target="https://creativecommons.org/licenses/by-nc/4.0/" TargetMode="External"/><Relationship Id="rId3174" Type="http://schemas.openxmlformats.org/officeDocument/2006/relationships/hyperlink" Target="https://www.inaturalist.org/observations/366317439" TargetMode="External"/><Relationship Id="rId3175" Type="http://schemas.openxmlformats.org/officeDocument/2006/relationships/hyperlink" Target="https://www.inaturalist.org/people/jhd_australia" TargetMode="External"/><Relationship Id="rId3176" Type="http://schemas.openxmlformats.org/officeDocument/2006/relationships/hyperlink" Target="https://creativecommons.org/licenses/by-nc/4.0/" TargetMode="External"/><Relationship Id="rId3177" Type="http://schemas.openxmlformats.org/officeDocument/2006/relationships/hyperlink" Target="https://www.inaturalist.org/observations/365961598" TargetMode="External"/><Relationship Id="rId3178" Type="http://schemas.openxmlformats.org/officeDocument/2006/relationships/hyperlink" Target="https://www.inaturalist.org/people/jhd_australia" TargetMode="External"/><Relationship Id="rId3179" Type="http://schemas.openxmlformats.org/officeDocument/2006/relationships/hyperlink" Target="https://creativecommons.org/licenses/by-nc/4.0/" TargetMode="External"/><Relationship Id="rId3180" Type="http://schemas.openxmlformats.org/officeDocument/2006/relationships/hyperlink" Target="https://www.inaturalist.org/observations/365961598" TargetMode="External"/><Relationship Id="rId3181" Type="http://schemas.openxmlformats.org/officeDocument/2006/relationships/hyperlink" Target="https://www.inaturalist.org/people/jhd_australia" TargetMode="External"/><Relationship Id="rId3182" Type="http://schemas.openxmlformats.org/officeDocument/2006/relationships/hyperlink" Target="https://creativecommons.org/licenses/by-nc/4.0/" TargetMode="External"/><Relationship Id="rId3183" Type="http://schemas.openxmlformats.org/officeDocument/2006/relationships/hyperlink" Target="https://www.inaturalist.org/observations/365961598" TargetMode="External"/><Relationship Id="rId3184" Type="http://schemas.openxmlformats.org/officeDocument/2006/relationships/hyperlink" Target="https://www.inaturalist.org/people/purplesneakers" TargetMode="External"/><Relationship Id="rId3185" Type="http://schemas.openxmlformats.org/officeDocument/2006/relationships/hyperlink" Target="https://creativecommons.org/licenses/by-nc/4.0/" TargetMode="External"/><Relationship Id="rId3186" Type="http://schemas.openxmlformats.org/officeDocument/2006/relationships/hyperlink" Target="https://www.inaturalist.org/observations/365960182" TargetMode="External"/><Relationship Id="rId3187" Type="http://schemas.openxmlformats.org/officeDocument/2006/relationships/hyperlink" Target="https://www.inaturalist.org/people/alexmsc" TargetMode="External"/><Relationship Id="rId3188" Type="http://schemas.openxmlformats.org/officeDocument/2006/relationships/hyperlink" Target="https://creativecommons.org/licenses/by-nc/4.0/" TargetMode="External"/><Relationship Id="rId3189" Type="http://schemas.openxmlformats.org/officeDocument/2006/relationships/hyperlink" Target="https://www.inaturalist.org/observations/365899350" TargetMode="External"/><Relationship Id="rId3190" Type="http://schemas.openxmlformats.org/officeDocument/2006/relationships/hyperlink" Target="https://www.inaturalist.org/people/jess11107" TargetMode="External"/><Relationship Id="rId3191" Type="http://schemas.openxmlformats.org/officeDocument/2006/relationships/hyperlink" Target="https://creativecommons.org/licenses/by-nc/4.0/" TargetMode="External"/><Relationship Id="rId3192" Type="http://schemas.openxmlformats.org/officeDocument/2006/relationships/hyperlink" Target="https://www.inaturalist.org/observations/365510710" TargetMode="External"/><Relationship Id="rId3193" Type="http://schemas.openxmlformats.org/officeDocument/2006/relationships/hyperlink" Target="https://www.inaturalist.org/people/sije" TargetMode="External"/><Relationship Id="rId3194" Type="http://schemas.openxmlformats.org/officeDocument/2006/relationships/hyperlink" Target="https://creativecommons.org/licenses/by-nc/4.0/" TargetMode="External"/><Relationship Id="rId3195" Type="http://schemas.openxmlformats.org/officeDocument/2006/relationships/hyperlink" Target="https://www.inaturalist.org/observations/365367395" TargetMode="External"/><Relationship Id="rId3196" Type="http://schemas.openxmlformats.org/officeDocument/2006/relationships/hyperlink" Target="https://www.inaturalist.org/people/sije" TargetMode="External"/><Relationship Id="rId3197" Type="http://schemas.openxmlformats.org/officeDocument/2006/relationships/hyperlink" Target="https://creativecommons.org/licenses/by-nc/4.0/" TargetMode="External"/><Relationship Id="rId3198" Type="http://schemas.openxmlformats.org/officeDocument/2006/relationships/hyperlink" Target="https://www.inaturalist.org/observations/365367370" TargetMode="External"/><Relationship Id="rId3199" Type="http://schemas.openxmlformats.org/officeDocument/2006/relationships/hyperlink" Target="https://www.inaturalist.org/people/chris16887" TargetMode="External"/><Relationship Id="rId3200" Type="http://schemas.openxmlformats.org/officeDocument/2006/relationships/hyperlink" Target="https://creativecommons.org/licenses/by-nc/4.0/" TargetMode="External"/><Relationship Id="rId3201" Type="http://schemas.openxmlformats.org/officeDocument/2006/relationships/hyperlink" Target="https://www.inaturalist.org/observations/365016910" TargetMode="External"/><Relationship Id="rId3202" Type="http://schemas.openxmlformats.org/officeDocument/2006/relationships/hyperlink" Target="https://www.inaturalist.org/people/jilllist" TargetMode="External"/><Relationship Id="rId3203" Type="http://schemas.openxmlformats.org/officeDocument/2006/relationships/hyperlink" Target="https://creativecommons.org/licenses/by-nc/4.0/" TargetMode="External"/><Relationship Id="rId3204" Type="http://schemas.openxmlformats.org/officeDocument/2006/relationships/hyperlink" Target="https://www.inaturalist.org/observations/364594183" TargetMode="External"/><Relationship Id="rId3205" Type="http://schemas.openxmlformats.org/officeDocument/2006/relationships/hyperlink" Target="https://www.inaturalist.org/people/beckie_gee" TargetMode="External"/><Relationship Id="rId3206" Type="http://schemas.openxmlformats.org/officeDocument/2006/relationships/hyperlink" Target="https://creativecommons.org/licenses/by-nc/4.0/" TargetMode="External"/><Relationship Id="rId3207" Type="http://schemas.openxmlformats.org/officeDocument/2006/relationships/hyperlink" Target="https://www.inaturalist.org/observations/364242410" TargetMode="External"/><Relationship Id="rId3208" Type="http://schemas.openxmlformats.org/officeDocument/2006/relationships/hyperlink" Target="https://www.inaturalist.org/people/meygels" TargetMode="External"/><Relationship Id="rId3209" Type="http://schemas.openxmlformats.org/officeDocument/2006/relationships/hyperlink" Target="https://creativecommons.org/licenses/by-nc/4.0/" TargetMode="External"/><Relationship Id="rId3210" Type="http://schemas.openxmlformats.org/officeDocument/2006/relationships/hyperlink" Target="https://www.inaturalist.org/observations/363302317" TargetMode="External"/><Relationship Id="rId3211" Type="http://schemas.openxmlformats.org/officeDocument/2006/relationships/hyperlink" Target="https://www.inaturalist.org/people/aussiemarg" TargetMode="External"/><Relationship Id="rId3212" Type="http://schemas.openxmlformats.org/officeDocument/2006/relationships/hyperlink" Target="https://creativecommons.org/licenses/by-nc/4.0/" TargetMode="External"/><Relationship Id="rId3213" Type="http://schemas.openxmlformats.org/officeDocument/2006/relationships/hyperlink" Target="https://www.inaturalist.org/observations/362717668" TargetMode="External"/><Relationship Id="rId3214" Type="http://schemas.openxmlformats.org/officeDocument/2006/relationships/hyperlink" Target="https://www.inaturalist.org/people/jamesjosephroberts" TargetMode="External"/><Relationship Id="rId3215" Type="http://schemas.openxmlformats.org/officeDocument/2006/relationships/hyperlink" Target="https://creativecommons.org/licenses/by-nc/4.0/" TargetMode="External"/><Relationship Id="rId3216" Type="http://schemas.openxmlformats.org/officeDocument/2006/relationships/hyperlink" Target="https://www.inaturalist.org/observations/362264514" TargetMode="External"/><Relationship Id="rId3217" Type="http://schemas.openxmlformats.org/officeDocument/2006/relationships/hyperlink" Target="https://www.inaturalist.org/people/almaandalan" TargetMode="External"/><Relationship Id="rId3218" Type="http://schemas.openxmlformats.org/officeDocument/2006/relationships/hyperlink" Target="https://creativecommons.org/licenses/by-nc/4.0/" TargetMode="External"/><Relationship Id="rId3219" Type="http://schemas.openxmlformats.org/officeDocument/2006/relationships/hyperlink" Target="https://www.inaturalist.org/observations/362186510" TargetMode="External"/><Relationship Id="rId3220" Type="http://schemas.openxmlformats.org/officeDocument/2006/relationships/hyperlink" Target="https://www.inaturalist.org/people/sije" TargetMode="External"/><Relationship Id="rId3221" Type="http://schemas.openxmlformats.org/officeDocument/2006/relationships/hyperlink" Target="https://creativecommons.org/licenses/by-nc/4.0/" TargetMode="External"/><Relationship Id="rId3222" Type="http://schemas.openxmlformats.org/officeDocument/2006/relationships/hyperlink" Target="https://www.inaturalist.org/observations/361964389" TargetMode="External"/><Relationship Id="rId3223" Type="http://schemas.openxmlformats.org/officeDocument/2006/relationships/hyperlink" Target="https://www.inaturalist.org/people/chrissie-ids" TargetMode="External"/><Relationship Id="rId3224" Type="http://schemas.openxmlformats.org/officeDocument/2006/relationships/hyperlink" Target="https://creativecommons.org/licenses/by-nc/4.0/" TargetMode="External"/><Relationship Id="rId3225" Type="http://schemas.openxmlformats.org/officeDocument/2006/relationships/hyperlink" Target="https://www.inaturalist.org/observations/361613229" TargetMode="External"/><Relationship Id="rId3226" Type="http://schemas.openxmlformats.org/officeDocument/2006/relationships/hyperlink" Target="https://www.inaturalist.org/people/nutsaboutplants" TargetMode="External"/><Relationship Id="rId3227" Type="http://schemas.openxmlformats.org/officeDocument/2006/relationships/hyperlink" Target="https://creativecommons.org/licenses/by-nc/4.0/" TargetMode="External"/><Relationship Id="rId3228" Type="http://schemas.openxmlformats.org/officeDocument/2006/relationships/hyperlink" Target="https://www.inaturalist.org/observations/361571368" TargetMode="External"/><Relationship Id="rId3229" Type="http://schemas.openxmlformats.org/officeDocument/2006/relationships/hyperlink" Target="https://www.inaturalist.org/people/veliidae" TargetMode="External"/><Relationship Id="rId3230" Type="http://schemas.openxmlformats.org/officeDocument/2006/relationships/hyperlink" Target="https://creativecommons.org/licenses/by-nc/4.0/" TargetMode="External"/><Relationship Id="rId3231" Type="http://schemas.openxmlformats.org/officeDocument/2006/relationships/hyperlink" Target="https://www.inaturalist.org/observations/361549020" TargetMode="External"/><Relationship Id="rId3232" Type="http://schemas.openxmlformats.org/officeDocument/2006/relationships/hyperlink" Target="https://www.inaturalist.org/people/joshua38131" TargetMode="External"/><Relationship Id="rId3233" Type="http://schemas.openxmlformats.org/officeDocument/2006/relationships/hyperlink" Target="https://creativecommons.org/licenses/by-nc/4.0/" TargetMode="External"/><Relationship Id="rId3234" Type="http://schemas.openxmlformats.org/officeDocument/2006/relationships/hyperlink" Target="https://www.inaturalist.org/observations/361063647" TargetMode="External"/><Relationship Id="rId3235" Type="http://schemas.openxmlformats.org/officeDocument/2006/relationships/hyperlink" Target="https://www.inaturalist.org/people/scib123" TargetMode="External"/><Relationship Id="rId3236" Type="http://schemas.openxmlformats.org/officeDocument/2006/relationships/hyperlink" Target="https://creativecommons.org/licenses/by-nc/4.0/" TargetMode="External"/><Relationship Id="rId3237" Type="http://schemas.openxmlformats.org/officeDocument/2006/relationships/hyperlink" Target="https://www.inaturalist.org/observations/360836994" TargetMode="External"/><Relationship Id="rId3238" Type="http://schemas.openxmlformats.org/officeDocument/2006/relationships/hyperlink" Target="https://www.inaturalist.org/people/littledino" TargetMode="External"/><Relationship Id="rId3239" Type="http://schemas.openxmlformats.org/officeDocument/2006/relationships/hyperlink" Target="https://creativecommons.org/licenses/by-nc/4.0/" TargetMode="External"/><Relationship Id="rId3240" Type="http://schemas.openxmlformats.org/officeDocument/2006/relationships/hyperlink" Target="https://www.inaturalist.org/observations/360835082" TargetMode="External"/><Relationship Id="rId3241" Type="http://schemas.openxmlformats.org/officeDocument/2006/relationships/hyperlink" Target="https://www.inaturalist.org/people/andrewpavlov" TargetMode="External"/><Relationship Id="rId3242" Type="http://schemas.openxmlformats.org/officeDocument/2006/relationships/hyperlink" Target="https://creativecommons.org/licenses/by-nc/4.0/" TargetMode="External"/><Relationship Id="rId3243" Type="http://schemas.openxmlformats.org/officeDocument/2006/relationships/hyperlink" Target="https://www.inaturalist.org/observations/360542359" TargetMode="External"/><Relationship Id="rId3244" Type="http://schemas.openxmlformats.org/officeDocument/2006/relationships/hyperlink" Target="https://www.inaturalist.org/people/jasvink" TargetMode="External"/><Relationship Id="rId3245" Type="http://schemas.openxmlformats.org/officeDocument/2006/relationships/hyperlink" Target="https://creativecommons.org/licenses/by-nc/4.0/" TargetMode="External"/><Relationship Id="rId3246" Type="http://schemas.openxmlformats.org/officeDocument/2006/relationships/hyperlink" Target="https://www.inaturalist.org/observations/367915983" TargetMode="External"/><Relationship Id="rId3247" Type="http://schemas.openxmlformats.org/officeDocument/2006/relationships/hyperlink" Target="https://www.inaturalist.org/people/gjn" TargetMode="External"/><Relationship Id="rId3248" Type="http://schemas.openxmlformats.org/officeDocument/2006/relationships/hyperlink" Target="https://creativecommons.org/licenses/by-nc/4.0/" TargetMode="External"/><Relationship Id="rId3249" Type="http://schemas.openxmlformats.org/officeDocument/2006/relationships/hyperlink" Target="https://www.inaturalist.org/observations/362257718" TargetMode="External"/><Relationship Id="rId3250" Type="http://schemas.openxmlformats.org/officeDocument/2006/relationships/hyperlink" Target="https://www.inaturalist.org/people/gjn" TargetMode="External"/><Relationship Id="rId3251" Type="http://schemas.openxmlformats.org/officeDocument/2006/relationships/hyperlink" Target="https://creativecommons.org/licenses/by-nc/4.0/" TargetMode="External"/><Relationship Id="rId3252" Type="http://schemas.openxmlformats.org/officeDocument/2006/relationships/hyperlink" Target="https://www.inaturalist.org/observations/362257718" TargetMode="External"/><Relationship Id="rId3253" Type="http://schemas.openxmlformats.org/officeDocument/2006/relationships/hyperlink" Target="https://www.inaturalist.org/people/wyliecath" TargetMode="External"/><Relationship Id="rId3254" Type="http://schemas.openxmlformats.org/officeDocument/2006/relationships/hyperlink" Target="https://creativecommons.org/licenses/by-nc/4.0/" TargetMode="External"/><Relationship Id="rId3255" Type="http://schemas.openxmlformats.org/officeDocument/2006/relationships/hyperlink" Target="https://www.inaturalist.org/observations/360466833" TargetMode="External"/><Relationship Id="rId3256" Type="http://schemas.openxmlformats.org/officeDocument/2006/relationships/hyperlink" Target="https://www.inaturalist.org/people/anniesn" TargetMode="External"/><Relationship Id="rId3257" Type="http://schemas.openxmlformats.org/officeDocument/2006/relationships/hyperlink" Target="https://creativecommons.org/licenses/by-nc/4.0/" TargetMode="External"/><Relationship Id="rId3258" Type="http://schemas.openxmlformats.org/officeDocument/2006/relationships/hyperlink" Target="https://www.inaturalist.org/observations/359131393" TargetMode="External"/><Relationship Id="rId3259" Type="http://schemas.openxmlformats.org/officeDocument/2006/relationships/hyperlink" Target="https://www.inaturalist.org/people/setaphong" TargetMode="External"/><Relationship Id="rId3260" Type="http://schemas.openxmlformats.org/officeDocument/2006/relationships/hyperlink" Target="https://creativecommons.org/licenses/by-nc/4.0/" TargetMode="External"/><Relationship Id="rId3261" Type="http://schemas.openxmlformats.org/officeDocument/2006/relationships/hyperlink" Target="https://www.inaturalist.org/observations/340761369" TargetMode="External"/><Relationship Id="rId3262" Type="http://schemas.openxmlformats.org/officeDocument/2006/relationships/hyperlink" Target="https://www.inaturalist.org/people/gratitude888" TargetMode="External"/><Relationship Id="rId3263" Type="http://schemas.openxmlformats.org/officeDocument/2006/relationships/hyperlink" Target="https://creativecommons.org/licenses/by-nc/4.0/" TargetMode="External"/><Relationship Id="rId3264" Type="http://schemas.openxmlformats.org/officeDocument/2006/relationships/hyperlink" Target="https://www.inaturalist.org/observations/296364852" TargetMode="External"/><Relationship Id="rId3265" Type="http://schemas.openxmlformats.org/officeDocument/2006/relationships/hyperlink" Target="https://www.inaturalist.org/people/gratitude888" TargetMode="External"/><Relationship Id="rId3266" Type="http://schemas.openxmlformats.org/officeDocument/2006/relationships/hyperlink" Target="https://creativecommons.org/licenses/by-nc/4.0/" TargetMode="External"/><Relationship Id="rId3267" Type="http://schemas.openxmlformats.org/officeDocument/2006/relationships/hyperlink" Target="https://www.inaturalist.org/observations/296364852" TargetMode="External"/><Relationship Id="rId3268" Type="http://schemas.openxmlformats.org/officeDocument/2006/relationships/hyperlink" Target="https://www.inaturalist.org/people/cannon_family" TargetMode="External"/><Relationship Id="rId3269" Type="http://schemas.openxmlformats.org/officeDocument/2006/relationships/hyperlink" Target="https://creativecommons.org/licenses/by-nc/4.0/" TargetMode="External"/><Relationship Id="rId3270" Type="http://schemas.openxmlformats.org/officeDocument/2006/relationships/hyperlink" Target="https://www.inaturalist.org/observations/288136534" TargetMode="External"/><Relationship Id="rId3271" Type="http://schemas.openxmlformats.org/officeDocument/2006/relationships/hyperlink" Target="https://www.inaturalist.org/people/alexdaviesz" TargetMode="External"/><Relationship Id="rId3272" Type="http://schemas.openxmlformats.org/officeDocument/2006/relationships/hyperlink" Target="https://creativecommons.org/licenses/by-nc/4.0/" TargetMode="External"/><Relationship Id="rId3273" Type="http://schemas.openxmlformats.org/officeDocument/2006/relationships/hyperlink" Target="https://www.inaturalist.org/observations/284437006" TargetMode="External"/><Relationship Id="rId3274" Type="http://schemas.openxmlformats.org/officeDocument/2006/relationships/hyperlink" Target="https://www.inaturalist.org/people/ijacopo" TargetMode="External"/><Relationship Id="rId3275" Type="http://schemas.openxmlformats.org/officeDocument/2006/relationships/hyperlink" Target="https://creativecommons.org/licenses/by-nc/4.0/" TargetMode="External"/><Relationship Id="rId3276" Type="http://schemas.openxmlformats.org/officeDocument/2006/relationships/hyperlink" Target="https://www.inaturalist.org/observations/266838103" TargetMode="External"/><Relationship Id="rId3277" Type="http://schemas.openxmlformats.org/officeDocument/2006/relationships/hyperlink" Target="https://www.inaturalist.org/people/twooldies" TargetMode="External"/><Relationship Id="rId3278" Type="http://schemas.openxmlformats.org/officeDocument/2006/relationships/hyperlink" Target="https://creativecommons.org/licenses/by-nc/4.0/" TargetMode="External"/><Relationship Id="rId3279" Type="http://schemas.openxmlformats.org/officeDocument/2006/relationships/hyperlink" Target="https://www.inaturalist.org/observations/260563268" TargetMode="External"/><Relationship Id="rId3280" Type="http://schemas.openxmlformats.org/officeDocument/2006/relationships/hyperlink" Target="https://www.inaturalist.org/people/gratitude888" TargetMode="External"/><Relationship Id="rId3281" Type="http://schemas.openxmlformats.org/officeDocument/2006/relationships/hyperlink" Target="https://creativecommons.org/licenses/by-nc/4.0/" TargetMode="External"/><Relationship Id="rId3282" Type="http://schemas.openxmlformats.org/officeDocument/2006/relationships/hyperlink" Target="https://www.inaturalist.org/observations/260185658" TargetMode="External"/><Relationship Id="rId3283" Type="http://schemas.openxmlformats.org/officeDocument/2006/relationships/hyperlink" Target="https://www.inaturalist.org/people/gratitude888" TargetMode="External"/><Relationship Id="rId3284" Type="http://schemas.openxmlformats.org/officeDocument/2006/relationships/hyperlink" Target="https://creativecommons.org/licenses/by-nc/4.0/" TargetMode="External"/><Relationship Id="rId3285" Type="http://schemas.openxmlformats.org/officeDocument/2006/relationships/hyperlink" Target="https://www.inaturalist.org/observations/252843117" TargetMode="External"/><Relationship Id="rId3286" Type="http://schemas.openxmlformats.org/officeDocument/2006/relationships/hyperlink" Target="https://www.inaturalist.org/people/beaniana08" TargetMode="External"/><Relationship Id="rId3287" Type="http://schemas.openxmlformats.org/officeDocument/2006/relationships/hyperlink" Target="https://creativecommons.org/licenses/by-nc/4.0/" TargetMode="External"/><Relationship Id="rId3288" Type="http://schemas.openxmlformats.org/officeDocument/2006/relationships/hyperlink" Target="https://www.inaturalist.org/observations/251484849" TargetMode="External"/><Relationship Id="rId3289" Type="http://schemas.openxmlformats.org/officeDocument/2006/relationships/hyperlink" Target="https://www.inaturalist.org/people/beaniana08" TargetMode="External"/><Relationship Id="rId3290" Type="http://schemas.openxmlformats.org/officeDocument/2006/relationships/hyperlink" Target="https://creativecommons.org/licenses/by-nc/4.0/" TargetMode="External"/><Relationship Id="rId3291" Type="http://schemas.openxmlformats.org/officeDocument/2006/relationships/hyperlink" Target="https://www.inaturalist.org/observations/251484848" TargetMode="External"/><Relationship Id="rId3292" Type="http://schemas.openxmlformats.org/officeDocument/2006/relationships/hyperlink" Target="https://www.inaturalist.org/people/beaniana08" TargetMode="External"/><Relationship Id="rId3293" Type="http://schemas.openxmlformats.org/officeDocument/2006/relationships/hyperlink" Target="https://creativecommons.org/licenses/by-nc/4.0/" TargetMode="External"/><Relationship Id="rId3294" Type="http://schemas.openxmlformats.org/officeDocument/2006/relationships/hyperlink" Target="https://www.inaturalist.org/observations/251484848" TargetMode="External"/><Relationship Id="rId3295" Type="http://schemas.openxmlformats.org/officeDocument/2006/relationships/hyperlink" Target="https://www.inaturalist.org/people/beaniana08" TargetMode="External"/><Relationship Id="rId3296" Type="http://schemas.openxmlformats.org/officeDocument/2006/relationships/hyperlink" Target="https://creativecommons.org/licenses/by-nc/4.0/" TargetMode="External"/><Relationship Id="rId3297" Type="http://schemas.openxmlformats.org/officeDocument/2006/relationships/hyperlink" Target="https://www.inaturalist.org/observations/251484844" TargetMode="External"/><Relationship Id="rId3298" Type="http://schemas.openxmlformats.org/officeDocument/2006/relationships/hyperlink" Target="https://www.inaturalist.org/people/beaniana08" TargetMode="External"/><Relationship Id="rId3299" Type="http://schemas.openxmlformats.org/officeDocument/2006/relationships/hyperlink" Target="https://creativecommons.org/licenses/by-nc/4.0/" TargetMode="External"/><Relationship Id="rId3300" Type="http://schemas.openxmlformats.org/officeDocument/2006/relationships/hyperlink" Target="https://www.inaturalist.org/observations/251484841" TargetMode="External"/><Relationship Id="rId3301" Type="http://schemas.openxmlformats.org/officeDocument/2006/relationships/hyperlink" Target="https://www.inaturalist.org/people/beaniana08" TargetMode="External"/><Relationship Id="rId3302" Type="http://schemas.openxmlformats.org/officeDocument/2006/relationships/hyperlink" Target="https://creativecommons.org/licenses/by-nc/4.0/" TargetMode="External"/><Relationship Id="rId3303" Type="http://schemas.openxmlformats.org/officeDocument/2006/relationships/hyperlink" Target="https://www.inaturalist.org/observations/251484840" TargetMode="External"/><Relationship Id="rId3304" Type="http://schemas.openxmlformats.org/officeDocument/2006/relationships/hyperlink" Target="https://www.inaturalist.org/people/beaniana08" TargetMode="External"/><Relationship Id="rId3305" Type="http://schemas.openxmlformats.org/officeDocument/2006/relationships/hyperlink" Target="https://creativecommons.org/licenses/by-nc/4.0/" TargetMode="External"/><Relationship Id="rId3306" Type="http://schemas.openxmlformats.org/officeDocument/2006/relationships/hyperlink" Target="https://www.inaturalist.org/observations/251484838" TargetMode="External"/><Relationship Id="rId3307" Type="http://schemas.openxmlformats.org/officeDocument/2006/relationships/hyperlink" Target="https://www.inaturalist.org/people/gratitude888" TargetMode="External"/><Relationship Id="rId3308" Type="http://schemas.openxmlformats.org/officeDocument/2006/relationships/hyperlink" Target="https://creativecommons.org/licenses/by-nc/4.0/" TargetMode="External"/><Relationship Id="rId3309" Type="http://schemas.openxmlformats.org/officeDocument/2006/relationships/hyperlink" Target="https://www.inaturalist.org/observations/246214906" TargetMode="External"/><Relationship Id="rId3310" Type="http://schemas.openxmlformats.org/officeDocument/2006/relationships/hyperlink" Target="https://www.inaturalist.org/people/gabsun" TargetMode="External"/><Relationship Id="rId3311" Type="http://schemas.openxmlformats.org/officeDocument/2006/relationships/hyperlink" Target="https://creativecommons.org/licenses/by-nc/4.0/" TargetMode="External"/><Relationship Id="rId3312" Type="http://schemas.openxmlformats.org/officeDocument/2006/relationships/hyperlink" Target="https://www.inaturalist.org/observations/218865723" TargetMode="External"/><Relationship Id="rId3313" Type="http://schemas.openxmlformats.org/officeDocument/2006/relationships/hyperlink" Target="https://www.inaturalist.org/people/gabsun" TargetMode="External"/><Relationship Id="rId3314" Type="http://schemas.openxmlformats.org/officeDocument/2006/relationships/hyperlink" Target="https://creativecommons.org/licenses/by-nc/4.0/" TargetMode="External"/><Relationship Id="rId3315" Type="http://schemas.openxmlformats.org/officeDocument/2006/relationships/hyperlink" Target="https://www.inaturalist.org/observations/218865723" TargetMode="External"/><Relationship Id="rId3316" Type="http://schemas.openxmlformats.org/officeDocument/2006/relationships/hyperlink" Target="https://www.inaturalist.org/people/gabsun" TargetMode="External"/><Relationship Id="rId3317" Type="http://schemas.openxmlformats.org/officeDocument/2006/relationships/hyperlink" Target="https://creativecommons.org/licenses/by-nc/4.0/" TargetMode="External"/><Relationship Id="rId3318" Type="http://schemas.openxmlformats.org/officeDocument/2006/relationships/hyperlink" Target="https://www.inaturalist.org/observations/218865723" TargetMode="External"/><Relationship Id="rId3319" Type="http://schemas.openxmlformats.org/officeDocument/2006/relationships/hyperlink" Target="https://www.inaturalist.org/people/trakka53" TargetMode="External"/><Relationship Id="rId3320" Type="http://schemas.openxmlformats.org/officeDocument/2006/relationships/hyperlink" Target="https://creativecommons.org/licenses/by-nc/4.0/" TargetMode="External"/><Relationship Id="rId3321" Type="http://schemas.openxmlformats.org/officeDocument/2006/relationships/hyperlink" Target="https://www.inaturalist.org/observations/215674256" TargetMode="External"/><Relationship Id="rId3322" Type="http://schemas.openxmlformats.org/officeDocument/2006/relationships/hyperlink" Target="https://www.inaturalist.org/people/gratitude888" TargetMode="External"/><Relationship Id="rId3323" Type="http://schemas.openxmlformats.org/officeDocument/2006/relationships/hyperlink" Target="https://creativecommons.org/licenses/by-nc/4.0/" TargetMode="External"/><Relationship Id="rId3324" Type="http://schemas.openxmlformats.org/officeDocument/2006/relationships/hyperlink" Target="https://www.inaturalist.org/observations/214752263" TargetMode="External"/><Relationship Id="rId3325" Type="http://schemas.openxmlformats.org/officeDocument/2006/relationships/hyperlink" Target="https://www.inaturalist.org/people/gratitude888" TargetMode="External"/><Relationship Id="rId3326" Type="http://schemas.openxmlformats.org/officeDocument/2006/relationships/hyperlink" Target="https://creativecommons.org/licenses/by-nc/4.0/" TargetMode="External"/><Relationship Id="rId3327" Type="http://schemas.openxmlformats.org/officeDocument/2006/relationships/hyperlink" Target="https://www.inaturalist.org/observations/214752263" TargetMode="External"/><Relationship Id="rId3328" Type="http://schemas.openxmlformats.org/officeDocument/2006/relationships/hyperlink" Target="https://www.inaturalist.org/people/wildflowergirl" TargetMode="External"/><Relationship Id="rId3329" Type="http://schemas.openxmlformats.org/officeDocument/2006/relationships/hyperlink" Target="https://creativecommons.org/licenses/by-nc/4.0/" TargetMode="External"/><Relationship Id="rId3330" Type="http://schemas.openxmlformats.org/officeDocument/2006/relationships/hyperlink" Target="https://www.inaturalist.org/observations/387355244" TargetMode="External"/><Relationship Id="rId3331" Type="http://schemas.openxmlformats.org/officeDocument/2006/relationships/hyperlink" Target="https://www.inaturalist.org/people/ethanmoon" TargetMode="External"/><Relationship Id="rId3332" Type="http://schemas.openxmlformats.org/officeDocument/2006/relationships/hyperlink" Target="https://creativecommons.org/licenses/by-nc/4.0/" TargetMode="External"/><Relationship Id="rId3333" Type="http://schemas.openxmlformats.org/officeDocument/2006/relationships/hyperlink" Target="https://www.inaturalist.org/observations/195427296" TargetMode="External"/><Relationship Id="rId3334" Type="http://schemas.openxmlformats.org/officeDocument/2006/relationships/hyperlink" Target="https://www.inaturalist.org/people/lucegoose" TargetMode="External"/><Relationship Id="rId3335" Type="http://schemas.openxmlformats.org/officeDocument/2006/relationships/hyperlink" Target="https://creativecommons.org/licenses/by-nc/4.0/" TargetMode="External"/><Relationship Id="rId3336" Type="http://schemas.openxmlformats.org/officeDocument/2006/relationships/hyperlink" Target="https://www.inaturalist.org/observations/193295887" TargetMode="External"/><Relationship Id="rId3337" Type="http://schemas.openxmlformats.org/officeDocument/2006/relationships/hyperlink" Target="https://www.inaturalist.org/people/lucegoose" TargetMode="External"/><Relationship Id="rId3338" Type="http://schemas.openxmlformats.org/officeDocument/2006/relationships/hyperlink" Target="https://creativecommons.org/licenses/by-nc/4.0/" TargetMode="External"/><Relationship Id="rId3339" Type="http://schemas.openxmlformats.org/officeDocument/2006/relationships/hyperlink" Target="https://www.inaturalist.org/observations/193295887" TargetMode="External"/><Relationship Id="rId3340" Type="http://schemas.openxmlformats.org/officeDocument/2006/relationships/hyperlink" Target="https://www.inaturalist.org/people/jordan_a_mulder" TargetMode="External"/><Relationship Id="rId3341" Type="http://schemas.openxmlformats.org/officeDocument/2006/relationships/hyperlink" Target="https://creativecommons.org/licenses/by-nc/4.0/" TargetMode="External"/><Relationship Id="rId3342" Type="http://schemas.openxmlformats.org/officeDocument/2006/relationships/hyperlink" Target="https://www.inaturalist.org/observations/192910066" TargetMode="External"/><Relationship Id="rId3343" Type="http://schemas.openxmlformats.org/officeDocument/2006/relationships/hyperlink" Target="https://www.inaturalist.org/people/indrabone" TargetMode="External"/><Relationship Id="rId3344" Type="http://schemas.openxmlformats.org/officeDocument/2006/relationships/hyperlink" Target="https://creativecommons.org/licenses/by-nc/4.0/" TargetMode="External"/><Relationship Id="rId3345" Type="http://schemas.openxmlformats.org/officeDocument/2006/relationships/hyperlink" Target="https://www.inaturalist.org/observations/157536042" TargetMode="External"/><Relationship Id="rId3346" Type="http://schemas.openxmlformats.org/officeDocument/2006/relationships/hyperlink" Target="https://www.inaturalist.org/people/jonpleizier" TargetMode="External"/><Relationship Id="rId3347" Type="http://schemas.openxmlformats.org/officeDocument/2006/relationships/hyperlink" Target="https://creativecommons.org/licenses/by-nc/4.0/" TargetMode="External"/><Relationship Id="rId3348" Type="http://schemas.openxmlformats.org/officeDocument/2006/relationships/hyperlink" Target="https://www.inaturalist.org/observations/150243214" TargetMode="External"/><Relationship Id="rId3349" Type="http://schemas.openxmlformats.org/officeDocument/2006/relationships/hyperlink" Target="https://www.inaturalist.org/people/lizsnow" TargetMode="External"/><Relationship Id="rId3350" Type="http://schemas.openxmlformats.org/officeDocument/2006/relationships/hyperlink" Target="https://creativecommons.org/licenses/by-nc/4.0/" TargetMode="External"/><Relationship Id="rId3351" Type="http://schemas.openxmlformats.org/officeDocument/2006/relationships/hyperlink" Target="https://www.inaturalist.org/observations/339411495" TargetMode="External"/><Relationship Id="rId3352" Type="http://schemas.openxmlformats.org/officeDocument/2006/relationships/hyperlink" Target="https://www.inaturalist.org/people/donglerthrongler" TargetMode="External"/><Relationship Id="rId3353" Type="http://schemas.openxmlformats.org/officeDocument/2006/relationships/hyperlink" Target="https://creativecommons.org/licenses/by-nc/4.0/" TargetMode="External"/><Relationship Id="rId3354" Type="http://schemas.openxmlformats.org/officeDocument/2006/relationships/hyperlink" Target="https://www.inaturalist.org/observations/337784298" TargetMode="External"/><Relationship Id="rId3355" Type="http://schemas.openxmlformats.org/officeDocument/2006/relationships/hyperlink" Target="https://www.inaturalist.org/people/ray_turnbull" TargetMode="External"/><Relationship Id="rId3356" Type="http://schemas.openxmlformats.org/officeDocument/2006/relationships/hyperlink" Target="https://creativecommons.org/licenses/by-nc/4.0/" TargetMode="External"/><Relationship Id="rId3357" Type="http://schemas.openxmlformats.org/officeDocument/2006/relationships/hyperlink" Target="https://www.inaturalist.org/observations/336326636" TargetMode="External"/><Relationship Id="rId3358" Type="http://schemas.openxmlformats.org/officeDocument/2006/relationships/hyperlink" Target="https://www.inaturalist.org/people/ray_turnbull" TargetMode="External"/><Relationship Id="rId3359" Type="http://schemas.openxmlformats.org/officeDocument/2006/relationships/hyperlink" Target="https://creativecommons.org/licenses/by-nc/4.0/" TargetMode="External"/><Relationship Id="rId3360" Type="http://schemas.openxmlformats.org/officeDocument/2006/relationships/hyperlink" Target="https://www.inaturalist.org/observations/336030696" TargetMode="External"/><Relationship Id="rId3361" Type="http://schemas.openxmlformats.org/officeDocument/2006/relationships/hyperlink" Target="https://www.inaturalist.org/people/ray_turnbull" TargetMode="External"/><Relationship Id="rId3362" Type="http://schemas.openxmlformats.org/officeDocument/2006/relationships/hyperlink" Target="https://creativecommons.org/licenses/by-nc/4.0/" TargetMode="External"/><Relationship Id="rId3363" Type="http://schemas.openxmlformats.org/officeDocument/2006/relationships/hyperlink" Target="https://www.inaturalist.org/observations/336030692" TargetMode="External"/><Relationship Id="rId3364" Type="http://schemas.openxmlformats.org/officeDocument/2006/relationships/hyperlink" Target="https://www.inaturalist.org/people/margot_oorebeek" TargetMode="External"/><Relationship Id="rId3365" Type="http://schemas.openxmlformats.org/officeDocument/2006/relationships/hyperlink" Target="https://creativecommons.org/licenses/by-nc/4.0/" TargetMode="External"/><Relationship Id="rId3366" Type="http://schemas.openxmlformats.org/officeDocument/2006/relationships/hyperlink" Target="https://www.inaturalist.org/observations/335690524" TargetMode="External"/><Relationship Id="rId3367" Type="http://schemas.openxmlformats.org/officeDocument/2006/relationships/hyperlink" Target="https://www.inaturalist.org/people/margot_oorebeek" TargetMode="External"/><Relationship Id="rId3368" Type="http://schemas.openxmlformats.org/officeDocument/2006/relationships/hyperlink" Target="https://creativecommons.org/licenses/by-nc/4.0/" TargetMode="External"/><Relationship Id="rId3369" Type="http://schemas.openxmlformats.org/officeDocument/2006/relationships/hyperlink" Target="https://www.inaturalist.org/observations/335690524" TargetMode="External"/><Relationship Id="rId3370" Type="http://schemas.openxmlformats.org/officeDocument/2006/relationships/hyperlink" Target="https://www.inaturalist.org/people/kevinrothschild" TargetMode="External"/><Relationship Id="rId3371" Type="http://schemas.openxmlformats.org/officeDocument/2006/relationships/hyperlink" Target="https://creativecommons.org/licenses/by-nc/4.0/" TargetMode="External"/><Relationship Id="rId3372" Type="http://schemas.openxmlformats.org/officeDocument/2006/relationships/hyperlink" Target="https://www.inaturalist.org/observations/333660428" TargetMode="External"/><Relationship Id="rId3373" Type="http://schemas.openxmlformats.org/officeDocument/2006/relationships/hyperlink" Target="https://www.inaturalist.org/people/kevinrothschild" TargetMode="External"/><Relationship Id="rId3374" Type="http://schemas.openxmlformats.org/officeDocument/2006/relationships/hyperlink" Target="https://creativecommons.org/licenses/by-nc/4.0/" TargetMode="External"/><Relationship Id="rId3375" Type="http://schemas.openxmlformats.org/officeDocument/2006/relationships/hyperlink" Target="https://www.inaturalist.org/observations/333541823" TargetMode="External"/><Relationship Id="rId3376" Type="http://schemas.openxmlformats.org/officeDocument/2006/relationships/hyperlink" Target="https://www.inaturalist.org/people/jacquirc" TargetMode="External"/><Relationship Id="rId3377" Type="http://schemas.openxmlformats.org/officeDocument/2006/relationships/hyperlink" Target="https://creativecommons.org/licenses/by-nc/4.0/" TargetMode="External"/><Relationship Id="rId3378" Type="http://schemas.openxmlformats.org/officeDocument/2006/relationships/hyperlink" Target="https://www.inaturalist.org/observations/332816056" TargetMode="External"/><Relationship Id="rId3379" Type="http://schemas.openxmlformats.org/officeDocument/2006/relationships/hyperlink" Target="https://www.inaturalist.org/people/jacquirc" TargetMode="External"/><Relationship Id="rId3380" Type="http://schemas.openxmlformats.org/officeDocument/2006/relationships/hyperlink" Target="https://creativecommons.org/licenses/by-nc/4.0/" TargetMode="External"/><Relationship Id="rId3381" Type="http://schemas.openxmlformats.org/officeDocument/2006/relationships/hyperlink" Target="https://www.inaturalist.org/observations/332816056" TargetMode="External"/><Relationship Id="rId3382" Type="http://schemas.openxmlformats.org/officeDocument/2006/relationships/hyperlink" Target="https://www.inaturalist.org/people/lachlan_harriman" TargetMode="External"/><Relationship Id="rId3383" Type="http://schemas.openxmlformats.org/officeDocument/2006/relationships/hyperlink" Target="https://creativecommons.org/licenses/by-nc/4.0/" TargetMode="External"/><Relationship Id="rId3384" Type="http://schemas.openxmlformats.org/officeDocument/2006/relationships/hyperlink" Target="https://www.inaturalist.org/observations/332561889" TargetMode="External"/><Relationship Id="rId3385" Type="http://schemas.openxmlformats.org/officeDocument/2006/relationships/hyperlink" Target="https://www.inaturalist.org/people/lachlan_harriman" TargetMode="External"/><Relationship Id="rId3386" Type="http://schemas.openxmlformats.org/officeDocument/2006/relationships/hyperlink" Target="https://creativecommons.org/licenses/by-nc/4.0/" TargetMode="External"/><Relationship Id="rId3387" Type="http://schemas.openxmlformats.org/officeDocument/2006/relationships/hyperlink" Target="https://www.inaturalist.org/observations/332561885" TargetMode="External"/><Relationship Id="rId3388" Type="http://schemas.openxmlformats.org/officeDocument/2006/relationships/hyperlink" Target="https://www.inaturalist.org/people/boogman" TargetMode="External"/><Relationship Id="rId3389" Type="http://schemas.openxmlformats.org/officeDocument/2006/relationships/hyperlink" Target="https://creativecommons.org/licenses/by-nc/4.0/" TargetMode="External"/><Relationship Id="rId3390" Type="http://schemas.openxmlformats.org/officeDocument/2006/relationships/hyperlink" Target="https://www.inaturalist.org/observations/332355352" TargetMode="External"/><Relationship Id="rId3391" Type="http://schemas.openxmlformats.org/officeDocument/2006/relationships/hyperlink" Target="https://www.inaturalist.org/people/boogman" TargetMode="External"/><Relationship Id="rId3392" Type="http://schemas.openxmlformats.org/officeDocument/2006/relationships/hyperlink" Target="https://creativecommons.org/licenses/by-nc/4.0/" TargetMode="External"/><Relationship Id="rId3393" Type="http://schemas.openxmlformats.org/officeDocument/2006/relationships/hyperlink" Target="https://www.inaturalist.org/observations/332355177" TargetMode="External"/><Relationship Id="rId3394" Type="http://schemas.openxmlformats.org/officeDocument/2006/relationships/hyperlink" Target="https://www.inaturalist.org/people/boogman" TargetMode="External"/><Relationship Id="rId3395" Type="http://schemas.openxmlformats.org/officeDocument/2006/relationships/hyperlink" Target="https://creativecommons.org/licenses/by-nc/4.0/" TargetMode="External"/><Relationship Id="rId3396" Type="http://schemas.openxmlformats.org/officeDocument/2006/relationships/hyperlink" Target="https://www.inaturalist.org/observations/332354991" TargetMode="External"/><Relationship Id="rId3397" Type="http://schemas.openxmlformats.org/officeDocument/2006/relationships/hyperlink" Target="https://www.inaturalist.org/people/darren_fielder" TargetMode="External"/><Relationship Id="rId3398" Type="http://schemas.openxmlformats.org/officeDocument/2006/relationships/hyperlink" Target="https://creativecommons.org/licenses/by-nc/4.0/" TargetMode="External"/><Relationship Id="rId3399" Type="http://schemas.openxmlformats.org/officeDocument/2006/relationships/hyperlink" Target="https://www.inaturalist.org/observations/327827839" TargetMode="External"/><Relationship Id="rId3400" Type="http://schemas.openxmlformats.org/officeDocument/2006/relationships/hyperlink" Target="https://www.inaturalist.org/people/darren_fielder" TargetMode="External"/><Relationship Id="rId3401" Type="http://schemas.openxmlformats.org/officeDocument/2006/relationships/hyperlink" Target="https://creativecommons.org/licenses/by-nc/4.0/" TargetMode="External"/><Relationship Id="rId3402" Type="http://schemas.openxmlformats.org/officeDocument/2006/relationships/hyperlink" Target="https://www.inaturalist.org/observations/327827839" TargetMode="External"/><Relationship Id="rId3403" Type="http://schemas.openxmlformats.org/officeDocument/2006/relationships/hyperlink" Target="https://www.inaturalist.org/people/darren_fielder" TargetMode="External"/><Relationship Id="rId3404" Type="http://schemas.openxmlformats.org/officeDocument/2006/relationships/hyperlink" Target="https://creativecommons.org/licenses/by-nc/4.0/" TargetMode="External"/><Relationship Id="rId3405" Type="http://schemas.openxmlformats.org/officeDocument/2006/relationships/hyperlink" Target="https://www.inaturalist.org/observations/327827838" TargetMode="External"/><Relationship Id="rId3406" Type="http://schemas.openxmlformats.org/officeDocument/2006/relationships/hyperlink" Target="https://www.inaturalist.org/people/sebastian_frank" TargetMode="External"/><Relationship Id="rId3407" Type="http://schemas.openxmlformats.org/officeDocument/2006/relationships/hyperlink" Target="https://creativecommons.org/licenses/by-nc/4.0/" TargetMode="External"/><Relationship Id="rId3408" Type="http://schemas.openxmlformats.org/officeDocument/2006/relationships/hyperlink" Target="https://www.inaturalist.org/observations/326114730" TargetMode="External"/><Relationship Id="rId3409" Type="http://schemas.openxmlformats.org/officeDocument/2006/relationships/hyperlink" Target="https://www.inaturalist.org/people/sebastian_frank" TargetMode="External"/><Relationship Id="rId3410" Type="http://schemas.openxmlformats.org/officeDocument/2006/relationships/hyperlink" Target="https://creativecommons.org/licenses/by-nc/4.0/" TargetMode="External"/><Relationship Id="rId3411" Type="http://schemas.openxmlformats.org/officeDocument/2006/relationships/hyperlink" Target="https://www.inaturalist.org/observations/326103301" TargetMode="External"/><Relationship Id="rId3412" Type="http://schemas.openxmlformats.org/officeDocument/2006/relationships/hyperlink" Target="https://www.inaturalist.org/people/sebastian_frank" TargetMode="External"/><Relationship Id="rId3413" Type="http://schemas.openxmlformats.org/officeDocument/2006/relationships/hyperlink" Target="https://creativecommons.org/licenses/by-nc/4.0/" TargetMode="External"/><Relationship Id="rId3414" Type="http://schemas.openxmlformats.org/officeDocument/2006/relationships/hyperlink" Target="https://www.inaturalist.org/observations/326091707" TargetMode="External"/><Relationship Id="rId3415" Type="http://schemas.openxmlformats.org/officeDocument/2006/relationships/hyperlink" Target="https://www.inaturalist.org/people/sebastian_frank" TargetMode="External"/><Relationship Id="rId3416" Type="http://schemas.openxmlformats.org/officeDocument/2006/relationships/hyperlink" Target="https://creativecommons.org/licenses/by-nc/4.0/" TargetMode="External"/><Relationship Id="rId3417" Type="http://schemas.openxmlformats.org/officeDocument/2006/relationships/hyperlink" Target="https://www.inaturalist.org/observations/326091624" TargetMode="External"/><Relationship Id="rId3418" Type="http://schemas.openxmlformats.org/officeDocument/2006/relationships/hyperlink" Target="https://www.inaturalist.org/people/darren_fielder" TargetMode="External"/><Relationship Id="rId3419" Type="http://schemas.openxmlformats.org/officeDocument/2006/relationships/hyperlink" Target="https://creativecommons.org/licenses/by-nc/4.0/" TargetMode="External"/><Relationship Id="rId3420" Type="http://schemas.openxmlformats.org/officeDocument/2006/relationships/hyperlink" Target="https://www.inaturalist.org/observations/325609489" TargetMode="External"/><Relationship Id="rId3421" Type="http://schemas.openxmlformats.org/officeDocument/2006/relationships/hyperlink" Target="https://www.inaturalist.org/people/willjmatthews04" TargetMode="External"/><Relationship Id="rId3422" Type="http://schemas.openxmlformats.org/officeDocument/2006/relationships/hyperlink" Target="https://creativecommons.org/licenses/by-nc/4.0/" TargetMode="External"/><Relationship Id="rId3423" Type="http://schemas.openxmlformats.org/officeDocument/2006/relationships/hyperlink" Target="https://www.inaturalist.org/observations/317940587" TargetMode="External"/><Relationship Id="rId3424" Type="http://schemas.openxmlformats.org/officeDocument/2006/relationships/hyperlink" Target="https://www.inaturalist.org/people/willjmatthews04" TargetMode="External"/><Relationship Id="rId3425" Type="http://schemas.openxmlformats.org/officeDocument/2006/relationships/hyperlink" Target="https://creativecommons.org/licenses/by-nc/4.0/" TargetMode="External"/><Relationship Id="rId3426" Type="http://schemas.openxmlformats.org/officeDocument/2006/relationships/hyperlink" Target="https://www.inaturalist.org/observations/317940587" TargetMode="External"/><Relationship Id="rId3427" Type="http://schemas.openxmlformats.org/officeDocument/2006/relationships/hyperlink" Target="https://www.inaturalist.org/people/riki_paleatus" TargetMode="External"/><Relationship Id="rId3428" Type="http://schemas.openxmlformats.org/officeDocument/2006/relationships/hyperlink" Target="https://creativecommons.org/licenses/by-nc/4.0/" TargetMode="External"/><Relationship Id="rId3429" Type="http://schemas.openxmlformats.org/officeDocument/2006/relationships/hyperlink" Target="https://www.inaturalist.org/observations/317927106" TargetMode="External"/><Relationship Id="rId3430" Type="http://schemas.openxmlformats.org/officeDocument/2006/relationships/hyperlink" Target="https://www.inaturalist.org/people/riki_paleatus" TargetMode="External"/><Relationship Id="rId3431" Type="http://schemas.openxmlformats.org/officeDocument/2006/relationships/hyperlink" Target="https://creativecommons.org/licenses/by-nc/4.0/" TargetMode="External"/><Relationship Id="rId3432" Type="http://schemas.openxmlformats.org/officeDocument/2006/relationships/hyperlink" Target="https://www.inaturalist.org/observations/317927106" TargetMode="External"/><Relationship Id="rId3433" Type="http://schemas.openxmlformats.org/officeDocument/2006/relationships/hyperlink" Target="https://www.inaturalist.org/people/riki_paleatus" TargetMode="External"/><Relationship Id="rId3434" Type="http://schemas.openxmlformats.org/officeDocument/2006/relationships/hyperlink" Target="https://creativecommons.org/licenses/by-nc/4.0/" TargetMode="External"/><Relationship Id="rId3435" Type="http://schemas.openxmlformats.org/officeDocument/2006/relationships/hyperlink" Target="https://www.inaturalist.org/observations/317927106" TargetMode="External"/><Relationship Id="rId3436" Type="http://schemas.openxmlformats.org/officeDocument/2006/relationships/hyperlink" Target="https://www.inaturalist.org/people/jusarm" TargetMode="External"/><Relationship Id="rId3437" Type="http://schemas.openxmlformats.org/officeDocument/2006/relationships/hyperlink" Target="https://creativecommons.org/licenses/by-nc/4.0/" TargetMode="External"/><Relationship Id="rId3438" Type="http://schemas.openxmlformats.org/officeDocument/2006/relationships/hyperlink" Target="https://www.inaturalist.org/observations/316716141" TargetMode="External"/><Relationship Id="rId3439" Type="http://schemas.openxmlformats.org/officeDocument/2006/relationships/hyperlink" Target="https://www.inaturalist.org/people/willjmatthews04" TargetMode="External"/><Relationship Id="rId3440" Type="http://schemas.openxmlformats.org/officeDocument/2006/relationships/hyperlink" Target="https://creativecommons.org/licenses/by-nc/4.0/" TargetMode="External"/><Relationship Id="rId3441" Type="http://schemas.openxmlformats.org/officeDocument/2006/relationships/hyperlink" Target="https://www.inaturalist.org/observations/317940860" TargetMode="External"/><Relationship Id="rId3442" Type="http://schemas.openxmlformats.org/officeDocument/2006/relationships/hyperlink" Target="https://www.inaturalist.org/people/darren_fielder" TargetMode="External"/><Relationship Id="rId3443" Type="http://schemas.openxmlformats.org/officeDocument/2006/relationships/hyperlink" Target="https://creativecommons.org/licenses/by-nc/4.0/" TargetMode="External"/><Relationship Id="rId3444" Type="http://schemas.openxmlformats.org/officeDocument/2006/relationships/hyperlink" Target="https://www.inaturalist.org/observations/325609485" TargetMode="External"/><Relationship Id="rId3445" Type="http://schemas.openxmlformats.org/officeDocument/2006/relationships/hyperlink" Target="https://www.inaturalist.org/people/darren_fielder" TargetMode="External"/><Relationship Id="rId3446" Type="http://schemas.openxmlformats.org/officeDocument/2006/relationships/hyperlink" Target="https://creativecommons.org/licenses/by-nc/4.0/" TargetMode="External"/><Relationship Id="rId3447" Type="http://schemas.openxmlformats.org/officeDocument/2006/relationships/hyperlink" Target="https://www.inaturalist.org/observations/325609485" TargetMode="External"/><Relationship Id="rId3448" Type="http://schemas.openxmlformats.org/officeDocument/2006/relationships/hyperlink" Target="https://www.inaturalist.org/people/darren_fielder" TargetMode="External"/><Relationship Id="rId3449" Type="http://schemas.openxmlformats.org/officeDocument/2006/relationships/hyperlink" Target="https://creativecommons.org/licenses/by-nc/4.0/" TargetMode="External"/><Relationship Id="rId3450" Type="http://schemas.openxmlformats.org/officeDocument/2006/relationships/hyperlink" Target="https://www.inaturalist.org/observations/325609485" TargetMode="External"/><Relationship Id="rId3451" Type="http://schemas.openxmlformats.org/officeDocument/2006/relationships/hyperlink" Target="https://www.inaturalist.org/people/trachyrhynchus" TargetMode="External"/><Relationship Id="rId3452" Type="http://schemas.openxmlformats.org/officeDocument/2006/relationships/hyperlink" Target="https://creativecommons.org/licenses/by-nc/4.0/" TargetMode="External"/><Relationship Id="rId3453" Type="http://schemas.openxmlformats.org/officeDocument/2006/relationships/hyperlink" Target="https://www.inaturalist.org/observations/325864236" TargetMode="External"/><Relationship Id="rId3454" Type="http://schemas.openxmlformats.org/officeDocument/2006/relationships/hyperlink" Target="https://www.inaturalist.org/people/mypatchofheaven" TargetMode="External"/><Relationship Id="rId3455" Type="http://schemas.openxmlformats.org/officeDocument/2006/relationships/hyperlink" Target="https://creativecommons.org/licenses/by-nc/4.0/" TargetMode="External"/><Relationship Id="rId3456" Type="http://schemas.openxmlformats.org/officeDocument/2006/relationships/hyperlink" Target="https://www.inaturalist.org/observations/379919265" TargetMode="External"/><Relationship Id="rId3457" Type="http://schemas.openxmlformats.org/officeDocument/2006/relationships/hyperlink" Target="https://www.inaturalist.org/people/econeighbour_" TargetMode="External"/><Relationship Id="rId3458" Type="http://schemas.openxmlformats.org/officeDocument/2006/relationships/hyperlink" Target="https://creativecommons.org/licenses/by-nc/4.0/" TargetMode="External"/><Relationship Id="rId3459" Type="http://schemas.openxmlformats.org/officeDocument/2006/relationships/hyperlink" Target="https://www.inaturalist.org/observations/379531004" TargetMode="External"/><Relationship Id="rId3460" Type="http://schemas.openxmlformats.org/officeDocument/2006/relationships/hyperlink" Target="https://www.inaturalist.org/people/p35530" TargetMode="External"/><Relationship Id="rId3461" Type="http://schemas.openxmlformats.org/officeDocument/2006/relationships/hyperlink" Target="https://creativecommons.org/licenses/by-nc/4.0/" TargetMode="External"/><Relationship Id="rId3462" Type="http://schemas.openxmlformats.org/officeDocument/2006/relationships/hyperlink" Target="https://www.inaturalist.org/observations/373510554" TargetMode="External"/><Relationship Id="rId3463" Type="http://schemas.openxmlformats.org/officeDocument/2006/relationships/hyperlink" Target="https://www.inaturalist.org/people/chapmanexplores" TargetMode="External"/><Relationship Id="rId3464" Type="http://schemas.openxmlformats.org/officeDocument/2006/relationships/hyperlink" Target="https://creativecommons.org/licenses/by-nc/4.0/" TargetMode="External"/><Relationship Id="rId3465" Type="http://schemas.openxmlformats.org/officeDocument/2006/relationships/hyperlink" Target="https://www.inaturalist.org/observations/377125358" TargetMode="External"/><Relationship Id="rId3466" Type="http://schemas.openxmlformats.org/officeDocument/2006/relationships/hyperlink" Target="https://www.inaturalist.org/people/p35530" TargetMode="External"/><Relationship Id="rId3467" Type="http://schemas.openxmlformats.org/officeDocument/2006/relationships/hyperlink" Target="https://creativecommons.org/licenses/by-nc/4.0/" TargetMode="External"/><Relationship Id="rId3468" Type="http://schemas.openxmlformats.org/officeDocument/2006/relationships/hyperlink" Target="https://www.inaturalist.org/observations/370877560" TargetMode="External"/><Relationship Id="rId3469" Type="http://schemas.openxmlformats.org/officeDocument/2006/relationships/hyperlink" Target="https://www.inaturalist.org/people/crocattackdatabase" TargetMode="External"/><Relationship Id="rId3470" Type="http://schemas.openxmlformats.org/officeDocument/2006/relationships/hyperlink" Target="https://creativecommons.org/licenses/by-nc/4.0/" TargetMode="External"/><Relationship Id="rId3471" Type="http://schemas.openxmlformats.org/officeDocument/2006/relationships/hyperlink" Target="https://www.inaturalist.org/observations/370015935" TargetMode="External"/><Relationship Id="rId3472" Type="http://schemas.openxmlformats.org/officeDocument/2006/relationships/hyperlink" Target="https://www.inaturalist.org/people/crocattackdatabase" TargetMode="External"/><Relationship Id="rId3473" Type="http://schemas.openxmlformats.org/officeDocument/2006/relationships/hyperlink" Target="https://creativecommons.org/licenses/by-nc/4.0/" TargetMode="External"/><Relationship Id="rId3474" Type="http://schemas.openxmlformats.org/officeDocument/2006/relationships/hyperlink" Target="https://www.inaturalist.org/observations/370015930" TargetMode="External"/><Relationship Id="rId3475" Type="http://schemas.openxmlformats.org/officeDocument/2006/relationships/hyperlink" Target="https://www.inaturalist.org/people/jasvink" TargetMode="External"/><Relationship Id="rId3476" Type="http://schemas.openxmlformats.org/officeDocument/2006/relationships/hyperlink" Target="https://creativecommons.org/licenses/by-nc/4.0/" TargetMode="External"/><Relationship Id="rId3477" Type="http://schemas.openxmlformats.org/officeDocument/2006/relationships/hyperlink" Target="https://www.inaturalist.org/observations/367693933" TargetMode="External"/><Relationship Id="rId3478" Type="http://schemas.openxmlformats.org/officeDocument/2006/relationships/hyperlink" Target="https://www.inaturalist.org/people/chuditch" TargetMode="External"/><Relationship Id="rId3479" Type="http://schemas.openxmlformats.org/officeDocument/2006/relationships/hyperlink" Target="https://creativecommons.org/licenses/by-nc/4.0/" TargetMode="External"/><Relationship Id="rId3480" Type="http://schemas.openxmlformats.org/officeDocument/2006/relationships/hyperlink" Target="https://www.inaturalist.org/observations/367390495" TargetMode="External"/><Relationship Id="rId3481" Type="http://schemas.openxmlformats.org/officeDocument/2006/relationships/hyperlink" Target="https://www.inaturalist.org/people/walkersnakewrangler" TargetMode="External"/><Relationship Id="rId3482" Type="http://schemas.openxmlformats.org/officeDocument/2006/relationships/hyperlink" Target="https://creativecommons.org/licenses/by-nc/4.0/" TargetMode="External"/><Relationship Id="rId3483" Type="http://schemas.openxmlformats.org/officeDocument/2006/relationships/hyperlink" Target="https://www.inaturalist.org/observations/366997614" TargetMode="External"/><Relationship Id="rId3484" Type="http://schemas.openxmlformats.org/officeDocument/2006/relationships/hyperlink" Target="https://www.inaturalist.org/people/lread" TargetMode="External"/><Relationship Id="rId3485" Type="http://schemas.openxmlformats.org/officeDocument/2006/relationships/hyperlink" Target="https://creativecommons.org/licenses/by-nc/4.0/" TargetMode="External"/><Relationship Id="rId3486" Type="http://schemas.openxmlformats.org/officeDocument/2006/relationships/hyperlink" Target="https://www.inaturalist.org/observations/362650291" TargetMode="External"/><Relationship Id="rId3487" Type="http://schemas.openxmlformats.org/officeDocument/2006/relationships/hyperlink" Target="https://www.inaturalist.org/people/chloedmonte" TargetMode="External"/><Relationship Id="rId3488" Type="http://schemas.openxmlformats.org/officeDocument/2006/relationships/hyperlink" Target="https://creativecommons.org/licenses/by-nc/4.0/" TargetMode="External"/><Relationship Id="rId3489" Type="http://schemas.openxmlformats.org/officeDocument/2006/relationships/hyperlink" Target="https://www.inaturalist.org/observations/361558604" TargetMode="External"/><Relationship Id="rId3490" Type="http://schemas.openxmlformats.org/officeDocument/2006/relationships/hyperlink" Target="https://www.inaturalist.org/people/econeighbour_" TargetMode="External"/><Relationship Id="rId3491" Type="http://schemas.openxmlformats.org/officeDocument/2006/relationships/hyperlink" Target="https://creativecommons.org/licenses/by-nc/4.0/" TargetMode="External"/><Relationship Id="rId3492" Type="http://schemas.openxmlformats.org/officeDocument/2006/relationships/hyperlink" Target="https://www.inaturalist.org/observations/361416818" TargetMode="External"/><Relationship Id="rId3493" Type="http://schemas.openxmlformats.org/officeDocument/2006/relationships/hyperlink" Target="https://www.inaturalist.org/people/sharaya_summers" TargetMode="External"/><Relationship Id="rId3494" Type="http://schemas.openxmlformats.org/officeDocument/2006/relationships/hyperlink" Target="https://creativecommons.org/licenses/by-nc/4.0/" TargetMode="External"/><Relationship Id="rId3495" Type="http://schemas.openxmlformats.org/officeDocument/2006/relationships/hyperlink" Target="https://www.inaturalist.org/observations/361140554" TargetMode="External"/><Relationship Id="rId3496" Type="http://schemas.openxmlformats.org/officeDocument/2006/relationships/hyperlink" Target="https://www.inaturalist.org/people/rowt" TargetMode="External"/><Relationship Id="rId3497" Type="http://schemas.openxmlformats.org/officeDocument/2006/relationships/hyperlink" Target="https://creativecommons.org/licenses/by-nc/4.0/" TargetMode="External"/><Relationship Id="rId3498" Type="http://schemas.openxmlformats.org/officeDocument/2006/relationships/hyperlink" Target="https://www.inaturalist.org/observations/360595270" TargetMode="External"/><Relationship Id="rId3499" Type="http://schemas.openxmlformats.org/officeDocument/2006/relationships/hyperlink" Target="https://www.inaturalist.org/people/rowt" TargetMode="External"/><Relationship Id="rId3500" Type="http://schemas.openxmlformats.org/officeDocument/2006/relationships/hyperlink" Target="https://creativecommons.org/licenses/by-nc/4.0/" TargetMode="External"/><Relationship Id="rId3501" Type="http://schemas.openxmlformats.org/officeDocument/2006/relationships/hyperlink" Target="https://www.inaturalist.org/observations/360595270" TargetMode="External"/><Relationship Id="rId3502" Type="http://schemas.openxmlformats.org/officeDocument/2006/relationships/hyperlink" Target="https://www.inaturalist.org/people/lread" TargetMode="External"/><Relationship Id="rId3503" Type="http://schemas.openxmlformats.org/officeDocument/2006/relationships/hyperlink" Target="https://creativecommons.org/licenses/by-nc/4.0/" TargetMode="External"/><Relationship Id="rId3504" Type="http://schemas.openxmlformats.org/officeDocument/2006/relationships/hyperlink" Target="https://www.inaturalist.org/observations/360565950" TargetMode="External"/><Relationship Id="rId3505" Type="http://schemas.openxmlformats.org/officeDocument/2006/relationships/hyperlink" Target="https://www.inaturalist.org/people/ruth_huckstepp" TargetMode="External"/><Relationship Id="rId3506" Type="http://schemas.openxmlformats.org/officeDocument/2006/relationships/hyperlink" Target="https://creativecommons.org/licenses/by-nc/4.0/" TargetMode="External"/><Relationship Id="rId3507" Type="http://schemas.openxmlformats.org/officeDocument/2006/relationships/hyperlink" Target="https://www.inaturalist.org/observations/360389410" TargetMode="External"/><Relationship Id="rId3508" Type="http://schemas.openxmlformats.org/officeDocument/2006/relationships/hyperlink" Target="https://www.inaturalist.org/people/littlebrownskink" TargetMode="External"/><Relationship Id="rId3509" Type="http://schemas.openxmlformats.org/officeDocument/2006/relationships/hyperlink" Target="https://creativecommons.org/licenses/by-nc/4.0/" TargetMode="External"/><Relationship Id="rId3510" Type="http://schemas.openxmlformats.org/officeDocument/2006/relationships/hyperlink" Target="https://www.inaturalist.org/observations/359862290" TargetMode="External"/><Relationship Id="rId3511" Type="http://schemas.openxmlformats.org/officeDocument/2006/relationships/hyperlink" Target="https://www.inaturalist.org/people/georgiabishop__" TargetMode="External"/><Relationship Id="rId3512" Type="http://schemas.openxmlformats.org/officeDocument/2006/relationships/hyperlink" Target="https://creativecommons.org/licenses/by-nc/4.0/" TargetMode="External"/><Relationship Id="rId3513" Type="http://schemas.openxmlformats.org/officeDocument/2006/relationships/hyperlink" Target="https://www.inaturalist.org/observations/355100985" TargetMode="External"/><Relationship Id="rId3514" Type="http://schemas.openxmlformats.org/officeDocument/2006/relationships/hyperlink" Target="https://www.inaturalist.org/people/darcy_roeger" TargetMode="External"/><Relationship Id="rId3515" Type="http://schemas.openxmlformats.org/officeDocument/2006/relationships/hyperlink" Target="https://creativecommons.org/licenses/by-nc/4.0/" TargetMode="External"/><Relationship Id="rId3516" Type="http://schemas.openxmlformats.org/officeDocument/2006/relationships/hyperlink" Target="https://www.inaturalist.org/observations/352454053" TargetMode="External"/><Relationship Id="rId3517" Type="http://schemas.openxmlformats.org/officeDocument/2006/relationships/hyperlink" Target="https://www.inaturalist.org/people/inaturalist-arthur" TargetMode="External"/><Relationship Id="rId3518" Type="http://schemas.openxmlformats.org/officeDocument/2006/relationships/hyperlink" Target="https://creativecommons.org/licenses/by-nc/4.0/" TargetMode="External"/><Relationship Id="rId3519" Type="http://schemas.openxmlformats.org/officeDocument/2006/relationships/hyperlink" Target="https://www.inaturalist.org/observations/349332959" TargetMode="External"/><Relationship Id="rId3520" Type="http://schemas.openxmlformats.org/officeDocument/2006/relationships/hyperlink" Target="https://www.inaturalist.org/people/jasvink" TargetMode="External"/><Relationship Id="rId3521" Type="http://schemas.openxmlformats.org/officeDocument/2006/relationships/hyperlink" Target="https://creativecommons.org/licenses/by-nc/4.0/" TargetMode="External"/><Relationship Id="rId3522" Type="http://schemas.openxmlformats.org/officeDocument/2006/relationships/hyperlink" Target="https://www.inaturalist.org/observations/344648096" TargetMode="External"/><Relationship Id="rId3523" Type="http://schemas.openxmlformats.org/officeDocument/2006/relationships/hyperlink" Target="https://www.inaturalist.org/people/chienyu1" TargetMode="External"/><Relationship Id="rId3524" Type="http://schemas.openxmlformats.org/officeDocument/2006/relationships/hyperlink" Target="https://creativecommons.org/licenses/by-nc/4.0/" TargetMode="External"/><Relationship Id="rId3525" Type="http://schemas.openxmlformats.org/officeDocument/2006/relationships/hyperlink" Target="https://www.inaturalist.org/observations/342744749" TargetMode="External"/><Relationship Id="rId3526" Type="http://schemas.openxmlformats.org/officeDocument/2006/relationships/hyperlink" Target="https://www.inaturalist.org/people/jasvink" TargetMode="External"/><Relationship Id="rId3527" Type="http://schemas.openxmlformats.org/officeDocument/2006/relationships/hyperlink" Target="https://creativecommons.org/licenses/by-nc/4.0/" TargetMode="External"/><Relationship Id="rId3528" Type="http://schemas.openxmlformats.org/officeDocument/2006/relationships/hyperlink" Target="https://www.inaturalist.org/observations/342685671" TargetMode="External"/><Relationship Id="rId3529" Type="http://schemas.openxmlformats.org/officeDocument/2006/relationships/hyperlink" Target="https://www.inaturalist.org/people/jasvink" TargetMode="External"/><Relationship Id="rId3530" Type="http://schemas.openxmlformats.org/officeDocument/2006/relationships/hyperlink" Target="https://creativecommons.org/licenses/by-nc/4.0/" TargetMode="External"/><Relationship Id="rId3531" Type="http://schemas.openxmlformats.org/officeDocument/2006/relationships/hyperlink" Target="https://www.inaturalist.org/observations/342573703" TargetMode="External"/><Relationship Id="rId3532" Type="http://schemas.openxmlformats.org/officeDocument/2006/relationships/hyperlink" Target="https://www.inaturalist.org/people/mypatchofheaven" TargetMode="External"/><Relationship Id="rId3533" Type="http://schemas.openxmlformats.org/officeDocument/2006/relationships/hyperlink" Target="https://creativecommons.org/licenses/by-nc/4.0/" TargetMode="External"/><Relationship Id="rId3534" Type="http://schemas.openxmlformats.org/officeDocument/2006/relationships/hyperlink" Target="https://www.inaturalist.org/observations/379306451" TargetMode="External"/><Relationship Id="rId3535" Type="http://schemas.openxmlformats.org/officeDocument/2006/relationships/hyperlink" Target="https://www.inaturalist.org/people/mypatchofheaven" TargetMode="External"/><Relationship Id="rId3536" Type="http://schemas.openxmlformats.org/officeDocument/2006/relationships/hyperlink" Target="https://creativecommons.org/licenses/by-nc/4.0/" TargetMode="External"/><Relationship Id="rId3537" Type="http://schemas.openxmlformats.org/officeDocument/2006/relationships/hyperlink" Target="https://www.inaturalist.org/observations/379306449" TargetMode="External"/><Relationship Id="rId3538" Type="http://schemas.openxmlformats.org/officeDocument/2006/relationships/hyperlink" Target="https://www.inaturalist.org/people/leahjohnston_wildlife" TargetMode="External"/><Relationship Id="rId3539" Type="http://schemas.openxmlformats.org/officeDocument/2006/relationships/hyperlink" Target="https://creativecommons.org/licenses/by-nc/4.0/" TargetMode="External"/><Relationship Id="rId3540" Type="http://schemas.openxmlformats.org/officeDocument/2006/relationships/hyperlink" Target="https://www.inaturalist.org/observations/378723964" TargetMode="External"/><Relationship Id="rId3541" Type="http://schemas.openxmlformats.org/officeDocument/2006/relationships/hyperlink" Target="https://www.inaturalist.org/people/leahjohnston_wildlife" TargetMode="External"/><Relationship Id="rId3542" Type="http://schemas.openxmlformats.org/officeDocument/2006/relationships/hyperlink" Target="https://creativecommons.org/licenses/by-nc/4.0/" TargetMode="External"/><Relationship Id="rId3543" Type="http://schemas.openxmlformats.org/officeDocument/2006/relationships/hyperlink" Target="https://www.inaturalist.org/observations/378723964" TargetMode="External"/><Relationship Id="rId3544" Type="http://schemas.openxmlformats.org/officeDocument/2006/relationships/hyperlink" Target="https://www.inaturalist.org/people/littlepardalotelover" TargetMode="External"/><Relationship Id="rId3545" Type="http://schemas.openxmlformats.org/officeDocument/2006/relationships/hyperlink" Target="https://creativecommons.org/licenses/by-nc/4.0/" TargetMode="External"/><Relationship Id="rId3546" Type="http://schemas.openxmlformats.org/officeDocument/2006/relationships/hyperlink" Target="https://www.inaturalist.org/observations/378014857" TargetMode="External"/><Relationship Id="rId3547" Type="http://schemas.openxmlformats.org/officeDocument/2006/relationships/hyperlink" Target="https://www.inaturalist.org/people/littlepardalotelover" TargetMode="External"/><Relationship Id="rId3548" Type="http://schemas.openxmlformats.org/officeDocument/2006/relationships/hyperlink" Target="https://creativecommons.org/licenses/by-nc/4.0/" TargetMode="External"/><Relationship Id="rId3549" Type="http://schemas.openxmlformats.org/officeDocument/2006/relationships/hyperlink" Target="https://www.inaturalist.org/observations/378014857" TargetMode="External"/><Relationship Id="rId3550" Type="http://schemas.openxmlformats.org/officeDocument/2006/relationships/hyperlink" Target="https://www.inaturalist.org/people/littlepardalotelover" TargetMode="External"/><Relationship Id="rId3551" Type="http://schemas.openxmlformats.org/officeDocument/2006/relationships/hyperlink" Target="https://creativecommons.org/licenses/by-nc/4.0/" TargetMode="External"/><Relationship Id="rId3552" Type="http://schemas.openxmlformats.org/officeDocument/2006/relationships/hyperlink" Target="https://www.inaturalist.org/observations/378014857" TargetMode="External"/><Relationship Id="rId3553" Type="http://schemas.openxmlformats.org/officeDocument/2006/relationships/hyperlink" Target="https://www.inaturalist.org/people/owenlishmund" TargetMode="External"/><Relationship Id="rId3554" Type="http://schemas.openxmlformats.org/officeDocument/2006/relationships/hyperlink" Target="https://creativecommons.org/licenses/by-nc/4.0/" TargetMode="External"/><Relationship Id="rId3555" Type="http://schemas.openxmlformats.org/officeDocument/2006/relationships/hyperlink" Target="https://www.inaturalist.org/observations/330793942" TargetMode="External"/><Relationship Id="rId3556" Type="http://schemas.openxmlformats.org/officeDocument/2006/relationships/hyperlink" Target="https://www.inaturalist.org/people/rbonduriansky" TargetMode="External"/><Relationship Id="rId3557" Type="http://schemas.openxmlformats.org/officeDocument/2006/relationships/hyperlink" Target="https://creativecommons.org/licenses/by-nc/4.0/" TargetMode="External"/><Relationship Id="rId3558" Type="http://schemas.openxmlformats.org/officeDocument/2006/relationships/hyperlink" Target="https://www.inaturalist.org/observations/335164552" TargetMode="External"/><Relationship Id="rId3559" Type="http://schemas.openxmlformats.org/officeDocument/2006/relationships/hyperlink" Target="https://www.inaturalist.org/people/craig-r" TargetMode="External"/><Relationship Id="rId3560" Type="http://schemas.openxmlformats.org/officeDocument/2006/relationships/hyperlink" Target="https://creativecommons.org/licenses/by-nc/4.0/" TargetMode="External"/><Relationship Id="rId3561" Type="http://schemas.openxmlformats.org/officeDocument/2006/relationships/hyperlink" Target="https://www.inaturalist.org/observations/379282045" TargetMode="External"/><Relationship Id="rId3562" Type="http://schemas.openxmlformats.org/officeDocument/2006/relationships/hyperlink" Target="https://www.inaturalist.org/people/benackerley" TargetMode="External"/><Relationship Id="rId3563" Type="http://schemas.openxmlformats.org/officeDocument/2006/relationships/hyperlink" Target="https://creativecommons.org/licenses/by-nc/4.0/" TargetMode="External"/><Relationship Id="rId3564" Type="http://schemas.openxmlformats.org/officeDocument/2006/relationships/hyperlink" Target="https://www.inaturalist.org/observations/378221839" TargetMode="External"/><Relationship Id="rId3565" Type="http://schemas.openxmlformats.org/officeDocument/2006/relationships/hyperlink" Target="https://www.inaturalist.org/people/jacintafrancesca" TargetMode="External"/><Relationship Id="rId3566" Type="http://schemas.openxmlformats.org/officeDocument/2006/relationships/hyperlink" Target="https://creativecommons.org/licenses/by-nc/4.0/" TargetMode="External"/><Relationship Id="rId3567" Type="http://schemas.openxmlformats.org/officeDocument/2006/relationships/hyperlink" Target="https://www.inaturalist.org/observations/377983336" TargetMode="External"/><Relationship Id="rId3568" Type="http://schemas.openxmlformats.org/officeDocument/2006/relationships/hyperlink" Target="https://www.inaturalist.org/people/indrabone" TargetMode="External"/><Relationship Id="rId3569" Type="http://schemas.openxmlformats.org/officeDocument/2006/relationships/hyperlink" Target="https://creativecommons.org/licenses/by-nc/4.0/" TargetMode="External"/><Relationship Id="rId3570" Type="http://schemas.openxmlformats.org/officeDocument/2006/relationships/hyperlink" Target="https://www.inaturalist.org/observations/372580515" TargetMode="External"/><Relationship Id="rId3571" Type="http://schemas.openxmlformats.org/officeDocument/2006/relationships/hyperlink" Target="https://www.inaturalist.org/people/indrabone" TargetMode="External"/><Relationship Id="rId3572" Type="http://schemas.openxmlformats.org/officeDocument/2006/relationships/hyperlink" Target="https://creativecommons.org/licenses/by-nc/4.0/" TargetMode="External"/><Relationship Id="rId3573" Type="http://schemas.openxmlformats.org/officeDocument/2006/relationships/hyperlink" Target="https://www.inaturalist.org/observations/371217608" TargetMode="External"/><Relationship Id="rId3574" Type="http://schemas.openxmlformats.org/officeDocument/2006/relationships/hyperlink" Target="https://www.inaturalist.org/people/adam_bateman" TargetMode="External"/><Relationship Id="rId3575" Type="http://schemas.openxmlformats.org/officeDocument/2006/relationships/hyperlink" Target="https://creativecommons.org/licenses/by-nc/4.0/" TargetMode="External"/><Relationship Id="rId3576" Type="http://schemas.openxmlformats.org/officeDocument/2006/relationships/hyperlink" Target="https://www.inaturalist.org/observations/365009653" TargetMode="External"/><Relationship Id="rId3577" Type="http://schemas.openxmlformats.org/officeDocument/2006/relationships/hyperlink" Target="https://www.inaturalist.org/people/olliescully1" TargetMode="External"/><Relationship Id="rId3578" Type="http://schemas.openxmlformats.org/officeDocument/2006/relationships/hyperlink" Target="https://creativecommons.org/licenses/by-nc/4.0/" TargetMode="External"/><Relationship Id="rId3579" Type="http://schemas.openxmlformats.org/officeDocument/2006/relationships/hyperlink" Target="https://www.inaturalist.org/observations/358233516" TargetMode="External"/><Relationship Id="rId3580" Type="http://schemas.openxmlformats.org/officeDocument/2006/relationships/hyperlink" Target="https://www.inaturalist.org/people/oedura" TargetMode="External"/><Relationship Id="rId3581" Type="http://schemas.openxmlformats.org/officeDocument/2006/relationships/hyperlink" Target="https://creativecommons.org/licenses/by-nc/4.0/" TargetMode="External"/><Relationship Id="rId3582" Type="http://schemas.openxmlformats.org/officeDocument/2006/relationships/hyperlink" Target="https://www.inaturalist.org/observations/351620736" TargetMode="External"/><Relationship Id="rId3583" Type="http://schemas.openxmlformats.org/officeDocument/2006/relationships/hyperlink" Target="https://www.inaturalist.org/people/oedura" TargetMode="External"/><Relationship Id="rId3584" Type="http://schemas.openxmlformats.org/officeDocument/2006/relationships/hyperlink" Target="https://creativecommons.org/licenses/by-nc/4.0/" TargetMode="External"/><Relationship Id="rId3585" Type="http://schemas.openxmlformats.org/officeDocument/2006/relationships/hyperlink" Target="https://www.inaturalist.org/observations/351603579" TargetMode="External"/><Relationship Id="rId3586" Type="http://schemas.openxmlformats.org/officeDocument/2006/relationships/hyperlink" Target="https://www.inaturalist.org/people/oedura" TargetMode="External"/><Relationship Id="rId3587" Type="http://schemas.openxmlformats.org/officeDocument/2006/relationships/hyperlink" Target="https://creativecommons.org/licenses/by-nc/4.0/" TargetMode="External"/><Relationship Id="rId3588" Type="http://schemas.openxmlformats.org/officeDocument/2006/relationships/hyperlink" Target="https://www.inaturalist.org/observations/351593176" TargetMode="External"/><Relationship Id="rId3589" Type="http://schemas.openxmlformats.org/officeDocument/2006/relationships/hyperlink" Target="https://www.inaturalist.org/people/oedura" TargetMode="External"/><Relationship Id="rId3590" Type="http://schemas.openxmlformats.org/officeDocument/2006/relationships/hyperlink" Target="https://creativecommons.org/licenses/by-nc/4.0/" TargetMode="External"/><Relationship Id="rId3591" Type="http://schemas.openxmlformats.org/officeDocument/2006/relationships/hyperlink" Target="https://www.inaturalist.org/observations/351592977" TargetMode="External"/><Relationship Id="rId3592" Type="http://schemas.openxmlformats.org/officeDocument/2006/relationships/hyperlink" Target="https://www.inaturalist.org/people/oedura" TargetMode="External"/><Relationship Id="rId3593" Type="http://schemas.openxmlformats.org/officeDocument/2006/relationships/hyperlink" Target="https://creativecommons.org/licenses/by-nc/4.0/" TargetMode="External"/><Relationship Id="rId3594" Type="http://schemas.openxmlformats.org/officeDocument/2006/relationships/hyperlink" Target="https://www.inaturalist.org/observations/351592312" TargetMode="External"/><Relationship Id="rId3595" Type="http://schemas.openxmlformats.org/officeDocument/2006/relationships/hyperlink" Target="https://www.inaturalist.org/people/oedura" TargetMode="External"/><Relationship Id="rId3596" Type="http://schemas.openxmlformats.org/officeDocument/2006/relationships/hyperlink" Target="https://creativecommons.org/licenses/by-nc/4.0/" TargetMode="External"/><Relationship Id="rId3597" Type="http://schemas.openxmlformats.org/officeDocument/2006/relationships/hyperlink" Target="https://www.inaturalist.org/observations/351592289" TargetMode="External"/><Relationship Id="rId3598" Type="http://schemas.openxmlformats.org/officeDocument/2006/relationships/hyperlink" Target="https://www.inaturalist.org/people/oedura" TargetMode="External"/><Relationship Id="rId3599" Type="http://schemas.openxmlformats.org/officeDocument/2006/relationships/hyperlink" Target="https://creativecommons.org/licenses/by-nc/4.0/" TargetMode="External"/><Relationship Id="rId3600" Type="http://schemas.openxmlformats.org/officeDocument/2006/relationships/hyperlink" Target="https://www.inaturalist.org/observations/351592269" TargetMode="External"/><Relationship Id="rId3601" Type="http://schemas.openxmlformats.org/officeDocument/2006/relationships/hyperlink" Target="https://www.inaturalist.org/people/jerrygggg" TargetMode="External"/><Relationship Id="rId3602" Type="http://schemas.openxmlformats.org/officeDocument/2006/relationships/hyperlink" Target="https://creativecommons.org/licenses/by-nc/4.0/" TargetMode="External"/><Relationship Id="rId3603" Type="http://schemas.openxmlformats.org/officeDocument/2006/relationships/hyperlink" Target="https://www.inaturalist.org/observations/350714544" TargetMode="External"/><Relationship Id="rId3604" Type="http://schemas.openxmlformats.org/officeDocument/2006/relationships/hyperlink" Target="https://www.inaturalist.org/people/jerrygggg" TargetMode="External"/><Relationship Id="rId3605" Type="http://schemas.openxmlformats.org/officeDocument/2006/relationships/hyperlink" Target="https://creativecommons.org/licenses/by-nc/4.0/" TargetMode="External"/><Relationship Id="rId3606" Type="http://schemas.openxmlformats.org/officeDocument/2006/relationships/hyperlink" Target="https://www.inaturalist.org/observations/350714544" TargetMode="External"/><Relationship Id="rId3607" Type="http://schemas.openxmlformats.org/officeDocument/2006/relationships/hyperlink" Target="https://www.inaturalist.org/people/rishi_sh4rma" TargetMode="External"/><Relationship Id="rId3608" Type="http://schemas.openxmlformats.org/officeDocument/2006/relationships/hyperlink" Target="https://creativecommons.org/licenses/by-nc/4.0/" TargetMode="External"/><Relationship Id="rId3609" Type="http://schemas.openxmlformats.org/officeDocument/2006/relationships/hyperlink" Target="https://www.inaturalist.org/observations/350703482" TargetMode="External"/><Relationship Id="rId3610" Type="http://schemas.openxmlformats.org/officeDocument/2006/relationships/hyperlink" Target="https://www.inaturalist.org/people/leemijts" TargetMode="External"/><Relationship Id="rId3611" Type="http://schemas.openxmlformats.org/officeDocument/2006/relationships/hyperlink" Target="https://creativecommons.org/licenses/by-nc/4.0/" TargetMode="External"/><Relationship Id="rId3612" Type="http://schemas.openxmlformats.org/officeDocument/2006/relationships/hyperlink" Target="https://www.inaturalist.org/observations/350615731" TargetMode="External"/><Relationship Id="rId3613" Type="http://schemas.openxmlformats.org/officeDocument/2006/relationships/hyperlink" Target="https://www.inaturalist.org/people/snotsausage" TargetMode="External"/><Relationship Id="rId3614" Type="http://schemas.openxmlformats.org/officeDocument/2006/relationships/hyperlink" Target="https://creativecommons.org/licenses/by-nc/4.0/" TargetMode="External"/><Relationship Id="rId3615" Type="http://schemas.openxmlformats.org/officeDocument/2006/relationships/hyperlink" Target="https://www.inaturalist.org/observations/349041151" TargetMode="External"/><Relationship Id="rId3616" Type="http://schemas.openxmlformats.org/officeDocument/2006/relationships/hyperlink" Target="https://www.inaturalist.org/people/snotsausage" TargetMode="External"/><Relationship Id="rId3617" Type="http://schemas.openxmlformats.org/officeDocument/2006/relationships/hyperlink" Target="https://creativecommons.org/licenses/by-nc/4.0/" TargetMode="External"/><Relationship Id="rId3618" Type="http://schemas.openxmlformats.org/officeDocument/2006/relationships/hyperlink" Target="https://www.inaturalist.org/observations/349041042" TargetMode="External"/><Relationship Id="rId3619" Type="http://schemas.openxmlformats.org/officeDocument/2006/relationships/hyperlink" Target="https://www.inaturalist.org/people/snotsausage" TargetMode="External"/><Relationship Id="rId3620" Type="http://schemas.openxmlformats.org/officeDocument/2006/relationships/hyperlink" Target="https://creativecommons.org/licenses/by-nc/4.0/" TargetMode="External"/><Relationship Id="rId3621" Type="http://schemas.openxmlformats.org/officeDocument/2006/relationships/hyperlink" Target="https://www.inaturalist.org/observations/349040854" TargetMode="External"/><Relationship Id="rId3622" Type="http://schemas.openxmlformats.org/officeDocument/2006/relationships/hyperlink" Target="https://www.inaturalist.org/people/darren_fielder" TargetMode="External"/><Relationship Id="rId3623" Type="http://schemas.openxmlformats.org/officeDocument/2006/relationships/hyperlink" Target="https://creativecommons.org/licenses/by-nc/4.0/" TargetMode="External"/><Relationship Id="rId3624" Type="http://schemas.openxmlformats.org/officeDocument/2006/relationships/hyperlink" Target="https://www.inaturalist.org/observations/348917293" TargetMode="External"/><Relationship Id="rId3625" Type="http://schemas.openxmlformats.org/officeDocument/2006/relationships/hyperlink" Target="https://www.inaturalist.org/people/darren_fielder" TargetMode="External"/><Relationship Id="rId3626" Type="http://schemas.openxmlformats.org/officeDocument/2006/relationships/hyperlink" Target="https://creativecommons.org/licenses/by-nc/4.0/" TargetMode="External"/><Relationship Id="rId3627" Type="http://schemas.openxmlformats.org/officeDocument/2006/relationships/hyperlink" Target="https://www.inaturalist.org/observations/348917282" TargetMode="External"/><Relationship Id="rId3628" Type="http://schemas.openxmlformats.org/officeDocument/2006/relationships/hyperlink" Target="https://www.inaturalist.org/people/riki_paleatus" TargetMode="External"/><Relationship Id="rId3629" Type="http://schemas.openxmlformats.org/officeDocument/2006/relationships/hyperlink" Target="https://creativecommons.org/licenses/by-nc/4.0/" TargetMode="External"/><Relationship Id="rId3630" Type="http://schemas.openxmlformats.org/officeDocument/2006/relationships/hyperlink" Target="https://www.inaturalist.org/observations/348540827" TargetMode="External"/><Relationship Id="rId3631" Type="http://schemas.openxmlformats.org/officeDocument/2006/relationships/hyperlink" Target="https://www.inaturalist.org/people/riki_paleatus" TargetMode="External"/><Relationship Id="rId3632" Type="http://schemas.openxmlformats.org/officeDocument/2006/relationships/hyperlink" Target="https://creativecommons.org/licenses/by-nc/4.0/" TargetMode="External"/><Relationship Id="rId3633" Type="http://schemas.openxmlformats.org/officeDocument/2006/relationships/hyperlink" Target="https://www.inaturalist.org/observations/348540233" TargetMode="External"/><Relationship Id="rId3634" Type="http://schemas.openxmlformats.org/officeDocument/2006/relationships/hyperlink" Target="https://www.inaturalist.org/people/riki_paleatus" TargetMode="External"/><Relationship Id="rId3635" Type="http://schemas.openxmlformats.org/officeDocument/2006/relationships/hyperlink" Target="https://creativecommons.org/licenses/by-nc/4.0/" TargetMode="External"/><Relationship Id="rId3636" Type="http://schemas.openxmlformats.org/officeDocument/2006/relationships/hyperlink" Target="https://www.inaturalist.org/observations/348540233" TargetMode="External"/><Relationship Id="rId3637" Type="http://schemas.openxmlformats.org/officeDocument/2006/relationships/hyperlink" Target="https://www.inaturalist.org/people/riki_paleatus" TargetMode="External"/><Relationship Id="rId3638" Type="http://schemas.openxmlformats.org/officeDocument/2006/relationships/hyperlink" Target="https://creativecommons.org/licenses/by-nc/4.0/" TargetMode="External"/><Relationship Id="rId3639" Type="http://schemas.openxmlformats.org/officeDocument/2006/relationships/hyperlink" Target="https://www.inaturalist.org/observations/348540233" TargetMode="External"/><Relationship Id="rId3640" Type="http://schemas.openxmlformats.org/officeDocument/2006/relationships/hyperlink" Target="https://www.inaturalist.org/people/riki_paleatus" TargetMode="External"/><Relationship Id="rId3641" Type="http://schemas.openxmlformats.org/officeDocument/2006/relationships/hyperlink" Target="https://creativecommons.org/licenses/by-nc/4.0/" TargetMode="External"/><Relationship Id="rId3642" Type="http://schemas.openxmlformats.org/officeDocument/2006/relationships/hyperlink" Target="https://www.inaturalist.org/observations/348540233" TargetMode="External"/><Relationship Id="rId3643" Type="http://schemas.openxmlformats.org/officeDocument/2006/relationships/hyperlink" Target="https://www.inaturalist.org/people/riki_paleatus" TargetMode="External"/><Relationship Id="rId3644" Type="http://schemas.openxmlformats.org/officeDocument/2006/relationships/hyperlink" Target="https://creativecommons.org/licenses/by-nc/4.0/" TargetMode="External"/><Relationship Id="rId3645" Type="http://schemas.openxmlformats.org/officeDocument/2006/relationships/hyperlink" Target="https://www.inaturalist.org/observations/348540222" TargetMode="External"/><Relationship Id="rId3646" Type="http://schemas.openxmlformats.org/officeDocument/2006/relationships/hyperlink" Target="https://www.inaturalist.org/people/majesticchook" TargetMode="External"/><Relationship Id="rId3647" Type="http://schemas.openxmlformats.org/officeDocument/2006/relationships/hyperlink" Target="https://creativecommons.org/licenses/by-nc/4.0/" TargetMode="External"/><Relationship Id="rId3648" Type="http://schemas.openxmlformats.org/officeDocument/2006/relationships/hyperlink" Target="https://www.inaturalist.org/observations/347751022" TargetMode="External"/><Relationship Id="rId3649" Type="http://schemas.openxmlformats.org/officeDocument/2006/relationships/hyperlink" Target="https://www.inaturalist.org/people/indrabone" TargetMode="External"/><Relationship Id="rId3650" Type="http://schemas.openxmlformats.org/officeDocument/2006/relationships/hyperlink" Target="https://creativecommons.org/licenses/by-nc/4.0/" TargetMode="External"/><Relationship Id="rId3651" Type="http://schemas.openxmlformats.org/officeDocument/2006/relationships/hyperlink" Target="https://www.inaturalist.org/observations/346123488" TargetMode="External"/><Relationship Id="rId3652" Type="http://schemas.openxmlformats.org/officeDocument/2006/relationships/hyperlink" Target="https://www.inaturalist.org/people/craig-r" TargetMode="External"/><Relationship Id="rId3653" Type="http://schemas.openxmlformats.org/officeDocument/2006/relationships/hyperlink" Target="https://creativecommons.org/licenses/by-nc/4.0/" TargetMode="External"/><Relationship Id="rId3654" Type="http://schemas.openxmlformats.org/officeDocument/2006/relationships/hyperlink" Target="https://www.inaturalist.org/observations/345228015" TargetMode="External"/><Relationship Id="rId3655" Type="http://schemas.openxmlformats.org/officeDocument/2006/relationships/hyperlink" Target="https://www.inaturalist.org/people/jacksonnugent" TargetMode="External"/><Relationship Id="rId3656" Type="http://schemas.openxmlformats.org/officeDocument/2006/relationships/hyperlink" Target="https://creativecommons.org/licenses/by-nc/4.0/" TargetMode="External"/><Relationship Id="rId3657" Type="http://schemas.openxmlformats.org/officeDocument/2006/relationships/hyperlink" Target="https://www.inaturalist.org/observations/345052715" TargetMode="External"/><Relationship Id="rId3658" Type="http://schemas.openxmlformats.org/officeDocument/2006/relationships/hyperlink" Target="https://www.inaturalist.org/people/jacksonnugent" TargetMode="External"/><Relationship Id="rId3659" Type="http://schemas.openxmlformats.org/officeDocument/2006/relationships/hyperlink" Target="https://creativecommons.org/licenses/by-nc/4.0/" TargetMode="External"/><Relationship Id="rId3660" Type="http://schemas.openxmlformats.org/officeDocument/2006/relationships/hyperlink" Target="https://www.inaturalist.org/observations/345052715" TargetMode="External"/><Relationship Id="rId3661" Type="http://schemas.openxmlformats.org/officeDocument/2006/relationships/hyperlink" Target="https://www.inaturalist.org/people/jacksonnugent" TargetMode="External"/><Relationship Id="rId3662" Type="http://schemas.openxmlformats.org/officeDocument/2006/relationships/hyperlink" Target="https://creativecommons.org/licenses/by-nc/4.0/" TargetMode="External"/><Relationship Id="rId3663" Type="http://schemas.openxmlformats.org/officeDocument/2006/relationships/hyperlink" Target="https://www.inaturalist.org/observations/345052715" TargetMode="External"/><Relationship Id="rId3664" Type="http://schemas.openxmlformats.org/officeDocument/2006/relationships/hyperlink" Target="https://www.inaturalist.org/people/shelfand" TargetMode="External"/><Relationship Id="rId3665" Type="http://schemas.openxmlformats.org/officeDocument/2006/relationships/hyperlink" Target="https://creativecommons.org/licenses/by-nc/4.0/" TargetMode="External"/><Relationship Id="rId3666" Type="http://schemas.openxmlformats.org/officeDocument/2006/relationships/hyperlink" Target="https://www.inaturalist.org/observations/371157312" TargetMode="External"/><Relationship Id="rId3667" Type="http://schemas.openxmlformats.org/officeDocument/2006/relationships/hyperlink" Target="https://www.inaturalist.org/people/normfarmerimages" TargetMode="External"/><Relationship Id="rId3668" Type="http://schemas.openxmlformats.org/officeDocument/2006/relationships/hyperlink" Target="https://creativecommons.org/licenses/by-nc/4.0/" TargetMode="External"/><Relationship Id="rId3669" Type="http://schemas.openxmlformats.org/officeDocument/2006/relationships/hyperlink" Target="https://www.inaturalist.org/observations/362782402" TargetMode="External"/><Relationship Id="rId3670" Type="http://schemas.openxmlformats.org/officeDocument/2006/relationships/hyperlink" Target="https://www.inaturalist.org/people/normfarmerimages" TargetMode="External"/><Relationship Id="rId3671" Type="http://schemas.openxmlformats.org/officeDocument/2006/relationships/hyperlink" Target="https://creativecommons.org/licenses/by-nc/4.0/" TargetMode="External"/><Relationship Id="rId3672" Type="http://schemas.openxmlformats.org/officeDocument/2006/relationships/hyperlink" Target="https://www.inaturalist.org/observations/362782402" TargetMode="External"/><Relationship Id="rId3673" Type="http://schemas.openxmlformats.org/officeDocument/2006/relationships/hyperlink" Target="https://www.inaturalist.org/people/normfarmerimages" TargetMode="External"/><Relationship Id="rId3674" Type="http://schemas.openxmlformats.org/officeDocument/2006/relationships/hyperlink" Target="https://creativecommons.org/licenses/by-nc/4.0/" TargetMode="External"/><Relationship Id="rId3675" Type="http://schemas.openxmlformats.org/officeDocument/2006/relationships/hyperlink" Target="https://www.inaturalist.org/observations/362782402" TargetMode="External"/><Relationship Id="rId3676" Type="http://schemas.openxmlformats.org/officeDocument/2006/relationships/hyperlink" Target="https://www.inaturalist.org/people/normfarmerimages" TargetMode="External"/><Relationship Id="rId3677" Type="http://schemas.openxmlformats.org/officeDocument/2006/relationships/hyperlink" Target="https://creativecommons.org/licenses/by-nc/4.0/" TargetMode="External"/><Relationship Id="rId3678" Type="http://schemas.openxmlformats.org/officeDocument/2006/relationships/hyperlink" Target="https://www.inaturalist.org/observations/362782402" TargetMode="External"/><Relationship Id="rId3679" Type="http://schemas.openxmlformats.org/officeDocument/2006/relationships/hyperlink" Target="https://www.inaturalist.org/people/normfarmerimages" TargetMode="External"/><Relationship Id="rId3680" Type="http://schemas.openxmlformats.org/officeDocument/2006/relationships/hyperlink" Target="https://creativecommons.org/licenses/by-nc/4.0/" TargetMode="External"/><Relationship Id="rId3681" Type="http://schemas.openxmlformats.org/officeDocument/2006/relationships/hyperlink" Target="https://www.inaturalist.org/observations/362782402" TargetMode="External"/><Relationship Id="rId3682" Type="http://schemas.openxmlformats.org/officeDocument/2006/relationships/hyperlink" Target="https://www.inaturalist.org/people/normfarmerimages" TargetMode="External"/><Relationship Id="rId3683" Type="http://schemas.openxmlformats.org/officeDocument/2006/relationships/hyperlink" Target="https://creativecommons.org/licenses/by-nc/4.0/" TargetMode="External"/><Relationship Id="rId3684" Type="http://schemas.openxmlformats.org/officeDocument/2006/relationships/hyperlink" Target="https://www.inaturalist.org/observations/362782402" TargetMode="External"/><Relationship Id="rId3685" Type="http://schemas.openxmlformats.org/officeDocument/2006/relationships/hyperlink" Target="https://www.inaturalist.org/people/normfarmerimages" TargetMode="External"/><Relationship Id="rId3686" Type="http://schemas.openxmlformats.org/officeDocument/2006/relationships/hyperlink" Target="https://creativecommons.org/licenses/by-nc/4.0/" TargetMode="External"/><Relationship Id="rId3687" Type="http://schemas.openxmlformats.org/officeDocument/2006/relationships/hyperlink" Target="https://www.inaturalist.org/observations/362782402" TargetMode="External"/><Relationship Id="rId3688" Type="http://schemas.openxmlformats.org/officeDocument/2006/relationships/hyperlink" Target="https://www.inaturalist.org/people/normfarmerimages" TargetMode="External"/><Relationship Id="rId3689" Type="http://schemas.openxmlformats.org/officeDocument/2006/relationships/hyperlink" Target="https://creativecommons.org/licenses/by-nc/4.0/" TargetMode="External"/><Relationship Id="rId3690" Type="http://schemas.openxmlformats.org/officeDocument/2006/relationships/hyperlink" Target="https://www.inaturalist.org/observations/362782402" TargetMode="External"/><Relationship Id="rId3691" Type="http://schemas.openxmlformats.org/officeDocument/2006/relationships/hyperlink" Target="https://www.inaturalist.org/people/normfarmerimages" TargetMode="External"/><Relationship Id="rId3692" Type="http://schemas.openxmlformats.org/officeDocument/2006/relationships/hyperlink" Target="https://creativecommons.org/licenses/by-nc/4.0/" TargetMode="External"/><Relationship Id="rId3693" Type="http://schemas.openxmlformats.org/officeDocument/2006/relationships/hyperlink" Target="https://www.inaturalist.org/observations/362782402" TargetMode="External"/><Relationship Id="rId3694" Type="http://schemas.openxmlformats.org/officeDocument/2006/relationships/hyperlink" Target="https://www.inaturalist.org/people/normfarmerimages" TargetMode="External"/><Relationship Id="rId3695" Type="http://schemas.openxmlformats.org/officeDocument/2006/relationships/hyperlink" Target="https://creativecommons.org/licenses/by-nc/4.0/" TargetMode="External"/><Relationship Id="rId3696" Type="http://schemas.openxmlformats.org/officeDocument/2006/relationships/hyperlink" Target="https://www.inaturalist.org/observations/362782402" TargetMode="External"/><Relationship Id="rId3697" Type="http://schemas.openxmlformats.org/officeDocument/2006/relationships/hyperlink" Target="https://www.inaturalist.org/people/normfarmerimages" TargetMode="External"/><Relationship Id="rId3698" Type="http://schemas.openxmlformats.org/officeDocument/2006/relationships/hyperlink" Target="https://creativecommons.org/licenses/by-nc/4.0/" TargetMode="External"/><Relationship Id="rId3699" Type="http://schemas.openxmlformats.org/officeDocument/2006/relationships/hyperlink" Target="https://www.inaturalist.org/observations/362782402" TargetMode="External"/><Relationship Id="rId3700" Type="http://schemas.openxmlformats.org/officeDocument/2006/relationships/hyperlink" Target="https://www.inaturalist.org/people/normfarmerimages" TargetMode="External"/><Relationship Id="rId3701" Type="http://schemas.openxmlformats.org/officeDocument/2006/relationships/hyperlink" Target="https://creativecommons.org/licenses/by-nc/4.0/" TargetMode="External"/><Relationship Id="rId3702" Type="http://schemas.openxmlformats.org/officeDocument/2006/relationships/hyperlink" Target="https://www.inaturalist.org/observations/362782402" TargetMode="External"/><Relationship Id="rId3703" Type="http://schemas.openxmlformats.org/officeDocument/2006/relationships/hyperlink" Target="https://www.inaturalist.org/people/mossy_gulch" TargetMode="External"/><Relationship Id="rId3704" Type="http://schemas.openxmlformats.org/officeDocument/2006/relationships/hyperlink" Target="https://creativecommons.org/licenses/by-nc/4.0/" TargetMode="External"/><Relationship Id="rId3705" Type="http://schemas.openxmlformats.org/officeDocument/2006/relationships/hyperlink" Target="https://www.inaturalist.org/observations/361538616" TargetMode="External"/><Relationship Id="rId3706" Type="http://schemas.openxmlformats.org/officeDocument/2006/relationships/hyperlink" Target="https://www.inaturalist.org/people/mossy_gulch" TargetMode="External"/><Relationship Id="rId3707" Type="http://schemas.openxmlformats.org/officeDocument/2006/relationships/hyperlink" Target="https://creativecommons.org/licenses/by-nc/4.0/" TargetMode="External"/><Relationship Id="rId3708" Type="http://schemas.openxmlformats.org/officeDocument/2006/relationships/hyperlink" Target="https://www.inaturalist.org/observations/361538616" TargetMode="External"/><Relationship Id="rId3709" Type="http://schemas.openxmlformats.org/officeDocument/2006/relationships/hyperlink" Target="https://www.inaturalist.org/people/ss49" TargetMode="External"/><Relationship Id="rId3710" Type="http://schemas.openxmlformats.org/officeDocument/2006/relationships/hyperlink" Target="https://creativecommons.org/licenses/by-nc/4.0/" TargetMode="External"/><Relationship Id="rId3711" Type="http://schemas.openxmlformats.org/officeDocument/2006/relationships/hyperlink" Target="https://www.inaturalist.org/observations/358581301" TargetMode="External"/><Relationship Id="rId3712" Type="http://schemas.openxmlformats.org/officeDocument/2006/relationships/hyperlink" Target="https://www.inaturalist.org/people/tamban" TargetMode="External"/><Relationship Id="rId3713" Type="http://schemas.openxmlformats.org/officeDocument/2006/relationships/hyperlink" Target="https://creativecommons.org/licenses/by-nc/4.0/" TargetMode="External"/><Relationship Id="rId3714" Type="http://schemas.openxmlformats.org/officeDocument/2006/relationships/hyperlink" Target="https://www.inaturalist.org/observations/356800237" TargetMode="External"/><Relationship Id="rId3715" Type="http://schemas.openxmlformats.org/officeDocument/2006/relationships/hyperlink" Target="https://www.inaturalist.org/people/heathercoffs" TargetMode="External"/><Relationship Id="rId3716" Type="http://schemas.openxmlformats.org/officeDocument/2006/relationships/hyperlink" Target="https://creativecommons.org/licenses/by-nc/4.0/" TargetMode="External"/><Relationship Id="rId3717" Type="http://schemas.openxmlformats.org/officeDocument/2006/relationships/hyperlink" Target="https://www.inaturalist.org/observations/355263945" TargetMode="External"/><Relationship Id="rId3718" Type="http://schemas.openxmlformats.org/officeDocument/2006/relationships/hyperlink" Target="https://www.inaturalist.org/people/hiddyp" TargetMode="External"/><Relationship Id="rId3719" Type="http://schemas.openxmlformats.org/officeDocument/2006/relationships/hyperlink" Target="https://creativecommons.org/licenses/by-nc/4.0/" TargetMode="External"/><Relationship Id="rId3720" Type="http://schemas.openxmlformats.org/officeDocument/2006/relationships/hyperlink" Target="https://www.inaturalist.org/observations/351456335" TargetMode="External"/><Relationship Id="rId3721" Type="http://schemas.openxmlformats.org/officeDocument/2006/relationships/hyperlink" Target="https://www.inaturalist.org/people/naomicase" TargetMode="External"/><Relationship Id="rId3722" Type="http://schemas.openxmlformats.org/officeDocument/2006/relationships/hyperlink" Target="https://creativecommons.org/licenses/by-nc/4.0/" TargetMode="External"/><Relationship Id="rId3723" Type="http://schemas.openxmlformats.org/officeDocument/2006/relationships/hyperlink" Target="https://www.inaturalist.org/observations/351424053" TargetMode="External"/><Relationship Id="rId3724" Type="http://schemas.openxmlformats.org/officeDocument/2006/relationships/hyperlink" Target="https://www.inaturalist.org/people/stefano_nature-through-the-lens" TargetMode="External"/><Relationship Id="rId3725" Type="http://schemas.openxmlformats.org/officeDocument/2006/relationships/hyperlink" Target="https://creativecommons.org/licenses/by-nc/4.0/" TargetMode="External"/><Relationship Id="rId3726" Type="http://schemas.openxmlformats.org/officeDocument/2006/relationships/hyperlink" Target="https://www.inaturalist.org/observations/349982392" TargetMode="External"/><Relationship Id="rId3727" Type="http://schemas.openxmlformats.org/officeDocument/2006/relationships/hyperlink" Target="https://www.inaturalist.org/people/stefano_nature-through-the-lens" TargetMode="External"/><Relationship Id="rId3728" Type="http://schemas.openxmlformats.org/officeDocument/2006/relationships/hyperlink" Target="https://creativecommons.org/licenses/by-nc/4.0/" TargetMode="External"/><Relationship Id="rId3729" Type="http://schemas.openxmlformats.org/officeDocument/2006/relationships/hyperlink" Target="https://www.inaturalist.org/observations/349982392" TargetMode="External"/><Relationship Id="rId3730" Type="http://schemas.openxmlformats.org/officeDocument/2006/relationships/hyperlink" Target="https://www.inaturalist.org/people/rowleysrest" TargetMode="External"/><Relationship Id="rId3731" Type="http://schemas.openxmlformats.org/officeDocument/2006/relationships/hyperlink" Target="https://creativecommons.org/licenses/by-nc/4.0/" TargetMode="External"/><Relationship Id="rId3732" Type="http://schemas.openxmlformats.org/officeDocument/2006/relationships/hyperlink" Target="https://www.inaturalist.org/observations/344595108" TargetMode="External"/><Relationship Id="rId3733" Type="http://schemas.openxmlformats.org/officeDocument/2006/relationships/hyperlink" Target="https://www.inaturalist.org/people/aussiemaarten" TargetMode="External"/><Relationship Id="rId3734" Type="http://schemas.openxmlformats.org/officeDocument/2006/relationships/hyperlink" Target="https://creativecommons.org/licenses/by-nc/4.0/" TargetMode="External"/><Relationship Id="rId3735" Type="http://schemas.openxmlformats.org/officeDocument/2006/relationships/hyperlink" Target="https://www.inaturalist.org/observations/343689703" TargetMode="External"/><Relationship Id="rId3736" Type="http://schemas.openxmlformats.org/officeDocument/2006/relationships/hyperlink" Target="https://www.inaturalist.org/people/pmmridge" TargetMode="External"/><Relationship Id="rId3737" Type="http://schemas.openxmlformats.org/officeDocument/2006/relationships/hyperlink" Target="https://creativecommons.org/licenses/by-nc/4.0/" TargetMode="External"/><Relationship Id="rId3738" Type="http://schemas.openxmlformats.org/officeDocument/2006/relationships/hyperlink" Target="https://www.inaturalist.org/observations/340909290" TargetMode="External"/><Relationship Id="rId3739" Type="http://schemas.openxmlformats.org/officeDocument/2006/relationships/hyperlink" Target="https://www.inaturalist.org/people/pmmridge" TargetMode="External"/><Relationship Id="rId3740" Type="http://schemas.openxmlformats.org/officeDocument/2006/relationships/hyperlink" Target="https://creativecommons.org/licenses/by-nc/4.0/" TargetMode="External"/><Relationship Id="rId3741" Type="http://schemas.openxmlformats.org/officeDocument/2006/relationships/hyperlink" Target="https://www.inaturalist.org/observations/340909290" TargetMode="External"/><Relationship Id="rId3742" Type="http://schemas.openxmlformats.org/officeDocument/2006/relationships/hyperlink" Target="https://www.inaturalist.org/people/pellier" TargetMode="External"/><Relationship Id="rId3743" Type="http://schemas.openxmlformats.org/officeDocument/2006/relationships/hyperlink" Target="https://creativecommons.org/licenses/by-nc/4.0/" TargetMode="External"/><Relationship Id="rId3744" Type="http://schemas.openxmlformats.org/officeDocument/2006/relationships/hyperlink" Target="https://www.inaturalist.org/observations/338044554" TargetMode="External"/><Relationship Id="rId3745" Type="http://schemas.openxmlformats.org/officeDocument/2006/relationships/hyperlink" Target="https://www.inaturalist.org/people/donglerthrongler" TargetMode="External"/><Relationship Id="rId3746" Type="http://schemas.openxmlformats.org/officeDocument/2006/relationships/hyperlink" Target="https://creativecommons.org/licenses/by-nc/4.0/" TargetMode="External"/><Relationship Id="rId3747" Type="http://schemas.openxmlformats.org/officeDocument/2006/relationships/hyperlink" Target="https://www.inaturalist.org/observations/337784302" TargetMode="External"/><Relationship Id="rId3748" Type="http://schemas.openxmlformats.org/officeDocument/2006/relationships/hyperlink" Target="https://www.inaturalist.org/people/brenden_margieson" TargetMode="External"/><Relationship Id="rId3749" Type="http://schemas.openxmlformats.org/officeDocument/2006/relationships/hyperlink" Target="https://creativecommons.org/licenses/by-nc/4.0/" TargetMode="External"/><Relationship Id="rId3750" Type="http://schemas.openxmlformats.org/officeDocument/2006/relationships/hyperlink" Target="https://www.inaturalist.org/observations/333566148" TargetMode="External"/><Relationship Id="rId3751" Type="http://schemas.openxmlformats.org/officeDocument/2006/relationships/hyperlink" Target="https://www.inaturalist.org/people/drmattnimbs" TargetMode="External"/><Relationship Id="rId3752" Type="http://schemas.openxmlformats.org/officeDocument/2006/relationships/hyperlink" Target="https://creativecommons.org/licenses/by-nc/4.0/" TargetMode="External"/><Relationship Id="rId3753" Type="http://schemas.openxmlformats.org/officeDocument/2006/relationships/hyperlink" Target="https://www.inaturalist.org/observations/332925265" TargetMode="External"/><Relationship Id="rId3754" Type="http://schemas.openxmlformats.org/officeDocument/2006/relationships/hyperlink" Target="https://www.inaturalist.org/people/drmattnimbs" TargetMode="External"/><Relationship Id="rId3755" Type="http://schemas.openxmlformats.org/officeDocument/2006/relationships/hyperlink" Target="https://creativecommons.org/licenses/by-nc/4.0/" TargetMode="External"/><Relationship Id="rId3756" Type="http://schemas.openxmlformats.org/officeDocument/2006/relationships/hyperlink" Target="https://www.inaturalist.org/observations/332925264" TargetMode="External"/><Relationship Id="rId3757" Type="http://schemas.openxmlformats.org/officeDocument/2006/relationships/hyperlink" Target="https://www.inaturalist.org/people/mcgregor777" TargetMode="External"/><Relationship Id="rId3758" Type="http://schemas.openxmlformats.org/officeDocument/2006/relationships/hyperlink" Target="https://creativecommons.org/licenses/by-nc/4.0/" TargetMode="External"/><Relationship Id="rId3759" Type="http://schemas.openxmlformats.org/officeDocument/2006/relationships/hyperlink" Target="https://www.inaturalist.org/observations/332089074" TargetMode="External"/><Relationship Id="rId3760" Type="http://schemas.openxmlformats.org/officeDocument/2006/relationships/hyperlink" Target="https://www.inaturalist.org/people/mcgregor777" TargetMode="External"/><Relationship Id="rId3761" Type="http://schemas.openxmlformats.org/officeDocument/2006/relationships/hyperlink" Target="https://creativecommons.org/licenses/by-nc/4.0/" TargetMode="External"/><Relationship Id="rId3762" Type="http://schemas.openxmlformats.org/officeDocument/2006/relationships/hyperlink" Target="https://www.inaturalist.org/observations/332089074" TargetMode="External"/><Relationship Id="rId3763" Type="http://schemas.openxmlformats.org/officeDocument/2006/relationships/hyperlink" Target="https://www.inaturalist.org/people/sebastian_frank" TargetMode="External"/><Relationship Id="rId3764" Type="http://schemas.openxmlformats.org/officeDocument/2006/relationships/hyperlink" Target="https://creativecommons.org/licenses/by-nc/4.0/" TargetMode="External"/><Relationship Id="rId3765" Type="http://schemas.openxmlformats.org/officeDocument/2006/relationships/hyperlink" Target="https://www.inaturalist.org/observations/326596288" TargetMode="External"/><Relationship Id="rId3766" Type="http://schemas.openxmlformats.org/officeDocument/2006/relationships/hyperlink" Target="https://www.inaturalist.org/people/sebastian_frank" TargetMode="External"/><Relationship Id="rId3767" Type="http://schemas.openxmlformats.org/officeDocument/2006/relationships/hyperlink" Target="https://creativecommons.org/licenses/by-nc/4.0/" TargetMode="External"/><Relationship Id="rId3768" Type="http://schemas.openxmlformats.org/officeDocument/2006/relationships/hyperlink" Target="https://www.inaturalist.org/observations/326596167" TargetMode="External"/><Relationship Id="rId3769" Type="http://schemas.openxmlformats.org/officeDocument/2006/relationships/hyperlink" Target="https://www.inaturalist.org/people/accidentalshrike" TargetMode="External"/><Relationship Id="rId3770" Type="http://schemas.openxmlformats.org/officeDocument/2006/relationships/hyperlink" Target="https://creativecommons.org/licenses/by-nc/4.0/" TargetMode="External"/><Relationship Id="rId3771" Type="http://schemas.openxmlformats.org/officeDocument/2006/relationships/hyperlink" Target="https://www.inaturalist.org/observations/369663700" TargetMode="External"/><Relationship Id="rId3772" Type="http://schemas.openxmlformats.org/officeDocument/2006/relationships/hyperlink" Target="https://www.inaturalist.org/people/jerrygggg" TargetMode="External"/><Relationship Id="rId3773" Type="http://schemas.openxmlformats.org/officeDocument/2006/relationships/hyperlink" Target="https://creativecommons.org/licenses/by-nc/4.0/" TargetMode="External"/><Relationship Id="rId3774" Type="http://schemas.openxmlformats.org/officeDocument/2006/relationships/hyperlink" Target="https://www.inaturalist.org/observations/350712045" TargetMode="External"/><Relationship Id="rId3775" Type="http://schemas.openxmlformats.org/officeDocument/2006/relationships/hyperlink" Target="https://www.inaturalist.org/people/antoineteitel" TargetMode="External"/><Relationship Id="rId3776" Type="http://schemas.openxmlformats.org/officeDocument/2006/relationships/hyperlink" Target="https://creativecommons.org/licenses/by-nc/4.0/" TargetMode="External"/><Relationship Id="rId3777" Type="http://schemas.openxmlformats.org/officeDocument/2006/relationships/hyperlink" Target="https://www.inaturalist.org/observations/336494224" TargetMode="External"/><Relationship Id="rId3778" Type="http://schemas.openxmlformats.org/officeDocument/2006/relationships/hyperlink" Target="https://www.inaturalist.org/people/stephentho" TargetMode="External"/><Relationship Id="rId3779" Type="http://schemas.openxmlformats.org/officeDocument/2006/relationships/hyperlink" Target="https://creativecommons.org/licenses/by-nc/4.0/" TargetMode="External"/><Relationship Id="rId3780" Type="http://schemas.openxmlformats.org/officeDocument/2006/relationships/hyperlink" Target="https://www.inaturalist.org/observations/289754300" TargetMode="External"/><Relationship Id="rId3781" Type="http://schemas.openxmlformats.org/officeDocument/2006/relationships/hyperlink" Target="https://www.inaturalist.org/people/nicolas_rinck" TargetMode="External"/><Relationship Id="rId3782" Type="http://schemas.openxmlformats.org/officeDocument/2006/relationships/hyperlink" Target="https://creativecommons.org/licenses/by-nc/4.0/" TargetMode="External"/><Relationship Id="rId3783" Type="http://schemas.openxmlformats.org/officeDocument/2006/relationships/hyperlink" Target="https://www.inaturalist.org/observations/274714761" TargetMode="External"/><Relationship Id="rId3784" Type="http://schemas.openxmlformats.org/officeDocument/2006/relationships/hyperlink" Target="https://www.inaturalist.org/people/antoineteitel" TargetMode="External"/><Relationship Id="rId3785" Type="http://schemas.openxmlformats.org/officeDocument/2006/relationships/hyperlink" Target="https://creativecommons.org/licenses/by-nc/4.0/" TargetMode="External"/><Relationship Id="rId3786" Type="http://schemas.openxmlformats.org/officeDocument/2006/relationships/hyperlink" Target="https://www.inaturalist.org/observations/265138379" TargetMode="External"/><Relationship Id="rId3787" Type="http://schemas.openxmlformats.org/officeDocument/2006/relationships/hyperlink" Target="https://www.inaturalist.org/people/stephentho" TargetMode="External"/><Relationship Id="rId3788" Type="http://schemas.openxmlformats.org/officeDocument/2006/relationships/hyperlink" Target="https://creativecommons.org/licenses/by-nc/4.0/" TargetMode="External"/><Relationship Id="rId3789" Type="http://schemas.openxmlformats.org/officeDocument/2006/relationships/hyperlink" Target="https://www.inaturalist.org/observations/264781568" TargetMode="External"/><Relationship Id="rId3790" Type="http://schemas.openxmlformats.org/officeDocument/2006/relationships/hyperlink" Target="https://www.inaturalist.org/people/antoineteitel" TargetMode="External"/><Relationship Id="rId3791" Type="http://schemas.openxmlformats.org/officeDocument/2006/relationships/hyperlink" Target="https://creativecommons.org/licenses/by-nc/4.0/" TargetMode="External"/><Relationship Id="rId3792" Type="http://schemas.openxmlformats.org/officeDocument/2006/relationships/hyperlink" Target="https://www.inaturalist.org/observations/264077469" TargetMode="External"/><Relationship Id="rId3793" Type="http://schemas.openxmlformats.org/officeDocument/2006/relationships/hyperlink" Target="https://www.inaturalist.org/people/antoineteitel" TargetMode="External"/><Relationship Id="rId3794" Type="http://schemas.openxmlformats.org/officeDocument/2006/relationships/hyperlink" Target="https://creativecommons.org/licenses/by-nc/4.0/" TargetMode="External"/><Relationship Id="rId3795" Type="http://schemas.openxmlformats.org/officeDocument/2006/relationships/hyperlink" Target="https://www.inaturalist.org/observations/263472637" TargetMode="External"/><Relationship Id="rId3796" Type="http://schemas.openxmlformats.org/officeDocument/2006/relationships/hyperlink" Target="https://www.inaturalist.org/people/adnarimk" TargetMode="External"/><Relationship Id="rId3797" Type="http://schemas.openxmlformats.org/officeDocument/2006/relationships/hyperlink" Target="https://creativecommons.org/licenses/by-nc/4.0/" TargetMode="External"/><Relationship Id="rId3798" Type="http://schemas.openxmlformats.org/officeDocument/2006/relationships/hyperlink" Target="https://www.inaturalist.org/observations/260127014" TargetMode="External"/><Relationship Id="rId3799" Type="http://schemas.openxmlformats.org/officeDocument/2006/relationships/hyperlink" Target="https://www.inaturalist.org/people/adnarimk" TargetMode="External"/><Relationship Id="rId3800" Type="http://schemas.openxmlformats.org/officeDocument/2006/relationships/hyperlink" Target="https://creativecommons.org/licenses/by-nc/4.0/" TargetMode="External"/><Relationship Id="rId3801" Type="http://schemas.openxmlformats.org/officeDocument/2006/relationships/hyperlink" Target="https://www.inaturalist.org/observations/260127014" TargetMode="External"/><Relationship Id="rId3802" Type="http://schemas.openxmlformats.org/officeDocument/2006/relationships/hyperlink" Target="https://www.inaturalist.org/people/mael_dewynter" TargetMode="External"/><Relationship Id="rId3803" Type="http://schemas.openxmlformats.org/officeDocument/2006/relationships/hyperlink" Target="https://creativecommons.org/licenses/by-nc/4.0/" TargetMode="External"/><Relationship Id="rId3804" Type="http://schemas.openxmlformats.org/officeDocument/2006/relationships/hyperlink" Target="https://www.inaturalist.org/observations/246726829" TargetMode="External"/><Relationship Id="rId3805" Type="http://schemas.openxmlformats.org/officeDocument/2006/relationships/hyperlink" Target="https://www.inaturalist.org/people/mael_dewynter" TargetMode="External"/><Relationship Id="rId3806" Type="http://schemas.openxmlformats.org/officeDocument/2006/relationships/hyperlink" Target="https://creativecommons.org/licenses/by-nc/4.0/" TargetMode="External"/><Relationship Id="rId3807" Type="http://schemas.openxmlformats.org/officeDocument/2006/relationships/hyperlink" Target="https://www.inaturalist.org/observations/246592522" TargetMode="External"/><Relationship Id="rId3808" Type="http://schemas.openxmlformats.org/officeDocument/2006/relationships/hyperlink" Target="https://www.inaturalist.org/people/mael_dewynter" TargetMode="External"/><Relationship Id="rId3809" Type="http://schemas.openxmlformats.org/officeDocument/2006/relationships/hyperlink" Target="https://creativecommons.org/licenses/by-nc/4.0/" TargetMode="External"/><Relationship Id="rId3810" Type="http://schemas.openxmlformats.org/officeDocument/2006/relationships/hyperlink" Target="https://www.inaturalist.org/observations/246592520" TargetMode="External"/><Relationship Id="rId3811" Type="http://schemas.openxmlformats.org/officeDocument/2006/relationships/hyperlink" Target="https://www.inaturalist.org/people/mssrbox" TargetMode="External"/><Relationship Id="rId3812" Type="http://schemas.openxmlformats.org/officeDocument/2006/relationships/hyperlink" Target="https://creativecommons.org/licenses/by-nc/4.0/" TargetMode="External"/><Relationship Id="rId3813" Type="http://schemas.openxmlformats.org/officeDocument/2006/relationships/hyperlink" Target="https://www.inaturalist.org/observations/238401382" TargetMode="External"/><Relationship Id="rId3814" Type="http://schemas.openxmlformats.org/officeDocument/2006/relationships/hyperlink" Target="https://www.inaturalist.org/people/sydneybirding" TargetMode="External"/><Relationship Id="rId3815" Type="http://schemas.openxmlformats.org/officeDocument/2006/relationships/hyperlink" Target="https://creativecommons.org/licenses/by-nc/4.0/" TargetMode="External"/><Relationship Id="rId3816" Type="http://schemas.openxmlformats.org/officeDocument/2006/relationships/hyperlink" Target="https://www.inaturalist.org/observations/214748203" TargetMode="External"/><Relationship Id="rId3817" Type="http://schemas.openxmlformats.org/officeDocument/2006/relationships/hyperlink" Target="https://www.inaturalist.org/people/stephentho" TargetMode="External"/><Relationship Id="rId3818" Type="http://schemas.openxmlformats.org/officeDocument/2006/relationships/hyperlink" Target="https://creativecommons.org/licenses/by-nc/4.0/" TargetMode="External"/><Relationship Id="rId3819" Type="http://schemas.openxmlformats.org/officeDocument/2006/relationships/hyperlink" Target="https://www.inaturalist.org/observations/209048250" TargetMode="External"/><Relationship Id="rId3820" Type="http://schemas.openxmlformats.org/officeDocument/2006/relationships/hyperlink" Target="https://www.inaturalist.org/people/stephentho" TargetMode="External"/><Relationship Id="rId3821" Type="http://schemas.openxmlformats.org/officeDocument/2006/relationships/hyperlink" Target="https://creativecommons.org/licenses/by-nc/4.0/" TargetMode="External"/><Relationship Id="rId3822" Type="http://schemas.openxmlformats.org/officeDocument/2006/relationships/hyperlink" Target="https://www.inaturalist.org/observations/209047651" TargetMode="External"/><Relationship Id="rId3823" Type="http://schemas.openxmlformats.org/officeDocument/2006/relationships/hyperlink" Target="https://www.inaturalist.org/people/elinamg" TargetMode="External"/><Relationship Id="rId3824" Type="http://schemas.openxmlformats.org/officeDocument/2006/relationships/hyperlink" Target="https://creativecommons.org/licenses/by-nc/4.0/" TargetMode="External"/><Relationship Id="rId3825" Type="http://schemas.openxmlformats.org/officeDocument/2006/relationships/hyperlink" Target="https://www.inaturalist.org/observations/206147136" TargetMode="External"/><Relationship Id="rId3826" Type="http://schemas.openxmlformats.org/officeDocument/2006/relationships/hyperlink" Target="https://www.inaturalist.org/people/momaz" TargetMode="External"/><Relationship Id="rId3827" Type="http://schemas.openxmlformats.org/officeDocument/2006/relationships/hyperlink" Target="https://creativecommons.org/licenses/by-nc/4.0/" TargetMode="External"/><Relationship Id="rId3828" Type="http://schemas.openxmlformats.org/officeDocument/2006/relationships/hyperlink" Target="https://www.inaturalist.org/observations/191455221" TargetMode="External"/><Relationship Id="rId3829" Type="http://schemas.openxmlformats.org/officeDocument/2006/relationships/hyperlink" Target="https://www.inaturalist.org/people/momaz" TargetMode="External"/><Relationship Id="rId3830" Type="http://schemas.openxmlformats.org/officeDocument/2006/relationships/hyperlink" Target="https://creativecommons.org/licenses/by-nc/4.0/" TargetMode="External"/><Relationship Id="rId3831" Type="http://schemas.openxmlformats.org/officeDocument/2006/relationships/hyperlink" Target="https://www.inaturalist.org/observations/191451835" TargetMode="External"/><Relationship Id="rId3832" Type="http://schemas.openxmlformats.org/officeDocument/2006/relationships/hyperlink" Target="https://www.inaturalist.org/people/hervevan" TargetMode="External"/><Relationship Id="rId3833" Type="http://schemas.openxmlformats.org/officeDocument/2006/relationships/hyperlink" Target="https://creativecommons.org/licenses/by-nc/4.0/" TargetMode="External"/><Relationship Id="rId3834" Type="http://schemas.openxmlformats.org/officeDocument/2006/relationships/hyperlink" Target="https://www.inaturalist.org/observations/177252326" TargetMode="External"/><Relationship Id="rId3835" Type="http://schemas.openxmlformats.org/officeDocument/2006/relationships/hyperlink" Target="https://www.inaturalist.org/people/jsameit" TargetMode="External"/><Relationship Id="rId3836" Type="http://schemas.openxmlformats.org/officeDocument/2006/relationships/hyperlink" Target="https://creativecommons.org/licenses/by-nc/4.0/" TargetMode="External"/><Relationship Id="rId3837" Type="http://schemas.openxmlformats.org/officeDocument/2006/relationships/hyperlink" Target="https://www.inaturalist.org/observations/139607943" TargetMode="External"/><Relationship Id="rId3838" Type="http://schemas.openxmlformats.org/officeDocument/2006/relationships/hyperlink" Target="https://www.inaturalist.org/people/jsameit" TargetMode="External"/><Relationship Id="rId3839" Type="http://schemas.openxmlformats.org/officeDocument/2006/relationships/hyperlink" Target="https://creativecommons.org/licenses/by-nc/4.0/" TargetMode="External"/><Relationship Id="rId3840" Type="http://schemas.openxmlformats.org/officeDocument/2006/relationships/hyperlink" Target="https://www.inaturalist.org/observations/139607943" TargetMode="External"/><Relationship Id="rId3841" Type="http://schemas.openxmlformats.org/officeDocument/2006/relationships/hyperlink" Target="https://www.inaturalist.org/people/rog973" TargetMode="External"/><Relationship Id="rId3842" Type="http://schemas.openxmlformats.org/officeDocument/2006/relationships/hyperlink" Target="https://creativecommons.org/licenses/by-nc/4.0/" TargetMode="External"/><Relationship Id="rId3843" Type="http://schemas.openxmlformats.org/officeDocument/2006/relationships/hyperlink" Target="https://www.inaturalist.org/observations/132465741" TargetMode="External"/><Relationship Id="rId3844" Type="http://schemas.openxmlformats.org/officeDocument/2006/relationships/hyperlink" Target="https://www.inaturalist.org/people/rog973" TargetMode="External"/><Relationship Id="rId3845" Type="http://schemas.openxmlformats.org/officeDocument/2006/relationships/hyperlink" Target="https://creativecommons.org/licenses/by-nc/4.0/" TargetMode="External"/><Relationship Id="rId3846" Type="http://schemas.openxmlformats.org/officeDocument/2006/relationships/hyperlink" Target="https://www.inaturalist.org/observations/132465736" TargetMode="External"/><Relationship Id="rId3847" Type="http://schemas.openxmlformats.org/officeDocument/2006/relationships/hyperlink" Target="https://www.inaturalist.org/people/pl_stenger" TargetMode="External"/><Relationship Id="rId3848" Type="http://schemas.openxmlformats.org/officeDocument/2006/relationships/hyperlink" Target="https://creativecommons.org/licenses/by-nc/4.0/" TargetMode="External"/><Relationship Id="rId3849" Type="http://schemas.openxmlformats.org/officeDocument/2006/relationships/hyperlink" Target="https://www.inaturalist.org/observations/106413691" TargetMode="External"/><Relationship Id="rId3850" Type="http://schemas.openxmlformats.org/officeDocument/2006/relationships/hyperlink" Target="https://www.inaturalist.org/people/pl_stenger" TargetMode="External"/><Relationship Id="rId3851" Type="http://schemas.openxmlformats.org/officeDocument/2006/relationships/hyperlink" Target="https://creativecommons.org/licenses/by-nc/4.0/" TargetMode="External"/><Relationship Id="rId3852" Type="http://schemas.openxmlformats.org/officeDocument/2006/relationships/hyperlink" Target="https://www.inaturalist.org/observations/104245546" TargetMode="External"/><Relationship Id="rId3853" Type="http://schemas.openxmlformats.org/officeDocument/2006/relationships/hyperlink" Target="https://www.inaturalist.org/people/pl_stenger" TargetMode="External"/><Relationship Id="rId3854" Type="http://schemas.openxmlformats.org/officeDocument/2006/relationships/hyperlink" Target="https://creativecommons.org/licenses/by-nc/4.0/" TargetMode="External"/><Relationship Id="rId3855" Type="http://schemas.openxmlformats.org/officeDocument/2006/relationships/hyperlink" Target="https://www.inaturalist.org/observations/104245542" TargetMode="External"/><Relationship Id="rId3856" Type="http://schemas.openxmlformats.org/officeDocument/2006/relationships/hyperlink" Target="https://www.inaturalist.org/people/pl_stenger" TargetMode="External"/><Relationship Id="rId3857" Type="http://schemas.openxmlformats.org/officeDocument/2006/relationships/hyperlink" Target="https://creativecommons.org/licenses/by-nc/4.0/" TargetMode="External"/><Relationship Id="rId3858" Type="http://schemas.openxmlformats.org/officeDocument/2006/relationships/hyperlink" Target="https://www.inaturalist.org/observations/104245542" TargetMode="External"/><Relationship Id="rId3859" Type="http://schemas.openxmlformats.org/officeDocument/2006/relationships/hyperlink" Target="https://www.inaturalist.org/people/pl_stenger" TargetMode="External"/><Relationship Id="rId3860" Type="http://schemas.openxmlformats.org/officeDocument/2006/relationships/hyperlink" Target="https://creativecommons.org/licenses/by-nc/4.0/" TargetMode="External"/><Relationship Id="rId3861" Type="http://schemas.openxmlformats.org/officeDocument/2006/relationships/hyperlink" Target="https://www.inaturalist.org/observations/102983502" TargetMode="External"/><Relationship Id="rId3862" Type="http://schemas.openxmlformats.org/officeDocument/2006/relationships/hyperlink" Target="https://www.inaturalist.org/people/pl_stenger" TargetMode="External"/><Relationship Id="rId3863" Type="http://schemas.openxmlformats.org/officeDocument/2006/relationships/hyperlink" Target="https://creativecommons.org/licenses/by-nc/4.0/" TargetMode="External"/><Relationship Id="rId3864" Type="http://schemas.openxmlformats.org/officeDocument/2006/relationships/hyperlink" Target="https://www.inaturalist.org/observations/102983502" TargetMode="External"/><Relationship Id="rId3865" Type="http://schemas.openxmlformats.org/officeDocument/2006/relationships/hyperlink" Target="https://www.inaturalist.org/people/pl_stenger" TargetMode="External"/><Relationship Id="rId3866" Type="http://schemas.openxmlformats.org/officeDocument/2006/relationships/hyperlink" Target="https://creativecommons.org/licenses/by-nc/4.0/" TargetMode="External"/><Relationship Id="rId3867" Type="http://schemas.openxmlformats.org/officeDocument/2006/relationships/hyperlink" Target="https://www.inaturalist.org/observations/100128308" TargetMode="External"/><Relationship Id="rId3868" Type="http://schemas.openxmlformats.org/officeDocument/2006/relationships/hyperlink" Target="https://www.inaturalist.org/people/pl_stenger" TargetMode="External"/><Relationship Id="rId3869" Type="http://schemas.openxmlformats.org/officeDocument/2006/relationships/hyperlink" Target="https://creativecommons.org/licenses/by-nc/4.0/" TargetMode="External"/><Relationship Id="rId3870" Type="http://schemas.openxmlformats.org/officeDocument/2006/relationships/hyperlink" Target="https://www.inaturalist.org/observations/63924799" TargetMode="External"/><Relationship Id="rId3871" Type="http://schemas.openxmlformats.org/officeDocument/2006/relationships/hyperlink" Target="https://www.inaturalist.org/people/pl_stenger" TargetMode="External"/><Relationship Id="rId3872" Type="http://schemas.openxmlformats.org/officeDocument/2006/relationships/hyperlink" Target="https://creativecommons.org/licenses/by-nc/4.0/" TargetMode="External"/><Relationship Id="rId3873" Type="http://schemas.openxmlformats.org/officeDocument/2006/relationships/hyperlink" Target="https://www.inaturalist.org/observations/57616870" TargetMode="External"/><Relationship Id="rId3874" Type="http://schemas.openxmlformats.org/officeDocument/2006/relationships/hyperlink" Target="https://www.inaturalist.org/people/pl_stenger" TargetMode="External"/><Relationship Id="rId3875" Type="http://schemas.openxmlformats.org/officeDocument/2006/relationships/hyperlink" Target="https://creativecommons.org/licenses/by-nc/4.0/" TargetMode="External"/><Relationship Id="rId3876" Type="http://schemas.openxmlformats.org/officeDocument/2006/relationships/hyperlink" Target="https://www.inaturalist.org/observations/99609246" TargetMode="External"/><Relationship Id="rId3877" Type="http://schemas.openxmlformats.org/officeDocument/2006/relationships/hyperlink" Target="https://www.inaturalist.org/people/dominique_fleurot" TargetMode="External"/><Relationship Id="rId3878" Type="http://schemas.openxmlformats.org/officeDocument/2006/relationships/hyperlink" Target="https://creativecommons.org/licenses/by-nc/4.0/" TargetMode="External"/><Relationship Id="rId3879" Type="http://schemas.openxmlformats.org/officeDocument/2006/relationships/hyperlink" Target="https://www.inaturalist.org/observations/264589849" TargetMode="External"/><Relationship Id="rId3880" Type="http://schemas.openxmlformats.org/officeDocument/2006/relationships/hyperlink" Target="https://www.inaturalist.org/people/dominique_fleurot" TargetMode="External"/><Relationship Id="rId3881" Type="http://schemas.openxmlformats.org/officeDocument/2006/relationships/hyperlink" Target="https://creativecommons.org/licenses/by-nc/4.0/" TargetMode="External"/><Relationship Id="rId3882" Type="http://schemas.openxmlformats.org/officeDocument/2006/relationships/hyperlink" Target="https://www.inaturalist.org/observations/264589853" TargetMode="External"/><Relationship Id="rId3883" Type="http://schemas.openxmlformats.org/officeDocument/2006/relationships/hyperlink" Target="https://www.inaturalist.org/people/dominique_fleurot" TargetMode="External"/><Relationship Id="rId3884" Type="http://schemas.openxmlformats.org/officeDocument/2006/relationships/hyperlink" Target="https://creativecommons.org/licenses/by-nc/4.0/" TargetMode="External"/><Relationship Id="rId3885" Type="http://schemas.openxmlformats.org/officeDocument/2006/relationships/hyperlink" Target="https://www.inaturalist.org/observations/264589855" TargetMode="External"/><Relationship Id="rId3886" Type="http://schemas.openxmlformats.org/officeDocument/2006/relationships/hyperlink" Target="https://www.inaturalist.org/people/pl_stenger" TargetMode="External"/><Relationship Id="rId3887" Type="http://schemas.openxmlformats.org/officeDocument/2006/relationships/hyperlink" Target="https://creativecommons.org/licenses/by-nc/4.0/" TargetMode="External"/><Relationship Id="rId3888" Type="http://schemas.openxmlformats.org/officeDocument/2006/relationships/hyperlink" Target="https://www.inaturalist.org/observations/105532202" TargetMode="External"/><Relationship Id="rId3889" Type="http://schemas.openxmlformats.org/officeDocument/2006/relationships/hyperlink" Target="https://www.inaturalist.org/people/dominique_fleurot" TargetMode="External"/><Relationship Id="rId3890" Type="http://schemas.openxmlformats.org/officeDocument/2006/relationships/hyperlink" Target="https://creativecommons.org/licenses/by-nc/4.0/" TargetMode="External"/><Relationship Id="rId3891" Type="http://schemas.openxmlformats.org/officeDocument/2006/relationships/hyperlink" Target="https://www.inaturalist.org/observations/264589856" TargetMode="External"/><Relationship Id="rId3892" Type="http://schemas.openxmlformats.org/officeDocument/2006/relationships/hyperlink" Target="https://www.inaturalist.org/people/dominique_fleurot" TargetMode="External"/><Relationship Id="rId3893" Type="http://schemas.openxmlformats.org/officeDocument/2006/relationships/hyperlink" Target="https://creativecommons.org/licenses/by-nc/4.0/" TargetMode="External"/><Relationship Id="rId3894" Type="http://schemas.openxmlformats.org/officeDocument/2006/relationships/hyperlink" Target="https://www.inaturalist.org/observations/264589857" TargetMode="External"/><Relationship Id="rId3895" Type="http://schemas.openxmlformats.org/officeDocument/2006/relationships/hyperlink" Target="https://www.inaturalist.org/people/dominique_fleurot" TargetMode="External"/><Relationship Id="rId3896" Type="http://schemas.openxmlformats.org/officeDocument/2006/relationships/hyperlink" Target="https://creativecommons.org/licenses/by-nc/4.0/" TargetMode="External"/><Relationship Id="rId3897" Type="http://schemas.openxmlformats.org/officeDocument/2006/relationships/hyperlink" Target="https://www.inaturalist.org/observations/264589863" TargetMode="External"/><Relationship Id="rId3898" Type="http://schemas.openxmlformats.org/officeDocument/2006/relationships/hyperlink" Target="https://www.inaturalist.org/people/pl_stenger" TargetMode="External"/><Relationship Id="rId3899" Type="http://schemas.openxmlformats.org/officeDocument/2006/relationships/hyperlink" Target="https://creativecommons.org/licenses/by-nc/4.0/" TargetMode="External"/><Relationship Id="rId3900" Type="http://schemas.openxmlformats.org/officeDocument/2006/relationships/hyperlink" Target="https://www.inaturalist.org/observations/105532200" TargetMode="External"/><Relationship Id="rId3901" Type="http://schemas.openxmlformats.org/officeDocument/2006/relationships/hyperlink" Target="https://www.inaturalist.org/people/dominique_fleurot" TargetMode="External"/><Relationship Id="rId3902" Type="http://schemas.openxmlformats.org/officeDocument/2006/relationships/hyperlink" Target="https://creativecommons.org/licenses/by-nc/4.0/" TargetMode="External"/><Relationship Id="rId3903" Type="http://schemas.openxmlformats.org/officeDocument/2006/relationships/hyperlink" Target="https://www.inaturalist.org/observations/265490615" TargetMode="External"/><Relationship Id="rId3904" Type="http://schemas.openxmlformats.org/officeDocument/2006/relationships/hyperlink" Target="https://www.inaturalist.org/people/val91" TargetMode="External"/><Relationship Id="rId3905" Type="http://schemas.openxmlformats.org/officeDocument/2006/relationships/hyperlink" Target="https://creativecommons.org/licenses/by-nc/4.0/" TargetMode="External"/><Relationship Id="rId3906" Type="http://schemas.openxmlformats.org/officeDocument/2006/relationships/hyperlink" Target="https://www.inaturalist.org/observations/272931437" TargetMode="External"/><Relationship Id="rId3907" Type="http://schemas.openxmlformats.org/officeDocument/2006/relationships/hyperlink" Target="https://www.inaturalist.org/people/adurbano" TargetMode="External"/><Relationship Id="rId3908" Type="http://schemas.openxmlformats.org/officeDocument/2006/relationships/hyperlink" Target="https://creativecommons.org/licenses/by-nc/4.0/" TargetMode="External"/><Relationship Id="rId3909" Type="http://schemas.openxmlformats.org/officeDocument/2006/relationships/hyperlink" Target="https://www.inaturalist.org/observations/307897712" TargetMode="External"/><Relationship Id="rId3910" Type="http://schemas.openxmlformats.org/officeDocument/2006/relationships/hyperlink" Target="https://www.inaturalist.org/people/persimonn" TargetMode="External"/><Relationship Id="rId3911" Type="http://schemas.openxmlformats.org/officeDocument/2006/relationships/hyperlink" Target="https://creativecommons.org/licenses/by-nc/4.0/" TargetMode="External"/><Relationship Id="rId3912" Type="http://schemas.openxmlformats.org/officeDocument/2006/relationships/hyperlink" Target="https://www.inaturalist.org/observations/167868509" TargetMode="External"/><Relationship Id="rId3913" Type="http://schemas.openxmlformats.org/officeDocument/2006/relationships/hyperlink" Target="https://www.inaturalist.org/people/persimonn" TargetMode="External"/><Relationship Id="rId3914" Type="http://schemas.openxmlformats.org/officeDocument/2006/relationships/hyperlink" Target="https://creativecommons.org/licenses/by-nc/4.0/" TargetMode="External"/><Relationship Id="rId3915" Type="http://schemas.openxmlformats.org/officeDocument/2006/relationships/hyperlink" Target="https://www.inaturalist.org/observations/167868509" TargetMode="External"/><Relationship Id="rId3916" Type="http://schemas.openxmlformats.org/officeDocument/2006/relationships/hyperlink" Target="https://www.inaturalist.org/people/persimonn" TargetMode="External"/><Relationship Id="rId3917" Type="http://schemas.openxmlformats.org/officeDocument/2006/relationships/hyperlink" Target="https://creativecommons.org/licenses/by-nc/4.0/" TargetMode="External"/><Relationship Id="rId3918" Type="http://schemas.openxmlformats.org/officeDocument/2006/relationships/hyperlink" Target="https://www.inaturalist.org/observations/167868509" TargetMode="External"/><Relationship Id="rId3919" Type="http://schemas.openxmlformats.org/officeDocument/2006/relationships/hyperlink" Target="https://www.inaturalist.org/people/vbnt" TargetMode="External"/><Relationship Id="rId3920" Type="http://schemas.openxmlformats.org/officeDocument/2006/relationships/hyperlink" Target="https://creativecommons.org/licenses/by-nc/4.0/" TargetMode="External"/><Relationship Id="rId3921" Type="http://schemas.openxmlformats.org/officeDocument/2006/relationships/hyperlink" Target="https://www.inaturalist.org/observations/276856415" TargetMode="External"/><Relationship Id="rId3922" Type="http://schemas.openxmlformats.org/officeDocument/2006/relationships/hyperlink" Target="https://www.inaturalist.org/people/adurbano" TargetMode="External"/><Relationship Id="rId3923" Type="http://schemas.openxmlformats.org/officeDocument/2006/relationships/hyperlink" Target="https://creativecommons.org/licenses/by-nc/4.0/" TargetMode="External"/><Relationship Id="rId3924" Type="http://schemas.openxmlformats.org/officeDocument/2006/relationships/hyperlink" Target="https://www.inaturalist.org/observations/338680748" TargetMode="External"/><Relationship Id="rId3925" Type="http://schemas.openxmlformats.org/officeDocument/2006/relationships/hyperlink" Target="https://www.inaturalist.org/people/accidentalshrike" TargetMode="External"/><Relationship Id="rId3926" Type="http://schemas.openxmlformats.org/officeDocument/2006/relationships/hyperlink" Target="https://creativecommons.org/licenses/by-nc/4.0/" TargetMode="External"/><Relationship Id="rId3927" Type="http://schemas.openxmlformats.org/officeDocument/2006/relationships/hyperlink" Target="https://www.inaturalist.org/observations/350708735" TargetMode="External"/><Relationship Id="rId3928" Type="http://schemas.openxmlformats.org/officeDocument/2006/relationships/hyperlink" Target="https://www.inaturalist.org/people/jerrygggg" TargetMode="External"/><Relationship Id="rId3929" Type="http://schemas.openxmlformats.org/officeDocument/2006/relationships/hyperlink" Target="https://creativecommons.org/licenses/by-nc/4.0/" TargetMode="External"/><Relationship Id="rId3930" Type="http://schemas.openxmlformats.org/officeDocument/2006/relationships/hyperlink" Target="https://www.inaturalist.org/observations/350723039" TargetMode="External"/><Relationship Id="rId3931" Type="http://schemas.openxmlformats.org/officeDocument/2006/relationships/hyperlink" Target="https://www.inaturalist.org/people/pl_stenger" TargetMode="External"/><Relationship Id="rId3932" Type="http://schemas.openxmlformats.org/officeDocument/2006/relationships/hyperlink" Target="https://creativecommons.org/licenses/by-nc/4.0/" TargetMode="External"/><Relationship Id="rId3933" Type="http://schemas.openxmlformats.org/officeDocument/2006/relationships/hyperlink" Target="https://www.inaturalist.org/observations/105486704" TargetMode="External"/><Relationship Id="rId3934" Type="http://schemas.openxmlformats.org/officeDocument/2006/relationships/hyperlink" Target="https://www.inaturalist.org/people/adurbano" TargetMode="External"/><Relationship Id="rId3935" Type="http://schemas.openxmlformats.org/officeDocument/2006/relationships/hyperlink" Target="https://creativecommons.org/licenses/by-nc/4.0/" TargetMode="External"/><Relationship Id="rId3936" Type="http://schemas.openxmlformats.org/officeDocument/2006/relationships/hyperlink" Target="https://www.inaturalist.org/observations/358564654" TargetMode="External"/><Relationship Id="rId3937" Type="http://schemas.openxmlformats.org/officeDocument/2006/relationships/hyperlink" Target="https://www.inaturalist.org/people/accidentalshrike" TargetMode="External"/><Relationship Id="rId3938" Type="http://schemas.openxmlformats.org/officeDocument/2006/relationships/hyperlink" Target="https://creativecommons.org/licenses/by-nc/4.0/" TargetMode="External"/><Relationship Id="rId3939" Type="http://schemas.openxmlformats.org/officeDocument/2006/relationships/hyperlink" Target="https://www.inaturalist.org/observations/369662000" TargetMode="External"/><Relationship Id="rId3940" Type="http://schemas.openxmlformats.org/officeDocument/2006/relationships/hyperlink" Target="https://www.inaturalist.org/people/accidentalshrike" TargetMode="External"/><Relationship Id="rId3941" Type="http://schemas.openxmlformats.org/officeDocument/2006/relationships/hyperlink" Target="https://creativecommons.org/licenses/by-nc/4.0/" TargetMode="External"/><Relationship Id="rId3942" Type="http://schemas.openxmlformats.org/officeDocument/2006/relationships/hyperlink" Target="https://www.inaturalist.org/observations/369662222" TargetMode="External"/><Relationship Id="rId3943" Type="http://schemas.openxmlformats.org/officeDocument/2006/relationships/hyperlink" Target="https://www.inaturalist.org/people/pl_stenger" TargetMode="External"/><Relationship Id="rId3944" Type="http://schemas.openxmlformats.org/officeDocument/2006/relationships/hyperlink" Target="https://creativecommons.org/licenses/by-nc/4.0/" TargetMode="External"/><Relationship Id="rId3945" Type="http://schemas.openxmlformats.org/officeDocument/2006/relationships/hyperlink" Target="https://www.inaturalist.org/observations/92539524" TargetMode="External"/><Relationship Id="rId3946" Type="http://schemas.openxmlformats.org/officeDocument/2006/relationships/hyperlink" Target="https://www.inaturalist.org/people/accidentalshrike" TargetMode="External"/><Relationship Id="rId3947" Type="http://schemas.openxmlformats.org/officeDocument/2006/relationships/hyperlink" Target="https://creativecommons.org/licenses/by-nc/4.0/" TargetMode="External"/><Relationship Id="rId3948" Type="http://schemas.openxmlformats.org/officeDocument/2006/relationships/hyperlink" Target="https://www.inaturalist.org/observations/369662222" TargetMode="External"/><Relationship Id="rId3949" Type="http://schemas.openxmlformats.org/officeDocument/2006/relationships/hyperlink" Target="https://www.inaturalist.org/people/accidentalshrike" TargetMode="External"/><Relationship Id="rId3950" Type="http://schemas.openxmlformats.org/officeDocument/2006/relationships/hyperlink" Target="https://creativecommons.org/licenses/by-nc/4.0/" TargetMode="External"/><Relationship Id="rId3951" Type="http://schemas.openxmlformats.org/officeDocument/2006/relationships/hyperlink" Target="https://www.inaturalist.org/observations/369662398" TargetMode="External"/><Relationship Id="rId3952" Type="http://schemas.openxmlformats.org/officeDocument/2006/relationships/hyperlink" Target="https://www.inaturalist.org/people/accidentalshrike" TargetMode="External"/><Relationship Id="rId3953" Type="http://schemas.openxmlformats.org/officeDocument/2006/relationships/hyperlink" Target="https://creativecommons.org/licenses/by-nc/4.0/" TargetMode="External"/><Relationship Id="rId3954" Type="http://schemas.openxmlformats.org/officeDocument/2006/relationships/hyperlink" Target="https://www.inaturalist.org/observations/369662624" TargetMode="External"/><Relationship Id="rId3955" Type="http://schemas.openxmlformats.org/officeDocument/2006/relationships/hyperlink" Target="https://www.inaturalist.org/people/adurbano" TargetMode="External"/><Relationship Id="rId3956" Type="http://schemas.openxmlformats.org/officeDocument/2006/relationships/hyperlink" Target="https://creativecommons.org/licenses/by-nc/4.0/" TargetMode="External"/><Relationship Id="rId3957" Type="http://schemas.openxmlformats.org/officeDocument/2006/relationships/hyperlink" Target="https://www.inaturalist.org/observations/323473329" TargetMode="External"/><Relationship Id="rId3958" Type="http://schemas.openxmlformats.org/officeDocument/2006/relationships/hyperlink" Target="https://www.inaturalist.org/people/adurbano" TargetMode="External"/><Relationship Id="rId3959" Type="http://schemas.openxmlformats.org/officeDocument/2006/relationships/hyperlink" Target="https://creativecommons.org/licenses/by-nc/4.0/" TargetMode="External"/><Relationship Id="rId3960" Type="http://schemas.openxmlformats.org/officeDocument/2006/relationships/hyperlink" Target="https://www.inaturalist.org/observations/323473329" TargetMode="External"/><Relationship Id="rId3961" Type="http://schemas.openxmlformats.org/officeDocument/2006/relationships/hyperlink" Target="https://www.inaturalist.org/people/adurbano" TargetMode="External"/><Relationship Id="rId3962" Type="http://schemas.openxmlformats.org/officeDocument/2006/relationships/hyperlink" Target="https://creativecommons.org/licenses/by-nc/4.0/" TargetMode="External"/><Relationship Id="rId3963" Type="http://schemas.openxmlformats.org/officeDocument/2006/relationships/hyperlink" Target="https://www.inaturalist.org/observations/323473329" TargetMode="External"/><Relationship Id="rId3964" Type="http://schemas.openxmlformats.org/officeDocument/2006/relationships/hyperlink" Target="https://www.inaturalist.org/people/accidentalshrike" TargetMode="External"/><Relationship Id="rId3965" Type="http://schemas.openxmlformats.org/officeDocument/2006/relationships/hyperlink" Target="https://creativecommons.org/licenses/by-nc/4.0/" TargetMode="External"/><Relationship Id="rId3966" Type="http://schemas.openxmlformats.org/officeDocument/2006/relationships/hyperlink" Target="https://www.inaturalist.org/observations/371087091" TargetMode="External"/><Relationship Id="rId3967" Type="http://schemas.openxmlformats.org/officeDocument/2006/relationships/hyperlink" Target="https://www.inaturalist.org/people/accidentalshrike" TargetMode="External"/><Relationship Id="rId3968" Type="http://schemas.openxmlformats.org/officeDocument/2006/relationships/hyperlink" Target="https://creativecommons.org/licenses/by-nc/4.0/" TargetMode="External"/><Relationship Id="rId3969" Type="http://schemas.openxmlformats.org/officeDocument/2006/relationships/hyperlink" Target="https://www.inaturalist.org/observations/371087189" TargetMode="External"/><Relationship Id="rId3970" Type="http://schemas.openxmlformats.org/officeDocument/2006/relationships/hyperlink" Target="https://www.inaturalist.org/people/juju98" TargetMode="External"/><Relationship Id="rId3971" Type="http://schemas.openxmlformats.org/officeDocument/2006/relationships/hyperlink" Target="https://creativecommons.org/licenses/by-nc/4.0/" TargetMode="External"/><Relationship Id="rId3972" Type="http://schemas.openxmlformats.org/officeDocument/2006/relationships/hyperlink" Target="https://www.inaturalist.org/observations/372483799" TargetMode="External"/><Relationship Id="rId3973" Type="http://schemas.openxmlformats.org/officeDocument/2006/relationships/hyperlink" Target="https://www.inaturalist.org/people/stephentho" TargetMode="External"/><Relationship Id="rId3974" Type="http://schemas.openxmlformats.org/officeDocument/2006/relationships/hyperlink" Target="https://creativecommons.org/licenses/by-nc/4.0/" TargetMode="External"/><Relationship Id="rId3975" Type="http://schemas.openxmlformats.org/officeDocument/2006/relationships/hyperlink" Target="https://www.inaturalist.org/observations/153901585" TargetMode="External"/><Relationship Id="rId3976" Type="http://schemas.openxmlformats.org/officeDocument/2006/relationships/hyperlink" Target="https://www.inaturalist.org/people/adurbano" TargetMode="External"/><Relationship Id="rId3977" Type="http://schemas.openxmlformats.org/officeDocument/2006/relationships/hyperlink" Target="https://creativecommons.org/licenses/by-nc/4.0/" TargetMode="External"/><Relationship Id="rId3978" Type="http://schemas.openxmlformats.org/officeDocument/2006/relationships/hyperlink" Target="https://www.inaturalist.org/observations/377083620" TargetMode="External"/><Relationship Id="rId3979" Type="http://schemas.openxmlformats.org/officeDocument/2006/relationships/hyperlink" Target="https://www.inaturalist.org/people/tommo1234" TargetMode="External"/><Relationship Id="rId3980" Type="http://schemas.openxmlformats.org/officeDocument/2006/relationships/hyperlink" Target="https://creativecommons.org/licenses/by-nc/4.0/" TargetMode="External"/><Relationship Id="rId3981" Type="http://schemas.openxmlformats.org/officeDocument/2006/relationships/hyperlink" Target="https://www.inaturalist.org/observations/378925531" TargetMode="External"/><Relationship Id="rId3982" Type="http://schemas.openxmlformats.org/officeDocument/2006/relationships/hyperlink" Target="https://www.inaturalist.org/people/kbatjunior" TargetMode="External"/><Relationship Id="rId3983" Type="http://schemas.openxmlformats.org/officeDocument/2006/relationships/hyperlink" Target="https://creativecommons.org/licenses/by-nc/4.0/" TargetMode="External"/><Relationship Id="rId3984" Type="http://schemas.openxmlformats.org/officeDocument/2006/relationships/hyperlink" Target="https://www.inaturalist.org/observations/375974821" TargetMode="External"/><Relationship Id="rId3985" Type="http://schemas.openxmlformats.org/officeDocument/2006/relationships/hyperlink" Target="https://www.inaturalist.org/people/ratus_ratus_mus_musculus" TargetMode="External"/><Relationship Id="rId3986" Type="http://schemas.openxmlformats.org/officeDocument/2006/relationships/hyperlink" Target="https://creativecommons.org/licenses/by-nc/4.0/" TargetMode="External"/><Relationship Id="rId3987" Type="http://schemas.openxmlformats.org/officeDocument/2006/relationships/hyperlink" Target="https://www.inaturalist.org/observations/375771660" TargetMode="External"/><Relationship Id="rId3988" Type="http://schemas.openxmlformats.org/officeDocument/2006/relationships/hyperlink" Target="https://www.inaturalist.org/people/ratus_ratus_mus_musculus" TargetMode="External"/><Relationship Id="rId3989" Type="http://schemas.openxmlformats.org/officeDocument/2006/relationships/hyperlink" Target="https://creativecommons.org/licenses/by-nc/4.0/" TargetMode="External"/><Relationship Id="rId3990" Type="http://schemas.openxmlformats.org/officeDocument/2006/relationships/hyperlink" Target="https://www.inaturalist.org/observations/375771660" TargetMode="External"/><Relationship Id="rId3991" Type="http://schemas.openxmlformats.org/officeDocument/2006/relationships/hyperlink" Target="https://www.inaturalist.org/people/ratus_ratus_mus_musculus" TargetMode="External"/><Relationship Id="rId3992" Type="http://schemas.openxmlformats.org/officeDocument/2006/relationships/hyperlink" Target="https://creativecommons.org/licenses/by-nc/4.0/" TargetMode="External"/><Relationship Id="rId3993" Type="http://schemas.openxmlformats.org/officeDocument/2006/relationships/hyperlink" Target="https://www.inaturalist.org/observations/375771660" TargetMode="External"/><Relationship Id="rId3994" Type="http://schemas.openxmlformats.org/officeDocument/2006/relationships/hyperlink" Target="https://www.inaturalist.org/people/ratus_ratus_mus_musculus" TargetMode="External"/><Relationship Id="rId3995" Type="http://schemas.openxmlformats.org/officeDocument/2006/relationships/hyperlink" Target="https://creativecommons.org/licenses/by-nc/4.0/" TargetMode="External"/><Relationship Id="rId3996" Type="http://schemas.openxmlformats.org/officeDocument/2006/relationships/hyperlink" Target="https://www.inaturalist.org/observations/375771660" TargetMode="External"/><Relationship Id="rId3997" Type="http://schemas.openxmlformats.org/officeDocument/2006/relationships/hyperlink" Target="https://www.inaturalist.org/people/ratus_ratus_mus_musculus" TargetMode="External"/><Relationship Id="rId3998" Type="http://schemas.openxmlformats.org/officeDocument/2006/relationships/hyperlink" Target="https://creativecommons.org/licenses/by-nc/4.0/" TargetMode="External"/><Relationship Id="rId3999" Type="http://schemas.openxmlformats.org/officeDocument/2006/relationships/hyperlink" Target="https://www.inaturalist.org/observations/375771660" TargetMode="External"/><Relationship Id="rId4000" Type="http://schemas.openxmlformats.org/officeDocument/2006/relationships/hyperlink" Target="https://www.inaturalist.org/people/sihoey" TargetMode="External"/><Relationship Id="rId4001" Type="http://schemas.openxmlformats.org/officeDocument/2006/relationships/hyperlink" Target="https://creativecommons.org/licenses/by-nc/4.0/" TargetMode="External"/><Relationship Id="rId4002" Type="http://schemas.openxmlformats.org/officeDocument/2006/relationships/hyperlink" Target="https://www.inaturalist.org/observations/375513809" TargetMode="External"/><Relationship Id="rId4003" Type="http://schemas.openxmlformats.org/officeDocument/2006/relationships/hyperlink" Target="https://www.inaturalist.org/people/craeofsunshine" TargetMode="External"/><Relationship Id="rId4004" Type="http://schemas.openxmlformats.org/officeDocument/2006/relationships/hyperlink" Target="https://creativecommons.org/licenses/by-nc/4.0/" TargetMode="External"/><Relationship Id="rId4005" Type="http://schemas.openxmlformats.org/officeDocument/2006/relationships/hyperlink" Target="https://www.inaturalist.org/observations/374204117" TargetMode="External"/><Relationship Id="rId4006" Type="http://schemas.openxmlformats.org/officeDocument/2006/relationships/hyperlink" Target="https://www.inaturalist.org/people/tmyknckr" TargetMode="External"/><Relationship Id="rId4007" Type="http://schemas.openxmlformats.org/officeDocument/2006/relationships/hyperlink" Target="https://creativecommons.org/licenses/by-nc/4.0/" TargetMode="External"/><Relationship Id="rId4008" Type="http://schemas.openxmlformats.org/officeDocument/2006/relationships/hyperlink" Target="https://www.inaturalist.org/observations/374151342" TargetMode="External"/><Relationship Id="rId4009" Type="http://schemas.openxmlformats.org/officeDocument/2006/relationships/hyperlink" Target="https://www.inaturalist.org/people/sonya78" TargetMode="External"/><Relationship Id="rId4010" Type="http://schemas.openxmlformats.org/officeDocument/2006/relationships/hyperlink" Target="https://creativecommons.org/licenses/by-nc/4.0/" TargetMode="External"/><Relationship Id="rId4011" Type="http://schemas.openxmlformats.org/officeDocument/2006/relationships/hyperlink" Target="https://www.inaturalist.org/observations/373805738" TargetMode="External"/><Relationship Id="rId4012" Type="http://schemas.openxmlformats.org/officeDocument/2006/relationships/hyperlink" Target="https://www.inaturalist.org/people/anne-mariesydes" TargetMode="External"/><Relationship Id="rId4013" Type="http://schemas.openxmlformats.org/officeDocument/2006/relationships/hyperlink" Target="https://creativecommons.org/licenses/by-nc/4.0/" TargetMode="External"/><Relationship Id="rId4014" Type="http://schemas.openxmlformats.org/officeDocument/2006/relationships/hyperlink" Target="https://www.inaturalist.org/observations/371899277" TargetMode="External"/><Relationship Id="rId4015" Type="http://schemas.openxmlformats.org/officeDocument/2006/relationships/hyperlink" Target="https://www.inaturalist.org/people/bignatureboiii" TargetMode="External"/><Relationship Id="rId4016" Type="http://schemas.openxmlformats.org/officeDocument/2006/relationships/hyperlink" Target="https://creativecommons.org/licenses/by-nc/4.0/" TargetMode="External"/><Relationship Id="rId4017" Type="http://schemas.openxmlformats.org/officeDocument/2006/relationships/hyperlink" Target="https://www.inaturalist.org/observations/368276380" TargetMode="External"/><Relationship Id="rId4018" Type="http://schemas.openxmlformats.org/officeDocument/2006/relationships/hyperlink" Target="https://www.inaturalist.org/people/roratheexplorer" TargetMode="External"/><Relationship Id="rId4019" Type="http://schemas.openxmlformats.org/officeDocument/2006/relationships/hyperlink" Target="https://creativecommons.org/licenses/by-nc/4.0/" TargetMode="External"/><Relationship Id="rId4020" Type="http://schemas.openxmlformats.org/officeDocument/2006/relationships/hyperlink" Target="https://www.inaturalist.org/observations/367339355" TargetMode="External"/><Relationship Id="rId4021" Type="http://schemas.openxmlformats.org/officeDocument/2006/relationships/hyperlink" Target="https://www.inaturalist.org/people/roratheexplorer" TargetMode="External"/><Relationship Id="rId4022" Type="http://schemas.openxmlformats.org/officeDocument/2006/relationships/hyperlink" Target="https://creativecommons.org/licenses/by-nc/4.0/" TargetMode="External"/><Relationship Id="rId4023" Type="http://schemas.openxmlformats.org/officeDocument/2006/relationships/hyperlink" Target="https://www.inaturalist.org/observations/367339355" TargetMode="External"/><Relationship Id="rId4024" Type="http://schemas.openxmlformats.org/officeDocument/2006/relationships/hyperlink" Target="https://www.inaturalist.org/people/alisonpearson" TargetMode="External"/><Relationship Id="rId4025" Type="http://schemas.openxmlformats.org/officeDocument/2006/relationships/hyperlink" Target="https://creativecommons.org/licenses/by-nc/4.0/" TargetMode="External"/><Relationship Id="rId4026" Type="http://schemas.openxmlformats.org/officeDocument/2006/relationships/hyperlink" Target="https://www.inaturalist.org/observations/365576973" TargetMode="External"/><Relationship Id="rId4027" Type="http://schemas.openxmlformats.org/officeDocument/2006/relationships/hyperlink" Target="https://www.inaturalist.org/people/allthingswildlife2004" TargetMode="External"/><Relationship Id="rId4028" Type="http://schemas.openxmlformats.org/officeDocument/2006/relationships/hyperlink" Target="https://creativecommons.org/licenses/by-nc/4.0/" TargetMode="External"/><Relationship Id="rId4029" Type="http://schemas.openxmlformats.org/officeDocument/2006/relationships/hyperlink" Target="https://www.inaturalist.org/observations/364198023" TargetMode="External"/><Relationship Id="rId4030" Type="http://schemas.openxmlformats.org/officeDocument/2006/relationships/hyperlink" Target="https://www.inaturalist.org/people/livvy_tyson" TargetMode="External"/><Relationship Id="rId4031" Type="http://schemas.openxmlformats.org/officeDocument/2006/relationships/hyperlink" Target="https://creativecommons.org/licenses/by-nc/4.0/" TargetMode="External"/><Relationship Id="rId4032" Type="http://schemas.openxmlformats.org/officeDocument/2006/relationships/hyperlink" Target="https://www.inaturalist.org/observations/362714528" TargetMode="External"/><Relationship Id="rId4033" Type="http://schemas.openxmlformats.org/officeDocument/2006/relationships/hyperlink" Target="https://www.inaturalist.org/people/suzia97" TargetMode="External"/><Relationship Id="rId4034" Type="http://schemas.openxmlformats.org/officeDocument/2006/relationships/hyperlink" Target="https://creativecommons.org/licenses/by-nc/4.0/" TargetMode="External"/><Relationship Id="rId4035" Type="http://schemas.openxmlformats.org/officeDocument/2006/relationships/hyperlink" Target="https://www.inaturalist.org/observations/362700575" TargetMode="External"/><Relationship Id="rId4036" Type="http://schemas.openxmlformats.org/officeDocument/2006/relationships/hyperlink" Target="https://www.inaturalist.org/people/leannep" TargetMode="External"/><Relationship Id="rId4037" Type="http://schemas.openxmlformats.org/officeDocument/2006/relationships/hyperlink" Target="https://creativecommons.org/licenses/by-nc/4.0/" TargetMode="External"/><Relationship Id="rId4038" Type="http://schemas.openxmlformats.org/officeDocument/2006/relationships/hyperlink" Target="https://www.inaturalist.org/observations/361399270" TargetMode="External"/><Relationship Id="rId4039" Type="http://schemas.openxmlformats.org/officeDocument/2006/relationships/hyperlink" Target="https://www.inaturalist.org/people/debmetters" TargetMode="External"/><Relationship Id="rId4040" Type="http://schemas.openxmlformats.org/officeDocument/2006/relationships/hyperlink" Target="https://creativecommons.org/licenses/by-nc/4.0/" TargetMode="External"/><Relationship Id="rId4041" Type="http://schemas.openxmlformats.org/officeDocument/2006/relationships/hyperlink" Target="https://www.inaturalist.org/observations/360855930" TargetMode="External"/><Relationship Id="rId4042" Type="http://schemas.openxmlformats.org/officeDocument/2006/relationships/hyperlink" Target="https://www.inaturalist.org/people/debmetters" TargetMode="External"/><Relationship Id="rId4043" Type="http://schemas.openxmlformats.org/officeDocument/2006/relationships/hyperlink" Target="https://creativecommons.org/licenses/by-nc/4.0/" TargetMode="External"/><Relationship Id="rId4044" Type="http://schemas.openxmlformats.org/officeDocument/2006/relationships/hyperlink" Target="https://www.inaturalist.org/observations/360855925" TargetMode="External"/><Relationship Id="rId4045" Type="http://schemas.openxmlformats.org/officeDocument/2006/relationships/hyperlink" Target="https://www.inaturalist.org/people/mieke_van_der_merwe" TargetMode="External"/><Relationship Id="rId4046" Type="http://schemas.openxmlformats.org/officeDocument/2006/relationships/hyperlink" Target="https://creativecommons.org/licenses/by-nc/4.0/" TargetMode="External"/><Relationship Id="rId4047" Type="http://schemas.openxmlformats.org/officeDocument/2006/relationships/hyperlink" Target="https://www.inaturalist.org/observations/359781290" TargetMode="External"/><Relationship Id="rId4048" Type="http://schemas.openxmlformats.org/officeDocument/2006/relationships/hyperlink" Target="https://www.inaturalist.org/people/jjlc" TargetMode="External"/><Relationship Id="rId4049" Type="http://schemas.openxmlformats.org/officeDocument/2006/relationships/hyperlink" Target="https://creativecommons.org/licenses/by-nc/4.0/" TargetMode="External"/><Relationship Id="rId4050" Type="http://schemas.openxmlformats.org/officeDocument/2006/relationships/hyperlink" Target="https://www.inaturalist.org/observations/358741407" TargetMode="External"/><Relationship Id="rId4051" Type="http://schemas.openxmlformats.org/officeDocument/2006/relationships/hyperlink" Target="https://www.inaturalist.org/people/corticulturalist" TargetMode="External"/><Relationship Id="rId4052" Type="http://schemas.openxmlformats.org/officeDocument/2006/relationships/hyperlink" Target="https://creativecommons.org/licenses/by-nc/4.0/" TargetMode="External"/><Relationship Id="rId4053" Type="http://schemas.openxmlformats.org/officeDocument/2006/relationships/hyperlink" Target="https://www.inaturalist.org/observations/357852425" TargetMode="External"/><Relationship Id="rId4054" Type="http://schemas.openxmlformats.org/officeDocument/2006/relationships/hyperlink" Target="https://www.inaturalist.org/people/tyraman" TargetMode="External"/><Relationship Id="rId4055" Type="http://schemas.openxmlformats.org/officeDocument/2006/relationships/hyperlink" Target="https://creativecommons.org/licenses/by-nc/4.0/" TargetMode="External"/><Relationship Id="rId4056" Type="http://schemas.openxmlformats.org/officeDocument/2006/relationships/hyperlink" Target="https://www.inaturalist.org/observations/357779380" TargetMode="External"/><Relationship Id="rId4057" Type="http://schemas.openxmlformats.org/officeDocument/2006/relationships/hyperlink" Target="https://www.inaturalist.org/people/rreams" TargetMode="External"/><Relationship Id="rId4058" Type="http://schemas.openxmlformats.org/officeDocument/2006/relationships/hyperlink" Target="https://creativecommons.org/licenses/by-nc/4.0/" TargetMode="External"/><Relationship Id="rId4059" Type="http://schemas.openxmlformats.org/officeDocument/2006/relationships/hyperlink" Target="https://www.inaturalist.org/observations/355729138" TargetMode="External"/><Relationship Id="rId4060" Type="http://schemas.openxmlformats.org/officeDocument/2006/relationships/hyperlink" Target="https://www.inaturalist.org/people/liamjsmith" TargetMode="External"/><Relationship Id="rId4061" Type="http://schemas.openxmlformats.org/officeDocument/2006/relationships/hyperlink" Target="https://creativecommons.org/licenses/by-nc/4.0/" TargetMode="External"/><Relationship Id="rId4062" Type="http://schemas.openxmlformats.org/officeDocument/2006/relationships/hyperlink" Target="https://www.inaturalist.org/observations/354228873" TargetMode="External"/><Relationship Id="rId4063" Type="http://schemas.openxmlformats.org/officeDocument/2006/relationships/hyperlink" Target="https://www.inaturalist.org/people/cookie_dough1212" TargetMode="External"/><Relationship Id="rId4064" Type="http://schemas.openxmlformats.org/officeDocument/2006/relationships/hyperlink" Target="https://creativecommons.org/licenses/by-nc/4.0/" TargetMode="External"/><Relationship Id="rId4065" Type="http://schemas.openxmlformats.org/officeDocument/2006/relationships/hyperlink" Target="https://www.inaturalist.org/observations/352418160" TargetMode="External"/><Relationship Id="rId4066" Type="http://schemas.openxmlformats.org/officeDocument/2006/relationships/hyperlink" Target="https://www.inaturalist.org/people/cookie_dough1212" TargetMode="External"/><Relationship Id="rId4067" Type="http://schemas.openxmlformats.org/officeDocument/2006/relationships/hyperlink" Target="https://creativecommons.org/licenses/by-nc/4.0/" TargetMode="External"/><Relationship Id="rId4068" Type="http://schemas.openxmlformats.org/officeDocument/2006/relationships/hyperlink" Target="https://www.inaturalist.org/observations/352418160" TargetMode="External"/><Relationship Id="rId4069" Type="http://schemas.openxmlformats.org/officeDocument/2006/relationships/hyperlink" Target="https://www.inaturalist.org/people/cookie_dough1212" TargetMode="External"/><Relationship Id="rId4070" Type="http://schemas.openxmlformats.org/officeDocument/2006/relationships/hyperlink" Target="https://creativecommons.org/licenses/by-nc/4.0/" TargetMode="External"/><Relationship Id="rId4071" Type="http://schemas.openxmlformats.org/officeDocument/2006/relationships/hyperlink" Target="https://www.inaturalist.org/observations/352418160" TargetMode="External"/><Relationship Id="rId4072" Type="http://schemas.openxmlformats.org/officeDocument/2006/relationships/hyperlink" Target="https://www.inaturalist.org/people/sfitty" TargetMode="External"/><Relationship Id="rId4073" Type="http://schemas.openxmlformats.org/officeDocument/2006/relationships/hyperlink" Target="https://creativecommons.org/licenses/by-nc/4.0/" TargetMode="External"/><Relationship Id="rId4074" Type="http://schemas.openxmlformats.org/officeDocument/2006/relationships/hyperlink" Target="https://www.inaturalist.org/observations/351858991" TargetMode="External"/><Relationship Id="rId4075" Type="http://schemas.openxmlformats.org/officeDocument/2006/relationships/hyperlink" Target="https://www.inaturalist.org/people/mickdrews" TargetMode="External"/><Relationship Id="rId4076" Type="http://schemas.openxmlformats.org/officeDocument/2006/relationships/hyperlink" Target="https://creativecommons.org/licenses/by-nc/4.0/" TargetMode="External"/><Relationship Id="rId4077" Type="http://schemas.openxmlformats.org/officeDocument/2006/relationships/hyperlink" Target="https://www.inaturalist.org/observations/351581355" TargetMode="External"/><Relationship Id="rId4078" Type="http://schemas.openxmlformats.org/officeDocument/2006/relationships/hyperlink" Target="https://www.inaturalist.org/people/rattytattatt" TargetMode="External"/><Relationship Id="rId4079" Type="http://schemas.openxmlformats.org/officeDocument/2006/relationships/hyperlink" Target="https://creativecommons.org/licenses/by-nc/4.0/" TargetMode="External"/><Relationship Id="rId4080" Type="http://schemas.openxmlformats.org/officeDocument/2006/relationships/hyperlink" Target="https://www.inaturalist.org/observations/351426147" TargetMode="External"/><Relationship Id="rId4081" Type="http://schemas.openxmlformats.org/officeDocument/2006/relationships/hyperlink" Target="https://www.inaturalist.org/people/hilarydavern" TargetMode="External"/><Relationship Id="rId4082" Type="http://schemas.openxmlformats.org/officeDocument/2006/relationships/hyperlink" Target="https://creativecommons.org/licenses/by-nc/4.0/" TargetMode="External"/><Relationship Id="rId4083" Type="http://schemas.openxmlformats.org/officeDocument/2006/relationships/hyperlink" Target="https://www.inaturalist.org/observations/350778497" TargetMode="External"/><Relationship Id="rId4084" Type="http://schemas.openxmlformats.org/officeDocument/2006/relationships/hyperlink" Target="https://www.inaturalist.org/people/nait_butterworth" TargetMode="External"/><Relationship Id="rId4085" Type="http://schemas.openxmlformats.org/officeDocument/2006/relationships/hyperlink" Target="https://creativecommons.org/licenses/by-nc/4.0/" TargetMode="External"/><Relationship Id="rId4086" Type="http://schemas.openxmlformats.org/officeDocument/2006/relationships/hyperlink" Target="https://www.inaturalist.org/observations/380274273" TargetMode="External"/><Relationship Id="rId4087" Type="http://schemas.openxmlformats.org/officeDocument/2006/relationships/hyperlink" Target="https://www.inaturalist.org/people/timshroom" TargetMode="External"/><Relationship Id="rId4088" Type="http://schemas.openxmlformats.org/officeDocument/2006/relationships/hyperlink" Target="https://creativecommons.org/licenses/by-nc/4.0/" TargetMode="External"/><Relationship Id="rId4089" Type="http://schemas.openxmlformats.org/officeDocument/2006/relationships/hyperlink" Target="https://www.inaturalist.org/observations/366248169" TargetMode="External"/><Relationship Id="rId4090" Type="http://schemas.openxmlformats.org/officeDocument/2006/relationships/hyperlink" Target="https://www.inaturalist.org/people/blake_fittler" TargetMode="External"/><Relationship Id="rId4091" Type="http://schemas.openxmlformats.org/officeDocument/2006/relationships/hyperlink" Target="https://creativecommons.org/licenses/by-nc/4.0/" TargetMode="External"/><Relationship Id="rId4092" Type="http://schemas.openxmlformats.org/officeDocument/2006/relationships/hyperlink" Target="https://www.inaturalist.org/observations/363588567" TargetMode="External"/><Relationship Id="rId4093" Type="http://schemas.openxmlformats.org/officeDocument/2006/relationships/hyperlink" Target="https://www.inaturalist.org/people/benschultz1" TargetMode="External"/><Relationship Id="rId4094" Type="http://schemas.openxmlformats.org/officeDocument/2006/relationships/hyperlink" Target="https://creativecommons.org/licenses/by-nc/4.0/" TargetMode="External"/><Relationship Id="rId4095" Type="http://schemas.openxmlformats.org/officeDocument/2006/relationships/hyperlink" Target="https://www.inaturalist.org/observations/363205017" TargetMode="External"/><Relationship Id="rId4096" Type="http://schemas.openxmlformats.org/officeDocument/2006/relationships/hyperlink" Target="https://www.inaturalist.org/people/edwardsjn" TargetMode="External"/><Relationship Id="rId4097" Type="http://schemas.openxmlformats.org/officeDocument/2006/relationships/hyperlink" Target="https://creativecommons.org/licenses/by-nc/4.0/" TargetMode="External"/><Relationship Id="rId4098" Type="http://schemas.openxmlformats.org/officeDocument/2006/relationships/hyperlink" Target="https://www.inaturalist.org/observations/363203077" TargetMode="External"/><Relationship Id="rId4099" Type="http://schemas.openxmlformats.org/officeDocument/2006/relationships/hyperlink" Target="https://www.inaturalist.org/people/nick_vine" TargetMode="External"/><Relationship Id="rId4100" Type="http://schemas.openxmlformats.org/officeDocument/2006/relationships/hyperlink" Target="https://creativecommons.org/licenses/by-nc/4.0/" TargetMode="External"/><Relationship Id="rId4101" Type="http://schemas.openxmlformats.org/officeDocument/2006/relationships/hyperlink" Target="https://www.inaturalist.org/observations/362178430" TargetMode="External"/><Relationship Id="rId4102" Type="http://schemas.openxmlformats.org/officeDocument/2006/relationships/hyperlink" Target="https://www.inaturalist.org/people/beckie_gee" TargetMode="External"/><Relationship Id="rId4103" Type="http://schemas.openxmlformats.org/officeDocument/2006/relationships/hyperlink" Target="https://creativecommons.org/licenses/by-nc/4.0/" TargetMode="External"/><Relationship Id="rId4104" Type="http://schemas.openxmlformats.org/officeDocument/2006/relationships/hyperlink" Target="https://www.inaturalist.org/observations/360166788" TargetMode="External"/><Relationship Id="rId4105" Type="http://schemas.openxmlformats.org/officeDocument/2006/relationships/hyperlink" Target="https://www.inaturalist.org/people/beckie_gee" TargetMode="External"/><Relationship Id="rId4106" Type="http://schemas.openxmlformats.org/officeDocument/2006/relationships/hyperlink" Target="https://creativecommons.org/licenses/by-nc/4.0/" TargetMode="External"/><Relationship Id="rId4107" Type="http://schemas.openxmlformats.org/officeDocument/2006/relationships/hyperlink" Target="https://www.inaturalist.org/observations/360166788" TargetMode="External"/><Relationship Id="rId4108" Type="http://schemas.openxmlformats.org/officeDocument/2006/relationships/hyperlink" Target="https://www.inaturalist.org/people/woollahrabiodiversity" TargetMode="External"/><Relationship Id="rId4109" Type="http://schemas.openxmlformats.org/officeDocument/2006/relationships/hyperlink" Target="https://creativecommons.org/licenses/by-nc/4.0/" TargetMode="External"/><Relationship Id="rId4110" Type="http://schemas.openxmlformats.org/officeDocument/2006/relationships/hyperlink" Target="https://www.inaturalist.org/observations/359105606" TargetMode="External"/><Relationship Id="rId4111" Type="http://schemas.openxmlformats.org/officeDocument/2006/relationships/hyperlink" Target="https://www.inaturalist.org/people/lincolnwallerr" TargetMode="External"/><Relationship Id="rId4112" Type="http://schemas.openxmlformats.org/officeDocument/2006/relationships/hyperlink" Target="https://creativecommons.org/licenses/by-nc/4.0/" TargetMode="External"/><Relationship Id="rId4113" Type="http://schemas.openxmlformats.org/officeDocument/2006/relationships/hyperlink" Target="https://www.inaturalist.org/observations/357457228" TargetMode="External"/><Relationship Id="rId4114" Type="http://schemas.openxmlformats.org/officeDocument/2006/relationships/hyperlink" Target="https://www.inaturalist.org/people/blake_fittler" TargetMode="External"/><Relationship Id="rId4115" Type="http://schemas.openxmlformats.org/officeDocument/2006/relationships/hyperlink" Target="https://creativecommons.org/licenses/by-nc/4.0/" TargetMode="External"/><Relationship Id="rId4116" Type="http://schemas.openxmlformats.org/officeDocument/2006/relationships/hyperlink" Target="https://www.inaturalist.org/observations/355218200" TargetMode="External"/><Relationship Id="rId4117" Type="http://schemas.openxmlformats.org/officeDocument/2006/relationships/hyperlink" Target="https://www.inaturalist.org/people/forestrain" TargetMode="External"/><Relationship Id="rId4118" Type="http://schemas.openxmlformats.org/officeDocument/2006/relationships/hyperlink" Target="https://creativecommons.org/licenses/by-nc/4.0/" TargetMode="External"/><Relationship Id="rId4119" Type="http://schemas.openxmlformats.org/officeDocument/2006/relationships/hyperlink" Target="https://www.inaturalist.org/observations/350695820" TargetMode="External"/><Relationship Id="rId4120" Type="http://schemas.openxmlformats.org/officeDocument/2006/relationships/hyperlink" Target="https://www.inaturalist.org/people/iriki" TargetMode="External"/><Relationship Id="rId4121" Type="http://schemas.openxmlformats.org/officeDocument/2006/relationships/hyperlink" Target="https://creativecommons.org/licenses/by-nc/4.0/" TargetMode="External"/><Relationship Id="rId4122" Type="http://schemas.openxmlformats.org/officeDocument/2006/relationships/hyperlink" Target="https://www.inaturalist.org/observations/348723813" TargetMode="External"/><Relationship Id="rId4123" Type="http://schemas.openxmlformats.org/officeDocument/2006/relationships/hyperlink" Target="https://www.inaturalist.org/people/blake_fittler" TargetMode="External"/><Relationship Id="rId4124" Type="http://schemas.openxmlformats.org/officeDocument/2006/relationships/hyperlink" Target="https://creativecommons.org/licenses/by-nc/4.0/" TargetMode="External"/><Relationship Id="rId4125" Type="http://schemas.openxmlformats.org/officeDocument/2006/relationships/hyperlink" Target="https://www.inaturalist.org/observations/347483047" TargetMode="External"/><Relationship Id="rId4126" Type="http://schemas.openxmlformats.org/officeDocument/2006/relationships/hyperlink" Target="https://www.inaturalist.org/people/peterdejongh5" TargetMode="External"/><Relationship Id="rId4127" Type="http://schemas.openxmlformats.org/officeDocument/2006/relationships/hyperlink" Target="https://creativecommons.org/licenses/by-nc/4.0/" TargetMode="External"/><Relationship Id="rId4128" Type="http://schemas.openxmlformats.org/officeDocument/2006/relationships/hyperlink" Target="https://www.inaturalist.org/observations/346120559" TargetMode="External"/><Relationship Id="rId4129" Type="http://schemas.openxmlformats.org/officeDocument/2006/relationships/hyperlink" Target="https://www.inaturalist.org/people/andrewpavlov" TargetMode="External"/><Relationship Id="rId4130" Type="http://schemas.openxmlformats.org/officeDocument/2006/relationships/hyperlink" Target="https://creativecommons.org/licenses/by-nc/4.0/" TargetMode="External"/><Relationship Id="rId4131" Type="http://schemas.openxmlformats.org/officeDocument/2006/relationships/hyperlink" Target="https://www.inaturalist.org/observations/337914221" TargetMode="External"/><Relationship Id="rId4132" Type="http://schemas.openxmlformats.org/officeDocument/2006/relationships/hyperlink" Target="https://www.inaturalist.org/people/andrewpavlov" TargetMode="External"/><Relationship Id="rId4133" Type="http://schemas.openxmlformats.org/officeDocument/2006/relationships/hyperlink" Target="https://creativecommons.org/licenses/by-nc/4.0/" TargetMode="External"/><Relationship Id="rId4134" Type="http://schemas.openxmlformats.org/officeDocument/2006/relationships/hyperlink" Target="https://www.inaturalist.org/observations/337914221" TargetMode="External"/><Relationship Id="rId4135" Type="http://schemas.openxmlformats.org/officeDocument/2006/relationships/hyperlink" Target="https://www.inaturalist.org/people/nashj_e" TargetMode="External"/><Relationship Id="rId4136" Type="http://schemas.openxmlformats.org/officeDocument/2006/relationships/hyperlink" Target="https://creativecommons.org/licenses/by-nc/4.0/" TargetMode="External"/><Relationship Id="rId4137" Type="http://schemas.openxmlformats.org/officeDocument/2006/relationships/hyperlink" Target="https://www.inaturalist.org/observations/337533201" TargetMode="External"/><Relationship Id="rId4138" Type="http://schemas.openxmlformats.org/officeDocument/2006/relationships/hyperlink" Target="https://www.inaturalist.org/people/charliedv87" TargetMode="External"/><Relationship Id="rId4139" Type="http://schemas.openxmlformats.org/officeDocument/2006/relationships/hyperlink" Target="https://creativecommons.org/licenses/by-nc/4.0/" TargetMode="External"/><Relationship Id="rId4140" Type="http://schemas.openxmlformats.org/officeDocument/2006/relationships/hyperlink" Target="https://www.inaturalist.org/observations/337308475" TargetMode="External"/><Relationship Id="rId4141" Type="http://schemas.openxmlformats.org/officeDocument/2006/relationships/hyperlink" Target="https://www.inaturalist.org/people/mitch_612" TargetMode="External"/><Relationship Id="rId4142" Type="http://schemas.openxmlformats.org/officeDocument/2006/relationships/hyperlink" Target="https://creativecommons.org/licenses/by-nc/4.0/" TargetMode="External"/><Relationship Id="rId4143" Type="http://schemas.openxmlformats.org/officeDocument/2006/relationships/hyperlink" Target="https://www.inaturalist.org/observations/336926138" TargetMode="External"/><Relationship Id="rId4144" Type="http://schemas.openxmlformats.org/officeDocument/2006/relationships/hyperlink" Target="https://www.inaturalist.org/people/harrison_hogden" TargetMode="External"/><Relationship Id="rId4145" Type="http://schemas.openxmlformats.org/officeDocument/2006/relationships/hyperlink" Target="https://creativecommons.org/licenses/by-nc/4.0/" TargetMode="External"/><Relationship Id="rId4146" Type="http://schemas.openxmlformats.org/officeDocument/2006/relationships/hyperlink" Target="https://www.inaturalist.org/observations/336638393" TargetMode="External"/><Relationship Id="rId4147" Type="http://schemas.openxmlformats.org/officeDocument/2006/relationships/hyperlink" Target="https://www.inaturalist.org/people/ray_turnbull" TargetMode="External"/><Relationship Id="rId4148" Type="http://schemas.openxmlformats.org/officeDocument/2006/relationships/hyperlink" Target="https://creativecommons.org/licenses/by-nc/4.0/" TargetMode="External"/><Relationship Id="rId4149" Type="http://schemas.openxmlformats.org/officeDocument/2006/relationships/hyperlink" Target="https://www.inaturalist.org/observations/336030683" TargetMode="External"/><Relationship Id="rId4150" Type="http://schemas.openxmlformats.org/officeDocument/2006/relationships/hyperlink" Target="https://www.inaturalist.org/people/rickshine" TargetMode="External"/><Relationship Id="rId4151" Type="http://schemas.openxmlformats.org/officeDocument/2006/relationships/hyperlink" Target="https://creativecommons.org/licenses/by-nc/4.0/" TargetMode="External"/><Relationship Id="rId4152" Type="http://schemas.openxmlformats.org/officeDocument/2006/relationships/hyperlink" Target="https://www.inaturalist.org/observations/335809474" TargetMode="External"/><Relationship Id="rId4153" Type="http://schemas.openxmlformats.org/officeDocument/2006/relationships/hyperlink" Target="https://www.inaturalist.org/people/gregmccroary" TargetMode="External"/><Relationship Id="rId4154" Type="http://schemas.openxmlformats.org/officeDocument/2006/relationships/hyperlink" Target="https://creativecommons.org/licenses/by-nc/4.0/" TargetMode="External"/><Relationship Id="rId4155" Type="http://schemas.openxmlformats.org/officeDocument/2006/relationships/hyperlink" Target="https://www.inaturalist.org/observations/335632234" TargetMode="External"/><Relationship Id="rId4156" Type="http://schemas.openxmlformats.org/officeDocument/2006/relationships/hyperlink" Target="https://www.inaturalist.org/people/gregmccroary" TargetMode="External"/><Relationship Id="rId4157" Type="http://schemas.openxmlformats.org/officeDocument/2006/relationships/hyperlink" Target="https://creativecommons.org/licenses/by-nc/4.0/" TargetMode="External"/><Relationship Id="rId4158" Type="http://schemas.openxmlformats.org/officeDocument/2006/relationships/hyperlink" Target="https://www.inaturalist.org/observations/335632234" TargetMode="External"/><Relationship Id="rId4159" Type="http://schemas.openxmlformats.org/officeDocument/2006/relationships/hyperlink" Target="https://www.inaturalist.org/people/margot_oorebeek" TargetMode="External"/><Relationship Id="rId4160" Type="http://schemas.openxmlformats.org/officeDocument/2006/relationships/hyperlink" Target="https://creativecommons.org/licenses/by-nc/4.0/" TargetMode="External"/><Relationship Id="rId4161" Type="http://schemas.openxmlformats.org/officeDocument/2006/relationships/hyperlink" Target="https://www.inaturalist.org/observations/335325021" TargetMode="External"/><Relationship Id="rId4162" Type="http://schemas.openxmlformats.org/officeDocument/2006/relationships/hyperlink" Target="https://www.inaturalist.org/people/margot_oorebeek" TargetMode="External"/><Relationship Id="rId4163" Type="http://schemas.openxmlformats.org/officeDocument/2006/relationships/hyperlink" Target="https://creativecommons.org/licenses/by-nc/4.0/" TargetMode="External"/><Relationship Id="rId4164" Type="http://schemas.openxmlformats.org/officeDocument/2006/relationships/hyperlink" Target="https://www.inaturalist.org/observations/335325021" TargetMode="External"/><Relationship Id="rId4165" Type="http://schemas.openxmlformats.org/officeDocument/2006/relationships/hyperlink" Target="https://www.inaturalist.org/people/margot_oorebeek" TargetMode="External"/><Relationship Id="rId4166" Type="http://schemas.openxmlformats.org/officeDocument/2006/relationships/hyperlink" Target="https://creativecommons.org/licenses/by-nc/4.0/" TargetMode="External"/><Relationship Id="rId4167" Type="http://schemas.openxmlformats.org/officeDocument/2006/relationships/hyperlink" Target="https://www.inaturalist.org/observations/335325021" TargetMode="External"/><Relationship Id="rId4168" Type="http://schemas.openxmlformats.org/officeDocument/2006/relationships/hyperlink" Target="https://www.inaturalist.org/people/kevinrothschild" TargetMode="External"/><Relationship Id="rId4169" Type="http://schemas.openxmlformats.org/officeDocument/2006/relationships/hyperlink" Target="https://creativecommons.org/licenses/by-nc/4.0/" TargetMode="External"/><Relationship Id="rId4170" Type="http://schemas.openxmlformats.org/officeDocument/2006/relationships/hyperlink" Target="https://www.inaturalist.org/observations/333660145" TargetMode="External"/><Relationship Id="rId4171" Type="http://schemas.openxmlformats.org/officeDocument/2006/relationships/hyperlink" Target="https://www.inaturalist.org/people/debmetters" TargetMode="External"/><Relationship Id="rId4172" Type="http://schemas.openxmlformats.org/officeDocument/2006/relationships/hyperlink" Target="https://creativecommons.org/licenses/by-nc/4.0/" TargetMode="External"/><Relationship Id="rId4173" Type="http://schemas.openxmlformats.org/officeDocument/2006/relationships/hyperlink" Target="https://www.inaturalist.org/observations/332411415" TargetMode="External"/><Relationship Id="rId4174" Type="http://schemas.openxmlformats.org/officeDocument/2006/relationships/hyperlink" Target="https://www.inaturalist.org/people/marzngard" TargetMode="External"/><Relationship Id="rId4175" Type="http://schemas.openxmlformats.org/officeDocument/2006/relationships/hyperlink" Target="https://creativecommons.org/licenses/by-nc/4.0/" TargetMode="External"/><Relationship Id="rId4176" Type="http://schemas.openxmlformats.org/officeDocument/2006/relationships/hyperlink" Target="https://www.inaturalist.org/observations/331618539" TargetMode="External"/><Relationship Id="rId4177" Type="http://schemas.openxmlformats.org/officeDocument/2006/relationships/hyperlink" Target="https://www.inaturalist.org/people/thewildgtrv" TargetMode="External"/><Relationship Id="rId4178" Type="http://schemas.openxmlformats.org/officeDocument/2006/relationships/hyperlink" Target="https://creativecommons.org/licenses/by-nc/4.0/" TargetMode="External"/><Relationship Id="rId4179" Type="http://schemas.openxmlformats.org/officeDocument/2006/relationships/hyperlink" Target="https://www.inaturalist.org/observations/331498018" TargetMode="External"/><Relationship Id="rId4180" Type="http://schemas.openxmlformats.org/officeDocument/2006/relationships/hyperlink" Target="https://www.inaturalist.org/people/charliedv87" TargetMode="External"/><Relationship Id="rId4181" Type="http://schemas.openxmlformats.org/officeDocument/2006/relationships/hyperlink" Target="https://creativecommons.org/licenses/by-nc/4.0/" TargetMode="External"/><Relationship Id="rId4182" Type="http://schemas.openxmlformats.org/officeDocument/2006/relationships/hyperlink" Target="https://www.inaturalist.org/observations/330705893" TargetMode="External"/><Relationship Id="rId4183" Type="http://schemas.openxmlformats.org/officeDocument/2006/relationships/hyperlink" Target="https://www.inaturalist.org/people/charliedv87" TargetMode="External"/><Relationship Id="rId4184" Type="http://schemas.openxmlformats.org/officeDocument/2006/relationships/hyperlink" Target="https://creativecommons.org/licenses/by-nc/4.0/" TargetMode="External"/><Relationship Id="rId4185" Type="http://schemas.openxmlformats.org/officeDocument/2006/relationships/hyperlink" Target="https://www.inaturalist.org/observations/330705893" TargetMode="External"/><Relationship Id="rId4186" Type="http://schemas.openxmlformats.org/officeDocument/2006/relationships/hyperlink" Target="https://www.inaturalist.org/people/mhocking" TargetMode="External"/><Relationship Id="rId4187" Type="http://schemas.openxmlformats.org/officeDocument/2006/relationships/hyperlink" Target="https://creativecommons.org/licenses/by-nc/4.0/" TargetMode="External"/><Relationship Id="rId4188" Type="http://schemas.openxmlformats.org/officeDocument/2006/relationships/hyperlink" Target="https://www.inaturalist.org/observations/330258316" TargetMode="External"/><Relationship Id="rId4189" Type="http://schemas.openxmlformats.org/officeDocument/2006/relationships/hyperlink" Target="https://www.inaturalist.org/people/nirbnom" TargetMode="External"/><Relationship Id="rId4190" Type="http://schemas.openxmlformats.org/officeDocument/2006/relationships/hyperlink" Target="https://creativecommons.org/licenses/by-nc/4.0/" TargetMode="External"/><Relationship Id="rId4191" Type="http://schemas.openxmlformats.org/officeDocument/2006/relationships/hyperlink" Target="https://www.inaturalist.org/observations/379630561" TargetMode="External"/><Relationship Id="rId4192" Type="http://schemas.openxmlformats.org/officeDocument/2006/relationships/hyperlink" Target="https://www.inaturalist.org/people/davidgwhite" TargetMode="External"/><Relationship Id="rId4193" Type="http://schemas.openxmlformats.org/officeDocument/2006/relationships/hyperlink" Target="https://creativecommons.org/licenses/by-nc/4.0/" TargetMode="External"/><Relationship Id="rId4194" Type="http://schemas.openxmlformats.org/officeDocument/2006/relationships/hyperlink" Target="https://www.inaturalist.org/observations/378956768" TargetMode="External"/><Relationship Id="rId4195" Type="http://schemas.openxmlformats.org/officeDocument/2006/relationships/hyperlink" Target="https://www.inaturalist.org/people/julieward" TargetMode="External"/><Relationship Id="rId4196" Type="http://schemas.openxmlformats.org/officeDocument/2006/relationships/hyperlink" Target="https://creativecommons.org/licenses/by-nc/4.0/" TargetMode="External"/><Relationship Id="rId4197" Type="http://schemas.openxmlformats.org/officeDocument/2006/relationships/hyperlink" Target="https://www.inaturalist.org/observations/378328871" TargetMode="External"/><Relationship Id="rId4198" Type="http://schemas.openxmlformats.org/officeDocument/2006/relationships/hyperlink" Target="https://www.inaturalist.org/people/julieward" TargetMode="External"/><Relationship Id="rId4199" Type="http://schemas.openxmlformats.org/officeDocument/2006/relationships/hyperlink" Target="https://creativecommons.org/licenses/by-nc/4.0/" TargetMode="External"/><Relationship Id="rId4200" Type="http://schemas.openxmlformats.org/officeDocument/2006/relationships/hyperlink" Target="https://www.inaturalist.org/observations/378328871" TargetMode="External"/><Relationship Id="rId4201" Type="http://schemas.openxmlformats.org/officeDocument/2006/relationships/hyperlink" Target="https://www.inaturalist.org/people/mieke_van_der_merwe" TargetMode="External"/><Relationship Id="rId4202" Type="http://schemas.openxmlformats.org/officeDocument/2006/relationships/hyperlink" Target="https://creativecommons.org/licenses/by-nc/4.0/" TargetMode="External"/><Relationship Id="rId4203" Type="http://schemas.openxmlformats.org/officeDocument/2006/relationships/hyperlink" Target="https://www.inaturalist.org/observations/371158471" TargetMode="External"/><Relationship Id="rId4204" Type="http://schemas.openxmlformats.org/officeDocument/2006/relationships/hyperlink" Target="https://www.inaturalist.org/people/davidgwhite" TargetMode="External"/><Relationship Id="rId4205" Type="http://schemas.openxmlformats.org/officeDocument/2006/relationships/hyperlink" Target="https://creativecommons.org/licenses/by-nc/4.0/" TargetMode="External"/><Relationship Id="rId4206" Type="http://schemas.openxmlformats.org/officeDocument/2006/relationships/hyperlink" Target="https://www.inaturalist.org/observations/367319690" TargetMode="External"/><Relationship Id="rId4207" Type="http://schemas.openxmlformats.org/officeDocument/2006/relationships/hyperlink" Target="https://www.inaturalist.org/people/davidgwhite" TargetMode="External"/><Relationship Id="rId4208" Type="http://schemas.openxmlformats.org/officeDocument/2006/relationships/hyperlink" Target="https://creativecommons.org/licenses/by-nc/4.0/" TargetMode="External"/><Relationship Id="rId4209" Type="http://schemas.openxmlformats.org/officeDocument/2006/relationships/hyperlink" Target="https://www.inaturalist.org/observations/367319690" TargetMode="External"/><Relationship Id="rId4210" Type="http://schemas.openxmlformats.org/officeDocument/2006/relationships/hyperlink" Target="https://www.inaturalist.org/people/davidgwhite" TargetMode="External"/><Relationship Id="rId4211" Type="http://schemas.openxmlformats.org/officeDocument/2006/relationships/hyperlink" Target="https://creativecommons.org/licenses/by-nc/4.0/" TargetMode="External"/><Relationship Id="rId4212" Type="http://schemas.openxmlformats.org/officeDocument/2006/relationships/hyperlink" Target="https://www.inaturalist.org/observations/367319690" TargetMode="External"/><Relationship Id="rId4213" Type="http://schemas.openxmlformats.org/officeDocument/2006/relationships/hyperlink" Target="https://www.inaturalist.org/people/davidgwhite" TargetMode="External"/><Relationship Id="rId4214" Type="http://schemas.openxmlformats.org/officeDocument/2006/relationships/hyperlink" Target="https://creativecommons.org/licenses/by-nc/4.0/" TargetMode="External"/><Relationship Id="rId4215" Type="http://schemas.openxmlformats.org/officeDocument/2006/relationships/hyperlink" Target="https://www.inaturalist.org/observations/367319690" TargetMode="External"/><Relationship Id="rId4216" Type="http://schemas.openxmlformats.org/officeDocument/2006/relationships/hyperlink" Target="https://www.inaturalist.org/people/livvy_tyson" TargetMode="External"/><Relationship Id="rId4217" Type="http://schemas.openxmlformats.org/officeDocument/2006/relationships/hyperlink" Target="https://creativecommons.org/licenses/by-nc/4.0/" TargetMode="External"/><Relationship Id="rId4218" Type="http://schemas.openxmlformats.org/officeDocument/2006/relationships/hyperlink" Target="https://www.inaturalist.org/observations/362899660" TargetMode="External"/><Relationship Id="rId4219" Type="http://schemas.openxmlformats.org/officeDocument/2006/relationships/hyperlink" Target="https://www.inaturalist.org/people/livvy_tyson" TargetMode="External"/><Relationship Id="rId4220" Type="http://schemas.openxmlformats.org/officeDocument/2006/relationships/hyperlink" Target="https://creativecommons.org/licenses/by-nc/4.0/" TargetMode="External"/><Relationship Id="rId4221" Type="http://schemas.openxmlformats.org/officeDocument/2006/relationships/hyperlink" Target="https://www.inaturalist.org/observations/361286874" TargetMode="External"/><Relationship Id="rId4222" Type="http://schemas.openxmlformats.org/officeDocument/2006/relationships/hyperlink" Target="https://www.inaturalist.org/people/living_daynagerously" TargetMode="External"/><Relationship Id="rId4223" Type="http://schemas.openxmlformats.org/officeDocument/2006/relationships/hyperlink" Target="https://creativecommons.org/licenses/by-nc/4.0/" TargetMode="External"/><Relationship Id="rId4224" Type="http://schemas.openxmlformats.org/officeDocument/2006/relationships/hyperlink" Target="https://www.inaturalist.org/observations/358561764" TargetMode="External"/><Relationship Id="rId4225" Type="http://schemas.openxmlformats.org/officeDocument/2006/relationships/hyperlink" Target="https://www.inaturalist.org/people/living_daynagerously" TargetMode="External"/><Relationship Id="rId4226" Type="http://schemas.openxmlformats.org/officeDocument/2006/relationships/hyperlink" Target="https://creativecommons.org/licenses/by-nc/4.0/" TargetMode="External"/><Relationship Id="rId4227" Type="http://schemas.openxmlformats.org/officeDocument/2006/relationships/hyperlink" Target="https://www.inaturalist.org/observations/358561764" TargetMode="External"/><Relationship Id="rId4228" Type="http://schemas.openxmlformats.org/officeDocument/2006/relationships/hyperlink" Target="https://www.inaturalist.org/people/sburnett" TargetMode="External"/><Relationship Id="rId4229" Type="http://schemas.openxmlformats.org/officeDocument/2006/relationships/hyperlink" Target="https://creativecommons.org/licenses/by-nc/4.0/" TargetMode="External"/><Relationship Id="rId4230" Type="http://schemas.openxmlformats.org/officeDocument/2006/relationships/hyperlink" Target="https://www.inaturalist.org/observations/342510866" TargetMode="External"/><Relationship Id="rId4231" Type="http://schemas.openxmlformats.org/officeDocument/2006/relationships/hyperlink" Target="https://www.inaturalist.org/people/allthingswildlife2004" TargetMode="External"/><Relationship Id="rId4232" Type="http://schemas.openxmlformats.org/officeDocument/2006/relationships/hyperlink" Target="https://creativecommons.org/licenses/by-nc/4.0/" TargetMode="External"/><Relationship Id="rId4233" Type="http://schemas.openxmlformats.org/officeDocument/2006/relationships/hyperlink" Target="https://www.inaturalist.org/observations/337391665" TargetMode="External"/><Relationship Id="rId4234" Type="http://schemas.openxmlformats.org/officeDocument/2006/relationships/hyperlink" Target="https://www.inaturalist.org/people/alisssssssa" TargetMode="External"/><Relationship Id="rId4235" Type="http://schemas.openxmlformats.org/officeDocument/2006/relationships/hyperlink" Target="https://creativecommons.org/licenses/by-nc/4.0/" TargetMode="External"/><Relationship Id="rId4236" Type="http://schemas.openxmlformats.org/officeDocument/2006/relationships/hyperlink" Target="https://www.inaturalist.org/observations/335675566" TargetMode="External"/><Relationship Id="rId4237" Type="http://schemas.openxmlformats.org/officeDocument/2006/relationships/hyperlink" Target="https://www.inaturalist.org/people/davidgwhite" TargetMode="External"/><Relationship Id="rId4238" Type="http://schemas.openxmlformats.org/officeDocument/2006/relationships/hyperlink" Target="https://creativecommons.org/licenses/by-nc/4.0/" TargetMode="External"/><Relationship Id="rId4239" Type="http://schemas.openxmlformats.org/officeDocument/2006/relationships/hyperlink" Target="https://www.inaturalist.org/observations/333930946" TargetMode="External"/><Relationship Id="rId4240" Type="http://schemas.openxmlformats.org/officeDocument/2006/relationships/hyperlink" Target="https://www.inaturalist.org/people/remiaosborne" TargetMode="External"/><Relationship Id="rId4241" Type="http://schemas.openxmlformats.org/officeDocument/2006/relationships/hyperlink" Target="https://creativecommons.org/licenses/by-nc/4.0/" TargetMode="External"/><Relationship Id="rId4242" Type="http://schemas.openxmlformats.org/officeDocument/2006/relationships/hyperlink" Target="https://www.inaturalist.org/observations/330447365" TargetMode="External"/><Relationship Id="rId4243" Type="http://schemas.openxmlformats.org/officeDocument/2006/relationships/hyperlink" Target="https://www.inaturalist.org/people/remiaosborne" TargetMode="External"/><Relationship Id="rId4244" Type="http://schemas.openxmlformats.org/officeDocument/2006/relationships/hyperlink" Target="https://creativecommons.org/licenses/by-nc/4.0/" TargetMode="External"/><Relationship Id="rId4245" Type="http://schemas.openxmlformats.org/officeDocument/2006/relationships/hyperlink" Target="https://www.inaturalist.org/observations/330447365" TargetMode="External"/><Relationship Id="rId4246" Type="http://schemas.openxmlformats.org/officeDocument/2006/relationships/hyperlink" Target="https://www.inaturalist.org/people/dark_morelia" TargetMode="External"/><Relationship Id="rId4247" Type="http://schemas.openxmlformats.org/officeDocument/2006/relationships/hyperlink" Target="https://creativecommons.org/licenses/by-nc/4.0/" TargetMode="External"/><Relationship Id="rId4248" Type="http://schemas.openxmlformats.org/officeDocument/2006/relationships/hyperlink" Target="https://www.inaturalist.org/observations/329137363" TargetMode="External"/><Relationship Id="rId4249" Type="http://schemas.openxmlformats.org/officeDocument/2006/relationships/hyperlink" Target="https://www.inaturalist.org/people/dark_morelia" TargetMode="External"/><Relationship Id="rId4250" Type="http://schemas.openxmlformats.org/officeDocument/2006/relationships/hyperlink" Target="https://creativecommons.org/licenses/by-nc/4.0/" TargetMode="External"/><Relationship Id="rId4251" Type="http://schemas.openxmlformats.org/officeDocument/2006/relationships/hyperlink" Target="https://www.inaturalist.org/observations/329137363" TargetMode="External"/><Relationship Id="rId4252" Type="http://schemas.openxmlformats.org/officeDocument/2006/relationships/hyperlink" Target="https://www.inaturalist.org/people/remiaosborne" TargetMode="External"/><Relationship Id="rId4253" Type="http://schemas.openxmlformats.org/officeDocument/2006/relationships/hyperlink" Target="https://creativecommons.org/licenses/by-nc/4.0/" TargetMode="External"/><Relationship Id="rId4254" Type="http://schemas.openxmlformats.org/officeDocument/2006/relationships/hyperlink" Target="https://www.inaturalist.org/observations/327812482" TargetMode="External"/><Relationship Id="rId4255" Type="http://schemas.openxmlformats.org/officeDocument/2006/relationships/hyperlink" Target="https://www.inaturalist.org/people/leito19" TargetMode="External"/><Relationship Id="rId4256" Type="http://schemas.openxmlformats.org/officeDocument/2006/relationships/hyperlink" Target="https://creativecommons.org/licenses/by-nc/4.0/" TargetMode="External"/><Relationship Id="rId4257" Type="http://schemas.openxmlformats.org/officeDocument/2006/relationships/hyperlink" Target="https://www.inaturalist.org/observations/322203986" TargetMode="External"/><Relationship Id="rId4258" Type="http://schemas.openxmlformats.org/officeDocument/2006/relationships/hyperlink" Target="https://www.inaturalist.org/people/leito19" TargetMode="External"/><Relationship Id="rId4259" Type="http://schemas.openxmlformats.org/officeDocument/2006/relationships/hyperlink" Target="https://creativecommons.org/licenses/by-nc/4.0/" TargetMode="External"/><Relationship Id="rId4260" Type="http://schemas.openxmlformats.org/officeDocument/2006/relationships/hyperlink" Target="https://www.inaturalist.org/observations/322203986" TargetMode="External"/><Relationship Id="rId4261" Type="http://schemas.openxmlformats.org/officeDocument/2006/relationships/hyperlink" Target="https://www.inaturalist.org/people/axeholmes" TargetMode="External"/><Relationship Id="rId4262" Type="http://schemas.openxmlformats.org/officeDocument/2006/relationships/hyperlink" Target="https://creativecommons.org/licenses/by-nc/4.0/" TargetMode="External"/><Relationship Id="rId4263" Type="http://schemas.openxmlformats.org/officeDocument/2006/relationships/hyperlink" Target="https://www.inaturalist.org/observations/320626465" TargetMode="External"/><Relationship Id="rId4264" Type="http://schemas.openxmlformats.org/officeDocument/2006/relationships/hyperlink" Target="https://www.inaturalist.org/people/grahamarmstrong" TargetMode="External"/><Relationship Id="rId4265" Type="http://schemas.openxmlformats.org/officeDocument/2006/relationships/hyperlink" Target="https://creativecommons.org/licenses/by-nc/4.0/" TargetMode="External"/><Relationship Id="rId4266" Type="http://schemas.openxmlformats.org/officeDocument/2006/relationships/hyperlink" Target="https://www.inaturalist.org/observations/318373738" TargetMode="External"/><Relationship Id="rId4267" Type="http://schemas.openxmlformats.org/officeDocument/2006/relationships/hyperlink" Target="https://www.inaturalist.org/people/jpitcher" TargetMode="External"/><Relationship Id="rId4268" Type="http://schemas.openxmlformats.org/officeDocument/2006/relationships/hyperlink" Target="https://creativecommons.org/licenses/by-nc/4.0/" TargetMode="External"/><Relationship Id="rId4269" Type="http://schemas.openxmlformats.org/officeDocument/2006/relationships/hyperlink" Target="https://www.inaturalist.org/observations/316417454" TargetMode="External"/><Relationship Id="rId4270" Type="http://schemas.openxmlformats.org/officeDocument/2006/relationships/hyperlink" Target="https://www.inaturalist.org/people/mikhab" TargetMode="External"/><Relationship Id="rId4271" Type="http://schemas.openxmlformats.org/officeDocument/2006/relationships/hyperlink" Target="https://creativecommons.org/licenses/by-nc/4.0/" TargetMode="External"/><Relationship Id="rId4272" Type="http://schemas.openxmlformats.org/officeDocument/2006/relationships/hyperlink" Target="https://www.inaturalist.org/observations/312594501" TargetMode="External"/><Relationship Id="rId4273" Type="http://schemas.openxmlformats.org/officeDocument/2006/relationships/hyperlink" Target="https://www.inaturalist.org/people/patrickcoleman" TargetMode="External"/><Relationship Id="rId4274" Type="http://schemas.openxmlformats.org/officeDocument/2006/relationships/hyperlink" Target="https://creativecommons.org/licenses/by-nc/4.0/" TargetMode="External"/><Relationship Id="rId4275" Type="http://schemas.openxmlformats.org/officeDocument/2006/relationships/hyperlink" Target="https://www.inaturalist.org/observations/309617136" TargetMode="External"/><Relationship Id="rId4276" Type="http://schemas.openxmlformats.org/officeDocument/2006/relationships/hyperlink" Target="https://www.inaturalist.org/people/patrickcoleman" TargetMode="External"/><Relationship Id="rId4277" Type="http://schemas.openxmlformats.org/officeDocument/2006/relationships/hyperlink" Target="https://creativecommons.org/licenses/by-nc/4.0/" TargetMode="External"/><Relationship Id="rId4278" Type="http://schemas.openxmlformats.org/officeDocument/2006/relationships/hyperlink" Target="https://www.inaturalist.org/observations/309617136" TargetMode="External"/><Relationship Id="rId4279" Type="http://schemas.openxmlformats.org/officeDocument/2006/relationships/hyperlink" Target="https://www.inaturalist.org/people/aleckarcz" TargetMode="External"/><Relationship Id="rId4280" Type="http://schemas.openxmlformats.org/officeDocument/2006/relationships/hyperlink" Target="https://creativecommons.org/licenses/by-nc/4.0/" TargetMode="External"/><Relationship Id="rId4281" Type="http://schemas.openxmlformats.org/officeDocument/2006/relationships/hyperlink" Target="https://www.inaturalist.org/observations/280936396" TargetMode="External"/><Relationship Id="rId4282" Type="http://schemas.openxmlformats.org/officeDocument/2006/relationships/hyperlink" Target="https://www.inaturalist.org/people/fnqnaturetours" TargetMode="External"/><Relationship Id="rId4283" Type="http://schemas.openxmlformats.org/officeDocument/2006/relationships/hyperlink" Target="https://creativecommons.org/licenses/by-nc/4.0/" TargetMode="External"/><Relationship Id="rId4284" Type="http://schemas.openxmlformats.org/officeDocument/2006/relationships/hyperlink" Target="https://www.inaturalist.org/observations/260782853" TargetMode="External"/><Relationship Id="rId4285" Type="http://schemas.openxmlformats.org/officeDocument/2006/relationships/hyperlink" Target="https://www.inaturalist.org/people/aleckarcz" TargetMode="External"/><Relationship Id="rId4286" Type="http://schemas.openxmlformats.org/officeDocument/2006/relationships/hyperlink" Target="https://creativecommons.org/licenses/by-nc/4.0/" TargetMode="External"/><Relationship Id="rId4287" Type="http://schemas.openxmlformats.org/officeDocument/2006/relationships/hyperlink" Target="https://www.inaturalist.org/observations/242993339" TargetMode="External"/><Relationship Id="rId4288" Type="http://schemas.openxmlformats.org/officeDocument/2006/relationships/hyperlink" Target="https://www.inaturalist.org/people/riki_paleatus" TargetMode="External"/><Relationship Id="rId4289" Type="http://schemas.openxmlformats.org/officeDocument/2006/relationships/hyperlink" Target="https://creativecommons.org/licenses/by-nc/4.0/" TargetMode="External"/><Relationship Id="rId4290" Type="http://schemas.openxmlformats.org/officeDocument/2006/relationships/hyperlink" Target="https://www.inaturalist.org/observations/227044626" TargetMode="External"/><Relationship Id="rId4291" Type="http://schemas.openxmlformats.org/officeDocument/2006/relationships/hyperlink" Target="https://www.inaturalist.org/people/matthew_connors" TargetMode="External"/><Relationship Id="rId4292" Type="http://schemas.openxmlformats.org/officeDocument/2006/relationships/hyperlink" Target="https://creativecommons.org/licenses/by-nc/4.0/" TargetMode="External"/><Relationship Id="rId4293" Type="http://schemas.openxmlformats.org/officeDocument/2006/relationships/hyperlink" Target="https://www.inaturalist.org/observations/209243039" TargetMode="External"/><Relationship Id="rId4294" Type="http://schemas.openxmlformats.org/officeDocument/2006/relationships/hyperlink" Target="https://www.inaturalist.org/people/roxylaz" TargetMode="External"/><Relationship Id="rId4295" Type="http://schemas.openxmlformats.org/officeDocument/2006/relationships/hyperlink" Target="https://creativecommons.org/licenses/by-nc/4.0/" TargetMode="External"/><Relationship Id="rId4296" Type="http://schemas.openxmlformats.org/officeDocument/2006/relationships/hyperlink" Target="https://www.inaturalist.org/observations/365936433" TargetMode="External"/><Relationship Id="rId4297" Type="http://schemas.openxmlformats.org/officeDocument/2006/relationships/hyperlink" Target="https://www.inaturalist.org/people/roxylaz" TargetMode="External"/><Relationship Id="rId4298" Type="http://schemas.openxmlformats.org/officeDocument/2006/relationships/hyperlink" Target="https://creativecommons.org/licenses/by-nc/4.0/" TargetMode="External"/><Relationship Id="rId4299" Type="http://schemas.openxmlformats.org/officeDocument/2006/relationships/hyperlink" Target="https://www.inaturalist.org/observations/365936433" TargetMode="External"/><Relationship Id="rId4300" Type="http://schemas.openxmlformats.org/officeDocument/2006/relationships/hyperlink" Target="https://www.inaturalist.org/people/axeholmes" TargetMode="External"/><Relationship Id="rId4301" Type="http://schemas.openxmlformats.org/officeDocument/2006/relationships/hyperlink" Target="https://creativecommons.org/licenses/by-nc/4.0/" TargetMode="External"/><Relationship Id="rId4302" Type="http://schemas.openxmlformats.org/officeDocument/2006/relationships/hyperlink" Target="https://www.inaturalist.org/observations/362716153" TargetMode="External"/><Relationship Id="rId4303" Type="http://schemas.openxmlformats.org/officeDocument/2006/relationships/hyperlink" Target="https://www.inaturalist.org/people/albonez" TargetMode="External"/><Relationship Id="rId4304" Type="http://schemas.openxmlformats.org/officeDocument/2006/relationships/hyperlink" Target="https://creativecommons.org/licenses/by-nc/4.0/" TargetMode="External"/><Relationship Id="rId4305" Type="http://schemas.openxmlformats.org/officeDocument/2006/relationships/hyperlink" Target="https://www.inaturalist.org/observations/357497565" TargetMode="External"/><Relationship Id="rId4306" Type="http://schemas.openxmlformats.org/officeDocument/2006/relationships/hyperlink" Target="https://www.inaturalist.org/people/elocyn" TargetMode="External"/><Relationship Id="rId4307" Type="http://schemas.openxmlformats.org/officeDocument/2006/relationships/hyperlink" Target="https://creativecommons.org/licenses/by-nc/4.0/" TargetMode="External"/><Relationship Id="rId4308" Type="http://schemas.openxmlformats.org/officeDocument/2006/relationships/hyperlink" Target="https://www.inaturalist.org/observations/353090967" TargetMode="External"/><Relationship Id="rId4309" Type="http://schemas.openxmlformats.org/officeDocument/2006/relationships/hyperlink" Target="https://www.inaturalist.org/people/elocyn" TargetMode="External"/><Relationship Id="rId4310" Type="http://schemas.openxmlformats.org/officeDocument/2006/relationships/hyperlink" Target="https://creativecommons.org/licenses/by-nc/4.0/" TargetMode="External"/><Relationship Id="rId4311" Type="http://schemas.openxmlformats.org/officeDocument/2006/relationships/hyperlink" Target="https://www.inaturalist.org/observations/351696368" TargetMode="External"/><Relationship Id="rId4312" Type="http://schemas.openxmlformats.org/officeDocument/2006/relationships/hyperlink" Target="https://www.inaturalist.org/people/anatinus" TargetMode="External"/><Relationship Id="rId4313" Type="http://schemas.openxmlformats.org/officeDocument/2006/relationships/hyperlink" Target="https://creativecommons.org/licenses/by-nc/4.0/" TargetMode="External"/><Relationship Id="rId4314" Type="http://schemas.openxmlformats.org/officeDocument/2006/relationships/hyperlink" Target="https://www.inaturalist.org/observations/346445399" TargetMode="External"/><Relationship Id="rId4315" Type="http://schemas.openxmlformats.org/officeDocument/2006/relationships/hyperlink" Target="https://www.inaturalist.org/people/khensen" TargetMode="External"/><Relationship Id="rId4316" Type="http://schemas.openxmlformats.org/officeDocument/2006/relationships/hyperlink" Target="https://creativecommons.org/licenses/by-nc/4.0/" TargetMode="External"/><Relationship Id="rId4317" Type="http://schemas.openxmlformats.org/officeDocument/2006/relationships/hyperlink" Target="https://www.inaturalist.org/observations/339014183" TargetMode="External"/><Relationship Id="rId4318" Type="http://schemas.openxmlformats.org/officeDocument/2006/relationships/hyperlink" Target="https://www.inaturalist.org/people/moocattle" TargetMode="External"/><Relationship Id="rId4319" Type="http://schemas.openxmlformats.org/officeDocument/2006/relationships/hyperlink" Target="https://creativecommons.org/licenses/by-nc/4.0/" TargetMode="External"/><Relationship Id="rId4320" Type="http://schemas.openxmlformats.org/officeDocument/2006/relationships/hyperlink" Target="https://www.inaturalist.org/observations/338395552" TargetMode="External"/><Relationship Id="rId4321" Type="http://schemas.openxmlformats.org/officeDocument/2006/relationships/hyperlink" Target="https://www.inaturalist.org/people/dbrhplcd" TargetMode="External"/><Relationship Id="rId4322" Type="http://schemas.openxmlformats.org/officeDocument/2006/relationships/hyperlink" Target="https://creativecommons.org/licenses/by-nc/4.0/" TargetMode="External"/><Relationship Id="rId4323" Type="http://schemas.openxmlformats.org/officeDocument/2006/relationships/hyperlink" Target="https://www.inaturalist.org/observations/336568284" TargetMode="External"/><Relationship Id="rId4324" Type="http://schemas.openxmlformats.org/officeDocument/2006/relationships/hyperlink" Target="https://www.inaturalist.org/people/dbrhplcd" TargetMode="External"/><Relationship Id="rId4325" Type="http://schemas.openxmlformats.org/officeDocument/2006/relationships/hyperlink" Target="https://creativecommons.org/licenses/by-nc/4.0/" TargetMode="External"/><Relationship Id="rId4326" Type="http://schemas.openxmlformats.org/officeDocument/2006/relationships/hyperlink" Target="https://www.inaturalist.org/observations/336520572" TargetMode="External"/><Relationship Id="rId4327" Type="http://schemas.openxmlformats.org/officeDocument/2006/relationships/hyperlink" Target="https://www.inaturalist.org/people/tanyahattingh" TargetMode="External"/><Relationship Id="rId4328" Type="http://schemas.openxmlformats.org/officeDocument/2006/relationships/hyperlink" Target="https://creativecommons.org/licenses/by-nc/4.0/" TargetMode="External"/><Relationship Id="rId4329" Type="http://schemas.openxmlformats.org/officeDocument/2006/relationships/hyperlink" Target="https://www.inaturalist.org/observations/333823393" TargetMode="External"/><Relationship Id="rId4330" Type="http://schemas.openxmlformats.org/officeDocument/2006/relationships/hyperlink" Target="https://www.inaturalist.org/people/jules_farquhar" TargetMode="External"/><Relationship Id="rId4331" Type="http://schemas.openxmlformats.org/officeDocument/2006/relationships/hyperlink" Target="https://creativecommons.org/licenses/by-nc/4.0/" TargetMode="External"/><Relationship Id="rId4332" Type="http://schemas.openxmlformats.org/officeDocument/2006/relationships/hyperlink" Target="https://www.inaturalist.org/observations/327216060" TargetMode="External"/><Relationship Id="rId4333" Type="http://schemas.openxmlformats.org/officeDocument/2006/relationships/hyperlink" Target="https://www.inaturalist.org/people/jacopo_cristoni" TargetMode="External"/><Relationship Id="rId4334" Type="http://schemas.openxmlformats.org/officeDocument/2006/relationships/hyperlink" Target="https://creativecommons.org/licenses/by-nc/4.0/" TargetMode="External"/><Relationship Id="rId4335" Type="http://schemas.openxmlformats.org/officeDocument/2006/relationships/hyperlink" Target="https://www.inaturalist.org/observations/318165910" TargetMode="External"/><Relationship Id="rId4336" Type="http://schemas.openxmlformats.org/officeDocument/2006/relationships/hyperlink" Target="https://www.inaturalist.org/people/edwardsjn" TargetMode="External"/><Relationship Id="rId4337" Type="http://schemas.openxmlformats.org/officeDocument/2006/relationships/hyperlink" Target="https://creativecommons.org/licenses/by-nc/4.0/" TargetMode="External"/><Relationship Id="rId4338" Type="http://schemas.openxmlformats.org/officeDocument/2006/relationships/hyperlink" Target="https://www.inaturalist.org/observations/317670027" TargetMode="External"/><Relationship Id="rId4339" Type="http://schemas.openxmlformats.org/officeDocument/2006/relationships/hyperlink" Target="https://www.inaturalist.org/people/tmyknckr" TargetMode="External"/><Relationship Id="rId4340" Type="http://schemas.openxmlformats.org/officeDocument/2006/relationships/hyperlink" Target="https://creativecommons.org/licenses/by-nc/4.0/" TargetMode="External"/><Relationship Id="rId4341" Type="http://schemas.openxmlformats.org/officeDocument/2006/relationships/hyperlink" Target="https://www.inaturalist.org/observations/312594679" TargetMode="External"/><Relationship Id="rId4342" Type="http://schemas.openxmlformats.org/officeDocument/2006/relationships/hyperlink" Target="https://www.inaturalist.org/people/lachlan_c" TargetMode="External"/><Relationship Id="rId4343" Type="http://schemas.openxmlformats.org/officeDocument/2006/relationships/hyperlink" Target="https://creativecommons.org/licenses/by-nc/4.0/" TargetMode="External"/><Relationship Id="rId4344" Type="http://schemas.openxmlformats.org/officeDocument/2006/relationships/hyperlink" Target="https://www.inaturalist.org/observations/309171984" TargetMode="External"/><Relationship Id="rId4345" Type="http://schemas.openxmlformats.org/officeDocument/2006/relationships/hyperlink" Target="https://www.inaturalist.org/people/rubynats" TargetMode="External"/><Relationship Id="rId4346" Type="http://schemas.openxmlformats.org/officeDocument/2006/relationships/hyperlink" Target="https://creativecommons.org/licenses/by-nc/4.0/" TargetMode="External"/><Relationship Id="rId4347" Type="http://schemas.openxmlformats.org/officeDocument/2006/relationships/hyperlink" Target="https://www.inaturalist.org/observations/290370990" TargetMode="External"/><Relationship Id="rId4348" Type="http://schemas.openxmlformats.org/officeDocument/2006/relationships/hyperlink" Target="https://www.inaturalist.org/people/margot_oorebeek" TargetMode="External"/><Relationship Id="rId4349" Type="http://schemas.openxmlformats.org/officeDocument/2006/relationships/hyperlink" Target="https://creativecommons.org/licenses/by-nc/4.0/" TargetMode="External"/><Relationship Id="rId4350" Type="http://schemas.openxmlformats.org/officeDocument/2006/relationships/hyperlink" Target="https://www.inaturalist.org/observations/283853889" TargetMode="External"/><Relationship Id="rId4351" Type="http://schemas.openxmlformats.org/officeDocument/2006/relationships/hyperlink" Target="https://www.inaturalist.org/people/brendancasey" TargetMode="External"/><Relationship Id="rId4352" Type="http://schemas.openxmlformats.org/officeDocument/2006/relationships/hyperlink" Target="https://creativecommons.org/licenses/by-nc/4.0/" TargetMode="External"/><Relationship Id="rId4353" Type="http://schemas.openxmlformats.org/officeDocument/2006/relationships/hyperlink" Target="https://www.inaturalist.org/observations/263150103" TargetMode="External"/><Relationship Id="rId4354" Type="http://schemas.openxmlformats.org/officeDocument/2006/relationships/hyperlink" Target="https://www.inaturalist.org/people/brendancasey" TargetMode="External"/><Relationship Id="rId4355" Type="http://schemas.openxmlformats.org/officeDocument/2006/relationships/hyperlink" Target="https://creativecommons.org/licenses/by-nc/4.0/" TargetMode="External"/><Relationship Id="rId4356" Type="http://schemas.openxmlformats.org/officeDocument/2006/relationships/hyperlink" Target="https://www.inaturalist.org/observations/263150103" TargetMode="External"/><Relationship Id="rId4357" Type="http://schemas.openxmlformats.org/officeDocument/2006/relationships/hyperlink" Target="https://www.inaturalist.org/people/velocitams" TargetMode="External"/><Relationship Id="rId4358" Type="http://schemas.openxmlformats.org/officeDocument/2006/relationships/hyperlink" Target="https://creativecommons.org/licenses/by-nc/4.0/" TargetMode="External"/><Relationship Id="rId4359" Type="http://schemas.openxmlformats.org/officeDocument/2006/relationships/hyperlink" Target="https://www.inaturalist.org/observations/254688161" TargetMode="External"/><Relationship Id="rId4360" Type="http://schemas.openxmlformats.org/officeDocument/2006/relationships/hyperlink" Target="https://www.inaturalist.org/people/jordan_a_mulder" TargetMode="External"/><Relationship Id="rId4361" Type="http://schemas.openxmlformats.org/officeDocument/2006/relationships/hyperlink" Target="https://creativecommons.org/licenses/by-nc/4.0/" TargetMode="External"/><Relationship Id="rId4362" Type="http://schemas.openxmlformats.org/officeDocument/2006/relationships/hyperlink" Target="https://www.inaturalist.org/observations/249750471" TargetMode="External"/><Relationship Id="rId4363" Type="http://schemas.openxmlformats.org/officeDocument/2006/relationships/hyperlink" Target="https://www.inaturalist.org/people/jmag1" TargetMode="External"/><Relationship Id="rId4364" Type="http://schemas.openxmlformats.org/officeDocument/2006/relationships/hyperlink" Target="https://creativecommons.org/licenses/by-nc/4.0/" TargetMode="External"/><Relationship Id="rId4365" Type="http://schemas.openxmlformats.org/officeDocument/2006/relationships/hyperlink" Target="https://www.inaturalist.org/observations/236430013" TargetMode="External"/><Relationship Id="rId4366" Type="http://schemas.openxmlformats.org/officeDocument/2006/relationships/hyperlink" Target="https://www.inaturalist.org/people/jmag1" TargetMode="External"/><Relationship Id="rId4367" Type="http://schemas.openxmlformats.org/officeDocument/2006/relationships/hyperlink" Target="https://creativecommons.org/licenses/by-nc/4.0/" TargetMode="External"/><Relationship Id="rId4368" Type="http://schemas.openxmlformats.org/officeDocument/2006/relationships/hyperlink" Target="https://www.inaturalist.org/observations/236430013" TargetMode="External"/><Relationship Id="rId4369" Type="http://schemas.openxmlformats.org/officeDocument/2006/relationships/hyperlink" Target="https://www.inaturalist.org/people/danicalockett" TargetMode="External"/><Relationship Id="rId4370" Type="http://schemas.openxmlformats.org/officeDocument/2006/relationships/hyperlink" Target="https://creativecommons.org/licenses/by-nc/4.0/" TargetMode="External"/><Relationship Id="rId4371" Type="http://schemas.openxmlformats.org/officeDocument/2006/relationships/hyperlink" Target="https://www.inaturalist.org/observations/229670893" TargetMode="External"/><Relationship Id="rId4372" Type="http://schemas.openxmlformats.org/officeDocument/2006/relationships/hyperlink" Target="https://www.inaturalist.org/people/danicalockett" TargetMode="External"/><Relationship Id="rId4373" Type="http://schemas.openxmlformats.org/officeDocument/2006/relationships/hyperlink" Target="https://creativecommons.org/licenses/by-nc/4.0/" TargetMode="External"/><Relationship Id="rId4374" Type="http://schemas.openxmlformats.org/officeDocument/2006/relationships/hyperlink" Target="https://www.inaturalist.org/observations/229670893" TargetMode="External"/><Relationship Id="rId4375" Type="http://schemas.openxmlformats.org/officeDocument/2006/relationships/hyperlink" Target="https://www.inaturalist.org/people/jordanaquilina" TargetMode="External"/><Relationship Id="rId4376" Type="http://schemas.openxmlformats.org/officeDocument/2006/relationships/hyperlink" Target="https://creativecommons.org/licenses/by-nc/4.0/" TargetMode="External"/><Relationship Id="rId4377" Type="http://schemas.openxmlformats.org/officeDocument/2006/relationships/hyperlink" Target="https://www.inaturalist.org/observations/203414088" TargetMode="External"/><Relationship Id="rId4378" Type="http://schemas.openxmlformats.org/officeDocument/2006/relationships/hyperlink" Target="https://www.inaturalist.org/people/lucegoose" TargetMode="External"/><Relationship Id="rId4379" Type="http://schemas.openxmlformats.org/officeDocument/2006/relationships/hyperlink" Target="https://creativecommons.org/licenses/by-nc/4.0/" TargetMode="External"/><Relationship Id="rId4380" Type="http://schemas.openxmlformats.org/officeDocument/2006/relationships/hyperlink" Target="https://www.inaturalist.org/observations/193874096" TargetMode="External"/><Relationship Id="rId4381" Type="http://schemas.openxmlformats.org/officeDocument/2006/relationships/hyperlink" Target="https://www.inaturalist.org/people/adelaidef19" TargetMode="External"/><Relationship Id="rId4382" Type="http://schemas.openxmlformats.org/officeDocument/2006/relationships/hyperlink" Target="https://creativecommons.org/licenses/by-nc/4.0/" TargetMode="External"/><Relationship Id="rId4383" Type="http://schemas.openxmlformats.org/officeDocument/2006/relationships/hyperlink" Target="https://www.inaturalist.org/observations/149713697" TargetMode="External"/><Relationship Id="rId4384" Type="http://schemas.openxmlformats.org/officeDocument/2006/relationships/hyperlink" Target="https://www.inaturalist.org/people/adelaidef19" TargetMode="External"/><Relationship Id="rId4385" Type="http://schemas.openxmlformats.org/officeDocument/2006/relationships/hyperlink" Target="https://creativecommons.org/licenses/by-nc/4.0/" TargetMode="External"/><Relationship Id="rId4386" Type="http://schemas.openxmlformats.org/officeDocument/2006/relationships/hyperlink" Target="https://www.inaturalist.org/observations/149713697" TargetMode="External"/><Relationship Id="rId4387" Type="http://schemas.openxmlformats.org/officeDocument/2006/relationships/hyperlink" Target="https://www.inaturalist.org/people/morgan-rae" TargetMode="External"/><Relationship Id="rId4388" Type="http://schemas.openxmlformats.org/officeDocument/2006/relationships/hyperlink" Target="https://creativecommons.org/licenses/by-nc/4.0/" TargetMode="External"/><Relationship Id="rId4389" Type="http://schemas.openxmlformats.org/officeDocument/2006/relationships/hyperlink" Target="https://www.inaturalist.org/observations/141783489" TargetMode="External"/><Relationship Id="rId4390" Type="http://schemas.openxmlformats.org/officeDocument/2006/relationships/hyperlink" Target="https://www.inaturalist.org/people/danpvdb" TargetMode="External"/><Relationship Id="rId4391" Type="http://schemas.openxmlformats.org/officeDocument/2006/relationships/hyperlink" Target="https://creativecommons.org/licenses/by-nc/4.0/" TargetMode="External"/><Relationship Id="rId4392" Type="http://schemas.openxmlformats.org/officeDocument/2006/relationships/hyperlink" Target="https://www.inaturalist.org/observations/138541435" TargetMode="External"/><Relationship Id="rId4393" Type="http://schemas.openxmlformats.org/officeDocument/2006/relationships/hyperlink" Target="https://www.inaturalist.org/people/kingbrown87" TargetMode="External"/><Relationship Id="rId4394" Type="http://schemas.openxmlformats.org/officeDocument/2006/relationships/hyperlink" Target="https://creativecommons.org/licenses/by-nc/4.0/" TargetMode="External"/><Relationship Id="rId4395" Type="http://schemas.openxmlformats.org/officeDocument/2006/relationships/hyperlink" Target="https://www.inaturalist.org/observations/135046668" TargetMode="External"/><Relationship Id="rId4396" Type="http://schemas.openxmlformats.org/officeDocument/2006/relationships/hyperlink" Target="https://www.inaturalist.org/people/cryptidbones" TargetMode="External"/><Relationship Id="rId4397" Type="http://schemas.openxmlformats.org/officeDocument/2006/relationships/hyperlink" Target="https://creativecommons.org/licenses/by-nc/4.0/" TargetMode="External"/><Relationship Id="rId4398" Type="http://schemas.openxmlformats.org/officeDocument/2006/relationships/hyperlink" Target="https://www.inaturalist.org/observations/110745828" TargetMode="External"/><Relationship Id="rId4399" Type="http://schemas.openxmlformats.org/officeDocument/2006/relationships/hyperlink" Target="https://www.inaturalist.org/people/trasp" TargetMode="External"/><Relationship Id="rId4400" Type="http://schemas.openxmlformats.org/officeDocument/2006/relationships/hyperlink" Target="https://creativecommons.org/licenses/by-nc/4.0/" TargetMode="External"/><Relationship Id="rId4401" Type="http://schemas.openxmlformats.org/officeDocument/2006/relationships/hyperlink" Target="https://www.inaturalist.org/observations/378730440" TargetMode="External"/><Relationship Id="rId4402" Type="http://schemas.openxmlformats.org/officeDocument/2006/relationships/hyperlink" Target="https://www.inaturalist.org/people/trasp" TargetMode="External"/><Relationship Id="rId4403" Type="http://schemas.openxmlformats.org/officeDocument/2006/relationships/hyperlink" Target="https://creativecommons.org/licenses/by-nc/4.0/" TargetMode="External"/><Relationship Id="rId4404" Type="http://schemas.openxmlformats.org/officeDocument/2006/relationships/hyperlink" Target="https://www.inaturalist.org/observations/378730440" TargetMode="External"/><Relationship Id="rId4405" Type="http://schemas.openxmlformats.org/officeDocument/2006/relationships/hyperlink" Target="https://www.inaturalist.org/people/chris_dunning" TargetMode="External"/><Relationship Id="rId4406" Type="http://schemas.openxmlformats.org/officeDocument/2006/relationships/hyperlink" Target="https://creativecommons.org/licenses/by-nc/4.0/" TargetMode="External"/><Relationship Id="rId4407" Type="http://schemas.openxmlformats.org/officeDocument/2006/relationships/hyperlink" Target="https://www.inaturalist.org/observations/372894665" TargetMode="External"/><Relationship Id="rId4408" Type="http://schemas.openxmlformats.org/officeDocument/2006/relationships/hyperlink" Target="https://www.inaturalist.org/people/jake-lovell98" TargetMode="External"/><Relationship Id="rId4409" Type="http://schemas.openxmlformats.org/officeDocument/2006/relationships/hyperlink" Target="https://creativecommons.org/licenses/by-nc/4.0/" TargetMode="External"/><Relationship Id="rId4410" Type="http://schemas.openxmlformats.org/officeDocument/2006/relationships/hyperlink" Target="https://www.inaturalist.org/observations/372201455" TargetMode="External"/><Relationship Id="rId4411" Type="http://schemas.openxmlformats.org/officeDocument/2006/relationships/hyperlink" Target="https://www.inaturalist.org/people/jake-lovell98" TargetMode="External"/><Relationship Id="rId4412" Type="http://schemas.openxmlformats.org/officeDocument/2006/relationships/hyperlink" Target="https://creativecommons.org/licenses/by-nc/4.0/" TargetMode="External"/><Relationship Id="rId4413" Type="http://schemas.openxmlformats.org/officeDocument/2006/relationships/hyperlink" Target="https://www.inaturalist.org/observations/372201455" TargetMode="External"/><Relationship Id="rId4414" Type="http://schemas.openxmlformats.org/officeDocument/2006/relationships/hyperlink" Target="https://www.inaturalist.org/people/millyinthebush" TargetMode="External"/><Relationship Id="rId4415" Type="http://schemas.openxmlformats.org/officeDocument/2006/relationships/hyperlink" Target="https://creativecommons.org/licenses/by-nc/4.0/" TargetMode="External"/><Relationship Id="rId4416" Type="http://schemas.openxmlformats.org/officeDocument/2006/relationships/hyperlink" Target="https://www.inaturalist.org/observations/370465950" TargetMode="External"/><Relationship Id="rId4417" Type="http://schemas.openxmlformats.org/officeDocument/2006/relationships/hyperlink" Target="https://www.inaturalist.org/people/wanderingeco" TargetMode="External"/><Relationship Id="rId4418" Type="http://schemas.openxmlformats.org/officeDocument/2006/relationships/hyperlink" Target="https://creativecommons.org/licenses/by-nc/4.0/" TargetMode="External"/><Relationship Id="rId4419" Type="http://schemas.openxmlformats.org/officeDocument/2006/relationships/hyperlink" Target="https://www.inaturalist.org/observations/369574123" TargetMode="External"/><Relationship Id="rId4420" Type="http://schemas.openxmlformats.org/officeDocument/2006/relationships/hyperlink" Target="https://www.inaturalist.org/people/lucbenper" TargetMode="External"/><Relationship Id="rId4421" Type="http://schemas.openxmlformats.org/officeDocument/2006/relationships/hyperlink" Target="https://creativecommons.org/licenses/by-nc/4.0/" TargetMode="External"/><Relationship Id="rId4422" Type="http://schemas.openxmlformats.org/officeDocument/2006/relationships/hyperlink" Target="https://www.inaturalist.org/observations/367697627" TargetMode="External"/><Relationship Id="rId4423" Type="http://schemas.openxmlformats.org/officeDocument/2006/relationships/hyperlink" Target="https://www.inaturalist.org/people/edwardsjn" TargetMode="External"/><Relationship Id="rId4424" Type="http://schemas.openxmlformats.org/officeDocument/2006/relationships/hyperlink" Target="https://creativecommons.org/licenses/by-nc/4.0/" TargetMode="External"/><Relationship Id="rId4425" Type="http://schemas.openxmlformats.org/officeDocument/2006/relationships/hyperlink" Target="https://www.inaturalist.org/observations/363203076" TargetMode="External"/><Relationship Id="rId4426" Type="http://schemas.openxmlformats.org/officeDocument/2006/relationships/hyperlink" Target="https://www.inaturalist.org/people/j_beatts" TargetMode="External"/><Relationship Id="rId4427" Type="http://schemas.openxmlformats.org/officeDocument/2006/relationships/hyperlink" Target="https://creativecommons.org/licenses/by-nc/4.0/" TargetMode="External"/><Relationship Id="rId4428" Type="http://schemas.openxmlformats.org/officeDocument/2006/relationships/hyperlink" Target="https://www.inaturalist.org/observations/361147043" TargetMode="External"/><Relationship Id="rId4429" Type="http://schemas.openxmlformats.org/officeDocument/2006/relationships/hyperlink" Target="https://www.inaturalist.org/people/meggiew" TargetMode="External"/><Relationship Id="rId4430" Type="http://schemas.openxmlformats.org/officeDocument/2006/relationships/hyperlink" Target="https://creativecommons.org/licenses/by-nc/4.0/" TargetMode="External"/><Relationship Id="rId4431" Type="http://schemas.openxmlformats.org/officeDocument/2006/relationships/hyperlink" Target="https://www.inaturalist.org/observations/356501868" TargetMode="External"/><Relationship Id="rId4432" Type="http://schemas.openxmlformats.org/officeDocument/2006/relationships/hyperlink" Target="https://www.inaturalist.org/people/jasvink" TargetMode="External"/><Relationship Id="rId4433" Type="http://schemas.openxmlformats.org/officeDocument/2006/relationships/hyperlink" Target="https://creativecommons.org/licenses/by-nc/4.0/" TargetMode="External"/><Relationship Id="rId4434" Type="http://schemas.openxmlformats.org/officeDocument/2006/relationships/hyperlink" Target="https://www.inaturalist.org/observations/350483505" TargetMode="External"/><Relationship Id="rId4435" Type="http://schemas.openxmlformats.org/officeDocument/2006/relationships/hyperlink" Target="https://www.inaturalist.org/people/richardllewellyn" TargetMode="External"/><Relationship Id="rId4436" Type="http://schemas.openxmlformats.org/officeDocument/2006/relationships/hyperlink" Target="https://creativecommons.org/licenses/by-nc/4.0/" TargetMode="External"/><Relationship Id="rId4437" Type="http://schemas.openxmlformats.org/officeDocument/2006/relationships/hyperlink" Target="https://www.inaturalist.org/observations/349971047" TargetMode="External"/><Relationship Id="rId4438" Type="http://schemas.openxmlformats.org/officeDocument/2006/relationships/hyperlink" Target="https://www.inaturalist.org/people/blake_fittler" TargetMode="External"/><Relationship Id="rId4439" Type="http://schemas.openxmlformats.org/officeDocument/2006/relationships/hyperlink" Target="https://creativecommons.org/licenses/by-nc/4.0/" TargetMode="External"/><Relationship Id="rId4440" Type="http://schemas.openxmlformats.org/officeDocument/2006/relationships/hyperlink" Target="https://www.inaturalist.org/observations/348038285" TargetMode="External"/><Relationship Id="rId4441" Type="http://schemas.openxmlformats.org/officeDocument/2006/relationships/hyperlink" Target="https://www.inaturalist.org/people/willjmatthews04" TargetMode="External"/><Relationship Id="rId4442" Type="http://schemas.openxmlformats.org/officeDocument/2006/relationships/hyperlink" Target="https://creativecommons.org/licenses/by-nc/4.0/" TargetMode="External"/><Relationship Id="rId4443" Type="http://schemas.openxmlformats.org/officeDocument/2006/relationships/hyperlink" Target="https://www.inaturalist.org/observations/347975194" TargetMode="External"/><Relationship Id="rId4444" Type="http://schemas.openxmlformats.org/officeDocument/2006/relationships/hyperlink" Target="https://www.inaturalist.org/people/willjmatthews04" TargetMode="External"/><Relationship Id="rId4445" Type="http://schemas.openxmlformats.org/officeDocument/2006/relationships/hyperlink" Target="https://creativecommons.org/licenses/by-nc/4.0/" TargetMode="External"/><Relationship Id="rId4446" Type="http://schemas.openxmlformats.org/officeDocument/2006/relationships/hyperlink" Target="https://www.inaturalist.org/observations/347975194" TargetMode="External"/><Relationship Id="rId4447" Type="http://schemas.openxmlformats.org/officeDocument/2006/relationships/hyperlink" Target="https://www.inaturalist.org/people/riki_paleatus" TargetMode="External"/><Relationship Id="rId4448" Type="http://schemas.openxmlformats.org/officeDocument/2006/relationships/hyperlink" Target="https://creativecommons.org/licenses/by-nc/4.0/" TargetMode="External"/><Relationship Id="rId4449" Type="http://schemas.openxmlformats.org/officeDocument/2006/relationships/hyperlink" Target="https://www.inaturalist.org/observations/347834918" TargetMode="External"/><Relationship Id="rId4450" Type="http://schemas.openxmlformats.org/officeDocument/2006/relationships/hyperlink" Target="https://www.inaturalist.org/people/riki_paleatus" TargetMode="External"/><Relationship Id="rId4451" Type="http://schemas.openxmlformats.org/officeDocument/2006/relationships/hyperlink" Target="https://creativecommons.org/licenses/by-nc/4.0/" TargetMode="External"/><Relationship Id="rId4452" Type="http://schemas.openxmlformats.org/officeDocument/2006/relationships/hyperlink" Target="https://www.inaturalist.org/observations/347834918" TargetMode="External"/><Relationship Id="rId4453" Type="http://schemas.openxmlformats.org/officeDocument/2006/relationships/hyperlink" Target="https://www.inaturalist.org/people/remiaosborne" TargetMode="External"/><Relationship Id="rId4454" Type="http://schemas.openxmlformats.org/officeDocument/2006/relationships/hyperlink" Target="https://creativecommons.org/licenses/by-nc/4.0/" TargetMode="External"/><Relationship Id="rId4455" Type="http://schemas.openxmlformats.org/officeDocument/2006/relationships/hyperlink" Target="https://www.inaturalist.org/observations/347186631" TargetMode="External"/><Relationship Id="rId4456" Type="http://schemas.openxmlformats.org/officeDocument/2006/relationships/hyperlink" Target="https://www.inaturalist.org/people/andyliving" TargetMode="External"/><Relationship Id="rId4457" Type="http://schemas.openxmlformats.org/officeDocument/2006/relationships/hyperlink" Target="https://creativecommons.org/licenses/by-nc/4.0/" TargetMode="External"/><Relationship Id="rId4458" Type="http://schemas.openxmlformats.org/officeDocument/2006/relationships/hyperlink" Target="https://www.inaturalist.org/observations/346982084" TargetMode="External"/><Relationship Id="rId4459" Type="http://schemas.openxmlformats.org/officeDocument/2006/relationships/hyperlink" Target="https://www.inaturalist.org/people/andyliving" TargetMode="External"/><Relationship Id="rId4460" Type="http://schemas.openxmlformats.org/officeDocument/2006/relationships/hyperlink" Target="https://creativecommons.org/licenses/by-nc/4.0/" TargetMode="External"/><Relationship Id="rId4461" Type="http://schemas.openxmlformats.org/officeDocument/2006/relationships/hyperlink" Target="https://www.inaturalist.org/observations/346782686" TargetMode="External"/><Relationship Id="rId4462" Type="http://schemas.openxmlformats.org/officeDocument/2006/relationships/hyperlink" Target="https://www.inaturalist.org/people/candiceskelton" TargetMode="External"/><Relationship Id="rId4463" Type="http://schemas.openxmlformats.org/officeDocument/2006/relationships/hyperlink" Target="https://creativecommons.org/licenses/by-nc/4.0/" TargetMode="External"/><Relationship Id="rId4464" Type="http://schemas.openxmlformats.org/officeDocument/2006/relationships/hyperlink" Target="https://www.inaturalist.org/observations/344652718" TargetMode="External"/><Relationship Id="rId4465" Type="http://schemas.openxmlformats.org/officeDocument/2006/relationships/hyperlink" Target="https://www.inaturalist.org/people/blake_fittler" TargetMode="External"/><Relationship Id="rId4466" Type="http://schemas.openxmlformats.org/officeDocument/2006/relationships/hyperlink" Target="https://creativecommons.org/licenses/by-nc/4.0/" TargetMode="External"/><Relationship Id="rId4467" Type="http://schemas.openxmlformats.org/officeDocument/2006/relationships/hyperlink" Target="https://www.inaturalist.org/observations/342260405" TargetMode="External"/><Relationship Id="rId4468" Type="http://schemas.openxmlformats.org/officeDocument/2006/relationships/hyperlink" Target="https://www.inaturalist.org/people/quollsskinks" TargetMode="External"/><Relationship Id="rId4469" Type="http://schemas.openxmlformats.org/officeDocument/2006/relationships/hyperlink" Target="https://creativecommons.org/licenses/by-nc/4.0/" TargetMode="External"/><Relationship Id="rId4470" Type="http://schemas.openxmlformats.org/officeDocument/2006/relationships/hyperlink" Target="https://www.inaturalist.org/observations/342236205" TargetMode="External"/><Relationship Id="rId4471" Type="http://schemas.openxmlformats.org/officeDocument/2006/relationships/hyperlink" Target="https://www.inaturalist.org/people/quollsskinks" TargetMode="External"/><Relationship Id="rId4472" Type="http://schemas.openxmlformats.org/officeDocument/2006/relationships/hyperlink" Target="https://creativecommons.org/licenses/by-nc/4.0/" TargetMode="External"/><Relationship Id="rId4473" Type="http://schemas.openxmlformats.org/officeDocument/2006/relationships/hyperlink" Target="https://www.inaturalist.org/observations/342236205" TargetMode="External"/><Relationship Id="rId4474" Type="http://schemas.openxmlformats.org/officeDocument/2006/relationships/hyperlink" Target="https://www.inaturalist.org/people/jye_brooksy" TargetMode="External"/><Relationship Id="rId4475" Type="http://schemas.openxmlformats.org/officeDocument/2006/relationships/hyperlink" Target="https://creativecommons.org/licenses/by-nc/4.0/" TargetMode="External"/><Relationship Id="rId4476" Type="http://schemas.openxmlformats.org/officeDocument/2006/relationships/hyperlink" Target="https://www.inaturalist.org/observations/342175627" TargetMode="External"/><Relationship Id="rId4477" Type="http://schemas.openxmlformats.org/officeDocument/2006/relationships/hyperlink" Target="https://www.inaturalist.org/people/andrea93iga" TargetMode="External"/><Relationship Id="rId4478" Type="http://schemas.openxmlformats.org/officeDocument/2006/relationships/hyperlink" Target="https://creativecommons.org/licenses/by-nc/4.0/" TargetMode="External"/><Relationship Id="rId4479" Type="http://schemas.openxmlformats.org/officeDocument/2006/relationships/hyperlink" Target="https://www.inaturalist.org/observations/341890638" TargetMode="External"/><Relationship Id="rId4480" Type="http://schemas.openxmlformats.org/officeDocument/2006/relationships/hyperlink" Target="https://www.inaturalist.org/people/sophiemah" TargetMode="External"/><Relationship Id="rId4481" Type="http://schemas.openxmlformats.org/officeDocument/2006/relationships/hyperlink" Target="https://creativecommons.org/licenses/by-nc/4.0/" TargetMode="External"/><Relationship Id="rId4482" Type="http://schemas.openxmlformats.org/officeDocument/2006/relationships/hyperlink" Target="https://www.inaturalist.org/observations/341377352" TargetMode="External"/><Relationship Id="rId4483" Type="http://schemas.openxmlformats.org/officeDocument/2006/relationships/hyperlink" Target="https://www.inaturalist.org/people/sophiemah" TargetMode="External"/><Relationship Id="rId4484" Type="http://schemas.openxmlformats.org/officeDocument/2006/relationships/hyperlink" Target="https://creativecommons.org/licenses/by-nc/4.0/" TargetMode="External"/><Relationship Id="rId4485" Type="http://schemas.openxmlformats.org/officeDocument/2006/relationships/hyperlink" Target="https://www.inaturalist.org/observations/341377352" TargetMode="External"/><Relationship Id="rId4486" Type="http://schemas.openxmlformats.org/officeDocument/2006/relationships/hyperlink" Target="https://www.inaturalist.org/people/dgreenwood53" TargetMode="External"/><Relationship Id="rId4487" Type="http://schemas.openxmlformats.org/officeDocument/2006/relationships/hyperlink" Target="https://creativecommons.org/licenses/by-nc/4.0/" TargetMode="External"/><Relationship Id="rId4488" Type="http://schemas.openxmlformats.org/officeDocument/2006/relationships/hyperlink" Target="https://www.inaturalist.org/observations/341076904" TargetMode="External"/><Relationship Id="rId4489" Type="http://schemas.openxmlformats.org/officeDocument/2006/relationships/hyperlink" Target="https://www.inaturalist.org/people/duke_n" TargetMode="External"/><Relationship Id="rId4490" Type="http://schemas.openxmlformats.org/officeDocument/2006/relationships/hyperlink" Target="https://creativecommons.org/licenses/by-nc/4.0/" TargetMode="External"/><Relationship Id="rId4491" Type="http://schemas.openxmlformats.org/officeDocument/2006/relationships/hyperlink" Target="https://www.inaturalist.org/observations/340930408" TargetMode="External"/><Relationship Id="rId4492" Type="http://schemas.openxmlformats.org/officeDocument/2006/relationships/hyperlink" Target="https://www.inaturalist.org/people/duke_n" TargetMode="External"/><Relationship Id="rId4493" Type="http://schemas.openxmlformats.org/officeDocument/2006/relationships/hyperlink" Target="https://creativecommons.org/licenses/by-nc/4.0/" TargetMode="External"/><Relationship Id="rId4494" Type="http://schemas.openxmlformats.org/officeDocument/2006/relationships/hyperlink" Target="https://www.inaturalist.org/observations/340930408" TargetMode="External"/><Relationship Id="rId4495" Type="http://schemas.openxmlformats.org/officeDocument/2006/relationships/hyperlink" Target="https://www.inaturalist.org/people/eliap" TargetMode="External"/><Relationship Id="rId4496" Type="http://schemas.openxmlformats.org/officeDocument/2006/relationships/hyperlink" Target="https://creativecommons.org/licenses/by-nc/4.0/" TargetMode="External"/><Relationship Id="rId4497" Type="http://schemas.openxmlformats.org/officeDocument/2006/relationships/hyperlink" Target="https://www.inaturalist.org/observations/339986114" TargetMode="External"/><Relationship Id="rId4498" Type="http://schemas.openxmlformats.org/officeDocument/2006/relationships/hyperlink" Target="https://www.inaturalist.org/people/osmosisly" TargetMode="External"/><Relationship Id="rId4499" Type="http://schemas.openxmlformats.org/officeDocument/2006/relationships/hyperlink" Target="https://creativecommons.org/licenses/by-nc/4.0/" TargetMode="External"/><Relationship Id="rId4500" Type="http://schemas.openxmlformats.org/officeDocument/2006/relationships/hyperlink" Target="https://www.inaturalist.org/observations/337925531" TargetMode="External"/><Relationship Id="rId4501" Type="http://schemas.openxmlformats.org/officeDocument/2006/relationships/hyperlink" Target="https://www.inaturalist.org/people/jacobdevine" TargetMode="External"/><Relationship Id="rId4502" Type="http://schemas.openxmlformats.org/officeDocument/2006/relationships/hyperlink" Target="https://creativecommons.org/licenses/by-nc/4.0/" TargetMode="External"/><Relationship Id="rId4503" Type="http://schemas.openxmlformats.org/officeDocument/2006/relationships/hyperlink" Target="https://www.inaturalist.org/observations/337617350" TargetMode="External"/><Relationship Id="rId4504" Type="http://schemas.openxmlformats.org/officeDocument/2006/relationships/hyperlink" Target="https://www.inaturalist.org/people/ulas_tekin" TargetMode="External"/><Relationship Id="rId4505" Type="http://schemas.openxmlformats.org/officeDocument/2006/relationships/hyperlink" Target="https://creativecommons.org/licenses/by-nc/4.0/" TargetMode="External"/><Relationship Id="rId4506" Type="http://schemas.openxmlformats.org/officeDocument/2006/relationships/hyperlink" Target="https://www.inaturalist.org/observations/369260388" TargetMode="External"/><Relationship Id="rId4507" Type="http://schemas.openxmlformats.org/officeDocument/2006/relationships/hyperlink" Target="https://www.inaturalist.org/people/bugs_n_slugs" TargetMode="External"/><Relationship Id="rId4508" Type="http://schemas.openxmlformats.org/officeDocument/2006/relationships/hyperlink" Target="https://creativecommons.org/licenses/by-nc/4.0/" TargetMode="External"/><Relationship Id="rId4509" Type="http://schemas.openxmlformats.org/officeDocument/2006/relationships/hyperlink" Target="https://www.inaturalist.org/observations/368300854" TargetMode="External"/><Relationship Id="rId4510" Type="http://schemas.openxmlformats.org/officeDocument/2006/relationships/hyperlink" Target="https://www.inaturalist.org/people/j_beatts" TargetMode="External"/><Relationship Id="rId4511" Type="http://schemas.openxmlformats.org/officeDocument/2006/relationships/hyperlink" Target="https://creativecommons.org/licenses/by-nc/4.0/" TargetMode="External"/><Relationship Id="rId4512" Type="http://schemas.openxmlformats.org/officeDocument/2006/relationships/hyperlink" Target="https://www.inaturalist.org/observations/361153780" TargetMode="External"/><Relationship Id="rId4513" Type="http://schemas.openxmlformats.org/officeDocument/2006/relationships/hyperlink" Target="https://www.inaturalist.org/people/conscientiousobserver" TargetMode="External"/><Relationship Id="rId4514" Type="http://schemas.openxmlformats.org/officeDocument/2006/relationships/hyperlink" Target="https://creativecommons.org/licenses/by-nc/4.0/" TargetMode="External"/><Relationship Id="rId4515" Type="http://schemas.openxmlformats.org/officeDocument/2006/relationships/hyperlink" Target="https://www.inaturalist.org/observations/361125139" TargetMode="External"/><Relationship Id="rId4516" Type="http://schemas.openxmlformats.org/officeDocument/2006/relationships/hyperlink" Target="https://www.inaturalist.org/people/ellerobertson" TargetMode="External"/><Relationship Id="rId4517" Type="http://schemas.openxmlformats.org/officeDocument/2006/relationships/hyperlink" Target="https://creativecommons.org/licenses/by-nc/4.0/" TargetMode="External"/><Relationship Id="rId4518" Type="http://schemas.openxmlformats.org/officeDocument/2006/relationships/hyperlink" Target="https://www.inaturalist.org/observations/360135951" TargetMode="External"/><Relationship Id="rId4519" Type="http://schemas.openxmlformats.org/officeDocument/2006/relationships/hyperlink" Target="https://www.inaturalist.org/people/distinguished_orca" TargetMode="External"/><Relationship Id="rId4520" Type="http://schemas.openxmlformats.org/officeDocument/2006/relationships/hyperlink" Target="https://creativecommons.org/licenses/by-nc/4.0/" TargetMode="External"/><Relationship Id="rId4521" Type="http://schemas.openxmlformats.org/officeDocument/2006/relationships/hyperlink" Target="https://www.inaturalist.org/observations/357797871" TargetMode="External"/><Relationship Id="rId4522" Type="http://schemas.openxmlformats.org/officeDocument/2006/relationships/hyperlink" Target="https://www.inaturalist.org/people/jenks04" TargetMode="External"/><Relationship Id="rId4523" Type="http://schemas.openxmlformats.org/officeDocument/2006/relationships/hyperlink" Target="https://creativecommons.org/licenses/by-nc/4.0/" TargetMode="External"/><Relationship Id="rId4524" Type="http://schemas.openxmlformats.org/officeDocument/2006/relationships/hyperlink" Target="https://www.inaturalist.org/observations/351949126" TargetMode="External"/><Relationship Id="rId4525" Type="http://schemas.openxmlformats.org/officeDocument/2006/relationships/hyperlink" Target="https://www.inaturalist.org/people/damienesquerre2" TargetMode="External"/><Relationship Id="rId4526" Type="http://schemas.openxmlformats.org/officeDocument/2006/relationships/hyperlink" Target="https://creativecommons.org/licenses/by-nc/4.0/" TargetMode="External"/><Relationship Id="rId4527" Type="http://schemas.openxmlformats.org/officeDocument/2006/relationships/hyperlink" Target="https://www.inaturalist.org/observations/351424157" TargetMode="External"/><Relationship Id="rId4528" Type="http://schemas.openxmlformats.org/officeDocument/2006/relationships/hyperlink" Target="https://www.inaturalist.org/people/mrlachlanb" TargetMode="External"/><Relationship Id="rId4529" Type="http://schemas.openxmlformats.org/officeDocument/2006/relationships/hyperlink" Target="https://creativecommons.org/licenses/by-nc/4.0/" TargetMode="External"/><Relationship Id="rId4530" Type="http://schemas.openxmlformats.org/officeDocument/2006/relationships/hyperlink" Target="https://www.inaturalist.org/observations/349909250" TargetMode="External"/><Relationship Id="rId4531" Type="http://schemas.openxmlformats.org/officeDocument/2006/relationships/hyperlink" Target="https://www.inaturalist.org/people/mrlachlanb" TargetMode="External"/><Relationship Id="rId4532" Type="http://schemas.openxmlformats.org/officeDocument/2006/relationships/hyperlink" Target="https://creativecommons.org/licenses/by-nc/4.0/" TargetMode="External"/><Relationship Id="rId4533" Type="http://schemas.openxmlformats.org/officeDocument/2006/relationships/hyperlink" Target="https://www.inaturalist.org/observations/349909250" TargetMode="External"/><Relationship Id="rId4534" Type="http://schemas.openxmlformats.org/officeDocument/2006/relationships/hyperlink" Target="https://www.inaturalist.org/people/mrlachlanb" TargetMode="External"/><Relationship Id="rId4535" Type="http://schemas.openxmlformats.org/officeDocument/2006/relationships/hyperlink" Target="https://creativecommons.org/licenses/by-nc/4.0/" TargetMode="External"/><Relationship Id="rId4536" Type="http://schemas.openxmlformats.org/officeDocument/2006/relationships/hyperlink" Target="https://www.inaturalist.org/observations/348158005" TargetMode="External"/><Relationship Id="rId4537" Type="http://schemas.openxmlformats.org/officeDocument/2006/relationships/hyperlink" Target="https://www.inaturalist.org/people/murrayp88" TargetMode="External"/><Relationship Id="rId4538" Type="http://schemas.openxmlformats.org/officeDocument/2006/relationships/hyperlink" Target="https://creativecommons.org/licenses/by-nc/4.0/" TargetMode="External"/><Relationship Id="rId4539" Type="http://schemas.openxmlformats.org/officeDocument/2006/relationships/hyperlink" Target="https://www.inaturalist.org/observations/348036559" TargetMode="External"/><Relationship Id="rId4540" Type="http://schemas.openxmlformats.org/officeDocument/2006/relationships/hyperlink" Target="https://www.inaturalist.org/people/murrayp88" TargetMode="External"/><Relationship Id="rId4541" Type="http://schemas.openxmlformats.org/officeDocument/2006/relationships/hyperlink" Target="https://creativecommons.org/licenses/by-nc/4.0/" TargetMode="External"/><Relationship Id="rId4542" Type="http://schemas.openxmlformats.org/officeDocument/2006/relationships/hyperlink" Target="https://www.inaturalist.org/observations/348036559" TargetMode="External"/><Relationship Id="rId4543" Type="http://schemas.openxmlformats.org/officeDocument/2006/relationships/hyperlink" Target="https://www.inaturalist.org/people/insectivor3" TargetMode="External"/><Relationship Id="rId4544" Type="http://schemas.openxmlformats.org/officeDocument/2006/relationships/hyperlink" Target="https://creativecommons.org/licenses/by-nc/4.0/" TargetMode="External"/><Relationship Id="rId4545" Type="http://schemas.openxmlformats.org/officeDocument/2006/relationships/hyperlink" Target="https://www.inaturalist.org/observations/348010676" TargetMode="External"/><Relationship Id="rId4546" Type="http://schemas.openxmlformats.org/officeDocument/2006/relationships/hyperlink" Target="https://www.inaturalist.org/people/fraserj09" TargetMode="External"/><Relationship Id="rId4547" Type="http://schemas.openxmlformats.org/officeDocument/2006/relationships/hyperlink" Target="https://creativecommons.org/licenses/by-nc/4.0/" TargetMode="External"/><Relationship Id="rId4548" Type="http://schemas.openxmlformats.org/officeDocument/2006/relationships/hyperlink" Target="https://www.inaturalist.org/observations/347774798" TargetMode="External"/><Relationship Id="rId4549" Type="http://schemas.openxmlformats.org/officeDocument/2006/relationships/hyperlink" Target="https://www.inaturalist.org/people/tanb9" TargetMode="External"/><Relationship Id="rId4550" Type="http://schemas.openxmlformats.org/officeDocument/2006/relationships/hyperlink" Target="https://creativecommons.org/licenses/by-nc/4.0/" TargetMode="External"/><Relationship Id="rId4551" Type="http://schemas.openxmlformats.org/officeDocument/2006/relationships/hyperlink" Target="https://www.inaturalist.org/observations/347761576" TargetMode="External"/><Relationship Id="rId4552" Type="http://schemas.openxmlformats.org/officeDocument/2006/relationships/hyperlink" Target="https://www.inaturalist.org/people/patsoates" TargetMode="External"/><Relationship Id="rId4553" Type="http://schemas.openxmlformats.org/officeDocument/2006/relationships/hyperlink" Target="https://creativecommons.org/licenses/by-nc/4.0/" TargetMode="External"/><Relationship Id="rId4554" Type="http://schemas.openxmlformats.org/officeDocument/2006/relationships/hyperlink" Target="https://www.inaturalist.org/observations/347312370" TargetMode="External"/><Relationship Id="rId4555" Type="http://schemas.openxmlformats.org/officeDocument/2006/relationships/hyperlink" Target="https://www.inaturalist.org/people/kurtmck" TargetMode="External"/><Relationship Id="rId4556" Type="http://schemas.openxmlformats.org/officeDocument/2006/relationships/hyperlink" Target="https://creativecommons.org/licenses/by-nc/4.0/" TargetMode="External"/><Relationship Id="rId4557" Type="http://schemas.openxmlformats.org/officeDocument/2006/relationships/hyperlink" Target="https://www.inaturalist.org/observations/346219689" TargetMode="External"/><Relationship Id="rId4558" Type="http://schemas.openxmlformats.org/officeDocument/2006/relationships/hyperlink" Target="https://www.inaturalist.org/people/jenks04" TargetMode="External"/><Relationship Id="rId4559" Type="http://schemas.openxmlformats.org/officeDocument/2006/relationships/hyperlink" Target="https://creativecommons.org/licenses/by-nc/4.0/" TargetMode="External"/><Relationship Id="rId4560" Type="http://schemas.openxmlformats.org/officeDocument/2006/relationships/hyperlink" Target="https://www.inaturalist.org/observations/343093194" TargetMode="External"/><Relationship Id="rId4561" Type="http://schemas.openxmlformats.org/officeDocument/2006/relationships/hyperlink" Target="https://www.inaturalist.org/people/jenks04" TargetMode="External"/><Relationship Id="rId4562" Type="http://schemas.openxmlformats.org/officeDocument/2006/relationships/hyperlink" Target="https://creativecommons.org/licenses/by-nc/4.0/" TargetMode="External"/><Relationship Id="rId4563" Type="http://schemas.openxmlformats.org/officeDocument/2006/relationships/hyperlink" Target="https://www.inaturalist.org/observations/343093194" TargetMode="External"/><Relationship Id="rId4564" Type="http://schemas.openxmlformats.org/officeDocument/2006/relationships/hyperlink" Target="https://www.inaturalist.org/people/jenks04" TargetMode="External"/><Relationship Id="rId4565" Type="http://schemas.openxmlformats.org/officeDocument/2006/relationships/hyperlink" Target="https://creativecommons.org/licenses/by-nc/4.0/" TargetMode="External"/><Relationship Id="rId4566" Type="http://schemas.openxmlformats.org/officeDocument/2006/relationships/hyperlink" Target="https://www.inaturalist.org/observations/341220934" TargetMode="External"/><Relationship Id="rId4567" Type="http://schemas.openxmlformats.org/officeDocument/2006/relationships/hyperlink" Target="https://www.inaturalist.org/people/living_daynagerously" TargetMode="External"/><Relationship Id="rId4568" Type="http://schemas.openxmlformats.org/officeDocument/2006/relationships/hyperlink" Target="https://creativecommons.org/licenses/by-nc/4.0/" TargetMode="External"/><Relationship Id="rId4569" Type="http://schemas.openxmlformats.org/officeDocument/2006/relationships/hyperlink" Target="https://www.inaturalist.org/observations/340285747" TargetMode="External"/><Relationship Id="rId4570" Type="http://schemas.openxmlformats.org/officeDocument/2006/relationships/hyperlink" Target="https://www.inaturalist.org/people/living_daynagerously" TargetMode="External"/><Relationship Id="rId4571" Type="http://schemas.openxmlformats.org/officeDocument/2006/relationships/hyperlink" Target="https://creativecommons.org/licenses/by-nc/4.0/" TargetMode="External"/><Relationship Id="rId4572" Type="http://schemas.openxmlformats.org/officeDocument/2006/relationships/hyperlink" Target="https://www.inaturalist.org/observations/340285747" TargetMode="External"/><Relationship Id="rId4573" Type="http://schemas.openxmlformats.org/officeDocument/2006/relationships/hyperlink" Target="https://www.inaturalist.org/people/jenks04" TargetMode="External"/><Relationship Id="rId4574" Type="http://schemas.openxmlformats.org/officeDocument/2006/relationships/hyperlink" Target="https://creativecommons.org/licenses/by-nc/4.0/" TargetMode="External"/><Relationship Id="rId4575" Type="http://schemas.openxmlformats.org/officeDocument/2006/relationships/hyperlink" Target="https://www.inaturalist.org/observations/340285568" TargetMode="External"/><Relationship Id="rId4576" Type="http://schemas.openxmlformats.org/officeDocument/2006/relationships/hyperlink" Target="https://www.inaturalist.org/people/jenks04" TargetMode="External"/><Relationship Id="rId4577" Type="http://schemas.openxmlformats.org/officeDocument/2006/relationships/hyperlink" Target="https://creativecommons.org/licenses/by-nc/4.0/" TargetMode="External"/><Relationship Id="rId4578" Type="http://schemas.openxmlformats.org/officeDocument/2006/relationships/hyperlink" Target="https://www.inaturalist.org/observations/340285568" TargetMode="External"/><Relationship Id="rId4579" Type="http://schemas.openxmlformats.org/officeDocument/2006/relationships/hyperlink" Target="https://www.inaturalist.org/people/jenks04" TargetMode="External"/><Relationship Id="rId4580" Type="http://schemas.openxmlformats.org/officeDocument/2006/relationships/hyperlink" Target="https://creativecommons.org/licenses/by-nc/4.0/" TargetMode="External"/><Relationship Id="rId4581" Type="http://schemas.openxmlformats.org/officeDocument/2006/relationships/hyperlink" Target="https://www.inaturalist.org/observations/340285568" TargetMode="External"/><Relationship Id="rId4582" Type="http://schemas.openxmlformats.org/officeDocument/2006/relationships/hyperlink" Target="https://www.inaturalist.org/people/nat_is_a_lost" TargetMode="External"/><Relationship Id="rId4583" Type="http://schemas.openxmlformats.org/officeDocument/2006/relationships/hyperlink" Target="https://creativecommons.org/licenses/by-nc/4.0/" TargetMode="External"/><Relationship Id="rId4584" Type="http://schemas.openxmlformats.org/officeDocument/2006/relationships/hyperlink" Target="https://www.inaturalist.org/observations/340016560" TargetMode="External"/><Relationship Id="rId4585" Type="http://schemas.openxmlformats.org/officeDocument/2006/relationships/hyperlink" Target="https://www.inaturalist.org/people/mia_hosken" TargetMode="External"/><Relationship Id="rId4586" Type="http://schemas.openxmlformats.org/officeDocument/2006/relationships/hyperlink" Target="https://creativecommons.org/licenses/by-nc/4.0/" TargetMode="External"/><Relationship Id="rId4587" Type="http://schemas.openxmlformats.org/officeDocument/2006/relationships/hyperlink" Target="https://www.inaturalist.org/observations/339709437" TargetMode="External"/><Relationship Id="rId4588" Type="http://schemas.openxmlformats.org/officeDocument/2006/relationships/hyperlink" Target="https://www.inaturalist.org/people/mia_hosken" TargetMode="External"/><Relationship Id="rId4589" Type="http://schemas.openxmlformats.org/officeDocument/2006/relationships/hyperlink" Target="https://creativecommons.org/licenses/by-nc/4.0/" TargetMode="External"/><Relationship Id="rId4590" Type="http://schemas.openxmlformats.org/officeDocument/2006/relationships/hyperlink" Target="https://www.inaturalist.org/observations/339709437" TargetMode="External"/><Relationship Id="rId4591" Type="http://schemas.openxmlformats.org/officeDocument/2006/relationships/hyperlink" Target="https://www.inaturalist.org/people/fraserj09" TargetMode="External"/><Relationship Id="rId4592" Type="http://schemas.openxmlformats.org/officeDocument/2006/relationships/hyperlink" Target="https://creativecommons.org/licenses/by-nc/4.0/" TargetMode="External"/><Relationship Id="rId4593" Type="http://schemas.openxmlformats.org/officeDocument/2006/relationships/hyperlink" Target="https://www.inaturalist.org/observations/339621624" TargetMode="External"/><Relationship Id="rId4594" Type="http://schemas.openxmlformats.org/officeDocument/2006/relationships/hyperlink" Target="https://www.inaturalist.org/people/fraserj09" TargetMode="External"/><Relationship Id="rId4595" Type="http://schemas.openxmlformats.org/officeDocument/2006/relationships/hyperlink" Target="https://creativecommons.org/licenses/by-nc/4.0/" TargetMode="External"/><Relationship Id="rId4596" Type="http://schemas.openxmlformats.org/officeDocument/2006/relationships/hyperlink" Target="https://www.inaturalist.org/observations/339621623" TargetMode="External"/><Relationship Id="rId4597" Type="http://schemas.openxmlformats.org/officeDocument/2006/relationships/hyperlink" Target="https://www.inaturalist.org/people/fraserj09" TargetMode="External"/><Relationship Id="rId4598" Type="http://schemas.openxmlformats.org/officeDocument/2006/relationships/hyperlink" Target="https://creativecommons.org/licenses/by-nc/4.0/" TargetMode="External"/><Relationship Id="rId4599" Type="http://schemas.openxmlformats.org/officeDocument/2006/relationships/hyperlink" Target="https://www.inaturalist.org/observations/339621622" TargetMode="External"/><Relationship Id="rId4600" Type="http://schemas.openxmlformats.org/officeDocument/2006/relationships/hyperlink" Target="https://www.inaturalist.org/people/t-weichselbaum" TargetMode="External"/><Relationship Id="rId4601" Type="http://schemas.openxmlformats.org/officeDocument/2006/relationships/hyperlink" Target="https://creativecommons.org/licenses/by-nc/4.0/" TargetMode="External"/><Relationship Id="rId4602" Type="http://schemas.openxmlformats.org/officeDocument/2006/relationships/hyperlink" Target="https://www.inaturalist.org/observations/336440788" TargetMode="External"/><Relationship Id="rId4603" Type="http://schemas.openxmlformats.org/officeDocument/2006/relationships/hyperlink" Target="https://www.inaturalist.org/people/t-weichselbaum" TargetMode="External"/><Relationship Id="rId4604" Type="http://schemas.openxmlformats.org/officeDocument/2006/relationships/hyperlink" Target="https://creativecommons.org/licenses/by-nc/4.0/" TargetMode="External"/><Relationship Id="rId4605" Type="http://schemas.openxmlformats.org/officeDocument/2006/relationships/hyperlink" Target="https://www.inaturalist.org/observations/336440788" TargetMode="External"/><Relationship Id="rId4606" Type="http://schemas.openxmlformats.org/officeDocument/2006/relationships/hyperlink" Target="https://www.inaturalist.org/people/t-weichselbaum" TargetMode="External"/><Relationship Id="rId4607" Type="http://schemas.openxmlformats.org/officeDocument/2006/relationships/hyperlink" Target="https://creativecommons.org/licenses/by-nc/4.0/" TargetMode="External"/><Relationship Id="rId4608" Type="http://schemas.openxmlformats.org/officeDocument/2006/relationships/hyperlink" Target="https://www.inaturalist.org/observations/336440787" TargetMode="External"/><Relationship Id="rId4609" Type="http://schemas.openxmlformats.org/officeDocument/2006/relationships/hyperlink" Target="https://www.inaturalist.org/people/harry32845" TargetMode="External"/><Relationship Id="rId4610" Type="http://schemas.openxmlformats.org/officeDocument/2006/relationships/hyperlink" Target="https://creativecommons.org/licenses/by-nc/4.0/" TargetMode="External"/><Relationship Id="rId4611" Type="http://schemas.openxmlformats.org/officeDocument/2006/relationships/hyperlink" Target="https://www.inaturalist.org/observations/379679786" TargetMode="External"/><Relationship Id="rId4612" Type="http://schemas.openxmlformats.org/officeDocument/2006/relationships/hyperlink" Target="https://www.inaturalist.org/people/nswparkranger" TargetMode="External"/><Relationship Id="rId4613" Type="http://schemas.openxmlformats.org/officeDocument/2006/relationships/hyperlink" Target="https://creativecommons.org/licenses/by-nc/4.0/" TargetMode="External"/><Relationship Id="rId4614" Type="http://schemas.openxmlformats.org/officeDocument/2006/relationships/hyperlink" Target="https://www.inaturalist.org/observations/376380846" TargetMode="External"/><Relationship Id="rId4615" Type="http://schemas.openxmlformats.org/officeDocument/2006/relationships/hyperlink" Target="https://www.inaturalist.org/people/michelleljonesau" TargetMode="External"/><Relationship Id="rId4616" Type="http://schemas.openxmlformats.org/officeDocument/2006/relationships/hyperlink" Target="https://creativecommons.org/licenses/by-nc/4.0/" TargetMode="External"/><Relationship Id="rId4617" Type="http://schemas.openxmlformats.org/officeDocument/2006/relationships/hyperlink" Target="https://www.inaturalist.org/observations/371134276" TargetMode="External"/><Relationship Id="rId4618" Type="http://schemas.openxmlformats.org/officeDocument/2006/relationships/hyperlink" Target="https://www.inaturalist.org/people/mrsmumme" TargetMode="External"/><Relationship Id="rId4619" Type="http://schemas.openxmlformats.org/officeDocument/2006/relationships/hyperlink" Target="https://creativecommons.org/licenses/by-nc/4.0/" TargetMode="External"/><Relationship Id="rId4620" Type="http://schemas.openxmlformats.org/officeDocument/2006/relationships/hyperlink" Target="https://www.inaturalist.org/observations/369564198" TargetMode="External"/><Relationship Id="rId4621" Type="http://schemas.openxmlformats.org/officeDocument/2006/relationships/hyperlink" Target="https://www.inaturalist.org/people/mrsmumme" TargetMode="External"/><Relationship Id="rId4622" Type="http://schemas.openxmlformats.org/officeDocument/2006/relationships/hyperlink" Target="https://creativecommons.org/licenses/by-nc/4.0/" TargetMode="External"/><Relationship Id="rId4623" Type="http://schemas.openxmlformats.org/officeDocument/2006/relationships/hyperlink" Target="https://www.inaturalist.org/observations/369564198" TargetMode="External"/><Relationship Id="rId4624" Type="http://schemas.openxmlformats.org/officeDocument/2006/relationships/hyperlink" Target="https://www.inaturalist.org/people/adurbano" TargetMode="External"/><Relationship Id="rId4625" Type="http://schemas.openxmlformats.org/officeDocument/2006/relationships/hyperlink" Target="https://creativecommons.org/licenses/by-nc/4.0/" TargetMode="External"/><Relationship Id="rId4626" Type="http://schemas.openxmlformats.org/officeDocument/2006/relationships/hyperlink" Target="https://www.inaturalist.org/observations/377083623" TargetMode="External"/><Relationship Id="rId4627" Type="http://schemas.openxmlformats.org/officeDocument/2006/relationships/hyperlink" Target="https://www.inaturalist.org/people/jasvink" TargetMode="External"/><Relationship Id="rId4628" Type="http://schemas.openxmlformats.org/officeDocument/2006/relationships/hyperlink" Target="https://creativecommons.org/licenses/by-nc/4.0/" TargetMode="External"/><Relationship Id="rId4629" Type="http://schemas.openxmlformats.org/officeDocument/2006/relationships/hyperlink" Target="https://www.inaturalist.org/observations/367997902" TargetMode="External"/><Relationship Id="rId4630" Type="http://schemas.openxmlformats.org/officeDocument/2006/relationships/hyperlink" Target="https://www.inaturalist.org/people/koiz" TargetMode="External"/><Relationship Id="rId4631" Type="http://schemas.openxmlformats.org/officeDocument/2006/relationships/hyperlink" Target="https://creativecommons.org/licenses/by-nc/4.0/" TargetMode="External"/><Relationship Id="rId4632" Type="http://schemas.openxmlformats.org/officeDocument/2006/relationships/hyperlink" Target="https://www.inaturalist.org/observations/364208532" TargetMode="External"/><Relationship Id="rId4633" Type="http://schemas.openxmlformats.org/officeDocument/2006/relationships/hyperlink" Target="https://www.inaturalist.org/people/pamday4" TargetMode="External"/><Relationship Id="rId4634" Type="http://schemas.openxmlformats.org/officeDocument/2006/relationships/hyperlink" Target="https://creativecommons.org/licenses/by-nc/4.0/" TargetMode="External"/><Relationship Id="rId4635" Type="http://schemas.openxmlformats.org/officeDocument/2006/relationships/hyperlink" Target="https://www.inaturalist.org/observations/363569209" TargetMode="External"/><Relationship Id="rId4636" Type="http://schemas.openxmlformats.org/officeDocument/2006/relationships/hyperlink" Target="https://www.inaturalist.org/people/livvy_tyson" TargetMode="External"/><Relationship Id="rId4637" Type="http://schemas.openxmlformats.org/officeDocument/2006/relationships/hyperlink" Target="https://creativecommons.org/licenses/by-nc/4.0/" TargetMode="External"/><Relationship Id="rId4638" Type="http://schemas.openxmlformats.org/officeDocument/2006/relationships/hyperlink" Target="https://www.inaturalist.org/observations/362899595" TargetMode="External"/><Relationship Id="rId4639" Type="http://schemas.openxmlformats.org/officeDocument/2006/relationships/hyperlink" Target="https://www.inaturalist.org/people/livvy_tyson" TargetMode="External"/><Relationship Id="rId4640" Type="http://schemas.openxmlformats.org/officeDocument/2006/relationships/hyperlink" Target="https://creativecommons.org/licenses/by-nc/4.0/" TargetMode="External"/><Relationship Id="rId4641" Type="http://schemas.openxmlformats.org/officeDocument/2006/relationships/hyperlink" Target="https://www.inaturalist.org/observations/362714419" TargetMode="External"/><Relationship Id="rId4642" Type="http://schemas.openxmlformats.org/officeDocument/2006/relationships/hyperlink" Target="https://www.inaturalist.org/people/randall_f" TargetMode="External"/><Relationship Id="rId4643" Type="http://schemas.openxmlformats.org/officeDocument/2006/relationships/hyperlink" Target="https://creativecommons.org/licenses/by-nc/4.0/" TargetMode="External"/><Relationship Id="rId4644" Type="http://schemas.openxmlformats.org/officeDocument/2006/relationships/hyperlink" Target="https://www.inaturalist.org/observations/358529096" TargetMode="External"/><Relationship Id="rId4645" Type="http://schemas.openxmlformats.org/officeDocument/2006/relationships/hyperlink" Target="https://www.inaturalist.org/people/rreams" TargetMode="External"/><Relationship Id="rId4646" Type="http://schemas.openxmlformats.org/officeDocument/2006/relationships/hyperlink" Target="https://creativecommons.org/licenses/by-nc/4.0/" TargetMode="External"/><Relationship Id="rId4647" Type="http://schemas.openxmlformats.org/officeDocument/2006/relationships/hyperlink" Target="https://www.inaturalist.org/observations/353993355" TargetMode="External"/><Relationship Id="rId4648" Type="http://schemas.openxmlformats.org/officeDocument/2006/relationships/hyperlink" Target="https://www.inaturalist.org/people/julien9uwr" TargetMode="External"/><Relationship Id="rId4649" Type="http://schemas.openxmlformats.org/officeDocument/2006/relationships/hyperlink" Target="https://creativecommons.org/licenses/by-nc/4.0/" TargetMode="External"/><Relationship Id="rId4650" Type="http://schemas.openxmlformats.org/officeDocument/2006/relationships/hyperlink" Target="https://www.inaturalist.org/observations/353296551" TargetMode="External"/><Relationship Id="rId4651" Type="http://schemas.openxmlformats.org/officeDocument/2006/relationships/hyperlink" Target="https://www.inaturalist.org/people/markayers" TargetMode="External"/><Relationship Id="rId4652" Type="http://schemas.openxmlformats.org/officeDocument/2006/relationships/hyperlink" Target="https://creativecommons.org/licenses/by-nc/4.0/" TargetMode="External"/><Relationship Id="rId4653" Type="http://schemas.openxmlformats.org/officeDocument/2006/relationships/hyperlink" Target="https://www.inaturalist.org/observations/351944726" TargetMode="External"/><Relationship Id="rId4654" Type="http://schemas.openxmlformats.org/officeDocument/2006/relationships/hyperlink" Target="https://www.inaturalist.org/people/andrew184" TargetMode="External"/><Relationship Id="rId4655" Type="http://schemas.openxmlformats.org/officeDocument/2006/relationships/hyperlink" Target="https://creativecommons.org/licenses/by-nc/4.0/" TargetMode="External"/><Relationship Id="rId4656" Type="http://schemas.openxmlformats.org/officeDocument/2006/relationships/hyperlink" Target="https://www.inaturalist.org/observations/351922664" TargetMode="External"/><Relationship Id="rId4657" Type="http://schemas.openxmlformats.org/officeDocument/2006/relationships/hyperlink" Target="https://www.inaturalist.org/people/emma_karence_bormlund" TargetMode="External"/><Relationship Id="rId4658" Type="http://schemas.openxmlformats.org/officeDocument/2006/relationships/hyperlink" Target="https://creativecommons.org/licenses/by-nc/4.0/" TargetMode="External"/><Relationship Id="rId4659" Type="http://schemas.openxmlformats.org/officeDocument/2006/relationships/hyperlink" Target="https://www.inaturalist.org/observations/351825144" TargetMode="External"/><Relationship Id="rId4660" Type="http://schemas.openxmlformats.org/officeDocument/2006/relationships/hyperlink" Target="https://www.inaturalist.org/people/jmrgardens" TargetMode="External"/><Relationship Id="rId4661" Type="http://schemas.openxmlformats.org/officeDocument/2006/relationships/hyperlink" Target="https://creativecommons.org/licenses/by-nc/4.0/" TargetMode="External"/><Relationship Id="rId4662" Type="http://schemas.openxmlformats.org/officeDocument/2006/relationships/hyperlink" Target="https://www.inaturalist.org/observations/351654119" TargetMode="External"/><Relationship Id="rId4663" Type="http://schemas.openxmlformats.org/officeDocument/2006/relationships/hyperlink" Target="https://www.inaturalist.org/people/jimbobwe" TargetMode="External"/><Relationship Id="rId4664" Type="http://schemas.openxmlformats.org/officeDocument/2006/relationships/hyperlink" Target="https://creativecommons.org/licenses/by-nc/4.0/" TargetMode="External"/><Relationship Id="rId4665" Type="http://schemas.openxmlformats.org/officeDocument/2006/relationships/hyperlink" Target="https://www.inaturalist.org/observations/351128327" TargetMode="External"/><Relationship Id="rId4666" Type="http://schemas.openxmlformats.org/officeDocument/2006/relationships/hyperlink" Target="https://www.inaturalist.org/people/jake-lovell98" TargetMode="External"/><Relationship Id="rId4667" Type="http://schemas.openxmlformats.org/officeDocument/2006/relationships/hyperlink" Target="https://creativecommons.org/licenses/by-nc/4.0/" TargetMode="External"/><Relationship Id="rId4668" Type="http://schemas.openxmlformats.org/officeDocument/2006/relationships/hyperlink" Target="https://www.inaturalist.org/observations/351075840" TargetMode="External"/><Relationship Id="rId4669" Type="http://schemas.openxmlformats.org/officeDocument/2006/relationships/hyperlink" Target="https://www.inaturalist.org/people/jake-lovell98" TargetMode="External"/><Relationship Id="rId4670" Type="http://schemas.openxmlformats.org/officeDocument/2006/relationships/hyperlink" Target="https://creativecommons.org/licenses/by-nc/4.0/" TargetMode="External"/><Relationship Id="rId4671" Type="http://schemas.openxmlformats.org/officeDocument/2006/relationships/hyperlink" Target="https://www.inaturalist.org/observations/351075840" TargetMode="External"/><Relationship Id="rId4672" Type="http://schemas.openxmlformats.org/officeDocument/2006/relationships/hyperlink" Target="https://www.inaturalist.org/people/weevilyday" TargetMode="External"/><Relationship Id="rId4673" Type="http://schemas.openxmlformats.org/officeDocument/2006/relationships/hyperlink" Target="https://creativecommons.org/licenses/by-nc/4.0/" TargetMode="External"/><Relationship Id="rId4674" Type="http://schemas.openxmlformats.org/officeDocument/2006/relationships/hyperlink" Target="https://www.inaturalist.org/observations/350725857" TargetMode="External"/><Relationship Id="rId4675" Type="http://schemas.openxmlformats.org/officeDocument/2006/relationships/hyperlink" Target="https://www.inaturalist.org/people/darren_fielder" TargetMode="External"/><Relationship Id="rId4676" Type="http://schemas.openxmlformats.org/officeDocument/2006/relationships/hyperlink" Target="https://creativecommons.org/licenses/by-nc/4.0/" TargetMode="External"/><Relationship Id="rId4677" Type="http://schemas.openxmlformats.org/officeDocument/2006/relationships/hyperlink" Target="https://www.inaturalist.org/observations/349202719" TargetMode="External"/><Relationship Id="rId4678" Type="http://schemas.openxmlformats.org/officeDocument/2006/relationships/hyperlink" Target="https://www.inaturalist.org/people/suecc" TargetMode="External"/><Relationship Id="rId4679" Type="http://schemas.openxmlformats.org/officeDocument/2006/relationships/hyperlink" Target="https://creativecommons.org/licenses/by-nc/4.0/" TargetMode="External"/><Relationship Id="rId4680" Type="http://schemas.openxmlformats.org/officeDocument/2006/relationships/hyperlink" Target="https://www.inaturalist.org/observations/348879180" TargetMode="External"/><Relationship Id="rId4681" Type="http://schemas.openxmlformats.org/officeDocument/2006/relationships/hyperlink" Target="https://www.inaturalist.org/people/izaacrad" TargetMode="External"/><Relationship Id="rId4682" Type="http://schemas.openxmlformats.org/officeDocument/2006/relationships/hyperlink" Target="https://creativecommons.org/licenses/by-nc/4.0/" TargetMode="External"/><Relationship Id="rId4683" Type="http://schemas.openxmlformats.org/officeDocument/2006/relationships/hyperlink" Target="https://www.inaturalist.org/observations/348870721" TargetMode="External"/><Relationship Id="rId4684" Type="http://schemas.openxmlformats.org/officeDocument/2006/relationships/hyperlink" Target="https://www.inaturalist.org/people/bhare3" TargetMode="External"/><Relationship Id="rId4685" Type="http://schemas.openxmlformats.org/officeDocument/2006/relationships/hyperlink" Target="https://creativecommons.org/licenses/by-nc/4.0/" TargetMode="External"/><Relationship Id="rId4686" Type="http://schemas.openxmlformats.org/officeDocument/2006/relationships/hyperlink" Target="https://www.inaturalist.org/observations/348596112" TargetMode="External"/><Relationship Id="rId4687" Type="http://schemas.openxmlformats.org/officeDocument/2006/relationships/hyperlink" Target="https://www.inaturalist.org/people/bhare3" TargetMode="External"/><Relationship Id="rId4688" Type="http://schemas.openxmlformats.org/officeDocument/2006/relationships/hyperlink" Target="https://creativecommons.org/licenses/by-nc/4.0/" TargetMode="External"/><Relationship Id="rId4689" Type="http://schemas.openxmlformats.org/officeDocument/2006/relationships/hyperlink" Target="https://www.inaturalist.org/observations/348596112" TargetMode="External"/><Relationship Id="rId4690" Type="http://schemas.openxmlformats.org/officeDocument/2006/relationships/hyperlink" Target="https://www.inaturalist.org/people/oz-e-wild" TargetMode="External"/><Relationship Id="rId4691" Type="http://schemas.openxmlformats.org/officeDocument/2006/relationships/hyperlink" Target="https://creativecommons.org/licenses/by-nc/4.0/" TargetMode="External"/><Relationship Id="rId4692" Type="http://schemas.openxmlformats.org/officeDocument/2006/relationships/hyperlink" Target="https://www.inaturalist.org/observations/347170089" TargetMode="External"/><Relationship Id="rId4693" Type="http://schemas.openxmlformats.org/officeDocument/2006/relationships/hyperlink" Target="https://www.inaturalist.org/people/frankief" TargetMode="External"/><Relationship Id="rId4694" Type="http://schemas.openxmlformats.org/officeDocument/2006/relationships/hyperlink" Target="https://creativecommons.org/licenses/by-nc/4.0/" TargetMode="External"/><Relationship Id="rId4695" Type="http://schemas.openxmlformats.org/officeDocument/2006/relationships/hyperlink" Target="https://www.inaturalist.org/observations/346344487" TargetMode="External"/><Relationship Id="rId4696" Type="http://schemas.openxmlformats.org/officeDocument/2006/relationships/hyperlink" Target="https://www.inaturalist.org/people/lisekool" TargetMode="External"/><Relationship Id="rId4697" Type="http://schemas.openxmlformats.org/officeDocument/2006/relationships/hyperlink" Target="https://creativecommons.org/licenses/by-nc/4.0/" TargetMode="External"/><Relationship Id="rId4698" Type="http://schemas.openxmlformats.org/officeDocument/2006/relationships/hyperlink" Target="https://www.inaturalist.org/observations/345182733" TargetMode="External"/><Relationship Id="rId4699" Type="http://schemas.openxmlformats.org/officeDocument/2006/relationships/hyperlink" Target="https://www.inaturalist.org/people/burtony" TargetMode="External"/><Relationship Id="rId4700" Type="http://schemas.openxmlformats.org/officeDocument/2006/relationships/hyperlink" Target="https://creativecommons.org/licenses/by-nc/4.0/" TargetMode="External"/><Relationship Id="rId4701" Type="http://schemas.openxmlformats.org/officeDocument/2006/relationships/hyperlink" Target="https://www.inaturalist.org/observations/342693075" TargetMode="External"/><Relationship Id="rId4702" Type="http://schemas.openxmlformats.org/officeDocument/2006/relationships/hyperlink" Target="https://www.inaturalist.org/people/living_daynagerously" TargetMode="External"/><Relationship Id="rId4703" Type="http://schemas.openxmlformats.org/officeDocument/2006/relationships/hyperlink" Target="https://creativecommons.org/licenses/by-nc/4.0/" TargetMode="External"/><Relationship Id="rId4704" Type="http://schemas.openxmlformats.org/officeDocument/2006/relationships/hyperlink" Target="https://www.inaturalist.org/observations/342432471" TargetMode="External"/><Relationship Id="rId4705" Type="http://schemas.openxmlformats.org/officeDocument/2006/relationships/hyperlink" Target="https://www.inaturalist.org/people/mwhoran" TargetMode="External"/><Relationship Id="rId4706" Type="http://schemas.openxmlformats.org/officeDocument/2006/relationships/hyperlink" Target="https://creativecommons.org/licenses/by-nc/4.0/" TargetMode="External"/><Relationship Id="rId4707" Type="http://schemas.openxmlformats.org/officeDocument/2006/relationships/hyperlink" Target="https://www.inaturalist.org/observations/341192361" TargetMode="External"/><Relationship Id="rId4708" Type="http://schemas.openxmlformats.org/officeDocument/2006/relationships/hyperlink" Target="https://www.inaturalist.org/people/setaphong" TargetMode="External"/><Relationship Id="rId4709" Type="http://schemas.openxmlformats.org/officeDocument/2006/relationships/hyperlink" Target="https://creativecommons.org/licenses/by-nc/4.0/" TargetMode="External"/><Relationship Id="rId4710" Type="http://schemas.openxmlformats.org/officeDocument/2006/relationships/hyperlink" Target="https://www.inaturalist.org/observations/340761379" TargetMode="External"/><Relationship Id="rId4711" Type="http://schemas.openxmlformats.org/officeDocument/2006/relationships/hyperlink" Target="https://www.inaturalist.org/people/setaphong" TargetMode="External"/><Relationship Id="rId4712" Type="http://schemas.openxmlformats.org/officeDocument/2006/relationships/hyperlink" Target="https://creativecommons.org/licenses/by-nc/4.0/" TargetMode="External"/><Relationship Id="rId4713" Type="http://schemas.openxmlformats.org/officeDocument/2006/relationships/hyperlink" Target="https://www.inaturalist.org/observations/340761375" TargetMode="External"/><Relationship Id="rId4714" Type="http://schemas.openxmlformats.org/officeDocument/2006/relationships/hyperlink" Target="https://www.inaturalist.org/people/axeholmes" TargetMode="External"/><Relationship Id="rId4715" Type="http://schemas.openxmlformats.org/officeDocument/2006/relationships/hyperlink" Target="https://creativecommons.org/licenses/by-nc/4.0/" TargetMode="External"/><Relationship Id="rId4716" Type="http://schemas.openxmlformats.org/officeDocument/2006/relationships/hyperlink" Target="https://www.inaturalist.org/observations/362971137" TargetMode="External"/><Relationship Id="rId4717" Type="http://schemas.openxmlformats.org/officeDocument/2006/relationships/hyperlink" Target="https://www.inaturalist.org/people/axeholmes" TargetMode="External"/><Relationship Id="rId4718" Type="http://schemas.openxmlformats.org/officeDocument/2006/relationships/hyperlink" Target="https://creativecommons.org/licenses/by-nc/4.0/" TargetMode="External"/><Relationship Id="rId4719" Type="http://schemas.openxmlformats.org/officeDocument/2006/relationships/hyperlink" Target="https://www.inaturalist.org/observations/362178390" TargetMode="External"/><Relationship Id="rId4720" Type="http://schemas.openxmlformats.org/officeDocument/2006/relationships/hyperlink" Target="https://www.inaturalist.org/people/brad_gabriel" TargetMode="External"/><Relationship Id="rId4721" Type="http://schemas.openxmlformats.org/officeDocument/2006/relationships/hyperlink" Target="https://creativecommons.org/licenses/by-nc/4.0/" TargetMode="External"/><Relationship Id="rId4722" Type="http://schemas.openxmlformats.org/officeDocument/2006/relationships/hyperlink" Target="https://www.inaturalist.org/observations/355378606" TargetMode="External"/><Relationship Id="rId4723" Type="http://schemas.openxmlformats.org/officeDocument/2006/relationships/hyperlink" Target="https://www.inaturalist.org/people/damienesquerre2" TargetMode="External"/><Relationship Id="rId4724" Type="http://schemas.openxmlformats.org/officeDocument/2006/relationships/hyperlink" Target="https://creativecommons.org/licenses/by-nc/4.0/" TargetMode="External"/><Relationship Id="rId4725" Type="http://schemas.openxmlformats.org/officeDocument/2006/relationships/hyperlink" Target="https://www.inaturalist.org/observations/351424200" TargetMode="External"/><Relationship Id="rId4726" Type="http://schemas.openxmlformats.org/officeDocument/2006/relationships/hyperlink" Target="https://www.inaturalist.org/people/jackfegan" TargetMode="External"/><Relationship Id="rId4727" Type="http://schemas.openxmlformats.org/officeDocument/2006/relationships/hyperlink" Target="https://creativecommons.org/licenses/by-nc/4.0/" TargetMode="External"/><Relationship Id="rId4728" Type="http://schemas.openxmlformats.org/officeDocument/2006/relationships/hyperlink" Target="https://www.inaturalist.org/observations/350489123" TargetMode="External"/><Relationship Id="rId4729" Type="http://schemas.openxmlformats.org/officeDocument/2006/relationships/hyperlink" Target="https://www.inaturalist.org/people/rosrunciman" TargetMode="External"/><Relationship Id="rId4730" Type="http://schemas.openxmlformats.org/officeDocument/2006/relationships/hyperlink" Target="https://creativecommons.org/licenses/by-nc/4.0/" TargetMode="External"/><Relationship Id="rId4731" Type="http://schemas.openxmlformats.org/officeDocument/2006/relationships/hyperlink" Target="https://www.inaturalist.org/observations/348929422" TargetMode="External"/><Relationship Id="rId4732" Type="http://schemas.openxmlformats.org/officeDocument/2006/relationships/hyperlink" Target="https://www.inaturalist.org/people/beaniana08" TargetMode="External"/><Relationship Id="rId4733" Type="http://schemas.openxmlformats.org/officeDocument/2006/relationships/hyperlink" Target="https://creativecommons.org/licenses/by-nc/4.0/" TargetMode="External"/><Relationship Id="rId4734" Type="http://schemas.openxmlformats.org/officeDocument/2006/relationships/hyperlink" Target="https://www.inaturalist.org/observations/348691325" TargetMode="External"/><Relationship Id="rId4735" Type="http://schemas.openxmlformats.org/officeDocument/2006/relationships/hyperlink" Target="https://www.inaturalist.org/people/coanne" TargetMode="External"/><Relationship Id="rId4736" Type="http://schemas.openxmlformats.org/officeDocument/2006/relationships/hyperlink" Target="https://creativecommons.org/licenses/by-nc/4.0/" TargetMode="External"/><Relationship Id="rId4737" Type="http://schemas.openxmlformats.org/officeDocument/2006/relationships/hyperlink" Target="https://www.inaturalist.org/observations/347185442" TargetMode="External"/><Relationship Id="rId4738" Type="http://schemas.openxmlformats.org/officeDocument/2006/relationships/hyperlink" Target="https://www.inaturalist.org/people/coanne" TargetMode="External"/><Relationship Id="rId4739" Type="http://schemas.openxmlformats.org/officeDocument/2006/relationships/hyperlink" Target="https://creativecommons.org/licenses/by-nc/4.0/" TargetMode="External"/><Relationship Id="rId4740" Type="http://schemas.openxmlformats.org/officeDocument/2006/relationships/hyperlink" Target="https://www.inaturalist.org/observations/347184925" TargetMode="External"/><Relationship Id="rId4741" Type="http://schemas.openxmlformats.org/officeDocument/2006/relationships/hyperlink" Target="https://www.inaturalist.org/people/coanne" TargetMode="External"/><Relationship Id="rId4742" Type="http://schemas.openxmlformats.org/officeDocument/2006/relationships/hyperlink" Target="https://creativecommons.org/licenses/by-nc/4.0/" TargetMode="External"/><Relationship Id="rId4743" Type="http://schemas.openxmlformats.org/officeDocument/2006/relationships/hyperlink" Target="https://www.inaturalist.org/observations/347184432" TargetMode="External"/><Relationship Id="rId4744" Type="http://schemas.openxmlformats.org/officeDocument/2006/relationships/hyperlink" Target="https://www.inaturalist.org/people/rosrunciman" TargetMode="External"/><Relationship Id="rId4745" Type="http://schemas.openxmlformats.org/officeDocument/2006/relationships/hyperlink" Target="https://creativecommons.org/licenses/by-nc/4.0/" TargetMode="External"/><Relationship Id="rId4746" Type="http://schemas.openxmlformats.org/officeDocument/2006/relationships/hyperlink" Target="https://www.inaturalist.org/observations/346746278" TargetMode="External"/><Relationship Id="rId4747" Type="http://schemas.openxmlformats.org/officeDocument/2006/relationships/hyperlink" Target="https://www.inaturalist.org/people/candiceskelton" TargetMode="External"/><Relationship Id="rId4748" Type="http://schemas.openxmlformats.org/officeDocument/2006/relationships/hyperlink" Target="https://creativecommons.org/licenses/by-nc/4.0/" TargetMode="External"/><Relationship Id="rId4749" Type="http://schemas.openxmlformats.org/officeDocument/2006/relationships/hyperlink" Target="https://www.inaturalist.org/observations/345173998" TargetMode="External"/><Relationship Id="rId4750" Type="http://schemas.openxmlformats.org/officeDocument/2006/relationships/hyperlink" Target="https://www.inaturalist.org/people/bushratz" TargetMode="External"/><Relationship Id="rId4751" Type="http://schemas.openxmlformats.org/officeDocument/2006/relationships/hyperlink" Target="https://creativecommons.org/licenses/by-nc/4.0/" TargetMode="External"/><Relationship Id="rId4752" Type="http://schemas.openxmlformats.org/officeDocument/2006/relationships/hyperlink" Target="https://www.inaturalist.org/observations/340565347" TargetMode="External"/><Relationship Id="rId4753" Type="http://schemas.openxmlformats.org/officeDocument/2006/relationships/hyperlink" Target="https://www.inaturalist.org/people/bushratz" TargetMode="External"/><Relationship Id="rId4754" Type="http://schemas.openxmlformats.org/officeDocument/2006/relationships/hyperlink" Target="https://creativecommons.org/licenses/by-nc/4.0/" TargetMode="External"/><Relationship Id="rId4755" Type="http://schemas.openxmlformats.org/officeDocument/2006/relationships/hyperlink" Target="https://www.inaturalist.org/observations/340565342" TargetMode="External"/><Relationship Id="rId4756" Type="http://schemas.openxmlformats.org/officeDocument/2006/relationships/hyperlink" Target="https://www.inaturalist.org/people/mia_hosken" TargetMode="External"/><Relationship Id="rId4757" Type="http://schemas.openxmlformats.org/officeDocument/2006/relationships/hyperlink" Target="https://creativecommons.org/licenses/by-nc/4.0/" TargetMode="External"/><Relationship Id="rId4758" Type="http://schemas.openxmlformats.org/officeDocument/2006/relationships/hyperlink" Target="https://www.inaturalist.org/observations/339709348" TargetMode="External"/><Relationship Id="rId4759" Type="http://schemas.openxmlformats.org/officeDocument/2006/relationships/hyperlink" Target="https://www.inaturalist.org/people/robbiemily" TargetMode="External"/><Relationship Id="rId4760" Type="http://schemas.openxmlformats.org/officeDocument/2006/relationships/hyperlink" Target="https://creativecommons.org/licenses/by-nc/4.0/" TargetMode="External"/><Relationship Id="rId4761" Type="http://schemas.openxmlformats.org/officeDocument/2006/relationships/hyperlink" Target="https://www.inaturalist.org/observations/339632694" TargetMode="External"/><Relationship Id="rId4762" Type="http://schemas.openxmlformats.org/officeDocument/2006/relationships/hyperlink" Target="https://www.inaturalist.org/people/t-weichselbaum" TargetMode="External"/><Relationship Id="rId4763" Type="http://schemas.openxmlformats.org/officeDocument/2006/relationships/hyperlink" Target="https://creativecommons.org/licenses/by-nc/4.0/" TargetMode="External"/><Relationship Id="rId4764" Type="http://schemas.openxmlformats.org/officeDocument/2006/relationships/hyperlink" Target="https://www.inaturalist.org/observations/336442457" TargetMode="External"/><Relationship Id="rId4765" Type="http://schemas.openxmlformats.org/officeDocument/2006/relationships/hyperlink" Target="https://www.inaturalist.org/people/donglerthrongler" TargetMode="External"/><Relationship Id="rId4766" Type="http://schemas.openxmlformats.org/officeDocument/2006/relationships/hyperlink" Target="https://creativecommons.org/licenses/by-nc/4.0/" TargetMode="External"/><Relationship Id="rId4767" Type="http://schemas.openxmlformats.org/officeDocument/2006/relationships/hyperlink" Target="https://www.inaturalist.org/observations/336221882" TargetMode="External"/><Relationship Id="rId4768" Type="http://schemas.openxmlformats.org/officeDocument/2006/relationships/hyperlink" Target="https://www.inaturalist.org/people/donglerthrongler" TargetMode="External"/><Relationship Id="rId4769" Type="http://schemas.openxmlformats.org/officeDocument/2006/relationships/hyperlink" Target="https://creativecommons.org/licenses/by-nc/4.0/" TargetMode="External"/><Relationship Id="rId4770" Type="http://schemas.openxmlformats.org/officeDocument/2006/relationships/hyperlink" Target="https://www.inaturalist.org/observations/336221882" TargetMode="External"/><Relationship Id="rId4771" Type="http://schemas.openxmlformats.org/officeDocument/2006/relationships/hyperlink" Target="https://www.inaturalist.org/people/mrlachlanb" TargetMode="External"/><Relationship Id="rId4772" Type="http://schemas.openxmlformats.org/officeDocument/2006/relationships/hyperlink" Target="https://creativecommons.org/licenses/by-nc/4.0/" TargetMode="External"/><Relationship Id="rId4773" Type="http://schemas.openxmlformats.org/officeDocument/2006/relationships/hyperlink" Target="https://www.inaturalist.org/observations/334426759" TargetMode="External"/><Relationship Id="rId4774" Type="http://schemas.openxmlformats.org/officeDocument/2006/relationships/hyperlink" Target="https://www.inaturalist.org/people/khensen" TargetMode="External"/><Relationship Id="rId4775" Type="http://schemas.openxmlformats.org/officeDocument/2006/relationships/hyperlink" Target="https://creativecommons.org/licenses/by-nc/4.0/" TargetMode="External"/><Relationship Id="rId4776" Type="http://schemas.openxmlformats.org/officeDocument/2006/relationships/hyperlink" Target="https://www.inaturalist.org/observations/333781966" TargetMode="External"/><Relationship Id="rId4777" Type="http://schemas.openxmlformats.org/officeDocument/2006/relationships/hyperlink" Target="https://www.inaturalist.org/people/riki_paleatus" TargetMode="External"/><Relationship Id="rId4778" Type="http://schemas.openxmlformats.org/officeDocument/2006/relationships/hyperlink" Target="https://creativecommons.org/licenses/by-nc/4.0/" TargetMode="External"/><Relationship Id="rId4779" Type="http://schemas.openxmlformats.org/officeDocument/2006/relationships/hyperlink" Target="https://www.inaturalist.org/observations/330947160" TargetMode="External"/><Relationship Id="rId4780" Type="http://schemas.openxmlformats.org/officeDocument/2006/relationships/hyperlink" Target="https://www.inaturalist.org/people/riki_paleatus" TargetMode="External"/><Relationship Id="rId4781" Type="http://schemas.openxmlformats.org/officeDocument/2006/relationships/hyperlink" Target="https://creativecommons.org/licenses/by-nc/4.0/" TargetMode="External"/><Relationship Id="rId4782" Type="http://schemas.openxmlformats.org/officeDocument/2006/relationships/hyperlink" Target="https://www.inaturalist.org/observations/330947160" TargetMode="External"/><Relationship Id="rId4783" Type="http://schemas.openxmlformats.org/officeDocument/2006/relationships/hyperlink" Target="https://www.inaturalist.org/people/riki_paleatus" TargetMode="External"/><Relationship Id="rId4784" Type="http://schemas.openxmlformats.org/officeDocument/2006/relationships/hyperlink" Target="https://creativecommons.org/licenses/by-nc/4.0/" TargetMode="External"/><Relationship Id="rId4785" Type="http://schemas.openxmlformats.org/officeDocument/2006/relationships/hyperlink" Target="https://www.inaturalist.org/observations/330947160" TargetMode="External"/><Relationship Id="rId4786" Type="http://schemas.openxmlformats.org/officeDocument/2006/relationships/hyperlink" Target="https://www.inaturalist.org/people/riki_paleatus" TargetMode="External"/><Relationship Id="rId4787" Type="http://schemas.openxmlformats.org/officeDocument/2006/relationships/hyperlink" Target="https://creativecommons.org/licenses/by-nc/4.0/" TargetMode="External"/><Relationship Id="rId4788" Type="http://schemas.openxmlformats.org/officeDocument/2006/relationships/hyperlink" Target="https://www.inaturalist.org/observations/330947160" TargetMode="External"/><Relationship Id="rId4789" Type="http://schemas.openxmlformats.org/officeDocument/2006/relationships/hyperlink" Target="https://www.inaturalist.org/people/grahamarmstrong" TargetMode="External"/><Relationship Id="rId4790" Type="http://schemas.openxmlformats.org/officeDocument/2006/relationships/hyperlink" Target="https://creativecommons.org/licenses/by-nc/4.0/" TargetMode="External"/><Relationship Id="rId4791" Type="http://schemas.openxmlformats.org/officeDocument/2006/relationships/hyperlink" Target="https://www.inaturalist.org/observations/330261830" TargetMode="External"/><Relationship Id="rId4792" Type="http://schemas.openxmlformats.org/officeDocument/2006/relationships/hyperlink" Target="https://www.inaturalist.org/people/caedamortus" TargetMode="External"/><Relationship Id="rId4793" Type="http://schemas.openxmlformats.org/officeDocument/2006/relationships/hyperlink" Target="https://creativecommons.org/licenses/by-nc/4.0/" TargetMode="External"/><Relationship Id="rId4794" Type="http://schemas.openxmlformats.org/officeDocument/2006/relationships/hyperlink" Target="https://www.inaturalist.org/observations/328169453" TargetMode="External"/><Relationship Id="rId4795" Type="http://schemas.openxmlformats.org/officeDocument/2006/relationships/hyperlink" Target="https://www.inaturalist.org/people/caedamortus" TargetMode="External"/><Relationship Id="rId4796" Type="http://schemas.openxmlformats.org/officeDocument/2006/relationships/hyperlink" Target="https://creativecommons.org/licenses/by-nc/4.0/" TargetMode="External"/><Relationship Id="rId4797" Type="http://schemas.openxmlformats.org/officeDocument/2006/relationships/hyperlink" Target="https://www.inaturalist.org/observations/328169453" TargetMode="External"/><Relationship Id="rId4798" Type="http://schemas.openxmlformats.org/officeDocument/2006/relationships/hyperlink" Target="https://www.inaturalist.org/people/caedamortus" TargetMode="External"/><Relationship Id="rId4799" Type="http://schemas.openxmlformats.org/officeDocument/2006/relationships/hyperlink" Target="https://creativecommons.org/licenses/by-nc/4.0/" TargetMode="External"/><Relationship Id="rId4800" Type="http://schemas.openxmlformats.org/officeDocument/2006/relationships/hyperlink" Target="https://www.inaturalist.org/observations/328169453" TargetMode="External"/><Relationship Id="rId4801" Type="http://schemas.openxmlformats.org/officeDocument/2006/relationships/hyperlink" Target="https://www.inaturalist.org/people/riki_paleatus" TargetMode="External"/><Relationship Id="rId4802" Type="http://schemas.openxmlformats.org/officeDocument/2006/relationships/hyperlink" Target="https://creativecommons.org/licenses/by-nc/4.0/" TargetMode="External"/><Relationship Id="rId4803" Type="http://schemas.openxmlformats.org/officeDocument/2006/relationships/hyperlink" Target="https://www.inaturalist.org/observations/328149336" TargetMode="External"/><Relationship Id="rId4804" Type="http://schemas.openxmlformats.org/officeDocument/2006/relationships/hyperlink" Target="https://www.inaturalist.org/people/riki_paleatus" TargetMode="External"/><Relationship Id="rId4805" Type="http://schemas.openxmlformats.org/officeDocument/2006/relationships/hyperlink" Target="https://creativecommons.org/licenses/by-nc/4.0/" TargetMode="External"/><Relationship Id="rId4806" Type="http://schemas.openxmlformats.org/officeDocument/2006/relationships/hyperlink" Target="https://www.inaturalist.org/observations/328149336" TargetMode="External"/><Relationship Id="rId4807" Type="http://schemas.openxmlformats.org/officeDocument/2006/relationships/hyperlink" Target="https://www.inaturalist.org/people/j_wheeler22" TargetMode="External"/><Relationship Id="rId4808" Type="http://schemas.openxmlformats.org/officeDocument/2006/relationships/hyperlink" Target="https://creativecommons.org/licenses/by-nc/4.0/" TargetMode="External"/><Relationship Id="rId4809" Type="http://schemas.openxmlformats.org/officeDocument/2006/relationships/hyperlink" Target="https://www.inaturalist.org/observations/322360222" TargetMode="External"/><Relationship Id="rId4810" Type="http://schemas.openxmlformats.org/officeDocument/2006/relationships/hyperlink" Target="https://www.inaturalist.org/people/mitchmyrtaceae" TargetMode="External"/><Relationship Id="rId4811" Type="http://schemas.openxmlformats.org/officeDocument/2006/relationships/hyperlink" Target="https://creativecommons.org/licenses/by-nc/4.0/" TargetMode="External"/><Relationship Id="rId4812" Type="http://schemas.openxmlformats.org/officeDocument/2006/relationships/hyperlink" Target="https://www.inaturalist.org/observations/322052909" TargetMode="External"/><Relationship Id="rId4813" Type="http://schemas.openxmlformats.org/officeDocument/2006/relationships/hyperlink" Target="https://www.inaturalist.org/people/mitchmyrtaceae" TargetMode="External"/><Relationship Id="rId4814" Type="http://schemas.openxmlformats.org/officeDocument/2006/relationships/hyperlink" Target="https://creativecommons.org/licenses/by-nc/4.0/" TargetMode="External"/><Relationship Id="rId4815" Type="http://schemas.openxmlformats.org/officeDocument/2006/relationships/hyperlink" Target="https://www.inaturalist.org/observations/322052909" TargetMode="External"/><Relationship Id="rId4816" Type="http://schemas.openxmlformats.org/officeDocument/2006/relationships/hyperlink" Target="https://www.inaturalist.org/people/lucaspigeon" TargetMode="External"/><Relationship Id="rId4817" Type="http://schemas.openxmlformats.org/officeDocument/2006/relationships/hyperlink" Target="https://creativecommons.org/licenses/by-nc/4.0/" TargetMode="External"/><Relationship Id="rId4818" Type="http://schemas.openxmlformats.org/officeDocument/2006/relationships/hyperlink" Target="https://www.inaturalist.org/observations/321218948" TargetMode="External"/><Relationship Id="rId4819" Type="http://schemas.openxmlformats.org/officeDocument/2006/relationships/hyperlink" Target="https://www.inaturalist.org/people/ingreen626" TargetMode="External"/><Relationship Id="rId4820" Type="http://schemas.openxmlformats.org/officeDocument/2006/relationships/hyperlink" Target="https://creativecommons.org/licenses/by-nc/4.0/" TargetMode="External"/><Relationship Id="rId4821" Type="http://schemas.openxmlformats.org/officeDocument/2006/relationships/hyperlink" Target="https://www.inaturalist.org/observations/378709405" TargetMode="External"/><Relationship Id="rId4822" Type="http://schemas.openxmlformats.org/officeDocument/2006/relationships/hyperlink" Target="https://www.inaturalist.org/people/popera" TargetMode="External"/><Relationship Id="rId4823" Type="http://schemas.openxmlformats.org/officeDocument/2006/relationships/hyperlink" Target="https://creativecommons.org/licenses/by-nc/4.0/" TargetMode="External"/><Relationship Id="rId4824" Type="http://schemas.openxmlformats.org/officeDocument/2006/relationships/hyperlink" Target="https://www.inaturalist.org/observations/373821118" TargetMode="External"/><Relationship Id="rId4825" Type="http://schemas.openxmlformats.org/officeDocument/2006/relationships/hyperlink" Target="https://www.inaturalist.org/people/popera" TargetMode="External"/><Relationship Id="rId4826" Type="http://schemas.openxmlformats.org/officeDocument/2006/relationships/hyperlink" Target="https://creativecommons.org/licenses/by-nc/4.0/" TargetMode="External"/><Relationship Id="rId4827" Type="http://schemas.openxmlformats.org/officeDocument/2006/relationships/hyperlink" Target="https://www.inaturalist.org/observations/373821118" TargetMode="External"/><Relationship Id="rId4828" Type="http://schemas.openxmlformats.org/officeDocument/2006/relationships/hyperlink" Target="https://www.inaturalist.org/people/matthew_connors" TargetMode="External"/><Relationship Id="rId4829" Type="http://schemas.openxmlformats.org/officeDocument/2006/relationships/hyperlink" Target="https://creativecommons.org/licenses/by-nc/4.0/" TargetMode="External"/><Relationship Id="rId4830" Type="http://schemas.openxmlformats.org/officeDocument/2006/relationships/hyperlink" Target="https://www.inaturalist.org/observations/373817179" TargetMode="External"/><Relationship Id="rId4831" Type="http://schemas.openxmlformats.org/officeDocument/2006/relationships/hyperlink" Target="https://www.inaturalist.org/people/jodie_b" TargetMode="External"/><Relationship Id="rId4832" Type="http://schemas.openxmlformats.org/officeDocument/2006/relationships/hyperlink" Target="https://creativecommons.org/licenses/by-nc/4.0/" TargetMode="External"/><Relationship Id="rId4833" Type="http://schemas.openxmlformats.org/officeDocument/2006/relationships/hyperlink" Target="https://www.inaturalist.org/observations/357767308" TargetMode="External"/><Relationship Id="rId4834" Type="http://schemas.openxmlformats.org/officeDocument/2006/relationships/hyperlink" Target="https://www.inaturalist.org/people/jodie_b" TargetMode="External"/><Relationship Id="rId4835" Type="http://schemas.openxmlformats.org/officeDocument/2006/relationships/hyperlink" Target="https://creativecommons.org/licenses/by-nc/4.0/" TargetMode="External"/><Relationship Id="rId4836" Type="http://schemas.openxmlformats.org/officeDocument/2006/relationships/hyperlink" Target="https://www.inaturalist.org/observations/357767308" TargetMode="External"/><Relationship Id="rId4837" Type="http://schemas.openxmlformats.org/officeDocument/2006/relationships/hyperlink" Target="https://www.inaturalist.org/people/jodie_b" TargetMode="External"/><Relationship Id="rId4838" Type="http://schemas.openxmlformats.org/officeDocument/2006/relationships/hyperlink" Target="https://creativecommons.org/licenses/by-nc/4.0/" TargetMode="External"/><Relationship Id="rId4839" Type="http://schemas.openxmlformats.org/officeDocument/2006/relationships/hyperlink" Target="https://www.inaturalist.org/observations/357767308" TargetMode="External"/><Relationship Id="rId4840" Type="http://schemas.openxmlformats.org/officeDocument/2006/relationships/hyperlink" Target="https://www.inaturalist.org/people/jodie_b" TargetMode="External"/><Relationship Id="rId4841" Type="http://schemas.openxmlformats.org/officeDocument/2006/relationships/hyperlink" Target="https://creativecommons.org/licenses/by-nc/4.0/" TargetMode="External"/><Relationship Id="rId4842" Type="http://schemas.openxmlformats.org/officeDocument/2006/relationships/hyperlink" Target="https://www.inaturalist.org/observations/357767308" TargetMode="External"/><Relationship Id="rId4843" Type="http://schemas.openxmlformats.org/officeDocument/2006/relationships/hyperlink" Target="https://www.inaturalist.org/people/wildren" TargetMode="External"/><Relationship Id="rId4844" Type="http://schemas.openxmlformats.org/officeDocument/2006/relationships/hyperlink" Target="https://creativecommons.org/licenses/by-nc/4.0/" TargetMode="External"/><Relationship Id="rId4845" Type="http://schemas.openxmlformats.org/officeDocument/2006/relationships/hyperlink" Target="https://www.inaturalist.org/observations/351413066" TargetMode="External"/><Relationship Id="rId4846" Type="http://schemas.openxmlformats.org/officeDocument/2006/relationships/hyperlink" Target="https://www.inaturalist.org/people/petehallinwildlife" TargetMode="External"/><Relationship Id="rId4847" Type="http://schemas.openxmlformats.org/officeDocument/2006/relationships/hyperlink" Target="https://creativecommons.org/licenses/by-nc/4.0/" TargetMode="External"/><Relationship Id="rId4848" Type="http://schemas.openxmlformats.org/officeDocument/2006/relationships/hyperlink" Target="https://www.inaturalist.org/observations/349204937" TargetMode="External"/><Relationship Id="rId4849" Type="http://schemas.openxmlformats.org/officeDocument/2006/relationships/hyperlink" Target="https://www.inaturalist.org/people/petehallinwildlife" TargetMode="External"/><Relationship Id="rId4850" Type="http://schemas.openxmlformats.org/officeDocument/2006/relationships/hyperlink" Target="https://creativecommons.org/licenses/by-nc/4.0/" TargetMode="External"/><Relationship Id="rId4851" Type="http://schemas.openxmlformats.org/officeDocument/2006/relationships/hyperlink" Target="https://www.inaturalist.org/observations/349204937" TargetMode="External"/><Relationship Id="rId4852" Type="http://schemas.openxmlformats.org/officeDocument/2006/relationships/hyperlink" Target="https://www.inaturalist.org/people/jasvink" TargetMode="External"/><Relationship Id="rId4853" Type="http://schemas.openxmlformats.org/officeDocument/2006/relationships/hyperlink" Target="https://creativecommons.org/licenses/by-nc/4.0/" TargetMode="External"/><Relationship Id="rId4854" Type="http://schemas.openxmlformats.org/officeDocument/2006/relationships/hyperlink" Target="https://www.inaturalist.org/observations/348221247" TargetMode="External"/><Relationship Id="rId4855" Type="http://schemas.openxmlformats.org/officeDocument/2006/relationships/hyperlink" Target="https://www.inaturalist.org/people/ehenri218" TargetMode="External"/><Relationship Id="rId4856" Type="http://schemas.openxmlformats.org/officeDocument/2006/relationships/hyperlink" Target="https://creativecommons.org/licenses/by-nc/4.0/" TargetMode="External"/><Relationship Id="rId4857" Type="http://schemas.openxmlformats.org/officeDocument/2006/relationships/hyperlink" Target="https://www.inaturalist.org/observations/342881612" TargetMode="External"/><Relationship Id="rId4858" Type="http://schemas.openxmlformats.org/officeDocument/2006/relationships/hyperlink" Target="https://www.inaturalist.org/people/nanjian_xiao" TargetMode="External"/><Relationship Id="rId4859" Type="http://schemas.openxmlformats.org/officeDocument/2006/relationships/hyperlink" Target="https://creativecommons.org/licenses/by-nc/4.0/" TargetMode="External"/><Relationship Id="rId4860" Type="http://schemas.openxmlformats.org/officeDocument/2006/relationships/hyperlink" Target="https://www.inaturalist.org/observations/342755643" TargetMode="External"/><Relationship Id="rId4861" Type="http://schemas.openxmlformats.org/officeDocument/2006/relationships/hyperlink" Target="https://www.inaturalist.org/people/nanjian_xiao" TargetMode="External"/><Relationship Id="rId4862" Type="http://schemas.openxmlformats.org/officeDocument/2006/relationships/hyperlink" Target="https://creativecommons.org/licenses/by-nc/4.0/" TargetMode="External"/><Relationship Id="rId4863" Type="http://schemas.openxmlformats.org/officeDocument/2006/relationships/hyperlink" Target="https://www.inaturalist.org/observations/340962852" TargetMode="External"/><Relationship Id="rId4864" Type="http://schemas.openxmlformats.org/officeDocument/2006/relationships/hyperlink" Target="https://www.inaturalist.org/people/setaphong" TargetMode="External"/><Relationship Id="rId4865" Type="http://schemas.openxmlformats.org/officeDocument/2006/relationships/hyperlink" Target="https://creativecommons.org/licenses/by-nc/4.0/" TargetMode="External"/><Relationship Id="rId4866" Type="http://schemas.openxmlformats.org/officeDocument/2006/relationships/hyperlink" Target="https://www.inaturalist.org/observations/340761258" TargetMode="External"/><Relationship Id="rId4867" Type="http://schemas.openxmlformats.org/officeDocument/2006/relationships/hyperlink" Target="https://www.inaturalist.org/people/davidgwhite" TargetMode="External"/><Relationship Id="rId4868" Type="http://schemas.openxmlformats.org/officeDocument/2006/relationships/hyperlink" Target="https://creativecommons.org/licenses/by-nc/4.0/" TargetMode="External"/><Relationship Id="rId4869" Type="http://schemas.openxmlformats.org/officeDocument/2006/relationships/hyperlink" Target="https://www.inaturalist.org/observations/339965965" TargetMode="External"/><Relationship Id="rId4870" Type="http://schemas.openxmlformats.org/officeDocument/2006/relationships/hyperlink" Target="https://www.inaturalist.org/people/brother-nature" TargetMode="External"/><Relationship Id="rId4871" Type="http://schemas.openxmlformats.org/officeDocument/2006/relationships/hyperlink" Target="https://creativecommons.org/licenses/by-nc/4.0/" TargetMode="External"/><Relationship Id="rId4872" Type="http://schemas.openxmlformats.org/officeDocument/2006/relationships/hyperlink" Target="https://www.inaturalist.org/observations/331266025" TargetMode="External"/><Relationship Id="rId4873" Type="http://schemas.openxmlformats.org/officeDocument/2006/relationships/hyperlink" Target="https://www.inaturalist.org/people/bridgetteaussiemacro" TargetMode="External"/><Relationship Id="rId4874" Type="http://schemas.openxmlformats.org/officeDocument/2006/relationships/hyperlink" Target="https://creativecommons.org/licenses/by-nc/4.0/" TargetMode="External"/><Relationship Id="rId4875" Type="http://schemas.openxmlformats.org/officeDocument/2006/relationships/hyperlink" Target="https://www.inaturalist.org/observations/328453465" TargetMode="External"/><Relationship Id="rId4876" Type="http://schemas.openxmlformats.org/officeDocument/2006/relationships/hyperlink" Target="https://www.inaturalist.org/people/gar_rethus" TargetMode="External"/><Relationship Id="rId4877" Type="http://schemas.openxmlformats.org/officeDocument/2006/relationships/hyperlink" Target="https://creativecommons.org/licenses/by-nc/4.0/" TargetMode="External"/><Relationship Id="rId4878" Type="http://schemas.openxmlformats.org/officeDocument/2006/relationships/hyperlink" Target="https://www.inaturalist.org/observations/328268486" TargetMode="External"/><Relationship Id="rId4879" Type="http://schemas.openxmlformats.org/officeDocument/2006/relationships/hyperlink" Target="https://www.inaturalist.org/people/mitchell73" TargetMode="External"/><Relationship Id="rId4880" Type="http://schemas.openxmlformats.org/officeDocument/2006/relationships/hyperlink" Target="https://creativecommons.org/licenses/by-nc/4.0/" TargetMode="External"/><Relationship Id="rId4881" Type="http://schemas.openxmlformats.org/officeDocument/2006/relationships/hyperlink" Target="https://www.inaturalist.org/observations/325330195" TargetMode="External"/><Relationship Id="rId4882" Type="http://schemas.openxmlformats.org/officeDocument/2006/relationships/hyperlink" Target="https://www.inaturalist.org/people/caleb_yates" TargetMode="External"/><Relationship Id="rId4883" Type="http://schemas.openxmlformats.org/officeDocument/2006/relationships/hyperlink" Target="https://creativecommons.org/licenses/by-nc/4.0/" TargetMode="External"/><Relationship Id="rId4884" Type="http://schemas.openxmlformats.org/officeDocument/2006/relationships/hyperlink" Target="https://www.inaturalist.org/observations/321796597" TargetMode="External"/><Relationship Id="rId4885" Type="http://schemas.openxmlformats.org/officeDocument/2006/relationships/hyperlink" Target="https://www.inaturalist.org/people/nashj_e" TargetMode="External"/><Relationship Id="rId4886" Type="http://schemas.openxmlformats.org/officeDocument/2006/relationships/hyperlink" Target="https://creativecommons.org/licenses/by-nc/4.0/" TargetMode="External"/><Relationship Id="rId4887" Type="http://schemas.openxmlformats.org/officeDocument/2006/relationships/hyperlink" Target="https://www.inaturalist.org/observations/321550221" TargetMode="External"/><Relationship Id="rId4888" Type="http://schemas.openxmlformats.org/officeDocument/2006/relationships/hyperlink" Target="https://www.inaturalist.org/people/axeholmes" TargetMode="External"/><Relationship Id="rId4889" Type="http://schemas.openxmlformats.org/officeDocument/2006/relationships/hyperlink" Target="https://creativecommons.org/licenses/by-nc/4.0/" TargetMode="External"/><Relationship Id="rId4890" Type="http://schemas.openxmlformats.org/officeDocument/2006/relationships/hyperlink" Target="https://www.inaturalist.org/observations/319850750" TargetMode="External"/><Relationship Id="rId4891" Type="http://schemas.openxmlformats.org/officeDocument/2006/relationships/hyperlink" Target="https://www.inaturalist.org/people/adrianna_pisharkchick" TargetMode="External"/><Relationship Id="rId4892" Type="http://schemas.openxmlformats.org/officeDocument/2006/relationships/hyperlink" Target="https://creativecommons.org/licenses/by-nc/4.0/" TargetMode="External"/><Relationship Id="rId4893" Type="http://schemas.openxmlformats.org/officeDocument/2006/relationships/hyperlink" Target="https://www.inaturalist.org/observations/319477228" TargetMode="External"/><Relationship Id="rId4894" Type="http://schemas.openxmlformats.org/officeDocument/2006/relationships/hyperlink" Target="https://www.inaturalist.org/people/beaniana08" TargetMode="External"/><Relationship Id="rId4895" Type="http://schemas.openxmlformats.org/officeDocument/2006/relationships/hyperlink" Target="https://creativecommons.org/licenses/by-nc/4.0/" TargetMode="External"/><Relationship Id="rId4896" Type="http://schemas.openxmlformats.org/officeDocument/2006/relationships/hyperlink" Target="https://www.inaturalist.org/observations/319462200" TargetMode="External"/><Relationship Id="rId4897" Type="http://schemas.openxmlformats.org/officeDocument/2006/relationships/hyperlink" Target="https://www.inaturalist.org/people/beaniana08" TargetMode="External"/><Relationship Id="rId4898" Type="http://schemas.openxmlformats.org/officeDocument/2006/relationships/hyperlink" Target="https://creativecommons.org/licenses/by-nc/4.0/" TargetMode="External"/><Relationship Id="rId4899" Type="http://schemas.openxmlformats.org/officeDocument/2006/relationships/hyperlink" Target="https://www.inaturalist.org/observations/319462200" TargetMode="External"/><Relationship Id="rId4900" Type="http://schemas.openxmlformats.org/officeDocument/2006/relationships/hyperlink" Target="https://www.inaturalist.org/people/beaniana08" TargetMode="External"/><Relationship Id="rId4901" Type="http://schemas.openxmlformats.org/officeDocument/2006/relationships/hyperlink" Target="https://creativecommons.org/licenses/by-nc/4.0/" TargetMode="External"/><Relationship Id="rId4902" Type="http://schemas.openxmlformats.org/officeDocument/2006/relationships/hyperlink" Target="https://www.inaturalist.org/observations/319462200" TargetMode="External"/><Relationship Id="rId4903" Type="http://schemas.openxmlformats.org/officeDocument/2006/relationships/hyperlink" Target="https://www.inaturalist.org/people/jackcaleo09" TargetMode="External"/><Relationship Id="rId4904" Type="http://schemas.openxmlformats.org/officeDocument/2006/relationships/hyperlink" Target="https://creativecommons.org/licenses/by-nc/4.0/" TargetMode="External"/><Relationship Id="rId4905" Type="http://schemas.openxmlformats.org/officeDocument/2006/relationships/hyperlink" Target="https://www.inaturalist.org/observations/315102833" TargetMode="External"/><Relationship Id="rId4906" Type="http://schemas.openxmlformats.org/officeDocument/2006/relationships/hyperlink" Target="https://www.inaturalist.org/people/jacintafrancesca" TargetMode="External"/><Relationship Id="rId4907" Type="http://schemas.openxmlformats.org/officeDocument/2006/relationships/hyperlink" Target="https://creativecommons.org/licenses/by-nc/4.0/" TargetMode="External"/><Relationship Id="rId4908" Type="http://schemas.openxmlformats.org/officeDocument/2006/relationships/hyperlink" Target="https://www.inaturalist.org/observations/307869602" TargetMode="External"/><Relationship Id="rId4909" Type="http://schemas.openxmlformats.org/officeDocument/2006/relationships/hyperlink" Target="https://www.inaturalist.org/people/willjmatthews04" TargetMode="External"/><Relationship Id="rId4910" Type="http://schemas.openxmlformats.org/officeDocument/2006/relationships/hyperlink" Target="https://creativecommons.org/licenses/by-nc/4.0/" TargetMode="External"/><Relationship Id="rId4911" Type="http://schemas.openxmlformats.org/officeDocument/2006/relationships/hyperlink" Target="https://www.inaturalist.org/observations/300087965" TargetMode="External"/><Relationship Id="rId4912" Type="http://schemas.openxmlformats.org/officeDocument/2006/relationships/hyperlink" Target="https://www.inaturalist.org/people/willjmatthews04" TargetMode="External"/><Relationship Id="rId4913" Type="http://schemas.openxmlformats.org/officeDocument/2006/relationships/hyperlink" Target="https://creativecommons.org/licenses/by-nc/4.0/" TargetMode="External"/><Relationship Id="rId4914" Type="http://schemas.openxmlformats.org/officeDocument/2006/relationships/hyperlink" Target="https://www.inaturalist.org/observations/300087703" TargetMode="External"/><Relationship Id="rId4915" Type="http://schemas.openxmlformats.org/officeDocument/2006/relationships/hyperlink" Target="https://www.inaturalist.org/people/willjmatthews04" TargetMode="External"/><Relationship Id="rId4916" Type="http://schemas.openxmlformats.org/officeDocument/2006/relationships/hyperlink" Target="https://creativecommons.org/licenses/by-nc/4.0/" TargetMode="External"/><Relationship Id="rId4917" Type="http://schemas.openxmlformats.org/officeDocument/2006/relationships/hyperlink" Target="https://www.inaturalist.org/observations/300087703" TargetMode="External"/><Relationship Id="rId4918" Type="http://schemas.openxmlformats.org/officeDocument/2006/relationships/hyperlink" Target="https://www.inaturalist.org/people/wiiiywagtail" TargetMode="External"/><Relationship Id="rId4919" Type="http://schemas.openxmlformats.org/officeDocument/2006/relationships/hyperlink" Target="https://creativecommons.org/licenses/by-nc/4.0/" TargetMode="External"/><Relationship Id="rId4920" Type="http://schemas.openxmlformats.org/officeDocument/2006/relationships/hyperlink" Target="https://www.inaturalist.org/observations/264431794" TargetMode="External"/><Relationship Id="rId4921" Type="http://schemas.openxmlformats.org/officeDocument/2006/relationships/hyperlink" Target="https://www.inaturalist.org/people/riley_byrne" TargetMode="External"/><Relationship Id="rId4922" Type="http://schemas.openxmlformats.org/officeDocument/2006/relationships/hyperlink" Target="https://creativecommons.org/licenses/by-nc/4.0/" TargetMode="External"/><Relationship Id="rId4923" Type="http://schemas.openxmlformats.org/officeDocument/2006/relationships/hyperlink" Target="https://www.inaturalist.org/observations/264413352" TargetMode="External"/><Relationship Id="rId4924" Type="http://schemas.openxmlformats.org/officeDocument/2006/relationships/hyperlink" Target="https://www.inaturalist.org/people/hrnature" TargetMode="External"/><Relationship Id="rId4925" Type="http://schemas.openxmlformats.org/officeDocument/2006/relationships/hyperlink" Target="https://creativecommons.org/licenses/by-nc/4.0/" TargetMode="External"/><Relationship Id="rId4926" Type="http://schemas.openxmlformats.org/officeDocument/2006/relationships/hyperlink" Target="https://www.inaturalist.org/observations/379915876" TargetMode="External"/><Relationship Id="rId4927" Type="http://schemas.openxmlformats.org/officeDocument/2006/relationships/hyperlink" Target="https://www.inaturalist.org/people/asaph01" TargetMode="External"/><Relationship Id="rId4928" Type="http://schemas.openxmlformats.org/officeDocument/2006/relationships/hyperlink" Target="https://creativecommons.org/licenses/by-nc/4.0/" TargetMode="External"/><Relationship Id="rId4929" Type="http://schemas.openxmlformats.org/officeDocument/2006/relationships/hyperlink" Target="https://www.inaturalist.org/observations/378709802" TargetMode="External"/><Relationship Id="rId4930" Type="http://schemas.openxmlformats.org/officeDocument/2006/relationships/hyperlink" Target="https://www.inaturalist.org/people/lmk96" TargetMode="External"/><Relationship Id="rId4931" Type="http://schemas.openxmlformats.org/officeDocument/2006/relationships/hyperlink" Target="https://creativecommons.org/licenses/by-nc/4.0/" TargetMode="External"/><Relationship Id="rId4932" Type="http://schemas.openxmlformats.org/officeDocument/2006/relationships/hyperlink" Target="https://www.inaturalist.org/observations/378668411" TargetMode="External"/><Relationship Id="rId4933" Type="http://schemas.openxmlformats.org/officeDocument/2006/relationships/hyperlink" Target="https://www.inaturalist.org/people/lmk96" TargetMode="External"/><Relationship Id="rId4934" Type="http://schemas.openxmlformats.org/officeDocument/2006/relationships/hyperlink" Target="https://creativecommons.org/licenses/by-nc/4.0/" TargetMode="External"/><Relationship Id="rId4935" Type="http://schemas.openxmlformats.org/officeDocument/2006/relationships/hyperlink" Target="https://www.inaturalist.org/observations/378668357" TargetMode="External"/><Relationship Id="rId4936" Type="http://schemas.openxmlformats.org/officeDocument/2006/relationships/hyperlink" Target="https://www.inaturalist.org/people/lmk96" TargetMode="External"/><Relationship Id="rId4937" Type="http://schemas.openxmlformats.org/officeDocument/2006/relationships/hyperlink" Target="https://creativecommons.org/licenses/by-nc/4.0/" TargetMode="External"/><Relationship Id="rId4938" Type="http://schemas.openxmlformats.org/officeDocument/2006/relationships/hyperlink" Target="https://www.inaturalist.org/observations/378668357" TargetMode="External"/><Relationship Id="rId4939" Type="http://schemas.openxmlformats.org/officeDocument/2006/relationships/hyperlink" Target="https://www.inaturalist.org/people/lmk96" TargetMode="External"/><Relationship Id="rId4940" Type="http://schemas.openxmlformats.org/officeDocument/2006/relationships/hyperlink" Target="https://creativecommons.org/licenses/by-nc/4.0/" TargetMode="External"/><Relationship Id="rId4941" Type="http://schemas.openxmlformats.org/officeDocument/2006/relationships/hyperlink" Target="https://www.inaturalist.org/observations/378668161" TargetMode="External"/><Relationship Id="rId4942" Type="http://schemas.openxmlformats.org/officeDocument/2006/relationships/hyperlink" Target="https://www.inaturalist.org/people/lmk96" TargetMode="External"/><Relationship Id="rId4943" Type="http://schemas.openxmlformats.org/officeDocument/2006/relationships/hyperlink" Target="https://creativecommons.org/licenses/by-nc/4.0/" TargetMode="External"/><Relationship Id="rId4944" Type="http://schemas.openxmlformats.org/officeDocument/2006/relationships/hyperlink" Target="https://www.inaturalist.org/observations/378667269" TargetMode="External"/><Relationship Id="rId4945" Type="http://schemas.openxmlformats.org/officeDocument/2006/relationships/hyperlink" Target="https://www.inaturalist.org/people/nweigner" TargetMode="External"/><Relationship Id="rId4946" Type="http://schemas.openxmlformats.org/officeDocument/2006/relationships/hyperlink" Target="https://creativecommons.org/licenses/by-nc/4.0/" TargetMode="External"/><Relationship Id="rId4947" Type="http://schemas.openxmlformats.org/officeDocument/2006/relationships/hyperlink" Target="https://www.inaturalist.org/observations/374820789" TargetMode="External"/><Relationship Id="rId4948" Type="http://schemas.openxmlformats.org/officeDocument/2006/relationships/hyperlink" Target="https://www.inaturalist.org/people/khensen" TargetMode="External"/><Relationship Id="rId4949" Type="http://schemas.openxmlformats.org/officeDocument/2006/relationships/hyperlink" Target="https://creativecommons.org/licenses/by-nc/4.0/" TargetMode="External"/><Relationship Id="rId4950" Type="http://schemas.openxmlformats.org/officeDocument/2006/relationships/hyperlink" Target="https://www.inaturalist.org/observations/373781900" TargetMode="External"/><Relationship Id="rId4951" Type="http://schemas.openxmlformats.org/officeDocument/2006/relationships/hyperlink" Target="https://www.inaturalist.org/people/littlebrownskink" TargetMode="External"/><Relationship Id="rId4952" Type="http://schemas.openxmlformats.org/officeDocument/2006/relationships/hyperlink" Target="https://creativecommons.org/licenses/by-nc/4.0/" TargetMode="External"/><Relationship Id="rId4953" Type="http://schemas.openxmlformats.org/officeDocument/2006/relationships/hyperlink" Target="https://www.inaturalist.org/observations/372646129" TargetMode="External"/><Relationship Id="rId4954" Type="http://schemas.openxmlformats.org/officeDocument/2006/relationships/hyperlink" Target="https://www.inaturalist.org/people/littlebrownskink" TargetMode="External"/><Relationship Id="rId4955" Type="http://schemas.openxmlformats.org/officeDocument/2006/relationships/hyperlink" Target="https://creativecommons.org/licenses/by-nc/4.0/" TargetMode="External"/><Relationship Id="rId4956" Type="http://schemas.openxmlformats.org/officeDocument/2006/relationships/hyperlink" Target="https://www.inaturalist.org/observations/372640241" TargetMode="External"/><Relationship Id="rId4957" Type="http://schemas.openxmlformats.org/officeDocument/2006/relationships/hyperlink" Target="https://www.inaturalist.org/people/crocattackdatabase" TargetMode="External"/><Relationship Id="rId4958" Type="http://schemas.openxmlformats.org/officeDocument/2006/relationships/hyperlink" Target="https://creativecommons.org/licenses/by-nc/4.0/" TargetMode="External"/><Relationship Id="rId4959" Type="http://schemas.openxmlformats.org/officeDocument/2006/relationships/hyperlink" Target="https://www.inaturalist.org/observations/372402743" TargetMode="External"/><Relationship Id="rId4960" Type="http://schemas.openxmlformats.org/officeDocument/2006/relationships/hyperlink" Target="https://www.inaturalist.org/people/kurtle88" TargetMode="External"/><Relationship Id="rId4961" Type="http://schemas.openxmlformats.org/officeDocument/2006/relationships/hyperlink" Target="https://creativecommons.org/licenses/by-nc/4.0/" TargetMode="External"/><Relationship Id="rId4962" Type="http://schemas.openxmlformats.org/officeDocument/2006/relationships/hyperlink" Target="https://www.inaturalist.org/observations/371935261" TargetMode="External"/><Relationship Id="rId4963" Type="http://schemas.openxmlformats.org/officeDocument/2006/relationships/hyperlink" Target="https://www.inaturalist.org/people/natechu0" TargetMode="External"/><Relationship Id="rId4964" Type="http://schemas.openxmlformats.org/officeDocument/2006/relationships/hyperlink" Target="https://creativecommons.org/licenses/by-nc/4.0/" TargetMode="External"/><Relationship Id="rId4965" Type="http://schemas.openxmlformats.org/officeDocument/2006/relationships/hyperlink" Target="https://www.inaturalist.org/observations/369692363" TargetMode="External"/><Relationship Id="rId4966" Type="http://schemas.openxmlformats.org/officeDocument/2006/relationships/hyperlink" Target="https://www.inaturalist.org/people/beccbbbec" TargetMode="External"/><Relationship Id="rId4967" Type="http://schemas.openxmlformats.org/officeDocument/2006/relationships/hyperlink" Target="https://creativecommons.org/licenses/by-nc/4.0/" TargetMode="External"/><Relationship Id="rId4968" Type="http://schemas.openxmlformats.org/officeDocument/2006/relationships/hyperlink" Target="https://www.inaturalist.org/observations/367964825" TargetMode="External"/><Relationship Id="rId4969" Type="http://schemas.openxmlformats.org/officeDocument/2006/relationships/hyperlink" Target="https://www.inaturalist.org/people/kenty_8881" TargetMode="External"/><Relationship Id="rId4970" Type="http://schemas.openxmlformats.org/officeDocument/2006/relationships/hyperlink" Target="https://creativecommons.org/licenses/by-nc/4.0/" TargetMode="External"/><Relationship Id="rId4971" Type="http://schemas.openxmlformats.org/officeDocument/2006/relationships/hyperlink" Target="https://www.inaturalist.org/observations/367664394" TargetMode="External"/><Relationship Id="rId4972" Type="http://schemas.openxmlformats.org/officeDocument/2006/relationships/hyperlink" Target="https://www.inaturalist.org/people/glen_murray" TargetMode="External"/><Relationship Id="rId4973" Type="http://schemas.openxmlformats.org/officeDocument/2006/relationships/hyperlink" Target="https://creativecommons.org/licenses/by-nc/4.0/" TargetMode="External"/><Relationship Id="rId4974" Type="http://schemas.openxmlformats.org/officeDocument/2006/relationships/hyperlink" Target="https://www.inaturalist.org/observations/358252039" TargetMode="External"/><Relationship Id="rId4975" Type="http://schemas.openxmlformats.org/officeDocument/2006/relationships/hyperlink" Target="https://www.inaturalist.org/people/glen_murray" TargetMode="External"/><Relationship Id="rId4976" Type="http://schemas.openxmlformats.org/officeDocument/2006/relationships/hyperlink" Target="https://creativecommons.org/licenses/by-nc/4.0/" TargetMode="External"/><Relationship Id="rId4977" Type="http://schemas.openxmlformats.org/officeDocument/2006/relationships/hyperlink" Target="https://www.inaturalist.org/observations/358252039" TargetMode="External"/><Relationship Id="rId4978" Type="http://schemas.openxmlformats.org/officeDocument/2006/relationships/hyperlink" Target="https://www.inaturalist.org/people/rreams" TargetMode="External"/><Relationship Id="rId4979" Type="http://schemas.openxmlformats.org/officeDocument/2006/relationships/hyperlink" Target="https://creativecommons.org/licenses/by-nc/4.0/" TargetMode="External"/><Relationship Id="rId4980" Type="http://schemas.openxmlformats.org/officeDocument/2006/relationships/hyperlink" Target="https://www.inaturalist.org/observations/357320555" TargetMode="External"/><Relationship Id="rId4981" Type="http://schemas.openxmlformats.org/officeDocument/2006/relationships/hyperlink" Target="https://www.inaturalist.org/people/rreams" TargetMode="External"/><Relationship Id="rId4982" Type="http://schemas.openxmlformats.org/officeDocument/2006/relationships/hyperlink" Target="https://creativecommons.org/licenses/by-nc/4.0/" TargetMode="External"/><Relationship Id="rId4983" Type="http://schemas.openxmlformats.org/officeDocument/2006/relationships/hyperlink" Target="https://www.inaturalist.org/observations/354805570" TargetMode="External"/><Relationship Id="rId4984" Type="http://schemas.openxmlformats.org/officeDocument/2006/relationships/hyperlink" Target="https://www.inaturalist.org/people/brad_gabriel" TargetMode="External"/><Relationship Id="rId4985" Type="http://schemas.openxmlformats.org/officeDocument/2006/relationships/hyperlink" Target="https://creativecommons.org/licenses/by-nc/4.0/" TargetMode="External"/><Relationship Id="rId4986" Type="http://schemas.openxmlformats.org/officeDocument/2006/relationships/hyperlink" Target="https://www.inaturalist.org/observations/351704881" TargetMode="External"/><Relationship Id="rId4987" Type="http://schemas.openxmlformats.org/officeDocument/2006/relationships/hyperlink" Target="https://www.inaturalist.org/people/jordanferguson" TargetMode="External"/><Relationship Id="rId4988" Type="http://schemas.openxmlformats.org/officeDocument/2006/relationships/hyperlink" Target="https://creativecommons.org/licenses/by-nc/4.0/" TargetMode="External"/><Relationship Id="rId4989" Type="http://schemas.openxmlformats.org/officeDocument/2006/relationships/hyperlink" Target="https://www.inaturalist.org/observations/349112459" TargetMode="External"/><Relationship Id="rId4990" Type="http://schemas.openxmlformats.org/officeDocument/2006/relationships/hyperlink" Target="https://www.inaturalist.org/people/anatinus" TargetMode="External"/><Relationship Id="rId4991" Type="http://schemas.openxmlformats.org/officeDocument/2006/relationships/hyperlink" Target="https://creativecommons.org/licenses/by-nc/4.0/" TargetMode="External"/><Relationship Id="rId4992" Type="http://schemas.openxmlformats.org/officeDocument/2006/relationships/hyperlink" Target="https://www.inaturalist.org/observations/347842221" TargetMode="External"/><Relationship Id="rId4993" Type="http://schemas.openxmlformats.org/officeDocument/2006/relationships/hyperlink" Target="https://www.inaturalist.org/people/froggyreptile" TargetMode="External"/><Relationship Id="rId4994" Type="http://schemas.openxmlformats.org/officeDocument/2006/relationships/hyperlink" Target="https://creativecommons.org/licenses/by-nc/4.0/" TargetMode="External"/><Relationship Id="rId4995" Type="http://schemas.openxmlformats.org/officeDocument/2006/relationships/hyperlink" Target="https://www.inaturalist.org/observations/346308385" TargetMode="External"/><Relationship Id="rId4996" Type="http://schemas.openxmlformats.org/officeDocument/2006/relationships/hyperlink" Target="https://www.inaturalist.org/people/louisoneill" TargetMode="External"/><Relationship Id="rId4997" Type="http://schemas.openxmlformats.org/officeDocument/2006/relationships/hyperlink" Target="https://creativecommons.org/licenses/by-nc/4.0/" TargetMode="External"/><Relationship Id="rId4998" Type="http://schemas.openxmlformats.org/officeDocument/2006/relationships/hyperlink" Target="https://www.inaturalist.org/observations/342498953" TargetMode="External"/><Relationship Id="rId4999" Type="http://schemas.openxmlformats.org/officeDocument/2006/relationships/hyperlink" Target="https://www.inaturalist.org/people/louisoneill" TargetMode="External"/><Relationship Id="rId5000" Type="http://schemas.openxmlformats.org/officeDocument/2006/relationships/hyperlink" Target="https://creativecommons.org/licenses/by-nc/4.0/" TargetMode="External"/><Relationship Id="rId5001" Type="http://schemas.openxmlformats.org/officeDocument/2006/relationships/hyperlink" Target="https://www.inaturalist.org/observations/342498953" TargetMode="External"/><Relationship Id="rId5002" Type="http://schemas.openxmlformats.org/officeDocument/2006/relationships/hyperlink" Target="https://www.inaturalist.org/people/dbrhplcd" TargetMode="External"/><Relationship Id="rId5003" Type="http://schemas.openxmlformats.org/officeDocument/2006/relationships/hyperlink" Target="https://creativecommons.org/licenses/by-nc/4.0/" TargetMode="External"/><Relationship Id="rId5004" Type="http://schemas.openxmlformats.org/officeDocument/2006/relationships/hyperlink" Target="https://www.inaturalist.org/observations/336568119" TargetMode="External"/><Relationship Id="rId5005" Type="http://schemas.openxmlformats.org/officeDocument/2006/relationships/hyperlink" Target="https://www.inaturalist.org/people/nicomoll" TargetMode="External"/><Relationship Id="rId5006" Type="http://schemas.openxmlformats.org/officeDocument/2006/relationships/hyperlink" Target="https://creativecommons.org/licenses/by-nc/4.0/" TargetMode="External"/><Relationship Id="rId5007" Type="http://schemas.openxmlformats.org/officeDocument/2006/relationships/hyperlink" Target="https://www.inaturalist.org/observations/339837405" TargetMode="External"/><Relationship Id="rId5008" Type="http://schemas.openxmlformats.org/officeDocument/2006/relationships/hyperlink" Target="https://www.inaturalist.org/people/clarissahuman" TargetMode="External"/><Relationship Id="rId5009" Type="http://schemas.openxmlformats.org/officeDocument/2006/relationships/hyperlink" Target="https://creativecommons.org/licenses/by-nc/4.0/" TargetMode="External"/><Relationship Id="rId5010" Type="http://schemas.openxmlformats.org/officeDocument/2006/relationships/hyperlink" Target="https://www.inaturalist.org/observations/342072352" TargetMode="External"/><Relationship Id="rId5011" Type="http://schemas.openxmlformats.org/officeDocument/2006/relationships/hyperlink" Target="https://www.inaturalist.org/people/beccbbbec" TargetMode="External"/><Relationship Id="rId5012" Type="http://schemas.openxmlformats.org/officeDocument/2006/relationships/hyperlink" Target="https://creativecommons.org/licenses/by-nc/4.0/" TargetMode="External"/><Relationship Id="rId5013" Type="http://schemas.openxmlformats.org/officeDocument/2006/relationships/hyperlink" Target="https://www.inaturalist.org/observations/336051466" TargetMode="External"/><Relationship Id="rId5014" Type="http://schemas.openxmlformats.org/officeDocument/2006/relationships/hyperlink" Target="https://www.inaturalist.org/people/cemonehedges" TargetMode="External"/><Relationship Id="rId5015" Type="http://schemas.openxmlformats.org/officeDocument/2006/relationships/hyperlink" Target="https://creativecommons.org/licenses/by-nc/4.0/" TargetMode="External"/><Relationship Id="rId5016" Type="http://schemas.openxmlformats.org/officeDocument/2006/relationships/hyperlink" Target="https://www.inaturalist.org/observations/335263811" TargetMode="External"/><Relationship Id="rId5017" Type="http://schemas.openxmlformats.org/officeDocument/2006/relationships/hyperlink" Target="https://www.inaturalist.org/people/anaellefrc" TargetMode="External"/><Relationship Id="rId5018" Type="http://schemas.openxmlformats.org/officeDocument/2006/relationships/hyperlink" Target="https://creativecommons.org/licenses/by-nc/4.0/" TargetMode="External"/><Relationship Id="rId5019" Type="http://schemas.openxmlformats.org/officeDocument/2006/relationships/hyperlink" Target="https://www.inaturalist.org/observations/334954614" TargetMode="External"/><Relationship Id="rId5020" Type="http://schemas.openxmlformats.org/officeDocument/2006/relationships/hyperlink" Target="https://www.inaturalist.org/people/anaellefrc" TargetMode="External"/><Relationship Id="rId5021" Type="http://schemas.openxmlformats.org/officeDocument/2006/relationships/hyperlink" Target="https://creativecommons.org/licenses/by-nc/4.0/" TargetMode="External"/><Relationship Id="rId5022" Type="http://schemas.openxmlformats.org/officeDocument/2006/relationships/hyperlink" Target="https://www.inaturalist.org/observations/334954614" TargetMode="External"/><Relationship Id="rId5023" Type="http://schemas.openxmlformats.org/officeDocument/2006/relationships/hyperlink" Target="https://www.inaturalist.org/people/rubynats" TargetMode="External"/><Relationship Id="rId5024" Type="http://schemas.openxmlformats.org/officeDocument/2006/relationships/hyperlink" Target="https://creativecommons.org/licenses/by-nc/4.0/" TargetMode="External"/><Relationship Id="rId5025" Type="http://schemas.openxmlformats.org/officeDocument/2006/relationships/hyperlink" Target="https://www.inaturalist.org/observations/329507742" TargetMode="External"/><Relationship Id="rId5026" Type="http://schemas.openxmlformats.org/officeDocument/2006/relationships/hyperlink" Target="https://www.inaturalist.org/people/rubynats" TargetMode="External"/><Relationship Id="rId5027" Type="http://schemas.openxmlformats.org/officeDocument/2006/relationships/hyperlink" Target="https://creativecommons.org/licenses/by-nc/4.0/" TargetMode="External"/><Relationship Id="rId5028" Type="http://schemas.openxmlformats.org/officeDocument/2006/relationships/hyperlink" Target="https://www.inaturalist.org/observations/329507742" TargetMode="External"/><Relationship Id="rId5029" Type="http://schemas.openxmlformats.org/officeDocument/2006/relationships/hyperlink" Target="https://www.inaturalist.org/people/pkmouse" TargetMode="External"/><Relationship Id="rId5030" Type="http://schemas.openxmlformats.org/officeDocument/2006/relationships/hyperlink" Target="https://creativecommons.org/licenses/by-nc/4.0/" TargetMode="External"/><Relationship Id="rId5031" Type="http://schemas.openxmlformats.org/officeDocument/2006/relationships/hyperlink" Target="https://www.inaturalist.org/observations/380525101" TargetMode="External"/><Relationship Id="rId5032" Type="http://schemas.openxmlformats.org/officeDocument/2006/relationships/hyperlink" Target="https://www.inaturalist.org/people/pasanci" TargetMode="External"/><Relationship Id="rId5033" Type="http://schemas.openxmlformats.org/officeDocument/2006/relationships/hyperlink" Target="https://creativecommons.org/licenses/by-nc/4.0/" TargetMode="External"/><Relationship Id="rId5034" Type="http://schemas.openxmlformats.org/officeDocument/2006/relationships/hyperlink" Target="https://www.inaturalist.org/observations/380524701" TargetMode="External"/><Relationship Id="rId5035" Type="http://schemas.openxmlformats.org/officeDocument/2006/relationships/hyperlink" Target="https://www.inaturalist.org/people/santino1126" TargetMode="External"/><Relationship Id="rId5036" Type="http://schemas.openxmlformats.org/officeDocument/2006/relationships/hyperlink" Target="https://creativecommons.org/licenses/by-nc/4.0/" TargetMode="External"/><Relationship Id="rId5037" Type="http://schemas.openxmlformats.org/officeDocument/2006/relationships/hyperlink" Target="https://www.inaturalist.org/observations/380503336" TargetMode="External"/><Relationship Id="rId5038" Type="http://schemas.openxmlformats.org/officeDocument/2006/relationships/hyperlink" Target="https://www.inaturalist.org/people/santino1126" TargetMode="External"/><Relationship Id="rId5039" Type="http://schemas.openxmlformats.org/officeDocument/2006/relationships/hyperlink" Target="https://creativecommons.org/licenses/by-nc/4.0/" TargetMode="External"/><Relationship Id="rId5040" Type="http://schemas.openxmlformats.org/officeDocument/2006/relationships/hyperlink" Target="https://www.inaturalist.org/observations/380503336" TargetMode="External"/><Relationship Id="rId5041" Type="http://schemas.openxmlformats.org/officeDocument/2006/relationships/hyperlink" Target="https://www.inaturalist.org/people/iokolate" TargetMode="External"/><Relationship Id="rId5042" Type="http://schemas.openxmlformats.org/officeDocument/2006/relationships/hyperlink" Target="https://creativecommons.org/licenses/by-nc/4.0/" TargetMode="External"/><Relationship Id="rId5043" Type="http://schemas.openxmlformats.org/officeDocument/2006/relationships/hyperlink" Target="https://www.inaturalist.org/observations/380492766" TargetMode="External"/><Relationship Id="rId5044" Type="http://schemas.openxmlformats.org/officeDocument/2006/relationships/hyperlink" Target="https://www.inaturalist.org/people/iokolate" TargetMode="External"/><Relationship Id="rId5045" Type="http://schemas.openxmlformats.org/officeDocument/2006/relationships/hyperlink" Target="https://creativecommons.org/licenses/by-nc/4.0/" TargetMode="External"/><Relationship Id="rId5046" Type="http://schemas.openxmlformats.org/officeDocument/2006/relationships/hyperlink" Target="https://www.inaturalist.org/observations/380492766" TargetMode="External"/><Relationship Id="rId5047" Type="http://schemas.openxmlformats.org/officeDocument/2006/relationships/hyperlink" Target="https://www.inaturalist.org/people/matt68772" TargetMode="External"/><Relationship Id="rId5048" Type="http://schemas.openxmlformats.org/officeDocument/2006/relationships/hyperlink" Target="https://creativecommons.org/licenses/by-nc/4.0/" TargetMode="External"/><Relationship Id="rId5049" Type="http://schemas.openxmlformats.org/officeDocument/2006/relationships/hyperlink" Target="https://www.inaturalist.org/observations/380170125" TargetMode="External"/><Relationship Id="rId5050" Type="http://schemas.openxmlformats.org/officeDocument/2006/relationships/hyperlink" Target="https://www.inaturalist.org/people/giel_photography" TargetMode="External"/><Relationship Id="rId5051" Type="http://schemas.openxmlformats.org/officeDocument/2006/relationships/hyperlink" Target="https://creativecommons.org/licenses/by-nc/4.0/" TargetMode="External"/><Relationship Id="rId5052" Type="http://schemas.openxmlformats.org/officeDocument/2006/relationships/hyperlink" Target="https://www.inaturalist.org/observations/380441937" TargetMode="External"/><Relationship Id="rId5053" Type="http://schemas.openxmlformats.org/officeDocument/2006/relationships/hyperlink" Target="https://www.inaturalist.org/people/tragicomico" TargetMode="External"/><Relationship Id="rId5054" Type="http://schemas.openxmlformats.org/officeDocument/2006/relationships/hyperlink" Target="https://creativecommons.org/licenses/by-nc/4.0/" TargetMode="External"/><Relationship Id="rId5055" Type="http://schemas.openxmlformats.org/officeDocument/2006/relationships/hyperlink" Target="https://www.inaturalist.org/observations/380418041" TargetMode="External"/><Relationship Id="rId5056" Type="http://schemas.openxmlformats.org/officeDocument/2006/relationships/hyperlink" Target="https://www.inaturalist.org/people/francescomocci" TargetMode="External"/><Relationship Id="rId5057" Type="http://schemas.openxmlformats.org/officeDocument/2006/relationships/hyperlink" Target="https://creativecommons.org/licenses/by-nc/4.0/" TargetMode="External"/><Relationship Id="rId5058" Type="http://schemas.openxmlformats.org/officeDocument/2006/relationships/hyperlink" Target="https://www.inaturalist.org/observations/380338316" TargetMode="External"/><Relationship Id="rId5059" Type="http://schemas.openxmlformats.org/officeDocument/2006/relationships/hyperlink" Target="https://www.inaturalist.org/people/sduarte22" TargetMode="External"/><Relationship Id="rId5060" Type="http://schemas.openxmlformats.org/officeDocument/2006/relationships/hyperlink" Target="https://creativecommons.org/licenses/by-nc/4.0/" TargetMode="External"/><Relationship Id="rId5061" Type="http://schemas.openxmlformats.org/officeDocument/2006/relationships/hyperlink" Target="https://www.inaturalist.org/observations/380292368" TargetMode="External"/><Relationship Id="rId5062" Type="http://schemas.openxmlformats.org/officeDocument/2006/relationships/hyperlink" Target="https://www.inaturalist.org/people/tomeubosch" TargetMode="External"/><Relationship Id="rId5063" Type="http://schemas.openxmlformats.org/officeDocument/2006/relationships/hyperlink" Target="https://creativecommons.org/licenses/by-nc/4.0/" TargetMode="External"/><Relationship Id="rId5064" Type="http://schemas.openxmlformats.org/officeDocument/2006/relationships/hyperlink" Target="https://www.inaturalist.org/observations/380256267" TargetMode="External"/><Relationship Id="rId5065" Type="http://schemas.openxmlformats.org/officeDocument/2006/relationships/hyperlink" Target="https://www.inaturalist.org/people/lucapassalacqua" TargetMode="External"/><Relationship Id="rId5066" Type="http://schemas.openxmlformats.org/officeDocument/2006/relationships/hyperlink" Target="https://creativecommons.org/licenses/by-nc/4.0/" TargetMode="External"/><Relationship Id="rId5067" Type="http://schemas.openxmlformats.org/officeDocument/2006/relationships/hyperlink" Target="https://www.inaturalist.org/observations/380232171" TargetMode="External"/><Relationship Id="rId5068" Type="http://schemas.openxmlformats.org/officeDocument/2006/relationships/hyperlink" Target="https://www.inaturalist.org/people/mb_diaries" TargetMode="External"/><Relationship Id="rId5069" Type="http://schemas.openxmlformats.org/officeDocument/2006/relationships/hyperlink" Target="https://creativecommons.org/licenses/by-nc/4.0/" TargetMode="External"/><Relationship Id="rId5070" Type="http://schemas.openxmlformats.org/officeDocument/2006/relationships/hyperlink" Target="https://www.inaturalist.org/observations/380112288" TargetMode="External"/><Relationship Id="rId5071" Type="http://schemas.openxmlformats.org/officeDocument/2006/relationships/hyperlink" Target="https://www.inaturalist.org/people/giorgio3b" TargetMode="External"/><Relationship Id="rId5072" Type="http://schemas.openxmlformats.org/officeDocument/2006/relationships/hyperlink" Target="https://creativecommons.org/licenses/by-nc/4.0/" TargetMode="External"/><Relationship Id="rId5073" Type="http://schemas.openxmlformats.org/officeDocument/2006/relationships/hyperlink" Target="https://www.inaturalist.org/observations/380053618" TargetMode="External"/><Relationship Id="rId5074" Type="http://schemas.openxmlformats.org/officeDocument/2006/relationships/hyperlink" Target="https://www.inaturalist.org/people/giorgio3b" TargetMode="External"/><Relationship Id="rId5075" Type="http://schemas.openxmlformats.org/officeDocument/2006/relationships/hyperlink" Target="https://creativecommons.org/licenses/by-nc/4.0/" TargetMode="External"/><Relationship Id="rId5076" Type="http://schemas.openxmlformats.org/officeDocument/2006/relationships/hyperlink" Target="https://www.inaturalist.org/observations/380053618" TargetMode="External"/><Relationship Id="rId5077" Type="http://schemas.openxmlformats.org/officeDocument/2006/relationships/hyperlink" Target="https://www.inaturalist.org/people/jaxoncai" TargetMode="External"/><Relationship Id="rId5078" Type="http://schemas.openxmlformats.org/officeDocument/2006/relationships/hyperlink" Target="https://creativecommons.org/licenses/by-nc/4.0/" TargetMode="External"/><Relationship Id="rId5079" Type="http://schemas.openxmlformats.org/officeDocument/2006/relationships/hyperlink" Target="https://www.inaturalist.org/observations/380044682" TargetMode="External"/><Relationship Id="rId5080" Type="http://schemas.openxmlformats.org/officeDocument/2006/relationships/hyperlink" Target="https://www.inaturalist.org/people/srochholz" TargetMode="External"/><Relationship Id="rId5081" Type="http://schemas.openxmlformats.org/officeDocument/2006/relationships/hyperlink" Target="https://creativecommons.org/licenses/by-nc/4.0/" TargetMode="External"/><Relationship Id="rId5082" Type="http://schemas.openxmlformats.org/officeDocument/2006/relationships/hyperlink" Target="https://www.inaturalist.org/observations/380001077" TargetMode="External"/><Relationship Id="rId5083" Type="http://schemas.openxmlformats.org/officeDocument/2006/relationships/hyperlink" Target="https://www.inaturalist.org/people/kitty_" TargetMode="External"/><Relationship Id="rId5084" Type="http://schemas.openxmlformats.org/officeDocument/2006/relationships/hyperlink" Target="https://creativecommons.org/licenses/by-nc/4.0/" TargetMode="External"/><Relationship Id="rId5085" Type="http://schemas.openxmlformats.org/officeDocument/2006/relationships/hyperlink" Target="https://www.inaturalist.org/observations/379978443" TargetMode="External"/><Relationship Id="rId5086" Type="http://schemas.openxmlformats.org/officeDocument/2006/relationships/hyperlink" Target="https://www.inaturalist.org/people/chiarimax" TargetMode="External"/><Relationship Id="rId5087" Type="http://schemas.openxmlformats.org/officeDocument/2006/relationships/hyperlink" Target="https://creativecommons.org/licenses/by-nc/4.0/" TargetMode="External"/><Relationship Id="rId5088" Type="http://schemas.openxmlformats.org/officeDocument/2006/relationships/hyperlink" Target="https://www.inaturalist.org/observations/379959638" TargetMode="External"/><Relationship Id="rId5089" Type="http://schemas.openxmlformats.org/officeDocument/2006/relationships/hyperlink" Target="https://www.inaturalist.org/people/hellosunbirds" TargetMode="External"/><Relationship Id="rId5090" Type="http://schemas.openxmlformats.org/officeDocument/2006/relationships/hyperlink" Target="https://creativecommons.org/licenses/by-nc/4.0/" TargetMode="External"/><Relationship Id="rId5091" Type="http://schemas.openxmlformats.org/officeDocument/2006/relationships/hyperlink" Target="https://www.inaturalist.org/observations/379955606" TargetMode="External"/><Relationship Id="rId5092" Type="http://schemas.openxmlformats.org/officeDocument/2006/relationships/hyperlink" Target="https://www.inaturalist.org/people/jacques_hallot" TargetMode="External"/><Relationship Id="rId5093" Type="http://schemas.openxmlformats.org/officeDocument/2006/relationships/hyperlink" Target="https://creativecommons.org/licenses/by-nc/4.0/" TargetMode="External"/><Relationship Id="rId5094" Type="http://schemas.openxmlformats.org/officeDocument/2006/relationships/hyperlink" Target="https://www.inaturalist.org/observations/379915069" TargetMode="External"/><Relationship Id="rId5095" Type="http://schemas.openxmlformats.org/officeDocument/2006/relationships/hyperlink" Target="https://www.inaturalist.org/people/galancho" TargetMode="External"/><Relationship Id="rId5096" Type="http://schemas.openxmlformats.org/officeDocument/2006/relationships/hyperlink" Target="https://creativecommons.org/licenses/by-nc/4.0/" TargetMode="External"/><Relationship Id="rId5097" Type="http://schemas.openxmlformats.org/officeDocument/2006/relationships/hyperlink" Target="https://www.inaturalist.org/observations/379873583" TargetMode="External"/><Relationship Id="rId5098" Type="http://schemas.openxmlformats.org/officeDocument/2006/relationships/hyperlink" Target="https://www.inaturalist.org/people/davidflumm" TargetMode="External"/><Relationship Id="rId5099" Type="http://schemas.openxmlformats.org/officeDocument/2006/relationships/hyperlink" Target="https://creativecommons.org/licenses/by-nc/4.0/" TargetMode="External"/><Relationship Id="rId5100" Type="http://schemas.openxmlformats.org/officeDocument/2006/relationships/hyperlink" Target="https://www.inaturalist.org/observations/379852199" TargetMode="External"/><Relationship Id="rId5101" Type="http://schemas.openxmlformats.org/officeDocument/2006/relationships/hyperlink" Target="https://www.inaturalist.org/people/stafen" TargetMode="External"/><Relationship Id="rId5102" Type="http://schemas.openxmlformats.org/officeDocument/2006/relationships/hyperlink" Target="https://creativecommons.org/licenses/by-nc/4.0/" TargetMode="External"/><Relationship Id="rId5103" Type="http://schemas.openxmlformats.org/officeDocument/2006/relationships/hyperlink" Target="https://www.inaturalist.org/observations/379842838" TargetMode="External"/><Relationship Id="rId5104" Type="http://schemas.openxmlformats.org/officeDocument/2006/relationships/hyperlink" Target="https://www.inaturalist.org/people/max-pics" TargetMode="External"/><Relationship Id="rId5105" Type="http://schemas.openxmlformats.org/officeDocument/2006/relationships/hyperlink" Target="https://creativecommons.org/licenses/by-nc/4.0/" TargetMode="External"/><Relationship Id="rId5106" Type="http://schemas.openxmlformats.org/officeDocument/2006/relationships/hyperlink" Target="https://www.inaturalist.org/observations/379839060" TargetMode="External"/><Relationship Id="rId5107" Type="http://schemas.openxmlformats.org/officeDocument/2006/relationships/hyperlink" Target="https://www.inaturalist.org/people/ricardoblanco" TargetMode="External"/><Relationship Id="rId5108" Type="http://schemas.openxmlformats.org/officeDocument/2006/relationships/hyperlink" Target="https://creativecommons.org/licenses/by-nc/4.0/" TargetMode="External"/><Relationship Id="rId5109" Type="http://schemas.openxmlformats.org/officeDocument/2006/relationships/hyperlink" Target="https://www.inaturalist.org/observations/379825758" TargetMode="External"/><Relationship Id="rId5110" Type="http://schemas.openxmlformats.org/officeDocument/2006/relationships/hyperlink" Target="https://www.inaturalist.org/people/eva18593" TargetMode="External"/><Relationship Id="rId5111" Type="http://schemas.openxmlformats.org/officeDocument/2006/relationships/hyperlink" Target="https://creativecommons.org/licenses/by-nc/4.0/" TargetMode="External"/><Relationship Id="rId5112" Type="http://schemas.openxmlformats.org/officeDocument/2006/relationships/hyperlink" Target="https://www.inaturalist.org/observations/379825342" TargetMode="External"/><Relationship Id="rId5113" Type="http://schemas.openxmlformats.org/officeDocument/2006/relationships/hyperlink" Target="https://www.inaturalist.org/people/eva18593" TargetMode="External"/><Relationship Id="rId5114" Type="http://schemas.openxmlformats.org/officeDocument/2006/relationships/hyperlink" Target="https://creativecommons.org/licenses/by-nc/4.0/" TargetMode="External"/><Relationship Id="rId5115" Type="http://schemas.openxmlformats.org/officeDocument/2006/relationships/hyperlink" Target="https://www.inaturalist.org/observations/379825232" TargetMode="External"/><Relationship Id="rId5116" Type="http://schemas.openxmlformats.org/officeDocument/2006/relationships/hyperlink" Target="https://www.inaturalist.org/people/eduardo86187" TargetMode="External"/><Relationship Id="rId5117" Type="http://schemas.openxmlformats.org/officeDocument/2006/relationships/hyperlink" Target="https://creativecommons.org/licenses/by-nc/4.0/" TargetMode="External"/><Relationship Id="rId5118" Type="http://schemas.openxmlformats.org/officeDocument/2006/relationships/hyperlink" Target="https://www.inaturalist.org/observations/379810722" TargetMode="External"/><Relationship Id="rId5119" Type="http://schemas.openxmlformats.org/officeDocument/2006/relationships/hyperlink" Target="https://www.inaturalist.org/people/dilophosaurus_69" TargetMode="External"/><Relationship Id="rId5120" Type="http://schemas.openxmlformats.org/officeDocument/2006/relationships/hyperlink" Target="https://creativecommons.org/licenses/by-nc/4.0/" TargetMode="External"/><Relationship Id="rId5121" Type="http://schemas.openxmlformats.org/officeDocument/2006/relationships/hyperlink" Target="https://www.inaturalist.org/observations/379809115" TargetMode="External"/><Relationship Id="rId5122" Type="http://schemas.openxmlformats.org/officeDocument/2006/relationships/hyperlink" Target="https://www.inaturalist.org/people/jost_holtzmann" TargetMode="External"/><Relationship Id="rId5123" Type="http://schemas.openxmlformats.org/officeDocument/2006/relationships/hyperlink" Target="https://creativecommons.org/licenses/by-nc/4.0/" TargetMode="External"/><Relationship Id="rId5124" Type="http://schemas.openxmlformats.org/officeDocument/2006/relationships/hyperlink" Target="https://www.inaturalist.org/observations/379803140" TargetMode="External"/><Relationship Id="rId5125" Type="http://schemas.openxmlformats.org/officeDocument/2006/relationships/hyperlink" Target="https://www.inaturalist.org/people/angelique84704" TargetMode="External"/><Relationship Id="rId5126" Type="http://schemas.openxmlformats.org/officeDocument/2006/relationships/hyperlink" Target="https://creativecommons.org/licenses/by-nc/4.0/" TargetMode="External"/><Relationship Id="rId5127" Type="http://schemas.openxmlformats.org/officeDocument/2006/relationships/hyperlink" Target="https://www.inaturalist.org/observations/379802558" TargetMode="External"/><Relationship Id="rId5128" Type="http://schemas.openxmlformats.org/officeDocument/2006/relationships/hyperlink" Target="https://www.inaturalist.org/people/mclarke1123" TargetMode="External"/><Relationship Id="rId5129" Type="http://schemas.openxmlformats.org/officeDocument/2006/relationships/hyperlink" Target="https://creativecommons.org/licenses/by-nc/4.0/" TargetMode="External"/><Relationship Id="rId5130" Type="http://schemas.openxmlformats.org/officeDocument/2006/relationships/hyperlink" Target="https://www.inaturalist.org/observations/379796160" TargetMode="External"/><Relationship Id="rId5131" Type="http://schemas.openxmlformats.org/officeDocument/2006/relationships/hyperlink" Target="https://www.inaturalist.org/people/mauro_fioretto" TargetMode="External"/><Relationship Id="rId5132" Type="http://schemas.openxmlformats.org/officeDocument/2006/relationships/hyperlink" Target="https://creativecommons.org/licenses/by-nc/4.0/" TargetMode="External"/><Relationship Id="rId5133" Type="http://schemas.openxmlformats.org/officeDocument/2006/relationships/hyperlink" Target="https://www.inaturalist.org/observations/380079065" TargetMode="External"/><Relationship Id="rId5134" Type="http://schemas.openxmlformats.org/officeDocument/2006/relationships/hyperlink" Target="https://www.inaturalist.org/people/olivehead" TargetMode="External"/><Relationship Id="rId5135" Type="http://schemas.openxmlformats.org/officeDocument/2006/relationships/hyperlink" Target="https://creativecommons.org/licenses/by-nc/4.0/" TargetMode="External"/><Relationship Id="rId5136" Type="http://schemas.openxmlformats.org/officeDocument/2006/relationships/hyperlink" Target="https://www.inaturalist.org/observations/373514350" TargetMode="External"/><Relationship Id="rId5137" Type="http://schemas.openxmlformats.org/officeDocument/2006/relationships/hyperlink" Target="https://www.inaturalist.org/people/olivehead" TargetMode="External"/><Relationship Id="rId5138" Type="http://schemas.openxmlformats.org/officeDocument/2006/relationships/hyperlink" Target="https://creativecommons.org/licenses/by-nc/4.0/" TargetMode="External"/><Relationship Id="rId5139" Type="http://schemas.openxmlformats.org/officeDocument/2006/relationships/hyperlink" Target="https://www.inaturalist.org/observations/373514350" TargetMode="External"/><Relationship Id="rId5140" Type="http://schemas.openxmlformats.org/officeDocument/2006/relationships/hyperlink" Target="https://www.inaturalist.org/people/gaialucia" TargetMode="External"/><Relationship Id="rId5141" Type="http://schemas.openxmlformats.org/officeDocument/2006/relationships/hyperlink" Target="https://creativecommons.org/licenses/by-nc/4.0/" TargetMode="External"/><Relationship Id="rId5142" Type="http://schemas.openxmlformats.org/officeDocument/2006/relationships/hyperlink" Target="https://www.inaturalist.org/observations/372375703" TargetMode="External"/><Relationship Id="rId5143" Type="http://schemas.openxmlformats.org/officeDocument/2006/relationships/hyperlink" Target="https://www.inaturalist.org/people/nau_" TargetMode="External"/><Relationship Id="rId5144" Type="http://schemas.openxmlformats.org/officeDocument/2006/relationships/hyperlink" Target="https://creativecommons.org/licenses/by-nc/4.0/" TargetMode="External"/><Relationship Id="rId5145" Type="http://schemas.openxmlformats.org/officeDocument/2006/relationships/hyperlink" Target="https://www.inaturalist.org/observations/370742201" TargetMode="External"/><Relationship Id="rId5146" Type="http://schemas.openxmlformats.org/officeDocument/2006/relationships/hyperlink" Target="https://www.inaturalist.org/people/marc_meynadier" TargetMode="External"/><Relationship Id="rId5147" Type="http://schemas.openxmlformats.org/officeDocument/2006/relationships/hyperlink" Target="https://creativecommons.org/licenses/by-nc/4.0/" TargetMode="External"/><Relationship Id="rId5148" Type="http://schemas.openxmlformats.org/officeDocument/2006/relationships/hyperlink" Target="https://www.inaturalist.org/observations/369304234" TargetMode="External"/><Relationship Id="rId5149" Type="http://schemas.openxmlformats.org/officeDocument/2006/relationships/hyperlink" Target="https://www.inaturalist.org/people/steiblys" TargetMode="External"/><Relationship Id="rId5150" Type="http://schemas.openxmlformats.org/officeDocument/2006/relationships/hyperlink" Target="https://creativecommons.org/licenses/by-nc/4.0/" TargetMode="External"/><Relationship Id="rId5151" Type="http://schemas.openxmlformats.org/officeDocument/2006/relationships/hyperlink" Target="https://www.inaturalist.org/observations/366021427" TargetMode="External"/><Relationship Id="rId5152" Type="http://schemas.openxmlformats.org/officeDocument/2006/relationships/hyperlink" Target="https://www.inaturalist.org/people/steiblys" TargetMode="External"/><Relationship Id="rId5153" Type="http://schemas.openxmlformats.org/officeDocument/2006/relationships/hyperlink" Target="https://creativecommons.org/licenses/by-nc/4.0/" TargetMode="External"/><Relationship Id="rId5154" Type="http://schemas.openxmlformats.org/officeDocument/2006/relationships/hyperlink" Target="https://www.inaturalist.org/observations/364314499" TargetMode="External"/><Relationship Id="rId5155" Type="http://schemas.openxmlformats.org/officeDocument/2006/relationships/hyperlink" Target="https://www.inaturalist.org/people/ubif" TargetMode="External"/><Relationship Id="rId5156" Type="http://schemas.openxmlformats.org/officeDocument/2006/relationships/hyperlink" Target="https://creativecommons.org/licenses/by-nc/4.0/" TargetMode="External"/><Relationship Id="rId5157" Type="http://schemas.openxmlformats.org/officeDocument/2006/relationships/hyperlink" Target="https://www.inaturalist.org/observations/360188388" TargetMode="External"/><Relationship Id="rId5158" Type="http://schemas.openxmlformats.org/officeDocument/2006/relationships/hyperlink" Target="https://www.inaturalist.org/people/tuero" TargetMode="External"/><Relationship Id="rId5159" Type="http://schemas.openxmlformats.org/officeDocument/2006/relationships/hyperlink" Target="https://creativecommons.org/licenses/by-nc/4.0/" TargetMode="External"/><Relationship Id="rId5160" Type="http://schemas.openxmlformats.org/officeDocument/2006/relationships/hyperlink" Target="https://www.inaturalist.org/observations/357494384" TargetMode="External"/><Relationship Id="rId5161" Type="http://schemas.openxmlformats.org/officeDocument/2006/relationships/hyperlink" Target="https://www.inaturalist.org/people/ahevcar" TargetMode="External"/><Relationship Id="rId5162" Type="http://schemas.openxmlformats.org/officeDocument/2006/relationships/hyperlink" Target="https://creativecommons.org/licenses/by-nc/4.0/" TargetMode="External"/><Relationship Id="rId5163" Type="http://schemas.openxmlformats.org/officeDocument/2006/relationships/hyperlink" Target="https://www.inaturalist.org/observations/357481414" TargetMode="External"/><Relationship Id="rId5164" Type="http://schemas.openxmlformats.org/officeDocument/2006/relationships/hyperlink" Target="https://www.inaturalist.org/people/ahevcar" TargetMode="External"/><Relationship Id="rId5165" Type="http://schemas.openxmlformats.org/officeDocument/2006/relationships/hyperlink" Target="https://creativecommons.org/licenses/by-nc/4.0/" TargetMode="External"/><Relationship Id="rId5166" Type="http://schemas.openxmlformats.org/officeDocument/2006/relationships/hyperlink" Target="https://www.inaturalist.org/observations/357264152" TargetMode="External"/><Relationship Id="rId5167" Type="http://schemas.openxmlformats.org/officeDocument/2006/relationships/hyperlink" Target="https://www.inaturalist.org/people/mickmilner" TargetMode="External"/><Relationship Id="rId5168" Type="http://schemas.openxmlformats.org/officeDocument/2006/relationships/hyperlink" Target="https://creativecommons.org/licenses/by-nc/4.0/" TargetMode="External"/><Relationship Id="rId5169" Type="http://schemas.openxmlformats.org/officeDocument/2006/relationships/hyperlink" Target="https://www.inaturalist.org/observations/349802145" TargetMode="External"/><Relationship Id="rId5170" Type="http://schemas.openxmlformats.org/officeDocument/2006/relationships/hyperlink" Target="https://www.inaturalist.org/people/naiki_gallotia_auaritae" TargetMode="External"/><Relationship Id="rId5171" Type="http://schemas.openxmlformats.org/officeDocument/2006/relationships/hyperlink" Target="https://creativecommons.org/licenses/by-nc/4.0/" TargetMode="External"/><Relationship Id="rId5172" Type="http://schemas.openxmlformats.org/officeDocument/2006/relationships/hyperlink" Target="https://www.inaturalist.org/observations/349969838" TargetMode="External"/><Relationship Id="rId5173" Type="http://schemas.openxmlformats.org/officeDocument/2006/relationships/hyperlink" Target="https://www.inaturalist.org/people/naiki_gallotia_auaritae" TargetMode="External"/><Relationship Id="rId5174" Type="http://schemas.openxmlformats.org/officeDocument/2006/relationships/hyperlink" Target="https://creativecommons.org/licenses/by-nc/4.0/" TargetMode="External"/><Relationship Id="rId5175" Type="http://schemas.openxmlformats.org/officeDocument/2006/relationships/hyperlink" Target="https://www.inaturalist.org/observations/349969838" TargetMode="External"/><Relationship Id="rId5176" Type="http://schemas.openxmlformats.org/officeDocument/2006/relationships/hyperlink" Target="https://www.inaturalist.org/people/cassi_astronomy" TargetMode="External"/><Relationship Id="rId5177" Type="http://schemas.openxmlformats.org/officeDocument/2006/relationships/hyperlink" Target="https://creativecommons.org/licenses/by-nc/4.0/" TargetMode="External"/><Relationship Id="rId5178" Type="http://schemas.openxmlformats.org/officeDocument/2006/relationships/hyperlink" Target="https://www.inaturalist.org/observations/349354315" TargetMode="External"/><Relationship Id="rId5179" Type="http://schemas.openxmlformats.org/officeDocument/2006/relationships/hyperlink" Target="https://www.inaturalist.org/people/wendy2718" TargetMode="External"/><Relationship Id="rId5180" Type="http://schemas.openxmlformats.org/officeDocument/2006/relationships/hyperlink" Target="https://creativecommons.org/licenses/by-nc/4.0/" TargetMode="External"/><Relationship Id="rId5181" Type="http://schemas.openxmlformats.org/officeDocument/2006/relationships/hyperlink" Target="https://www.inaturalist.org/observations/346861173" TargetMode="External"/><Relationship Id="rId5182" Type="http://schemas.openxmlformats.org/officeDocument/2006/relationships/hyperlink" Target="https://www.inaturalist.org/people/pkocare1" TargetMode="External"/><Relationship Id="rId5183" Type="http://schemas.openxmlformats.org/officeDocument/2006/relationships/hyperlink" Target="https://creativecommons.org/licenses/by-nc/4.0/" TargetMode="External"/><Relationship Id="rId5184" Type="http://schemas.openxmlformats.org/officeDocument/2006/relationships/hyperlink" Target="https://www.inaturalist.org/observations/345338152" TargetMode="External"/><Relationship Id="rId5185" Type="http://schemas.openxmlformats.org/officeDocument/2006/relationships/hyperlink" Target="https://www.inaturalist.org/people/perenquen007" TargetMode="External"/><Relationship Id="rId5186" Type="http://schemas.openxmlformats.org/officeDocument/2006/relationships/hyperlink" Target="https://creativecommons.org/licenses/by-nc/4.0/" TargetMode="External"/><Relationship Id="rId5187" Type="http://schemas.openxmlformats.org/officeDocument/2006/relationships/hyperlink" Target="https://www.inaturalist.org/observations/344668073" TargetMode="External"/><Relationship Id="rId5188" Type="http://schemas.openxmlformats.org/officeDocument/2006/relationships/hyperlink" Target="https://www.inaturalist.org/people/perenquen007" TargetMode="External"/><Relationship Id="rId5189" Type="http://schemas.openxmlformats.org/officeDocument/2006/relationships/hyperlink" Target="https://creativecommons.org/licenses/by-nc/4.0/" TargetMode="External"/><Relationship Id="rId5190" Type="http://schemas.openxmlformats.org/officeDocument/2006/relationships/hyperlink" Target="https://www.inaturalist.org/observations/344668073" TargetMode="External"/><Relationship Id="rId5191" Type="http://schemas.openxmlformats.org/officeDocument/2006/relationships/hyperlink" Target="https://www.inaturalist.org/people/wernerr" TargetMode="External"/><Relationship Id="rId5192" Type="http://schemas.openxmlformats.org/officeDocument/2006/relationships/hyperlink" Target="https://creativecommons.org/licenses/by-nc/4.0/" TargetMode="External"/><Relationship Id="rId5193" Type="http://schemas.openxmlformats.org/officeDocument/2006/relationships/hyperlink" Target="https://www.inaturalist.org/observations/345288866" TargetMode="External"/><Relationship Id="rId5194" Type="http://schemas.openxmlformats.org/officeDocument/2006/relationships/hyperlink" Target="https://www.inaturalist.org/people/perenquen007" TargetMode="External"/><Relationship Id="rId5195" Type="http://schemas.openxmlformats.org/officeDocument/2006/relationships/hyperlink" Target="https://creativecommons.org/licenses/by-nc/4.0/" TargetMode="External"/><Relationship Id="rId5196" Type="http://schemas.openxmlformats.org/officeDocument/2006/relationships/hyperlink" Target="https://www.inaturalist.org/observations/343341003" TargetMode="External"/><Relationship Id="rId5197" Type="http://schemas.openxmlformats.org/officeDocument/2006/relationships/hyperlink" Target="https://www.inaturalist.org/people/andrea93iga" TargetMode="External"/><Relationship Id="rId5198" Type="http://schemas.openxmlformats.org/officeDocument/2006/relationships/hyperlink" Target="https://creativecommons.org/licenses/by-nc/4.0/" TargetMode="External"/><Relationship Id="rId5199" Type="http://schemas.openxmlformats.org/officeDocument/2006/relationships/hyperlink" Target="https://www.inaturalist.org/observations/341424175" TargetMode="External"/><Relationship Id="rId5200" Type="http://schemas.openxmlformats.org/officeDocument/2006/relationships/hyperlink" Target="https://www.inaturalist.org/people/little_mud_fish" TargetMode="External"/><Relationship Id="rId5201" Type="http://schemas.openxmlformats.org/officeDocument/2006/relationships/hyperlink" Target="https://creativecommons.org/licenses/by-nc/4.0/" TargetMode="External"/><Relationship Id="rId5202" Type="http://schemas.openxmlformats.org/officeDocument/2006/relationships/hyperlink" Target="https://www.inaturalist.org/observations/339301092" TargetMode="External"/><Relationship Id="rId5203" Type="http://schemas.openxmlformats.org/officeDocument/2006/relationships/hyperlink" Target="https://www.inaturalist.org/people/fred11869" TargetMode="External"/><Relationship Id="rId5204" Type="http://schemas.openxmlformats.org/officeDocument/2006/relationships/hyperlink" Target="https://creativecommons.org/licenses/by-nc/4.0/" TargetMode="External"/><Relationship Id="rId5205" Type="http://schemas.openxmlformats.org/officeDocument/2006/relationships/hyperlink" Target="https://www.inaturalist.org/observations/339194533" TargetMode="External"/><Relationship Id="rId5206" Type="http://schemas.openxmlformats.org/officeDocument/2006/relationships/hyperlink" Target="https://www.inaturalist.org/people/matteopolo" TargetMode="External"/><Relationship Id="rId5207" Type="http://schemas.openxmlformats.org/officeDocument/2006/relationships/hyperlink" Target="https://creativecommons.org/licenses/by-nc/4.0/" TargetMode="External"/><Relationship Id="rId5208" Type="http://schemas.openxmlformats.org/officeDocument/2006/relationships/hyperlink" Target="https://www.inaturalist.org/observations/338189678" TargetMode="External"/><Relationship Id="rId5209" Type="http://schemas.openxmlformats.org/officeDocument/2006/relationships/hyperlink" Target="https://www.inaturalist.org/people/vasek22" TargetMode="External"/><Relationship Id="rId5210" Type="http://schemas.openxmlformats.org/officeDocument/2006/relationships/hyperlink" Target="https://creativecommons.org/licenses/by-nc/4.0/" TargetMode="External"/><Relationship Id="rId5211" Type="http://schemas.openxmlformats.org/officeDocument/2006/relationships/hyperlink" Target="https://www.inaturalist.org/observations/337524637" TargetMode="External"/><Relationship Id="rId5212" Type="http://schemas.openxmlformats.org/officeDocument/2006/relationships/hyperlink" Target="https://www.inaturalist.org/people/martatischer" TargetMode="External"/><Relationship Id="rId5213" Type="http://schemas.openxmlformats.org/officeDocument/2006/relationships/hyperlink" Target="https://creativecommons.org/licenses/by-nc/4.0/" TargetMode="External"/><Relationship Id="rId5214" Type="http://schemas.openxmlformats.org/officeDocument/2006/relationships/hyperlink" Target="https://www.inaturalist.org/observations/335384134" TargetMode="External"/><Relationship Id="rId5215" Type="http://schemas.openxmlformats.org/officeDocument/2006/relationships/hyperlink" Target="https://www.inaturalist.org/people/martatischer" TargetMode="External"/><Relationship Id="rId5216" Type="http://schemas.openxmlformats.org/officeDocument/2006/relationships/hyperlink" Target="https://creativecommons.org/licenses/by-nc/4.0/" TargetMode="External"/><Relationship Id="rId5217" Type="http://schemas.openxmlformats.org/officeDocument/2006/relationships/hyperlink" Target="https://www.inaturalist.org/observations/335384290" TargetMode="External"/><Relationship Id="rId5218" Type="http://schemas.openxmlformats.org/officeDocument/2006/relationships/hyperlink" Target="https://www.inaturalist.org/people/martatischer" TargetMode="External"/><Relationship Id="rId5219" Type="http://schemas.openxmlformats.org/officeDocument/2006/relationships/hyperlink" Target="https://creativecommons.org/licenses/by-nc/4.0/" TargetMode="External"/><Relationship Id="rId5220" Type="http://schemas.openxmlformats.org/officeDocument/2006/relationships/hyperlink" Target="https://www.inaturalist.org/observations/335384290" TargetMode="External"/><Relationship Id="rId5221" Type="http://schemas.openxmlformats.org/officeDocument/2006/relationships/hyperlink" Target="https://www.inaturalist.org/people/walter_zoccarato" TargetMode="External"/><Relationship Id="rId5222" Type="http://schemas.openxmlformats.org/officeDocument/2006/relationships/hyperlink" Target="https://creativecommons.org/licenses/by-nc/4.0/" TargetMode="External"/><Relationship Id="rId5223" Type="http://schemas.openxmlformats.org/officeDocument/2006/relationships/hyperlink" Target="https://www.inaturalist.org/observations/334588275" TargetMode="External"/><Relationship Id="rId5224" Type="http://schemas.openxmlformats.org/officeDocument/2006/relationships/hyperlink" Target="https://www.inaturalist.org/people/evigierisch" TargetMode="External"/><Relationship Id="rId5225" Type="http://schemas.openxmlformats.org/officeDocument/2006/relationships/hyperlink" Target="https://creativecommons.org/licenses/by-nc/4.0/" TargetMode="External"/><Relationship Id="rId5226" Type="http://schemas.openxmlformats.org/officeDocument/2006/relationships/hyperlink" Target="https://www.inaturalist.org/observations/334590339" TargetMode="External"/><Relationship Id="rId5227" Type="http://schemas.openxmlformats.org/officeDocument/2006/relationships/hyperlink" Target="https://www.inaturalist.org/people/coleraptor" TargetMode="External"/><Relationship Id="rId5228" Type="http://schemas.openxmlformats.org/officeDocument/2006/relationships/hyperlink" Target="https://creativecommons.org/licenses/by-nc/4.0/" TargetMode="External"/><Relationship Id="rId5229" Type="http://schemas.openxmlformats.org/officeDocument/2006/relationships/hyperlink" Target="https://www.inaturalist.org/observations/334079424" TargetMode="External"/><Relationship Id="rId5230" Type="http://schemas.openxmlformats.org/officeDocument/2006/relationships/hyperlink" Target="https://www.inaturalist.org/people/silviupetrovan" TargetMode="External"/><Relationship Id="rId5231" Type="http://schemas.openxmlformats.org/officeDocument/2006/relationships/hyperlink" Target="https://creativecommons.org/licenses/by-nc/4.0/" TargetMode="External"/><Relationship Id="rId5232" Type="http://schemas.openxmlformats.org/officeDocument/2006/relationships/hyperlink" Target="https://www.inaturalist.org/observations/332434608" TargetMode="External"/><Relationship Id="rId5233" Type="http://schemas.openxmlformats.org/officeDocument/2006/relationships/hyperlink" Target="https://www.inaturalist.org/people/aitorlop" TargetMode="External"/><Relationship Id="rId5234" Type="http://schemas.openxmlformats.org/officeDocument/2006/relationships/hyperlink" Target="https://creativecommons.org/licenses/by-nc/4.0/" TargetMode="External"/><Relationship Id="rId5235" Type="http://schemas.openxmlformats.org/officeDocument/2006/relationships/hyperlink" Target="https://www.inaturalist.org/observations/319368344" TargetMode="External"/><Relationship Id="rId5236" Type="http://schemas.openxmlformats.org/officeDocument/2006/relationships/hyperlink" Target="https://www.inaturalist.org/people/dajinmaak" TargetMode="External"/><Relationship Id="rId5237" Type="http://schemas.openxmlformats.org/officeDocument/2006/relationships/hyperlink" Target="https://creativecommons.org/licenses/by-nc/4.0/" TargetMode="External"/><Relationship Id="rId5238" Type="http://schemas.openxmlformats.org/officeDocument/2006/relationships/hyperlink" Target="https://www.inaturalist.org/observations/299471183" TargetMode="External"/><Relationship Id="rId5239" Type="http://schemas.openxmlformats.org/officeDocument/2006/relationships/hyperlink" Target="https://www.inaturalist.org/people/risak" TargetMode="External"/><Relationship Id="rId5240" Type="http://schemas.openxmlformats.org/officeDocument/2006/relationships/hyperlink" Target="https://creativecommons.org/licenses/by-nc/4.0/" TargetMode="External"/><Relationship Id="rId5241" Type="http://schemas.openxmlformats.org/officeDocument/2006/relationships/hyperlink" Target="https://www.inaturalist.org/observations/380830752" TargetMode="External"/><Relationship Id="rId5242" Type="http://schemas.openxmlformats.org/officeDocument/2006/relationships/hyperlink" Target="https://www.inaturalist.org/people/carlos-fierro" TargetMode="External"/><Relationship Id="rId5243" Type="http://schemas.openxmlformats.org/officeDocument/2006/relationships/hyperlink" Target="https://creativecommons.org/licenses/by-nc/4.0/" TargetMode="External"/><Relationship Id="rId5244" Type="http://schemas.openxmlformats.org/officeDocument/2006/relationships/hyperlink" Target="https://www.inaturalist.org/observations/380394280" TargetMode="External"/><Relationship Id="rId5245" Type="http://schemas.openxmlformats.org/officeDocument/2006/relationships/hyperlink" Target="https://www.inaturalist.org/people/carlos-fierro" TargetMode="External"/><Relationship Id="rId5246" Type="http://schemas.openxmlformats.org/officeDocument/2006/relationships/hyperlink" Target="https://creativecommons.org/licenses/by-nc/4.0/" TargetMode="External"/><Relationship Id="rId5247" Type="http://schemas.openxmlformats.org/officeDocument/2006/relationships/hyperlink" Target="https://www.inaturalist.org/observations/380394280" TargetMode="External"/><Relationship Id="rId5248" Type="http://schemas.openxmlformats.org/officeDocument/2006/relationships/hyperlink" Target="https://www.inaturalist.org/people/jesicar" TargetMode="External"/><Relationship Id="rId5249" Type="http://schemas.openxmlformats.org/officeDocument/2006/relationships/hyperlink" Target="https://creativecommons.org/licenses/by-nc/4.0/" TargetMode="External"/><Relationship Id="rId5250" Type="http://schemas.openxmlformats.org/officeDocument/2006/relationships/hyperlink" Target="https://www.inaturalist.org/observations/378784983" TargetMode="External"/><Relationship Id="rId5251" Type="http://schemas.openxmlformats.org/officeDocument/2006/relationships/hyperlink" Target="https://www.inaturalist.org/people/jeiras" TargetMode="External"/><Relationship Id="rId5252" Type="http://schemas.openxmlformats.org/officeDocument/2006/relationships/hyperlink" Target="https://creativecommons.org/licenses/by-nc/4.0/" TargetMode="External"/><Relationship Id="rId5253" Type="http://schemas.openxmlformats.org/officeDocument/2006/relationships/hyperlink" Target="https://www.inaturalist.org/observations/378736376" TargetMode="External"/><Relationship Id="rId5254" Type="http://schemas.openxmlformats.org/officeDocument/2006/relationships/hyperlink" Target="https://www.inaturalist.org/people/ern_est" TargetMode="External"/><Relationship Id="rId5255" Type="http://schemas.openxmlformats.org/officeDocument/2006/relationships/hyperlink" Target="https://creativecommons.org/licenses/by-nc/4.0/" TargetMode="External"/><Relationship Id="rId5256" Type="http://schemas.openxmlformats.org/officeDocument/2006/relationships/hyperlink" Target="https://www.inaturalist.org/observations/374322261" TargetMode="External"/><Relationship Id="rId5257" Type="http://schemas.openxmlformats.org/officeDocument/2006/relationships/hyperlink" Target="https://www.inaturalist.org/people/nstern" TargetMode="External"/><Relationship Id="rId5258" Type="http://schemas.openxmlformats.org/officeDocument/2006/relationships/hyperlink" Target="https://creativecommons.org/licenses/by-nc/4.0/" TargetMode="External"/><Relationship Id="rId5259" Type="http://schemas.openxmlformats.org/officeDocument/2006/relationships/hyperlink" Target="https://www.inaturalist.org/observations/364473400" TargetMode="External"/><Relationship Id="rId5260" Type="http://schemas.openxmlformats.org/officeDocument/2006/relationships/hyperlink" Target="https://www.inaturalist.org/people/chloe3044" TargetMode="External"/><Relationship Id="rId5261" Type="http://schemas.openxmlformats.org/officeDocument/2006/relationships/hyperlink" Target="https://creativecommons.org/licenses/by-nc/4.0/" TargetMode="External"/><Relationship Id="rId5262" Type="http://schemas.openxmlformats.org/officeDocument/2006/relationships/hyperlink" Target="https://www.inaturalist.org/observations/364410172" TargetMode="External"/><Relationship Id="rId5263" Type="http://schemas.openxmlformats.org/officeDocument/2006/relationships/hyperlink" Target="https://www.inaturalist.org/people/amaneko" TargetMode="External"/><Relationship Id="rId5264" Type="http://schemas.openxmlformats.org/officeDocument/2006/relationships/hyperlink" Target="https://creativecommons.org/licenses/by-nc/4.0/" TargetMode="External"/><Relationship Id="rId5265" Type="http://schemas.openxmlformats.org/officeDocument/2006/relationships/hyperlink" Target="https://www.inaturalist.org/observations/348108208" TargetMode="External"/><Relationship Id="rId5266" Type="http://schemas.openxmlformats.org/officeDocument/2006/relationships/hyperlink" Target="https://www.inaturalist.org/people/brunoandmartin" TargetMode="External"/><Relationship Id="rId5267" Type="http://schemas.openxmlformats.org/officeDocument/2006/relationships/hyperlink" Target="https://creativecommons.org/licenses/by-nc/4.0/" TargetMode="External"/><Relationship Id="rId5268" Type="http://schemas.openxmlformats.org/officeDocument/2006/relationships/hyperlink" Target="https://www.inaturalist.org/observations/345526693" TargetMode="External"/><Relationship Id="rId5269" Type="http://schemas.openxmlformats.org/officeDocument/2006/relationships/hyperlink" Target="https://www.inaturalist.org/people/marcdomenech" TargetMode="External"/><Relationship Id="rId5270" Type="http://schemas.openxmlformats.org/officeDocument/2006/relationships/hyperlink" Target="https://creativecommons.org/licenses/by-nc/4.0/" TargetMode="External"/><Relationship Id="rId5271" Type="http://schemas.openxmlformats.org/officeDocument/2006/relationships/hyperlink" Target="https://www.inaturalist.org/observations/342164842" TargetMode="External"/><Relationship Id="rId5272" Type="http://schemas.openxmlformats.org/officeDocument/2006/relationships/hyperlink" Target="https://www.inaturalist.org/people/andrea93iga" TargetMode="External"/><Relationship Id="rId5273" Type="http://schemas.openxmlformats.org/officeDocument/2006/relationships/hyperlink" Target="https://creativecommons.org/licenses/by-nc/4.0/" TargetMode="External"/><Relationship Id="rId5274" Type="http://schemas.openxmlformats.org/officeDocument/2006/relationships/hyperlink" Target="https://www.inaturalist.org/observations/341426535" TargetMode="External"/><Relationship Id="rId5275" Type="http://schemas.openxmlformats.org/officeDocument/2006/relationships/hyperlink" Target="https://www.inaturalist.org/people/vasek22" TargetMode="External"/><Relationship Id="rId5276" Type="http://schemas.openxmlformats.org/officeDocument/2006/relationships/hyperlink" Target="https://creativecommons.org/licenses/by-nc/4.0/" TargetMode="External"/><Relationship Id="rId5277" Type="http://schemas.openxmlformats.org/officeDocument/2006/relationships/hyperlink" Target="https://www.inaturalist.org/observations/337524166" TargetMode="External"/><Relationship Id="rId5278" Type="http://schemas.openxmlformats.org/officeDocument/2006/relationships/hyperlink" Target="https://www.inaturalist.org/people/bargon" TargetMode="External"/><Relationship Id="rId5279" Type="http://schemas.openxmlformats.org/officeDocument/2006/relationships/hyperlink" Target="https://creativecommons.org/licenses/by-nc/4.0/" TargetMode="External"/><Relationship Id="rId5280" Type="http://schemas.openxmlformats.org/officeDocument/2006/relationships/hyperlink" Target="https://www.inaturalist.org/observations/336604830" TargetMode="External"/><Relationship Id="rId5281" Type="http://schemas.openxmlformats.org/officeDocument/2006/relationships/hyperlink" Target="https://www.inaturalist.org/people/verstraeten" TargetMode="External"/><Relationship Id="rId5282" Type="http://schemas.openxmlformats.org/officeDocument/2006/relationships/hyperlink" Target="https://creativecommons.org/licenses/by-nc/4.0/" TargetMode="External"/><Relationship Id="rId5283" Type="http://schemas.openxmlformats.org/officeDocument/2006/relationships/hyperlink" Target="https://www.inaturalist.org/observations/331915489" TargetMode="External"/><Relationship Id="rId5284" Type="http://schemas.openxmlformats.org/officeDocument/2006/relationships/hyperlink" Target="https://www.inaturalist.org/people/naturalonso" TargetMode="External"/><Relationship Id="rId5285" Type="http://schemas.openxmlformats.org/officeDocument/2006/relationships/hyperlink" Target="https://creativecommons.org/licenses/by-nc/4.0/" TargetMode="External"/><Relationship Id="rId5286" Type="http://schemas.openxmlformats.org/officeDocument/2006/relationships/hyperlink" Target="https://www.inaturalist.org/observations/331533888" TargetMode="External"/><Relationship Id="rId5287" Type="http://schemas.openxmlformats.org/officeDocument/2006/relationships/hyperlink" Target="https://www.inaturalist.org/people/amaneko" TargetMode="External"/><Relationship Id="rId5288" Type="http://schemas.openxmlformats.org/officeDocument/2006/relationships/hyperlink" Target="https://creativecommons.org/licenses/by-nc/4.0/" TargetMode="External"/><Relationship Id="rId5289" Type="http://schemas.openxmlformats.org/officeDocument/2006/relationships/hyperlink" Target="https://www.inaturalist.org/observations/330755014" TargetMode="External"/><Relationship Id="rId5290" Type="http://schemas.openxmlformats.org/officeDocument/2006/relationships/hyperlink" Target="https://www.inaturalist.org/people/amaneko" TargetMode="External"/><Relationship Id="rId5291" Type="http://schemas.openxmlformats.org/officeDocument/2006/relationships/hyperlink" Target="https://creativecommons.org/licenses/by-nc/4.0/" TargetMode="External"/><Relationship Id="rId5292" Type="http://schemas.openxmlformats.org/officeDocument/2006/relationships/hyperlink" Target="https://www.inaturalist.org/observations/330755014" TargetMode="External"/><Relationship Id="rId5293" Type="http://schemas.openxmlformats.org/officeDocument/2006/relationships/hyperlink" Target="https://www.inaturalist.org/people/mariomjg999" TargetMode="External"/><Relationship Id="rId5294" Type="http://schemas.openxmlformats.org/officeDocument/2006/relationships/hyperlink" Target="https://creativecommons.org/licenses/by-nc/4.0/" TargetMode="External"/><Relationship Id="rId5295" Type="http://schemas.openxmlformats.org/officeDocument/2006/relationships/hyperlink" Target="https://www.inaturalist.org/observations/329880948" TargetMode="External"/><Relationship Id="rId5296" Type="http://schemas.openxmlformats.org/officeDocument/2006/relationships/hyperlink" Target="https://www.inaturalist.org/people/whoisababybear" TargetMode="External"/><Relationship Id="rId5297" Type="http://schemas.openxmlformats.org/officeDocument/2006/relationships/hyperlink" Target="https://creativecommons.org/licenses/by-nc/4.0/" TargetMode="External"/><Relationship Id="rId5298" Type="http://schemas.openxmlformats.org/officeDocument/2006/relationships/hyperlink" Target="https://www.inaturalist.org/observations/327914220" TargetMode="External"/><Relationship Id="rId5299" Type="http://schemas.openxmlformats.org/officeDocument/2006/relationships/hyperlink" Target="https://www.inaturalist.org/people/luaines" TargetMode="External"/><Relationship Id="rId5300" Type="http://schemas.openxmlformats.org/officeDocument/2006/relationships/hyperlink" Target="https://creativecommons.org/licenses/by-nc/4.0/" TargetMode="External"/><Relationship Id="rId5301" Type="http://schemas.openxmlformats.org/officeDocument/2006/relationships/hyperlink" Target="https://www.inaturalist.org/observations/315192001" TargetMode="External"/><Relationship Id="rId5302" Type="http://schemas.openxmlformats.org/officeDocument/2006/relationships/hyperlink" Target="https://www.inaturalist.org/people/juliangums" TargetMode="External"/><Relationship Id="rId5303" Type="http://schemas.openxmlformats.org/officeDocument/2006/relationships/hyperlink" Target="https://creativecommons.org/licenses/by-nc/4.0/" TargetMode="External"/><Relationship Id="rId5304" Type="http://schemas.openxmlformats.org/officeDocument/2006/relationships/hyperlink" Target="https://www.inaturalist.org/observations/307751904" TargetMode="External"/><Relationship Id="rId5305" Type="http://schemas.openxmlformats.org/officeDocument/2006/relationships/hyperlink" Target="https://www.inaturalist.org/people/phil_newman" TargetMode="External"/><Relationship Id="rId5306" Type="http://schemas.openxmlformats.org/officeDocument/2006/relationships/hyperlink" Target="https://creativecommons.org/licenses/by-nc/4.0/" TargetMode="External"/><Relationship Id="rId5307" Type="http://schemas.openxmlformats.org/officeDocument/2006/relationships/hyperlink" Target="https://www.inaturalist.org/observations/310248056" TargetMode="External"/><Relationship Id="rId5308" Type="http://schemas.openxmlformats.org/officeDocument/2006/relationships/hyperlink" Target="https://www.inaturalist.org/people/felicity0907" TargetMode="External"/><Relationship Id="rId5309" Type="http://schemas.openxmlformats.org/officeDocument/2006/relationships/hyperlink" Target="https://creativecommons.org/licenses/by-nc/4.0/" TargetMode="External"/><Relationship Id="rId5310" Type="http://schemas.openxmlformats.org/officeDocument/2006/relationships/hyperlink" Target="https://www.inaturalist.org/observations/304911946" TargetMode="External"/><Relationship Id="rId5311" Type="http://schemas.openxmlformats.org/officeDocument/2006/relationships/hyperlink" Target="https://www.inaturalist.org/people/alexander_a" TargetMode="External"/><Relationship Id="rId5312" Type="http://schemas.openxmlformats.org/officeDocument/2006/relationships/hyperlink" Target="https://creativecommons.org/licenses/by-nc/4.0/" TargetMode="External"/><Relationship Id="rId5313" Type="http://schemas.openxmlformats.org/officeDocument/2006/relationships/hyperlink" Target="https://www.inaturalist.org/observations/303937240" TargetMode="External"/><Relationship Id="rId5314" Type="http://schemas.openxmlformats.org/officeDocument/2006/relationships/hyperlink" Target="https://www.inaturalist.org/people/carmelo_lopez" TargetMode="External"/><Relationship Id="rId5315" Type="http://schemas.openxmlformats.org/officeDocument/2006/relationships/hyperlink" Target="https://creativecommons.org/licenses/by-nc/4.0/" TargetMode="External"/><Relationship Id="rId5316" Type="http://schemas.openxmlformats.org/officeDocument/2006/relationships/hyperlink" Target="https://www.inaturalist.org/observations/303843571" TargetMode="External"/><Relationship Id="rId5317" Type="http://schemas.openxmlformats.org/officeDocument/2006/relationships/hyperlink" Target="https://www.inaturalist.org/people/adrian_tizon" TargetMode="External"/><Relationship Id="rId5318" Type="http://schemas.openxmlformats.org/officeDocument/2006/relationships/hyperlink" Target="https://creativecommons.org/licenses/by-nc/4.0/" TargetMode="External"/><Relationship Id="rId5319" Type="http://schemas.openxmlformats.org/officeDocument/2006/relationships/hyperlink" Target="https://www.inaturalist.org/observations/302761191" TargetMode="External"/><Relationship Id="rId5320" Type="http://schemas.openxmlformats.org/officeDocument/2006/relationships/hyperlink" Target="https://www.inaturalist.org/people/ulexeuropaeus" TargetMode="External"/><Relationship Id="rId5321" Type="http://schemas.openxmlformats.org/officeDocument/2006/relationships/hyperlink" Target="https://creativecommons.org/licenses/by-nc/4.0/" TargetMode="External"/><Relationship Id="rId5322" Type="http://schemas.openxmlformats.org/officeDocument/2006/relationships/hyperlink" Target="https://www.inaturalist.org/observations/302545483" TargetMode="External"/><Relationship Id="rId5323" Type="http://schemas.openxmlformats.org/officeDocument/2006/relationships/hyperlink" Target="https://www.inaturalist.org/people/adrian_tizon" TargetMode="External"/><Relationship Id="rId5324" Type="http://schemas.openxmlformats.org/officeDocument/2006/relationships/hyperlink" Target="https://creativecommons.org/licenses/by-nc/4.0/" TargetMode="External"/><Relationship Id="rId5325" Type="http://schemas.openxmlformats.org/officeDocument/2006/relationships/hyperlink" Target="https://www.inaturalist.org/observations/300264322" TargetMode="External"/><Relationship Id="rId5326" Type="http://schemas.openxmlformats.org/officeDocument/2006/relationships/hyperlink" Target="https://www.inaturalist.org/people/adrian_tizon" TargetMode="External"/><Relationship Id="rId5327" Type="http://schemas.openxmlformats.org/officeDocument/2006/relationships/hyperlink" Target="https://creativecommons.org/licenses/by-nc/4.0/" TargetMode="External"/><Relationship Id="rId5328" Type="http://schemas.openxmlformats.org/officeDocument/2006/relationships/hyperlink" Target="https://www.inaturalist.org/observations/300264322" TargetMode="External"/><Relationship Id="rId5329" Type="http://schemas.openxmlformats.org/officeDocument/2006/relationships/hyperlink" Target="https://www.inaturalist.org/people/martingrimm" TargetMode="External"/><Relationship Id="rId5330" Type="http://schemas.openxmlformats.org/officeDocument/2006/relationships/hyperlink" Target="https://creativecommons.org/licenses/by-nc/4.0/" TargetMode="External"/><Relationship Id="rId5331" Type="http://schemas.openxmlformats.org/officeDocument/2006/relationships/hyperlink" Target="https://www.inaturalist.org/observations/245190402" TargetMode="External"/><Relationship Id="rId5332" Type="http://schemas.openxmlformats.org/officeDocument/2006/relationships/hyperlink" Target="https://www.inaturalist.org/people/swann19" TargetMode="External"/><Relationship Id="rId5333" Type="http://schemas.openxmlformats.org/officeDocument/2006/relationships/hyperlink" Target="https://creativecommons.org/licenses/by-nc/4.0/" TargetMode="External"/><Relationship Id="rId5334" Type="http://schemas.openxmlformats.org/officeDocument/2006/relationships/hyperlink" Target="https://www.inaturalist.org/observations/244747940" TargetMode="External"/><Relationship Id="rId5335" Type="http://schemas.openxmlformats.org/officeDocument/2006/relationships/hyperlink" Target="https://www.inaturalist.org/people/javieralmunia" TargetMode="External"/><Relationship Id="rId5336" Type="http://schemas.openxmlformats.org/officeDocument/2006/relationships/hyperlink" Target="https://creativecommons.org/licenses/by-nc/4.0/" TargetMode="External"/><Relationship Id="rId5337" Type="http://schemas.openxmlformats.org/officeDocument/2006/relationships/hyperlink" Target="https://www.inaturalist.org/observations/146213463" TargetMode="External"/><Relationship Id="rId5338" Type="http://schemas.openxmlformats.org/officeDocument/2006/relationships/hyperlink" Target="https://www.inaturalist.org/people/silvitruki" TargetMode="External"/><Relationship Id="rId5339" Type="http://schemas.openxmlformats.org/officeDocument/2006/relationships/hyperlink" Target="https://creativecommons.org/licenses/by-nc/4.0/" TargetMode="External"/><Relationship Id="rId5340" Type="http://schemas.openxmlformats.org/officeDocument/2006/relationships/hyperlink" Target="https://www.inaturalist.org/observations/146263557" TargetMode="External"/><Relationship Id="rId5341" Type="http://schemas.openxmlformats.org/officeDocument/2006/relationships/hyperlink" Target="https://www.inaturalist.org/people/vicentebuet" TargetMode="External"/><Relationship Id="rId5342" Type="http://schemas.openxmlformats.org/officeDocument/2006/relationships/hyperlink" Target="https://creativecommons.org/licenses/by-nc/4.0/" TargetMode="External"/><Relationship Id="rId5343" Type="http://schemas.openxmlformats.org/officeDocument/2006/relationships/hyperlink" Target="https://www.inaturalist.org/observations/63103283" TargetMode="External"/><Relationship Id="rId5344" Type="http://schemas.openxmlformats.org/officeDocument/2006/relationships/hyperlink" Target="https://www.inaturalist.org/people/tityus_is_cool" TargetMode="External"/><Relationship Id="rId5345" Type="http://schemas.openxmlformats.org/officeDocument/2006/relationships/hyperlink" Target="https://creativecommons.org/licenses/by-nc/4.0/" TargetMode="External"/><Relationship Id="rId5346" Type="http://schemas.openxmlformats.org/officeDocument/2006/relationships/hyperlink" Target="https://www.inaturalist.org/observations/381846703" TargetMode="External"/><Relationship Id="rId5347" Type="http://schemas.openxmlformats.org/officeDocument/2006/relationships/hyperlink" Target="https://www.inaturalist.org/people/tityus_is_cool" TargetMode="External"/><Relationship Id="rId5348" Type="http://schemas.openxmlformats.org/officeDocument/2006/relationships/hyperlink" Target="https://creativecommons.org/licenses/by-nc/4.0/" TargetMode="External"/><Relationship Id="rId5349" Type="http://schemas.openxmlformats.org/officeDocument/2006/relationships/hyperlink" Target="https://www.inaturalist.org/observations/381846703" TargetMode="External"/><Relationship Id="rId5350" Type="http://schemas.openxmlformats.org/officeDocument/2006/relationships/hyperlink" Target="https://www.inaturalist.org/people/iska_syubay" TargetMode="External"/><Relationship Id="rId5351" Type="http://schemas.openxmlformats.org/officeDocument/2006/relationships/hyperlink" Target="https://creativecommons.org/licenses/by-nc/4.0/" TargetMode="External"/><Relationship Id="rId5352" Type="http://schemas.openxmlformats.org/officeDocument/2006/relationships/hyperlink" Target="https://www.inaturalist.org/observations/380963455" TargetMode="External"/><Relationship Id="rId5353" Type="http://schemas.openxmlformats.org/officeDocument/2006/relationships/hyperlink" Target="https://www.inaturalist.org/people/anthonyu" TargetMode="External"/><Relationship Id="rId5354" Type="http://schemas.openxmlformats.org/officeDocument/2006/relationships/hyperlink" Target="https://creativecommons.org/licenses/by-nc/4.0/" TargetMode="External"/><Relationship Id="rId5355" Type="http://schemas.openxmlformats.org/officeDocument/2006/relationships/hyperlink" Target="https://www.inaturalist.org/observations/379493432" TargetMode="External"/><Relationship Id="rId5356" Type="http://schemas.openxmlformats.org/officeDocument/2006/relationships/hyperlink" Target="https://www.inaturalist.org/people/anthonyu" TargetMode="External"/><Relationship Id="rId5357" Type="http://schemas.openxmlformats.org/officeDocument/2006/relationships/hyperlink" Target="https://creativecommons.org/licenses/by-nc/4.0/" TargetMode="External"/><Relationship Id="rId5358" Type="http://schemas.openxmlformats.org/officeDocument/2006/relationships/hyperlink" Target="https://www.inaturalist.org/observations/379493432" TargetMode="External"/><Relationship Id="rId5359" Type="http://schemas.openxmlformats.org/officeDocument/2006/relationships/hyperlink" Target="https://www.inaturalist.org/people/ale-jan-dra" TargetMode="External"/><Relationship Id="rId5360" Type="http://schemas.openxmlformats.org/officeDocument/2006/relationships/hyperlink" Target="https://creativecommons.org/licenses/by-nc/4.0/" TargetMode="External"/><Relationship Id="rId5361" Type="http://schemas.openxmlformats.org/officeDocument/2006/relationships/hyperlink" Target="https://www.inaturalist.org/observations/378287400" TargetMode="External"/><Relationship Id="rId5362" Type="http://schemas.openxmlformats.org/officeDocument/2006/relationships/hyperlink" Target="https://www.inaturalist.org/people/pigrorospo" TargetMode="External"/><Relationship Id="rId5363" Type="http://schemas.openxmlformats.org/officeDocument/2006/relationships/hyperlink" Target="https://creativecommons.org/licenses/by-nc/4.0/" TargetMode="External"/><Relationship Id="rId5364" Type="http://schemas.openxmlformats.org/officeDocument/2006/relationships/hyperlink" Target="https://www.inaturalist.org/observations/378119930" TargetMode="External"/><Relationship Id="rId5365" Type="http://schemas.openxmlformats.org/officeDocument/2006/relationships/hyperlink" Target="https://www.inaturalist.org/people/nourrmw14" TargetMode="External"/><Relationship Id="rId5366" Type="http://schemas.openxmlformats.org/officeDocument/2006/relationships/hyperlink" Target="https://creativecommons.org/licenses/by-nc/4.0/" TargetMode="External"/><Relationship Id="rId5367" Type="http://schemas.openxmlformats.org/officeDocument/2006/relationships/hyperlink" Target="https://www.inaturalist.org/observations/378024787" TargetMode="External"/><Relationship Id="rId5368" Type="http://schemas.openxmlformats.org/officeDocument/2006/relationships/hyperlink" Target="https://www.inaturalist.org/people/daymaorg" TargetMode="External"/><Relationship Id="rId5369" Type="http://schemas.openxmlformats.org/officeDocument/2006/relationships/hyperlink" Target="https://creativecommons.org/licenses/by-nc/4.0/" TargetMode="External"/><Relationship Id="rId5370" Type="http://schemas.openxmlformats.org/officeDocument/2006/relationships/hyperlink" Target="https://www.inaturalist.org/observations/377805288" TargetMode="External"/><Relationship Id="rId5371" Type="http://schemas.openxmlformats.org/officeDocument/2006/relationships/hyperlink" Target="https://www.inaturalist.org/people/mahmoud_fayez" TargetMode="External"/><Relationship Id="rId5372" Type="http://schemas.openxmlformats.org/officeDocument/2006/relationships/hyperlink" Target="https://creativecommons.org/licenses/by-nc/4.0/" TargetMode="External"/><Relationship Id="rId5373" Type="http://schemas.openxmlformats.org/officeDocument/2006/relationships/hyperlink" Target="https://www.inaturalist.org/observations/375655867" TargetMode="External"/><Relationship Id="rId5374" Type="http://schemas.openxmlformats.org/officeDocument/2006/relationships/hyperlink" Target="https://www.inaturalist.org/people/jm_blake" TargetMode="External"/><Relationship Id="rId5375" Type="http://schemas.openxmlformats.org/officeDocument/2006/relationships/hyperlink" Target="https://creativecommons.org/licenses/by-nc/4.0/" TargetMode="External"/><Relationship Id="rId5376" Type="http://schemas.openxmlformats.org/officeDocument/2006/relationships/hyperlink" Target="https://www.inaturalist.org/observations/372862888" TargetMode="External"/><Relationship Id="rId5377" Type="http://schemas.openxmlformats.org/officeDocument/2006/relationships/hyperlink" Target="https://www.inaturalist.org/people/mahmoud_fayez" TargetMode="External"/><Relationship Id="rId5378" Type="http://schemas.openxmlformats.org/officeDocument/2006/relationships/hyperlink" Target="https://creativecommons.org/licenses/by-nc/4.0/" TargetMode="External"/><Relationship Id="rId5379" Type="http://schemas.openxmlformats.org/officeDocument/2006/relationships/hyperlink" Target="https://www.inaturalist.org/observations/372042098" TargetMode="External"/><Relationship Id="rId5380" Type="http://schemas.openxmlformats.org/officeDocument/2006/relationships/hyperlink" Target="https://www.inaturalist.org/people/philippeloyoddin" TargetMode="External"/><Relationship Id="rId5381" Type="http://schemas.openxmlformats.org/officeDocument/2006/relationships/hyperlink" Target="https://creativecommons.org/licenses/by-nc/4.0/" TargetMode="External"/><Relationship Id="rId5382" Type="http://schemas.openxmlformats.org/officeDocument/2006/relationships/hyperlink" Target="https://www.inaturalist.org/observations/371401215" TargetMode="External"/><Relationship Id="rId5383" Type="http://schemas.openxmlformats.org/officeDocument/2006/relationships/hyperlink" Target="https://www.inaturalist.org/people/erik6306" TargetMode="External"/><Relationship Id="rId5384" Type="http://schemas.openxmlformats.org/officeDocument/2006/relationships/hyperlink" Target="https://creativecommons.org/licenses/by-nc/4.0/" TargetMode="External"/><Relationship Id="rId5385" Type="http://schemas.openxmlformats.org/officeDocument/2006/relationships/hyperlink" Target="https://www.inaturalist.org/observations/368897616" TargetMode="External"/><Relationship Id="rId5386" Type="http://schemas.openxmlformats.org/officeDocument/2006/relationships/hyperlink" Target="https://www.inaturalist.org/people/einati125" TargetMode="External"/><Relationship Id="rId5387" Type="http://schemas.openxmlformats.org/officeDocument/2006/relationships/hyperlink" Target="https://creativecommons.org/licenses/by-nc/4.0/" TargetMode="External"/><Relationship Id="rId5388" Type="http://schemas.openxmlformats.org/officeDocument/2006/relationships/hyperlink" Target="https://www.inaturalist.org/observations/368428961" TargetMode="External"/><Relationship Id="rId5389" Type="http://schemas.openxmlformats.org/officeDocument/2006/relationships/hyperlink" Target="https://www.inaturalist.org/people/silke10067" TargetMode="External"/><Relationship Id="rId5390" Type="http://schemas.openxmlformats.org/officeDocument/2006/relationships/hyperlink" Target="https://creativecommons.org/licenses/by-nc/4.0/" TargetMode="External"/><Relationship Id="rId5391" Type="http://schemas.openxmlformats.org/officeDocument/2006/relationships/hyperlink" Target="https://www.inaturalist.org/observations/368387303" TargetMode="External"/><Relationship Id="rId5392" Type="http://schemas.openxmlformats.org/officeDocument/2006/relationships/hyperlink" Target="https://www.inaturalist.org/people/roberto-villarreal" TargetMode="External"/><Relationship Id="rId5393" Type="http://schemas.openxmlformats.org/officeDocument/2006/relationships/hyperlink" Target="https://creativecommons.org/licenses/by-nc/4.0/" TargetMode="External"/><Relationship Id="rId5394" Type="http://schemas.openxmlformats.org/officeDocument/2006/relationships/hyperlink" Target="https://www.inaturalist.org/observations/367299390" TargetMode="External"/><Relationship Id="rId5395" Type="http://schemas.openxmlformats.org/officeDocument/2006/relationships/hyperlink" Target="https://www.inaturalist.org/people/bac_77" TargetMode="External"/><Relationship Id="rId5396" Type="http://schemas.openxmlformats.org/officeDocument/2006/relationships/hyperlink" Target="https://creativecommons.org/licenses/by-nc/4.0/" TargetMode="External"/><Relationship Id="rId5397" Type="http://schemas.openxmlformats.org/officeDocument/2006/relationships/hyperlink" Target="https://www.inaturalist.org/observations/364449160" TargetMode="External"/><Relationship Id="rId5398" Type="http://schemas.openxmlformats.org/officeDocument/2006/relationships/hyperlink" Target="https://www.inaturalist.org/people/bac_77" TargetMode="External"/><Relationship Id="rId5399" Type="http://schemas.openxmlformats.org/officeDocument/2006/relationships/hyperlink" Target="https://creativecommons.org/licenses/by-nc/4.0/" TargetMode="External"/><Relationship Id="rId5400" Type="http://schemas.openxmlformats.org/officeDocument/2006/relationships/hyperlink" Target="https://www.inaturalist.org/observations/364449160" TargetMode="External"/><Relationship Id="rId5401" Type="http://schemas.openxmlformats.org/officeDocument/2006/relationships/hyperlink" Target="https://www.inaturalist.org/people/alexb0000" TargetMode="External"/><Relationship Id="rId5402" Type="http://schemas.openxmlformats.org/officeDocument/2006/relationships/hyperlink" Target="https://creativecommons.org/licenses/by-nc/4.0/" TargetMode="External"/><Relationship Id="rId5403" Type="http://schemas.openxmlformats.org/officeDocument/2006/relationships/hyperlink" Target="https://www.inaturalist.org/observations/364132756" TargetMode="External"/><Relationship Id="rId5404" Type="http://schemas.openxmlformats.org/officeDocument/2006/relationships/hyperlink" Target="https://www.inaturalist.org/people/marcosilv" TargetMode="External"/><Relationship Id="rId5405" Type="http://schemas.openxmlformats.org/officeDocument/2006/relationships/hyperlink" Target="https://creativecommons.org/licenses/by-nc/4.0/" TargetMode="External"/><Relationship Id="rId5406" Type="http://schemas.openxmlformats.org/officeDocument/2006/relationships/hyperlink" Target="https://www.inaturalist.org/observations/360544813" TargetMode="External"/><Relationship Id="rId5407" Type="http://schemas.openxmlformats.org/officeDocument/2006/relationships/hyperlink" Target="https://www.inaturalist.org/people/ya_sergey" TargetMode="External"/><Relationship Id="rId5408" Type="http://schemas.openxmlformats.org/officeDocument/2006/relationships/hyperlink" Target="https://creativecommons.org/licenses/by-nc/4.0/" TargetMode="External"/><Relationship Id="rId5409" Type="http://schemas.openxmlformats.org/officeDocument/2006/relationships/hyperlink" Target="https://www.inaturalist.org/observations/360382966" TargetMode="External"/><Relationship Id="rId5410" Type="http://schemas.openxmlformats.org/officeDocument/2006/relationships/hyperlink" Target="https://www.inaturalist.org/people/mahmoud_fayez" TargetMode="External"/><Relationship Id="rId5411" Type="http://schemas.openxmlformats.org/officeDocument/2006/relationships/hyperlink" Target="https://creativecommons.org/licenses/by-nc/4.0/" TargetMode="External"/><Relationship Id="rId5412" Type="http://schemas.openxmlformats.org/officeDocument/2006/relationships/hyperlink" Target="https://www.inaturalist.org/observations/358353767" TargetMode="External"/><Relationship Id="rId5413" Type="http://schemas.openxmlformats.org/officeDocument/2006/relationships/hyperlink" Target="https://www.inaturalist.org/people/mahmoud_fayez" TargetMode="External"/><Relationship Id="rId5414" Type="http://schemas.openxmlformats.org/officeDocument/2006/relationships/hyperlink" Target="https://creativecommons.org/licenses/by-nc/4.0/" TargetMode="External"/><Relationship Id="rId5415" Type="http://schemas.openxmlformats.org/officeDocument/2006/relationships/hyperlink" Target="https://www.inaturalist.org/observations/358353767" TargetMode="External"/><Relationship Id="rId5416" Type="http://schemas.openxmlformats.org/officeDocument/2006/relationships/hyperlink" Target="https://www.inaturalist.org/people/kingkotgal12" TargetMode="External"/><Relationship Id="rId5417" Type="http://schemas.openxmlformats.org/officeDocument/2006/relationships/hyperlink" Target="https://creativecommons.org/licenses/by-nc/4.0/" TargetMode="External"/><Relationship Id="rId5418" Type="http://schemas.openxmlformats.org/officeDocument/2006/relationships/hyperlink" Target="https://www.inaturalist.org/observations/359749419" TargetMode="External"/><Relationship Id="rId5419" Type="http://schemas.openxmlformats.org/officeDocument/2006/relationships/hyperlink" Target="https://www.inaturalist.org/people/moshe_neeman" TargetMode="External"/><Relationship Id="rId5420" Type="http://schemas.openxmlformats.org/officeDocument/2006/relationships/hyperlink" Target="https://creativecommons.org/licenses/by-nc/4.0/" TargetMode="External"/><Relationship Id="rId5421" Type="http://schemas.openxmlformats.org/officeDocument/2006/relationships/hyperlink" Target="https://www.inaturalist.org/observations/357846843" TargetMode="External"/><Relationship Id="rId5422" Type="http://schemas.openxmlformats.org/officeDocument/2006/relationships/hyperlink" Target="https://www.inaturalist.org/people/scchaney" TargetMode="External"/><Relationship Id="rId5423" Type="http://schemas.openxmlformats.org/officeDocument/2006/relationships/hyperlink" Target="https://creativecommons.org/licenses/by-nc/4.0/" TargetMode="External"/><Relationship Id="rId5424" Type="http://schemas.openxmlformats.org/officeDocument/2006/relationships/hyperlink" Target="https://www.inaturalist.org/observations/354862893" TargetMode="External"/><Relationship Id="rId5425" Type="http://schemas.openxmlformats.org/officeDocument/2006/relationships/hyperlink" Target="https://www.inaturalist.org/people/aleksandrchekalov" TargetMode="External"/><Relationship Id="rId5426" Type="http://schemas.openxmlformats.org/officeDocument/2006/relationships/hyperlink" Target="https://creativecommons.org/licenses/by-nc/4.0/" TargetMode="External"/><Relationship Id="rId5427" Type="http://schemas.openxmlformats.org/officeDocument/2006/relationships/hyperlink" Target="https://www.inaturalist.org/observations/350330766" TargetMode="External"/><Relationship Id="rId5428" Type="http://schemas.openxmlformats.org/officeDocument/2006/relationships/hyperlink" Target="https://www.inaturalist.org/people/siberian_birdguide" TargetMode="External"/><Relationship Id="rId5429" Type="http://schemas.openxmlformats.org/officeDocument/2006/relationships/hyperlink" Target="https://creativecommons.org/licenses/by-nc/4.0/" TargetMode="External"/><Relationship Id="rId5430" Type="http://schemas.openxmlformats.org/officeDocument/2006/relationships/hyperlink" Target="https://www.inaturalist.org/observations/348709415" TargetMode="External"/><Relationship Id="rId5431" Type="http://schemas.openxmlformats.org/officeDocument/2006/relationships/hyperlink" Target="https://www.inaturalist.org/people/nocturnal_darkness" TargetMode="External"/><Relationship Id="rId5432" Type="http://schemas.openxmlformats.org/officeDocument/2006/relationships/hyperlink" Target="https://creativecommons.org/licenses/by-nc/4.0/" TargetMode="External"/><Relationship Id="rId5433" Type="http://schemas.openxmlformats.org/officeDocument/2006/relationships/hyperlink" Target="https://www.inaturalist.org/observations/348525759" TargetMode="External"/><Relationship Id="rId5434" Type="http://schemas.openxmlformats.org/officeDocument/2006/relationships/hyperlink" Target="https://www.inaturalist.org/people/mansourelkerdany" TargetMode="External"/><Relationship Id="rId5435" Type="http://schemas.openxmlformats.org/officeDocument/2006/relationships/hyperlink" Target="https://creativecommons.org/licenses/by-nc/4.0/" TargetMode="External"/><Relationship Id="rId5436" Type="http://schemas.openxmlformats.org/officeDocument/2006/relationships/hyperlink" Target="https://www.inaturalist.org/observations/348170895" TargetMode="External"/><Relationship Id="rId5437" Type="http://schemas.openxmlformats.org/officeDocument/2006/relationships/hyperlink" Target="https://www.inaturalist.org/people/mariomjg999" TargetMode="External"/><Relationship Id="rId5438" Type="http://schemas.openxmlformats.org/officeDocument/2006/relationships/hyperlink" Target="https://creativecommons.org/licenses/by-nc/4.0/" TargetMode="External"/><Relationship Id="rId5439" Type="http://schemas.openxmlformats.org/officeDocument/2006/relationships/hyperlink" Target="https://www.inaturalist.org/observations/329823761" TargetMode="External"/><Relationship Id="rId5440" Type="http://schemas.openxmlformats.org/officeDocument/2006/relationships/hyperlink" Target="https://www.inaturalist.org/people/reptilemen" TargetMode="External"/><Relationship Id="rId5441" Type="http://schemas.openxmlformats.org/officeDocument/2006/relationships/hyperlink" Target="https://creativecommons.org/licenses/by-nc/4.0/" TargetMode="External"/><Relationship Id="rId5442" Type="http://schemas.openxmlformats.org/officeDocument/2006/relationships/hyperlink" Target="https://www.inaturalist.org/observations/339063818" TargetMode="External"/><Relationship Id="rId5443" Type="http://schemas.openxmlformats.org/officeDocument/2006/relationships/hyperlink" Target="https://www.inaturalist.org/people/saxifraga13" TargetMode="External"/><Relationship Id="rId5444" Type="http://schemas.openxmlformats.org/officeDocument/2006/relationships/hyperlink" Target="https://creativecommons.org/licenses/by-nc/4.0/" TargetMode="External"/><Relationship Id="rId5445" Type="http://schemas.openxmlformats.org/officeDocument/2006/relationships/hyperlink" Target="https://www.inaturalist.org/observations/342428036" TargetMode="External"/><Relationship Id="rId5446" Type="http://schemas.openxmlformats.org/officeDocument/2006/relationships/hyperlink" Target="https://www.inaturalist.org/people/majarogus" TargetMode="External"/><Relationship Id="rId5447" Type="http://schemas.openxmlformats.org/officeDocument/2006/relationships/hyperlink" Target="https://creativecommons.org/licenses/by-nc/4.0/" TargetMode="External"/><Relationship Id="rId5448" Type="http://schemas.openxmlformats.org/officeDocument/2006/relationships/hyperlink" Target="https://www.inaturalist.org/observations/361224934" TargetMode="External"/><Relationship Id="rId5449" Type="http://schemas.openxmlformats.org/officeDocument/2006/relationships/hyperlink" Target="https://www.inaturalist.org/people/bryansarauer" TargetMode="External"/><Relationship Id="rId5450" Type="http://schemas.openxmlformats.org/officeDocument/2006/relationships/hyperlink" Target="https://creativecommons.org/licenses/by-nc/4.0/" TargetMode="External"/><Relationship Id="rId5451" Type="http://schemas.openxmlformats.org/officeDocument/2006/relationships/hyperlink" Target="https://www.inaturalist.org/observations/382288851" TargetMode="External"/><Relationship Id="rId5452" Type="http://schemas.openxmlformats.org/officeDocument/2006/relationships/hyperlink" Target="https://www.inaturalist.org/people/yosef1234567" TargetMode="External"/><Relationship Id="rId5453" Type="http://schemas.openxmlformats.org/officeDocument/2006/relationships/hyperlink" Target="https://creativecommons.org/licenses/by-nc/4.0/" TargetMode="External"/><Relationship Id="rId5454" Type="http://schemas.openxmlformats.org/officeDocument/2006/relationships/hyperlink" Target="https://www.inaturalist.org/observations/380901563" TargetMode="External"/><Relationship Id="rId5455" Type="http://schemas.openxmlformats.org/officeDocument/2006/relationships/hyperlink" Target="https://www.inaturalist.org/people/yosef1234567" TargetMode="External"/><Relationship Id="rId5456" Type="http://schemas.openxmlformats.org/officeDocument/2006/relationships/hyperlink" Target="https://creativecommons.org/licenses/by-nc/4.0/" TargetMode="External"/><Relationship Id="rId5457" Type="http://schemas.openxmlformats.org/officeDocument/2006/relationships/hyperlink" Target="https://www.inaturalist.org/observations/380901563" TargetMode="External"/><Relationship Id="rId5458" Type="http://schemas.openxmlformats.org/officeDocument/2006/relationships/hyperlink" Target="https://www.inaturalist.org/people/drorf" TargetMode="External"/><Relationship Id="rId5459" Type="http://schemas.openxmlformats.org/officeDocument/2006/relationships/hyperlink" Target="https://creativecommons.org/licenses/by-nc/4.0/" TargetMode="External"/><Relationship Id="rId5460" Type="http://schemas.openxmlformats.org/officeDocument/2006/relationships/hyperlink" Target="https://www.inaturalist.org/observations/380690841" TargetMode="External"/><Relationship Id="rId5461" Type="http://schemas.openxmlformats.org/officeDocument/2006/relationships/hyperlink" Target="https://www.inaturalist.org/people/mantis_lover321" TargetMode="External"/><Relationship Id="rId5462" Type="http://schemas.openxmlformats.org/officeDocument/2006/relationships/hyperlink" Target="https://creativecommons.org/licenses/by-nc/4.0/" TargetMode="External"/><Relationship Id="rId5463" Type="http://schemas.openxmlformats.org/officeDocument/2006/relationships/hyperlink" Target="https://www.inaturalist.org/observations/380060274" TargetMode="External"/><Relationship Id="rId5464" Type="http://schemas.openxmlformats.org/officeDocument/2006/relationships/hyperlink" Target="https://www.inaturalist.org/people/themooshi" TargetMode="External"/><Relationship Id="rId5465" Type="http://schemas.openxmlformats.org/officeDocument/2006/relationships/hyperlink" Target="https://creativecommons.org/licenses/by-nc/4.0/" TargetMode="External"/><Relationship Id="rId5466" Type="http://schemas.openxmlformats.org/officeDocument/2006/relationships/hyperlink" Target="https://www.inaturalist.org/observations/378661379" TargetMode="External"/><Relationship Id="rId5467" Type="http://schemas.openxmlformats.org/officeDocument/2006/relationships/hyperlink" Target="https://www.inaturalist.org/people/themooshi" TargetMode="External"/><Relationship Id="rId5468" Type="http://schemas.openxmlformats.org/officeDocument/2006/relationships/hyperlink" Target="https://creativecommons.org/licenses/by-nc/4.0/" TargetMode="External"/><Relationship Id="rId5469" Type="http://schemas.openxmlformats.org/officeDocument/2006/relationships/hyperlink" Target="https://www.inaturalist.org/observations/378646187" TargetMode="External"/><Relationship Id="rId5470" Type="http://schemas.openxmlformats.org/officeDocument/2006/relationships/hyperlink" Target="https://www.inaturalist.org/people/shmul" TargetMode="External"/><Relationship Id="rId5471" Type="http://schemas.openxmlformats.org/officeDocument/2006/relationships/hyperlink" Target="https://creativecommons.org/licenses/by-nc/4.0/" TargetMode="External"/><Relationship Id="rId5472" Type="http://schemas.openxmlformats.org/officeDocument/2006/relationships/hyperlink" Target="https://www.inaturalist.org/observations/376608847" TargetMode="External"/><Relationship Id="rId5473" Type="http://schemas.openxmlformats.org/officeDocument/2006/relationships/hyperlink" Target="https://www.inaturalist.org/people/jonigr" TargetMode="External"/><Relationship Id="rId5474" Type="http://schemas.openxmlformats.org/officeDocument/2006/relationships/hyperlink" Target="https://creativecommons.org/licenses/by-nc/4.0/" TargetMode="External"/><Relationship Id="rId5475" Type="http://schemas.openxmlformats.org/officeDocument/2006/relationships/hyperlink" Target="https://www.inaturalist.org/observations/374313753" TargetMode="External"/><Relationship Id="rId5476" Type="http://schemas.openxmlformats.org/officeDocument/2006/relationships/hyperlink" Target="https://www.inaturalist.org/people/liam_hall" TargetMode="External"/><Relationship Id="rId5477" Type="http://schemas.openxmlformats.org/officeDocument/2006/relationships/hyperlink" Target="https://creativecommons.org/licenses/by-nc/4.0/" TargetMode="External"/><Relationship Id="rId5478" Type="http://schemas.openxmlformats.org/officeDocument/2006/relationships/hyperlink" Target="https://www.inaturalist.org/observations/372526693" TargetMode="External"/><Relationship Id="rId5479" Type="http://schemas.openxmlformats.org/officeDocument/2006/relationships/hyperlink" Target="https://www.inaturalist.org/people/yuvitescu" TargetMode="External"/><Relationship Id="rId5480" Type="http://schemas.openxmlformats.org/officeDocument/2006/relationships/hyperlink" Target="https://creativecommons.org/licenses/by-nc/4.0/" TargetMode="External"/><Relationship Id="rId5481" Type="http://schemas.openxmlformats.org/officeDocument/2006/relationships/hyperlink" Target="https://www.inaturalist.org/observations/370083191" TargetMode="External"/><Relationship Id="rId5482" Type="http://schemas.openxmlformats.org/officeDocument/2006/relationships/hyperlink" Target="https://www.inaturalist.org/people/ghammouri" TargetMode="External"/><Relationship Id="rId5483" Type="http://schemas.openxmlformats.org/officeDocument/2006/relationships/hyperlink" Target="https://creativecommons.org/licenses/by-nc/4.0/" TargetMode="External"/><Relationship Id="rId5484" Type="http://schemas.openxmlformats.org/officeDocument/2006/relationships/hyperlink" Target="https://www.inaturalist.org/observations/369593024" TargetMode="External"/><Relationship Id="rId5485" Type="http://schemas.openxmlformats.org/officeDocument/2006/relationships/hyperlink" Target="https://www.inaturalist.org/people/itgypsy" TargetMode="External"/><Relationship Id="rId5486" Type="http://schemas.openxmlformats.org/officeDocument/2006/relationships/hyperlink" Target="https://creativecommons.org/licenses/by-nc/4.0/" TargetMode="External"/><Relationship Id="rId5487" Type="http://schemas.openxmlformats.org/officeDocument/2006/relationships/hyperlink" Target="https://www.inaturalist.org/observations/366325332" TargetMode="External"/><Relationship Id="rId5488" Type="http://schemas.openxmlformats.org/officeDocument/2006/relationships/hyperlink" Target="https://www.inaturalist.org/people/omermeshulam" TargetMode="External"/><Relationship Id="rId5489" Type="http://schemas.openxmlformats.org/officeDocument/2006/relationships/hyperlink" Target="https://creativecommons.org/licenses/by-nc/4.0/" TargetMode="External"/><Relationship Id="rId5490" Type="http://schemas.openxmlformats.org/officeDocument/2006/relationships/hyperlink" Target="https://www.inaturalist.org/observations/364016958" TargetMode="External"/><Relationship Id="rId5491" Type="http://schemas.openxmlformats.org/officeDocument/2006/relationships/hyperlink" Target="https://www.inaturalist.org/people/greenstep-iris" TargetMode="External"/><Relationship Id="rId5492" Type="http://schemas.openxmlformats.org/officeDocument/2006/relationships/hyperlink" Target="https://creativecommons.org/licenses/by-nc/4.0/" TargetMode="External"/><Relationship Id="rId5493" Type="http://schemas.openxmlformats.org/officeDocument/2006/relationships/hyperlink" Target="https://www.inaturalist.org/observations/362508415" TargetMode="External"/><Relationship Id="rId5494" Type="http://schemas.openxmlformats.org/officeDocument/2006/relationships/hyperlink" Target="https://www.inaturalist.org/people/avishugar" TargetMode="External"/><Relationship Id="rId5495" Type="http://schemas.openxmlformats.org/officeDocument/2006/relationships/hyperlink" Target="https://creativecommons.org/licenses/by-nc/4.0/" TargetMode="External"/><Relationship Id="rId5496" Type="http://schemas.openxmlformats.org/officeDocument/2006/relationships/hyperlink" Target="https://www.inaturalist.org/observations/361443629" TargetMode="External"/><Relationship Id="rId5497" Type="http://schemas.openxmlformats.org/officeDocument/2006/relationships/hyperlink" Target="https://www.inaturalist.org/people/jonigr" TargetMode="External"/><Relationship Id="rId5498" Type="http://schemas.openxmlformats.org/officeDocument/2006/relationships/hyperlink" Target="https://creativecommons.org/licenses/by-nc/4.0/" TargetMode="External"/><Relationship Id="rId5499" Type="http://schemas.openxmlformats.org/officeDocument/2006/relationships/hyperlink" Target="https://www.inaturalist.org/observations/361203684" TargetMode="External"/><Relationship Id="rId5500" Type="http://schemas.openxmlformats.org/officeDocument/2006/relationships/hyperlink" Target="https://www.inaturalist.org/people/aharon_p" TargetMode="External"/><Relationship Id="rId5501" Type="http://schemas.openxmlformats.org/officeDocument/2006/relationships/hyperlink" Target="https://creativecommons.org/licenses/by-nc/4.0/" TargetMode="External"/><Relationship Id="rId5502" Type="http://schemas.openxmlformats.org/officeDocument/2006/relationships/hyperlink" Target="https://www.inaturalist.org/observations/360970143" TargetMode="External"/><Relationship Id="rId5503" Type="http://schemas.openxmlformats.org/officeDocument/2006/relationships/hyperlink" Target="https://www.inaturalist.org/people/mantis_lover321" TargetMode="External"/><Relationship Id="rId5504" Type="http://schemas.openxmlformats.org/officeDocument/2006/relationships/hyperlink" Target="https://creativecommons.org/licenses/by-nc/4.0/" TargetMode="External"/><Relationship Id="rId5505" Type="http://schemas.openxmlformats.org/officeDocument/2006/relationships/hyperlink" Target="https://www.inaturalist.org/observations/360563273" TargetMode="External"/><Relationship Id="rId5506" Type="http://schemas.openxmlformats.org/officeDocument/2006/relationships/hyperlink" Target="https://www.inaturalist.org/people/mantis_lover321" TargetMode="External"/><Relationship Id="rId5507" Type="http://schemas.openxmlformats.org/officeDocument/2006/relationships/hyperlink" Target="https://creativecommons.org/licenses/by-nc/4.0/" TargetMode="External"/><Relationship Id="rId5508" Type="http://schemas.openxmlformats.org/officeDocument/2006/relationships/hyperlink" Target="https://www.inaturalist.org/observations/360563273" TargetMode="External"/><Relationship Id="rId5509" Type="http://schemas.openxmlformats.org/officeDocument/2006/relationships/hyperlink" Target="https://www.inaturalist.org/people/nataliya_kolyupanova" TargetMode="External"/><Relationship Id="rId5510" Type="http://schemas.openxmlformats.org/officeDocument/2006/relationships/hyperlink" Target="https://creativecommons.org/licenses/by-nc/4.0/" TargetMode="External"/><Relationship Id="rId5511" Type="http://schemas.openxmlformats.org/officeDocument/2006/relationships/hyperlink" Target="https://www.inaturalist.org/observations/359554273" TargetMode="External"/><Relationship Id="rId5512" Type="http://schemas.openxmlformats.org/officeDocument/2006/relationships/hyperlink" Target="https://www.inaturalist.org/people/ezvegan" TargetMode="External"/><Relationship Id="rId5513" Type="http://schemas.openxmlformats.org/officeDocument/2006/relationships/hyperlink" Target="https://creativecommons.org/licenses/by-nc/4.0/" TargetMode="External"/><Relationship Id="rId5514" Type="http://schemas.openxmlformats.org/officeDocument/2006/relationships/hyperlink" Target="https://www.inaturalist.org/observations/350342364" TargetMode="External"/><Relationship Id="rId5515" Type="http://schemas.openxmlformats.org/officeDocument/2006/relationships/hyperlink" Target="https://www.inaturalist.org/people/david_777" TargetMode="External"/><Relationship Id="rId5516" Type="http://schemas.openxmlformats.org/officeDocument/2006/relationships/hyperlink" Target="https://creativecommons.org/licenses/by-nc/4.0/" TargetMode="External"/><Relationship Id="rId5517" Type="http://schemas.openxmlformats.org/officeDocument/2006/relationships/hyperlink" Target="https://www.inaturalist.org/observations/352872319" TargetMode="External"/><Relationship Id="rId5518" Type="http://schemas.openxmlformats.org/officeDocument/2006/relationships/hyperlink" Target="https://www.inaturalist.org/people/inaturalist-arthur" TargetMode="External"/><Relationship Id="rId5519" Type="http://schemas.openxmlformats.org/officeDocument/2006/relationships/hyperlink" Target="https://creativecommons.org/licenses/by-nc/4.0/" TargetMode="External"/><Relationship Id="rId5520" Type="http://schemas.openxmlformats.org/officeDocument/2006/relationships/hyperlink" Target="https://www.inaturalist.org/observations/355796959" TargetMode="External"/><Relationship Id="rId5521" Type="http://schemas.openxmlformats.org/officeDocument/2006/relationships/hyperlink" Target="https://www.inaturalist.org/people/okalachov" TargetMode="External"/><Relationship Id="rId5522" Type="http://schemas.openxmlformats.org/officeDocument/2006/relationships/hyperlink" Target="https://creativecommons.org/licenses/by-nc/4.0/" TargetMode="External"/><Relationship Id="rId5523" Type="http://schemas.openxmlformats.org/officeDocument/2006/relationships/hyperlink" Target="https://www.inaturalist.org/observations/348324458" TargetMode="External"/><Relationship Id="rId5524" Type="http://schemas.openxmlformats.org/officeDocument/2006/relationships/hyperlink" Target="https://www.inaturalist.org/people/hilly_hendel" TargetMode="External"/><Relationship Id="rId5525" Type="http://schemas.openxmlformats.org/officeDocument/2006/relationships/hyperlink" Target="https://creativecommons.org/licenses/by-nc/4.0/" TargetMode="External"/><Relationship Id="rId5526" Type="http://schemas.openxmlformats.org/officeDocument/2006/relationships/hyperlink" Target="https://www.inaturalist.org/observations/338441439" TargetMode="External"/><Relationship Id="rId5527" Type="http://schemas.openxmlformats.org/officeDocument/2006/relationships/hyperlink" Target="https://www.inaturalist.org/people/polyabel" TargetMode="External"/><Relationship Id="rId5528" Type="http://schemas.openxmlformats.org/officeDocument/2006/relationships/hyperlink" Target="https://creativecommons.org/licenses/by-nc/4.0/" TargetMode="External"/><Relationship Id="rId5529" Type="http://schemas.openxmlformats.org/officeDocument/2006/relationships/hyperlink" Target="https://www.inaturalist.org/observations/342221190" TargetMode="External"/><Relationship Id="rId5530" Type="http://schemas.openxmlformats.org/officeDocument/2006/relationships/hyperlink" Target="https://www.inaturalist.org/people/david_777" TargetMode="External"/><Relationship Id="rId5531" Type="http://schemas.openxmlformats.org/officeDocument/2006/relationships/hyperlink" Target="https://creativecommons.org/licenses/by-nc/4.0/" TargetMode="External"/><Relationship Id="rId5532" Type="http://schemas.openxmlformats.org/officeDocument/2006/relationships/hyperlink" Target="https://www.inaturalist.org/observations/334918666" TargetMode="External"/><Relationship Id="rId5533" Type="http://schemas.openxmlformats.org/officeDocument/2006/relationships/hyperlink" Target="https://www.inaturalist.org/people/polkovnikov_aa" TargetMode="External"/><Relationship Id="rId5534" Type="http://schemas.openxmlformats.org/officeDocument/2006/relationships/hyperlink" Target="https://creativecommons.org/licenses/by-nc/4.0/" TargetMode="External"/><Relationship Id="rId5535" Type="http://schemas.openxmlformats.org/officeDocument/2006/relationships/hyperlink" Target="https://www.inaturalist.org/observations/324633448" TargetMode="External"/><Relationship Id="rId5536" Type="http://schemas.openxmlformats.org/officeDocument/2006/relationships/hyperlink" Target="https://www.inaturalist.org/people/polkovnikov_aa" TargetMode="External"/><Relationship Id="rId5537" Type="http://schemas.openxmlformats.org/officeDocument/2006/relationships/hyperlink" Target="https://creativecommons.org/licenses/by-nc/4.0/" TargetMode="External"/><Relationship Id="rId5538" Type="http://schemas.openxmlformats.org/officeDocument/2006/relationships/hyperlink" Target="https://www.inaturalist.org/observations/324633448" TargetMode="External"/><Relationship Id="rId5539" Type="http://schemas.openxmlformats.org/officeDocument/2006/relationships/hyperlink" Target="https://www.inaturalist.org/people/tal_l" TargetMode="External"/><Relationship Id="rId5540" Type="http://schemas.openxmlformats.org/officeDocument/2006/relationships/hyperlink" Target="https://creativecommons.org/licenses/by-nc/4.0/" TargetMode="External"/><Relationship Id="rId5541" Type="http://schemas.openxmlformats.org/officeDocument/2006/relationships/hyperlink" Target="https://www.inaturalist.org/observations/322962145" TargetMode="External"/><Relationship Id="rId5542" Type="http://schemas.openxmlformats.org/officeDocument/2006/relationships/hyperlink" Target="https://www.inaturalist.org/people/jonigr" TargetMode="External"/><Relationship Id="rId5543" Type="http://schemas.openxmlformats.org/officeDocument/2006/relationships/hyperlink" Target="https://creativecommons.org/licenses/by-nc/4.0/" TargetMode="External"/><Relationship Id="rId5544" Type="http://schemas.openxmlformats.org/officeDocument/2006/relationships/hyperlink" Target="https://www.inaturalist.org/observations/322438249" TargetMode="External"/><Relationship Id="rId5545" Type="http://schemas.openxmlformats.org/officeDocument/2006/relationships/hyperlink" Target="https://www.inaturalist.org/people/elenakuraeva" TargetMode="External"/><Relationship Id="rId5546" Type="http://schemas.openxmlformats.org/officeDocument/2006/relationships/hyperlink" Target="https://creativecommons.org/licenses/by-nc/4.0/" TargetMode="External"/><Relationship Id="rId5547" Type="http://schemas.openxmlformats.org/officeDocument/2006/relationships/hyperlink" Target="https://www.inaturalist.org/observations/321308487" TargetMode="External"/><Relationship Id="rId5548" Type="http://schemas.openxmlformats.org/officeDocument/2006/relationships/hyperlink" Target="https://www.inaturalist.org/people/elenakuraeva" TargetMode="External"/><Relationship Id="rId5549" Type="http://schemas.openxmlformats.org/officeDocument/2006/relationships/hyperlink" Target="https://creativecommons.org/licenses/by-nc/4.0/" TargetMode="External"/><Relationship Id="rId5550" Type="http://schemas.openxmlformats.org/officeDocument/2006/relationships/hyperlink" Target="https://www.inaturalist.org/observations/321308487" TargetMode="External"/><Relationship Id="rId5551" Type="http://schemas.openxmlformats.org/officeDocument/2006/relationships/hyperlink" Target="https://www.inaturalist.org/people/omrilium" TargetMode="External"/><Relationship Id="rId5552" Type="http://schemas.openxmlformats.org/officeDocument/2006/relationships/hyperlink" Target="https://creativecommons.org/licenses/by-nc/4.0/" TargetMode="External"/><Relationship Id="rId5553" Type="http://schemas.openxmlformats.org/officeDocument/2006/relationships/hyperlink" Target="https://www.inaturalist.org/observations/322936998" TargetMode="External"/><Relationship Id="rId5554" Type="http://schemas.openxmlformats.org/officeDocument/2006/relationships/hyperlink" Target="https://www.inaturalist.org/people/spbugs" TargetMode="External"/><Relationship Id="rId5555" Type="http://schemas.openxmlformats.org/officeDocument/2006/relationships/hyperlink" Target="https://creativecommons.org/licenses/by-nc/4.0/" TargetMode="External"/><Relationship Id="rId5556" Type="http://schemas.openxmlformats.org/officeDocument/2006/relationships/hyperlink" Target="https://www.inaturalist.org/observations/369260437" TargetMode="External"/><Relationship Id="rId5557" Type="http://schemas.openxmlformats.org/officeDocument/2006/relationships/hyperlink" Target="https://www.inaturalist.org/people/jingyilu" TargetMode="External"/><Relationship Id="rId5558" Type="http://schemas.openxmlformats.org/officeDocument/2006/relationships/hyperlink" Target="https://creativecommons.org/licenses/by-nc/4.0/" TargetMode="External"/><Relationship Id="rId5559" Type="http://schemas.openxmlformats.org/officeDocument/2006/relationships/hyperlink" Target="https://www.inaturalist.org/observations/368819114" TargetMode="External"/><Relationship Id="rId5560" Type="http://schemas.openxmlformats.org/officeDocument/2006/relationships/hyperlink" Target="https://www.inaturalist.org/people/jingyilu" TargetMode="External"/><Relationship Id="rId5561" Type="http://schemas.openxmlformats.org/officeDocument/2006/relationships/hyperlink" Target="https://creativecommons.org/licenses/by-nc/4.0/" TargetMode="External"/><Relationship Id="rId5562" Type="http://schemas.openxmlformats.org/officeDocument/2006/relationships/hyperlink" Target="https://www.inaturalist.org/observations/368819114" TargetMode="External"/><Relationship Id="rId5563" Type="http://schemas.openxmlformats.org/officeDocument/2006/relationships/hyperlink" Target="https://www.inaturalist.org/people/greenfeldarom" TargetMode="External"/><Relationship Id="rId5564" Type="http://schemas.openxmlformats.org/officeDocument/2006/relationships/hyperlink" Target="https://creativecommons.org/licenses/by-nc/4.0/" TargetMode="External"/><Relationship Id="rId5565" Type="http://schemas.openxmlformats.org/officeDocument/2006/relationships/hyperlink" Target="https://www.inaturalist.org/observations/367753154" TargetMode="External"/><Relationship Id="rId5566" Type="http://schemas.openxmlformats.org/officeDocument/2006/relationships/hyperlink" Target="https://www.inaturalist.org/people/or_prepelizki" TargetMode="External"/><Relationship Id="rId5567" Type="http://schemas.openxmlformats.org/officeDocument/2006/relationships/hyperlink" Target="https://creativecommons.org/licenses/by-nc/4.0/" TargetMode="External"/><Relationship Id="rId5568" Type="http://schemas.openxmlformats.org/officeDocument/2006/relationships/hyperlink" Target="https://www.inaturalist.org/observations/359256346" TargetMode="External"/><Relationship Id="rId5569" Type="http://schemas.openxmlformats.org/officeDocument/2006/relationships/hyperlink" Target="https://www.inaturalist.org/people/amora_ayn" TargetMode="External"/><Relationship Id="rId5570" Type="http://schemas.openxmlformats.org/officeDocument/2006/relationships/hyperlink" Target="https://creativecommons.org/licenses/by-nc/4.0/" TargetMode="External"/><Relationship Id="rId5571" Type="http://schemas.openxmlformats.org/officeDocument/2006/relationships/hyperlink" Target="https://www.inaturalist.org/observations/351913914" TargetMode="External"/><Relationship Id="rId5572" Type="http://schemas.openxmlformats.org/officeDocument/2006/relationships/hyperlink" Target="https://www.inaturalist.org/people/amit_goldstein" TargetMode="External"/><Relationship Id="rId5573" Type="http://schemas.openxmlformats.org/officeDocument/2006/relationships/hyperlink" Target="https://creativecommons.org/licenses/by-nc/4.0/" TargetMode="External"/><Relationship Id="rId5574" Type="http://schemas.openxmlformats.org/officeDocument/2006/relationships/hyperlink" Target="https://www.inaturalist.org/observations/349247277" TargetMode="External"/><Relationship Id="rId5575" Type="http://schemas.openxmlformats.org/officeDocument/2006/relationships/hyperlink" Target="https://www.inaturalist.org/people/maio_eshet" TargetMode="External"/><Relationship Id="rId5576" Type="http://schemas.openxmlformats.org/officeDocument/2006/relationships/hyperlink" Target="https://creativecommons.org/licenses/by-nc/4.0/" TargetMode="External"/><Relationship Id="rId5577" Type="http://schemas.openxmlformats.org/officeDocument/2006/relationships/hyperlink" Target="https://www.inaturalist.org/observations/342771991" TargetMode="External"/><Relationship Id="rId5578" Type="http://schemas.openxmlformats.org/officeDocument/2006/relationships/hyperlink" Target="https://www.inaturalist.org/people/ur6s77" TargetMode="External"/><Relationship Id="rId5579" Type="http://schemas.openxmlformats.org/officeDocument/2006/relationships/hyperlink" Target="https://creativecommons.org/licenses/by-nc/4.0/" TargetMode="External"/><Relationship Id="rId5580" Type="http://schemas.openxmlformats.org/officeDocument/2006/relationships/hyperlink" Target="https://www.inaturalist.org/observations/342100777" TargetMode="External"/><Relationship Id="rId5581" Type="http://schemas.openxmlformats.org/officeDocument/2006/relationships/hyperlink" Target="https://www.inaturalist.org/people/guy80368" TargetMode="External"/><Relationship Id="rId5582" Type="http://schemas.openxmlformats.org/officeDocument/2006/relationships/hyperlink" Target="https://creativecommons.org/licenses/by-nc/4.0/" TargetMode="External"/><Relationship Id="rId5583" Type="http://schemas.openxmlformats.org/officeDocument/2006/relationships/hyperlink" Target="https://www.inaturalist.org/observations/324871189" TargetMode="External"/><Relationship Id="rId5584" Type="http://schemas.openxmlformats.org/officeDocument/2006/relationships/hyperlink" Target="https://www.inaturalist.org/people/moshe_neeman" TargetMode="External"/><Relationship Id="rId5585" Type="http://schemas.openxmlformats.org/officeDocument/2006/relationships/hyperlink" Target="https://creativecommons.org/licenses/by-nc/4.0/" TargetMode="External"/><Relationship Id="rId5586" Type="http://schemas.openxmlformats.org/officeDocument/2006/relationships/hyperlink" Target="https://www.inaturalist.org/observations/318266423" TargetMode="External"/><Relationship Id="rId5587" Type="http://schemas.openxmlformats.org/officeDocument/2006/relationships/hyperlink" Target="https://www.inaturalist.org/people/tricks96" TargetMode="External"/><Relationship Id="rId5588" Type="http://schemas.openxmlformats.org/officeDocument/2006/relationships/hyperlink" Target="https://creativecommons.org/licenses/by-nc/4.0/" TargetMode="External"/><Relationship Id="rId5589" Type="http://schemas.openxmlformats.org/officeDocument/2006/relationships/hyperlink" Target="https://www.inaturalist.org/observations/300816951" TargetMode="External"/><Relationship Id="rId5590" Type="http://schemas.openxmlformats.org/officeDocument/2006/relationships/hyperlink" Target="https://www.inaturalist.org/people/hugoatross" TargetMode="External"/><Relationship Id="rId5591" Type="http://schemas.openxmlformats.org/officeDocument/2006/relationships/hyperlink" Target="https://creativecommons.org/licenses/by-nc/4.0/" TargetMode="External"/><Relationship Id="rId5592" Type="http://schemas.openxmlformats.org/officeDocument/2006/relationships/hyperlink" Target="https://www.inaturalist.org/observations/281878057" TargetMode="External"/><Relationship Id="rId5593" Type="http://schemas.openxmlformats.org/officeDocument/2006/relationships/hyperlink" Target="https://www.inaturalist.org/people/malachigivon" TargetMode="External"/><Relationship Id="rId5594" Type="http://schemas.openxmlformats.org/officeDocument/2006/relationships/hyperlink" Target="https://creativecommons.org/licenses/by-nc/4.0/" TargetMode="External"/><Relationship Id="rId5595" Type="http://schemas.openxmlformats.org/officeDocument/2006/relationships/hyperlink" Target="https://www.inaturalist.org/observations/272702433" TargetMode="External"/><Relationship Id="rId5596" Type="http://schemas.openxmlformats.org/officeDocument/2006/relationships/hyperlink" Target="https://www.inaturalist.org/people/voegelein" TargetMode="External"/><Relationship Id="rId5597" Type="http://schemas.openxmlformats.org/officeDocument/2006/relationships/hyperlink" Target="https://creativecommons.org/licenses/by-nc/4.0/" TargetMode="External"/><Relationship Id="rId5598" Type="http://schemas.openxmlformats.org/officeDocument/2006/relationships/hyperlink" Target="https://www.inaturalist.org/observations/269834395" TargetMode="External"/><Relationship Id="rId5599" Type="http://schemas.openxmlformats.org/officeDocument/2006/relationships/hyperlink" Target="https://www.inaturalist.org/people/voegelein" TargetMode="External"/><Relationship Id="rId5600" Type="http://schemas.openxmlformats.org/officeDocument/2006/relationships/hyperlink" Target="https://creativecommons.org/licenses/by-nc/4.0/" TargetMode="External"/><Relationship Id="rId5601" Type="http://schemas.openxmlformats.org/officeDocument/2006/relationships/hyperlink" Target="https://www.inaturalist.org/observations/269834395" TargetMode="External"/><Relationship Id="rId5602" Type="http://schemas.openxmlformats.org/officeDocument/2006/relationships/hyperlink" Target="https://www.inaturalist.org/people/neriya123" TargetMode="External"/><Relationship Id="rId5603" Type="http://schemas.openxmlformats.org/officeDocument/2006/relationships/hyperlink" Target="https://creativecommons.org/licenses/by-nc/4.0/" TargetMode="External"/><Relationship Id="rId5604" Type="http://schemas.openxmlformats.org/officeDocument/2006/relationships/hyperlink" Target="https://www.inaturalist.org/observations/268359688" TargetMode="External"/><Relationship Id="rId5605" Type="http://schemas.openxmlformats.org/officeDocument/2006/relationships/hyperlink" Target="https://www.inaturalist.org/people/neriya123" TargetMode="External"/><Relationship Id="rId5606" Type="http://schemas.openxmlformats.org/officeDocument/2006/relationships/hyperlink" Target="https://creativecommons.org/licenses/by-nc/4.0/" TargetMode="External"/><Relationship Id="rId5607" Type="http://schemas.openxmlformats.org/officeDocument/2006/relationships/hyperlink" Target="https://www.inaturalist.org/observations/268359688" TargetMode="External"/><Relationship Id="rId5608" Type="http://schemas.openxmlformats.org/officeDocument/2006/relationships/hyperlink" Target="https://www.inaturalist.org/people/neriya123" TargetMode="External"/><Relationship Id="rId5609" Type="http://schemas.openxmlformats.org/officeDocument/2006/relationships/hyperlink" Target="https://creativecommons.org/licenses/by-nc/4.0/" TargetMode="External"/><Relationship Id="rId5610" Type="http://schemas.openxmlformats.org/officeDocument/2006/relationships/hyperlink" Target="https://www.inaturalist.org/observations/268359688" TargetMode="External"/><Relationship Id="rId5611" Type="http://schemas.openxmlformats.org/officeDocument/2006/relationships/hyperlink" Target="https://www.inaturalist.org/people/urielevy" TargetMode="External"/><Relationship Id="rId5612" Type="http://schemas.openxmlformats.org/officeDocument/2006/relationships/hyperlink" Target="https://creativecommons.org/licenses/by-nc/4.0/" TargetMode="External"/><Relationship Id="rId5613" Type="http://schemas.openxmlformats.org/officeDocument/2006/relationships/hyperlink" Target="https://www.inaturalist.org/observations/267914233" TargetMode="External"/><Relationship Id="rId5614" Type="http://schemas.openxmlformats.org/officeDocument/2006/relationships/hyperlink" Target="https://www.inaturalist.org/people/omerweiner" TargetMode="External"/><Relationship Id="rId5615" Type="http://schemas.openxmlformats.org/officeDocument/2006/relationships/hyperlink" Target="https://creativecommons.org/licenses/by-nc/4.0/" TargetMode="External"/><Relationship Id="rId5616" Type="http://schemas.openxmlformats.org/officeDocument/2006/relationships/hyperlink" Target="https://www.inaturalist.org/observations/254190713" TargetMode="External"/><Relationship Id="rId5617" Type="http://schemas.openxmlformats.org/officeDocument/2006/relationships/hyperlink" Target="https://www.inaturalist.org/people/frantrabalon" TargetMode="External"/><Relationship Id="rId5618" Type="http://schemas.openxmlformats.org/officeDocument/2006/relationships/hyperlink" Target="https://creativecommons.org/licenses/by-nc/4.0/" TargetMode="External"/><Relationship Id="rId5619" Type="http://schemas.openxmlformats.org/officeDocument/2006/relationships/hyperlink" Target="https://www.inaturalist.org/observations/253731864" TargetMode="External"/><Relationship Id="rId5620" Type="http://schemas.openxmlformats.org/officeDocument/2006/relationships/hyperlink" Target="https://www.inaturalist.org/people/yasmine0-0" TargetMode="External"/><Relationship Id="rId5621" Type="http://schemas.openxmlformats.org/officeDocument/2006/relationships/hyperlink" Target="https://creativecommons.org/licenses/by-nc/4.0/" TargetMode="External"/><Relationship Id="rId5622" Type="http://schemas.openxmlformats.org/officeDocument/2006/relationships/hyperlink" Target="https://www.inaturalist.org/observations/253647186" TargetMode="External"/><Relationship Id="rId5623" Type="http://schemas.openxmlformats.org/officeDocument/2006/relationships/hyperlink" Target="https://www.inaturalist.org/people/mohammad-sarayreh" TargetMode="External"/><Relationship Id="rId5624" Type="http://schemas.openxmlformats.org/officeDocument/2006/relationships/hyperlink" Target="https://creativecommons.org/licenses/by-nc/4.0/" TargetMode="External"/><Relationship Id="rId5625" Type="http://schemas.openxmlformats.org/officeDocument/2006/relationships/hyperlink" Target="https://www.inaturalist.org/observations/249058286" TargetMode="External"/><Relationship Id="rId5626" Type="http://schemas.openxmlformats.org/officeDocument/2006/relationships/hyperlink" Target="https://www.inaturalist.org/people/jactm" TargetMode="External"/><Relationship Id="rId5627" Type="http://schemas.openxmlformats.org/officeDocument/2006/relationships/hyperlink" Target="https://creativecommons.org/licenses/by-nc/4.0/" TargetMode="External"/><Relationship Id="rId5628" Type="http://schemas.openxmlformats.org/officeDocument/2006/relationships/hyperlink" Target="https://www.inaturalist.org/observations/237307197" TargetMode="External"/><Relationship Id="rId5629" Type="http://schemas.openxmlformats.org/officeDocument/2006/relationships/hyperlink" Target="https://www.inaturalist.org/people/jactm" TargetMode="External"/><Relationship Id="rId5630" Type="http://schemas.openxmlformats.org/officeDocument/2006/relationships/hyperlink" Target="https://creativecommons.org/licenses/by-nc/4.0/" TargetMode="External"/><Relationship Id="rId5631" Type="http://schemas.openxmlformats.org/officeDocument/2006/relationships/hyperlink" Target="https://www.inaturalist.org/observations/229596939" TargetMode="External"/><Relationship Id="rId5632" Type="http://schemas.openxmlformats.org/officeDocument/2006/relationships/hyperlink" Target="https://www.inaturalist.org/people/yishay" TargetMode="External"/><Relationship Id="rId5633" Type="http://schemas.openxmlformats.org/officeDocument/2006/relationships/hyperlink" Target="https://creativecommons.org/licenses/by-nc/4.0/" TargetMode="External"/><Relationship Id="rId5634" Type="http://schemas.openxmlformats.org/officeDocument/2006/relationships/hyperlink" Target="https://www.inaturalist.org/observations/222479163" TargetMode="External"/><Relationship Id="rId5635" Type="http://schemas.openxmlformats.org/officeDocument/2006/relationships/hyperlink" Target="https://www.inaturalist.org/people/reisegali" TargetMode="External"/><Relationship Id="rId5636" Type="http://schemas.openxmlformats.org/officeDocument/2006/relationships/hyperlink" Target="https://creativecommons.org/licenses/by-nc/4.0/" TargetMode="External"/><Relationship Id="rId5637" Type="http://schemas.openxmlformats.org/officeDocument/2006/relationships/hyperlink" Target="https://www.inaturalist.org/observations/221690797" TargetMode="External"/><Relationship Id="rId5638" Type="http://schemas.openxmlformats.org/officeDocument/2006/relationships/hyperlink" Target="https://www.inaturalist.org/people/reisegali" TargetMode="External"/><Relationship Id="rId5639" Type="http://schemas.openxmlformats.org/officeDocument/2006/relationships/hyperlink" Target="https://creativecommons.org/licenses/by-nc/4.0/" TargetMode="External"/><Relationship Id="rId5640" Type="http://schemas.openxmlformats.org/officeDocument/2006/relationships/hyperlink" Target="https://www.inaturalist.org/observations/212421675" TargetMode="External"/><Relationship Id="rId5641" Type="http://schemas.openxmlformats.org/officeDocument/2006/relationships/hyperlink" Target="https://www.inaturalist.org/people/reisegali" TargetMode="External"/><Relationship Id="rId5642" Type="http://schemas.openxmlformats.org/officeDocument/2006/relationships/hyperlink" Target="https://creativecommons.org/licenses/by-nc/4.0/" TargetMode="External"/><Relationship Id="rId5643" Type="http://schemas.openxmlformats.org/officeDocument/2006/relationships/hyperlink" Target="https://www.inaturalist.org/observations/212421675" TargetMode="External"/><Relationship Id="rId5644" Type="http://schemas.openxmlformats.org/officeDocument/2006/relationships/hyperlink" Target="https://creativecommons.org/licenses/by-nc/4.0/" TargetMode="External"/><Relationship Id="rId5645" Type="http://schemas.openxmlformats.org/officeDocument/2006/relationships/hyperlink" Target="https://www.inaturalist.org/people/reisegali" TargetMode="External"/><Relationship Id="rId5646" Type="http://schemas.openxmlformats.org/officeDocument/2006/relationships/hyperlink" Target="https://creativecommons.org/licenses/by-nc/4.0/" TargetMode="External"/><Relationship Id="rId5647" Type="http://schemas.openxmlformats.org/officeDocument/2006/relationships/hyperlink" Target="https://www.inaturalist.org/observations/207648601" TargetMode="External"/><Relationship Id="rId5648" Type="http://schemas.openxmlformats.org/officeDocument/2006/relationships/hyperlink" Target="https://www.inaturalist.org/people/reisegali" TargetMode="External"/><Relationship Id="rId5649" Type="http://schemas.openxmlformats.org/officeDocument/2006/relationships/hyperlink" Target="https://creativecommons.org/licenses/by-nc/4.0/" TargetMode="External"/><Relationship Id="rId5650" Type="http://schemas.openxmlformats.org/officeDocument/2006/relationships/hyperlink" Target="https://www.inaturalist.org/observations/207648601" TargetMode="External"/><Relationship Id="rId5651" Type="http://schemas.openxmlformats.org/officeDocument/2006/relationships/hyperlink" Target="https://www.inaturalist.org/people/reisegali" TargetMode="External"/><Relationship Id="rId5652" Type="http://schemas.openxmlformats.org/officeDocument/2006/relationships/hyperlink" Target="https://creativecommons.org/licenses/by-nc/4.0/" TargetMode="External"/><Relationship Id="rId5653" Type="http://schemas.openxmlformats.org/officeDocument/2006/relationships/hyperlink" Target="https://www.inaturalist.org/observations/207648601" TargetMode="External"/><Relationship Id="rId5654" Type="http://schemas.openxmlformats.org/officeDocument/2006/relationships/hyperlink" Target="https://www.inaturalist.org/people/aburgas" TargetMode="External"/><Relationship Id="rId5655" Type="http://schemas.openxmlformats.org/officeDocument/2006/relationships/hyperlink" Target="https://creativecommons.org/licenses/by-nc/4.0/" TargetMode="External"/><Relationship Id="rId5656" Type="http://schemas.openxmlformats.org/officeDocument/2006/relationships/hyperlink" Target="https://www.inaturalist.org/observations/205726531" TargetMode="External"/><Relationship Id="rId5657" Type="http://schemas.openxmlformats.org/officeDocument/2006/relationships/hyperlink" Target="https://www.inaturalist.org/people/lauren55097" TargetMode="External"/><Relationship Id="rId5658" Type="http://schemas.openxmlformats.org/officeDocument/2006/relationships/hyperlink" Target="https://creativecommons.org/licenses/by-nc/4.0/" TargetMode="External"/><Relationship Id="rId5659" Type="http://schemas.openxmlformats.org/officeDocument/2006/relationships/hyperlink" Target="https://www.inaturalist.org/observations/382757516" TargetMode="External"/><Relationship Id="rId5660" Type="http://schemas.openxmlformats.org/officeDocument/2006/relationships/hyperlink" Target="https://www.inaturalist.org/people/mrblonde" TargetMode="External"/><Relationship Id="rId5661" Type="http://schemas.openxmlformats.org/officeDocument/2006/relationships/hyperlink" Target="https://creativecommons.org/licenses/by-nc/4.0/" TargetMode="External"/><Relationship Id="rId5662" Type="http://schemas.openxmlformats.org/officeDocument/2006/relationships/hyperlink" Target="https://www.inaturalist.org/observations/382510792" TargetMode="External"/><Relationship Id="rId5663" Type="http://schemas.openxmlformats.org/officeDocument/2006/relationships/hyperlink" Target="https://www.inaturalist.org/people/mrblonde" TargetMode="External"/><Relationship Id="rId5664" Type="http://schemas.openxmlformats.org/officeDocument/2006/relationships/hyperlink" Target="https://creativecommons.org/licenses/by-nc/4.0/" TargetMode="External"/><Relationship Id="rId5665" Type="http://schemas.openxmlformats.org/officeDocument/2006/relationships/hyperlink" Target="https://www.inaturalist.org/observations/382510792" TargetMode="External"/><Relationship Id="rId5666" Type="http://schemas.openxmlformats.org/officeDocument/2006/relationships/hyperlink" Target="https://www.inaturalist.org/people/darkart" TargetMode="External"/><Relationship Id="rId5667" Type="http://schemas.openxmlformats.org/officeDocument/2006/relationships/hyperlink" Target="https://creativecommons.org/licenses/by-nc/4.0/" TargetMode="External"/><Relationship Id="rId5668" Type="http://schemas.openxmlformats.org/officeDocument/2006/relationships/hyperlink" Target="https://www.inaturalist.org/observations/382451737" TargetMode="External"/><Relationship Id="rId5669" Type="http://schemas.openxmlformats.org/officeDocument/2006/relationships/hyperlink" Target="https://www.inaturalist.org/people/ky-an" TargetMode="External"/><Relationship Id="rId5670" Type="http://schemas.openxmlformats.org/officeDocument/2006/relationships/hyperlink" Target="https://creativecommons.org/licenses/by-nc/4.0/" TargetMode="External"/><Relationship Id="rId5671" Type="http://schemas.openxmlformats.org/officeDocument/2006/relationships/hyperlink" Target="https://www.inaturalist.org/observations/382769778" TargetMode="External"/><Relationship Id="rId5672" Type="http://schemas.openxmlformats.org/officeDocument/2006/relationships/hyperlink" Target="https://www.inaturalist.org/people/malvijet7" TargetMode="External"/><Relationship Id="rId5673" Type="http://schemas.openxmlformats.org/officeDocument/2006/relationships/hyperlink" Target="https://creativecommons.org/licenses/by-nc/4.0/" TargetMode="External"/><Relationship Id="rId5674" Type="http://schemas.openxmlformats.org/officeDocument/2006/relationships/hyperlink" Target="https://www.inaturalist.org/observations/382419192" TargetMode="External"/><Relationship Id="rId5675" Type="http://schemas.openxmlformats.org/officeDocument/2006/relationships/hyperlink" Target="https://www.inaturalist.org/people/ctorr19" TargetMode="External"/><Relationship Id="rId5676" Type="http://schemas.openxmlformats.org/officeDocument/2006/relationships/hyperlink" Target="https://creativecommons.org/licenses/by-nc/4.0/" TargetMode="External"/><Relationship Id="rId5677" Type="http://schemas.openxmlformats.org/officeDocument/2006/relationships/hyperlink" Target="https://www.inaturalist.org/observations/382279382" TargetMode="External"/><Relationship Id="rId5678" Type="http://schemas.openxmlformats.org/officeDocument/2006/relationships/hyperlink" Target="https://www.inaturalist.org/people/ctorr19" TargetMode="External"/><Relationship Id="rId5679" Type="http://schemas.openxmlformats.org/officeDocument/2006/relationships/hyperlink" Target="https://creativecommons.org/licenses/by-nc/4.0/" TargetMode="External"/><Relationship Id="rId5680" Type="http://schemas.openxmlformats.org/officeDocument/2006/relationships/hyperlink" Target="https://www.inaturalist.org/observations/382279382" TargetMode="External"/><Relationship Id="rId5681" Type="http://schemas.openxmlformats.org/officeDocument/2006/relationships/hyperlink" Target="https://creativecommons.org/licenses/by-nc/4.0/" TargetMode="External"/><Relationship Id="rId5682" Type="http://schemas.openxmlformats.org/officeDocument/2006/relationships/hyperlink" Target="https://www.inaturalist.org/observations/381982064" TargetMode="External"/><Relationship Id="rId5683" Type="http://schemas.openxmlformats.org/officeDocument/2006/relationships/hyperlink" Target="https://www.inaturalist.org/people/nirelharmon" TargetMode="External"/><Relationship Id="rId5684" Type="http://schemas.openxmlformats.org/officeDocument/2006/relationships/hyperlink" Target="https://creativecommons.org/licenses/by-nc/4.0/" TargetMode="External"/><Relationship Id="rId5685" Type="http://schemas.openxmlformats.org/officeDocument/2006/relationships/hyperlink" Target="https://www.inaturalist.org/observations/381581201" TargetMode="External"/><Relationship Id="rId5686" Type="http://schemas.openxmlformats.org/officeDocument/2006/relationships/hyperlink" Target="https://www.inaturalist.org/people/mintren" TargetMode="External"/><Relationship Id="rId5687" Type="http://schemas.openxmlformats.org/officeDocument/2006/relationships/hyperlink" Target="https://creativecommons.org/licenses/by-nc/4.0/" TargetMode="External"/><Relationship Id="rId5688" Type="http://schemas.openxmlformats.org/officeDocument/2006/relationships/hyperlink" Target="https://www.inaturalist.org/observations/380210281" TargetMode="External"/><Relationship Id="rId5689" Type="http://schemas.openxmlformats.org/officeDocument/2006/relationships/hyperlink" Target="https://www.inaturalist.org/people/camila18324" TargetMode="External"/><Relationship Id="rId5690" Type="http://schemas.openxmlformats.org/officeDocument/2006/relationships/hyperlink" Target="https://creativecommons.org/licenses/by-nc/4.0/" TargetMode="External"/><Relationship Id="rId5691" Type="http://schemas.openxmlformats.org/officeDocument/2006/relationships/hyperlink" Target="https://www.inaturalist.org/observations/379876948" TargetMode="External"/><Relationship Id="rId5692" Type="http://schemas.openxmlformats.org/officeDocument/2006/relationships/hyperlink" Target="https://www.inaturalist.org/people/venox41" TargetMode="External"/><Relationship Id="rId5693" Type="http://schemas.openxmlformats.org/officeDocument/2006/relationships/hyperlink" Target="https://creativecommons.org/licenses/by-nc/4.0/" TargetMode="External"/><Relationship Id="rId5694" Type="http://schemas.openxmlformats.org/officeDocument/2006/relationships/hyperlink" Target="https://www.inaturalist.org/observations/379788720" TargetMode="External"/><Relationship Id="rId5695" Type="http://schemas.openxmlformats.org/officeDocument/2006/relationships/hyperlink" Target="https://www.inaturalist.org/people/tk-421" TargetMode="External"/><Relationship Id="rId5696" Type="http://schemas.openxmlformats.org/officeDocument/2006/relationships/hyperlink" Target="https://creativecommons.org/licenses/by-nc/4.0/" TargetMode="External"/><Relationship Id="rId5697" Type="http://schemas.openxmlformats.org/officeDocument/2006/relationships/hyperlink" Target="https://www.inaturalist.org/observations/379786758" TargetMode="External"/><Relationship Id="rId5698" Type="http://schemas.openxmlformats.org/officeDocument/2006/relationships/hyperlink" Target="https://www.inaturalist.org/people/rkostecke" TargetMode="External"/><Relationship Id="rId5699" Type="http://schemas.openxmlformats.org/officeDocument/2006/relationships/hyperlink" Target="https://creativecommons.org/licenses/by-nc/4.0/" TargetMode="External"/><Relationship Id="rId5700" Type="http://schemas.openxmlformats.org/officeDocument/2006/relationships/hyperlink" Target="https://www.inaturalist.org/observations/379505377" TargetMode="External"/><Relationship Id="rId5701" Type="http://schemas.openxmlformats.org/officeDocument/2006/relationships/hyperlink" Target="https://www.inaturalist.org/people/david_haymeister" TargetMode="External"/><Relationship Id="rId5702" Type="http://schemas.openxmlformats.org/officeDocument/2006/relationships/hyperlink" Target="https://creativecommons.org/licenses/by-nc/4.0/" TargetMode="External"/><Relationship Id="rId5703" Type="http://schemas.openxmlformats.org/officeDocument/2006/relationships/hyperlink" Target="https://www.inaturalist.org/observations/378820268" TargetMode="External"/><Relationship Id="rId5704" Type="http://schemas.openxmlformats.org/officeDocument/2006/relationships/hyperlink" Target="https://www.inaturalist.org/people/cesarsanchez2" TargetMode="External"/><Relationship Id="rId5705" Type="http://schemas.openxmlformats.org/officeDocument/2006/relationships/hyperlink" Target="https://creativecommons.org/licenses/by-nc/4.0/" TargetMode="External"/><Relationship Id="rId5706" Type="http://schemas.openxmlformats.org/officeDocument/2006/relationships/hyperlink" Target="https://www.inaturalist.org/observations/378605297" TargetMode="External"/><Relationship Id="rId5707" Type="http://schemas.openxmlformats.org/officeDocument/2006/relationships/hyperlink" Target="https://www.inaturalist.org/people/carstonchance" TargetMode="External"/><Relationship Id="rId5708" Type="http://schemas.openxmlformats.org/officeDocument/2006/relationships/hyperlink" Target="https://creativecommons.org/licenses/by-nc/4.0/" TargetMode="External"/><Relationship Id="rId5709" Type="http://schemas.openxmlformats.org/officeDocument/2006/relationships/hyperlink" Target="https://www.inaturalist.org/observations/378803415" TargetMode="External"/><Relationship Id="rId5710" Type="http://schemas.openxmlformats.org/officeDocument/2006/relationships/hyperlink" Target="https://www.inaturalist.org/people/claradevi" TargetMode="External"/><Relationship Id="rId5711" Type="http://schemas.openxmlformats.org/officeDocument/2006/relationships/hyperlink" Target="https://creativecommons.org/licenses/by-nc/4.0/" TargetMode="External"/><Relationship Id="rId5712" Type="http://schemas.openxmlformats.org/officeDocument/2006/relationships/hyperlink" Target="https://www.inaturalist.org/observations/377936075" TargetMode="External"/><Relationship Id="rId5713" Type="http://schemas.openxmlformats.org/officeDocument/2006/relationships/hyperlink" Target="https://www.inaturalist.org/people/roxanne_gasperetti" TargetMode="External"/><Relationship Id="rId5714" Type="http://schemas.openxmlformats.org/officeDocument/2006/relationships/hyperlink" Target="https://creativecommons.org/licenses/by-nc/4.0/" TargetMode="External"/><Relationship Id="rId5715" Type="http://schemas.openxmlformats.org/officeDocument/2006/relationships/hyperlink" Target="https://www.inaturalist.org/observations/377023126" TargetMode="External"/><Relationship Id="rId5716" Type="http://schemas.openxmlformats.org/officeDocument/2006/relationships/hyperlink" Target="https://www.inaturalist.org/people/annmcpete" TargetMode="External"/><Relationship Id="rId5717" Type="http://schemas.openxmlformats.org/officeDocument/2006/relationships/hyperlink" Target="https://creativecommons.org/licenses/by-nc/4.0/" TargetMode="External"/><Relationship Id="rId5718" Type="http://schemas.openxmlformats.org/officeDocument/2006/relationships/hyperlink" Target="https://www.inaturalist.org/observations/376632226" TargetMode="External"/><Relationship Id="rId5719" Type="http://schemas.openxmlformats.org/officeDocument/2006/relationships/hyperlink" Target="https://www.inaturalist.org/people/yariastral" TargetMode="External"/><Relationship Id="rId5720" Type="http://schemas.openxmlformats.org/officeDocument/2006/relationships/hyperlink" Target="https://creativecommons.org/licenses/by-nc/4.0/" TargetMode="External"/><Relationship Id="rId5721" Type="http://schemas.openxmlformats.org/officeDocument/2006/relationships/hyperlink" Target="https://www.inaturalist.org/observations/376417599" TargetMode="External"/><Relationship Id="rId5722" Type="http://schemas.openxmlformats.org/officeDocument/2006/relationships/hyperlink" Target="https://www.inaturalist.org/people/yariastral" TargetMode="External"/><Relationship Id="rId5723" Type="http://schemas.openxmlformats.org/officeDocument/2006/relationships/hyperlink" Target="https://creativecommons.org/licenses/by-nc/4.0/" TargetMode="External"/><Relationship Id="rId5724" Type="http://schemas.openxmlformats.org/officeDocument/2006/relationships/hyperlink" Target="https://www.inaturalist.org/observations/376417599" TargetMode="External"/><Relationship Id="rId5725" Type="http://schemas.openxmlformats.org/officeDocument/2006/relationships/hyperlink" Target="https://www.inaturalist.org/people/st4rm4n" TargetMode="External"/><Relationship Id="rId5726" Type="http://schemas.openxmlformats.org/officeDocument/2006/relationships/hyperlink" Target="https://creativecommons.org/licenses/by-nc/4.0/" TargetMode="External"/><Relationship Id="rId5727" Type="http://schemas.openxmlformats.org/officeDocument/2006/relationships/hyperlink" Target="https://www.inaturalist.org/observations/375858964" TargetMode="External"/><Relationship Id="rId5728" Type="http://schemas.openxmlformats.org/officeDocument/2006/relationships/hyperlink" Target="https://www.inaturalist.org/people/zakry7" TargetMode="External"/><Relationship Id="rId5729" Type="http://schemas.openxmlformats.org/officeDocument/2006/relationships/hyperlink" Target="https://creativecommons.org/licenses/by-nc/4.0/" TargetMode="External"/><Relationship Id="rId5730" Type="http://schemas.openxmlformats.org/officeDocument/2006/relationships/hyperlink" Target="https://www.inaturalist.org/observations/375085518" TargetMode="External"/><Relationship Id="rId5731" Type="http://schemas.openxmlformats.org/officeDocument/2006/relationships/hyperlink" Target="https://www.inaturalist.org/people/ethanol_casas" TargetMode="External"/><Relationship Id="rId5732" Type="http://schemas.openxmlformats.org/officeDocument/2006/relationships/hyperlink" Target="https://creativecommons.org/licenses/by-nc/4.0/" TargetMode="External"/><Relationship Id="rId5733" Type="http://schemas.openxmlformats.org/officeDocument/2006/relationships/hyperlink" Target="https://www.inaturalist.org/observations/375082137" TargetMode="External"/><Relationship Id="rId5734" Type="http://schemas.openxmlformats.org/officeDocument/2006/relationships/hyperlink" Target="https://www.inaturalist.org/people/dlafebre" TargetMode="External"/><Relationship Id="rId5735" Type="http://schemas.openxmlformats.org/officeDocument/2006/relationships/hyperlink" Target="https://creativecommons.org/licenses/by-nc/4.0/" TargetMode="External"/><Relationship Id="rId5736" Type="http://schemas.openxmlformats.org/officeDocument/2006/relationships/hyperlink" Target="https://www.inaturalist.org/observations/375005734" TargetMode="External"/><Relationship Id="rId5737" Type="http://schemas.openxmlformats.org/officeDocument/2006/relationships/hyperlink" Target="https://www.inaturalist.org/people/jaydenmalone" TargetMode="External"/><Relationship Id="rId5738" Type="http://schemas.openxmlformats.org/officeDocument/2006/relationships/hyperlink" Target="https://creativecommons.org/licenses/by-nc/4.0/" TargetMode="External"/><Relationship Id="rId5739" Type="http://schemas.openxmlformats.org/officeDocument/2006/relationships/hyperlink" Target="https://www.inaturalist.org/observations/374831470" TargetMode="External"/><Relationship Id="rId5740" Type="http://schemas.openxmlformats.org/officeDocument/2006/relationships/hyperlink" Target="https://www.inaturalist.org/people/josuergg" TargetMode="External"/><Relationship Id="rId5741" Type="http://schemas.openxmlformats.org/officeDocument/2006/relationships/hyperlink" Target="https://creativecommons.org/licenses/by-nc/4.0/" TargetMode="External"/><Relationship Id="rId5742" Type="http://schemas.openxmlformats.org/officeDocument/2006/relationships/hyperlink" Target="https://www.inaturalist.org/observations/374700150" TargetMode="External"/><Relationship Id="rId5743" Type="http://schemas.openxmlformats.org/officeDocument/2006/relationships/hyperlink" Target="https://www.inaturalist.org/people/darlionei" TargetMode="External"/><Relationship Id="rId5744" Type="http://schemas.openxmlformats.org/officeDocument/2006/relationships/hyperlink" Target="https://creativecommons.org/licenses/by-nc/4.0/" TargetMode="External"/><Relationship Id="rId5745" Type="http://schemas.openxmlformats.org/officeDocument/2006/relationships/hyperlink" Target="https://www.inaturalist.org/observations/374155514" TargetMode="External"/><Relationship Id="rId5746" Type="http://schemas.openxmlformats.org/officeDocument/2006/relationships/hyperlink" Target="https://www.inaturalist.org/people/ethanol_casas" TargetMode="External"/><Relationship Id="rId5747" Type="http://schemas.openxmlformats.org/officeDocument/2006/relationships/hyperlink" Target="https://creativecommons.org/licenses/by-nc/4.0/" TargetMode="External"/><Relationship Id="rId5748" Type="http://schemas.openxmlformats.org/officeDocument/2006/relationships/hyperlink" Target="https://www.inaturalist.org/observations/373422782" TargetMode="External"/><Relationship Id="rId5749" Type="http://schemas.openxmlformats.org/officeDocument/2006/relationships/hyperlink" Target="https://www.inaturalist.org/people/henry180" TargetMode="External"/><Relationship Id="rId5750" Type="http://schemas.openxmlformats.org/officeDocument/2006/relationships/hyperlink" Target="https://creativecommons.org/licenses/by-nc/4.0/" TargetMode="External"/><Relationship Id="rId5751" Type="http://schemas.openxmlformats.org/officeDocument/2006/relationships/hyperlink" Target="https://www.inaturalist.org/observations/373925455" TargetMode="External"/><Relationship Id="rId5752" Type="http://schemas.openxmlformats.org/officeDocument/2006/relationships/hyperlink" Target="https://www.inaturalist.org/people/ranchodelsol" TargetMode="External"/><Relationship Id="rId5753" Type="http://schemas.openxmlformats.org/officeDocument/2006/relationships/hyperlink" Target="https://creativecommons.org/licenses/by-nc/4.0/" TargetMode="External"/><Relationship Id="rId5754" Type="http://schemas.openxmlformats.org/officeDocument/2006/relationships/hyperlink" Target="https://www.inaturalist.org/observations/373364159" TargetMode="External"/><Relationship Id="rId5755" Type="http://schemas.openxmlformats.org/officeDocument/2006/relationships/hyperlink" Target="https://www.inaturalist.org/people/rkostecke" TargetMode="External"/><Relationship Id="rId5756" Type="http://schemas.openxmlformats.org/officeDocument/2006/relationships/hyperlink" Target="https://creativecommons.org/licenses/by-nc/4.0/" TargetMode="External"/><Relationship Id="rId5757" Type="http://schemas.openxmlformats.org/officeDocument/2006/relationships/hyperlink" Target="https://www.inaturalist.org/observations/373350530" TargetMode="External"/><Relationship Id="rId5758" Type="http://schemas.openxmlformats.org/officeDocument/2006/relationships/hyperlink" Target="https://www.inaturalist.org/people/chepe2112" TargetMode="External"/><Relationship Id="rId5759" Type="http://schemas.openxmlformats.org/officeDocument/2006/relationships/hyperlink" Target="https://creativecommons.org/licenses/by-nc/4.0/" TargetMode="External"/><Relationship Id="rId5760" Type="http://schemas.openxmlformats.org/officeDocument/2006/relationships/hyperlink" Target="https://www.inaturalist.org/observations/372982065" TargetMode="External"/><Relationship Id="rId5761" Type="http://schemas.openxmlformats.org/officeDocument/2006/relationships/hyperlink" Target="https://www.inaturalist.org/people/renatoguzman" TargetMode="External"/><Relationship Id="rId5762" Type="http://schemas.openxmlformats.org/officeDocument/2006/relationships/hyperlink" Target="https://creativecommons.org/licenses/by-nc/4.0/" TargetMode="External"/><Relationship Id="rId5763" Type="http://schemas.openxmlformats.org/officeDocument/2006/relationships/hyperlink" Target="https://www.inaturalist.org/observations/382031436" TargetMode="External"/><Relationship Id="rId5764" Type="http://schemas.openxmlformats.org/officeDocument/2006/relationships/hyperlink" Target="https://www.inaturalist.org/people/matty86795" TargetMode="External"/><Relationship Id="rId5765" Type="http://schemas.openxmlformats.org/officeDocument/2006/relationships/hyperlink" Target="https://creativecommons.org/licenses/by-nc/4.0/" TargetMode="External"/><Relationship Id="rId5766" Type="http://schemas.openxmlformats.org/officeDocument/2006/relationships/hyperlink" Target="https://www.inaturalist.org/observations/380528788" TargetMode="External"/><Relationship Id="rId5767" Type="http://schemas.openxmlformats.org/officeDocument/2006/relationships/hyperlink" Target="https://www.inaturalist.org/people/lana_klemencic" TargetMode="External"/><Relationship Id="rId5768" Type="http://schemas.openxmlformats.org/officeDocument/2006/relationships/hyperlink" Target="https://creativecommons.org/licenses/by-nc/4.0/" TargetMode="External"/><Relationship Id="rId5769" Type="http://schemas.openxmlformats.org/officeDocument/2006/relationships/hyperlink" Target="https://www.inaturalist.org/observations/380235938" TargetMode="External"/><Relationship Id="rId5770" Type="http://schemas.openxmlformats.org/officeDocument/2006/relationships/hyperlink" Target="https://www.inaturalist.org/people/lana_klemencic" TargetMode="External"/><Relationship Id="rId5771" Type="http://schemas.openxmlformats.org/officeDocument/2006/relationships/hyperlink" Target="https://creativecommons.org/licenses/by-nc/4.0/" TargetMode="External"/><Relationship Id="rId5772" Type="http://schemas.openxmlformats.org/officeDocument/2006/relationships/hyperlink" Target="https://www.inaturalist.org/observations/380235938" TargetMode="External"/><Relationship Id="rId5773" Type="http://schemas.openxmlformats.org/officeDocument/2006/relationships/hyperlink" Target="https://www.inaturalist.org/people/or_prepelizki" TargetMode="External"/><Relationship Id="rId5774" Type="http://schemas.openxmlformats.org/officeDocument/2006/relationships/hyperlink" Target="https://creativecommons.org/licenses/by-nc/4.0/" TargetMode="External"/><Relationship Id="rId5775" Type="http://schemas.openxmlformats.org/officeDocument/2006/relationships/hyperlink" Target="https://www.inaturalist.org/observations/379652104" TargetMode="External"/><Relationship Id="rId5776" Type="http://schemas.openxmlformats.org/officeDocument/2006/relationships/hyperlink" Target="https://www.inaturalist.org/people/josegranizo" TargetMode="External"/><Relationship Id="rId5777" Type="http://schemas.openxmlformats.org/officeDocument/2006/relationships/hyperlink" Target="https://creativecommons.org/licenses/by-nc/4.0/" TargetMode="External"/><Relationship Id="rId5778" Type="http://schemas.openxmlformats.org/officeDocument/2006/relationships/hyperlink" Target="https://www.inaturalist.org/observations/379254820" TargetMode="External"/><Relationship Id="rId5779" Type="http://schemas.openxmlformats.org/officeDocument/2006/relationships/hyperlink" Target="https://www.inaturalist.org/people/josegranizo" TargetMode="External"/><Relationship Id="rId5780" Type="http://schemas.openxmlformats.org/officeDocument/2006/relationships/hyperlink" Target="https://creativecommons.org/licenses/by-nc/4.0/" TargetMode="External"/><Relationship Id="rId5781" Type="http://schemas.openxmlformats.org/officeDocument/2006/relationships/hyperlink" Target="https://www.inaturalist.org/observations/379254820" TargetMode="External"/><Relationship Id="rId5782" Type="http://schemas.openxmlformats.org/officeDocument/2006/relationships/hyperlink" Target="https://www.inaturalist.org/people/khobdy" TargetMode="External"/><Relationship Id="rId5783" Type="http://schemas.openxmlformats.org/officeDocument/2006/relationships/hyperlink" Target="https://creativecommons.org/licenses/by-nc/4.0/" TargetMode="External"/><Relationship Id="rId5784" Type="http://schemas.openxmlformats.org/officeDocument/2006/relationships/hyperlink" Target="https://www.inaturalist.org/observations/378179874" TargetMode="External"/><Relationship Id="rId5785" Type="http://schemas.openxmlformats.org/officeDocument/2006/relationships/hyperlink" Target="https://www.inaturalist.org/people/maria95950" TargetMode="External"/><Relationship Id="rId5786" Type="http://schemas.openxmlformats.org/officeDocument/2006/relationships/hyperlink" Target="https://creativecommons.org/licenses/by-nc/4.0/" TargetMode="External"/><Relationship Id="rId5787" Type="http://schemas.openxmlformats.org/officeDocument/2006/relationships/hyperlink" Target="https://www.inaturalist.org/observations/376756462" TargetMode="External"/><Relationship Id="rId5788" Type="http://schemas.openxmlformats.org/officeDocument/2006/relationships/hyperlink" Target="https://www.inaturalist.org/people/renatoguzman" TargetMode="External"/><Relationship Id="rId5789" Type="http://schemas.openxmlformats.org/officeDocument/2006/relationships/hyperlink" Target="https://creativecommons.org/licenses/by-nc/4.0/" TargetMode="External"/><Relationship Id="rId5790" Type="http://schemas.openxmlformats.org/officeDocument/2006/relationships/hyperlink" Target="https://www.inaturalist.org/observations/374526519" TargetMode="External"/><Relationship Id="rId5791" Type="http://schemas.openxmlformats.org/officeDocument/2006/relationships/hyperlink" Target="https://www.inaturalist.org/people/ricardocatalan" TargetMode="External"/><Relationship Id="rId5792" Type="http://schemas.openxmlformats.org/officeDocument/2006/relationships/hyperlink" Target="https://creativecommons.org/licenses/by-nc/4.0/" TargetMode="External"/><Relationship Id="rId5793" Type="http://schemas.openxmlformats.org/officeDocument/2006/relationships/hyperlink" Target="https://www.inaturalist.org/observations/373121379" TargetMode="External"/><Relationship Id="rId5794" Type="http://schemas.openxmlformats.org/officeDocument/2006/relationships/hyperlink" Target="https://www.inaturalist.org/people/edwin_jurado" TargetMode="External"/><Relationship Id="rId5795" Type="http://schemas.openxmlformats.org/officeDocument/2006/relationships/hyperlink" Target="https://creativecommons.org/licenses/by-nc/4.0/" TargetMode="External"/><Relationship Id="rId5796" Type="http://schemas.openxmlformats.org/officeDocument/2006/relationships/hyperlink" Target="https://www.inaturalist.org/observations/372974080" TargetMode="External"/><Relationship Id="rId5797" Type="http://schemas.openxmlformats.org/officeDocument/2006/relationships/hyperlink" Target="https://www.inaturalist.org/people/sigfrield" TargetMode="External"/><Relationship Id="rId5798" Type="http://schemas.openxmlformats.org/officeDocument/2006/relationships/hyperlink" Target="https://creativecommons.org/licenses/by-nc/4.0/" TargetMode="External"/><Relationship Id="rId5799" Type="http://schemas.openxmlformats.org/officeDocument/2006/relationships/hyperlink" Target="https://www.inaturalist.org/observations/372590888" TargetMode="External"/><Relationship Id="rId5800" Type="http://schemas.openxmlformats.org/officeDocument/2006/relationships/hyperlink" Target="https://www.inaturalist.org/people/j_ale315" TargetMode="External"/><Relationship Id="rId5801" Type="http://schemas.openxmlformats.org/officeDocument/2006/relationships/hyperlink" Target="https://creativecommons.org/licenses/by-nc/4.0/" TargetMode="External"/><Relationship Id="rId5802" Type="http://schemas.openxmlformats.org/officeDocument/2006/relationships/hyperlink" Target="https://www.inaturalist.org/observations/369907429" TargetMode="External"/><Relationship Id="rId5803" Type="http://schemas.openxmlformats.org/officeDocument/2006/relationships/hyperlink" Target="https://www.inaturalist.org/people/tucker02" TargetMode="External"/><Relationship Id="rId5804" Type="http://schemas.openxmlformats.org/officeDocument/2006/relationships/hyperlink" Target="https://creativecommons.org/licenses/by-nc/4.0/" TargetMode="External"/><Relationship Id="rId5805" Type="http://schemas.openxmlformats.org/officeDocument/2006/relationships/hyperlink" Target="https://www.inaturalist.org/observations/368344126" TargetMode="External"/><Relationship Id="rId5806" Type="http://schemas.openxmlformats.org/officeDocument/2006/relationships/hyperlink" Target="https://www.inaturalist.org/people/timhoffman013" TargetMode="External"/><Relationship Id="rId5807" Type="http://schemas.openxmlformats.org/officeDocument/2006/relationships/hyperlink" Target="https://creativecommons.org/licenses/by-nc/4.0/" TargetMode="External"/><Relationship Id="rId5808" Type="http://schemas.openxmlformats.org/officeDocument/2006/relationships/hyperlink" Target="https://www.inaturalist.org/observations/368029184" TargetMode="External"/><Relationship Id="rId5809" Type="http://schemas.openxmlformats.org/officeDocument/2006/relationships/hyperlink" Target="https://www.inaturalist.org/people/gonzalonazati" TargetMode="External"/><Relationship Id="rId5810" Type="http://schemas.openxmlformats.org/officeDocument/2006/relationships/hyperlink" Target="https://creativecommons.org/licenses/by-nc/4.0/" TargetMode="External"/><Relationship Id="rId5811" Type="http://schemas.openxmlformats.org/officeDocument/2006/relationships/hyperlink" Target="https://www.inaturalist.org/observations/367461424" TargetMode="External"/><Relationship Id="rId5812" Type="http://schemas.openxmlformats.org/officeDocument/2006/relationships/hyperlink" Target="https://www.inaturalist.org/people/eli_ren" TargetMode="External"/><Relationship Id="rId5813" Type="http://schemas.openxmlformats.org/officeDocument/2006/relationships/hyperlink" Target="https://creativecommons.org/licenses/by-nc/4.0/" TargetMode="External"/><Relationship Id="rId5814" Type="http://schemas.openxmlformats.org/officeDocument/2006/relationships/hyperlink" Target="https://www.inaturalist.org/observations/364309423" TargetMode="External"/><Relationship Id="rId5815" Type="http://schemas.openxmlformats.org/officeDocument/2006/relationships/hyperlink" Target="https://www.inaturalist.org/people/eli_ren" TargetMode="External"/><Relationship Id="rId5816" Type="http://schemas.openxmlformats.org/officeDocument/2006/relationships/hyperlink" Target="https://creativecommons.org/licenses/by-nc/4.0/" TargetMode="External"/><Relationship Id="rId5817" Type="http://schemas.openxmlformats.org/officeDocument/2006/relationships/hyperlink" Target="https://www.inaturalist.org/observations/364309423" TargetMode="External"/><Relationship Id="rId5818" Type="http://schemas.openxmlformats.org/officeDocument/2006/relationships/hyperlink" Target="https://www.inaturalist.org/people/andreyquicenorojas" TargetMode="External"/><Relationship Id="rId5819" Type="http://schemas.openxmlformats.org/officeDocument/2006/relationships/hyperlink" Target="https://creativecommons.org/licenses/by-nc/4.0/" TargetMode="External"/><Relationship Id="rId5820" Type="http://schemas.openxmlformats.org/officeDocument/2006/relationships/hyperlink" Target="https://www.inaturalist.org/observations/362346064" TargetMode="External"/><Relationship Id="rId5821" Type="http://schemas.openxmlformats.org/officeDocument/2006/relationships/hyperlink" Target="https://www.inaturalist.org/people/emma73031" TargetMode="External"/><Relationship Id="rId5822" Type="http://schemas.openxmlformats.org/officeDocument/2006/relationships/hyperlink" Target="https://creativecommons.org/licenses/by-nc/4.0/" TargetMode="External"/><Relationship Id="rId5823" Type="http://schemas.openxmlformats.org/officeDocument/2006/relationships/hyperlink" Target="https://www.inaturalist.org/observations/363375608" TargetMode="External"/><Relationship Id="rId5824" Type="http://schemas.openxmlformats.org/officeDocument/2006/relationships/hyperlink" Target="https://www.inaturalist.org/people/cesb2003" TargetMode="External"/><Relationship Id="rId5825" Type="http://schemas.openxmlformats.org/officeDocument/2006/relationships/hyperlink" Target="https://creativecommons.org/licenses/by-nc/4.0/" TargetMode="External"/><Relationship Id="rId5826" Type="http://schemas.openxmlformats.org/officeDocument/2006/relationships/hyperlink" Target="https://www.inaturalist.org/observations/359409103" TargetMode="External"/><Relationship Id="rId5827" Type="http://schemas.openxmlformats.org/officeDocument/2006/relationships/hyperlink" Target="https://www.inaturalist.org/people/axies_the_collector" TargetMode="External"/><Relationship Id="rId5828" Type="http://schemas.openxmlformats.org/officeDocument/2006/relationships/hyperlink" Target="https://creativecommons.org/licenses/by-nc/4.0/" TargetMode="External"/><Relationship Id="rId5829" Type="http://schemas.openxmlformats.org/officeDocument/2006/relationships/hyperlink" Target="https://www.inaturalist.org/observations/357678146" TargetMode="External"/><Relationship Id="rId5830" Type="http://schemas.openxmlformats.org/officeDocument/2006/relationships/hyperlink" Target="https://www.inaturalist.org/people/axies_the_collector" TargetMode="External"/><Relationship Id="rId5831" Type="http://schemas.openxmlformats.org/officeDocument/2006/relationships/hyperlink" Target="https://creativecommons.org/licenses/by-nc/4.0/" TargetMode="External"/><Relationship Id="rId5832" Type="http://schemas.openxmlformats.org/officeDocument/2006/relationships/hyperlink" Target="https://www.inaturalist.org/observations/357678146" TargetMode="External"/><Relationship Id="rId5833" Type="http://schemas.openxmlformats.org/officeDocument/2006/relationships/hyperlink" Target="https://www.inaturalist.org/people/josfersan" TargetMode="External"/><Relationship Id="rId5834" Type="http://schemas.openxmlformats.org/officeDocument/2006/relationships/hyperlink" Target="https://creativecommons.org/licenses/by-nc/4.0/" TargetMode="External"/><Relationship Id="rId5835" Type="http://schemas.openxmlformats.org/officeDocument/2006/relationships/hyperlink" Target="https://www.inaturalist.org/observations/356293922" TargetMode="External"/><Relationship Id="rId5836" Type="http://schemas.openxmlformats.org/officeDocument/2006/relationships/hyperlink" Target="https://www.inaturalist.org/people/fundacion_proaves" TargetMode="External"/><Relationship Id="rId5837" Type="http://schemas.openxmlformats.org/officeDocument/2006/relationships/hyperlink" Target="https://creativecommons.org/licenses/by-nc/4.0/" TargetMode="External"/><Relationship Id="rId5838" Type="http://schemas.openxmlformats.org/officeDocument/2006/relationships/hyperlink" Target="https://www.inaturalist.org/observations/352778029" TargetMode="External"/><Relationship Id="rId5839" Type="http://schemas.openxmlformats.org/officeDocument/2006/relationships/hyperlink" Target="https://www.inaturalist.org/people/fundacion_proaves" TargetMode="External"/><Relationship Id="rId5840" Type="http://schemas.openxmlformats.org/officeDocument/2006/relationships/hyperlink" Target="https://creativecommons.org/licenses/by-nc/4.0/" TargetMode="External"/><Relationship Id="rId5841" Type="http://schemas.openxmlformats.org/officeDocument/2006/relationships/hyperlink" Target="https://www.inaturalist.org/observations/352778029" TargetMode="External"/><Relationship Id="rId5842" Type="http://schemas.openxmlformats.org/officeDocument/2006/relationships/hyperlink" Target="https://www.inaturalist.org/people/damienesquerre2" TargetMode="External"/><Relationship Id="rId5843" Type="http://schemas.openxmlformats.org/officeDocument/2006/relationships/hyperlink" Target="https://creativecommons.org/licenses/by-nc/4.0/" TargetMode="External"/><Relationship Id="rId5844" Type="http://schemas.openxmlformats.org/officeDocument/2006/relationships/hyperlink" Target="https://www.inaturalist.org/observations/351689856" TargetMode="External"/><Relationship Id="rId5845" Type="http://schemas.openxmlformats.org/officeDocument/2006/relationships/hyperlink" Target="https://www.inaturalist.org/people/mayaklem" TargetMode="External"/><Relationship Id="rId5846" Type="http://schemas.openxmlformats.org/officeDocument/2006/relationships/hyperlink" Target="https://creativecommons.org/licenses/by-nc/4.0/" TargetMode="External"/><Relationship Id="rId5847" Type="http://schemas.openxmlformats.org/officeDocument/2006/relationships/hyperlink" Target="https://www.inaturalist.org/observations/350709087" TargetMode="External"/><Relationship Id="rId5848" Type="http://schemas.openxmlformats.org/officeDocument/2006/relationships/hyperlink" Target="https://www.inaturalist.org/people/mik_26" TargetMode="External"/><Relationship Id="rId5849" Type="http://schemas.openxmlformats.org/officeDocument/2006/relationships/hyperlink" Target="https://creativecommons.org/licenses/by-nc/4.0/" TargetMode="External"/><Relationship Id="rId5850" Type="http://schemas.openxmlformats.org/officeDocument/2006/relationships/hyperlink" Target="https://www.inaturalist.org/observations/349619752" TargetMode="External"/><Relationship Id="rId5851" Type="http://schemas.openxmlformats.org/officeDocument/2006/relationships/hyperlink" Target="https://www.inaturalist.org/people/yucheol_shin" TargetMode="External"/><Relationship Id="rId5852" Type="http://schemas.openxmlformats.org/officeDocument/2006/relationships/hyperlink" Target="https://creativecommons.org/licenses/by-nc/4.0/" TargetMode="External"/><Relationship Id="rId5853" Type="http://schemas.openxmlformats.org/officeDocument/2006/relationships/hyperlink" Target="https://www.inaturalist.org/observations/347384629" TargetMode="External"/><Relationship Id="rId5854" Type="http://schemas.openxmlformats.org/officeDocument/2006/relationships/hyperlink" Target="https://www.inaturalist.org/people/beavisnail" TargetMode="External"/><Relationship Id="rId5855" Type="http://schemas.openxmlformats.org/officeDocument/2006/relationships/hyperlink" Target="https://creativecommons.org/licenses/by-nc/4.0/" TargetMode="External"/><Relationship Id="rId5856" Type="http://schemas.openxmlformats.org/officeDocument/2006/relationships/hyperlink" Target="https://www.inaturalist.org/observations/346930204" TargetMode="External"/><Relationship Id="rId5857" Type="http://schemas.openxmlformats.org/officeDocument/2006/relationships/hyperlink" Target="https://www.inaturalist.org/people/tree_gia" TargetMode="External"/><Relationship Id="rId5858" Type="http://schemas.openxmlformats.org/officeDocument/2006/relationships/hyperlink" Target="https://creativecommons.org/licenses/by-nc/4.0/" TargetMode="External"/><Relationship Id="rId5859" Type="http://schemas.openxmlformats.org/officeDocument/2006/relationships/hyperlink" Target="https://www.inaturalist.org/observations/346519582" TargetMode="External"/><Relationship Id="rId5860" Type="http://schemas.openxmlformats.org/officeDocument/2006/relationships/hyperlink" Target="https://www.inaturalist.org/people/edilson_luiz_candido" TargetMode="External"/><Relationship Id="rId5861" Type="http://schemas.openxmlformats.org/officeDocument/2006/relationships/hyperlink" Target="https://creativecommons.org/licenses/by-nc/4.0/" TargetMode="External"/><Relationship Id="rId5862" Type="http://schemas.openxmlformats.org/officeDocument/2006/relationships/hyperlink" Target="https://www.inaturalist.org/observations/346708934" TargetMode="External"/><Relationship Id="rId5863" Type="http://schemas.openxmlformats.org/officeDocument/2006/relationships/hyperlink" Target="https://www.inaturalist.org/people/nickvolpe" TargetMode="External"/><Relationship Id="rId5864" Type="http://schemas.openxmlformats.org/officeDocument/2006/relationships/hyperlink" Target="https://creativecommons.org/licenses/by-nc/4.0/" TargetMode="External"/><Relationship Id="rId5865" Type="http://schemas.openxmlformats.org/officeDocument/2006/relationships/hyperlink" Target="https://www.inaturalist.org/observations/346406213" TargetMode="External"/><Relationship Id="rId5866" Type="http://schemas.openxmlformats.org/officeDocument/2006/relationships/hyperlink" Target="https://www.inaturalist.org/people/vincentroberts_2004" TargetMode="External"/><Relationship Id="rId5867" Type="http://schemas.openxmlformats.org/officeDocument/2006/relationships/hyperlink" Target="https://creativecommons.org/licenses/by-nc/4.0/" TargetMode="External"/><Relationship Id="rId5868" Type="http://schemas.openxmlformats.org/officeDocument/2006/relationships/hyperlink" Target="https://www.inaturalist.org/observations/370418149" TargetMode="External"/><Relationship Id="rId5869" Type="http://schemas.openxmlformats.org/officeDocument/2006/relationships/hyperlink" Target="https://www.inaturalist.org/people/nzb_wildlife" TargetMode="External"/><Relationship Id="rId5870" Type="http://schemas.openxmlformats.org/officeDocument/2006/relationships/hyperlink" Target="https://creativecommons.org/licenses/by-nc/4.0/" TargetMode="External"/><Relationship Id="rId5871" Type="http://schemas.openxmlformats.org/officeDocument/2006/relationships/hyperlink" Target="https://www.inaturalist.org/observations/380322699" TargetMode="External"/><Relationship Id="rId5872" Type="http://schemas.openxmlformats.org/officeDocument/2006/relationships/hyperlink" Target="https://www.inaturalist.org/people/greeganowo" TargetMode="External"/><Relationship Id="rId5873" Type="http://schemas.openxmlformats.org/officeDocument/2006/relationships/hyperlink" Target="https://creativecommons.org/licenses/by-nc/4.0/" TargetMode="External"/><Relationship Id="rId5874" Type="http://schemas.openxmlformats.org/officeDocument/2006/relationships/hyperlink" Target="https://www.inaturalist.org/observations/367267997" TargetMode="External"/><Relationship Id="rId5875" Type="http://schemas.openxmlformats.org/officeDocument/2006/relationships/hyperlink" Target="https://www.inaturalist.org/people/greeganowo" TargetMode="External"/><Relationship Id="rId5876" Type="http://schemas.openxmlformats.org/officeDocument/2006/relationships/hyperlink" Target="https://creativecommons.org/licenses/by-nc/4.0/" TargetMode="External"/><Relationship Id="rId5877" Type="http://schemas.openxmlformats.org/officeDocument/2006/relationships/hyperlink" Target="https://www.inaturalist.org/observations/366812228" TargetMode="External"/><Relationship Id="rId5878" Type="http://schemas.openxmlformats.org/officeDocument/2006/relationships/hyperlink" Target="https://www.inaturalist.org/people/clem_bonna" TargetMode="External"/><Relationship Id="rId5879" Type="http://schemas.openxmlformats.org/officeDocument/2006/relationships/hyperlink" Target="https://creativecommons.org/licenses/by-nc/4.0/" TargetMode="External"/><Relationship Id="rId5880" Type="http://schemas.openxmlformats.org/officeDocument/2006/relationships/hyperlink" Target="https://www.inaturalist.org/observations/352338946" TargetMode="External"/><Relationship Id="rId5881" Type="http://schemas.openxmlformats.org/officeDocument/2006/relationships/hyperlink" Target="https://www.inaturalist.org/people/nzb_wildlife" TargetMode="External"/><Relationship Id="rId5882" Type="http://schemas.openxmlformats.org/officeDocument/2006/relationships/hyperlink" Target="https://creativecommons.org/licenses/by-nc/4.0/" TargetMode="External"/><Relationship Id="rId5883" Type="http://schemas.openxmlformats.org/officeDocument/2006/relationships/hyperlink" Target="https://www.inaturalist.org/observations/363068605" TargetMode="External"/><Relationship Id="rId5884" Type="http://schemas.openxmlformats.org/officeDocument/2006/relationships/hyperlink" Target="https://www.inaturalist.org/people/nzb_wildlife" TargetMode="External"/><Relationship Id="rId5885" Type="http://schemas.openxmlformats.org/officeDocument/2006/relationships/hyperlink" Target="https://creativecommons.org/licenses/by-nc/4.0/" TargetMode="External"/><Relationship Id="rId5886" Type="http://schemas.openxmlformats.org/officeDocument/2006/relationships/hyperlink" Target="https://www.inaturalist.org/observations/363068605" TargetMode="External"/><Relationship Id="rId5887" Type="http://schemas.openxmlformats.org/officeDocument/2006/relationships/hyperlink" Target="https://www.inaturalist.org/people/cheeri0s" TargetMode="External"/><Relationship Id="rId5888" Type="http://schemas.openxmlformats.org/officeDocument/2006/relationships/hyperlink" Target="https://creativecommons.org/licenses/by-nc/4.0/" TargetMode="External"/><Relationship Id="rId5889" Type="http://schemas.openxmlformats.org/officeDocument/2006/relationships/hyperlink" Target="https://www.inaturalist.org/observations/347937721" TargetMode="External"/><Relationship Id="rId5890" Type="http://schemas.openxmlformats.org/officeDocument/2006/relationships/hyperlink" Target="https://www.inaturalist.org/people/gwendalquimbre" TargetMode="External"/><Relationship Id="rId5891" Type="http://schemas.openxmlformats.org/officeDocument/2006/relationships/hyperlink" Target="https://creativecommons.org/licenses/by-nc/4.0/" TargetMode="External"/><Relationship Id="rId5892" Type="http://schemas.openxmlformats.org/officeDocument/2006/relationships/hyperlink" Target="https://www.inaturalist.org/observations/345298592" TargetMode="External"/><Relationship Id="rId5893" Type="http://schemas.openxmlformats.org/officeDocument/2006/relationships/hyperlink" Target="https://www.inaturalist.org/people/jvdwinden" TargetMode="External"/><Relationship Id="rId5894" Type="http://schemas.openxmlformats.org/officeDocument/2006/relationships/hyperlink" Target="https://creativecommons.org/licenses/by-nc/4.0/" TargetMode="External"/><Relationship Id="rId5895" Type="http://schemas.openxmlformats.org/officeDocument/2006/relationships/hyperlink" Target="https://www.inaturalist.org/observations/334027590" TargetMode="External"/><Relationship Id="rId5896" Type="http://schemas.openxmlformats.org/officeDocument/2006/relationships/hyperlink" Target="https://www.inaturalist.org/people/luciechassot" TargetMode="External"/><Relationship Id="rId5897" Type="http://schemas.openxmlformats.org/officeDocument/2006/relationships/hyperlink" Target="https://creativecommons.org/licenses/by-nc/4.0/" TargetMode="External"/><Relationship Id="rId5898" Type="http://schemas.openxmlformats.org/officeDocument/2006/relationships/hyperlink" Target="https://www.inaturalist.org/observations/330859902" TargetMode="External"/><Relationship Id="rId5899" Type="http://schemas.openxmlformats.org/officeDocument/2006/relationships/hyperlink" Target="https://www.inaturalist.org/people/julien40478" TargetMode="External"/><Relationship Id="rId5900" Type="http://schemas.openxmlformats.org/officeDocument/2006/relationships/hyperlink" Target="https://creativecommons.org/licenses/by-nc/4.0/" TargetMode="External"/><Relationship Id="rId5901" Type="http://schemas.openxmlformats.org/officeDocument/2006/relationships/hyperlink" Target="https://www.inaturalist.org/observations/323496003" TargetMode="External"/><Relationship Id="rId5902" Type="http://schemas.openxmlformats.org/officeDocument/2006/relationships/hyperlink" Target="https://www.inaturalist.org/people/onnkar" TargetMode="External"/><Relationship Id="rId5903" Type="http://schemas.openxmlformats.org/officeDocument/2006/relationships/hyperlink" Target="https://creativecommons.org/licenses/by-nc/4.0/" TargetMode="External"/><Relationship Id="rId5904" Type="http://schemas.openxmlformats.org/officeDocument/2006/relationships/hyperlink" Target="https://www.inaturalist.org/observations/320464268" TargetMode="External"/><Relationship Id="rId5905" Type="http://schemas.openxmlformats.org/officeDocument/2006/relationships/hyperlink" Target="https://www.inaturalist.org/people/jacob10" TargetMode="External"/><Relationship Id="rId5906" Type="http://schemas.openxmlformats.org/officeDocument/2006/relationships/hyperlink" Target="https://creativecommons.org/licenses/by-nc/4.0/" TargetMode="External"/><Relationship Id="rId5907" Type="http://schemas.openxmlformats.org/officeDocument/2006/relationships/hyperlink" Target="https://www.inaturalist.org/observations/336180338" TargetMode="External"/><Relationship Id="rId5908" Type="http://schemas.openxmlformats.org/officeDocument/2006/relationships/hyperlink" Target="https://www.inaturalist.org/people/noth5700" TargetMode="External"/><Relationship Id="rId5909" Type="http://schemas.openxmlformats.org/officeDocument/2006/relationships/hyperlink" Target="https://creativecommons.org/licenses/by-nc/4.0/" TargetMode="External"/><Relationship Id="rId5910" Type="http://schemas.openxmlformats.org/officeDocument/2006/relationships/hyperlink" Target="https://www.inaturalist.org/observations/323375269" TargetMode="External"/><Relationship Id="rId5911" Type="http://schemas.openxmlformats.org/officeDocument/2006/relationships/hyperlink" Target="https://www.inaturalist.org/people/noth5700" TargetMode="External"/><Relationship Id="rId5912" Type="http://schemas.openxmlformats.org/officeDocument/2006/relationships/hyperlink" Target="https://creativecommons.org/licenses/by-nc/4.0/" TargetMode="External"/><Relationship Id="rId5913" Type="http://schemas.openxmlformats.org/officeDocument/2006/relationships/hyperlink" Target="https://www.inaturalist.org/observations/323375269" TargetMode="External"/><Relationship Id="rId5914" Type="http://schemas.openxmlformats.org/officeDocument/2006/relationships/hyperlink" Target="https://www.inaturalist.org/people/franciscoriquelme" TargetMode="External"/><Relationship Id="rId5915" Type="http://schemas.openxmlformats.org/officeDocument/2006/relationships/hyperlink" Target="https://creativecommons.org/licenses/by-nc/4.0/" TargetMode="External"/><Relationship Id="rId5916" Type="http://schemas.openxmlformats.org/officeDocument/2006/relationships/hyperlink" Target="https://www.inaturalist.org/observations/323488841" TargetMode="External"/><Relationship Id="rId5917" Type="http://schemas.openxmlformats.org/officeDocument/2006/relationships/hyperlink" Target="https://www.inaturalist.org/people/javiantum" TargetMode="External"/><Relationship Id="rId5918" Type="http://schemas.openxmlformats.org/officeDocument/2006/relationships/hyperlink" Target="https://creativecommons.org/licenses/by-nc/4.0/" TargetMode="External"/><Relationship Id="rId5919" Type="http://schemas.openxmlformats.org/officeDocument/2006/relationships/hyperlink" Target="https://www.inaturalist.org/observations/322170767" TargetMode="External"/><Relationship Id="rId5920" Type="http://schemas.openxmlformats.org/officeDocument/2006/relationships/hyperlink" Target="https://www.inaturalist.org/people/danielmpina" TargetMode="External"/><Relationship Id="rId5921" Type="http://schemas.openxmlformats.org/officeDocument/2006/relationships/hyperlink" Target="https://creativecommons.org/licenses/by-nc/4.0/" TargetMode="External"/><Relationship Id="rId5922" Type="http://schemas.openxmlformats.org/officeDocument/2006/relationships/hyperlink" Target="https://www.inaturalist.org/observations/300310671" TargetMode="External"/><Relationship Id="rId5923" Type="http://schemas.openxmlformats.org/officeDocument/2006/relationships/hyperlink" Target="https://www.inaturalist.org/people/ricardocatalan" TargetMode="External"/><Relationship Id="rId5924" Type="http://schemas.openxmlformats.org/officeDocument/2006/relationships/hyperlink" Target="https://creativecommons.org/licenses/by-nc/4.0/" TargetMode="External"/><Relationship Id="rId5925" Type="http://schemas.openxmlformats.org/officeDocument/2006/relationships/hyperlink" Target="https://www.inaturalist.org/observations/287920759" TargetMode="External"/><Relationship Id="rId5926" Type="http://schemas.openxmlformats.org/officeDocument/2006/relationships/hyperlink" Target="https://www.inaturalist.org/people/botanils" TargetMode="External"/><Relationship Id="rId5927" Type="http://schemas.openxmlformats.org/officeDocument/2006/relationships/hyperlink" Target="https://creativecommons.org/licenses/by-nc/4.0/" TargetMode="External"/><Relationship Id="rId5928" Type="http://schemas.openxmlformats.org/officeDocument/2006/relationships/hyperlink" Target="https://www.inaturalist.org/observations/204766294" TargetMode="External"/><Relationship Id="rId5929" Type="http://schemas.openxmlformats.org/officeDocument/2006/relationships/hyperlink" Target="https://www.inaturalist.org/people/botanils" TargetMode="External"/><Relationship Id="rId5930" Type="http://schemas.openxmlformats.org/officeDocument/2006/relationships/hyperlink" Target="https://creativecommons.org/licenses/by-nc/4.0/" TargetMode="External"/><Relationship Id="rId5931" Type="http://schemas.openxmlformats.org/officeDocument/2006/relationships/hyperlink" Target="https://www.inaturalist.org/observations/204766294" TargetMode="External"/><Relationship Id="rId5932" Type="http://schemas.openxmlformats.org/officeDocument/2006/relationships/hyperlink" Target="https://www.inaturalist.org/people/botanils" TargetMode="External"/><Relationship Id="rId5933" Type="http://schemas.openxmlformats.org/officeDocument/2006/relationships/hyperlink" Target="https://creativecommons.org/licenses/by-nc/4.0/" TargetMode="External"/><Relationship Id="rId5934" Type="http://schemas.openxmlformats.org/officeDocument/2006/relationships/hyperlink" Target="https://www.inaturalist.org/observations/204766294" TargetMode="External"/><Relationship Id="rId5935" Type="http://schemas.openxmlformats.org/officeDocument/2006/relationships/hyperlink" Target="https://www.inaturalist.org/people/botanils" TargetMode="External"/><Relationship Id="rId5936" Type="http://schemas.openxmlformats.org/officeDocument/2006/relationships/hyperlink" Target="https://creativecommons.org/licenses/by-nc/4.0/" TargetMode="External"/><Relationship Id="rId5937" Type="http://schemas.openxmlformats.org/officeDocument/2006/relationships/hyperlink" Target="https://www.inaturalist.org/observations/204766294" TargetMode="External"/><Relationship Id="rId5938" Type="http://schemas.openxmlformats.org/officeDocument/2006/relationships/hyperlink" Target="https://www.inaturalist.org/people/daniel-pinelli" TargetMode="External"/><Relationship Id="rId5939" Type="http://schemas.openxmlformats.org/officeDocument/2006/relationships/hyperlink" Target="https://creativecommons.org/licenses/by-nc/4.0/" TargetMode="External"/><Relationship Id="rId5940" Type="http://schemas.openxmlformats.org/officeDocument/2006/relationships/hyperlink" Target="https://www.inaturalist.org/observations/173833857" TargetMode="External"/><Relationship Id="rId5941" Type="http://schemas.openxmlformats.org/officeDocument/2006/relationships/hyperlink" Target="https://www.inaturalist.org/people/ricardocatalan" TargetMode="External"/><Relationship Id="rId5942" Type="http://schemas.openxmlformats.org/officeDocument/2006/relationships/hyperlink" Target="https://creativecommons.org/licenses/by-nc/4.0/" TargetMode="External"/><Relationship Id="rId5943" Type="http://schemas.openxmlformats.org/officeDocument/2006/relationships/hyperlink" Target="https://www.inaturalist.org/observations/287920759" TargetMode="External"/><Relationship Id="rId5944" Type="http://schemas.openxmlformats.org/officeDocument/2006/relationships/hyperlink" Target="https://www.inaturalist.org/people/javiera102" TargetMode="External"/><Relationship Id="rId5945" Type="http://schemas.openxmlformats.org/officeDocument/2006/relationships/hyperlink" Target="https://creativecommons.org/licenses/by-nc/4.0/" TargetMode="External"/><Relationship Id="rId5946" Type="http://schemas.openxmlformats.org/officeDocument/2006/relationships/hyperlink" Target="https://www.inaturalist.org/observations/287633955" TargetMode="External"/><Relationship Id="rId5947" Type="http://schemas.openxmlformats.org/officeDocument/2006/relationships/hyperlink" Target="https://www.inaturalist.org/people/gbrl_nativa" TargetMode="External"/><Relationship Id="rId5948" Type="http://schemas.openxmlformats.org/officeDocument/2006/relationships/hyperlink" Target="https://creativecommons.org/licenses/by-nc/4.0/" TargetMode="External"/><Relationship Id="rId5949" Type="http://schemas.openxmlformats.org/officeDocument/2006/relationships/hyperlink" Target="https://www.inaturalist.org/observations/258405591" TargetMode="External"/><Relationship Id="rId5950" Type="http://schemas.openxmlformats.org/officeDocument/2006/relationships/hyperlink" Target="https://www.inaturalist.org/people/greensxm" TargetMode="External"/><Relationship Id="rId5951" Type="http://schemas.openxmlformats.org/officeDocument/2006/relationships/hyperlink" Target="https://creativecommons.org/licenses/by-nc/4.0/" TargetMode="External"/><Relationship Id="rId5952" Type="http://schemas.openxmlformats.org/officeDocument/2006/relationships/hyperlink" Target="https://www.inaturalist.org/observations/38151350" TargetMode="External"/><Relationship Id="rId5953" Type="http://schemas.openxmlformats.org/officeDocument/2006/relationships/hyperlink" Target="https://www.inaturalist.org/people/bichorraro" TargetMode="External"/><Relationship Id="rId5954" Type="http://schemas.openxmlformats.org/officeDocument/2006/relationships/hyperlink" Target="https://creativecommons.org/licenses/by-nc/4.0/" TargetMode="External"/><Relationship Id="rId5955" Type="http://schemas.openxmlformats.org/officeDocument/2006/relationships/hyperlink" Target="https://www.inaturalist.org/observations/257406375" TargetMode="External"/><Relationship Id="rId5956" Type="http://schemas.openxmlformats.org/officeDocument/2006/relationships/hyperlink" Target="https://www.inaturalist.org/people/bichorraro" TargetMode="External"/><Relationship Id="rId5957" Type="http://schemas.openxmlformats.org/officeDocument/2006/relationships/hyperlink" Target="https://creativecommons.org/licenses/by-nc/4.0/" TargetMode="External"/><Relationship Id="rId5958" Type="http://schemas.openxmlformats.org/officeDocument/2006/relationships/hyperlink" Target="https://www.inaturalist.org/observations/257406375" TargetMode="External"/><Relationship Id="rId5959" Type="http://schemas.openxmlformats.org/officeDocument/2006/relationships/hyperlink" Target="https://www.inaturalist.org/people/bichorraro" TargetMode="External"/><Relationship Id="rId5960" Type="http://schemas.openxmlformats.org/officeDocument/2006/relationships/hyperlink" Target="https://creativecommons.org/licenses/by-nc/4.0/" TargetMode="External"/><Relationship Id="rId5961" Type="http://schemas.openxmlformats.org/officeDocument/2006/relationships/hyperlink" Target="https://www.inaturalist.org/observations/257406375" TargetMode="External"/><Relationship Id="rId5962" Type="http://schemas.openxmlformats.org/officeDocument/2006/relationships/hyperlink" Target="https://www.inaturalist.org/people/greensxm" TargetMode="External"/><Relationship Id="rId5963" Type="http://schemas.openxmlformats.org/officeDocument/2006/relationships/hyperlink" Target="https://creativecommons.org/licenses/by-nc/4.0/" TargetMode="External"/><Relationship Id="rId5964" Type="http://schemas.openxmlformats.org/officeDocument/2006/relationships/hyperlink" Target="https://www.inaturalist.org/observations/37298389" TargetMode="External"/><Relationship Id="rId5965" Type="http://schemas.openxmlformats.org/officeDocument/2006/relationships/hyperlink" Target="https://www.inaturalist.org/people/gmm18" TargetMode="External"/><Relationship Id="rId5966" Type="http://schemas.openxmlformats.org/officeDocument/2006/relationships/hyperlink" Target="https://creativecommons.org/licenses/by-nc/4.0/" TargetMode="External"/><Relationship Id="rId5967" Type="http://schemas.openxmlformats.org/officeDocument/2006/relationships/hyperlink" Target="https://www.inaturalist.org/observations/246721051" TargetMode="External"/><Relationship Id="rId5968" Type="http://schemas.openxmlformats.org/officeDocument/2006/relationships/hyperlink" Target="https://www.inaturalist.org/people/gmm18" TargetMode="External"/><Relationship Id="rId5969" Type="http://schemas.openxmlformats.org/officeDocument/2006/relationships/hyperlink" Target="https://creativecommons.org/licenses/by-nc/4.0/" TargetMode="External"/><Relationship Id="rId5970" Type="http://schemas.openxmlformats.org/officeDocument/2006/relationships/hyperlink" Target="https://www.inaturalist.org/observations/246721051" TargetMode="External"/><Relationship Id="rId5971" Type="http://schemas.openxmlformats.org/officeDocument/2006/relationships/hyperlink" Target="https://www.inaturalist.org/people/david_broek" TargetMode="External"/><Relationship Id="rId5972" Type="http://schemas.openxmlformats.org/officeDocument/2006/relationships/hyperlink" Target="https://creativecommons.org/licenses/by-nc/4.0/" TargetMode="External"/><Relationship Id="rId5973" Type="http://schemas.openxmlformats.org/officeDocument/2006/relationships/hyperlink" Target="https://www.inaturalist.org/observations/382533574" TargetMode="External"/><Relationship Id="rId5974" Type="http://schemas.openxmlformats.org/officeDocument/2006/relationships/hyperlink" Target="https://www.inaturalist.org/people/kateryna_f" TargetMode="External"/><Relationship Id="rId5975" Type="http://schemas.openxmlformats.org/officeDocument/2006/relationships/hyperlink" Target="https://creativecommons.org/licenses/by-nc/4.0/" TargetMode="External"/><Relationship Id="rId5976" Type="http://schemas.openxmlformats.org/officeDocument/2006/relationships/hyperlink" Target="https://www.inaturalist.org/observations/369716406" TargetMode="External"/><Relationship Id="rId5977" Type="http://schemas.openxmlformats.org/officeDocument/2006/relationships/hyperlink" Target="https://www.inaturalist.org/people/kateryna_f" TargetMode="External"/><Relationship Id="rId5978" Type="http://schemas.openxmlformats.org/officeDocument/2006/relationships/hyperlink" Target="https://creativecommons.org/licenses/by-nc/4.0/" TargetMode="External"/><Relationship Id="rId5979" Type="http://schemas.openxmlformats.org/officeDocument/2006/relationships/hyperlink" Target="https://www.inaturalist.org/observations/369716406" TargetMode="External"/><Relationship Id="rId5980" Type="http://schemas.openxmlformats.org/officeDocument/2006/relationships/hyperlink" Target="https://www.inaturalist.org/people/tnaturalworld" TargetMode="External"/><Relationship Id="rId5981" Type="http://schemas.openxmlformats.org/officeDocument/2006/relationships/hyperlink" Target="https://creativecommons.org/licenses/by-nc/4.0/" TargetMode="External"/><Relationship Id="rId5982" Type="http://schemas.openxmlformats.org/officeDocument/2006/relationships/hyperlink" Target="https://www.inaturalist.org/observations/368908144" TargetMode="External"/><Relationship Id="rId5983" Type="http://schemas.openxmlformats.org/officeDocument/2006/relationships/hyperlink" Target="https://www.inaturalist.org/people/naiara87" TargetMode="External"/><Relationship Id="rId5984" Type="http://schemas.openxmlformats.org/officeDocument/2006/relationships/hyperlink" Target="https://creativecommons.org/licenses/by-nc/4.0/" TargetMode="External"/><Relationship Id="rId5985" Type="http://schemas.openxmlformats.org/officeDocument/2006/relationships/hyperlink" Target="https://www.inaturalist.org/observations/368896890" TargetMode="External"/><Relationship Id="rId5986" Type="http://schemas.openxmlformats.org/officeDocument/2006/relationships/hyperlink" Target="https://www.inaturalist.org/people/naiara87" TargetMode="External"/><Relationship Id="rId5987" Type="http://schemas.openxmlformats.org/officeDocument/2006/relationships/hyperlink" Target="https://creativecommons.org/licenses/by-nc/4.0/" TargetMode="External"/><Relationship Id="rId5988" Type="http://schemas.openxmlformats.org/officeDocument/2006/relationships/hyperlink" Target="https://www.inaturalist.org/observations/368896890" TargetMode="External"/><Relationship Id="rId5989" Type="http://schemas.openxmlformats.org/officeDocument/2006/relationships/hyperlink" Target="https://www.inaturalist.org/people/shanepelser" TargetMode="External"/><Relationship Id="rId5990" Type="http://schemas.openxmlformats.org/officeDocument/2006/relationships/hyperlink" Target="https://creativecommons.org/licenses/by-nc/4.0/" TargetMode="External"/><Relationship Id="rId5991" Type="http://schemas.openxmlformats.org/officeDocument/2006/relationships/hyperlink" Target="https://www.inaturalist.org/observations/368882068" TargetMode="External"/><Relationship Id="rId5992" Type="http://schemas.openxmlformats.org/officeDocument/2006/relationships/hyperlink" Target="https://www.inaturalist.org/people/christieelouise" TargetMode="External"/><Relationship Id="rId5993" Type="http://schemas.openxmlformats.org/officeDocument/2006/relationships/hyperlink" Target="https://creativecommons.org/licenses/by-nc/4.0/" TargetMode="External"/><Relationship Id="rId5994" Type="http://schemas.openxmlformats.org/officeDocument/2006/relationships/hyperlink" Target="https://www.inaturalist.org/observations/368880613" TargetMode="External"/><Relationship Id="rId5995" Type="http://schemas.openxmlformats.org/officeDocument/2006/relationships/hyperlink" Target="https://www.inaturalist.org/people/christieelouise" TargetMode="External"/><Relationship Id="rId5996" Type="http://schemas.openxmlformats.org/officeDocument/2006/relationships/hyperlink" Target="https://creativecommons.org/licenses/by-nc/4.0/" TargetMode="External"/><Relationship Id="rId5997" Type="http://schemas.openxmlformats.org/officeDocument/2006/relationships/hyperlink" Target="https://www.inaturalist.org/observations/368880481" TargetMode="External"/><Relationship Id="rId5998" Type="http://schemas.openxmlformats.org/officeDocument/2006/relationships/hyperlink" Target="https://www.inaturalist.org/people/iftekarkhan" TargetMode="External"/><Relationship Id="rId5999" Type="http://schemas.openxmlformats.org/officeDocument/2006/relationships/hyperlink" Target="https://creativecommons.org/licenses/by-nc/4.0/" TargetMode="External"/><Relationship Id="rId6000" Type="http://schemas.openxmlformats.org/officeDocument/2006/relationships/hyperlink" Target="https://www.inaturalist.org/observations/368880338" TargetMode="External"/><Relationship Id="rId6001" Type="http://schemas.openxmlformats.org/officeDocument/2006/relationships/hyperlink" Target="https://www.inaturalist.org/people/iftekarkhan" TargetMode="External"/><Relationship Id="rId6002" Type="http://schemas.openxmlformats.org/officeDocument/2006/relationships/hyperlink" Target="https://creativecommons.org/licenses/by-nc/4.0/" TargetMode="External"/><Relationship Id="rId6003" Type="http://schemas.openxmlformats.org/officeDocument/2006/relationships/hyperlink" Target="https://www.inaturalist.org/observations/368880338" TargetMode="External"/><Relationship Id="rId6004" Type="http://schemas.openxmlformats.org/officeDocument/2006/relationships/hyperlink" Target="https://www.inaturalist.org/people/iftekarkhan" TargetMode="External"/><Relationship Id="rId6005" Type="http://schemas.openxmlformats.org/officeDocument/2006/relationships/hyperlink" Target="https://creativecommons.org/licenses/by-nc/4.0/" TargetMode="External"/><Relationship Id="rId6006" Type="http://schemas.openxmlformats.org/officeDocument/2006/relationships/hyperlink" Target="https://www.inaturalist.org/observations/368880338" TargetMode="External"/><Relationship Id="rId6007" Type="http://schemas.openxmlformats.org/officeDocument/2006/relationships/hyperlink" Target="https://www.inaturalist.org/people/drithi_diwakar" TargetMode="External"/><Relationship Id="rId6008" Type="http://schemas.openxmlformats.org/officeDocument/2006/relationships/hyperlink" Target="https://creativecommons.org/licenses/by-nc/4.0/" TargetMode="External"/><Relationship Id="rId6009" Type="http://schemas.openxmlformats.org/officeDocument/2006/relationships/hyperlink" Target="https://www.inaturalist.org/observations/368732975" TargetMode="External"/><Relationship Id="rId6010" Type="http://schemas.openxmlformats.org/officeDocument/2006/relationships/hyperlink" Target="https://www.inaturalist.org/people/ahabib" TargetMode="External"/><Relationship Id="rId6011" Type="http://schemas.openxmlformats.org/officeDocument/2006/relationships/hyperlink" Target="https://creativecommons.org/licenses/by-nc/4.0/" TargetMode="External"/><Relationship Id="rId6012" Type="http://schemas.openxmlformats.org/officeDocument/2006/relationships/hyperlink" Target="https://www.inaturalist.org/observations/367949002" TargetMode="External"/><Relationship Id="rId6013" Type="http://schemas.openxmlformats.org/officeDocument/2006/relationships/hyperlink" Target="https://www.inaturalist.org/people/ahabib" TargetMode="External"/><Relationship Id="rId6014" Type="http://schemas.openxmlformats.org/officeDocument/2006/relationships/hyperlink" Target="https://creativecommons.org/licenses/by-nc/4.0/" TargetMode="External"/><Relationship Id="rId6015" Type="http://schemas.openxmlformats.org/officeDocument/2006/relationships/hyperlink" Target="https://www.inaturalist.org/observations/367949002" TargetMode="External"/><Relationship Id="rId6016" Type="http://schemas.openxmlformats.org/officeDocument/2006/relationships/hyperlink" Target="https://www.inaturalist.org/people/nathenm" TargetMode="External"/><Relationship Id="rId6017" Type="http://schemas.openxmlformats.org/officeDocument/2006/relationships/hyperlink" Target="https://creativecommons.org/licenses/by-nc/4.0/" TargetMode="External"/><Relationship Id="rId6018" Type="http://schemas.openxmlformats.org/officeDocument/2006/relationships/hyperlink" Target="https://www.inaturalist.org/observations/365989180" TargetMode="External"/><Relationship Id="rId6019" Type="http://schemas.openxmlformats.org/officeDocument/2006/relationships/hyperlink" Target="https://www.inaturalist.org/people/nathenm" TargetMode="External"/><Relationship Id="rId6020" Type="http://schemas.openxmlformats.org/officeDocument/2006/relationships/hyperlink" Target="https://creativecommons.org/licenses/by-nc/4.0/" TargetMode="External"/><Relationship Id="rId6021" Type="http://schemas.openxmlformats.org/officeDocument/2006/relationships/hyperlink" Target="https://www.inaturalist.org/observations/365198670" TargetMode="External"/><Relationship Id="rId6022" Type="http://schemas.openxmlformats.org/officeDocument/2006/relationships/hyperlink" Target="https://www.inaturalist.org/people/ahabib" TargetMode="External"/><Relationship Id="rId6023" Type="http://schemas.openxmlformats.org/officeDocument/2006/relationships/hyperlink" Target="https://creativecommons.org/licenses/by-nc/4.0/" TargetMode="External"/><Relationship Id="rId6024" Type="http://schemas.openxmlformats.org/officeDocument/2006/relationships/hyperlink" Target="https://www.inaturalist.org/observations/360525486" TargetMode="External"/><Relationship Id="rId6025" Type="http://schemas.openxmlformats.org/officeDocument/2006/relationships/hyperlink" Target="https://www.inaturalist.org/people/ahabib" TargetMode="External"/><Relationship Id="rId6026" Type="http://schemas.openxmlformats.org/officeDocument/2006/relationships/hyperlink" Target="https://creativecommons.org/licenses/by-nc/4.0/" TargetMode="External"/><Relationship Id="rId6027" Type="http://schemas.openxmlformats.org/officeDocument/2006/relationships/hyperlink" Target="https://www.inaturalist.org/observations/360525486" TargetMode="External"/><Relationship Id="rId6028" Type="http://schemas.openxmlformats.org/officeDocument/2006/relationships/hyperlink" Target="https://www.inaturalist.org/people/ahabib" TargetMode="External"/><Relationship Id="rId6029" Type="http://schemas.openxmlformats.org/officeDocument/2006/relationships/hyperlink" Target="https://creativecommons.org/licenses/by-nc/4.0/" TargetMode="External"/><Relationship Id="rId6030" Type="http://schemas.openxmlformats.org/officeDocument/2006/relationships/hyperlink" Target="https://www.inaturalist.org/observations/360525486" TargetMode="External"/><Relationship Id="rId6031" Type="http://schemas.openxmlformats.org/officeDocument/2006/relationships/hyperlink" Target="https://www.inaturalist.org/people/patrickdebeuf" TargetMode="External"/><Relationship Id="rId6032" Type="http://schemas.openxmlformats.org/officeDocument/2006/relationships/hyperlink" Target="https://creativecommons.org/licenses/by-nc/4.0/" TargetMode="External"/><Relationship Id="rId6033" Type="http://schemas.openxmlformats.org/officeDocument/2006/relationships/hyperlink" Target="https://www.inaturalist.org/observations/329857889" TargetMode="External"/><Relationship Id="rId6034" Type="http://schemas.openxmlformats.org/officeDocument/2006/relationships/hyperlink" Target="https://www.inaturalist.org/people/feng63538" TargetMode="External"/><Relationship Id="rId6035" Type="http://schemas.openxmlformats.org/officeDocument/2006/relationships/hyperlink" Target="https://creativecommons.org/licenses/by-nc/4.0/" TargetMode="External"/><Relationship Id="rId6036" Type="http://schemas.openxmlformats.org/officeDocument/2006/relationships/hyperlink" Target="https://www.inaturalist.org/observations/323146235" TargetMode="External"/><Relationship Id="rId6037" Type="http://schemas.openxmlformats.org/officeDocument/2006/relationships/hyperlink" Target="https://www.inaturalist.org/people/shiderob" TargetMode="External"/><Relationship Id="rId6038" Type="http://schemas.openxmlformats.org/officeDocument/2006/relationships/hyperlink" Target="https://creativecommons.org/licenses/by-nc/4.0/" TargetMode="External"/><Relationship Id="rId6039" Type="http://schemas.openxmlformats.org/officeDocument/2006/relationships/hyperlink" Target="https://www.inaturalist.org/observations/311963648" TargetMode="External"/><Relationship Id="rId6040" Type="http://schemas.openxmlformats.org/officeDocument/2006/relationships/hyperlink" Target="https://www.inaturalist.org/people/shiderob" TargetMode="External"/><Relationship Id="rId6041" Type="http://schemas.openxmlformats.org/officeDocument/2006/relationships/hyperlink" Target="https://creativecommons.org/licenses/by-nc/4.0/" TargetMode="External"/><Relationship Id="rId6042" Type="http://schemas.openxmlformats.org/officeDocument/2006/relationships/hyperlink" Target="https://www.inaturalist.org/observations/311963648" TargetMode="External"/><Relationship Id="rId6043" Type="http://schemas.openxmlformats.org/officeDocument/2006/relationships/hyperlink" Target="https://www.inaturalist.org/people/globalherping" TargetMode="External"/><Relationship Id="rId6044" Type="http://schemas.openxmlformats.org/officeDocument/2006/relationships/hyperlink" Target="https://creativecommons.org/licenses/by-nc/4.0/" TargetMode="External"/><Relationship Id="rId6045" Type="http://schemas.openxmlformats.org/officeDocument/2006/relationships/hyperlink" Target="https://www.inaturalist.org/observations/283314331" TargetMode="External"/><Relationship Id="rId6046" Type="http://schemas.openxmlformats.org/officeDocument/2006/relationships/hyperlink" Target="https://www.inaturalist.org/people/globalherping" TargetMode="External"/><Relationship Id="rId6047" Type="http://schemas.openxmlformats.org/officeDocument/2006/relationships/hyperlink" Target="https://creativecommons.org/licenses/by-nc/4.0/" TargetMode="External"/><Relationship Id="rId6048" Type="http://schemas.openxmlformats.org/officeDocument/2006/relationships/hyperlink" Target="https://www.inaturalist.org/observations/283314331" TargetMode="External"/><Relationship Id="rId6049" Type="http://schemas.openxmlformats.org/officeDocument/2006/relationships/hyperlink" Target="https://www.inaturalist.org/people/nathenm" TargetMode="External"/><Relationship Id="rId6050" Type="http://schemas.openxmlformats.org/officeDocument/2006/relationships/hyperlink" Target="https://creativecommons.org/licenses/by-nc/4.0/" TargetMode="External"/><Relationship Id="rId6051" Type="http://schemas.openxmlformats.org/officeDocument/2006/relationships/hyperlink" Target="https://www.inaturalist.org/observations/280344807" TargetMode="External"/><Relationship Id="rId6052" Type="http://schemas.openxmlformats.org/officeDocument/2006/relationships/hyperlink" Target="https://www.inaturalist.org/people/lucaghess" TargetMode="External"/><Relationship Id="rId6053" Type="http://schemas.openxmlformats.org/officeDocument/2006/relationships/hyperlink" Target="https://creativecommons.org/licenses/by-nc/4.0/" TargetMode="External"/><Relationship Id="rId6054" Type="http://schemas.openxmlformats.org/officeDocument/2006/relationships/hyperlink" Target="https://www.inaturalist.org/observations/277849064" TargetMode="External"/><Relationship Id="rId6055" Type="http://schemas.openxmlformats.org/officeDocument/2006/relationships/hyperlink" Target="https://www.inaturalist.org/people/thomas_bareyre" TargetMode="External"/><Relationship Id="rId6056" Type="http://schemas.openxmlformats.org/officeDocument/2006/relationships/hyperlink" Target="https://creativecommons.org/licenses/by-nc/4.0/" TargetMode="External"/><Relationship Id="rId6057" Type="http://schemas.openxmlformats.org/officeDocument/2006/relationships/hyperlink" Target="https://www.inaturalist.org/observations/268092045" TargetMode="External"/><Relationship Id="rId6058" Type="http://schemas.openxmlformats.org/officeDocument/2006/relationships/hyperlink" Target="https://www.inaturalist.org/people/vojtechvita" TargetMode="External"/><Relationship Id="rId6059" Type="http://schemas.openxmlformats.org/officeDocument/2006/relationships/hyperlink" Target="https://creativecommons.org/licenses/by-nc/4.0/" TargetMode="External"/><Relationship Id="rId6060" Type="http://schemas.openxmlformats.org/officeDocument/2006/relationships/hyperlink" Target="https://www.inaturalist.org/observations/145174004" TargetMode="External"/><Relationship Id="rId6061" Type="http://schemas.openxmlformats.org/officeDocument/2006/relationships/hyperlink" Target="https://www.inaturalist.org/people/vojtechvita" TargetMode="External"/><Relationship Id="rId6062" Type="http://schemas.openxmlformats.org/officeDocument/2006/relationships/hyperlink" Target="https://creativecommons.org/licenses/by-nc/4.0/" TargetMode="External"/><Relationship Id="rId6063" Type="http://schemas.openxmlformats.org/officeDocument/2006/relationships/hyperlink" Target="https://www.inaturalist.org/observations/144975840" TargetMode="External"/><Relationship Id="rId6064" Type="http://schemas.openxmlformats.org/officeDocument/2006/relationships/hyperlink" Target="https://www.inaturalist.org/people/vojtechvita" TargetMode="External"/><Relationship Id="rId6065" Type="http://schemas.openxmlformats.org/officeDocument/2006/relationships/hyperlink" Target="https://creativecommons.org/licenses/by-nc/4.0/" TargetMode="External"/><Relationship Id="rId6066" Type="http://schemas.openxmlformats.org/officeDocument/2006/relationships/hyperlink" Target="https://www.inaturalist.org/observations/144534318" TargetMode="External"/><Relationship Id="rId6067" Type="http://schemas.openxmlformats.org/officeDocument/2006/relationships/hyperlink" Target="https://www.inaturalist.org/people/neymark" TargetMode="External"/><Relationship Id="rId6068" Type="http://schemas.openxmlformats.org/officeDocument/2006/relationships/hyperlink" Target="https://creativecommons.org/licenses/by-nc/4.0/" TargetMode="External"/><Relationship Id="rId6069" Type="http://schemas.openxmlformats.org/officeDocument/2006/relationships/hyperlink" Target="https://www.inaturalist.org/observations/88686240" TargetMode="External"/><Relationship Id="rId6070" Type="http://schemas.openxmlformats.org/officeDocument/2006/relationships/hyperlink" Target="https://www.inaturalist.org/people/lrasran" TargetMode="External"/><Relationship Id="rId6071" Type="http://schemas.openxmlformats.org/officeDocument/2006/relationships/hyperlink" Target="https://creativecommons.org/licenses/by-nc/4.0/" TargetMode="External"/><Relationship Id="rId6072" Type="http://schemas.openxmlformats.org/officeDocument/2006/relationships/hyperlink" Target="https://www.inaturalist.org/observations/41678175" TargetMode="External"/><Relationship Id="rId6073" Type="http://schemas.openxmlformats.org/officeDocument/2006/relationships/hyperlink" Target="https://www.inaturalist.org/people/aville" TargetMode="External"/><Relationship Id="rId6074" Type="http://schemas.openxmlformats.org/officeDocument/2006/relationships/hyperlink" Target="https://creativecommons.org/licenses/by-nc/4.0/" TargetMode="External"/><Relationship Id="rId6075" Type="http://schemas.openxmlformats.org/officeDocument/2006/relationships/hyperlink" Target="https://www.inaturalist.org/observations/40684911" TargetMode="External"/><Relationship Id="rId6076" Type="http://schemas.openxmlformats.org/officeDocument/2006/relationships/hyperlink" Target="https://www.inaturalist.org/people/franciscoriquelme" TargetMode="External"/><Relationship Id="rId6077" Type="http://schemas.openxmlformats.org/officeDocument/2006/relationships/hyperlink" Target="https://creativecommons.org/licenses/by-nc/4.0/" TargetMode="External"/><Relationship Id="rId6078" Type="http://schemas.openxmlformats.org/officeDocument/2006/relationships/hyperlink" Target="https://www.inaturalist.org/observations/236068247" TargetMode="External"/><Relationship Id="rId6079" Type="http://schemas.openxmlformats.org/officeDocument/2006/relationships/hyperlink" Target="https://www.inaturalist.org/people/bastian_riveros" TargetMode="External"/><Relationship Id="rId6080" Type="http://schemas.openxmlformats.org/officeDocument/2006/relationships/hyperlink" Target="https://creativecommons.org/licenses/by-nc/4.0/" TargetMode="External"/><Relationship Id="rId6081" Type="http://schemas.openxmlformats.org/officeDocument/2006/relationships/hyperlink" Target="https://www.inaturalist.org/observations/234127155" TargetMode="External"/><Relationship Id="rId6082" Type="http://schemas.openxmlformats.org/officeDocument/2006/relationships/hyperlink" Target="https://www.inaturalist.org/people/bastian_riveros" TargetMode="External"/><Relationship Id="rId6083" Type="http://schemas.openxmlformats.org/officeDocument/2006/relationships/hyperlink" Target="https://creativecommons.org/licenses/by-nc/4.0/" TargetMode="External"/><Relationship Id="rId6084" Type="http://schemas.openxmlformats.org/officeDocument/2006/relationships/hyperlink" Target="https://www.inaturalist.org/observations/233995076" TargetMode="External"/><Relationship Id="rId6085" Type="http://schemas.openxmlformats.org/officeDocument/2006/relationships/hyperlink" Target="https://www.inaturalist.org/people/alexandrasina" TargetMode="External"/><Relationship Id="rId6086" Type="http://schemas.openxmlformats.org/officeDocument/2006/relationships/hyperlink" Target="https://creativecommons.org/licenses/by-nc/4.0/" TargetMode="External"/><Relationship Id="rId6087" Type="http://schemas.openxmlformats.org/officeDocument/2006/relationships/hyperlink" Target="https://www.inaturalist.org/observations/231060934" TargetMode="External"/><Relationship Id="rId6088" Type="http://schemas.openxmlformats.org/officeDocument/2006/relationships/hyperlink" Target="https://www.inaturalist.org/people/alexanderr" TargetMode="External"/><Relationship Id="rId6089" Type="http://schemas.openxmlformats.org/officeDocument/2006/relationships/hyperlink" Target="https://creativecommons.org/licenses/by-nc/4.0/" TargetMode="External"/><Relationship Id="rId6090" Type="http://schemas.openxmlformats.org/officeDocument/2006/relationships/hyperlink" Target="https://www.inaturalist.org/observations/334740779" TargetMode="External"/><Relationship Id="rId6091" Type="http://schemas.openxmlformats.org/officeDocument/2006/relationships/hyperlink" Target="https://www.inaturalist.org/people/jachatata" TargetMode="External"/><Relationship Id="rId6092" Type="http://schemas.openxmlformats.org/officeDocument/2006/relationships/hyperlink" Target="https://creativecommons.org/licenses/by-nc/4.0/" TargetMode="External"/><Relationship Id="rId6093" Type="http://schemas.openxmlformats.org/officeDocument/2006/relationships/hyperlink" Target="https://www.inaturalist.org/observations/201591678" TargetMode="External"/><Relationship Id="rId6094" Type="http://schemas.openxmlformats.org/officeDocument/2006/relationships/hyperlink" Target="https://www.inaturalist.org/people/jachatata" TargetMode="External"/><Relationship Id="rId6095" Type="http://schemas.openxmlformats.org/officeDocument/2006/relationships/hyperlink" Target="https://creativecommons.org/licenses/by-nc/4.0/" TargetMode="External"/><Relationship Id="rId6096" Type="http://schemas.openxmlformats.org/officeDocument/2006/relationships/hyperlink" Target="https://www.inaturalist.org/observations/201591678" TargetMode="External"/><Relationship Id="rId6097" Type="http://schemas.openxmlformats.org/officeDocument/2006/relationships/hyperlink" Target="https://www.inaturalist.org/people/jachatata" TargetMode="External"/><Relationship Id="rId6098" Type="http://schemas.openxmlformats.org/officeDocument/2006/relationships/hyperlink" Target="https://creativecommons.org/licenses/by-nc/4.0/" TargetMode="External"/><Relationship Id="rId6099" Type="http://schemas.openxmlformats.org/officeDocument/2006/relationships/hyperlink" Target="https://www.inaturalist.org/observations/199287139" TargetMode="External"/><Relationship Id="rId6100" Type="http://schemas.openxmlformats.org/officeDocument/2006/relationships/hyperlink" Target="https://www.inaturalist.org/people/alexanderr" TargetMode="External"/><Relationship Id="rId6101" Type="http://schemas.openxmlformats.org/officeDocument/2006/relationships/hyperlink" Target="https://creativecommons.org/licenses/by-nc/4.0/" TargetMode="External"/><Relationship Id="rId6102" Type="http://schemas.openxmlformats.org/officeDocument/2006/relationships/hyperlink" Target="https://www.inaturalist.org/observations/334740764" TargetMode="External"/><Relationship Id="rId6103" Type="http://schemas.openxmlformats.org/officeDocument/2006/relationships/hyperlink" Target="https://www.inaturalist.org/people/jachatata" TargetMode="External"/><Relationship Id="rId6104" Type="http://schemas.openxmlformats.org/officeDocument/2006/relationships/hyperlink" Target="https://creativecommons.org/licenses/by-nc/4.0/" TargetMode="External"/><Relationship Id="rId6105" Type="http://schemas.openxmlformats.org/officeDocument/2006/relationships/hyperlink" Target="https://www.inaturalist.org/observations/199161655" TargetMode="External"/><Relationship Id="rId6106" Type="http://schemas.openxmlformats.org/officeDocument/2006/relationships/hyperlink" Target="https://www.inaturalist.org/people/diegoalmendras" TargetMode="External"/><Relationship Id="rId6107" Type="http://schemas.openxmlformats.org/officeDocument/2006/relationships/hyperlink" Target="https://creativecommons.org/licenses/by-nc/4.0/" TargetMode="External"/><Relationship Id="rId6108" Type="http://schemas.openxmlformats.org/officeDocument/2006/relationships/hyperlink" Target="https://www.inaturalist.org/observations/198312753" TargetMode="External"/><Relationship Id="rId6109" Type="http://schemas.openxmlformats.org/officeDocument/2006/relationships/hyperlink" Target="https://www.inaturalist.org/people/jachatata" TargetMode="External"/><Relationship Id="rId6110" Type="http://schemas.openxmlformats.org/officeDocument/2006/relationships/hyperlink" Target="https://creativecommons.org/licenses/by-nc/4.0/" TargetMode="External"/><Relationship Id="rId6111" Type="http://schemas.openxmlformats.org/officeDocument/2006/relationships/hyperlink" Target="https://www.inaturalist.org/observations/198148724" TargetMode="External"/><Relationship Id="rId6112" Type="http://schemas.openxmlformats.org/officeDocument/2006/relationships/hyperlink" Target="https://www.inaturalist.org/people/alexanderr" TargetMode="External"/><Relationship Id="rId6113" Type="http://schemas.openxmlformats.org/officeDocument/2006/relationships/hyperlink" Target="https://creativecommons.org/licenses/by-nc/4.0/" TargetMode="External"/><Relationship Id="rId6114" Type="http://schemas.openxmlformats.org/officeDocument/2006/relationships/hyperlink" Target="https://www.inaturalist.org/observations/334740762" TargetMode="External"/><Relationship Id="rId6115" Type="http://schemas.openxmlformats.org/officeDocument/2006/relationships/hyperlink" Target="https://www.inaturalist.org/people/theo_fiedler" TargetMode="External"/><Relationship Id="rId6116" Type="http://schemas.openxmlformats.org/officeDocument/2006/relationships/hyperlink" Target="https://creativecommons.org/licenses/by-nc/4.0/" TargetMode="External"/><Relationship Id="rId6117" Type="http://schemas.openxmlformats.org/officeDocument/2006/relationships/hyperlink" Target="https://www.inaturalist.org/observations/196670184" TargetMode="External"/><Relationship Id="rId6118" Type="http://schemas.openxmlformats.org/officeDocument/2006/relationships/hyperlink" Target="https://www.inaturalist.org/people/theo_fiedler" TargetMode="External"/><Relationship Id="rId6119" Type="http://schemas.openxmlformats.org/officeDocument/2006/relationships/hyperlink" Target="https://creativecommons.org/licenses/by-nc/4.0/" TargetMode="External"/><Relationship Id="rId6120" Type="http://schemas.openxmlformats.org/officeDocument/2006/relationships/hyperlink" Target="https://www.inaturalist.org/observations/196670184" TargetMode="External"/><Relationship Id="rId6121" Type="http://schemas.openxmlformats.org/officeDocument/2006/relationships/hyperlink" Target="https://www.inaturalist.org/people/brunobertin" TargetMode="External"/><Relationship Id="rId6122" Type="http://schemas.openxmlformats.org/officeDocument/2006/relationships/hyperlink" Target="https://creativecommons.org/licenses/by-nc/4.0/" TargetMode="External"/><Relationship Id="rId6123" Type="http://schemas.openxmlformats.org/officeDocument/2006/relationships/hyperlink" Target="https://www.inaturalist.org/observations/187273892" TargetMode="External"/><Relationship Id="rId6124" Type="http://schemas.openxmlformats.org/officeDocument/2006/relationships/hyperlink" Target="https://www.inaturalist.org/people/alexanderr" TargetMode="External"/><Relationship Id="rId6125" Type="http://schemas.openxmlformats.org/officeDocument/2006/relationships/hyperlink" Target="https://creativecommons.org/licenses/by-nc/4.0/" TargetMode="External"/><Relationship Id="rId6126" Type="http://schemas.openxmlformats.org/officeDocument/2006/relationships/hyperlink" Target="https://www.inaturalist.org/observations/334740762" TargetMode="External"/><Relationship Id="rId6127" Type="http://schemas.openxmlformats.org/officeDocument/2006/relationships/hyperlink" Target="https://www.inaturalist.org/people/brunobertin" TargetMode="External"/><Relationship Id="rId6128" Type="http://schemas.openxmlformats.org/officeDocument/2006/relationships/hyperlink" Target="https://creativecommons.org/licenses/by-nc/4.0/" TargetMode="External"/><Relationship Id="rId6129" Type="http://schemas.openxmlformats.org/officeDocument/2006/relationships/hyperlink" Target="https://www.inaturalist.org/observations/187273892" TargetMode="External"/><Relationship Id="rId6130" Type="http://schemas.openxmlformats.org/officeDocument/2006/relationships/hyperlink" Target="https://www.inaturalist.org/people/brunobertin" TargetMode="External"/><Relationship Id="rId6131" Type="http://schemas.openxmlformats.org/officeDocument/2006/relationships/hyperlink" Target="https://creativecommons.org/licenses/by-nc/4.0/" TargetMode="External"/><Relationship Id="rId6132" Type="http://schemas.openxmlformats.org/officeDocument/2006/relationships/hyperlink" Target="https://www.inaturalist.org/observations/186869917" TargetMode="External"/><Relationship Id="rId6133" Type="http://schemas.openxmlformats.org/officeDocument/2006/relationships/hyperlink" Target="https://www.inaturalist.org/people/brunobertin" TargetMode="External"/><Relationship Id="rId6134" Type="http://schemas.openxmlformats.org/officeDocument/2006/relationships/hyperlink" Target="https://creativecommons.org/licenses/by-nc/4.0/" TargetMode="External"/><Relationship Id="rId6135" Type="http://schemas.openxmlformats.org/officeDocument/2006/relationships/hyperlink" Target="https://www.inaturalist.org/observations/186869917" TargetMode="External"/><Relationship Id="rId6136" Type="http://schemas.openxmlformats.org/officeDocument/2006/relationships/hyperlink" Target="https://www.inaturalist.org/people/alexanderr" TargetMode="External"/><Relationship Id="rId6137" Type="http://schemas.openxmlformats.org/officeDocument/2006/relationships/hyperlink" Target="https://creativecommons.org/licenses/by-nc/4.0/" TargetMode="External"/><Relationship Id="rId6138" Type="http://schemas.openxmlformats.org/officeDocument/2006/relationships/hyperlink" Target="https://www.inaturalist.org/observations/334740761" TargetMode="External"/><Relationship Id="rId6139" Type="http://schemas.openxmlformats.org/officeDocument/2006/relationships/hyperlink" Target="https://www.inaturalist.org/people/franciscoriquelme" TargetMode="External"/><Relationship Id="rId6140" Type="http://schemas.openxmlformats.org/officeDocument/2006/relationships/hyperlink" Target="https://creativecommons.org/licenses/by-nc/4.0/" TargetMode="External"/><Relationship Id="rId6141" Type="http://schemas.openxmlformats.org/officeDocument/2006/relationships/hyperlink" Target="https://www.inaturalist.org/observations/167873627" TargetMode="External"/><Relationship Id="rId6142" Type="http://schemas.openxmlformats.org/officeDocument/2006/relationships/hyperlink" Target="https://www.inaturalist.org/people/mauricioflorescab" TargetMode="External"/><Relationship Id="rId6143" Type="http://schemas.openxmlformats.org/officeDocument/2006/relationships/hyperlink" Target="https://creativecommons.org/licenses/by-nc/4.0/" TargetMode="External"/><Relationship Id="rId6144" Type="http://schemas.openxmlformats.org/officeDocument/2006/relationships/hyperlink" Target="https://www.inaturalist.org/observations/151890892" TargetMode="External"/><Relationship Id="rId6145" Type="http://schemas.openxmlformats.org/officeDocument/2006/relationships/hyperlink" Target="https://www.inaturalist.org/people/mauricioflorescab" TargetMode="External"/><Relationship Id="rId6146" Type="http://schemas.openxmlformats.org/officeDocument/2006/relationships/hyperlink" Target="https://creativecommons.org/licenses/by-nc/4.0/" TargetMode="External"/><Relationship Id="rId6147" Type="http://schemas.openxmlformats.org/officeDocument/2006/relationships/hyperlink" Target="https://www.inaturalist.org/observations/151890107" TargetMode="External"/><Relationship Id="rId6148" Type="http://schemas.openxmlformats.org/officeDocument/2006/relationships/hyperlink" Target="https://www.inaturalist.org/people/alexanderr" TargetMode="External"/><Relationship Id="rId6149" Type="http://schemas.openxmlformats.org/officeDocument/2006/relationships/hyperlink" Target="https://creativecommons.org/licenses/by-nc/4.0/" TargetMode="External"/><Relationship Id="rId6150" Type="http://schemas.openxmlformats.org/officeDocument/2006/relationships/hyperlink" Target="https://www.inaturalist.org/observations/334740761" TargetMode="External"/><Relationship Id="rId6151" Type="http://schemas.openxmlformats.org/officeDocument/2006/relationships/hyperlink" Target="https://www.inaturalist.org/people/chrisolea" TargetMode="External"/><Relationship Id="rId6152" Type="http://schemas.openxmlformats.org/officeDocument/2006/relationships/hyperlink" Target="https://creativecommons.org/licenses/by-nc/4.0/" TargetMode="External"/><Relationship Id="rId6153" Type="http://schemas.openxmlformats.org/officeDocument/2006/relationships/hyperlink" Target="https://www.inaturalist.org/observations/145906043" TargetMode="External"/><Relationship Id="rId6154" Type="http://schemas.openxmlformats.org/officeDocument/2006/relationships/hyperlink" Target="https://www.inaturalist.org/people/chrisolea" TargetMode="External"/><Relationship Id="rId6155" Type="http://schemas.openxmlformats.org/officeDocument/2006/relationships/hyperlink" Target="https://creativecommons.org/licenses/by-nc/4.0/" TargetMode="External"/><Relationship Id="rId6156" Type="http://schemas.openxmlformats.org/officeDocument/2006/relationships/hyperlink" Target="https://www.inaturalist.org/observations/145877006" TargetMode="External"/><Relationship Id="rId6157" Type="http://schemas.openxmlformats.org/officeDocument/2006/relationships/hyperlink" Target="https://www.inaturalist.org/people/chrisolea" TargetMode="External"/><Relationship Id="rId6158" Type="http://schemas.openxmlformats.org/officeDocument/2006/relationships/hyperlink" Target="https://creativecommons.org/licenses/by-nc/4.0/" TargetMode="External"/><Relationship Id="rId6159" Type="http://schemas.openxmlformats.org/officeDocument/2006/relationships/hyperlink" Target="https://www.inaturalist.org/observations/145876954" TargetMode="External"/><Relationship Id="rId6160" Type="http://schemas.openxmlformats.org/officeDocument/2006/relationships/hyperlink" Target="https://www.inaturalist.org/people/alexanderr" TargetMode="External"/><Relationship Id="rId6161" Type="http://schemas.openxmlformats.org/officeDocument/2006/relationships/hyperlink" Target="https://creativecommons.org/licenses/by-nc/4.0/" TargetMode="External"/><Relationship Id="rId6162" Type="http://schemas.openxmlformats.org/officeDocument/2006/relationships/hyperlink" Target="https://www.inaturalist.org/observations/334740761" TargetMode="External"/><Relationship Id="rId6163" Type="http://schemas.openxmlformats.org/officeDocument/2006/relationships/hyperlink" Target="https://www.inaturalist.org/people/catha_miranda-veliz" TargetMode="External"/><Relationship Id="rId6164" Type="http://schemas.openxmlformats.org/officeDocument/2006/relationships/hyperlink" Target="https://creativecommons.org/licenses/by-nc/4.0/" TargetMode="External"/><Relationship Id="rId6165" Type="http://schemas.openxmlformats.org/officeDocument/2006/relationships/hyperlink" Target="https://www.inaturalist.org/observations/141031268" TargetMode="External"/><Relationship Id="rId6166" Type="http://schemas.openxmlformats.org/officeDocument/2006/relationships/hyperlink" Target="https://www.inaturalist.org/people/bichorraro" TargetMode="External"/><Relationship Id="rId6167" Type="http://schemas.openxmlformats.org/officeDocument/2006/relationships/hyperlink" Target="https://creativecommons.org/licenses/by-nc/4.0/" TargetMode="External"/><Relationship Id="rId6168" Type="http://schemas.openxmlformats.org/officeDocument/2006/relationships/hyperlink" Target="https://www.inaturalist.org/observations/135612610" TargetMode="External"/><Relationship Id="rId6169" Type="http://schemas.openxmlformats.org/officeDocument/2006/relationships/hyperlink" Target="https://www.inaturalist.org/people/josfac" TargetMode="External"/><Relationship Id="rId6170" Type="http://schemas.openxmlformats.org/officeDocument/2006/relationships/hyperlink" Target="https://creativecommons.org/licenses/by-nc/4.0/" TargetMode="External"/><Relationship Id="rId6171" Type="http://schemas.openxmlformats.org/officeDocument/2006/relationships/hyperlink" Target="https://www.inaturalist.org/observations/131288359" TargetMode="External"/><Relationship Id="rId6172" Type="http://schemas.openxmlformats.org/officeDocument/2006/relationships/hyperlink" Target="https://www.inaturalist.org/people/dhandanot" TargetMode="External"/><Relationship Id="rId6173" Type="http://schemas.openxmlformats.org/officeDocument/2006/relationships/hyperlink" Target="https://creativecommons.org/licenses/by-nc/4.0/" TargetMode="External"/><Relationship Id="rId6174" Type="http://schemas.openxmlformats.org/officeDocument/2006/relationships/hyperlink" Target="https://www.inaturalist.org/observations/237838718" TargetMode="External"/><Relationship Id="rId6175" Type="http://schemas.openxmlformats.org/officeDocument/2006/relationships/hyperlink" Target="https://www.inaturalist.org/people/bastian_riveros" TargetMode="External"/><Relationship Id="rId6176" Type="http://schemas.openxmlformats.org/officeDocument/2006/relationships/hyperlink" Target="https://creativecommons.org/licenses/by-nc/4.0/" TargetMode="External"/><Relationship Id="rId6177" Type="http://schemas.openxmlformats.org/officeDocument/2006/relationships/hyperlink" Target="https://www.inaturalist.org/observations/130887882" TargetMode="External"/><Relationship Id="rId6178" Type="http://schemas.openxmlformats.org/officeDocument/2006/relationships/hyperlink" Target="https://www.inaturalist.org/people/francisco_eduardo" TargetMode="External"/><Relationship Id="rId6179" Type="http://schemas.openxmlformats.org/officeDocument/2006/relationships/hyperlink" Target="https://creativecommons.org/licenses/by-nc/4.0/" TargetMode="External"/><Relationship Id="rId6180" Type="http://schemas.openxmlformats.org/officeDocument/2006/relationships/hyperlink" Target="https://www.inaturalist.org/observations/138866474" TargetMode="External"/><Relationship Id="rId6181" Type="http://schemas.openxmlformats.org/officeDocument/2006/relationships/hyperlink" Target="https://www.inaturalist.org/people/quentinvdm" TargetMode="External"/><Relationship Id="rId6182" Type="http://schemas.openxmlformats.org/officeDocument/2006/relationships/hyperlink" Target="https://creativecommons.org/licenses/by-nc/4.0/" TargetMode="External"/><Relationship Id="rId6183" Type="http://schemas.openxmlformats.org/officeDocument/2006/relationships/hyperlink" Target="https://www.inaturalist.org/observations/326251491" TargetMode="External"/><Relationship Id="rId6184" Type="http://schemas.openxmlformats.org/officeDocument/2006/relationships/hyperlink" Target="https://www.inaturalist.org/people/lautarolrs" TargetMode="External"/><Relationship Id="rId6185" Type="http://schemas.openxmlformats.org/officeDocument/2006/relationships/hyperlink" Target="https://creativecommons.org/licenses/by-nc/4.0/" TargetMode="External"/><Relationship Id="rId6186" Type="http://schemas.openxmlformats.org/officeDocument/2006/relationships/hyperlink" Target="https://www.inaturalist.org/observations/320624246" TargetMode="External"/><Relationship Id="rId6187" Type="http://schemas.openxmlformats.org/officeDocument/2006/relationships/hyperlink" Target="https://www.inaturalist.org/people/hyla75" TargetMode="External"/><Relationship Id="rId6188" Type="http://schemas.openxmlformats.org/officeDocument/2006/relationships/hyperlink" Target="https://creativecommons.org/licenses/by-nc/4.0/" TargetMode="External"/><Relationship Id="rId6189" Type="http://schemas.openxmlformats.org/officeDocument/2006/relationships/hyperlink" Target="https://www.inaturalist.org/observations/319870482" TargetMode="External"/><Relationship Id="rId6190" Type="http://schemas.openxmlformats.org/officeDocument/2006/relationships/hyperlink" Target="https://www.inaturalist.org/people/alexx_21" TargetMode="External"/><Relationship Id="rId6191" Type="http://schemas.openxmlformats.org/officeDocument/2006/relationships/hyperlink" Target="https://creativecommons.org/licenses/by-nc/4.0/" TargetMode="External"/><Relationship Id="rId6192" Type="http://schemas.openxmlformats.org/officeDocument/2006/relationships/hyperlink" Target="https://www.inaturalist.org/observations/270539295" TargetMode="External"/><Relationship Id="rId6193" Type="http://schemas.openxmlformats.org/officeDocument/2006/relationships/hyperlink" Target="https://www.inaturalist.org/people/portagonia" TargetMode="External"/><Relationship Id="rId6194" Type="http://schemas.openxmlformats.org/officeDocument/2006/relationships/hyperlink" Target="https://creativecommons.org/licenses/by-nc/4.0/" TargetMode="External"/><Relationship Id="rId6195" Type="http://schemas.openxmlformats.org/officeDocument/2006/relationships/hyperlink" Target="https://www.inaturalist.org/observations/266167956" TargetMode="External"/><Relationship Id="rId6196" Type="http://schemas.openxmlformats.org/officeDocument/2006/relationships/hyperlink" Target="https://www.inaturalist.org/people/portagonia" TargetMode="External"/><Relationship Id="rId6197" Type="http://schemas.openxmlformats.org/officeDocument/2006/relationships/hyperlink" Target="https://creativecommons.org/licenses/by-nc/4.0/" TargetMode="External"/><Relationship Id="rId6198" Type="http://schemas.openxmlformats.org/officeDocument/2006/relationships/hyperlink" Target="https://www.inaturalist.org/observations/265000355" TargetMode="External"/><Relationship Id="rId6199" Type="http://schemas.openxmlformats.org/officeDocument/2006/relationships/hyperlink" Target="https://www.inaturalist.org/people/ben_rittner" TargetMode="External"/><Relationship Id="rId6200" Type="http://schemas.openxmlformats.org/officeDocument/2006/relationships/hyperlink" Target="https://creativecommons.org/licenses/by-nc/4.0/" TargetMode="External"/><Relationship Id="rId6201" Type="http://schemas.openxmlformats.org/officeDocument/2006/relationships/hyperlink" Target="https://www.inaturalist.org/observations/258959915" TargetMode="External"/><Relationship Id="rId6202" Type="http://schemas.openxmlformats.org/officeDocument/2006/relationships/hyperlink" Target="https://www.inaturalist.org/people/tinchobrogger" TargetMode="External"/><Relationship Id="rId6203" Type="http://schemas.openxmlformats.org/officeDocument/2006/relationships/hyperlink" Target="https://creativecommons.org/licenses/by-nc/4.0/" TargetMode="External"/><Relationship Id="rId6204" Type="http://schemas.openxmlformats.org/officeDocument/2006/relationships/hyperlink" Target="https://www.inaturalist.org/observations/204724691" TargetMode="External"/><Relationship Id="rId6205" Type="http://schemas.openxmlformats.org/officeDocument/2006/relationships/hyperlink" Target="https://www.inaturalist.org/people/tinchobrogger" TargetMode="External"/><Relationship Id="rId6206" Type="http://schemas.openxmlformats.org/officeDocument/2006/relationships/hyperlink" Target="https://creativecommons.org/licenses/by-nc/4.0/" TargetMode="External"/><Relationship Id="rId6207" Type="http://schemas.openxmlformats.org/officeDocument/2006/relationships/hyperlink" Target="https://www.inaturalist.org/observations/204724691" TargetMode="External"/><Relationship Id="rId6208" Type="http://schemas.openxmlformats.org/officeDocument/2006/relationships/hyperlink" Target="https://www.inaturalist.org/people/fiorella_buglione" TargetMode="External"/><Relationship Id="rId6209" Type="http://schemas.openxmlformats.org/officeDocument/2006/relationships/hyperlink" Target="https://creativecommons.org/licenses/by-nc/4.0/" TargetMode="External"/><Relationship Id="rId6210" Type="http://schemas.openxmlformats.org/officeDocument/2006/relationships/hyperlink" Target="https://www.inaturalist.org/observations/204442719" TargetMode="External"/><Relationship Id="rId6211" Type="http://schemas.openxmlformats.org/officeDocument/2006/relationships/hyperlink" Target="https://www.inaturalist.org/people/charly_romeo43" TargetMode="External"/><Relationship Id="rId6212" Type="http://schemas.openxmlformats.org/officeDocument/2006/relationships/hyperlink" Target="https://creativecommons.org/licenses/by-nc/4.0/" TargetMode="External"/><Relationship Id="rId6213" Type="http://schemas.openxmlformats.org/officeDocument/2006/relationships/hyperlink" Target="https://www.inaturalist.org/observations/203340308" TargetMode="External"/><Relationship Id="rId6214" Type="http://schemas.openxmlformats.org/officeDocument/2006/relationships/hyperlink" Target="https://www.inaturalist.org/people/brianhof" TargetMode="External"/><Relationship Id="rId6215" Type="http://schemas.openxmlformats.org/officeDocument/2006/relationships/hyperlink" Target="https://creativecommons.org/licenses/by-nc/4.0/" TargetMode="External"/><Relationship Id="rId6216" Type="http://schemas.openxmlformats.org/officeDocument/2006/relationships/hyperlink" Target="https://www.inaturalist.org/observations/199907740" TargetMode="External"/><Relationship Id="rId6217" Type="http://schemas.openxmlformats.org/officeDocument/2006/relationships/hyperlink" Target="https://www.inaturalist.org/people/alexx_21" TargetMode="External"/><Relationship Id="rId6218" Type="http://schemas.openxmlformats.org/officeDocument/2006/relationships/hyperlink" Target="https://creativecommons.org/licenses/by-nc/4.0/" TargetMode="External"/><Relationship Id="rId6219" Type="http://schemas.openxmlformats.org/officeDocument/2006/relationships/hyperlink" Target="https://www.inaturalist.org/observations/199799202" TargetMode="External"/><Relationship Id="rId6220" Type="http://schemas.openxmlformats.org/officeDocument/2006/relationships/hyperlink" Target="https://www.inaturalist.org/people/michelledelaloye" TargetMode="External"/><Relationship Id="rId6221" Type="http://schemas.openxmlformats.org/officeDocument/2006/relationships/hyperlink" Target="https://creativecommons.org/licenses/by-nc/4.0/" TargetMode="External"/><Relationship Id="rId6222" Type="http://schemas.openxmlformats.org/officeDocument/2006/relationships/hyperlink" Target="https://www.inaturalist.org/observations/198534647" TargetMode="External"/><Relationship Id="rId6223" Type="http://schemas.openxmlformats.org/officeDocument/2006/relationships/hyperlink" Target="https://www.inaturalist.org/people/mthiel" TargetMode="External"/><Relationship Id="rId6224" Type="http://schemas.openxmlformats.org/officeDocument/2006/relationships/hyperlink" Target="https://creativecommons.org/licenses/by-nc/4.0/" TargetMode="External"/><Relationship Id="rId6225" Type="http://schemas.openxmlformats.org/officeDocument/2006/relationships/hyperlink" Target="https://www.inaturalist.org/observations/198097215" TargetMode="External"/><Relationship Id="rId6226" Type="http://schemas.openxmlformats.org/officeDocument/2006/relationships/hyperlink" Target="https://www.inaturalist.org/people/mthiel" TargetMode="External"/><Relationship Id="rId6227" Type="http://schemas.openxmlformats.org/officeDocument/2006/relationships/hyperlink" Target="https://creativecommons.org/licenses/by-nc/4.0/" TargetMode="External"/><Relationship Id="rId6228" Type="http://schemas.openxmlformats.org/officeDocument/2006/relationships/hyperlink" Target="https://www.inaturalist.org/observations/198097215" TargetMode="External"/><Relationship Id="rId6229" Type="http://schemas.openxmlformats.org/officeDocument/2006/relationships/hyperlink" Target="https://www.inaturalist.org/people/kurtrademacher" TargetMode="External"/><Relationship Id="rId6230" Type="http://schemas.openxmlformats.org/officeDocument/2006/relationships/hyperlink" Target="https://creativecommons.org/licenses/by-nc/4.0/" TargetMode="External"/><Relationship Id="rId6231" Type="http://schemas.openxmlformats.org/officeDocument/2006/relationships/hyperlink" Target="https://www.inaturalist.org/observations/195349590" TargetMode="External"/><Relationship Id="rId6232" Type="http://schemas.openxmlformats.org/officeDocument/2006/relationships/hyperlink" Target="https://www.inaturalist.org/people/jacquescousteau2" TargetMode="External"/><Relationship Id="rId6233" Type="http://schemas.openxmlformats.org/officeDocument/2006/relationships/hyperlink" Target="https://creativecommons.org/licenses/by-nc/4.0/" TargetMode="External"/><Relationship Id="rId6234" Type="http://schemas.openxmlformats.org/officeDocument/2006/relationships/hyperlink" Target="https://www.inaturalist.org/observations/193674837" TargetMode="External"/><Relationship Id="rId6235" Type="http://schemas.openxmlformats.org/officeDocument/2006/relationships/hyperlink" Target="https://www.inaturalist.org/people/jacquescousteau2" TargetMode="External"/><Relationship Id="rId6236" Type="http://schemas.openxmlformats.org/officeDocument/2006/relationships/hyperlink" Target="https://creativecommons.org/licenses/by-nc/4.0/" TargetMode="External"/><Relationship Id="rId6237" Type="http://schemas.openxmlformats.org/officeDocument/2006/relationships/hyperlink" Target="https://www.inaturalist.org/observations/193674837" TargetMode="External"/><Relationship Id="rId6238" Type="http://schemas.openxmlformats.org/officeDocument/2006/relationships/hyperlink" Target="https://www.inaturalist.org/people/iprocheret" TargetMode="External"/><Relationship Id="rId6239" Type="http://schemas.openxmlformats.org/officeDocument/2006/relationships/hyperlink" Target="https://creativecommons.org/licenses/by-nc/4.0/" TargetMode="External"/><Relationship Id="rId6240" Type="http://schemas.openxmlformats.org/officeDocument/2006/relationships/hyperlink" Target="https://www.inaturalist.org/observations/191283288" TargetMode="External"/><Relationship Id="rId6241" Type="http://schemas.openxmlformats.org/officeDocument/2006/relationships/hyperlink" Target="https://www.inaturalist.org/people/sofiaseg" TargetMode="External"/><Relationship Id="rId6242" Type="http://schemas.openxmlformats.org/officeDocument/2006/relationships/hyperlink" Target="https://creativecommons.org/licenses/by-nc/4.0/" TargetMode="External"/><Relationship Id="rId6243" Type="http://schemas.openxmlformats.org/officeDocument/2006/relationships/hyperlink" Target="https://www.inaturalist.org/observations/181650327" TargetMode="External"/><Relationship Id="rId6244" Type="http://schemas.openxmlformats.org/officeDocument/2006/relationships/hyperlink" Target="https://www.inaturalist.org/people/leomiskoff" TargetMode="External"/><Relationship Id="rId6245" Type="http://schemas.openxmlformats.org/officeDocument/2006/relationships/hyperlink" Target="https://creativecommons.org/licenses/by-nc/4.0/" TargetMode="External"/><Relationship Id="rId6246" Type="http://schemas.openxmlformats.org/officeDocument/2006/relationships/hyperlink" Target="https://www.inaturalist.org/observations/148694524" TargetMode="External"/><Relationship Id="rId6247" Type="http://schemas.openxmlformats.org/officeDocument/2006/relationships/hyperlink" Target="https://www.inaturalist.org/people/pablisola" TargetMode="External"/><Relationship Id="rId6248" Type="http://schemas.openxmlformats.org/officeDocument/2006/relationships/hyperlink" Target="https://creativecommons.org/licenses/by-nc/4.0/" TargetMode="External"/><Relationship Id="rId6249" Type="http://schemas.openxmlformats.org/officeDocument/2006/relationships/hyperlink" Target="https://www.inaturalist.org/observations/147076741" TargetMode="External"/><Relationship Id="rId6250" Type="http://schemas.openxmlformats.org/officeDocument/2006/relationships/hyperlink" Target="https://www.inaturalist.org/people/raul_horacio_mak" TargetMode="External"/><Relationship Id="rId6251" Type="http://schemas.openxmlformats.org/officeDocument/2006/relationships/hyperlink" Target="https://creativecommons.org/licenses/by-nc/4.0/" TargetMode="External"/><Relationship Id="rId6252" Type="http://schemas.openxmlformats.org/officeDocument/2006/relationships/hyperlink" Target="https://www.inaturalist.org/observations/144154251" TargetMode="External"/><Relationship Id="rId6253" Type="http://schemas.openxmlformats.org/officeDocument/2006/relationships/hyperlink" Target="https://www.inaturalist.org/people/facundovarelab" TargetMode="External"/><Relationship Id="rId6254" Type="http://schemas.openxmlformats.org/officeDocument/2006/relationships/hyperlink" Target="https://creativecommons.org/licenses/by-nc/4.0/" TargetMode="External"/><Relationship Id="rId6255" Type="http://schemas.openxmlformats.org/officeDocument/2006/relationships/hyperlink" Target="https://www.inaturalist.org/observations/142907225" TargetMode="External"/><Relationship Id="rId6256" Type="http://schemas.openxmlformats.org/officeDocument/2006/relationships/hyperlink" Target="https://www.inaturalist.org/people/viole2309" TargetMode="External"/><Relationship Id="rId6257" Type="http://schemas.openxmlformats.org/officeDocument/2006/relationships/hyperlink" Target="https://creativecommons.org/licenses/by-nc/4.0/" TargetMode="External"/><Relationship Id="rId6258" Type="http://schemas.openxmlformats.org/officeDocument/2006/relationships/hyperlink" Target="https://www.inaturalist.org/observations/142288400" TargetMode="External"/><Relationship Id="rId6259" Type="http://schemas.openxmlformats.org/officeDocument/2006/relationships/hyperlink" Target="https://www.inaturalist.org/people/viole2309" TargetMode="External"/><Relationship Id="rId6260" Type="http://schemas.openxmlformats.org/officeDocument/2006/relationships/hyperlink" Target="https://creativecommons.org/licenses/by-nc/4.0/" TargetMode="External"/><Relationship Id="rId6261" Type="http://schemas.openxmlformats.org/officeDocument/2006/relationships/hyperlink" Target="https://www.inaturalist.org/observations/142288400" TargetMode="External"/><Relationship Id="rId6262" Type="http://schemas.openxmlformats.org/officeDocument/2006/relationships/hyperlink" Target="https://www.inaturalist.org/people/viole2309" TargetMode="External"/><Relationship Id="rId6263" Type="http://schemas.openxmlformats.org/officeDocument/2006/relationships/hyperlink" Target="https://creativecommons.org/licenses/by-nc/4.0/" TargetMode="External"/><Relationship Id="rId6264" Type="http://schemas.openxmlformats.org/officeDocument/2006/relationships/hyperlink" Target="https://www.inaturalist.org/observations/138504707" TargetMode="External"/><Relationship Id="rId6265" Type="http://schemas.openxmlformats.org/officeDocument/2006/relationships/hyperlink" Target="https://www.inaturalist.org/people/viole2309" TargetMode="External"/><Relationship Id="rId6266" Type="http://schemas.openxmlformats.org/officeDocument/2006/relationships/hyperlink" Target="https://creativecommons.org/licenses/by-nc/4.0/" TargetMode="External"/><Relationship Id="rId6267" Type="http://schemas.openxmlformats.org/officeDocument/2006/relationships/hyperlink" Target="https://www.inaturalist.org/observations/138504707" TargetMode="External"/><Relationship Id="rId6268" Type="http://schemas.openxmlformats.org/officeDocument/2006/relationships/hyperlink" Target="https://www.inaturalist.org/people/viole2309" TargetMode="External"/><Relationship Id="rId6269" Type="http://schemas.openxmlformats.org/officeDocument/2006/relationships/hyperlink" Target="https://creativecommons.org/licenses/by-nc/4.0/" TargetMode="External"/><Relationship Id="rId6270" Type="http://schemas.openxmlformats.org/officeDocument/2006/relationships/hyperlink" Target="https://www.inaturalist.org/observations/138504573" TargetMode="External"/><Relationship Id="rId6271" Type="http://schemas.openxmlformats.org/officeDocument/2006/relationships/hyperlink" Target="https://www.inaturalist.org/people/viole2309" TargetMode="External"/><Relationship Id="rId6272" Type="http://schemas.openxmlformats.org/officeDocument/2006/relationships/hyperlink" Target="https://creativecommons.org/licenses/by-nc/4.0/" TargetMode="External"/><Relationship Id="rId6273" Type="http://schemas.openxmlformats.org/officeDocument/2006/relationships/hyperlink" Target="https://www.inaturalist.org/observations/138504573" TargetMode="External"/><Relationship Id="rId6274" Type="http://schemas.openxmlformats.org/officeDocument/2006/relationships/hyperlink" Target="https://www.inaturalist.org/people/viole2309" TargetMode="External"/><Relationship Id="rId6275" Type="http://schemas.openxmlformats.org/officeDocument/2006/relationships/hyperlink" Target="https://creativecommons.org/licenses/by-nc/4.0/" TargetMode="External"/><Relationship Id="rId6276" Type="http://schemas.openxmlformats.org/officeDocument/2006/relationships/hyperlink" Target="https://www.inaturalist.org/observations/138504573" TargetMode="External"/><Relationship Id="rId6277" Type="http://schemas.openxmlformats.org/officeDocument/2006/relationships/hyperlink" Target="https://www.inaturalist.org/people/ah3315" TargetMode="External"/><Relationship Id="rId6278" Type="http://schemas.openxmlformats.org/officeDocument/2006/relationships/hyperlink" Target="https://creativecommons.org/licenses/by-nc/4.0/" TargetMode="External"/><Relationship Id="rId6279" Type="http://schemas.openxmlformats.org/officeDocument/2006/relationships/hyperlink" Target="https://www.inaturalist.org/observations/373556492" TargetMode="External"/><Relationship Id="rId6280" Type="http://schemas.openxmlformats.org/officeDocument/2006/relationships/hyperlink" Target="https://www.inaturalist.org/people/mangoverde" TargetMode="External"/><Relationship Id="rId6281" Type="http://schemas.openxmlformats.org/officeDocument/2006/relationships/hyperlink" Target="https://creativecommons.org/licenses/by-nc/4.0/" TargetMode="External"/><Relationship Id="rId6282" Type="http://schemas.openxmlformats.org/officeDocument/2006/relationships/hyperlink" Target="https://www.inaturalist.org/observations/340501956" TargetMode="External"/><Relationship Id="rId6283" Type="http://schemas.openxmlformats.org/officeDocument/2006/relationships/hyperlink" Target="https://www.inaturalist.org/people/mangoverde" TargetMode="External"/><Relationship Id="rId6284" Type="http://schemas.openxmlformats.org/officeDocument/2006/relationships/hyperlink" Target="https://creativecommons.org/licenses/by-nc/4.0/" TargetMode="External"/><Relationship Id="rId6285" Type="http://schemas.openxmlformats.org/officeDocument/2006/relationships/hyperlink" Target="https://www.inaturalist.org/observations/339557169" TargetMode="External"/><Relationship Id="rId6286" Type="http://schemas.openxmlformats.org/officeDocument/2006/relationships/hyperlink" Target="https://creativecommons.org/licenses/by-nc/4.0/" TargetMode="External"/><Relationship Id="rId6287" Type="http://schemas.openxmlformats.org/officeDocument/2006/relationships/hyperlink" Target="https://www.inaturalist.org/observations/382587793" TargetMode="External"/><Relationship Id="rId6288" Type="http://schemas.openxmlformats.org/officeDocument/2006/relationships/hyperlink" Target="https://creativecommons.org/licenses/by-nc/4.0/" TargetMode="External"/><Relationship Id="rId6289" Type="http://schemas.openxmlformats.org/officeDocument/2006/relationships/hyperlink" Target="https://www.inaturalist.org/observations/382162651" TargetMode="External"/><Relationship Id="rId6290" Type="http://schemas.openxmlformats.org/officeDocument/2006/relationships/hyperlink" Target="https://creativecommons.org/licenses/by-nc/4.0/" TargetMode="External"/><Relationship Id="rId6291" Type="http://schemas.openxmlformats.org/officeDocument/2006/relationships/hyperlink" Target="https://www.inaturalist.org/observations/380892697" TargetMode="External"/><Relationship Id="rId6292" Type="http://schemas.openxmlformats.org/officeDocument/2006/relationships/hyperlink" Target="https://creativecommons.org/licenses/by-nc/4.0/" TargetMode="External"/><Relationship Id="rId6293" Type="http://schemas.openxmlformats.org/officeDocument/2006/relationships/hyperlink" Target="https://www.inaturalist.org/observations/380886054" TargetMode="External"/><Relationship Id="rId6294" Type="http://schemas.openxmlformats.org/officeDocument/2006/relationships/hyperlink" Target="https://creativecommons.org/licenses/by-nc/4.0/" TargetMode="External"/><Relationship Id="rId6295" Type="http://schemas.openxmlformats.org/officeDocument/2006/relationships/hyperlink" Target="https://www.inaturalist.org/observations/377866794" TargetMode="External"/><Relationship Id="rId6296" Type="http://schemas.openxmlformats.org/officeDocument/2006/relationships/hyperlink" Target="https://creativecommons.org/licenses/by-nc/4.0/" TargetMode="External"/><Relationship Id="rId6297" Type="http://schemas.openxmlformats.org/officeDocument/2006/relationships/hyperlink" Target="https://www.inaturalist.org/observations/377866758" TargetMode="External"/><Relationship Id="rId6298" Type="http://schemas.openxmlformats.org/officeDocument/2006/relationships/hyperlink" Target="https://creativecommons.org/licenses/by-nc/4.0/" TargetMode="External"/><Relationship Id="rId6299" Type="http://schemas.openxmlformats.org/officeDocument/2006/relationships/hyperlink" Target="https://www.inaturalist.org/observations/377632099" TargetMode="External"/><Relationship Id="rId6300" Type="http://schemas.openxmlformats.org/officeDocument/2006/relationships/hyperlink" Target="https://creativecommons.org/licenses/by-nc/4.0/" TargetMode="External"/><Relationship Id="rId6301" Type="http://schemas.openxmlformats.org/officeDocument/2006/relationships/hyperlink" Target="https://www.inaturalist.org/observations/376625800" TargetMode="External"/><Relationship Id="rId6302" Type="http://schemas.openxmlformats.org/officeDocument/2006/relationships/hyperlink" Target="https://creativecommons.org/licenses/by-nc/4.0/" TargetMode="External"/><Relationship Id="rId6303" Type="http://schemas.openxmlformats.org/officeDocument/2006/relationships/hyperlink" Target="https://www.inaturalist.org/observations/376046898" TargetMode="External"/><Relationship Id="rId6304" Type="http://schemas.openxmlformats.org/officeDocument/2006/relationships/hyperlink" Target="https://creativecommons.org/licenses/by-nc/4.0/" TargetMode="External"/><Relationship Id="rId6305" Type="http://schemas.openxmlformats.org/officeDocument/2006/relationships/hyperlink" Target="https://www.inaturalist.org/observations/376034885" TargetMode="External"/><Relationship Id="rId6306" Type="http://schemas.openxmlformats.org/officeDocument/2006/relationships/hyperlink" Target="https://creativecommons.org/licenses/by-nc/4.0/" TargetMode="External"/><Relationship Id="rId6307" Type="http://schemas.openxmlformats.org/officeDocument/2006/relationships/hyperlink" Target="https://www.inaturalist.org/observations/375721990" TargetMode="External"/><Relationship Id="rId6308" Type="http://schemas.openxmlformats.org/officeDocument/2006/relationships/hyperlink" Target="https://creativecommons.org/licenses/by-nc/4.0/" TargetMode="External"/><Relationship Id="rId6309" Type="http://schemas.openxmlformats.org/officeDocument/2006/relationships/hyperlink" Target="https://www.inaturalist.org/observations/375645833" TargetMode="External"/><Relationship Id="rId6310" Type="http://schemas.openxmlformats.org/officeDocument/2006/relationships/hyperlink" Target="https://creativecommons.org/licenses/by-nc/4.0/" TargetMode="External"/><Relationship Id="rId6311" Type="http://schemas.openxmlformats.org/officeDocument/2006/relationships/hyperlink" Target="https://www.inaturalist.org/observations/375404150" TargetMode="External"/><Relationship Id="rId6312" Type="http://schemas.openxmlformats.org/officeDocument/2006/relationships/hyperlink" Target="https://creativecommons.org/licenses/by-nc/4.0/" TargetMode="External"/><Relationship Id="rId6313" Type="http://schemas.openxmlformats.org/officeDocument/2006/relationships/hyperlink" Target="https://www.inaturalist.org/observations/374575773" TargetMode="External"/><Relationship Id="rId6314" Type="http://schemas.openxmlformats.org/officeDocument/2006/relationships/hyperlink" Target="https://creativecommons.org/licenses/by-nc/4.0/" TargetMode="External"/><Relationship Id="rId6315" Type="http://schemas.openxmlformats.org/officeDocument/2006/relationships/hyperlink" Target="https://www.inaturalist.org/observations/373793762" TargetMode="External"/><Relationship Id="rId6316" Type="http://schemas.openxmlformats.org/officeDocument/2006/relationships/hyperlink" Target="https://creativecommons.org/licenses/by-nc/4.0/" TargetMode="External"/><Relationship Id="rId6317" Type="http://schemas.openxmlformats.org/officeDocument/2006/relationships/hyperlink" Target="https://www.inaturalist.org/observations/373793514" TargetMode="External"/><Relationship Id="rId6318" Type="http://schemas.openxmlformats.org/officeDocument/2006/relationships/hyperlink" Target="https://creativecommons.org/licenses/by-nc/4.0/" TargetMode="External"/><Relationship Id="rId6319" Type="http://schemas.openxmlformats.org/officeDocument/2006/relationships/hyperlink" Target="https://www.inaturalist.org/observations/373431692" TargetMode="External"/><Relationship Id="rId6320" Type="http://schemas.openxmlformats.org/officeDocument/2006/relationships/hyperlink" Target="https://creativecommons.org/licenses/by-nc/4.0/" TargetMode="External"/><Relationship Id="rId6321" Type="http://schemas.openxmlformats.org/officeDocument/2006/relationships/hyperlink" Target="https://www.inaturalist.org/observations/373422009" TargetMode="External"/><Relationship Id="rId6322" Type="http://schemas.openxmlformats.org/officeDocument/2006/relationships/hyperlink" Target="https://creativecommons.org/licenses/by-nc/4.0/" TargetMode="External"/><Relationship Id="rId6323" Type="http://schemas.openxmlformats.org/officeDocument/2006/relationships/hyperlink" Target="https://www.inaturalist.org/observations/373070508" TargetMode="External"/><Relationship Id="rId6324" Type="http://schemas.openxmlformats.org/officeDocument/2006/relationships/hyperlink" Target="https://creativecommons.org/licenses/by-nc/4.0/" TargetMode="External"/><Relationship Id="rId6325" Type="http://schemas.openxmlformats.org/officeDocument/2006/relationships/hyperlink" Target="https://www.inaturalist.org/observations/372014431" TargetMode="External"/><Relationship Id="rId6326" Type="http://schemas.openxmlformats.org/officeDocument/2006/relationships/hyperlink" Target="https://creativecommons.org/licenses/by-nc/4.0/" TargetMode="External"/><Relationship Id="rId6327" Type="http://schemas.openxmlformats.org/officeDocument/2006/relationships/hyperlink" Target="https://www.inaturalist.org/observations/371372452" TargetMode="External"/><Relationship Id="rId6328" Type="http://schemas.openxmlformats.org/officeDocument/2006/relationships/hyperlink" Target="https://creativecommons.org/licenses/by-nc/4.0/" TargetMode="External"/><Relationship Id="rId6329" Type="http://schemas.openxmlformats.org/officeDocument/2006/relationships/hyperlink" Target="https://www.inaturalist.org/observations/370765632" TargetMode="External"/><Relationship Id="rId6330" Type="http://schemas.openxmlformats.org/officeDocument/2006/relationships/hyperlink" Target="https://creativecommons.org/licenses/by-nc/4.0/" TargetMode="External"/><Relationship Id="rId6331" Type="http://schemas.openxmlformats.org/officeDocument/2006/relationships/hyperlink" Target="https://www.inaturalist.org/observations/370765631" TargetMode="External"/><Relationship Id="rId6332" Type="http://schemas.openxmlformats.org/officeDocument/2006/relationships/hyperlink" Target="https://creativecommons.org/licenses/by-nc/4.0/" TargetMode="External"/><Relationship Id="rId6333" Type="http://schemas.openxmlformats.org/officeDocument/2006/relationships/hyperlink" Target="https://www.inaturalist.org/observations/370378247" TargetMode="External"/><Relationship Id="rId6334" Type="http://schemas.openxmlformats.org/officeDocument/2006/relationships/hyperlink" Target="https://creativecommons.org/licenses/by-nc/4.0/" TargetMode="External"/><Relationship Id="rId6335" Type="http://schemas.openxmlformats.org/officeDocument/2006/relationships/hyperlink" Target="https://www.inaturalist.org/observations/369043048" TargetMode="External"/><Relationship Id="rId6336" Type="http://schemas.openxmlformats.org/officeDocument/2006/relationships/hyperlink" Target="https://creativecommons.org/licenses/by-nc/4.0/" TargetMode="External"/><Relationship Id="rId6337" Type="http://schemas.openxmlformats.org/officeDocument/2006/relationships/hyperlink" Target="https://www.inaturalist.org/observations/367704738" TargetMode="External"/><Relationship Id="rId6338" Type="http://schemas.openxmlformats.org/officeDocument/2006/relationships/hyperlink" Target="https://creativecommons.org/licenses/by-nc/4.0/" TargetMode="External"/><Relationship Id="rId6339" Type="http://schemas.openxmlformats.org/officeDocument/2006/relationships/hyperlink" Target="https://www.inaturalist.org/observations/366158002" TargetMode="External"/><Relationship Id="rId6340" Type="http://schemas.openxmlformats.org/officeDocument/2006/relationships/hyperlink" Target="https://creativecommons.org/licenses/by-nc/4.0/" TargetMode="External"/><Relationship Id="rId6341" Type="http://schemas.openxmlformats.org/officeDocument/2006/relationships/hyperlink" Target="https://www.inaturalist.org/observations/365167091" TargetMode="External"/><Relationship Id="rId6342" Type="http://schemas.openxmlformats.org/officeDocument/2006/relationships/hyperlink" Target="https://creativecommons.org/licenses/by-nc/4.0/" TargetMode="External"/><Relationship Id="rId6343" Type="http://schemas.openxmlformats.org/officeDocument/2006/relationships/hyperlink" Target="https://www.inaturalist.org/observations/360901610" TargetMode="External"/><Relationship Id="rId6344" Type="http://schemas.openxmlformats.org/officeDocument/2006/relationships/hyperlink" Target="https://creativecommons.org/licenses/by-nc/4.0/" TargetMode="External"/><Relationship Id="rId6345" Type="http://schemas.openxmlformats.org/officeDocument/2006/relationships/hyperlink" Target="https://www.inaturalist.org/observations/355510143" TargetMode="External"/><Relationship Id="rId6346" Type="http://schemas.openxmlformats.org/officeDocument/2006/relationships/hyperlink" Target="https://creativecommons.org/licenses/by-nc/4.0/" TargetMode="External"/><Relationship Id="rId6347" Type="http://schemas.openxmlformats.org/officeDocument/2006/relationships/hyperlink" Target="https://www.inaturalist.org/observations/352241945" TargetMode="External"/><Relationship Id="rId6348" Type="http://schemas.openxmlformats.org/officeDocument/2006/relationships/hyperlink" Target="https://creativecommons.org/licenses/by-nc/4.0/" TargetMode="External"/><Relationship Id="rId6349" Type="http://schemas.openxmlformats.org/officeDocument/2006/relationships/hyperlink" Target="https://www.inaturalist.org/observations/350672345" TargetMode="External"/><Relationship Id="rId6350" Type="http://schemas.openxmlformats.org/officeDocument/2006/relationships/hyperlink" Target="https://creativecommons.org/licenses/by-nc/4.0/" TargetMode="External"/><Relationship Id="rId6351" Type="http://schemas.openxmlformats.org/officeDocument/2006/relationships/hyperlink" Target="https://www.inaturalist.org/observations/350455727" TargetMode="External"/><Relationship Id="rId6352" Type="http://schemas.openxmlformats.org/officeDocument/2006/relationships/hyperlink" Target="https://creativecommons.org/licenses/by-nc/4.0/" TargetMode="External"/><Relationship Id="rId6353" Type="http://schemas.openxmlformats.org/officeDocument/2006/relationships/hyperlink" Target="https://www.inaturalist.org/observations/348797556" TargetMode="External"/><Relationship Id="rId6354" Type="http://schemas.openxmlformats.org/officeDocument/2006/relationships/hyperlink" Target="https://creativecommons.org/licenses/by-nc/4.0/" TargetMode="External"/><Relationship Id="rId6355" Type="http://schemas.openxmlformats.org/officeDocument/2006/relationships/hyperlink" Target="https://www.inaturalist.org/observations/347975169" TargetMode="External"/><Relationship Id="rId6356" Type="http://schemas.openxmlformats.org/officeDocument/2006/relationships/hyperlink" Target="https://creativecommons.org/licenses/by-nc/4.0/" TargetMode="External"/><Relationship Id="rId6357" Type="http://schemas.openxmlformats.org/officeDocument/2006/relationships/hyperlink" Target="https://www.inaturalist.org/observations/382636478" TargetMode="External"/><Relationship Id="rId6358" Type="http://schemas.openxmlformats.org/officeDocument/2006/relationships/hyperlink" Target="https://creativecommons.org/licenses/by-nc/4.0/" TargetMode="External"/><Relationship Id="rId6359" Type="http://schemas.openxmlformats.org/officeDocument/2006/relationships/hyperlink" Target="https://www.inaturalist.org/observations/382407507" TargetMode="External"/><Relationship Id="rId6360" Type="http://schemas.openxmlformats.org/officeDocument/2006/relationships/hyperlink" Target="https://creativecommons.org/licenses/by-nc/4.0/" TargetMode="External"/><Relationship Id="rId6361" Type="http://schemas.openxmlformats.org/officeDocument/2006/relationships/hyperlink" Target="https://www.inaturalist.org/observations/382301192" TargetMode="External"/><Relationship Id="rId6362" Type="http://schemas.openxmlformats.org/officeDocument/2006/relationships/hyperlink" Target="https://creativecommons.org/licenses/by-nc/4.0/" TargetMode="External"/><Relationship Id="rId6363" Type="http://schemas.openxmlformats.org/officeDocument/2006/relationships/hyperlink" Target="https://www.inaturalist.org/observations/382163402" TargetMode="External"/><Relationship Id="rId6364" Type="http://schemas.openxmlformats.org/officeDocument/2006/relationships/hyperlink" Target="https://creativecommons.org/licenses/by-nc/4.0/" TargetMode="External"/><Relationship Id="rId6365" Type="http://schemas.openxmlformats.org/officeDocument/2006/relationships/hyperlink" Target="https://www.inaturalist.org/observations/381980235" TargetMode="External"/><Relationship Id="rId6366" Type="http://schemas.openxmlformats.org/officeDocument/2006/relationships/hyperlink" Target="https://creativecommons.org/licenses/by-nc/4.0/" TargetMode="External"/><Relationship Id="rId6367" Type="http://schemas.openxmlformats.org/officeDocument/2006/relationships/hyperlink" Target="https://www.inaturalist.org/observations/381871514" TargetMode="External"/><Relationship Id="rId6368" Type="http://schemas.openxmlformats.org/officeDocument/2006/relationships/hyperlink" Target="https://creativecommons.org/licenses/by-nc/4.0/" TargetMode="External"/><Relationship Id="rId6369" Type="http://schemas.openxmlformats.org/officeDocument/2006/relationships/hyperlink" Target="https://www.inaturalist.org/observations/381846526" TargetMode="External"/><Relationship Id="rId6370" Type="http://schemas.openxmlformats.org/officeDocument/2006/relationships/hyperlink" Target="https://creativecommons.org/licenses/by-nc/4.0/" TargetMode="External"/><Relationship Id="rId6371" Type="http://schemas.openxmlformats.org/officeDocument/2006/relationships/hyperlink" Target="https://www.inaturalist.org/observations/380623894" TargetMode="External"/><Relationship Id="rId6372" Type="http://schemas.openxmlformats.org/officeDocument/2006/relationships/hyperlink" Target="https://creativecommons.org/licenses/by-nc/4.0/" TargetMode="External"/><Relationship Id="rId6373" Type="http://schemas.openxmlformats.org/officeDocument/2006/relationships/hyperlink" Target="https://www.inaturalist.org/observations/380557466" TargetMode="External"/><Relationship Id="rId6374" Type="http://schemas.openxmlformats.org/officeDocument/2006/relationships/hyperlink" Target="https://creativecommons.org/licenses/by-nc/4.0/" TargetMode="External"/><Relationship Id="rId6375" Type="http://schemas.openxmlformats.org/officeDocument/2006/relationships/hyperlink" Target="https://www.inaturalist.org/observations/380536462" TargetMode="External"/><Relationship Id="rId6376" Type="http://schemas.openxmlformats.org/officeDocument/2006/relationships/hyperlink" Target="https://creativecommons.org/licenses/by-nc/4.0/" TargetMode="External"/><Relationship Id="rId6377" Type="http://schemas.openxmlformats.org/officeDocument/2006/relationships/hyperlink" Target="https://www.inaturalist.org/observations/380519116" TargetMode="External"/><Relationship Id="rId6378" Type="http://schemas.openxmlformats.org/officeDocument/2006/relationships/hyperlink" Target="https://creativecommons.org/licenses/by-nc/4.0/" TargetMode="External"/><Relationship Id="rId6379" Type="http://schemas.openxmlformats.org/officeDocument/2006/relationships/hyperlink" Target="https://www.inaturalist.org/observations/379902442" TargetMode="External"/><Relationship Id="rId6380" Type="http://schemas.openxmlformats.org/officeDocument/2006/relationships/hyperlink" Target="https://creativecommons.org/licenses/by-nc/4.0/" TargetMode="External"/><Relationship Id="rId6381" Type="http://schemas.openxmlformats.org/officeDocument/2006/relationships/hyperlink" Target="https://www.inaturalist.org/observations/379887731" TargetMode="External"/><Relationship Id="rId6382" Type="http://schemas.openxmlformats.org/officeDocument/2006/relationships/hyperlink" Target="https://creativecommons.org/licenses/by-nc/4.0/" TargetMode="External"/><Relationship Id="rId6383" Type="http://schemas.openxmlformats.org/officeDocument/2006/relationships/hyperlink" Target="https://www.inaturalist.org/observations/379836816" TargetMode="External"/><Relationship Id="rId6384" Type="http://schemas.openxmlformats.org/officeDocument/2006/relationships/hyperlink" Target="https://creativecommons.org/licenses/by-nc/4.0/" TargetMode="External"/><Relationship Id="rId6385" Type="http://schemas.openxmlformats.org/officeDocument/2006/relationships/hyperlink" Target="https://www.inaturalist.org/observations/379835754" TargetMode="External"/><Relationship Id="rId6386" Type="http://schemas.openxmlformats.org/officeDocument/2006/relationships/hyperlink" Target="https://creativecommons.org/licenses/by-nc/4.0/" TargetMode="External"/><Relationship Id="rId6387" Type="http://schemas.openxmlformats.org/officeDocument/2006/relationships/hyperlink" Target="https://www.inaturalist.org/observations/379814373" TargetMode="External"/><Relationship Id="rId6388" Type="http://schemas.openxmlformats.org/officeDocument/2006/relationships/hyperlink" Target="https://creativecommons.org/licenses/by-nc/4.0/" TargetMode="External"/><Relationship Id="rId6389" Type="http://schemas.openxmlformats.org/officeDocument/2006/relationships/hyperlink" Target="https://www.inaturalist.org/observations/379814369" TargetMode="External"/><Relationship Id="rId6390" Type="http://schemas.openxmlformats.org/officeDocument/2006/relationships/hyperlink" Target="https://creativecommons.org/licenses/by-nc/4.0/" TargetMode="External"/><Relationship Id="rId6391" Type="http://schemas.openxmlformats.org/officeDocument/2006/relationships/hyperlink" Target="https://www.inaturalist.org/observations/379263324" TargetMode="External"/><Relationship Id="rId6392" Type="http://schemas.openxmlformats.org/officeDocument/2006/relationships/hyperlink" Target="https://creativecommons.org/licenses/by-nc/4.0/" TargetMode="External"/><Relationship Id="rId6393" Type="http://schemas.openxmlformats.org/officeDocument/2006/relationships/hyperlink" Target="https://www.inaturalist.org/observations/379143498" TargetMode="External"/><Relationship Id="rId6394" Type="http://schemas.openxmlformats.org/officeDocument/2006/relationships/hyperlink" Target="https://creativecommons.org/licenses/by-nc/4.0/" TargetMode="External"/><Relationship Id="rId6395" Type="http://schemas.openxmlformats.org/officeDocument/2006/relationships/hyperlink" Target="https://www.inaturalist.org/observations/379098133" TargetMode="External"/><Relationship Id="rId6396" Type="http://schemas.openxmlformats.org/officeDocument/2006/relationships/hyperlink" Target="https://creativecommons.org/licenses/by-nc/4.0/" TargetMode="External"/><Relationship Id="rId6397" Type="http://schemas.openxmlformats.org/officeDocument/2006/relationships/hyperlink" Target="https://www.inaturalist.org/observations/378302665" TargetMode="External"/><Relationship Id="rId6398" Type="http://schemas.openxmlformats.org/officeDocument/2006/relationships/hyperlink" Target="https://creativecommons.org/licenses/by-nc/4.0/" TargetMode="External"/><Relationship Id="rId6399" Type="http://schemas.openxmlformats.org/officeDocument/2006/relationships/hyperlink" Target="https://www.inaturalist.org/observations/378072113" TargetMode="External"/><Relationship Id="rId6400" Type="http://schemas.openxmlformats.org/officeDocument/2006/relationships/hyperlink" Target="https://creativecommons.org/licenses/by-nc/4.0/" TargetMode="External"/><Relationship Id="rId6401" Type="http://schemas.openxmlformats.org/officeDocument/2006/relationships/hyperlink" Target="https://www.inaturalist.org/observations/378032959" TargetMode="External"/><Relationship Id="rId6402" Type="http://schemas.openxmlformats.org/officeDocument/2006/relationships/hyperlink" Target="https://creativecommons.org/licenses/by-nc/4.0/" TargetMode="External"/><Relationship Id="rId6403" Type="http://schemas.openxmlformats.org/officeDocument/2006/relationships/hyperlink" Target="https://www.inaturalist.org/observations/377813759" TargetMode="External"/><Relationship Id="rId6404" Type="http://schemas.openxmlformats.org/officeDocument/2006/relationships/hyperlink" Target="https://creativecommons.org/licenses/by-nc/4.0/" TargetMode="External"/><Relationship Id="rId6405" Type="http://schemas.openxmlformats.org/officeDocument/2006/relationships/hyperlink" Target="https://www.inaturalist.org/observations/377282682" TargetMode="External"/><Relationship Id="rId6406" Type="http://schemas.openxmlformats.org/officeDocument/2006/relationships/hyperlink" Target="https://creativecommons.org/licenses/by-nc/4.0/" TargetMode="External"/><Relationship Id="rId6407" Type="http://schemas.openxmlformats.org/officeDocument/2006/relationships/hyperlink" Target="https://www.inaturalist.org/observations/377280502" TargetMode="External"/><Relationship Id="rId6408" Type="http://schemas.openxmlformats.org/officeDocument/2006/relationships/hyperlink" Target="https://creativecommons.org/licenses/by-nc/4.0/" TargetMode="External"/><Relationship Id="rId6409" Type="http://schemas.openxmlformats.org/officeDocument/2006/relationships/hyperlink" Target="https://www.inaturalist.org/observations/377234840" TargetMode="External"/><Relationship Id="rId6410" Type="http://schemas.openxmlformats.org/officeDocument/2006/relationships/hyperlink" Target="https://creativecommons.org/licenses/by-nc/4.0/" TargetMode="External"/><Relationship Id="rId6411" Type="http://schemas.openxmlformats.org/officeDocument/2006/relationships/hyperlink" Target="https://www.inaturalist.org/observations/376953892" TargetMode="External"/><Relationship Id="rId6412" Type="http://schemas.openxmlformats.org/officeDocument/2006/relationships/hyperlink" Target="https://creativecommons.org/licenses/by-nc/4.0/" TargetMode="External"/><Relationship Id="rId6413" Type="http://schemas.openxmlformats.org/officeDocument/2006/relationships/hyperlink" Target="https://www.inaturalist.org/observations/376740933" TargetMode="External"/><Relationship Id="rId6414" Type="http://schemas.openxmlformats.org/officeDocument/2006/relationships/hyperlink" Target="https://creativecommons.org/licenses/by-nc/4.0/" TargetMode="External"/><Relationship Id="rId6415" Type="http://schemas.openxmlformats.org/officeDocument/2006/relationships/hyperlink" Target="https://www.inaturalist.org/observations/376564379" TargetMode="External"/><Relationship Id="rId6416" Type="http://schemas.openxmlformats.org/officeDocument/2006/relationships/hyperlink" Target="https://creativecommons.org/licenses/by-nc/4.0/" TargetMode="External"/><Relationship Id="rId6417" Type="http://schemas.openxmlformats.org/officeDocument/2006/relationships/hyperlink" Target="https://www.inaturalist.org/observations/375870130" TargetMode="External"/><Relationship Id="rId6418" Type="http://schemas.openxmlformats.org/officeDocument/2006/relationships/hyperlink" Target="https://creativecommons.org/licenses/by-nc/4.0/" TargetMode="External"/><Relationship Id="rId6419" Type="http://schemas.openxmlformats.org/officeDocument/2006/relationships/hyperlink" Target="https://www.inaturalist.org/observations/375640477" TargetMode="External"/><Relationship Id="rId6420" Type="http://schemas.openxmlformats.org/officeDocument/2006/relationships/hyperlink" Target="https://creativecommons.org/licenses/by-nc/4.0/" TargetMode="External"/><Relationship Id="rId6421" Type="http://schemas.openxmlformats.org/officeDocument/2006/relationships/hyperlink" Target="https://www.inaturalist.org/observations/375614522" TargetMode="External"/><Relationship Id="rId6422" Type="http://schemas.openxmlformats.org/officeDocument/2006/relationships/hyperlink" Target="https://creativecommons.org/licenses/by-nc/4.0/" TargetMode="External"/><Relationship Id="rId6423" Type="http://schemas.openxmlformats.org/officeDocument/2006/relationships/hyperlink" Target="https://www.inaturalist.org/observations/375561575" TargetMode="External"/><Relationship Id="rId6424" Type="http://schemas.openxmlformats.org/officeDocument/2006/relationships/hyperlink" Target="https://creativecommons.org/licenses/by-nc/4.0/" TargetMode="External"/><Relationship Id="rId6425" Type="http://schemas.openxmlformats.org/officeDocument/2006/relationships/hyperlink" Target="https://www.inaturalist.org/observations/375544520" TargetMode="External"/><Relationship Id="rId6426" Type="http://schemas.openxmlformats.org/officeDocument/2006/relationships/hyperlink" Target="https://creativecommons.org/licenses/by-nc/4.0/" TargetMode="External"/><Relationship Id="rId6427" Type="http://schemas.openxmlformats.org/officeDocument/2006/relationships/hyperlink" Target="https://www.inaturalist.org/observations/377827546" TargetMode="External"/><Relationship Id="rId6428" Type="http://schemas.openxmlformats.org/officeDocument/2006/relationships/hyperlink" Target="https://creativecommons.org/licenses/by-nc/4.0/" TargetMode="External"/><Relationship Id="rId6429" Type="http://schemas.openxmlformats.org/officeDocument/2006/relationships/hyperlink" Target="https://www.inaturalist.org/observations/372035315" TargetMode="External"/><Relationship Id="rId6430" Type="http://schemas.openxmlformats.org/officeDocument/2006/relationships/hyperlink" Target="https://creativecommons.org/licenses/by-nc/4.0/" TargetMode="External"/><Relationship Id="rId6431" Type="http://schemas.openxmlformats.org/officeDocument/2006/relationships/hyperlink" Target="https://www.inaturalist.org/observations/367997757" TargetMode="External"/><Relationship Id="rId6432" Type="http://schemas.openxmlformats.org/officeDocument/2006/relationships/hyperlink" Target="https://creativecommons.org/licenses/by-nc/4.0/" TargetMode="External"/><Relationship Id="rId6433" Type="http://schemas.openxmlformats.org/officeDocument/2006/relationships/hyperlink" Target="https://www.inaturalist.org/observations/364732369" TargetMode="External"/><Relationship Id="rId6434" Type="http://schemas.openxmlformats.org/officeDocument/2006/relationships/hyperlink" Target="https://creativecommons.org/licenses/by-nc/4.0/" TargetMode="External"/><Relationship Id="rId6435" Type="http://schemas.openxmlformats.org/officeDocument/2006/relationships/hyperlink" Target="https://www.inaturalist.org/observations/354974376" TargetMode="External"/><Relationship Id="rId6436" Type="http://schemas.openxmlformats.org/officeDocument/2006/relationships/hyperlink" Target="https://creativecommons.org/licenses/by-nc/4.0/" TargetMode="External"/><Relationship Id="rId6437" Type="http://schemas.openxmlformats.org/officeDocument/2006/relationships/hyperlink" Target="https://www.inaturalist.org/observations/354950525" TargetMode="External"/><Relationship Id="rId6438" Type="http://schemas.openxmlformats.org/officeDocument/2006/relationships/hyperlink" Target="https://creativecommons.org/licenses/by-nc/4.0/" TargetMode="External"/><Relationship Id="rId6439" Type="http://schemas.openxmlformats.org/officeDocument/2006/relationships/hyperlink" Target="https://www.inaturalist.org/observations/350324064" TargetMode="External"/><Relationship Id="rId6440" Type="http://schemas.openxmlformats.org/officeDocument/2006/relationships/hyperlink" Target="https://creativecommons.org/licenses/by-nc/4.0/" TargetMode="External"/><Relationship Id="rId6441" Type="http://schemas.openxmlformats.org/officeDocument/2006/relationships/hyperlink" Target="https://www.inaturalist.org/observations/349440958" TargetMode="External"/><Relationship Id="rId6442" Type="http://schemas.openxmlformats.org/officeDocument/2006/relationships/hyperlink" Target="https://creativecommons.org/licenses/by-nc/4.0/" TargetMode="External"/><Relationship Id="rId6443" Type="http://schemas.openxmlformats.org/officeDocument/2006/relationships/hyperlink" Target="https://www.inaturalist.org/observations/349116695" TargetMode="External"/><Relationship Id="rId6444" Type="http://schemas.openxmlformats.org/officeDocument/2006/relationships/hyperlink" Target="https://creativecommons.org/licenses/by-nc/4.0/" TargetMode="External"/><Relationship Id="rId6445" Type="http://schemas.openxmlformats.org/officeDocument/2006/relationships/hyperlink" Target="https://www.inaturalist.org/observations/344010560" TargetMode="External"/><Relationship Id="rId6446" Type="http://schemas.openxmlformats.org/officeDocument/2006/relationships/hyperlink" Target="https://creativecommons.org/licenses/by-nc/4.0/" TargetMode="External"/><Relationship Id="rId6447" Type="http://schemas.openxmlformats.org/officeDocument/2006/relationships/hyperlink" Target="https://www.inaturalist.org/observations/344010482" TargetMode="External"/><Relationship Id="rId6448" Type="http://schemas.openxmlformats.org/officeDocument/2006/relationships/hyperlink" Target="https://creativecommons.org/licenses/by-nc/4.0/" TargetMode="External"/><Relationship Id="rId6449" Type="http://schemas.openxmlformats.org/officeDocument/2006/relationships/hyperlink" Target="https://www.inaturalist.org/observations/343226544" TargetMode="External"/><Relationship Id="rId6450" Type="http://schemas.openxmlformats.org/officeDocument/2006/relationships/hyperlink" Target="https://creativecommons.org/licenses/by-nc/4.0/" TargetMode="External"/><Relationship Id="rId6451" Type="http://schemas.openxmlformats.org/officeDocument/2006/relationships/hyperlink" Target="https://www.inaturalist.org/observations/341220944" TargetMode="External"/><Relationship Id="rId6452" Type="http://schemas.openxmlformats.org/officeDocument/2006/relationships/hyperlink" Target="https://creativecommons.org/licenses/by-nc/4.0/" TargetMode="External"/><Relationship Id="rId6453" Type="http://schemas.openxmlformats.org/officeDocument/2006/relationships/hyperlink" Target="https://www.inaturalist.org/observations/340892584" TargetMode="External"/><Relationship Id="rId6454" Type="http://schemas.openxmlformats.org/officeDocument/2006/relationships/hyperlink" Target="https://creativecommons.org/licenses/by-nc/4.0/" TargetMode="External"/><Relationship Id="rId6455" Type="http://schemas.openxmlformats.org/officeDocument/2006/relationships/hyperlink" Target="https://www.inaturalist.org/observations/334655811" TargetMode="External"/><Relationship Id="rId6456" Type="http://schemas.openxmlformats.org/officeDocument/2006/relationships/hyperlink" Target="https://creativecommons.org/licenses/by-nc/4.0/" TargetMode="External"/><Relationship Id="rId6457" Type="http://schemas.openxmlformats.org/officeDocument/2006/relationships/hyperlink" Target="https://www.inaturalist.org/observations/331358492" TargetMode="External"/><Relationship Id="rId6458" Type="http://schemas.openxmlformats.org/officeDocument/2006/relationships/hyperlink" Target="https://creativecommons.org/licenses/by-nc/4.0/" TargetMode="External"/><Relationship Id="rId6459" Type="http://schemas.openxmlformats.org/officeDocument/2006/relationships/hyperlink" Target="https://www.inaturalist.org/observations/331249023" TargetMode="External"/><Relationship Id="rId6460" Type="http://schemas.openxmlformats.org/officeDocument/2006/relationships/hyperlink" Target="https://creativecommons.org/licenses/by-nc/4.0/" TargetMode="External"/><Relationship Id="rId6461" Type="http://schemas.openxmlformats.org/officeDocument/2006/relationships/hyperlink" Target="https://www.inaturalist.org/observations/325681053" TargetMode="External"/><Relationship Id="rId6462" Type="http://schemas.openxmlformats.org/officeDocument/2006/relationships/hyperlink" Target="https://creativecommons.org/licenses/by-nc/4.0/" TargetMode="External"/><Relationship Id="rId6463" Type="http://schemas.openxmlformats.org/officeDocument/2006/relationships/hyperlink" Target="https://www.inaturalist.org/observations/325054737" TargetMode="External"/><Relationship Id="rId6464" Type="http://schemas.openxmlformats.org/officeDocument/2006/relationships/hyperlink" Target="https://creativecommons.org/licenses/by-nc/4.0/" TargetMode="External"/><Relationship Id="rId6465" Type="http://schemas.openxmlformats.org/officeDocument/2006/relationships/hyperlink" Target="https://www.inaturalist.org/observations/324551192" TargetMode="External"/><Relationship Id="rId6466" Type="http://schemas.openxmlformats.org/officeDocument/2006/relationships/hyperlink" Target="https://creativecommons.org/licenses/by-nc/4.0/" TargetMode="External"/><Relationship Id="rId6467" Type="http://schemas.openxmlformats.org/officeDocument/2006/relationships/hyperlink" Target="https://www.inaturalist.org/observations/324396231" TargetMode="External"/><Relationship Id="rId6468" Type="http://schemas.openxmlformats.org/officeDocument/2006/relationships/hyperlink" Target="https://creativecommons.org/licenses/by-nc/4.0/" TargetMode="External"/><Relationship Id="rId6469" Type="http://schemas.openxmlformats.org/officeDocument/2006/relationships/hyperlink" Target="https://www.inaturalist.org/observations/319282905" TargetMode="External"/><Relationship Id="rId6470" Type="http://schemas.openxmlformats.org/officeDocument/2006/relationships/hyperlink" Target="https://creativecommons.org/licenses/by-nc/4.0/" TargetMode="External"/><Relationship Id="rId6471" Type="http://schemas.openxmlformats.org/officeDocument/2006/relationships/hyperlink" Target="https://www.inaturalist.org/observations/308301584" TargetMode="External"/><Relationship Id="rId6472" Type="http://schemas.openxmlformats.org/officeDocument/2006/relationships/hyperlink" Target="https://creativecommons.org/licenses/by-nc/4.0/" TargetMode="External"/><Relationship Id="rId6473" Type="http://schemas.openxmlformats.org/officeDocument/2006/relationships/hyperlink" Target="https://www.inaturalist.org/observations/298279213" TargetMode="External"/><Relationship Id="rId6474" Type="http://schemas.openxmlformats.org/officeDocument/2006/relationships/hyperlink" Target="https://creativecommons.org/licenses/by-nc/4.0/" TargetMode="External"/><Relationship Id="rId6475" Type="http://schemas.openxmlformats.org/officeDocument/2006/relationships/hyperlink" Target="https://www.inaturalist.org/observations/295741353" TargetMode="External"/><Relationship Id="rId6476" Type="http://schemas.openxmlformats.org/officeDocument/2006/relationships/hyperlink" Target="https://creativecommons.org/licenses/by-nc/4.0/" TargetMode="External"/><Relationship Id="rId6477" Type="http://schemas.openxmlformats.org/officeDocument/2006/relationships/hyperlink" Target="https://www.inaturalist.org/observations/292881497" TargetMode="External"/><Relationship Id="rId6478" Type="http://schemas.openxmlformats.org/officeDocument/2006/relationships/hyperlink" Target="https://creativecommons.org/licenses/by-nc/4.0/" TargetMode="External"/><Relationship Id="rId6479" Type="http://schemas.openxmlformats.org/officeDocument/2006/relationships/hyperlink" Target="https://www.inaturalist.org/observations/291617342" TargetMode="External"/><Relationship Id="rId6480" Type="http://schemas.openxmlformats.org/officeDocument/2006/relationships/hyperlink" Target="https://creativecommons.org/licenses/by-nc/4.0/" TargetMode="External"/><Relationship Id="rId6481" Type="http://schemas.openxmlformats.org/officeDocument/2006/relationships/hyperlink" Target="https://www.inaturalist.org/observations/288984464" TargetMode="External"/><Relationship Id="rId6482" Type="http://schemas.openxmlformats.org/officeDocument/2006/relationships/hyperlink" Target="https://creativecommons.org/licenses/by-nc/4.0/" TargetMode="External"/><Relationship Id="rId6483" Type="http://schemas.openxmlformats.org/officeDocument/2006/relationships/hyperlink" Target="https://www.inaturalist.org/observations/288259043" TargetMode="External"/><Relationship Id="rId6484" Type="http://schemas.openxmlformats.org/officeDocument/2006/relationships/hyperlink" Target="https://creativecommons.org/licenses/by-nc/4.0/" TargetMode="External"/><Relationship Id="rId6485" Type="http://schemas.openxmlformats.org/officeDocument/2006/relationships/hyperlink" Target="https://www.inaturalist.org/observations/282169888" TargetMode="External"/><Relationship Id="rId6486" Type="http://schemas.openxmlformats.org/officeDocument/2006/relationships/hyperlink" Target="https://creativecommons.org/licenses/by-nc/4.0/" TargetMode="External"/><Relationship Id="rId6487" Type="http://schemas.openxmlformats.org/officeDocument/2006/relationships/hyperlink" Target="https://www.inaturalist.org/observations/281548398" TargetMode="External"/><Relationship Id="rId6488" Type="http://schemas.openxmlformats.org/officeDocument/2006/relationships/hyperlink" Target="https://creativecommons.org/licenses/by-nc/4.0/" TargetMode="External"/><Relationship Id="rId6489" Type="http://schemas.openxmlformats.org/officeDocument/2006/relationships/hyperlink" Target="https://www.inaturalist.org/observations/279257237" TargetMode="External"/><Relationship Id="rId6490" Type="http://schemas.openxmlformats.org/officeDocument/2006/relationships/hyperlink" Target="https://creativecommons.org/licenses/by-nc/4.0/" TargetMode="External"/><Relationship Id="rId6491" Type="http://schemas.openxmlformats.org/officeDocument/2006/relationships/hyperlink" Target="https://www.inaturalist.org/observations/278729478" TargetMode="External"/><Relationship Id="rId6492" Type="http://schemas.openxmlformats.org/officeDocument/2006/relationships/hyperlink" Target="https://creativecommons.org/licenses/by-nc/4.0/" TargetMode="External"/><Relationship Id="rId6493" Type="http://schemas.openxmlformats.org/officeDocument/2006/relationships/hyperlink" Target="https://www.inaturalist.org/observations/277915868" TargetMode="External"/><Relationship Id="rId6494" Type="http://schemas.openxmlformats.org/officeDocument/2006/relationships/hyperlink" Target="https://creativecommons.org/licenses/by-nc/4.0/" TargetMode="External"/><Relationship Id="rId6495" Type="http://schemas.openxmlformats.org/officeDocument/2006/relationships/hyperlink" Target="https://www.inaturalist.org/observations/272222154" TargetMode="External"/><Relationship Id="rId6496" Type="http://schemas.openxmlformats.org/officeDocument/2006/relationships/hyperlink" Target="https://creativecommons.org/licenses/by-nc/4.0/" TargetMode="External"/><Relationship Id="rId6497" Type="http://schemas.openxmlformats.org/officeDocument/2006/relationships/hyperlink" Target="https://www.inaturalist.org/observations/375876678" TargetMode="External"/><Relationship Id="rId6498" Type="http://schemas.openxmlformats.org/officeDocument/2006/relationships/hyperlink" Target="https://creativecommons.org/licenses/by-nc/4.0/" TargetMode="External"/><Relationship Id="rId6499" Type="http://schemas.openxmlformats.org/officeDocument/2006/relationships/hyperlink" Target="https://www.inaturalist.org/observations/374454874" TargetMode="External"/><Relationship Id="rId6500" Type="http://schemas.openxmlformats.org/officeDocument/2006/relationships/hyperlink" Target="https://creativecommons.org/licenses/by-nc/4.0/" TargetMode="External"/><Relationship Id="rId6501" Type="http://schemas.openxmlformats.org/officeDocument/2006/relationships/hyperlink" Target="https://www.inaturalist.org/observations/374454340" TargetMode="External"/><Relationship Id="rId6502" Type="http://schemas.openxmlformats.org/officeDocument/2006/relationships/hyperlink" Target="https://creativecommons.org/licenses/by-nc/4.0/" TargetMode="External"/><Relationship Id="rId6503" Type="http://schemas.openxmlformats.org/officeDocument/2006/relationships/hyperlink" Target="https://www.inaturalist.org/observations/371496385" TargetMode="External"/><Relationship Id="rId6504" Type="http://schemas.openxmlformats.org/officeDocument/2006/relationships/hyperlink" Target="https://creativecommons.org/licenses/by-nc/4.0/" TargetMode="External"/><Relationship Id="rId6505" Type="http://schemas.openxmlformats.org/officeDocument/2006/relationships/hyperlink" Target="https://www.inaturalist.org/observations/331613955" TargetMode="External"/><Relationship Id="rId6506" Type="http://schemas.openxmlformats.org/officeDocument/2006/relationships/hyperlink" Target="https://creativecommons.org/licenses/by-nc/4.0/" TargetMode="External"/><Relationship Id="rId6507" Type="http://schemas.openxmlformats.org/officeDocument/2006/relationships/hyperlink" Target="https://www.inaturalist.org/observations/318755852" TargetMode="External"/><Relationship Id="rId6508" Type="http://schemas.openxmlformats.org/officeDocument/2006/relationships/hyperlink" Target="https://creativecommons.org/licenses/by-nc/4.0/" TargetMode="External"/><Relationship Id="rId6509" Type="http://schemas.openxmlformats.org/officeDocument/2006/relationships/hyperlink" Target="https://www.inaturalist.org/observations/306334969" TargetMode="External"/><Relationship Id="rId6510" Type="http://schemas.openxmlformats.org/officeDocument/2006/relationships/hyperlink" Target="https://creativecommons.org/licenses/by-nc/4.0/" TargetMode="External"/><Relationship Id="rId6511" Type="http://schemas.openxmlformats.org/officeDocument/2006/relationships/hyperlink" Target="https://www.inaturalist.org/observations/264578094" TargetMode="External"/><Relationship Id="rId6512" Type="http://schemas.openxmlformats.org/officeDocument/2006/relationships/hyperlink" Target="https://creativecommons.org/licenses/by-nc/4.0/" TargetMode="External"/><Relationship Id="rId6513" Type="http://schemas.openxmlformats.org/officeDocument/2006/relationships/hyperlink" Target="https://www.inaturalist.org/observations/259021917" TargetMode="External"/><Relationship Id="rId6514" Type="http://schemas.openxmlformats.org/officeDocument/2006/relationships/hyperlink" Target="https://creativecommons.org/licenses/by-nc/4.0/" TargetMode="External"/><Relationship Id="rId6515" Type="http://schemas.openxmlformats.org/officeDocument/2006/relationships/hyperlink" Target="https://www.inaturalist.org/observations/254670872" TargetMode="External"/><Relationship Id="rId6516" Type="http://schemas.openxmlformats.org/officeDocument/2006/relationships/hyperlink" Target="https://creativecommons.org/licenses/by-nc/4.0/" TargetMode="External"/><Relationship Id="rId6517" Type="http://schemas.openxmlformats.org/officeDocument/2006/relationships/hyperlink" Target="https://www.inaturalist.org/observations/249911371" TargetMode="External"/><Relationship Id="rId6518" Type="http://schemas.openxmlformats.org/officeDocument/2006/relationships/hyperlink" Target="https://creativecommons.org/licenses/by-nc/4.0/" TargetMode="External"/><Relationship Id="rId6519" Type="http://schemas.openxmlformats.org/officeDocument/2006/relationships/hyperlink" Target="https://www.inaturalist.org/observations/246903163" TargetMode="External"/><Relationship Id="rId6520" Type="http://schemas.openxmlformats.org/officeDocument/2006/relationships/hyperlink" Target="https://creativecommons.org/licenses/by-nc/4.0/" TargetMode="External"/><Relationship Id="rId6521" Type="http://schemas.openxmlformats.org/officeDocument/2006/relationships/hyperlink" Target="https://www.inaturalist.org/observations/242615277" TargetMode="External"/><Relationship Id="rId6522" Type="http://schemas.openxmlformats.org/officeDocument/2006/relationships/hyperlink" Target="https://creativecommons.org/licenses/by-nc/4.0/" TargetMode="External"/><Relationship Id="rId6523" Type="http://schemas.openxmlformats.org/officeDocument/2006/relationships/hyperlink" Target="https://www.inaturalist.org/observations/242279402" TargetMode="External"/><Relationship Id="rId6524" Type="http://schemas.openxmlformats.org/officeDocument/2006/relationships/hyperlink" Target="https://creativecommons.org/licenses/by-nc/4.0/" TargetMode="External"/><Relationship Id="rId6525" Type="http://schemas.openxmlformats.org/officeDocument/2006/relationships/hyperlink" Target="https://www.inaturalist.org/observations/242223706" TargetMode="External"/><Relationship Id="rId6526" Type="http://schemas.openxmlformats.org/officeDocument/2006/relationships/hyperlink" Target="https://creativecommons.org/licenses/by-nc/4.0/" TargetMode="External"/><Relationship Id="rId6527" Type="http://schemas.openxmlformats.org/officeDocument/2006/relationships/hyperlink" Target="https://www.inaturalist.org/observations/242141814" TargetMode="External"/><Relationship Id="rId6528" Type="http://schemas.openxmlformats.org/officeDocument/2006/relationships/hyperlink" Target="https://creativecommons.org/licenses/by-nc/4.0/" TargetMode="External"/><Relationship Id="rId6529" Type="http://schemas.openxmlformats.org/officeDocument/2006/relationships/hyperlink" Target="https://www.inaturalist.org/observations/241589784" TargetMode="External"/><Relationship Id="rId6530" Type="http://schemas.openxmlformats.org/officeDocument/2006/relationships/hyperlink" Target="https://creativecommons.org/licenses/by-nc/4.0/" TargetMode="External"/><Relationship Id="rId6531" Type="http://schemas.openxmlformats.org/officeDocument/2006/relationships/hyperlink" Target="https://www.inaturalist.org/observations/241354078" TargetMode="External"/><Relationship Id="rId6532" Type="http://schemas.openxmlformats.org/officeDocument/2006/relationships/hyperlink" Target="https://creativecommons.org/licenses/by-nc/4.0/" TargetMode="External"/><Relationship Id="rId6533" Type="http://schemas.openxmlformats.org/officeDocument/2006/relationships/hyperlink" Target="https://www.inaturalist.org/observations/241346512" TargetMode="External"/><Relationship Id="rId6534" Type="http://schemas.openxmlformats.org/officeDocument/2006/relationships/hyperlink" Target="https://creativecommons.org/licenses/by-nc/4.0/" TargetMode="External"/><Relationship Id="rId6535" Type="http://schemas.openxmlformats.org/officeDocument/2006/relationships/hyperlink" Target="https://www.inaturalist.org/observations/241341397" TargetMode="External"/><Relationship Id="rId6536" Type="http://schemas.openxmlformats.org/officeDocument/2006/relationships/hyperlink" Target="https://creativecommons.org/licenses/by-nc/4.0/" TargetMode="External"/><Relationship Id="rId6537" Type="http://schemas.openxmlformats.org/officeDocument/2006/relationships/hyperlink" Target="https://www.inaturalist.org/observations/241327876" TargetMode="External"/><Relationship Id="rId6538" Type="http://schemas.openxmlformats.org/officeDocument/2006/relationships/hyperlink" Target="https://creativecommons.org/licenses/by-nc/4.0/" TargetMode="External"/><Relationship Id="rId6539" Type="http://schemas.openxmlformats.org/officeDocument/2006/relationships/hyperlink" Target="https://www.inaturalist.org/observations/241300808" TargetMode="External"/><Relationship Id="rId6540" Type="http://schemas.openxmlformats.org/officeDocument/2006/relationships/hyperlink" Target="https://creativecommons.org/licenses/by-nc/4.0/" TargetMode="External"/><Relationship Id="rId6541" Type="http://schemas.openxmlformats.org/officeDocument/2006/relationships/hyperlink" Target="https://www.inaturalist.org/observations/232068053" TargetMode="External"/><Relationship Id="rId6542" Type="http://schemas.openxmlformats.org/officeDocument/2006/relationships/hyperlink" Target="https://creativecommons.org/licenses/by-nc/4.0/" TargetMode="External"/><Relationship Id="rId6543" Type="http://schemas.openxmlformats.org/officeDocument/2006/relationships/hyperlink" Target="https://www.inaturalist.org/observations/226966490" TargetMode="External"/><Relationship Id="rId6544" Type="http://schemas.openxmlformats.org/officeDocument/2006/relationships/hyperlink" Target="https://creativecommons.org/licenses/by-nc/4.0/" TargetMode="External"/><Relationship Id="rId6545" Type="http://schemas.openxmlformats.org/officeDocument/2006/relationships/hyperlink" Target="https://www.inaturalist.org/observations/205533965" TargetMode="External"/><Relationship Id="rId6546" Type="http://schemas.openxmlformats.org/officeDocument/2006/relationships/hyperlink" Target="https://creativecommons.org/licenses/by-nc/4.0/" TargetMode="External"/><Relationship Id="rId6547" Type="http://schemas.openxmlformats.org/officeDocument/2006/relationships/hyperlink" Target="https://www.inaturalist.org/observations/200825296" TargetMode="External"/><Relationship Id="rId6548" Type="http://schemas.openxmlformats.org/officeDocument/2006/relationships/hyperlink" Target="https://creativecommons.org/licenses/by-nc/4.0/" TargetMode="External"/><Relationship Id="rId6549" Type="http://schemas.openxmlformats.org/officeDocument/2006/relationships/hyperlink" Target="https://www.inaturalist.org/observations/200825282" TargetMode="External"/><Relationship Id="rId6550" Type="http://schemas.openxmlformats.org/officeDocument/2006/relationships/hyperlink" Target="https://creativecommons.org/licenses/by-nc/4.0/" TargetMode="External"/><Relationship Id="rId6551" Type="http://schemas.openxmlformats.org/officeDocument/2006/relationships/hyperlink" Target="https://www.inaturalist.org/observations/199641426" TargetMode="External"/><Relationship Id="rId6552" Type="http://schemas.openxmlformats.org/officeDocument/2006/relationships/hyperlink" Target="https://creativecommons.org/licenses/by-nc/4.0/" TargetMode="External"/><Relationship Id="rId6553" Type="http://schemas.openxmlformats.org/officeDocument/2006/relationships/hyperlink" Target="https://www.inaturalist.org/observations/197745709" TargetMode="External"/><Relationship Id="rId6554" Type="http://schemas.openxmlformats.org/officeDocument/2006/relationships/hyperlink" Target="https://creativecommons.org/licenses/by-nc/4.0/" TargetMode="External"/><Relationship Id="rId6555" Type="http://schemas.openxmlformats.org/officeDocument/2006/relationships/hyperlink" Target="https://www.inaturalist.org/observations/193430241" TargetMode="External"/><Relationship Id="rId6556" Type="http://schemas.openxmlformats.org/officeDocument/2006/relationships/hyperlink" Target="https://creativecommons.org/licenses/by-nc/4.0/" TargetMode="External"/><Relationship Id="rId6557" Type="http://schemas.openxmlformats.org/officeDocument/2006/relationships/hyperlink" Target="https://www.inaturalist.org/observations/188862064" TargetMode="External"/><Relationship Id="rId6558" Type="http://schemas.openxmlformats.org/officeDocument/2006/relationships/hyperlink" Target="https://creativecommons.org/licenses/by-nc/4.0/" TargetMode="External"/><Relationship Id="rId6559" Type="http://schemas.openxmlformats.org/officeDocument/2006/relationships/hyperlink" Target="https://www.inaturalist.org/observations/156512745" TargetMode="External"/><Relationship Id="rId6560" Type="http://schemas.openxmlformats.org/officeDocument/2006/relationships/hyperlink" Target="https://creativecommons.org/licenses/by-nc/4.0/" TargetMode="External"/><Relationship Id="rId6561" Type="http://schemas.openxmlformats.org/officeDocument/2006/relationships/hyperlink" Target="https://www.inaturalist.org/observations/154056827" TargetMode="External"/><Relationship Id="rId6562" Type="http://schemas.openxmlformats.org/officeDocument/2006/relationships/hyperlink" Target="https://creativecommons.org/licenses/by-nc/4.0/" TargetMode="External"/><Relationship Id="rId6563" Type="http://schemas.openxmlformats.org/officeDocument/2006/relationships/hyperlink" Target="https://www.inaturalist.org/observations/141008311" TargetMode="External"/><Relationship Id="rId6564" Type="http://schemas.openxmlformats.org/officeDocument/2006/relationships/hyperlink" Target="https://creativecommons.org/licenses/by-nc/4.0/" TargetMode="External"/><Relationship Id="rId6565" Type="http://schemas.openxmlformats.org/officeDocument/2006/relationships/hyperlink" Target="https://www.inaturalist.org/observations/140953125" TargetMode="External"/><Relationship Id="rId6566" Type="http://schemas.openxmlformats.org/officeDocument/2006/relationships/hyperlink" Target="https://creativecommons.org/licenses/by-nc/4.0/" TargetMode="External"/><Relationship Id="rId6567" Type="http://schemas.openxmlformats.org/officeDocument/2006/relationships/hyperlink" Target="https://www.inaturalist.org/observations/371328908" TargetMode="External"/><Relationship Id="rId6568" Type="http://schemas.openxmlformats.org/officeDocument/2006/relationships/hyperlink" Target="https://creativecommons.org/licenses/by-nc/4.0/" TargetMode="External"/><Relationship Id="rId6569" Type="http://schemas.openxmlformats.org/officeDocument/2006/relationships/hyperlink" Target="https://www.inaturalist.org/observations/350099417" TargetMode="External"/><Relationship Id="rId6570" Type="http://schemas.openxmlformats.org/officeDocument/2006/relationships/hyperlink" Target="https://creativecommons.org/licenses/by-nc/4.0/" TargetMode="External"/><Relationship Id="rId6571" Type="http://schemas.openxmlformats.org/officeDocument/2006/relationships/hyperlink" Target="https://www.inaturalist.org/observations/346512160" TargetMode="External"/><Relationship Id="rId6572" Type="http://schemas.openxmlformats.org/officeDocument/2006/relationships/hyperlink" Target="https://creativecommons.org/licenses/by-nc/4.0/" TargetMode="External"/><Relationship Id="rId6573" Type="http://schemas.openxmlformats.org/officeDocument/2006/relationships/hyperlink" Target="https://www.inaturalist.org/observations/344683842" TargetMode="External"/><Relationship Id="rId6574" Type="http://schemas.openxmlformats.org/officeDocument/2006/relationships/hyperlink" Target="https://creativecommons.org/licenses/by-nc/4.0/" TargetMode="External"/><Relationship Id="rId6575" Type="http://schemas.openxmlformats.org/officeDocument/2006/relationships/hyperlink" Target="https://www.inaturalist.org/observations/341642852" TargetMode="External"/><Relationship Id="rId6576" Type="http://schemas.openxmlformats.org/officeDocument/2006/relationships/hyperlink" Target="https://creativecommons.org/licenses/by-nc/4.0/" TargetMode="External"/><Relationship Id="rId6577" Type="http://schemas.openxmlformats.org/officeDocument/2006/relationships/hyperlink" Target="https://www.inaturalist.org/observations/340847286" TargetMode="External"/><Relationship Id="rId6578" Type="http://schemas.openxmlformats.org/officeDocument/2006/relationships/hyperlink" Target="https://creativecommons.org/licenses/by-nc/4.0/" TargetMode="External"/><Relationship Id="rId6579" Type="http://schemas.openxmlformats.org/officeDocument/2006/relationships/hyperlink" Target="https://www.inaturalist.org/observations/337613070" TargetMode="External"/><Relationship Id="rId6580" Type="http://schemas.openxmlformats.org/officeDocument/2006/relationships/hyperlink" Target="https://creativecommons.org/licenses/by-nc/4.0/" TargetMode="External"/><Relationship Id="rId6581" Type="http://schemas.openxmlformats.org/officeDocument/2006/relationships/hyperlink" Target="https://www.inaturalist.org/observations/334905730" TargetMode="External"/><Relationship Id="rId6582" Type="http://schemas.openxmlformats.org/officeDocument/2006/relationships/hyperlink" Target="https://creativecommons.org/licenses/by-nc/4.0/" TargetMode="External"/><Relationship Id="rId6583" Type="http://schemas.openxmlformats.org/officeDocument/2006/relationships/hyperlink" Target="https://www.inaturalist.org/observations/334835683" TargetMode="External"/><Relationship Id="rId6584" Type="http://schemas.openxmlformats.org/officeDocument/2006/relationships/hyperlink" Target="https://creativecommons.org/licenses/by-nc/4.0/" TargetMode="External"/><Relationship Id="rId6585" Type="http://schemas.openxmlformats.org/officeDocument/2006/relationships/hyperlink" Target="https://www.inaturalist.org/observations/329225111" TargetMode="External"/><Relationship Id="rId6586" Type="http://schemas.openxmlformats.org/officeDocument/2006/relationships/hyperlink" Target="https://creativecommons.org/licenses/by-nc/4.0/" TargetMode="External"/><Relationship Id="rId6587" Type="http://schemas.openxmlformats.org/officeDocument/2006/relationships/hyperlink" Target="https://www.inaturalist.org/observations/327432186" TargetMode="External"/><Relationship Id="rId6588" Type="http://schemas.openxmlformats.org/officeDocument/2006/relationships/hyperlink" Target="https://creativecommons.org/licenses/by-nc/4.0/" TargetMode="External"/><Relationship Id="rId6589" Type="http://schemas.openxmlformats.org/officeDocument/2006/relationships/hyperlink" Target="https://www.inaturalist.org/observations/327432126" TargetMode="External"/><Relationship Id="rId6590" Type="http://schemas.openxmlformats.org/officeDocument/2006/relationships/hyperlink" Target="https://creativecommons.org/licenses/by-nc/4.0/" TargetMode="External"/><Relationship Id="rId6591" Type="http://schemas.openxmlformats.org/officeDocument/2006/relationships/hyperlink" Target="https://www.inaturalist.org/observations/327432087" TargetMode="External"/><Relationship Id="rId6592" Type="http://schemas.openxmlformats.org/officeDocument/2006/relationships/hyperlink" Target="https://creativecommons.org/licenses/by-nc/4.0/" TargetMode="External"/><Relationship Id="rId6593" Type="http://schemas.openxmlformats.org/officeDocument/2006/relationships/hyperlink" Target="https://www.inaturalist.org/observations/326699640" TargetMode="External"/><Relationship Id="rId6594" Type="http://schemas.openxmlformats.org/officeDocument/2006/relationships/hyperlink" Target="https://creativecommons.org/licenses/by-nc/4.0/" TargetMode="External"/><Relationship Id="rId6595" Type="http://schemas.openxmlformats.org/officeDocument/2006/relationships/hyperlink" Target="https://www.inaturalist.org/observations/321520182" TargetMode="External"/><Relationship Id="rId6596" Type="http://schemas.openxmlformats.org/officeDocument/2006/relationships/hyperlink" Target="https://creativecommons.org/licenses/by-nc/4.0/" TargetMode="External"/><Relationship Id="rId6597" Type="http://schemas.openxmlformats.org/officeDocument/2006/relationships/hyperlink" Target="https://www.inaturalist.org/observations/311776416" TargetMode="External"/><Relationship Id="rId6598" Type="http://schemas.openxmlformats.org/officeDocument/2006/relationships/hyperlink" Target="https://creativecommons.org/licenses/by-nc/4.0/" TargetMode="External"/><Relationship Id="rId6599" Type="http://schemas.openxmlformats.org/officeDocument/2006/relationships/hyperlink" Target="https://www.inaturalist.org/observations/310765681" TargetMode="External"/><Relationship Id="rId6600" Type="http://schemas.openxmlformats.org/officeDocument/2006/relationships/hyperlink" Target="https://creativecommons.org/licenses/by-nc/4.0/" TargetMode="External"/><Relationship Id="rId6601" Type="http://schemas.openxmlformats.org/officeDocument/2006/relationships/hyperlink" Target="https://www.inaturalist.org/observations/308030612" TargetMode="External"/><Relationship Id="rId6602" Type="http://schemas.openxmlformats.org/officeDocument/2006/relationships/hyperlink" Target="https://creativecommons.org/licenses/by-nc/4.0/" TargetMode="External"/><Relationship Id="rId6603" Type="http://schemas.openxmlformats.org/officeDocument/2006/relationships/hyperlink" Target="https://www.inaturalist.org/observations/306120970" TargetMode="External"/><Relationship Id="rId6604" Type="http://schemas.openxmlformats.org/officeDocument/2006/relationships/hyperlink" Target="https://creativecommons.org/licenses/by-nc/4.0/" TargetMode="External"/><Relationship Id="rId6605" Type="http://schemas.openxmlformats.org/officeDocument/2006/relationships/hyperlink" Target="https://www.inaturalist.org/observations/292536816" TargetMode="External"/><Relationship Id="rId6606" Type="http://schemas.openxmlformats.org/officeDocument/2006/relationships/hyperlink" Target="https://creativecommons.org/licenses/by-nc/4.0/" TargetMode="External"/><Relationship Id="rId6607" Type="http://schemas.openxmlformats.org/officeDocument/2006/relationships/hyperlink" Target="https://www.inaturalist.org/observations/281272137" TargetMode="External"/><Relationship Id="rId6608" Type="http://schemas.openxmlformats.org/officeDocument/2006/relationships/hyperlink" Target="https://creativecommons.org/licenses/by-nc/4.0/" TargetMode="External"/><Relationship Id="rId6609" Type="http://schemas.openxmlformats.org/officeDocument/2006/relationships/hyperlink" Target="https://www.inaturalist.org/observations/279558809" TargetMode="External"/><Relationship Id="rId6610" Type="http://schemas.openxmlformats.org/officeDocument/2006/relationships/hyperlink" Target="https://creativecommons.org/licenses/by-nc/4.0/" TargetMode="External"/><Relationship Id="rId6611" Type="http://schemas.openxmlformats.org/officeDocument/2006/relationships/hyperlink" Target="https://www.inaturalist.org/observations/276724474" TargetMode="External"/><Relationship Id="rId6612" Type="http://schemas.openxmlformats.org/officeDocument/2006/relationships/hyperlink" Target="https://creativecommons.org/licenses/by-nc/4.0/" TargetMode="External"/><Relationship Id="rId6613" Type="http://schemas.openxmlformats.org/officeDocument/2006/relationships/hyperlink" Target="https://www.inaturalist.org/observations/264575493" TargetMode="External"/><Relationship Id="rId6614" Type="http://schemas.openxmlformats.org/officeDocument/2006/relationships/hyperlink" Target="https://creativecommons.org/licenses/by-nc/4.0/" TargetMode="External"/><Relationship Id="rId6615" Type="http://schemas.openxmlformats.org/officeDocument/2006/relationships/hyperlink" Target="https://www.inaturalist.org/observations/260725366" TargetMode="External"/><Relationship Id="rId6616" Type="http://schemas.openxmlformats.org/officeDocument/2006/relationships/hyperlink" Target="https://creativecommons.org/licenses/by-nc/4.0/" TargetMode="External"/><Relationship Id="rId6617" Type="http://schemas.openxmlformats.org/officeDocument/2006/relationships/hyperlink" Target="https://www.inaturalist.org/observations/259128554" TargetMode="External"/><Relationship Id="rId6618" Type="http://schemas.openxmlformats.org/officeDocument/2006/relationships/hyperlink" Target="https://creativecommons.org/licenses/by-nc/4.0/" TargetMode="External"/><Relationship Id="rId6619" Type="http://schemas.openxmlformats.org/officeDocument/2006/relationships/hyperlink" Target="https://www.inaturalist.org/observations/257708982" TargetMode="External"/><Relationship Id="rId6620" Type="http://schemas.openxmlformats.org/officeDocument/2006/relationships/hyperlink" Target="https://creativecommons.org/licenses/by-nc/4.0/" TargetMode="External"/><Relationship Id="rId6621" Type="http://schemas.openxmlformats.org/officeDocument/2006/relationships/hyperlink" Target="https://www.inaturalist.org/observations/255488766" TargetMode="External"/><Relationship Id="rId6622" Type="http://schemas.openxmlformats.org/officeDocument/2006/relationships/hyperlink" Target="https://creativecommons.org/licenses/by-nc/4.0/" TargetMode="External"/><Relationship Id="rId6623" Type="http://schemas.openxmlformats.org/officeDocument/2006/relationships/hyperlink" Target="https://www.inaturalist.org/observations/254122952" TargetMode="External"/><Relationship Id="rId6624" Type="http://schemas.openxmlformats.org/officeDocument/2006/relationships/hyperlink" Target="https://creativecommons.org/licenses/by-nc/4.0/" TargetMode="External"/><Relationship Id="rId6625" Type="http://schemas.openxmlformats.org/officeDocument/2006/relationships/hyperlink" Target="https://www.inaturalist.org/observations/249211213" TargetMode="External"/><Relationship Id="rId6626" Type="http://schemas.openxmlformats.org/officeDocument/2006/relationships/hyperlink" Target="https://creativecommons.org/licenses/by-nc/4.0/" TargetMode="External"/><Relationship Id="rId6627" Type="http://schemas.openxmlformats.org/officeDocument/2006/relationships/hyperlink" Target="https://www.inaturalist.org/observations/240357123" TargetMode="External"/><Relationship Id="rId6628" Type="http://schemas.openxmlformats.org/officeDocument/2006/relationships/hyperlink" Target="https://creativecommons.org/licenses/by-nc/4.0/" TargetMode="External"/><Relationship Id="rId6629" Type="http://schemas.openxmlformats.org/officeDocument/2006/relationships/hyperlink" Target="https://www.inaturalist.org/observations/234804856" TargetMode="External"/><Relationship Id="rId6630" Type="http://schemas.openxmlformats.org/officeDocument/2006/relationships/hyperlink" Target="https://creativecommons.org/licenses/by-nc/4.0/" TargetMode="External"/><Relationship Id="rId6631" Type="http://schemas.openxmlformats.org/officeDocument/2006/relationships/hyperlink" Target="https://www.inaturalist.org/observations/228653613" TargetMode="External"/><Relationship Id="rId6632" Type="http://schemas.openxmlformats.org/officeDocument/2006/relationships/hyperlink" Target="https://creativecommons.org/licenses/by-nc/4.0/" TargetMode="External"/><Relationship Id="rId6633" Type="http://schemas.openxmlformats.org/officeDocument/2006/relationships/hyperlink" Target="https://www.inaturalist.org/observations/228560944" TargetMode="External"/><Relationship Id="rId6634" Type="http://schemas.openxmlformats.org/officeDocument/2006/relationships/hyperlink" Target="https://creativecommons.org/licenses/by-nc/4.0/" TargetMode="External"/><Relationship Id="rId6635" Type="http://schemas.openxmlformats.org/officeDocument/2006/relationships/hyperlink" Target="https://www.inaturalist.org/observations/221173234" TargetMode="External"/><Relationship Id="rId6636" Type="http://schemas.openxmlformats.org/officeDocument/2006/relationships/hyperlink" Target="https://creativecommons.org/licenses/by-nc/4.0/" TargetMode="External"/><Relationship Id="rId6637" Type="http://schemas.openxmlformats.org/officeDocument/2006/relationships/hyperlink" Target="https://www.inaturalist.org/observations/369922516" TargetMode="External"/><Relationship Id="rId6638" Type="http://schemas.openxmlformats.org/officeDocument/2006/relationships/hyperlink" Target="https://creativecommons.org/licenses/by-nc/4.0/" TargetMode="External"/><Relationship Id="rId6639" Type="http://schemas.openxmlformats.org/officeDocument/2006/relationships/hyperlink" Target="https://www.inaturalist.org/observations/368910281" TargetMode="External"/><Relationship Id="rId6640" Type="http://schemas.openxmlformats.org/officeDocument/2006/relationships/hyperlink" Target="https://creativecommons.org/licenses/by-nc/4.0/" TargetMode="External"/><Relationship Id="rId6641" Type="http://schemas.openxmlformats.org/officeDocument/2006/relationships/hyperlink" Target="https://www.inaturalist.org/observations/366191861" TargetMode="External"/><Relationship Id="rId6642" Type="http://schemas.openxmlformats.org/officeDocument/2006/relationships/hyperlink" Target="https://creativecommons.org/licenses/by-nc/4.0/" TargetMode="External"/><Relationship Id="rId6643" Type="http://schemas.openxmlformats.org/officeDocument/2006/relationships/hyperlink" Target="https://www.inaturalist.org/observations/365591083" TargetMode="External"/><Relationship Id="rId6644" Type="http://schemas.openxmlformats.org/officeDocument/2006/relationships/hyperlink" Target="https://creativecommons.org/licenses/by-nc/4.0/" TargetMode="External"/><Relationship Id="rId6645" Type="http://schemas.openxmlformats.org/officeDocument/2006/relationships/hyperlink" Target="https://www.inaturalist.org/observations/362202015" TargetMode="External"/><Relationship Id="rId6646" Type="http://schemas.openxmlformats.org/officeDocument/2006/relationships/hyperlink" Target="https://creativecommons.org/licenses/by-nc/4.0/" TargetMode="External"/><Relationship Id="rId6647" Type="http://schemas.openxmlformats.org/officeDocument/2006/relationships/hyperlink" Target="https://www.inaturalist.org/observations/352075358" TargetMode="External"/><Relationship Id="rId6648" Type="http://schemas.openxmlformats.org/officeDocument/2006/relationships/hyperlink" Target="https://creativecommons.org/licenses/by-nc/4.0/" TargetMode="External"/><Relationship Id="rId6649" Type="http://schemas.openxmlformats.org/officeDocument/2006/relationships/hyperlink" Target="https://www.inaturalist.org/observations/341997524" TargetMode="External"/><Relationship Id="rId6650" Type="http://schemas.openxmlformats.org/officeDocument/2006/relationships/hyperlink" Target="https://creativecommons.org/licenses/by-nc/4.0/" TargetMode="External"/><Relationship Id="rId6651" Type="http://schemas.openxmlformats.org/officeDocument/2006/relationships/hyperlink" Target="https://www.inaturalist.org/observations/336886552" TargetMode="External"/><Relationship Id="rId6652" Type="http://schemas.openxmlformats.org/officeDocument/2006/relationships/hyperlink" Target="https://creativecommons.org/licenses/by-nc/4.0/" TargetMode="External"/><Relationship Id="rId6653" Type="http://schemas.openxmlformats.org/officeDocument/2006/relationships/hyperlink" Target="https://www.inaturalist.org/observations/332614332" TargetMode="External"/><Relationship Id="rId6654" Type="http://schemas.openxmlformats.org/officeDocument/2006/relationships/hyperlink" Target="https://creativecommons.org/licenses/by-nc/4.0/" TargetMode="External"/><Relationship Id="rId6655" Type="http://schemas.openxmlformats.org/officeDocument/2006/relationships/hyperlink" Target="https://www.inaturalist.org/observations/327045977" TargetMode="External"/><Relationship Id="rId6656" Type="http://schemas.openxmlformats.org/officeDocument/2006/relationships/hyperlink" Target="https://creativecommons.org/licenses/by-nc/4.0/" TargetMode="External"/><Relationship Id="rId6657" Type="http://schemas.openxmlformats.org/officeDocument/2006/relationships/hyperlink" Target="https://www.inaturalist.org/observations/320411568" TargetMode="External"/><Relationship Id="rId6658" Type="http://schemas.openxmlformats.org/officeDocument/2006/relationships/hyperlink" Target="https://creativecommons.org/licenses/by-nc/4.0/" TargetMode="External"/><Relationship Id="rId6659" Type="http://schemas.openxmlformats.org/officeDocument/2006/relationships/hyperlink" Target="https://www.inaturalist.org/observations/316954730" TargetMode="External"/><Relationship Id="rId6660" Type="http://schemas.openxmlformats.org/officeDocument/2006/relationships/hyperlink" Target="https://creativecommons.org/licenses/by-nc/4.0/" TargetMode="External"/><Relationship Id="rId6661" Type="http://schemas.openxmlformats.org/officeDocument/2006/relationships/hyperlink" Target="https://www.inaturalist.org/observations/310513207" TargetMode="External"/><Relationship Id="rId6662" Type="http://schemas.openxmlformats.org/officeDocument/2006/relationships/hyperlink" Target="https://creativecommons.org/licenses/by-nc/4.0/" TargetMode="External"/><Relationship Id="rId6663" Type="http://schemas.openxmlformats.org/officeDocument/2006/relationships/hyperlink" Target="https://www.inaturalist.org/observations/299310937" TargetMode="External"/><Relationship Id="rId6664" Type="http://schemas.openxmlformats.org/officeDocument/2006/relationships/hyperlink" Target="https://creativecommons.org/licenses/by-nc/4.0/" TargetMode="External"/><Relationship Id="rId6665" Type="http://schemas.openxmlformats.org/officeDocument/2006/relationships/hyperlink" Target="https://www.inaturalist.org/observations/298583232" TargetMode="External"/><Relationship Id="rId6666" Type="http://schemas.openxmlformats.org/officeDocument/2006/relationships/hyperlink" Target="https://creativecommons.org/licenses/by-nc/4.0/" TargetMode="External"/><Relationship Id="rId6667" Type="http://schemas.openxmlformats.org/officeDocument/2006/relationships/hyperlink" Target="https://www.inaturalist.org/observations/284597309" TargetMode="External"/><Relationship Id="rId6668" Type="http://schemas.openxmlformats.org/officeDocument/2006/relationships/hyperlink" Target="https://creativecommons.org/licenses/by-nc/4.0/" TargetMode="External"/><Relationship Id="rId6669" Type="http://schemas.openxmlformats.org/officeDocument/2006/relationships/hyperlink" Target="https://www.inaturalist.org/observations/254619898" TargetMode="External"/><Relationship Id="rId6670" Type="http://schemas.openxmlformats.org/officeDocument/2006/relationships/hyperlink" Target="https://creativecommons.org/licenses/by-nc/4.0/" TargetMode="External"/><Relationship Id="rId6671" Type="http://schemas.openxmlformats.org/officeDocument/2006/relationships/hyperlink" Target="https://www.inaturalist.org/observations/253820424" TargetMode="External"/><Relationship Id="rId6672" Type="http://schemas.openxmlformats.org/officeDocument/2006/relationships/hyperlink" Target="https://creativecommons.org/licenses/by-nc/4.0/" TargetMode="External"/><Relationship Id="rId6673" Type="http://schemas.openxmlformats.org/officeDocument/2006/relationships/hyperlink" Target="https://www.inaturalist.org/observations/253791018" TargetMode="External"/><Relationship Id="rId6674" Type="http://schemas.openxmlformats.org/officeDocument/2006/relationships/hyperlink" Target="https://creativecommons.org/licenses/by-nc/4.0/" TargetMode="External"/><Relationship Id="rId6675" Type="http://schemas.openxmlformats.org/officeDocument/2006/relationships/hyperlink" Target="https://www.inaturalist.org/observations/247175904" TargetMode="External"/><Relationship Id="rId6676" Type="http://schemas.openxmlformats.org/officeDocument/2006/relationships/hyperlink" Target="https://creativecommons.org/licenses/by-nc/4.0/" TargetMode="External"/><Relationship Id="rId6677" Type="http://schemas.openxmlformats.org/officeDocument/2006/relationships/hyperlink" Target="https://www.inaturalist.org/observations/240852516" TargetMode="External"/><Relationship Id="rId6678" Type="http://schemas.openxmlformats.org/officeDocument/2006/relationships/hyperlink" Target="https://creativecommons.org/licenses/by-nc/4.0/" TargetMode="External"/><Relationship Id="rId6679" Type="http://schemas.openxmlformats.org/officeDocument/2006/relationships/hyperlink" Target="https://www.inaturalist.org/observations/239864399" TargetMode="External"/><Relationship Id="rId6680" Type="http://schemas.openxmlformats.org/officeDocument/2006/relationships/hyperlink" Target="https://creativecommons.org/licenses/by-nc/4.0/" TargetMode="External"/><Relationship Id="rId6681" Type="http://schemas.openxmlformats.org/officeDocument/2006/relationships/hyperlink" Target="https://www.inaturalist.org/observations/196481124" TargetMode="External"/><Relationship Id="rId6682" Type="http://schemas.openxmlformats.org/officeDocument/2006/relationships/hyperlink" Target="https://creativecommons.org/licenses/by-nc/4.0/" TargetMode="External"/><Relationship Id="rId6683" Type="http://schemas.openxmlformats.org/officeDocument/2006/relationships/hyperlink" Target="https://www.inaturalist.org/observations/186382456" TargetMode="External"/><Relationship Id="rId6684" Type="http://schemas.openxmlformats.org/officeDocument/2006/relationships/hyperlink" Target="https://creativecommons.org/licenses/by-nc/4.0/" TargetMode="External"/><Relationship Id="rId6685" Type="http://schemas.openxmlformats.org/officeDocument/2006/relationships/hyperlink" Target="https://www.inaturalist.org/observations/179987397" TargetMode="External"/><Relationship Id="rId6686" Type="http://schemas.openxmlformats.org/officeDocument/2006/relationships/hyperlink" Target="https://creativecommons.org/licenses/by-nc/4.0/" TargetMode="External"/><Relationship Id="rId6687" Type="http://schemas.openxmlformats.org/officeDocument/2006/relationships/hyperlink" Target="https://www.inaturalist.org/observations/155534186" TargetMode="External"/><Relationship Id="rId6688" Type="http://schemas.openxmlformats.org/officeDocument/2006/relationships/hyperlink" Target="https://creativecommons.org/licenses/by-nc/4.0/" TargetMode="External"/><Relationship Id="rId6689" Type="http://schemas.openxmlformats.org/officeDocument/2006/relationships/hyperlink" Target="https://www.inaturalist.org/observations/152667260" TargetMode="External"/><Relationship Id="rId6690" Type="http://schemas.openxmlformats.org/officeDocument/2006/relationships/hyperlink" Target="https://creativecommons.org/licenses/by-nc/4.0/" TargetMode="External"/><Relationship Id="rId6691" Type="http://schemas.openxmlformats.org/officeDocument/2006/relationships/hyperlink" Target="https://www.inaturalist.org/observations/149618814" TargetMode="External"/><Relationship Id="rId6692" Type="http://schemas.openxmlformats.org/officeDocument/2006/relationships/hyperlink" Target="https://creativecommons.org/licenses/by-nc/4.0/" TargetMode="External"/><Relationship Id="rId6693" Type="http://schemas.openxmlformats.org/officeDocument/2006/relationships/hyperlink" Target="https://www.inaturalist.org/observations/148561612" TargetMode="External"/><Relationship Id="rId6694" Type="http://schemas.openxmlformats.org/officeDocument/2006/relationships/hyperlink" Target="https://creativecommons.org/licenses/by-nc/4.0/" TargetMode="External"/><Relationship Id="rId6695" Type="http://schemas.openxmlformats.org/officeDocument/2006/relationships/hyperlink" Target="https://www.inaturalist.org/observations/144030670" TargetMode="External"/><Relationship Id="rId6696" Type="http://schemas.openxmlformats.org/officeDocument/2006/relationships/hyperlink" Target="https://creativecommons.org/licenses/by-nc/4.0/" TargetMode="External"/><Relationship Id="rId6697" Type="http://schemas.openxmlformats.org/officeDocument/2006/relationships/hyperlink" Target="https://www.inaturalist.org/observations/129348360" TargetMode="External"/><Relationship Id="rId6698" Type="http://schemas.openxmlformats.org/officeDocument/2006/relationships/hyperlink" Target="https://creativecommons.org/licenses/by-nc/4.0/" TargetMode="External"/><Relationship Id="rId6699" Type="http://schemas.openxmlformats.org/officeDocument/2006/relationships/hyperlink" Target="https://www.inaturalist.org/observations/91179061" TargetMode="External"/><Relationship Id="rId6700" Type="http://schemas.openxmlformats.org/officeDocument/2006/relationships/hyperlink" Target="https://creativecommons.org/licenses/by-nc/4.0/" TargetMode="External"/><Relationship Id="rId6701" Type="http://schemas.openxmlformats.org/officeDocument/2006/relationships/hyperlink" Target="https://www.inaturalist.org/observations/79596657" TargetMode="External"/><Relationship Id="rId6702" Type="http://schemas.openxmlformats.org/officeDocument/2006/relationships/hyperlink" Target="https://creativecommons.org/licenses/by-nc/4.0/" TargetMode="External"/><Relationship Id="rId6703" Type="http://schemas.openxmlformats.org/officeDocument/2006/relationships/hyperlink" Target="https://www.inaturalist.org/observations/35435381" TargetMode="External"/><Relationship Id="rId6704" Type="http://schemas.openxmlformats.org/officeDocument/2006/relationships/hyperlink" Target="https://creativecommons.org/licenses/by-nc/4.0/" TargetMode="External"/><Relationship Id="rId6705" Type="http://schemas.openxmlformats.org/officeDocument/2006/relationships/hyperlink" Target="https://www.inaturalist.org/observations/7509653" TargetMode="External"/><Relationship Id="rId6706" Type="http://schemas.openxmlformats.org/officeDocument/2006/relationships/hyperlink" Target="https://creativecommons.org/licenses/by-nc/4.0/" TargetMode="External"/><Relationship Id="rId6707" Type="http://schemas.openxmlformats.org/officeDocument/2006/relationships/hyperlink" Target="https://www.inaturalist.org/observations/369906594" TargetMode="External"/><Relationship Id="rId6708" Type="http://schemas.openxmlformats.org/officeDocument/2006/relationships/hyperlink" Target="https://creativecommons.org/licenses/by-nc/4.0/" TargetMode="External"/><Relationship Id="rId6709" Type="http://schemas.openxmlformats.org/officeDocument/2006/relationships/hyperlink" Target="https://www.inaturalist.org/observations/362622088" TargetMode="External"/><Relationship Id="rId6710" Type="http://schemas.openxmlformats.org/officeDocument/2006/relationships/hyperlink" Target="https://creativecommons.org/licenses/by-nc/4.0/" TargetMode="External"/><Relationship Id="rId6711" Type="http://schemas.openxmlformats.org/officeDocument/2006/relationships/hyperlink" Target="https://www.inaturalist.org/observations/360870717" TargetMode="External"/><Relationship Id="rId6712" Type="http://schemas.openxmlformats.org/officeDocument/2006/relationships/hyperlink" Target="https://creativecommons.org/licenses/by-nc/4.0/" TargetMode="External"/><Relationship Id="rId6713" Type="http://schemas.openxmlformats.org/officeDocument/2006/relationships/hyperlink" Target="https://www.inaturalist.org/observations/342849918" TargetMode="External"/><Relationship Id="rId6714" Type="http://schemas.openxmlformats.org/officeDocument/2006/relationships/hyperlink" Target="https://creativecommons.org/licenses/by-nc/4.0/" TargetMode="External"/><Relationship Id="rId6715" Type="http://schemas.openxmlformats.org/officeDocument/2006/relationships/hyperlink" Target="https://www.inaturalist.org/observations/334048992" TargetMode="External"/><Relationship Id="rId6716" Type="http://schemas.openxmlformats.org/officeDocument/2006/relationships/hyperlink" Target="https://creativecommons.org/licenses/by-nc/4.0/" TargetMode="External"/><Relationship Id="rId6717" Type="http://schemas.openxmlformats.org/officeDocument/2006/relationships/hyperlink" Target="https://www.inaturalist.org/observations/333386608" TargetMode="External"/><Relationship Id="rId6718" Type="http://schemas.openxmlformats.org/officeDocument/2006/relationships/hyperlink" Target="https://creativecommons.org/licenses/by-nc/4.0/" TargetMode="External"/><Relationship Id="rId6719" Type="http://schemas.openxmlformats.org/officeDocument/2006/relationships/hyperlink" Target="https://www.inaturalist.org/observations/332383630" TargetMode="External"/><Relationship Id="rId6720" Type="http://schemas.openxmlformats.org/officeDocument/2006/relationships/hyperlink" Target="https://creativecommons.org/licenses/by-nc/4.0/" TargetMode="External"/><Relationship Id="rId6721" Type="http://schemas.openxmlformats.org/officeDocument/2006/relationships/hyperlink" Target="https://www.inaturalist.org/observations/330532598" TargetMode="External"/><Relationship Id="rId6722" Type="http://schemas.openxmlformats.org/officeDocument/2006/relationships/hyperlink" Target="https://creativecommons.org/licenses/by-nc/4.0/" TargetMode="External"/><Relationship Id="rId6723" Type="http://schemas.openxmlformats.org/officeDocument/2006/relationships/hyperlink" Target="https://www.inaturalist.org/observations/330529108" TargetMode="External"/><Relationship Id="rId6724" Type="http://schemas.openxmlformats.org/officeDocument/2006/relationships/hyperlink" Target="https://creativecommons.org/licenses/by-nc/4.0/" TargetMode="External"/><Relationship Id="rId6725" Type="http://schemas.openxmlformats.org/officeDocument/2006/relationships/hyperlink" Target="https://www.inaturalist.org/observations/329388435" TargetMode="External"/><Relationship Id="rId6726" Type="http://schemas.openxmlformats.org/officeDocument/2006/relationships/hyperlink" Target="https://creativecommons.org/licenses/by-nc/4.0/" TargetMode="External"/><Relationship Id="rId6727" Type="http://schemas.openxmlformats.org/officeDocument/2006/relationships/hyperlink" Target="https://www.inaturalist.org/observations/329149818" TargetMode="External"/><Relationship Id="rId6728" Type="http://schemas.openxmlformats.org/officeDocument/2006/relationships/hyperlink" Target="https://creativecommons.org/licenses/by-nc/4.0/" TargetMode="External"/><Relationship Id="rId6729" Type="http://schemas.openxmlformats.org/officeDocument/2006/relationships/hyperlink" Target="https://www.inaturalist.org/observations/319229138" TargetMode="External"/><Relationship Id="rId6730" Type="http://schemas.openxmlformats.org/officeDocument/2006/relationships/hyperlink" Target="https://creativecommons.org/licenses/by-nc/4.0/" TargetMode="External"/><Relationship Id="rId6731" Type="http://schemas.openxmlformats.org/officeDocument/2006/relationships/hyperlink" Target="https://www.inaturalist.org/observations/318614067" TargetMode="External"/><Relationship Id="rId6732" Type="http://schemas.openxmlformats.org/officeDocument/2006/relationships/hyperlink" Target="https://creativecommons.org/licenses/by-nc/4.0/" TargetMode="External"/><Relationship Id="rId6733" Type="http://schemas.openxmlformats.org/officeDocument/2006/relationships/hyperlink" Target="https://www.inaturalist.org/observations/318528997" TargetMode="External"/><Relationship Id="rId6734" Type="http://schemas.openxmlformats.org/officeDocument/2006/relationships/hyperlink" Target="https://creativecommons.org/licenses/by-nc/4.0/" TargetMode="External"/><Relationship Id="rId6735" Type="http://schemas.openxmlformats.org/officeDocument/2006/relationships/hyperlink" Target="https://www.inaturalist.org/observations/318528996" TargetMode="External"/><Relationship Id="rId6736" Type="http://schemas.openxmlformats.org/officeDocument/2006/relationships/hyperlink" Target="https://creativecommons.org/licenses/by-nc/4.0/" TargetMode="External"/><Relationship Id="rId6737" Type="http://schemas.openxmlformats.org/officeDocument/2006/relationships/hyperlink" Target="https://www.inaturalist.org/observations/318198155" TargetMode="External"/><Relationship Id="rId6738" Type="http://schemas.openxmlformats.org/officeDocument/2006/relationships/hyperlink" Target="https://creativecommons.org/licenses/by-nc/4.0/" TargetMode="External"/><Relationship Id="rId6739" Type="http://schemas.openxmlformats.org/officeDocument/2006/relationships/hyperlink" Target="https://www.inaturalist.org/observations/317538366" TargetMode="External"/><Relationship Id="rId6740" Type="http://schemas.openxmlformats.org/officeDocument/2006/relationships/hyperlink" Target="https://creativecommons.org/licenses/by-nc/4.0/" TargetMode="External"/><Relationship Id="rId6741" Type="http://schemas.openxmlformats.org/officeDocument/2006/relationships/hyperlink" Target="https://www.inaturalist.org/observations/293122938" TargetMode="External"/><Relationship Id="rId6742" Type="http://schemas.openxmlformats.org/officeDocument/2006/relationships/hyperlink" Target="https://creativecommons.org/licenses/by-nc/4.0/" TargetMode="External"/><Relationship Id="rId6743" Type="http://schemas.openxmlformats.org/officeDocument/2006/relationships/hyperlink" Target="https://www.inaturalist.org/observations/284159189" TargetMode="External"/><Relationship Id="rId6744" Type="http://schemas.openxmlformats.org/officeDocument/2006/relationships/hyperlink" Target="https://creativecommons.org/licenses/by-nc/4.0/" TargetMode="External"/><Relationship Id="rId6745" Type="http://schemas.openxmlformats.org/officeDocument/2006/relationships/hyperlink" Target="https://www.inaturalist.org/observations/282693630" TargetMode="External"/><Relationship Id="rId6746" Type="http://schemas.openxmlformats.org/officeDocument/2006/relationships/hyperlink" Target="https://creativecommons.org/licenses/by-nc/4.0/" TargetMode="External"/><Relationship Id="rId6747" Type="http://schemas.openxmlformats.org/officeDocument/2006/relationships/hyperlink" Target="https://www.inaturalist.org/observations/278631516" TargetMode="External"/><Relationship Id="rId6748" Type="http://schemas.openxmlformats.org/officeDocument/2006/relationships/hyperlink" Target="https://creativecommons.org/licenses/by-nc/4.0/" TargetMode="External"/><Relationship Id="rId6749" Type="http://schemas.openxmlformats.org/officeDocument/2006/relationships/hyperlink" Target="https://www.inaturalist.org/observations/274449676" TargetMode="External"/><Relationship Id="rId6750" Type="http://schemas.openxmlformats.org/officeDocument/2006/relationships/hyperlink" Target="https://creativecommons.org/licenses/by-nc/4.0/" TargetMode="External"/><Relationship Id="rId6751" Type="http://schemas.openxmlformats.org/officeDocument/2006/relationships/hyperlink" Target="https://www.inaturalist.org/observations/271806277" TargetMode="External"/><Relationship Id="rId6752" Type="http://schemas.openxmlformats.org/officeDocument/2006/relationships/hyperlink" Target="https://creativecommons.org/licenses/by-nc/4.0/" TargetMode="External"/><Relationship Id="rId6753" Type="http://schemas.openxmlformats.org/officeDocument/2006/relationships/hyperlink" Target="https://www.inaturalist.org/observations/265918412" TargetMode="External"/><Relationship Id="rId6754" Type="http://schemas.openxmlformats.org/officeDocument/2006/relationships/hyperlink" Target="https://creativecommons.org/licenses/by-nc/4.0/" TargetMode="External"/><Relationship Id="rId6755" Type="http://schemas.openxmlformats.org/officeDocument/2006/relationships/hyperlink" Target="https://www.inaturalist.org/observations/261471444" TargetMode="External"/><Relationship Id="rId6756" Type="http://schemas.openxmlformats.org/officeDocument/2006/relationships/hyperlink" Target="https://creativecommons.org/licenses/by-nc/4.0/" TargetMode="External"/><Relationship Id="rId6757" Type="http://schemas.openxmlformats.org/officeDocument/2006/relationships/hyperlink" Target="https://www.inaturalist.org/observations/261340432" TargetMode="External"/><Relationship Id="rId6758" Type="http://schemas.openxmlformats.org/officeDocument/2006/relationships/hyperlink" Target="https://creativecommons.org/licenses/by-nc/4.0/" TargetMode="External"/><Relationship Id="rId6759" Type="http://schemas.openxmlformats.org/officeDocument/2006/relationships/hyperlink" Target="https://www.inaturalist.org/observations/259107470" TargetMode="External"/><Relationship Id="rId6760" Type="http://schemas.openxmlformats.org/officeDocument/2006/relationships/hyperlink" Target="https://creativecommons.org/licenses/by-nc/4.0/" TargetMode="External"/><Relationship Id="rId6761" Type="http://schemas.openxmlformats.org/officeDocument/2006/relationships/hyperlink" Target="https://www.inaturalist.org/observations/258323524" TargetMode="External"/><Relationship Id="rId6762" Type="http://schemas.openxmlformats.org/officeDocument/2006/relationships/hyperlink" Target="https://creativecommons.org/licenses/by-nc/4.0/" TargetMode="External"/><Relationship Id="rId6763" Type="http://schemas.openxmlformats.org/officeDocument/2006/relationships/hyperlink" Target="https://www.inaturalist.org/observations/257942957" TargetMode="External"/><Relationship Id="rId6764" Type="http://schemas.openxmlformats.org/officeDocument/2006/relationships/hyperlink" Target="https://creativecommons.org/licenses/by-nc/4.0/" TargetMode="External"/><Relationship Id="rId6765" Type="http://schemas.openxmlformats.org/officeDocument/2006/relationships/hyperlink" Target="https://www.inaturalist.org/observations/257288103" TargetMode="External"/><Relationship Id="rId6766" Type="http://schemas.openxmlformats.org/officeDocument/2006/relationships/hyperlink" Target="https://creativecommons.org/licenses/by-nc/4.0/" TargetMode="External"/><Relationship Id="rId6767" Type="http://schemas.openxmlformats.org/officeDocument/2006/relationships/hyperlink" Target="https://www.inaturalist.org/observations/255345313" TargetMode="External"/><Relationship Id="rId6768" Type="http://schemas.openxmlformats.org/officeDocument/2006/relationships/hyperlink" Target="https://creativecommons.org/licenses/by-nc/4.0/" TargetMode="External"/><Relationship Id="rId6769" Type="http://schemas.openxmlformats.org/officeDocument/2006/relationships/hyperlink" Target="https://www.inaturalist.org/observations/253775506" TargetMode="External"/><Relationship Id="rId6770" Type="http://schemas.openxmlformats.org/officeDocument/2006/relationships/hyperlink" Target="https://creativecommons.org/licenses/by-nc/4.0/" TargetMode="External"/><Relationship Id="rId6771" Type="http://schemas.openxmlformats.org/officeDocument/2006/relationships/hyperlink" Target="https://www.inaturalist.org/observations/253476242" TargetMode="External"/><Relationship Id="rId6772" Type="http://schemas.openxmlformats.org/officeDocument/2006/relationships/hyperlink" Target="https://creativecommons.org/licenses/by-nc/4.0/" TargetMode="External"/><Relationship Id="rId6773" Type="http://schemas.openxmlformats.org/officeDocument/2006/relationships/hyperlink" Target="https://www.inaturalist.org/observations/252237864" TargetMode="External"/><Relationship Id="rId6774" Type="http://schemas.openxmlformats.org/officeDocument/2006/relationships/hyperlink" Target="https://creativecommons.org/licenses/by-nc/4.0/" TargetMode="External"/><Relationship Id="rId6775" Type="http://schemas.openxmlformats.org/officeDocument/2006/relationships/hyperlink" Target="https://www.inaturalist.org/observations/251879534" TargetMode="External"/><Relationship Id="rId6776" Type="http://schemas.openxmlformats.org/officeDocument/2006/relationships/hyperlink" Target="https://creativecommons.org/licenses/by-nc/4.0/" TargetMode="External"/><Relationship Id="rId6777" Type="http://schemas.openxmlformats.org/officeDocument/2006/relationships/hyperlink" Target="https://www.inaturalist.org/observations/381657336" TargetMode="External"/><Relationship Id="rId6778" Type="http://schemas.openxmlformats.org/officeDocument/2006/relationships/hyperlink" Target="https://creativecommons.org/licenses/by-nc/4.0/" TargetMode="External"/><Relationship Id="rId6779" Type="http://schemas.openxmlformats.org/officeDocument/2006/relationships/hyperlink" Target="https://www.inaturalist.org/observations/375052143" TargetMode="External"/><Relationship Id="rId6780" Type="http://schemas.openxmlformats.org/officeDocument/2006/relationships/hyperlink" Target="https://creativecommons.org/licenses/by-nc/4.0/" TargetMode="External"/><Relationship Id="rId6781" Type="http://schemas.openxmlformats.org/officeDocument/2006/relationships/hyperlink" Target="https://www.inaturalist.org/observations/367318595" TargetMode="External"/><Relationship Id="rId6782" Type="http://schemas.openxmlformats.org/officeDocument/2006/relationships/hyperlink" Target="https://creativecommons.org/licenses/by-nc/4.0/" TargetMode="External"/><Relationship Id="rId6783" Type="http://schemas.openxmlformats.org/officeDocument/2006/relationships/hyperlink" Target="https://www.inaturalist.org/observations/349908036" TargetMode="External"/><Relationship Id="rId6784" Type="http://schemas.openxmlformats.org/officeDocument/2006/relationships/hyperlink" Target="https://creativecommons.org/licenses/by-nc/4.0/" TargetMode="External"/><Relationship Id="rId6785" Type="http://schemas.openxmlformats.org/officeDocument/2006/relationships/hyperlink" Target="https://www.inaturalist.org/observations/341158265" TargetMode="External"/><Relationship Id="rId6786" Type="http://schemas.openxmlformats.org/officeDocument/2006/relationships/hyperlink" Target="https://creativecommons.org/licenses/by-nc/4.0/" TargetMode="External"/><Relationship Id="rId6787" Type="http://schemas.openxmlformats.org/officeDocument/2006/relationships/hyperlink" Target="https://www.inaturalist.org/observations/335824362" TargetMode="External"/><Relationship Id="rId6788" Type="http://schemas.openxmlformats.org/officeDocument/2006/relationships/hyperlink" Target="https://creativecommons.org/licenses/by-nc/4.0/" TargetMode="External"/><Relationship Id="rId6789" Type="http://schemas.openxmlformats.org/officeDocument/2006/relationships/hyperlink" Target="https://www.inaturalist.org/observations/329332206" TargetMode="External"/><Relationship Id="rId6790" Type="http://schemas.openxmlformats.org/officeDocument/2006/relationships/hyperlink" Target="https://creativecommons.org/licenses/by-nc/4.0/" TargetMode="External"/><Relationship Id="rId6791" Type="http://schemas.openxmlformats.org/officeDocument/2006/relationships/hyperlink" Target="https://www.inaturalist.org/observations/327969111" TargetMode="External"/><Relationship Id="rId6792" Type="http://schemas.openxmlformats.org/officeDocument/2006/relationships/hyperlink" Target="https://creativecommons.org/licenses/by-nc/4.0/" TargetMode="External"/><Relationship Id="rId6793" Type="http://schemas.openxmlformats.org/officeDocument/2006/relationships/hyperlink" Target="https://www.inaturalist.org/observations/315951602" TargetMode="External"/><Relationship Id="rId6794" Type="http://schemas.openxmlformats.org/officeDocument/2006/relationships/hyperlink" Target="https://creativecommons.org/licenses/by-nc/4.0/" TargetMode="External"/><Relationship Id="rId6795" Type="http://schemas.openxmlformats.org/officeDocument/2006/relationships/hyperlink" Target="https://www.inaturalist.org/observations/306418232" TargetMode="External"/><Relationship Id="rId6796" Type="http://schemas.openxmlformats.org/officeDocument/2006/relationships/hyperlink" Target="https://creativecommons.org/licenses/by-nc/4.0/" TargetMode="External"/><Relationship Id="rId6797" Type="http://schemas.openxmlformats.org/officeDocument/2006/relationships/hyperlink" Target="https://www.inaturalist.org/observations/302743315" TargetMode="External"/><Relationship Id="rId6798" Type="http://schemas.openxmlformats.org/officeDocument/2006/relationships/hyperlink" Target="https://creativecommons.org/licenses/by-nc/4.0/" TargetMode="External"/><Relationship Id="rId6799" Type="http://schemas.openxmlformats.org/officeDocument/2006/relationships/hyperlink" Target="https://www.inaturalist.org/observations/285619275" TargetMode="External"/><Relationship Id="rId6800" Type="http://schemas.openxmlformats.org/officeDocument/2006/relationships/hyperlink" Target="https://creativecommons.org/licenses/by-nc/4.0/" TargetMode="External"/><Relationship Id="rId6801" Type="http://schemas.openxmlformats.org/officeDocument/2006/relationships/hyperlink" Target="https://www.inaturalist.org/observations/266049761" TargetMode="External"/><Relationship Id="rId6802" Type="http://schemas.openxmlformats.org/officeDocument/2006/relationships/hyperlink" Target="https://creativecommons.org/licenses/by-nc/4.0/" TargetMode="External"/><Relationship Id="rId6803" Type="http://schemas.openxmlformats.org/officeDocument/2006/relationships/hyperlink" Target="https://www.inaturalist.org/observations/260471391" TargetMode="External"/><Relationship Id="rId6804" Type="http://schemas.openxmlformats.org/officeDocument/2006/relationships/hyperlink" Target="https://creativecommons.org/licenses/by-nc/4.0/" TargetMode="External"/><Relationship Id="rId6805" Type="http://schemas.openxmlformats.org/officeDocument/2006/relationships/hyperlink" Target="https://www.inaturalist.org/observations/259182676" TargetMode="External"/><Relationship Id="rId6806" Type="http://schemas.openxmlformats.org/officeDocument/2006/relationships/hyperlink" Target="https://creativecommons.org/licenses/by-nc/4.0/" TargetMode="External"/><Relationship Id="rId6807" Type="http://schemas.openxmlformats.org/officeDocument/2006/relationships/hyperlink" Target="https://www.inaturalist.org/observations/256427337" TargetMode="External"/><Relationship Id="rId6808" Type="http://schemas.openxmlformats.org/officeDocument/2006/relationships/hyperlink" Target="https://creativecommons.org/licenses/by-nc/4.0/" TargetMode="External"/><Relationship Id="rId6809" Type="http://schemas.openxmlformats.org/officeDocument/2006/relationships/hyperlink" Target="https://www.inaturalist.org/observations/253463612" TargetMode="External"/><Relationship Id="rId6810" Type="http://schemas.openxmlformats.org/officeDocument/2006/relationships/hyperlink" Target="https://creativecommons.org/licenses/by-nc/4.0/" TargetMode="External"/><Relationship Id="rId6811" Type="http://schemas.openxmlformats.org/officeDocument/2006/relationships/hyperlink" Target="https://www.inaturalist.org/observations/233420247" TargetMode="External"/><Relationship Id="rId6812" Type="http://schemas.openxmlformats.org/officeDocument/2006/relationships/hyperlink" Target="https://creativecommons.org/licenses/by-nc/4.0/" TargetMode="External"/><Relationship Id="rId6813" Type="http://schemas.openxmlformats.org/officeDocument/2006/relationships/hyperlink" Target="https://www.inaturalist.org/observations/231701547" TargetMode="External"/><Relationship Id="rId6814" Type="http://schemas.openxmlformats.org/officeDocument/2006/relationships/hyperlink" Target="https://creativecommons.org/licenses/by-nc/4.0/" TargetMode="External"/><Relationship Id="rId6815" Type="http://schemas.openxmlformats.org/officeDocument/2006/relationships/hyperlink" Target="https://www.inaturalist.org/observations/230888870" TargetMode="External"/><Relationship Id="rId6816" Type="http://schemas.openxmlformats.org/officeDocument/2006/relationships/hyperlink" Target="https://creativecommons.org/licenses/by-nc/4.0/" TargetMode="External"/><Relationship Id="rId6817" Type="http://schemas.openxmlformats.org/officeDocument/2006/relationships/hyperlink" Target="https://www.inaturalist.org/observations/230680210" TargetMode="External"/><Relationship Id="rId6818" Type="http://schemas.openxmlformats.org/officeDocument/2006/relationships/hyperlink" Target="https://creativecommons.org/licenses/by-nc/4.0/" TargetMode="External"/><Relationship Id="rId6819" Type="http://schemas.openxmlformats.org/officeDocument/2006/relationships/hyperlink" Target="https://www.inaturalist.org/observations/230680141" TargetMode="External"/><Relationship Id="rId6820" Type="http://schemas.openxmlformats.org/officeDocument/2006/relationships/hyperlink" Target="https://creativecommons.org/licenses/by-nc/4.0/" TargetMode="External"/><Relationship Id="rId6821" Type="http://schemas.openxmlformats.org/officeDocument/2006/relationships/hyperlink" Target="https://www.inaturalist.org/observations/227670910" TargetMode="External"/><Relationship Id="rId6822" Type="http://schemas.openxmlformats.org/officeDocument/2006/relationships/hyperlink" Target="https://creativecommons.org/licenses/by-nc/4.0/" TargetMode="External"/><Relationship Id="rId6823" Type="http://schemas.openxmlformats.org/officeDocument/2006/relationships/hyperlink" Target="https://www.inaturalist.org/observations/216217082" TargetMode="External"/><Relationship Id="rId6824" Type="http://schemas.openxmlformats.org/officeDocument/2006/relationships/hyperlink" Target="https://creativecommons.org/licenses/by-nc/4.0/" TargetMode="External"/><Relationship Id="rId6825" Type="http://schemas.openxmlformats.org/officeDocument/2006/relationships/hyperlink" Target="https://www.inaturalist.org/observations/201744302" TargetMode="External"/><Relationship Id="rId6826" Type="http://schemas.openxmlformats.org/officeDocument/2006/relationships/hyperlink" Target="https://creativecommons.org/licenses/by-nc/4.0/" TargetMode="External"/><Relationship Id="rId6827" Type="http://schemas.openxmlformats.org/officeDocument/2006/relationships/hyperlink" Target="https://www.inaturalist.org/observations/200478050" TargetMode="External"/><Relationship Id="rId6828" Type="http://schemas.openxmlformats.org/officeDocument/2006/relationships/hyperlink" Target="https://creativecommons.org/licenses/by-nc/4.0/" TargetMode="External"/><Relationship Id="rId6829" Type="http://schemas.openxmlformats.org/officeDocument/2006/relationships/hyperlink" Target="https://www.inaturalist.org/observations/197924890" TargetMode="External"/><Relationship Id="rId6830" Type="http://schemas.openxmlformats.org/officeDocument/2006/relationships/hyperlink" Target="https://creativecommons.org/licenses/by-nc/4.0/" TargetMode="External"/><Relationship Id="rId6831" Type="http://schemas.openxmlformats.org/officeDocument/2006/relationships/hyperlink" Target="https://www.inaturalist.org/observations/197924889" TargetMode="External"/><Relationship Id="rId6832" Type="http://schemas.openxmlformats.org/officeDocument/2006/relationships/hyperlink" Target="https://creativecommons.org/licenses/by-nc/4.0/" TargetMode="External"/><Relationship Id="rId6833" Type="http://schemas.openxmlformats.org/officeDocument/2006/relationships/hyperlink" Target="https://www.inaturalist.org/observations/197061983" TargetMode="External"/><Relationship Id="rId6834" Type="http://schemas.openxmlformats.org/officeDocument/2006/relationships/hyperlink" Target="https://creativecommons.org/licenses/by-nc/4.0/" TargetMode="External"/><Relationship Id="rId6835" Type="http://schemas.openxmlformats.org/officeDocument/2006/relationships/hyperlink" Target="https://www.inaturalist.org/observations/195771364" TargetMode="External"/><Relationship Id="rId6836" Type="http://schemas.openxmlformats.org/officeDocument/2006/relationships/hyperlink" Target="https://creativecommons.org/licenses/by-nc/4.0/" TargetMode="External"/><Relationship Id="rId6837" Type="http://schemas.openxmlformats.org/officeDocument/2006/relationships/hyperlink" Target="https://www.inaturalist.org/observations/179061810" TargetMode="External"/><Relationship Id="rId6838" Type="http://schemas.openxmlformats.org/officeDocument/2006/relationships/hyperlink" Target="https://creativecommons.org/licenses/by-nc/4.0/" TargetMode="External"/><Relationship Id="rId6839" Type="http://schemas.openxmlformats.org/officeDocument/2006/relationships/hyperlink" Target="https://www.inaturalist.org/observations/175286213" TargetMode="External"/><Relationship Id="rId6840" Type="http://schemas.openxmlformats.org/officeDocument/2006/relationships/hyperlink" Target="https://creativecommons.org/licenses/by-nc/4.0/" TargetMode="External"/><Relationship Id="rId6841" Type="http://schemas.openxmlformats.org/officeDocument/2006/relationships/hyperlink" Target="https://www.inaturalist.org/observations/154712487" TargetMode="External"/><Relationship Id="rId6842" Type="http://schemas.openxmlformats.org/officeDocument/2006/relationships/hyperlink" Target="https://creativecommons.org/licenses/by-nc/4.0/" TargetMode="External"/><Relationship Id="rId6843" Type="http://schemas.openxmlformats.org/officeDocument/2006/relationships/hyperlink" Target="https://www.inaturalist.org/observations/152635921" TargetMode="External"/><Relationship Id="rId6844" Type="http://schemas.openxmlformats.org/officeDocument/2006/relationships/hyperlink" Target="https://creativecommons.org/licenses/by-nc/4.0/" TargetMode="External"/><Relationship Id="rId6845" Type="http://schemas.openxmlformats.org/officeDocument/2006/relationships/hyperlink" Target="https://www.inaturalist.org/observations/147444063" TargetMode="External"/><Relationship Id="rId6846" Type="http://schemas.openxmlformats.org/officeDocument/2006/relationships/hyperlink" Target="https://creativecommons.org/licenses/by-nc/4.0/" TargetMode="External"/><Relationship Id="rId6847" Type="http://schemas.openxmlformats.org/officeDocument/2006/relationships/hyperlink" Target="https://www.inaturalist.org/observations/377098518" TargetMode="External"/><Relationship Id="rId6848" Type="http://schemas.openxmlformats.org/officeDocument/2006/relationships/hyperlink" Target="https://creativecommons.org/licenses/by-nc/4.0/" TargetMode="External"/><Relationship Id="rId6849" Type="http://schemas.openxmlformats.org/officeDocument/2006/relationships/hyperlink" Target="https://www.inaturalist.org/observations/371834204" TargetMode="External"/><Relationship Id="rId6850" Type="http://schemas.openxmlformats.org/officeDocument/2006/relationships/hyperlink" Target="https://creativecommons.org/licenses/by-nc/4.0/" TargetMode="External"/><Relationship Id="rId6851" Type="http://schemas.openxmlformats.org/officeDocument/2006/relationships/hyperlink" Target="https://www.inaturalist.org/observations/348092686" TargetMode="External"/><Relationship Id="rId6852" Type="http://schemas.openxmlformats.org/officeDocument/2006/relationships/hyperlink" Target="https://creativecommons.org/licenses/by-nc/4.0/" TargetMode="External"/><Relationship Id="rId6853" Type="http://schemas.openxmlformats.org/officeDocument/2006/relationships/hyperlink" Target="https://www.inaturalist.org/observations/348083595" TargetMode="External"/><Relationship Id="rId6854" Type="http://schemas.openxmlformats.org/officeDocument/2006/relationships/hyperlink" Target="https://creativecommons.org/licenses/by-nc/4.0/" TargetMode="External"/><Relationship Id="rId6855" Type="http://schemas.openxmlformats.org/officeDocument/2006/relationships/hyperlink" Target="https://www.inaturalist.org/observations/347479037" TargetMode="External"/><Relationship Id="rId6856" Type="http://schemas.openxmlformats.org/officeDocument/2006/relationships/hyperlink" Target="https://creativecommons.org/licenses/by-nc/4.0/" TargetMode="External"/><Relationship Id="rId6857" Type="http://schemas.openxmlformats.org/officeDocument/2006/relationships/hyperlink" Target="https://www.inaturalist.org/observations/340678202" TargetMode="External"/><Relationship Id="rId6858" Type="http://schemas.openxmlformats.org/officeDocument/2006/relationships/hyperlink" Target="https://creativecommons.org/licenses/by-nc/4.0/" TargetMode="External"/><Relationship Id="rId6859" Type="http://schemas.openxmlformats.org/officeDocument/2006/relationships/hyperlink" Target="https://www.inaturalist.org/observations/339159013" TargetMode="External"/><Relationship Id="rId6860" Type="http://schemas.openxmlformats.org/officeDocument/2006/relationships/hyperlink" Target="https://creativecommons.org/licenses/by-nc/4.0/" TargetMode="External"/><Relationship Id="rId6861" Type="http://schemas.openxmlformats.org/officeDocument/2006/relationships/hyperlink" Target="https://www.inaturalist.org/observations/338670985" TargetMode="External"/><Relationship Id="rId6862" Type="http://schemas.openxmlformats.org/officeDocument/2006/relationships/hyperlink" Target="https://creativecommons.org/licenses/by-nc/4.0/" TargetMode="External"/><Relationship Id="rId6863" Type="http://schemas.openxmlformats.org/officeDocument/2006/relationships/hyperlink" Target="https://www.inaturalist.org/observations/334934078" TargetMode="External"/><Relationship Id="rId6864" Type="http://schemas.openxmlformats.org/officeDocument/2006/relationships/hyperlink" Target="https://creativecommons.org/licenses/by-nc/4.0/" TargetMode="External"/><Relationship Id="rId6865" Type="http://schemas.openxmlformats.org/officeDocument/2006/relationships/hyperlink" Target="https://www.inaturalist.org/observations/334598674" TargetMode="External"/><Relationship Id="rId6866" Type="http://schemas.openxmlformats.org/officeDocument/2006/relationships/hyperlink" Target="https://creativecommons.org/licenses/by-nc/4.0/" TargetMode="External"/><Relationship Id="rId6867" Type="http://schemas.openxmlformats.org/officeDocument/2006/relationships/hyperlink" Target="https://www.inaturalist.org/observations/334597984" TargetMode="External"/><Relationship Id="rId6868" Type="http://schemas.openxmlformats.org/officeDocument/2006/relationships/hyperlink" Target="https://creativecommons.org/licenses/by-nc/4.0/" TargetMode="External"/><Relationship Id="rId6869" Type="http://schemas.openxmlformats.org/officeDocument/2006/relationships/hyperlink" Target="https://www.inaturalist.org/observations/331833517" TargetMode="External"/><Relationship Id="rId6870" Type="http://schemas.openxmlformats.org/officeDocument/2006/relationships/hyperlink" Target="https://creativecommons.org/licenses/by-nc/4.0/" TargetMode="External"/><Relationship Id="rId6871" Type="http://schemas.openxmlformats.org/officeDocument/2006/relationships/hyperlink" Target="https://www.inaturalist.org/observations/331832376" TargetMode="External"/><Relationship Id="rId6872" Type="http://schemas.openxmlformats.org/officeDocument/2006/relationships/hyperlink" Target="https://creativecommons.org/licenses/by-nc/4.0/" TargetMode="External"/><Relationship Id="rId6873" Type="http://schemas.openxmlformats.org/officeDocument/2006/relationships/hyperlink" Target="https://www.inaturalist.org/observations/331832048" TargetMode="External"/><Relationship Id="rId6874" Type="http://schemas.openxmlformats.org/officeDocument/2006/relationships/hyperlink" Target="https://creativecommons.org/licenses/by-nc/4.0/" TargetMode="External"/><Relationship Id="rId6875" Type="http://schemas.openxmlformats.org/officeDocument/2006/relationships/hyperlink" Target="https://www.inaturalist.org/observations/331831783" TargetMode="External"/><Relationship Id="rId6876" Type="http://schemas.openxmlformats.org/officeDocument/2006/relationships/hyperlink" Target="https://creativecommons.org/licenses/by-nc/4.0/" TargetMode="External"/><Relationship Id="rId6877" Type="http://schemas.openxmlformats.org/officeDocument/2006/relationships/hyperlink" Target="https://www.inaturalist.org/observations/331828973" TargetMode="External"/><Relationship Id="rId6878" Type="http://schemas.openxmlformats.org/officeDocument/2006/relationships/hyperlink" Target="https://creativecommons.org/licenses/by-nc/4.0/" TargetMode="External"/><Relationship Id="rId6879" Type="http://schemas.openxmlformats.org/officeDocument/2006/relationships/hyperlink" Target="https://www.inaturalist.org/observations/331828794" TargetMode="External"/><Relationship Id="rId6880" Type="http://schemas.openxmlformats.org/officeDocument/2006/relationships/hyperlink" Target="https://creativecommons.org/licenses/by-nc/4.0/" TargetMode="External"/><Relationship Id="rId6881" Type="http://schemas.openxmlformats.org/officeDocument/2006/relationships/hyperlink" Target="https://www.inaturalist.org/observations/331697803" TargetMode="External"/><Relationship Id="rId6882" Type="http://schemas.openxmlformats.org/officeDocument/2006/relationships/hyperlink" Target="https://creativecommons.org/licenses/by-nc/4.0/" TargetMode="External"/><Relationship Id="rId6883" Type="http://schemas.openxmlformats.org/officeDocument/2006/relationships/hyperlink" Target="https://www.inaturalist.org/observations/331697128" TargetMode="External"/><Relationship Id="rId6884" Type="http://schemas.openxmlformats.org/officeDocument/2006/relationships/hyperlink" Target="https://creativecommons.org/licenses/by-nc/4.0/" TargetMode="External"/><Relationship Id="rId6885" Type="http://schemas.openxmlformats.org/officeDocument/2006/relationships/hyperlink" Target="https://www.inaturalist.org/observations/331217627" TargetMode="External"/><Relationship Id="rId6886" Type="http://schemas.openxmlformats.org/officeDocument/2006/relationships/hyperlink" Target="https://creativecommons.org/licenses/by-nc/4.0/" TargetMode="External"/><Relationship Id="rId6887" Type="http://schemas.openxmlformats.org/officeDocument/2006/relationships/hyperlink" Target="https://www.inaturalist.org/observations/331215876" TargetMode="External"/><Relationship Id="rId6888" Type="http://schemas.openxmlformats.org/officeDocument/2006/relationships/hyperlink" Target="https://creativecommons.org/licenses/by-nc/4.0/" TargetMode="External"/><Relationship Id="rId6889" Type="http://schemas.openxmlformats.org/officeDocument/2006/relationships/hyperlink" Target="https://www.inaturalist.org/observations/331215850" TargetMode="External"/><Relationship Id="rId6890" Type="http://schemas.openxmlformats.org/officeDocument/2006/relationships/hyperlink" Target="https://creativecommons.org/licenses/by-nc/4.0/" TargetMode="External"/><Relationship Id="rId6891" Type="http://schemas.openxmlformats.org/officeDocument/2006/relationships/hyperlink" Target="https://www.inaturalist.org/observations/331215497" TargetMode="External"/><Relationship Id="rId6892" Type="http://schemas.openxmlformats.org/officeDocument/2006/relationships/hyperlink" Target="https://creativecommons.org/licenses/by-nc/4.0/" TargetMode="External"/><Relationship Id="rId6893" Type="http://schemas.openxmlformats.org/officeDocument/2006/relationships/hyperlink" Target="https://www.inaturalist.org/observations/330985230" TargetMode="External"/><Relationship Id="rId6894" Type="http://schemas.openxmlformats.org/officeDocument/2006/relationships/hyperlink" Target="https://creativecommons.org/licenses/by-nc/4.0/" TargetMode="External"/><Relationship Id="rId6895" Type="http://schemas.openxmlformats.org/officeDocument/2006/relationships/hyperlink" Target="https://www.inaturalist.org/observations/330878873" TargetMode="External"/><Relationship Id="rId6896" Type="http://schemas.openxmlformats.org/officeDocument/2006/relationships/hyperlink" Target="https://creativecommons.org/licenses/by-nc/4.0/" TargetMode="External"/><Relationship Id="rId6897" Type="http://schemas.openxmlformats.org/officeDocument/2006/relationships/hyperlink" Target="https://www.inaturalist.org/observations/330483838" TargetMode="External"/><Relationship Id="rId6898" Type="http://schemas.openxmlformats.org/officeDocument/2006/relationships/hyperlink" Target="https://creativecommons.org/licenses/by-nc/4.0/" TargetMode="External"/><Relationship Id="rId6899" Type="http://schemas.openxmlformats.org/officeDocument/2006/relationships/hyperlink" Target="https://www.inaturalist.org/observations/330265922" TargetMode="External"/><Relationship Id="rId6900" Type="http://schemas.openxmlformats.org/officeDocument/2006/relationships/hyperlink" Target="https://creativecommons.org/licenses/by-nc/4.0/" TargetMode="External"/><Relationship Id="rId6901" Type="http://schemas.openxmlformats.org/officeDocument/2006/relationships/hyperlink" Target="https://www.inaturalist.org/observations/330081083" TargetMode="External"/><Relationship Id="rId6902" Type="http://schemas.openxmlformats.org/officeDocument/2006/relationships/hyperlink" Target="https://creativecommons.org/licenses/by-nc/4.0/" TargetMode="External"/><Relationship Id="rId6903" Type="http://schemas.openxmlformats.org/officeDocument/2006/relationships/hyperlink" Target="https://www.inaturalist.org/observations/329951908" TargetMode="External"/><Relationship Id="rId6904" Type="http://schemas.openxmlformats.org/officeDocument/2006/relationships/hyperlink" Target="https://creativecommons.org/licenses/by-nc/4.0/" TargetMode="External"/><Relationship Id="rId6905" Type="http://schemas.openxmlformats.org/officeDocument/2006/relationships/hyperlink" Target="https://www.inaturalist.org/observations/329695539" TargetMode="External"/><Relationship Id="rId6906" Type="http://schemas.openxmlformats.org/officeDocument/2006/relationships/hyperlink" Target="https://creativecommons.org/licenses/by-nc/4.0/" TargetMode="External"/><Relationship Id="rId6907" Type="http://schemas.openxmlformats.org/officeDocument/2006/relationships/hyperlink" Target="https://www.inaturalist.org/observations/329375448" TargetMode="External"/><Relationship Id="rId6908" Type="http://schemas.openxmlformats.org/officeDocument/2006/relationships/hyperlink" Target="https://creativecommons.org/licenses/by-nc/4.0/" TargetMode="External"/><Relationship Id="rId6909" Type="http://schemas.openxmlformats.org/officeDocument/2006/relationships/hyperlink" Target="https://www.inaturalist.org/observations/329293556" TargetMode="External"/><Relationship Id="rId6910" Type="http://schemas.openxmlformats.org/officeDocument/2006/relationships/hyperlink" Target="https://creativecommons.org/licenses/by-nc/4.0/" TargetMode="External"/><Relationship Id="rId6911" Type="http://schemas.openxmlformats.org/officeDocument/2006/relationships/hyperlink" Target="https://www.inaturalist.org/observations/328237620" TargetMode="External"/><Relationship Id="rId6912" Type="http://schemas.openxmlformats.org/officeDocument/2006/relationships/hyperlink" Target="https://creativecommons.org/licenses/by-nc/4.0/" TargetMode="External"/><Relationship Id="rId6913" Type="http://schemas.openxmlformats.org/officeDocument/2006/relationships/hyperlink" Target="https://www.inaturalist.org/observations/328231413" TargetMode="External"/><Relationship Id="rId6914" Type="http://schemas.openxmlformats.org/officeDocument/2006/relationships/hyperlink" Target="https://creativecommons.org/licenses/by-nc/4.0/" TargetMode="External"/><Relationship Id="rId6915" Type="http://schemas.openxmlformats.org/officeDocument/2006/relationships/hyperlink" Target="https://www.inaturalist.org/observations/328227458" TargetMode="External"/><Relationship Id="rId6916" Type="http://schemas.openxmlformats.org/officeDocument/2006/relationships/hyperlink" Target="https://creativecommons.org/licenses/by-nc/4.0/" TargetMode="External"/><Relationship Id="rId6917" Type="http://schemas.openxmlformats.org/officeDocument/2006/relationships/hyperlink" Target="https://www.inaturalist.org/observations/343153449" TargetMode="External"/><Relationship Id="rId6918" Type="http://schemas.openxmlformats.org/officeDocument/2006/relationships/hyperlink" Target="https://creativecommons.org/licenses/by-nc/4.0/" TargetMode="External"/><Relationship Id="rId6919" Type="http://schemas.openxmlformats.org/officeDocument/2006/relationships/hyperlink" Target="https://www.inaturalist.org/observations/342419001" TargetMode="External"/><Relationship Id="rId6920" Type="http://schemas.openxmlformats.org/officeDocument/2006/relationships/hyperlink" Target="https://creativecommons.org/licenses/by-nc/4.0/" TargetMode="External"/><Relationship Id="rId6921" Type="http://schemas.openxmlformats.org/officeDocument/2006/relationships/hyperlink" Target="https://www.inaturalist.org/observations/339587884" TargetMode="External"/><Relationship Id="rId6922" Type="http://schemas.openxmlformats.org/officeDocument/2006/relationships/hyperlink" Target="https://creativecommons.org/licenses/by-nc/4.0/" TargetMode="External"/><Relationship Id="rId6923" Type="http://schemas.openxmlformats.org/officeDocument/2006/relationships/hyperlink" Target="https://www.inaturalist.org/observations/339511948" TargetMode="External"/><Relationship Id="rId6924" Type="http://schemas.openxmlformats.org/officeDocument/2006/relationships/hyperlink" Target="https://creativecommons.org/licenses/by-nc/4.0/" TargetMode="External"/><Relationship Id="rId6925" Type="http://schemas.openxmlformats.org/officeDocument/2006/relationships/hyperlink" Target="https://www.inaturalist.org/observations/339405553" TargetMode="External"/><Relationship Id="rId6926" Type="http://schemas.openxmlformats.org/officeDocument/2006/relationships/hyperlink" Target="https://creativecommons.org/licenses/by-nc/4.0/" TargetMode="External"/><Relationship Id="rId6927" Type="http://schemas.openxmlformats.org/officeDocument/2006/relationships/hyperlink" Target="https://www.inaturalist.org/observations/339405552" TargetMode="External"/><Relationship Id="rId6928" Type="http://schemas.openxmlformats.org/officeDocument/2006/relationships/hyperlink" Target="https://creativecommons.org/licenses/by-nc/4.0/" TargetMode="External"/><Relationship Id="rId6929" Type="http://schemas.openxmlformats.org/officeDocument/2006/relationships/hyperlink" Target="https://www.inaturalist.org/observations/337693026" TargetMode="External"/><Relationship Id="rId6930" Type="http://schemas.openxmlformats.org/officeDocument/2006/relationships/hyperlink" Target="https://creativecommons.org/licenses/by-nc/4.0/" TargetMode="External"/><Relationship Id="rId6931" Type="http://schemas.openxmlformats.org/officeDocument/2006/relationships/hyperlink" Target="https://www.inaturalist.org/observations/337692854" TargetMode="External"/><Relationship Id="rId6932" Type="http://schemas.openxmlformats.org/officeDocument/2006/relationships/hyperlink" Target="https://creativecommons.org/licenses/by-nc/4.0/" TargetMode="External"/><Relationship Id="rId6933" Type="http://schemas.openxmlformats.org/officeDocument/2006/relationships/hyperlink" Target="https://www.inaturalist.org/observations/334811445" TargetMode="External"/><Relationship Id="rId6934" Type="http://schemas.openxmlformats.org/officeDocument/2006/relationships/hyperlink" Target="https://creativecommons.org/licenses/by-nc/4.0/" TargetMode="External"/><Relationship Id="rId6935" Type="http://schemas.openxmlformats.org/officeDocument/2006/relationships/hyperlink" Target="https://www.inaturalist.org/observations/334070566" TargetMode="External"/><Relationship Id="rId6936" Type="http://schemas.openxmlformats.org/officeDocument/2006/relationships/hyperlink" Target="https://creativecommons.org/licenses/by-nc/4.0/" TargetMode="External"/><Relationship Id="rId6937" Type="http://schemas.openxmlformats.org/officeDocument/2006/relationships/hyperlink" Target="https://www.inaturalist.org/observations/333758947" TargetMode="External"/><Relationship Id="rId6938" Type="http://schemas.openxmlformats.org/officeDocument/2006/relationships/hyperlink" Target="https://creativecommons.org/licenses/by-nc/4.0/" TargetMode="External"/><Relationship Id="rId6939" Type="http://schemas.openxmlformats.org/officeDocument/2006/relationships/hyperlink" Target="https://www.inaturalist.org/observations/333758925" TargetMode="External"/><Relationship Id="rId6940" Type="http://schemas.openxmlformats.org/officeDocument/2006/relationships/hyperlink" Target="https://creativecommons.org/licenses/by-nc/4.0/" TargetMode="External"/><Relationship Id="rId6941" Type="http://schemas.openxmlformats.org/officeDocument/2006/relationships/hyperlink" Target="https://www.inaturalist.org/observations/333754070" TargetMode="External"/><Relationship Id="rId6942" Type="http://schemas.openxmlformats.org/officeDocument/2006/relationships/hyperlink" Target="https://creativecommons.org/licenses/by-nc/4.0/" TargetMode="External"/><Relationship Id="rId6943" Type="http://schemas.openxmlformats.org/officeDocument/2006/relationships/hyperlink" Target="https://www.inaturalist.org/observations/333462463" TargetMode="External"/><Relationship Id="rId6944" Type="http://schemas.openxmlformats.org/officeDocument/2006/relationships/hyperlink" Target="https://creativecommons.org/licenses/by-nc/4.0/" TargetMode="External"/><Relationship Id="rId6945" Type="http://schemas.openxmlformats.org/officeDocument/2006/relationships/hyperlink" Target="https://www.inaturalist.org/observations/333308510" TargetMode="External"/><Relationship Id="rId6946" Type="http://schemas.openxmlformats.org/officeDocument/2006/relationships/hyperlink" Target="https://creativecommons.org/licenses/by-nc/4.0/" TargetMode="External"/><Relationship Id="rId6947" Type="http://schemas.openxmlformats.org/officeDocument/2006/relationships/hyperlink" Target="https://www.inaturalist.org/observations/331829981" TargetMode="External"/><Relationship Id="rId6948" Type="http://schemas.openxmlformats.org/officeDocument/2006/relationships/hyperlink" Target="https://creativecommons.org/licenses/by-nc/4.0/" TargetMode="External"/><Relationship Id="rId6949" Type="http://schemas.openxmlformats.org/officeDocument/2006/relationships/hyperlink" Target="https://www.inaturalist.org/observations/331705954" TargetMode="External"/><Relationship Id="rId6950" Type="http://schemas.openxmlformats.org/officeDocument/2006/relationships/hyperlink" Target="https://creativecommons.org/licenses/by-nc/4.0/" TargetMode="External"/><Relationship Id="rId6951" Type="http://schemas.openxmlformats.org/officeDocument/2006/relationships/hyperlink" Target="https://www.inaturalist.org/observations/331705560" TargetMode="External"/><Relationship Id="rId6952" Type="http://schemas.openxmlformats.org/officeDocument/2006/relationships/hyperlink" Target="https://creativecommons.org/licenses/by-nc/4.0/" TargetMode="External"/><Relationship Id="rId6953" Type="http://schemas.openxmlformats.org/officeDocument/2006/relationships/hyperlink" Target="https://www.inaturalist.org/observations/330439618" TargetMode="External"/><Relationship Id="rId6954" Type="http://schemas.openxmlformats.org/officeDocument/2006/relationships/hyperlink" Target="https://creativecommons.org/licenses/by-nc/4.0/" TargetMode="External"/><Relationship Id="rId6955" Type="http://schemas.openxmlformats.org/officeDocument/2006/relationships/hyperlink" Target="https://www.inaturalist.org/observations/330088215" TargetMode="External"/><Relationship Id="rId6956" Type="http://schemas.openxmlformats.org/officeDocument/2006/relationships/hyperlink" Target="https://creativecommons.org/licenses/by-nc/4.0/" TargetMode="External"/><Relationship Id="rId6957" Type="http://schemas.openxmlformats.org/officeDocument/2006/relationships/hyperlink" Target="https://www.inaturalist.org/observations/330087443" TargetMode="External"/><Relationship Id="rId6958" Type="http://schemas.openxmlformats.org/officeDocument/2006/relationships/hyperlink" Target="https://creativecommons.org/licenses/by-nc/4.0/" TargetMode="External"/><Relationship Id="rId6959" Type="http://schemas.openxmlformats.org/officeDocument/2006/relationships/hyperlink" Target="https://www.inaturalist.org/observations/329861603" TargetMode="External"/><Relationship Id="rId6960" Type="http://schemas.openxmlformats.org/officeDocument/2006/relationships/hyperlink" Target="https://creativecommons.org/licenses/by-nc/4.0/" TargetMode="External"/><Relationship Id="rId6961" Type="http://schemas.openxmlformats.org/officeDocument/2006/relationships/hyperlink" Target="https://www.inaturalist.org/observations/329861033" TargetMode="External"/><Relationship Id="rId6962" Type="http://schemas.openxmlformats.org/officeDocument/2006/relationships/hyperlink" Target="https://creativecommons.org/licenses/by-nc/4.0/" TargetMode="External"/><Relationship Id="rId6963" Type="http://schemas.openxmlformats.org/officeDocument/2006/relationships/hyperlink" Target="https://www.inaturalist.org/observations/328986202" TargetMode="External"/><Relationship Id="rId6964" Type="http://schemas.openxmlformats.org/officeDocument/2006/relationships/hyperlink" Target="https://creativecommons.org/licenses/by-nc/4.0/" TargetMode="External"/><Relationship Id="rId6965" Type="http://schemas.openxmlformats.org/officeDocument/2006/relationships/hyperlink" Target="https://www.inaturalist.org/observations/328220025" TargetMode="External"/><Relationship Id="rId6966" Type="http://schemas.openxmlformats.org/officeDocument/2006/relationships/hyperlink" Target="https://creativecommons.org/licenses/by-nc/4.0/" TargetMode="External"/><Relationship Id="rId6967" Type="http://schemas.openxmlformats.org/officeDocument/2006/relationships/hyperlink" Target="https://www.inaturalist.org/observations/328220023" TargetMode="External"/><Relationship Id="rId6968" Type="http://schemas.openxmlformats.org/officeDocument/2006/relationships/hyperlink" Target="https://creativecommons.org/licenses/by-nc/4.0/" TargetMode="External"/><Relationship Id="rId6969" Type="http://schemas.openxmlformats.org/officeDocument/2006/relationships/hyperlink" Target="https://www.inaturalist.org/observations/326578456" TargetMode="External"/><Relationship Id="rId6970" Type="http://schemas.openxmlformats.org/officeDocument/2006/relationships/hyperlink" Target="https://creativecommons.org/licenses/by-nc/4.0/" TargetMode="External"/><Relationship Id="rId6971" Type="http://schemas.openxmlformats.org/officeDocument/2006/relationships/hyperlink" Target="https://www.inaturalist.org/observations/326578291" TargetMode="External"/><Relationship Id="rId6972" Type="http://schemas.openxmlformats.org/officeDocument/2006/relationships/hyperlink" Target="https://creativecommons.org/licenses/by-nc/4.0/" TargetMode="External"/><Relationship Id="rId6973" Type="http://schemas.openxmlformats.org/officeDocument/2006/relationships/hyperlink" Target="https://www.inaturalist.org/observations/326460052" TargetMode="External"/><Relationship Id="rId6974" Type="http://schemas.openxmlformats.org/officeDocument/2006/relationships/hyperlink" Target="https://creativecommons.org/licenses/by-nc/4.0/" TargetMode="External"/><Relationship Id="rId6975" Type="http://schemas.openxmlformats.org/officeDocument/2006/relationships/hyperlink" Target="https://www.inaturalist.org/observations/325923978" TargetMode="External"/><Relationship Id="rId6976" Type="http://schemas.openxmlformats.org/officeDocument/2006/relationships/hyperlink" Target="https://creativecommons.org/licenses/by-nc/4.0/" TargetMode="External"/><Relationship Id="rId6977" Type="http://schemas.openxmlformats.org/officeDocument/2006/relationships/hyperlink" Target="https://www.inaturalist.org/observations/325923837" TargetMode="External"/><Relationship Id="rId6978" Type="http://schemas.openxmlformats.org/officeDocument/2006/relationships/hyperlink" Target="https://creativecommons.org/licenses/by-nc/4.0/" TargetMode="External"/><Relationship Id="rId6979" Type="http://schemas.openxmlformats.org/officeDocument/2006/relationships/hyperlink" Target="https://www.inaturalist.org/observations/325923683" TargetMode="External"/><Relationship Id="rId6980" Type="http://schemas.openxmlformats.org/officeDocument/2006/relationships/hyperlink" Target="https://creativecommons.org/licenses/by-nc/4.0/" TargetMode="External"/><Relationship Id="rId6981" Type="http://schemas.openxmlformats.org/officeDocument/2006/relationships/hyperlink" Target="https://www.inaturalist.org/observations/325456991" TargetMode="External"/><Relationship Id="rId6982" Type="http://schemas.openxmlformats.org/officeDocument/2006/relationships/hyperlink" Target="https://creativecommons.org/licenses/by-nc/4.0/" TargetMode="External"/><Relationship Id="rId6983" Type="http://schemas.openxmlformats.org/officeDocument/2006/relationships/hyperlink" Target="https://www.inaturalist.org/observations/325292281" TargetMode="External"/><Relationship Id="rId6984" Type="http://schemas.openxmlformats.org/officeDocument/2006/relationships/hyperlink" Target="https://creativecommons.org/licenses/by-nc/4.0/" TargetMode="External"/><Relationship Id="rId6985" Type="http://schemas.openxmlformats.org/officeDocument/2006/relationships/hyperlink" Target="https://www.inaturalist.org/observations/318890347" TargetMode="External"/><Relationship Id="rId6986" Type="http://schemas.openxmlformats.org/officeDocument/2006/relationships/hyperlink" Target="https://creativecommons.org/licenses/by-nc/4.0/" TargetMode="External"/><Relationship Id="rId6987" Type="http://schemas.openxmlformats.org/officeDocument/2006/relationships/hyperlink" Target="https://www.inaturalist.org/observations/381177190" TargetMode="External"/><Relationship Id="rId6988" Type="http://schemas.openxmlformats.org/officeDocument/2006/relationships/hyperlink" Target="https://creativecommons.org/licenses/by-nc/4.0/" TargetMode="External"/><Relationship Id="rId6989" Type="http://schemas.openxmlformats.org/officeDocument/2006/relationships/hyperlink" Target="https://www.inaturalist.org/observations/379716179" TargetMode="External"/><Relationship Id="rId6990" Type="http://schemas.openxmlformats.org/officeDocument/2006/relationships/hyperlink" Target="https://creativecommons.org/licenses/by-nc/4.0/" TargetMode="External"/><Relationship Id="rId6991" Type="http://schemas.openxmlformats.org/officeDocument/2006/relationships/hyperlink" Target="https://www.inaturalist.org/observations/379269043" TargetMode="External"/><Relationship Id="rId6992" Type="http://schemas.openxmlformats.org/officeDocument/2006/relationships/hyperlink" Target="https://creativecommons.org/licenses/by-nc/4.0/" TargetMode="External"/><Relationship Id="rId6993" Type="http://schemas.openxmlformats.org/officeDocument/2006/relationships/hyperlink" Target="https://www.inaturalist.org/observations/379185391" TargetMode="External"/><Relationship Id="rId6994" Type="http://schemas.openxmlformats.org/officeDocument/2006/relationships/hyperlink" Target="https://creativecommons.org/licenses/by-nc/4.0/" TargetMode="External"/><Relationship Id="rId6995" Type="http://schemas.openxmlformats.org/officeDocument/2006/relationships/hyperlink" Target="https://www.inaturalist.org/observations/378487165" TargetMode="External"/><Relationship Id="rId6996" Type="http://schemas.openxmlformats.org/officeDocument/2006/relationships/hyperlink" Target="https://creativecommons.org/licenses/by-nc/4.0/" TargetMode="External"/><Relationship Id="rId6997" Type="http://schemas.openxmlformats.org/officeDocument/2006/relationships/hyperlink" Target="https://www.inaturalist.org/observations/377068722" TargetMode="External"/><Relationship Id="rId6998" Type="http://schemas.openxmlformats.org/officeDocument/2006/relationships/hyperlink" Target="https://creativecommons.org/licenses/by-nc/4.0/" TargetMode="External"/><Relationship Id="rId6999" Type="http://schemas.openxmlformats.org/officeDocument/2006/relationships/hyperlink" Target="https://www.inaturalist.org/observations/375163588" TargetMode="External"/><Relationship Id="rId7000" Type="http://schemas.openxmlformats.org/officeDocument/2006/relationships/hyperlink" Target="https://creativecommons.org/licenses/by-nc/4.0/" TargetMode="External"/><Relationship Id="rId7001" Type="http://schemas.openxmlformats.org/officeDocument/2006/relationships/hyperlink" Target="https://www.inaturalist.org/observations/363165285" TargetMode="External"/><Relationship Id="rId7002" Type="http://schemas.openxmlformats.org/officeDocument/2006/relationships/hyperlink" Target="https://creativecommons.org/licenses/by-nc/4.0/" TargetMode="External"/><Relationship Id="rId7003" Type="http://schemas.openxmlformats.org/officeDocument/2006/relationships/hyperlink" Target="https://www.inaturalist.org/observations/362894519" TargetMode="External"/><Relationship Id="rId7004" Type="http://schemas.openxmlformats.org/officeDocument/2006/relationships/hyperlink" Target="https://creativecommons.org/licenses/by-nc/4.0/" TargetMode="External"/><Relationship Id="rId7005" Type="http://schemas.openxmlformats.org/officeDocument/2006/relationships/hyperlink" Target="https://www.inaturalist.org/observations/351291339" TargetMode="External"/><Relationship Id="rId7006" Type="http://schemas.openxmlformats.org/officeDocument/2006/relationships/hyperlink" Target="https://creativecommons.org/licenses/by-nc/4.0/" TargetMode="External"/><Relationship Id="rId7007" Type="http://schemas.openxmlformats.org/officeDocument/2006/relationships/hyperlink" Target="https://www.inaturalist.org/observations/347049907" TargetMode="External"/><Relationship Id="rId7008" Type="http://schemas.openxmlformats.org/officeDocument/2006/relationships/hyperlink" Target="https://creativecommons.org/licenses/by-nc/4.0/" TargetMode="External"/><Relationship Id="rId7009" Type="http://schemas.openxmlformats.org/officeDocument/2006/relationships/hyperlink" Target="https://www.inaturalist.org/observations/339960050" TargetMode="External"/><Relationship Id="rId7010" Type="http://schemas.openxmlformats.org/officeDocument/2006/relationships/hyperlink" Target="https://creativecommons.org/licenses/by-nc/4.0/" TargetMode="External"/><Relationship Id="rId7011" Type="http://schemas.openxmlformats.org/officeDocument/2006/relationships/hyperlink" Target="https://www.inaturalist.org/observations/339794150" TargetMode="External"/><Relationship Id="rId7012" Type="http://schemas.openxmlformats.org/officeDocument/2006/relationships/hyperlink" Target="https://creativecommons.org/licenses/by-nc/4.0/" TargetMode="External"/><Relationship Id="rId7013" Type="http://schemas.openxmlformats.org/officeDocument/2006/relationships/hyperlink" Target="https://www.inaturalist.org/observations/336133109" TargetMode="External"/><Relationship Id="rId7014" Type="http://schemas.openxmlformats.org/officeDocument/2006/relationships/hyperlink" Target="https://creativecommons.org/licenses/by-nc/4.0/" TargetMode="External"/><Relationship Id="rId7015" Type="http://schemas.openxmlformats.org/officeDocument/2006/relationships/hyperlink" Target="https://www.inaturalist.org/observations/335861255" TargetMode="External"/><Relationship Id="rId7016" Type="http://schemas.openxmlformats.org/officeDocument/2006/relationships/hyperlink" Target="https://creativecommons.org/licenses/by-nc/4.0/" TargetMode="External"/><Relationship Id="rId7017" Type="http://schemas.openxmlformats.org/officeDocument/2006/relationships/hyperlink" Target="https://www.inaturalist.org/observations/334763819" TargetMode="External"/><Relationship Id="rId7018" Type="http://schemas.openxmlformats.org/officeDocument/2006/relationships/hyperlink" Target="https://creativecommons.org/licenses/by-nc/4.0/" TargetMode="External"/><Relationship Id="rId7019" Type="http://schemas.openxmlformats.org/officeDocument/2006/relationships/hyperlink" Target="https://www.inaturalist.org/observations/334658156" TargetMode="External"/><Relationship Id="rId7020" Type="http://schemas.openxmlformats.org/officeDocument/2006/relationships/hyperlink" Target="https://creativecommons.org/licenses/by-nc/4.0/" TargetMode="External"/><Relationship Id="rId7021" Type="http://schemas.openxmlformats.org/officeDocument/2006/relationships/hyperlink" Target="https://www.inaturalist.org/observations/334356901" TargetMode="External"/><Relationship Id="rId7022" Type="http://schemas.openxmlformats.org/officeDocument/2006/relationships/hyperlink" Target="https://creativecommons.org/licenses/by-nc/4.0/" TargetMode="External"/><Relationship Id="rId7023" Type="http://schemas.openxmlformats.org/officeDocument/2006/relationships/hyperlink" Target="https://www.inaturalist.org/observations/329786180" TargetMode="External"/><Relationship Id="rId7024" Type="http://schemas.openxmlformats.org/officeDocument/2006/relationships/hyperlink" Target="https://creativecommons.org/licenses/by-nc/4.0/" TargetMode="External"/><Relationship Id="rId7025" Type="http://schemas.openxmlformats.org/officeDocument/2006/relationships/hyperlink" Target="https://www.inaturalist.org/observations/328440934" TargetMode="External"/><Relationship Id="rId7026" Type="http://schemas.openxmlformats.org/officeDocument/2006/relationships/hyperlink" Target="https://creativecommons.org/licenses/by-nc/4.0/" TargetMode="External"/><Relationship Id="rId7027" Type="http://schemas.openxmlformats.org/officeDocument/2006/relationships/hyperlink" Target="https://www.inaturalist.org/observations/327119006" TargetMode="External"/><Relationship Id="rId7028" Type="http://schemas.openxmlformats.org/officeDocument/2006/relationships/hyperlink" Target="https://creativecommons.org/licenses/by-nc/4.0/" TargetMode="External"/><Relationship Id="rId7029" Type="http://schemas.openxmlformats.org/officeDocument/2006/relationships/hyperlink" Target="https://www.inaturalist.org/observations/326888523" TargetMode="External"/><Relationship Id="rId7030" Type="http://schemas.openxmlformats.org/officeDocument/2006/relationships/hyperlink" Target="https://creativecommons.org/licenses/by-nc/4.0/" TargetMode="External"/><Relationship Id="rId7031" Type="http://schemas.openxmlformats.org/officeDocument/2006/relationships/hyperlink" Target="https://www.inaturalist.org/observations/326782138" TargetMode="External"/><Relationship Id="rId7032" Type="http://schemas.openxmlformats.org/officeDocument/2006/relationships/hyperlink" Target="https://creativecommons.org/licenses/by-nc/4.0/" TargetMode="External"/><Relationship Id="rId7033" Type="http://schemas.openxmlformats.org/officeDocument/2006/relationships/hyperlink" Target="https://www.inaturalist.org/observations/323768617" TargetMode="External"/><Relationship Id="rId7034" Type="http://schemas.openxmlformats.org/officeDocument/2006/relationships/hyperlink" Target="https://creativecommons.org/licenses/by-nc/4.0/" TargetMode="External"/><Relationship Id="rId7035" Type="http://schemas.openxmlformats.org/officeDocument/2006/relationships/hyperlink" Target="https://www.inaturalist.org/observations/323707859" TargetMode="External"/><Relationship Id="rId7036" Type="http://schemas.openxmlformats.org/officeDocument/2006/relationships/hyperlink" Target="https://creativecommons.org/licenses/by-nc/4.0/" TargetMode="External"/><Relationship Id="rId7037" Type="http://schemas.openxmlformats.org/officeDocument/2006/relationships/hyperlink" Target="https://www.inaturalist.org/observations/322386015" TargetMode="External"/><Relationship Id="rId7038" Type="http://schemas.openxmlformats.org/officeDocument/2006/relationships/hyperlink" Target="https://creativecommons.org/licenses/by-nc/4.0/" TargetMode="External"/><Relationship Id="rId7039" Type="http://schemas.openxmlformats.org/officeDocument/2006/relationships/hyperlink" Target="https://www.inaturalist.org/observations/322301895" TargetMode="External"/><Relationship Id="rId7040" Type="http://schemas.openxmlformats.org/officeDocument/2006/relationships/hyperlink" Target="https://creativecommons.org/licenses/by-nc/4.0/" TargetMode="External"/><Relationship Id="rId7041" Type="http://schemas.openxmlformats.org/officeDocument/2006/relationships/hyperlink" Target="https://www.inaturalist.org/observations/321429444" TargetMode="External"/><Relationship Id="rId7042" Type="http://schemas.openxmlformats.org/officeDocument/2006/relationships/hyperlink" Target="https://creativecommons.org/licenses/by-nc/4.0/" TargetMode="External"/><Relationship Id="rId7043" Type="http://schemas.openxmlformats.org/officeDocument/2006/relationships/hyperlink" Target="https://www.inaturalist.org/observations/321429442" TargetMode="External"/><Relationship Id="rId7044" Type="http://schemas.openxmlformats.org/officeDocument/2006/relationships/hyperlink" Target="https://creativecommons.org/licenses/by-nc/4.0/" TargetMode="External"/><Relationship Id="rId7045" Type="http://schemas.openxmlformats.org/officeDocument/2006/relationships/hyperlink" Target="https://www.inaturalist.org/observations/321110524" TargetMode="External"/><Relationship Id="rId7046" Type="http://schemas.openxmlformats.org/officeDocument/2006/relationships/hyperlink" Target="https://creativecommons.org/licenses/by-nc/4.0/" TargetMode="External"/><Relationship Id="rId7047" Type="http://schemas.openxmlformats.org/officeDocument/2006/relationships/hyperlink" Target="https://www.inaturalist.org/observations/320313322" TargetMode="External"/><Relationship Id="rId7048" Type="http://schemas.openxmlformats.org/officeDocument/2006/relationships/hyperlink" Target="https://creativecommons.org/licenses/by-nc/4.0/" TargetMode="External"/><Relationship Id="rId7049" Type="http://schemas.openxmlformats.org/officeDocument/2006/relationships/hyperlink" Target="https://www.inaturalist.org/observations/319393246" TargetMode="External"/><Relationship Id="rId7050" Type="http://schemas.openxmlformats.org/officeDocument/2006/relationships/hyperlink" Target="https://creativecommons.org/licenses/by-nc/4.0/" TargetMode="External"/><Relationship Id="rId7051" Type="http://schemas.openxmlformats.org/officeDocument/2006/relationships/hyperlink" Target="https://www.inaturalist.org/observations/317892318" TargetMode="External"/><Relationship Id="rId7052" Type="http://schemas.openxmlformats.org/officeDocument/2006/relationships/hyperlink" Target="https://creativecommons.org/licenses/by-nc/4.0/" TargetMode="External"/><Relationship Id="rId7053" Type="http://schemas.openxmlformats.org/officeDocument/2006/relationships/hyperlink" Target="https://www.inaturalist.org/observations/315940333" TargetMode="External"/><Relationship Id="rId7054" Type="http://schemas.openxmlformats.org/officeDocument/2006/relationships/hyperlink" Target="https://creativecommons.org/licenses/by-nc/4.0/" TargetMode="External"/><Relationship Id="rId7055" Type="http://schemas.openxmlformats.org/officeDocument/2006/relationships/hyperlink" Target="https://www.inaturalist.org/observations/315721419" TargetMode="External"/><Relationship Id="rId7056" Type="http://schemas.openxmlformats.org/officeDocument/2006/relationships/hyperlink" Target="https://creativecommons.org/licenses/by-nc/4.0/" TargetMode="External"/><Relationship Id="rId7057" Type="http://schemas.openxmlformats.org/officeDocument/2006/relationships/hyperlink" Target="https://www.inaturalist.org/observations/373074142" TargetMode="External"/><Relationship Id="rId7058" Type="http://schemas.openxmlformats.org/officeDocument/2006/relationships/hyperlink" Target="https://creativecommons.org/licenses/by-nc/4.0/" TargetMode="External"/><Relationship Id="rId7059" Type="http://schemas.openxmlformats.org/officeDocument/2006/relationships/hyperlink" Target="https://www.inaturalist.org/observations/366074009" TargetMode="External"/><Relationship Id="rId7060" Type="http://schemas.openxmlformats.org/officeDocument/2006/relationships/hyperlink" Target="https://creativecommons.org/licenses/by-nc/4.0/" TargetMode="External"/><Relationship Id="rId7061" Type="http://schemas.openxmlformats.org/officeDocument/2006/relationships/hyperlink" Target="https://www.inaturalist.org/observations/360012452" TargetMode="External"/><Relationship Id="rId7062" Type="http://schemas.openxmlformats.org/officeDocument/2006/relationships/hyperlink" Target="https://creativecommons.org/licenses/by-nc/4.0/" TargetMode="External"/><Relationship Id="rId7063" Type="http://schemas.openxmlformats.org/officeDocument/2006/relationships/hyperlink" Target="https://www.inaturalist.org/observations/348426148" TargetMode="External"/><Relationship Id="rId7064" Type="http://schemas.openxmlformats.org/officeDocument/2006/relationships/hyperlink" Target="https://creativecommons.org/licenses/by-nc/4.0/" TargetMode="External"/><Relationship Id="rId7065" Type="http://schemas.openxmlformats.org/officeDocument/2006/relationships/hyperlink" Target="https://www.inaturalist.org/observations/343175298" TargetMode="External"/><Relationship Id="rId7066" Type="http://schemas.openxmlformats.org/officeDocument/2006/relationships/hyperlink" Target="https://creativecommons.org/licenses/by-nc/4.0/" TargetMode="External"/><Relationship Id="rId7067" Type="http://schemas.openxmlformats.org/officeDocument/2006/relationships/hyperlink" Target="https://www.inaturalist.org/observations/336278484" TargetMode="External"/><Relationship Id="rId7068" Type="http://schemas.openxmlformats.org/officeDocument/2006/relationships/hyperlink" Target="https://creativecommons.org/licenses/by-nc/4.0/" TargetMode="External"/><Relationship Id="rId7069" Type="http://schemas.openxmlformats.org/officeDocument/2006/relationships/hyperlink" Target="https://www.inaturalist.org/observations/332069916" TargetMode="External"/><Relationship Id="rId7070" Type="http://schemas.openxmlformats.org/officeDocument/2006/relationships/hyperlink" Target="https://creativecommons.org/licenses/by-nc/4.0/" TargetMode="External"/><Relationship Id="rId7071" Type="http://schemas.openxmlformats.org/officeDocument/2006/relationships/hyperlink" Target="https://www.inaturalist.org/observations/326660963" TargetMode="External"/><Relationship Id="rId7072" Type="http://schemas.openxmlformats.org/officeDocument/2006/relationships/hyperlink" Target="https://creativecommons.org/licenses/by-nc/4.0/" TargetMode="External"/><Relationship Id="rId7073" Type="http://schemas.openxmlformats.org/officeDocument/2006/relationships/hyperlink" Target="https://www.inaturalist.org/observations/325501952" TargetMode="External"/><Relationship Id="rId7074" Type="http://schemas.openxmlformats.org/officeDocument/2006/relationships/hyperlink" Target="https://creativecommons.org/licenses/by-nc/4.0/" TargetMode="External"/><Relationship Id="rId7075" Type="http://schemas.openxmlformats.org/officeDocument/2006/relationships/hyperlink" Target="https://www.inaturalist.org/observations/325329841" TargetMode="External"/><Relationship Id="rId7076" Type="http://schemas.openxmlformats.org/officeDocument/2006/relationships/hyperlink" Target="https://creativecommons.org/licenses/by-nc/4.0/" TargetMode="External"/><Relationship Id="rId7077" Type="http://schemas.openxmlformats.org/officeDocument/2006/relationships/hyperlink" Target="https://www.inaturalist.org/observations/324315875" TargetMode="External"/><Relationship Id="rId7078" Type="http://schemas.openxmlformats.org/officeDocument/2006/relationships/hyperlink" Target="https://creativecommons.org/licenses/by-nc/4.0/" TargetMode="External"/><Relationship Id="rId7079" Type="http://schemas.openxmlformats.org/officeDocument/2006/relationships/hyperlink" Target="https://www.inaturalist.org/observations/319811637" TargetMode="External"/><Relationship Id="rId7080" Type="http://schemas.openxmlformats.org/officeDocument/2006/relationships/hyperlink" Target="https://creativecommons.org/licenses/by-nc/4.0/" TargetMode="External"/><Relationship Id="rId7081" Type="http://schemas.openxmlformats.org/officeDocument/2006/relationships/hyperlink" Target="https://www.inaturalist.org/observations/318199941" TargetMode="External"/><Relationship Id="rId7082" Type="http://schemas.openxmlformats.org/officeDocument/2006/relationships/hyperlink" Target="https://creativecommons.org/licenses/by-nc/4.0/" TargetMode="External"/><Relationship Id="rId7083" Type="http://schemas.openxmlformats.org/officeDocument/2006/relationships/hyperlink" Target="https://www.inaturalist.org/observations/305142415" TargetMode="External"/><Relationship Id="rId7084" Type="http://schemas.openxmlformats.org/officeDocument/2006/relationships/hyperlink" Target="https://creativecommons.org/licenses/by-nc/4.0/" TargetMode="External"/><Relationship Id="rId7085" Type="http://schemas.openxmlformats.org/officeDocument/2006/relationships/hyperlink" Target="https://www.inaturalist.org/observations/303871022" TargetMode="External"/><Relationship Id="rId7086" Type="http://schemas.openxmlformats.org/officeDocument/2006/relationships/hyperlink" Target="https://creativecommons.org/licenses/by-nc/4.0/" TargetMode="External"/><Relationship Id="rId7087" Type="http://schemas.openxmlformats.org/officeDocument/2006/relationships/hyperlink" Target="https://www.inaturalist.org/observations/303415785" TargetMode="External"/><Relationship Id="rId7088" Type="http://schemas.openxmlformats.org/officeDocument/2006/relationships/hyperlink" Target="https://creativecommons.org/licenses/by-nc/4.0/" TargetMode="External"/><Relationship Id="rId7089" Type="http://schemas.openxmlformats.org/officeDocument/2006/relationships/hyperlink" Target="https://www.inaturalist.org/observations/299709385" TargetMode="External"/><Relationship Id="rId7090" Type="http://schemas.openxmlformats.org/officeDocument/2006/relationships/hyperlink" Target="https://creativecommons.org/licenses/by-nc/4.0/" TargetMode="External"/><Relationship Id="rId7091" Type="http://schemas.openxmlformats.org/officeDocument/2006/relationships/hyperlink" Target="https://www.inaturalist.org/observations/298774296" TargetMode="External"/><Relationship Id="rId7092" Type="http://schemas.openxmlformats.org/officeDocument/2006/relationships/hyperlink" Target="https://creativecommons.org/licenses/by-nc/4.0/" TargetMode="External"/><Relationship Id="rId7093" Type="http://schemas.openxmlformats.org/officeDocument/2006/relationships/hyperlink" Target="https://www.inaturalist.org/observations/297940402" TargetMode="External"/><Relationship Id="rId7094" Type="http://schemas.openxmlformats.org/officeDocument/2006/relationships/hyperlink" Target="https://creativecommons.org/licenses/by-nc/4.0/" TargetMode="External"/><Relationship Id="rId7095" Type="http://schemas.openxmlformats.org/officeDocument/2006/relationships/hyperlink" Target="https://www.inaturalist.org/observations/296179445" TargetMode="External"/><Relationship Id="rId7096" Type="http://schemas.openxmlformats.org/officeDocument/2006/relationships/hyperlink" Target="https://creativecommons.org/licenses/by-nc/4.0/" TargetMode="External"/><Relationship Id="rId7097" Type="http://schemas.openxmlformats.org/officeDocument/2006/relationships/hyperlink" Target="https://www.inaturalist.org/observations/285353132" TargetMode="External"/><Relationship Id="rId7098" Type="http://schemas.openxmlformats.org/officeDocument/2006/relationships/hyperlink" Target="https://creativecommons.org/licenses/by-nc/4.0/" TargetMode="External"/><Relationship Id="rId7099" Type="http://schemas.openxmlformats.org/officeDocument/2006/relationships/hyperlink" Target="https://www.inaturalist.org/observations/266801180" TargetMode="External"/><Relationship Id="rId7100" Type="http://schemas.openxmlformats.org/officeDocument/2006/relationships/hyperlink" Target="https://creativecommons.org/licenses/by-nc/4.0/" TargetMode="External"/><Relationship Id="rId7101" Type="http://schemas.openxmlformats.org/officeDocument/2006/relationships/hyperlink" Target="https://www.inaturalist.org/observations/266251346" TargetMode="External"/><Relationship Id="rId7102" Type="http://schemas.openxmlformats.org/officeDocument/2006/relationships/hyperlink" Target="https://creativecommons.org/licenses/by-nc/4.0/" TargetMode="External"/><Relationship Id="rId7103" Type="http://schemas.openxmlformats.org/officeDocument/2006/relationships/hyperlink" Target="https://www.inaturalist.org/observations/265409591" TargetMode="External"/><Relationship Id="rId7104" Type="http://schemas.openxmlformats.org/officeDocument/2006/relationships/hyperlink" Target="https://creativecommons.org/licenses/by-nc/4.0/" TargetMode="External"/><Relationship Id="rId7105" Type="http://schemas.openxmlformats.org/officeDocument/2006/relationships/hyperlink" Target="https://www.inaturalist.org/observations/262480979" TargetMode="External"/><Relationship Id="rId7106" Type="http://schemas.openxmlformats.org/officeDocument/2006/relationships/hyperlink" Target="https://creativecommons.org/licenses/by-nc/4.0/" TargetMode="External"/><Relationship Id="rId7107" Type="http://schemas.openxmlformats.org/officeDocument/2006/relationships/hyperlink" Target="https://www.inaturalist.org/observations/259063346" TargetMode="External"/><Relationship Id="rId7108" Type="http://schemas.openxmlformats.org/officeDocument/2006/relationships/hyperlink" Target="https://creativecommons.org/licenses/by-nc/4.0/" TargetMode="External"/><Relationship Id="rId7109" Type="http://schemas.openxmlformats.org/officeDocument/2006/relationships/hyperlink" Target="https://www.inaturalist.org/observations/258447425" TargetMode="External"/><Relationship Id="rId7110" Type="http://schemas.openxmlformats.org/officeDocument/2006/relationships/hyperlink" Target="https://creativecommons.org/licenses/by-nc/4.0/" TargetMode="External"/><Relationship Id="rId7111" Type="http://schemas.openxmlformats.org/officeDocument/2006/relationships/hyperlink" Target="https://www.inaturalist.org/observations/258405563" TargetMode="External"/><Relationship Id="rId7112" Type="http://schemas.openxmlformats.org/officeDocument/2006/relationships/hyperlink" Target="https://creativecommons.org/licenses/by-nc/4.0/" TargetMode="External"/><Relationship Id="rId7113" Type="http://schemas.openxmlformats.org/officeDocument/2006/relationships/hyperlink" Target="https://www.inaturalist.org/observations/256340152" TargetMode="External"/><Relationship Id="rId7114" Type="http://schemas.openxmlformats.org/officeDocument/2006/relationships/hyperlink" Target="https://creativecommons.org/licenses/by-nc/4.0/" TargetMode="External"/><Relationship Id="rId7115" Type="http://schemas.openxmlformats.org/officeDocument/2006/relationships/hyperlink" Target="https://www.inaturalist.org/observations/253445098" TargetMode="External"/><Relationship Id="rId7116" Type="http://schemas.openxmlformats.org/officeDocument/2006/relationships/hyperlink" Target="https://creativecommons.org/licenses/by-nc/4.0/" TargetMode="External"/><Relationship Id="rId7117" Type="http://schemas.openxmlformats.org/officeDocument/2006/relationships/hyperlink" Target="https://www.inaturalist.org/observations/253445097" TargetMode="External"/><Relationship Id="rId7118" Type="http://schemas.openxmlformats.org/officeDocument/2006/relationships/hyperlink" Target="https://creativecommons.org/licenses/by-nc/4.0/" TargetMode="External"/><Relationship Id="rId7119" Type="http://schemas.openxmlformats.org/officeDocument/2006/relationships/hyperlink" Target="https://www.inaturalist.org/observations/253445086" TargetMode="External"/><Relationship Id="rId7120" Type="http://schemas.openxmlformats.org/officeDocument/2006/relationships/hyperlink" Target="https://creativecommons.org/licenses/by-nc/4.0/" TargetMode="External"/><Relationship Id="rId7121" Type="http://schemas.openxmlformats.org/officeDocument/2006/relationships/hyperlink" Target="https://www.inaturalist.org/observations/253445027" TargetMode="External"/><Relationship Id="rId7122" Type="http://schemas.openxmlformats.org/officeDocument/2006/relationships/hyperlink" Target="https://creativecommons.org/licenses/by-nc/4.0/" TargetMode="External"/><Relationship Id="rId7123" Type="http://schemas.openxmlformats.org/officeDocument/2006/relationships/hyperlink" Target="https://www.inaturalist.org/observations/253445025" TargetMode="External"/><Relationship Id="rId7124" Type="http://schemas.openxmlformats.org/officeDocument/2006/relationships/hyperlink" Target="https://creativecommons.org/licenses/by-nc/4.0/" TargetMode="External"/><Relationship Id="rId7125" Type="http://schemas.openxmlformats.org/officeDocument/2006/relationships/hyperlink" Target="https://www.inaturalist.org/observations/250189460" TargetMode="External"/><Relationship Id="rId7126" Type="http://schemas.openxmlformats.org/officeDocument/2006/relationships/hyperlink" Target="https://www.inaturalist.org/people/asimakis_patitsas" TargetMode="External"/><Relationship Id="rId7127" Type="http://schemas.openxmlformats.org/officeDocument/2006/relationships/hyperlink" Target="https://creativecommons.org/licenses/by-nc/4.0/" TargetMode="External"/><Relationship Id="rId7128" Type="http://schemas.openxmlformats.org/officeDocument/2006/relationships/hyperlink" Target="https://www.inaturalist.org/observations/386817939" TargetMode="External"/><Relationship Id="rId7129" Type="http://schemas.openxmlformats.org/officeDocument/2006/relationships/hyperlink" Target="https://www.inaturalist.org/people/asimakis_patitsas" TargetMode="External"/><Relationship Id="rId7130" Type="http://schemas.openxmlformats.org/officeDocument/2006/relationships/hyperlink" Target="https://creativecommons.org/licenses/by-nc/4.0/" TargetMode="External"/><Relationship Id="rId7131" Type="http://schemas.openxmlformats.org/officeDocument/2006/relationships/hyperlink" Target="https://www.inaturalist.org/observations/386817939" TargetMode="External"/><Relationship Id="rId7132" Type="http://schemas.openxmlformats.org/officeDocument/2006/relationships/hyperlink" Target="https://www.inaturalist.org/people/emubirb24" TargetMode="External"/><Relationship Id="rId7133" Type="http://schemas.openxmlformats.org/officeDocument/2006/relationships/hyperlink" Target="https://creativecommons.org/licenses/by-nc/4.0/" TargetMode="External"/><Relationship Id="rId7134" Type="http://schemas.openxmlformats.org/officeDocument/2006/relationships/hyperlink" Target="https://www.inaturalist.org/observations/368985723" TargetMode="External"/><Relationship Id="rId7135" Type="http://schemas.openxmlformats.org/officeDocument/2006/relationships/hyperlink" Target="https://www.inaturalist.org/people/damienesquerre2" TargetMode="External"/><Relationship Id="rId7136" Type="http://schemas.openxmlformats.org/officeDocument/2006/relationships/hyperlink" Target="https://creativecommons.org/licenses/by-nc/4.0/" TargetMode="External"/><Relationship Id="rId7137" Type="http://schemas.openxmlformats.org/officeDocument/2006/relationships/hyperlink" Target="https://www.inaturalist.org/observations/350701633" TargetMode="External"/><Relationship Id="rId7138" Type="http://schemas.openxmlformats.org/officeDocument/2006/relationships/hyperlink" Target="https://www.inaturalist.org/people/timrudman" TargetMode="External"/><Relationship Id="rId7139" Type="http://schemas.openxmlformats.org/officeDocument/2006/relationships/hyperlink" Target="https://creativecommons.org/licenses/by-nc/4.0/" TargetMode="External"/><Relationship Id="rId7140" Type="http://schemas.openxmlformats.org/officeDocument/2006/relationships/hyperlink" Target="https://www.inaturalist.org/observations/345429288" TargetMode="External"/><Relationship Id="rId7141" Type="http://schemas.openxmlformats.org/officeDocument/2006/relationships/hyperlink" Target="https://www.inaturalist.org/people/antjames" TargetMode="External"/><Relationship Id="rId7142" Type="http://schemas.openxmlformats.org/officeDocument/2006/relationships/hyperlink" Target="https://creativecommons.org/licenses/by-nc/4.0/" TargetMode="External"/><Relationship Id="rId7143" Type="http://schemas.openxmlformats.org/officeDocument/2006/relationships/hyperlink" Target="https://www.inaturalist.org/observations/331760925" TargetMode="External"/><Relationship Id="rId7144" Type="http://schemas.openxmlformats.org/officeDocument/2006/relationships/hyperlink" Target="https://www.inaturalist.org/people/forresthe" TargetMode="External"/><Relationship Id="rId7145" Type="http://schemas.openxmlformats.org/officeDocument/2006/relationships/hyperlink" Target="https://creativecommons.org/licenses/by-nc/4.0/" TargetMode="External"/><Relationship Id="rId7146" Type="http://schemas.openxmlformats.org/officeDocument/2006/relationships/hyperlink" Target="https://www.inaturalist.org/observations/331381271" TargetMode="External"/><Relationship Id="rId7147" Type="http://schemas.openxmlformats.org/officeDocument/2006/relationships/hyperlink" Target="https://www.inaturalist.org/people/dsortino" TargetMode="External"/><Relationship Id="rId7148" Type="http://schemas.openxmlformats.org/officeDocument/2006/relationships/hyperlink" Target="https://creativecommons.org/licenses/by-nc/4.0/" TargetMode="External"/><Relationship Id="rId7149" Type="http://schemas.openxmlformats.org/officeDocument/2006/relationships/hyperlink" Target="https://www.inaturalist.org/observations/330289992" TargetMode="External"/><Relationship Id="rId7150" Type="http://schemas.openxmlformats.org/officeDocument/2006/relationships/hyperlink" Target="https://www.inaturalist.org/people/slowpoke12" TargetMode="External"/><Relationship Id="rId7151" Type="http://schemas.openxmlformats.org/officeDocument/2006/relationships/hyperlink" Target="https://creativecommons.org/licenses/by-nc/4.0/" TargetMode="External"/><Relationship Id="rId7152" Type="http://schemas.openxmlformats.org/officeDocument/2006/relationships/hyperlink" Target="https://www.inaturalist.org/observations/326102525" TargetMode="External"/><Relationship Id="rId7153" Type="http://schemas.openxmlformats.org/officeDocument/2006/relationships/hyperlink" Target="https://www.inaturalist.org/people/hudsonbrowne" TargetMode="External"/><Relationship Id="rId7154" Type="http://schemas.openxmlformats.org/officeDocument/2006/relationships/hyperlink" Target="https://creativecommons.org/licenses/by-nc/4.0/" TargetMode="External"/><Relationship Id="rId7155" Type="http://schemas.openxmlformats.org/officeDocument/2006/relationships/hyperlink" Target="https://www.inaturalist.org/observations/325826181" TargetMode="External"/><Relationship Id="rId7156" Type="http://schemas.openxmlformats.org/officeDocument/2006/relationships/hyperlink" Target="https://www.inaturalist.org/people/alcapriotti" TargetMode="External"/><Relationship Id="rId7157" Type="http://schemas.openxmlformats.org/officeDocument/2006/relationships/hyperlink" Target="https://creativecommons.org/licenses/by-nc/4.0/" TargetMode="External"/><Relationship Id="rId7158" Type="http://schemas.openxmlformats.org/officeDocument/2006/relationships/hyperlink" Target="https://www.inaturalist.org/observations/325452130" TargetMode="External"/><Relationship Id="rId7159" Type="http://schemas.openxmlformats.org/officeDocument/2006/relationships/hyperlink" Target="https://www.inaturalist.org/people/omarvela" TargetMode="External"/><Relationship Id="rId7160" Type="http://schemas.openxmlformats.org/officeDocument/2006/relationships/hyperlink" Target="https://creativecommons.org/licenses/by-nc/4.0/" TargetMode="External"/><Relationship Id="rId7161" Type="http://schemas.openxmlformats.org/officeDocument/2006/relationships/hyperlink" Target="https://www.inaturalist.org/observations/325001230" TargetMode="External"/><Relationship Id="rId7162" Type="http://schemas.openxmlformats.org/officeDocument/2006/relationships/hyperlink" Target="https://www.inaturalist.org/people/ebarker1" TargetMode="External"/><Relationship Id="rId7163" Type="http://schemas.openxmlformats.org/officeDocument/2006/relationships/hyperlink" Target="https://creativecommons.org/licenses/by-nc/4.0/" TargetMode="External"/><Relationship Id="rId7164" Type="http://schemas.openxmlformats.org/officeDocument/2006/relationships/hyperlink" Target="https://www.inaturalist.org/observations/324961533" TargetMode="External"/><Relationship Id="rId7165" Type="http://schemas.openxmlformats.org/officeDocument/2006/relationships/hyperlink" Target="https://www.inaturalist.org/people/deanna_wilderlands" TargetMode="External"/><Relationship Id="rId7166" Type="http://schemas.openxmlformats.org/officeDocument/2006/relationships/hyperlink" Target="https://creativecommons.org/licenses/by-nc/4.0/" TargetMode="External"/><Relationship Id="rId7167" Type="http://schemas.openxmlformats.org/officeDocument/2006/relationships/hyperlink" Target="https://www.inaturalist.org/observations/307180592" TargetMode="External"/><Relationship Id="rId7168" Type="http://schemas.openxmlformats.org/officeDocument/2006/relationships/hyperlink" Target="https://www.inaturalist.org/people/jvanweenen" TargetMode="External"/><Relationship Id="rId7169" Type="http://schemas.openxmlformats.org/officeDocument/2006/relationships/hyperlink" Target="https://creativecommons.org/licenses/by-nc/4.0/" TargetMode="External"/><Relationship Id="rId7170" Type="http://schemas.openxmlformats.org/officeDocument/2006/relationships/hyperlink" Target="https://www.inaturalist.org/observations/299143721" TargetMode="External"/><Relationship Id="rId7171" Type="http://schemas.openxmlformats.org/officeDocument/2006/relationships/hyperlink" Target="https://www.inaturalist.org/people/jvanweenen" TargetMode="External"/><Relationship Id="rId7172" Type="http://schemas.openxmlformats.org/officeDocument/2006/relationships/hyperlink" Target="https://creativecommons.org/licenses/by-nc/4.0/" TargetMode="External"/><Relationship Id="rId7173" Type="http://schemas.openxmlformats.org/officeDocument/2006/relationships/hyperlink" Target="https://www.inaturalist.org/observations/299143676" TargetMode="External"/><Relationship Id="rId7174" Type="http://schemas.openxmlformats.org/officeDocument/2006/relationships/hyperlink" Target="https://www.inaturalist.org/people/moth_nut" TargetMode="External"/><Relationship Id="rId7175" Type="http://schemas.openxmlformats.org/officeDocument/2006/relationships/hyperlink" Target="https://creativecommons.org/licenses/by-nc/4.0/" TargetMode="External"/><Relationship Id="rId7176" Type="http://schemas.openxmlformats.org/officeDocument/2006/relationships/hyperlink" Target="https://www.inaturalist.org/observations/258070673" TargetMode="External"/><Relationship Id="rId7177" Type="http://schemas.openxmlformats.org/officeDocument/2006/relationships/hyperlink" Target="https://www.inaturalist.org/people/anthonypaul" TargetMode="External"/><Relationship Id="rId7178" Type="http://schemas.openxmlformats.org/officeDocument/2006/relationships/hyperlink" Target="https://creativecommons.org/licenses/by-nc/4.0/" TargetMode="External"/><Relationship Id="rId7179" Type="http://schemas.openxmlformats.org/officeDocument/2006/relationships/hyperlink" Target="https://www.inaturalist.org/observations/155587771" TargetMode="External"/><Relationship Id="rId7180" Type="http://schemas.openxmlformats.org/officeDocument/2006/relationships/hyperlink" Target="https://www.inaturalist.org/people/owenlishmund" TargetMode="External"/><Relationship Id="rId7181" Type="http://schemas.openxmlformats.org/officeDocument/2006/relationships/hyperlink" Target="https://creativecommons.org/licenses/by-nc/4.0/" TargetMode="External"/><Relationship Id="rId7182" Type="http://schemas.openxmlformats.org/officeDocument/2006/relationships/hyperlink" Target="https://www.inaturalist.org/observations/142804060" TargetMode="External"/><Relationship Id="rId7183" Type="http://schemas.openxmlformats.org/officeDocument/2006/relationships/hyperlink" Target="https://www.inaturalist.org/people/owenlishmund" TargetMode="External"/><Relationship Id="rId7184" Type="http://schemas.openxmlformats.org/officeDocument/2006/relationships/hyperlink" Target="https://creativecommons.org/licenses/by-nc/4.0/" TargetMode="External"/><Relationship Id="rId7185" Type="http://schemas.openxmlformats.org/officeDocument/2006/relationships/hyperlink" Target="https://www.inaturalist.org/observations/142804060" TargetMode="External"/><Relationship Id="rId7186" Type="http://schemas.openxmlformats.org/officeDocument/2006/relationships/hyperlink" Target="https://www.inaturalist.org/people/don_endriu_wildlife" TargetMode="External"/><Relationship Id="rId7187" Type="http://schemas.openxmlformats.org/officeDocument/2006/relationships/hyperlink" Target="https://creativecommons.org/licenses/by-nc/4.0/" TargetMode="External"/><Relationship Id="rId7188" Type="http://schemas.openxmlformats.org/officeDocument/2006/relationships/hyperlink" Target="https://www.inaturalist.org/observations/182463264" TargetMode="External"/><Relationship Id="rId7189" Type="http://schemas.openxmlformats.org/officeDocument/2006/relationships/hyperlink" Target="https://www.inaturalist.org/people/don_endriu_wildlife" TargetMode="External"/><Relationship Id="rId7190" Type="http://schemas.openxmlformats.org/officeDocument/2006/relationships/hyperlink" Target="https://creativecommons.org/licenses/by-nc/4.0/" TargetMode="External"/><Relationship Id="rId7191" Type="http://schemas.openxmlformats.org/officeDocument/2006/relationships/hyperlink" Target="https://www.inaturalist.org/observations/182463264" TargetMode="External"/><Relationship Id="rId7192" Type="http://schemas.openxmlformats.org/officeDocument/2006/relationships/hyperlink" Target="https://www.inaturalist.org/people/don_endriu_wildlife" TargetMode="External"/><Relationship Id="rId7193" Type="http://schemas.openxmlformats.org/officeDocument/2006/relationships/hyperlink" Target="https://creativecommons.org/licenses/by-nc/4.0/" TargetMode="External"/><Relationship Id="rId7194" Type="http://schemas.openxmlformats.org/officeDocument/2006/relationships/hyperlink" Target="https://www.inaturalist.org/observations/182463264" TargetMode="External"/><Relationship Id="rId7195" Type="http://schemas.openxmlformats.org/officeDocument/2006/relationships/hyperlink" Target="https://www.inaturalist.org/people/jari_cornelis" TargetMode="External"/><Relationship Id="rId7196" Type="http://schemas.openxmlformats.org/officeDocument/2006/relationships/hyperlink" Target="https://creativecommons.org/licenses/by-nc/4.0/" TargetMode="External"/><Relationship Id="rId7197" Type="http://schemas.openxmlformats.org/officeDocument/2006/relationships/hyperlink" Target="https://www.inaturalist.org/observations/140109001" TargetMode="External"/><Relationship Id="rId7198" Type="http://schemas.openxmlformats.org/officeDocument/2006/relationships/hyperlink" Target="https://www.inaturalist.org/people/snakesrcool" TargetMode="External"/><Relationship Id="rId7199" Type="http://schemas.openxmlformats.org/officeDocument/2006/relationships/hyperlink" Target="https://creativecommons.org/licenses/by-nc/4.0/" TargetMode="External"/><Relationship Id="rId7200" Type="http://schemas.openxmlformats.org/officeDocument/2006/relationships/hyperlink" Target="https://www.inaturalist.org/observations/115073931" TargetMode="External"/><Relationship Id="rId7201" Type="http://schemas.openxmlformats.org/officeDocument/2006/relationships/hyperlink" Target="https://www.inaturalist.org/people/treeder86" TargetMode="External"/><Relationship Id="rId7202" Type="http://schemas.openxmlformats.org/officeDocument/2006/relationships/hyperlink" Target="https://creativecommons.org/licenses/by-nc/4.0/" TargetMode="External"/><Relationship Id="rId7203" Type="http://schemas.openxmlformats.org/officeDocument/2006/relationships/hyperlink" Target="https://www.inaturalist.org/observations/900765" TargetMode="External"/><Relationship Id="rId7204" Type="http://schemas.openxmlformats.org/officeDocument/2006/relationships/hyperlink" Target="https://www.inaturalist.org/people/herpsinthescrub" TargetMode="External"/><Relationship Id="rId7205" Type="http://schemas.openxmlformats.org/officeDocument/2006/relationships/hyperlink" Target="https://creativecommons.org/licenses/by-nc/4.0/" TargetMode="External"/><Relationship Id="rId7206" Type="http://schemas.openxmlformats.org/officeDocument/2006/relationships/hyperlink" Target="https://www.inaturalist.org/observations/348219685" TargetMode="External"/><Relationship Id="rId7207" Type="http://schemas.openxmlformats.org/officeDocument/2006/relationships/hyperlink" Target="https://www.inaturalist.org/people/ben_hicks_" TargetMode="External"/><Relationship Id="rId7208" Type="http://schemas.openxmlformats.org/officeDocument/2006/relationships/hyperlink" Target="https://creativecommons.org/licenses/by-nc/4.0/" TargetMode="External"/><Relationship Id="rId7209" Type="http://schemas.openxmlformats.org/officeDocument/2006/relationships/hyperlink" Target="https://www.inaturalist.org/observations/337166259" TargetMode="External"/><Relationship Id="rId7210" Type="http://schemas.openxmlformats.org/officeDocument/2006/relationships/hyperlink" Target="https://www.inaturalist.org/people/herpsinthescrub" TargetMode="External"/><Relationship Id="rId7211" Type="http://schemas.openxmlformats.org/officeDocument/2006/relationships/hyperlink" Target="https://creativecommons.org/licenses/by-nc/4.0/" TargetMode="External"/><Relationship Id="rId7212" Type="http://schemas.openxmlformats.org/officeDocument/2006/relationships/hyperlink" Target="https://www.inaturalist.org/observations/325253710" TargetMode="External"/><Relationship Id="rId7213" Type="http://schemas.openxmlformats.org/officeDocument/2006/relationships/hyperlink" Target="https://www.inaturalist.org/people/levimacdonald" TargetMode="External"/><Relationship Id="rId7214" Type="http://schemas.openxmlformats.org/officeDocument/2006/relationships/hyperlink" Target="https://creativecommons.org/licenses/by-nc/4.0/" TargetMode="External"/><Relationship Id="rId7215" Type="http://schemas.openxmlformats.org/officeDocument/2006/relationships/hyperlink" Target="https://www.inaturalist.org/observations/311912375" TargetMode="External"/><Relationship Id="rId7216" Type="http://schemas.openxmlformats.org/officeDocument/2006/relationships/hyperlink" Target="https://www.inaturalist.org/people/forresthe" TargetMode="External"/><Relationship Id="rId7217" Type="http://schemas.openxmlformats.org/officeDocument/2006/relationships/hyperlink" Target="https://creativecommons.org/licenses/by-nc/4.0/" TargetMode="External"/><Relationship Id="rId7218" Type="http://schemas.openxmlformats.org/officeDocument/2006/relationships/hyperlink" Target="https://www.inaturalist.org/observations/302586469" TargetMode="External"/><Relationship Id="rId7219" Type="http://schemas.openxmlformats.org/officeDocument/2006/relationships/hyperlink" Target="https://www.inaturalist.org/people/jackllewelyn" TargetMode="External"/><Relationship Id="rId7220" Type="http://schemas.openxmlformats.org/officeDocument/2006/relationships/hyperlink" Target="https://creativecommons.org/licenses/by-nc/4.0/" TargetMode="External"/><Relationship Id="rId7221" Type="http://schemas.openxmlformats.org/officeDocument/2006/relationships/hyperlink" Target="https://www.inaturalist.org/observations/292341664" TargetMode="External"/><Relationship Id="rId7222" Type="http://schemas.openxmlformats.org/officeDocument/2006/relationships/hyperlink" Target="https://www.inaturalist.org/people/jackllewelyn" TargetMode="External"/><Relationship Id="rId7223" Type="http://schemas.openxmlformats.org/officeDocument/2006/relationships/hyperlink" Target="https://creativecommons.org/licenses/by-nc/4.0/" TargetMode="External"/><Relationship Id="rId7224" Type="http://schemas.openxmlformats.org/officeDocument/2006/relationships/hyperlink" Target="https://www.inaturalist.org/observations/292340802" TargetMode="External"/><Relationship Id="rId7225" Type="http://schemas.openxmlformats.org/officeDocument/2006/relationships/hyperlink" Target="https://www.inaturalist.org/people/dibbling" TargetMode="External"/><Relationship Id="rId7226" Type="http://schemas.openxmlformats.org/officeDocument/2006/relationships/hyperlink" Target="https://creativecommons.org/licenses/by-nc/4.0/" TargetMode="External"/><Relationship Id="rId7227" Type="http://schemas.openxmlformats.org/officeDocument/2006/relationships/hyperlink" Target="https://www.inaturalist.org/observations/266554855" TargetMode="External"/><Relationship Id="rId7228" Type="http://schemas.openxmlformats.org/officeDocument/2006/relationships/hyperlink" Target="https://www.inaturalist.org/people/jackllewelyn" TargetMode="External"/><Relationship Id="rId7229" Type="http://schemas.openxmlformats.org/officeDocument/2006/relationships/hyperlink" Target="https://creativecommons.org/licenses/by-nc/4.0/" TargetMode="External"/><Relationship Id="rId7230" Type="http://schemas.openxmlformats.org/officeDocument/2006/relationships/hyperlink" Target="https://www.inaturalist.org/observations/250437546" TargetMode="External"/><Relationship Id="rId7231" Type="http://schemas.openxmlformats.org/officeDocument/2006/relationships/hyperlink" Target="https://www.inaturalist.org/people/jackllewelyn" TargetMode="External"/><Relationship Id="rId7232" Type="http://schemas.openxmlformats.org/officeDocument/2006/relationships/hyperlink" Target="https://creativecommons.org/licenses/by-nc/4.0/" TargetMode="External"/><Relationship Id="rId7233" Type="http://schemas.openxmlformats.org/officeDocument/2006/relationships/hyperlink" Target="https://www.inaturalist.org/observations/250437546" TargetMode="External"/><Relationship Id="rId7234" Type="http://schemas.openxmlformats.org/officeDocument/2006/relationships/hyperlink" Target="https://www.inaturalist.org/people/marniem" TargetMode="External"/><Relationship Id="rId7235" Type="http://schemas.openxmlformats.org/officeDocument/2006/relationships/hyperlink" Target="https://creativecommons.org/licenses/by-nc/4.0/" TargetMode="External"/><Relationship Id="rId7236" Type="http://schemas.openxmlformats.org/officeDocument/2006/relationships/hyperlink" Target="https://www.inaturalist.org/observations/202258220" TargetMode="External"/><Relationship Id="rId7237" Type="http://schemas.openxmlformats.org/officeDocument/2006/relationships/hyperlink" Target="https://www.inaturalist.org/people/snakesrcool" TargetMode="External"/><Relationship Id="rId7238" Type="http://schemas.openxmlformats.org/officeDocument/2006/relationships/hyperlink" Target="https://creativecommons.org/licenses/by-nc/4.0/" TargetMode="External"/><Relationship Id="rId7239" Type="http://schemas.openxmlformats.org/officeDocument/2006/relationships/hyperlink" Target="https://www.inaturalist.org/observations/201351714" TargetMode="External"/><Relationship Id="rId7240" Type="http://schemas.openxmlformats.org/officeDocument/2006/relationships/hyperlink" Target="https://www.inaturalist.org/people/snakesrcool" TargetMode="External"/><Relationship Id="rId7241" Type="http://schemas.openxmlformats.org/officeDocument/2006/relationships/hyperlink" Target="https://creativecommons.org/licenses/by-nc/4.0/" TargetMode="External"/><Relationship Id="rId7242" Type="http://schemas.openxmlformats.org/officeDocument/2006/relationships/hyperlink" Target="https://www.inaturalist.org/observations/201351712" TargetMode="External"/><Relationship Id="rId7243" Type="http://schemas.openxmlformats.org/officeDocument/2006/relationships/hyperlink" Target="https://www.inaturalist.org/people/forresthe" TargetMode="External"/><Relationship Id="rId7244" Type="http://schemas.openxmlformats.org/officeDocument/2006/relationships/hyperlink" Target="https://creativecommons.org/licenses/by-nc/4.0/" TargetMode="External"/><Relationship Id="rId7245" Type="http://schemas.openxmlformats.org/officeDocument/2006/relationships/hyperlink" Target="https://www.inaturalist.org/observations/199352292" TargetMode="External"/><Relationship Id="rId7246" Type="http://schemas.openxmlformats.org/officeDocument/2006/relationships/hyperlink" Target="https://www.inaturalist.org/people/littlebrownskink" TargetMode="External"/><Relationship Id="rId7247" Type="http://schemas.openxmlformats.org/officeDocument/2006/relationships/hyperlink" Target="https://creativecommons.org/licenses/by-nc/4.0/" TargetMode="External"/><Relationship Id="rId7248" Type="http://schemas.openxmlformats.org/officeDocument/2006/relationships/hyperlink" Target="https://www.inaturalist.org/observations/395675754" TargetMode="External"/><Relationship Id="rId7249" Type="http://schemas.openxmlformats.org/officeDocument/2006/relationships/hyperlink" Target="https://www.inaturalist.org/people/bobgood" TargetMode="External"/><Relationship Id="rId7250" Type="http://schemas.openxmlformats.org/officeDocument/2006/relationships/hyperlink" Target="https://creativecommons.org/licenses/by-nc/4.0/" TargetMode="External"/><Relationship Id="rId7251" Type="http://schemas.openxmlformats.org/officeDocument/2006/relationships/hyperlink" Target="https://www.inaturalist.org/observations/394879010" TargetMode="External"/><Relationship Id="rId7252" Type="http://schemas.openxmlformats.org/officeDocument/2006/relationships/hyperlink" Target="https://www.inaturalist.org/people/grahamarmstrong" TargetMode="External"/><Relationship Id="rId7253" Type="http://schemas.openxmlformats.org/officeDocument/2006/relationships/hyperlink" Target="https://creativecommons.org/licenses/by-nc/4.0/" TargetMode="External"/><Relationship Id="rId7254" Type="http://schemas.openxmlformats.org/officeDocument/2006/relationships/hyperlink" Target="https://www.inaturalist.org/observations/392307766" TargetMode="External"/><Relationship Id="rId7255" Type="http://schemas.openxmlformats.org/officeDocument/2006/relationships/hyperlink" Target="https://www.inaturalist.org/people/grahamarmstrong" TargetMode="External"/><Relationship Id="rId7256" Type="http://schemas.openxmlformats.org/officeDocument/2006/relationships/hyperlink" Target="https://creativecommons.org/licenses/by-nc/4.0/" TargetMode="External"/><Relationship Id="rId7257" Type="http://schemas.openxmlformats.org/officeDocument/2006/relationships/hyperlink" Target="https://www.inaturalist.org/observations/392307766" TargetMode="External"/><Relationship Id="rId7258" Type="http://schemas.openxmlformats.org/officeDocument/2006/relationships/hyperlink" Target="https://www.inaturalist.org/people/levibrownwild" TargetMode="External"/><Relationship Id="rId7259" Type="http://schemas.openxmlformats.org/officeDocument/2006/relationships/hyperlink" Target="https://creativecommons.org/licenses/by-nc/4.0/" TargetMode="External"/><Relationship Id="rId7260" Type="http://schemas.openxmlformats.org/officeDocument/2006/relationships/hyperlink" Target="https://www.inaturalist.org/observations/355251141" TargetMode="External"/><Relationship Id="rId7261" Type="http://schemas.openxmlformats.org/officeDocument/2006/relationships/hyperlink" Target="https://www.inaturalist.org/people/ben_hicks_" TargetMode="External"/><Relationship Id="rId7262" Type="http://schemas.openxmlformats.org/officeDocument/2006/relationships/hyperlink" Target="https://creativecommons.org/licenses/by-nc/4.0/" TargetMode="External"/><Relationship Id="rId7263" Type="http://schemas.openxmlformats.org/officeDocument/2006/relationships/hyperlink" Target="https://www.inaturalist.org/observations/337165859" TargetMode="External"/><Relationship Id="rId7264" Type="http://schemas.openxmlformats.org/officeDocument/2006/relationships/hyperlink" Target="https://www.inaturalist.org/people/periplaneta" TargetMode="External"/><Relationship Id="rId7265" Type="http://schemas.openxmlformats.org/officeDocument/2006/relationships/hyperlink" Target="https://creativecommons.org/licenses/by-nc/4.0/" TargetMode="External"/><Relationship Id="rId7266" Type="http://schemas.openxmlformats.org/officeDocument/2006/relationships/hyperlink" Target="https://www.inaturalist.org/observations/320569877" TargetMode="External"/><Relationship Id="rId7267" Type="http://schemas.openxmlformats.org/officeDocument/2006/relationships/hyperlink" Target="https://www.inaturalist.org/people/periplaneta" TargetMode="External"/><Relationship Id="rId7268" Type="http://schemas.openxmlformats.org/officeDocument/2006/relationships/hyperlink" Target="https://creativecommons.org/licenses/by-nc/4.0/" TargetMode="External"/><Relationship Id="rId7269" Type="http://schemas.openxmlformats.org/officeDocument/2006/relationships/hyperlink" Target="https://www.inaturalist.org/observations/320569877" TargetMode="External"/><Relationship Id="rId7270" Type="http://schemas.openxmlformats.org/officeDocument/2006/relationships/hyperlink" Target="https://www.inaturalist.org/people/lorenzofraysse" TargetMode="External"/><Relationship Id="rId7271" Type="http://schemas.openxmlformats.org/officeDocument/2006/relationships/hyperlink" Target="https://creativecommons.org/licenses/by-nc/4.0/" TargetMode="External"/><Relationship Id="rId7272" Type="http://schemas.openxmlformats.org/officeDocument/2006/relationships/hyperlink" Target="https://www.inaturalist.org/observations/318164830" TargetMode="External"/><Relationship Id="rId7273" Type="http://schemas.openxmlformats.org/officeDocument/2006/relationships/hyperlink" Target="https://www.inaturalist.org/people/lorenzofraysse" TargetMode="External"/><Relationship Id="rId7274" Type="http://schemas.openxmlformats.org/officeDocument/2006/relationships/hyperlink" Target="https://creativecommons.org/licenses/by-nc/4.0/" TargetMode="External"/><Relationship Id="rId7275" Type="http://schemas.openxmlformats.org/officeDocument/2006/relationships/hyperlink" Target="https://www.inaturalist.org/observations/318164614" TargetMode="External"/><Relationship Id="rId7276" Type="http://schemas.openxmlformats.org/officeDocument/2006/relationships/hyperlink" Target="https://www.inaturalist.org/people/rabbitboy64" TargetMode="External"/><Relationship Id="rId7277" Type="http://schemas.openxmlformats.org/officeDocument/2006/relationships/hyperlink" Target="https://creativecommons.org/licenses/by-nc/4.0/" TargetMode="External"/><Relationship Id="rId7278" Type="http://schemas.openxmlformats.org/officeDocument/2006/relationships/hyperlink" Target="https://www.inaturalist.org/observations/315785633" TargetMode="External"/><Relationship Id="rId7279" Type="http://schemas.openxmlformats.org/officeDocument/2006/relationships/hyperlink" Target="https://www.inaturalist.org/people/amelielague" TargetMode="External"/><Relationship Id="rId7280" Type="http://schemas.openxmlformats.org/officeDocument/2006/relationships/hyperlink" Target="https://creativecommons.org/licenses/by-nc/4.0/" TargetMode="External"/><Relationship Id="rId7281" Type="http://schemas.openxmlformats.org/officeDocument/2006/relationships/hyperlink" Target="https://www.inaturalist.org/observations/315168371" TargetMode="External"/><Relationship Id="rId7282" Type="http://schemas.openxmlformats.org/officeDocument/2006/relationships/hyperlink" Target="https://www.inaturalist.org/people/snakesrcool" TargetMode="External"/><Relationship Id="rId7283" Type="http://schemas.openxmlformats.org/officeDocument/2006/relationships/hyperlink" Target="https://creativecommons.org/licenses/by-nc/4.0/" TargetMode="External"/><Relationship Id="rId7284" Type="http://schemas.openxmlformats.org/officeDocument/2006/relationships/hyperlink" Target="https://www.inaturalist.org/observations/234841835" TargetMode="External"/><Relationship Id="rId7285" Type="http://schemas.openxmlformats.org/officeDocument/2006/relationships/hyperlink" Target="https://www.inaturalist.org/people/forresthe" TargetMode="External"/><Relationship Id="rId7286" Type="http://schemas.openxmlformats.org/officeDocument/2006/relationships/hyperlink" Target="https://creativecommons.org/licenses/by-nc/4.0/" TargetMode="External"/><Relationship Id="rId7287" Type="http://schemas.openxmlformats.org/officeDocument/2006/relationships/hyperlink" Target="https://www.inaturalist.org/observations/230495058" TargetMode="External"/><Relationship Id="rId7288" Type="http://schemas.openxmlformats.org/officeDocument/2006/relationships/hyperlink" Target="https://www.inaturalist.org/people/forresthe" TargetMode="External"/><Relationship Id="rId7289" Type="http://schemas.openxmlformats.org/officeDocument/2006/relationships/hyperlink" Target="https://creativecommons.org/licenses/by-nc/4.0/" TargetMode="External"/><Relationship Id="rId7290" Type="http://schemas.openxmlformats.org/officeDocument/2006/relationships/hyperlink" Target="https://www.inaturalist.org/observations/197370114" TargetMode="External"/><Relationship Id="rId7291" Type="http://schemas.openxmlformats.org/officeDocument/2006/relationships/hyperlink" Target="https://www.inaturalist.org/people/forresthe" TargetMode="External"/><Relationship Id="rId7292" Type="http://schemas.openxmlformats.org/officeDocument/2006/relationships/hyperlink" Target="https://creativecommons.org/licenses/by-nc/4.0/" TargetMode="External"/><Relationship Id="rId7293" Type="http://schemas.openxmlformats.org/officeDocument/2006/relationships/hyperlink" Target="https://www.inaturalist.org/observations/197380438" TargetMode="External"/><Relationship Id="rId7294" Type="http://schemas.openxmlformats.org/officeDocument/2006/relationships/hyperlink" Target="https://www.inaturalist.org/people/snakesrcool" TargetMode="External"/><Relationship Id="rId7295" Type="http://schemas.openxmlformats.org/officeDocument/2006/relationships/hyperlink" Target="https://creativecommons.org/licenses/by-nc/4.0/" TargetMode="External"/><Relationship Id="rId7296" Type="http://schemas.openxmlformats.org/officeDocument/2006/relationships/hyperlink" Target="https://www.inaturalist.org/observations/182908239" TargetMode="External"/><Relationship Id="rId7297" Type="http://schemas.openxmlformats.org/officeDocument/2006/relationships/hyperlink" Target="https://www.inaturalist.org/people/snakesrcool" TargetMode="External"/><Relationship Id="rId7298" Type="http://schemas.openxmlformats.org/officeDocument/2006/relationships/hyperlink" Target="https://creativecommons.org/licenses/by-nc/4.0/" TargetMode="External"/><Relationship Id="rId7299" Type="http://schemas.openxmlformats.org/officeDocument/2006/relationships/hyperlink" Target="https://www.inaturalist.org/observations/154566354" TargetMode="External"/><Relationship Id="rId7300" Type="http://schemas.openxmlformats.org/officeDocument/2006/relationships/hyperlink" Target="https://www.inaturalist.org/people/snakesrcool" TargetMode="External"/><Relationship Id="rId7301" Type="http://schemas.openxmlformats.org/officeDocument/2006/relationships/hyperlink" Target="https://creativecommons.org/licenses/by-nc/4.0/" TargetMode="External"/><Relationship Id="rId7302" Type="http://schemas.openxmlformats.org/officeDocument/2006/relationships/hyperlink" Target="https://www.inaturalist.org/observations/176905727" TargetMode="External"/><Relationship Id="rId7303" Type="http://schemas.openxmlformats.org/officeDocument/2006/relationships/hyperlink" Target="https://www.inaturalist.org/people/snakesrcool" TargetMode="External"/><Relationship Id="rId7304" Type="http://schemas.openxmlformats.org/officeDocument/2006/relationships/hyperlink" Target="https://creativecommons.org/licenses/by-nc/4.0/" TargetMode="External"/><Relationship Id="rId7305" Type="http://schemas.openxmlformats.org/officeDocument/2006/relationships/hyperlink" Target="https://www.inaturalist.org/observations/171329845" TargetMode="External"/><Relationship Id="rId7306" Type="http://schemas.openxmlformats.org/officeDocument/2006/relationships/hyperlink" Target="https://www.inaturalist.org/people/forresthe" TargetMode="External"/><Relationship Id="rId7307" Type="http://schemas.openxmlformats.org/officeDocument/2006/relationships/hyperlink" Target="https://creativecommons.org/licenses/by-nc/4.0/" TargetMode="External"/><Relationship Id="rId7308" Type="http://schemas.openxmlformats.org/officeDocument/2006/relationships/hyperlink" Target="https://www.inaturalist.org/observations/252148454" TargetMode="External"/><Relationship Id="rId7309" Type="http://schemas.openxmlformats.org/officeDocument/2006/relationships/hyperlink" Target="https://www.inaturalist.org/people/pglaouto" TargetMode="External"/><Relationship Id="rId7310" Type="http://schemas.openxmlformats.org/officeDocument/2006/relationships/hyperlink" Target="https://creativecommons.org/licenses/by-nc/4.0/" TargetMode="External"/><Relationship Id="rId7311" Type="http://schemas.openxmlformats.org/officeDocument/2006/relationships/hyperlink" Target="https://www.inaturalist.org/observations/203419475" TargetMode="External"/><Relationship Id="rId7312" Type="http://schemas.openxmlformats.org/officeDocument/2006/relationships/hyperlink" Target="https://www.inaturalist.org/people/snakesrcool" TargetMode="External"/><Relationship Id="rId7313" Type="http://schemas.openxmlformats.org/officeDocument/2006/relationships/hyperlink" Target="https://creativecommons.org/licenses/by-nc/4.0/" TargetMode="External"/><Relationship Id="rId7314" Type="http://schemas.openxmlformats.org/officeDocument/2006/relationships/hyperlink" Target="https://www.inaturalist.org/observations/198275490" TargetMode="External"/><Relationship Id="rId7315" Type="http://schemas.openxmlformats.org/officeDocument/2006/relationships/hyperlink" Target="https://www.inaturalist.org/people/snakesrcool" TargetMode="External"/><Relationship Id="rId7316" Type="http://schemas.openxmlformats.org/officeDocument/2006/relationships/hyperlink" Target="https://creativecommons.org/licenses/by-nc/4.0/" TargetMode="External"/><Relationship Id="rId7317" Type="http://schemas.openxmlformats.org/officeDocument/2006/relationships/hyperlink" Target="https://www.inaturalist.org/observations/191810621" TargetMode="External"/><Relationship Id="rId7318" Type="http://schemas.openxmlformats.org/officeDocument/2006/relationships/hyperlink" Target="https://www.inaturalist.org/people/snakesrcool" TargetMode="External"/><Relationship Id="rId7319" Type="http://schemas.openxmlformats.org/officeDocument/2006/relationships/hyperlink" Target="https://creativecommons.org/licenses/by-nc/4.0/" TargetMode="External"/><Relationship Id="rId7320" Type="http://schemas.openxmlformats.org/officeDocument/2006/relationships/hyperlink" Target="https://www.inaturalist.org/observations/191648752" TargetMode="External"/><Relationship Id="rId7321" Type="http://schemas.openxmlformats.org/officeDocument/2006/relationships/hyperlink" Target="https://www.inaturalist.org/people/snakesrcool" TargetMode="External"/><Relationship Id="rId7322" Type="http://schemas.openxmlformats.org/officeDocument/2006/relationships/hyperlink" Target="https://creativecommons.org/licenses/by-nc/4.0/" TargetMode="External"/><Relationship Id="rId7323" Type="http://schemas.openxmlformats.org/officeDocument/2006/relationships/hyperlink" Target="https://www.inaturalist.org/observations/182908262" TargetMode="External"/><Relationship Id="rId7324" Type="http://schemas.openxmlformats.org/officeDocument/2006/relationships/hyperlink" Target="https://www.inaturalist.org/people/snakesrcool" TargetMode="External"/><Relationship Id="rId7325" Type="http://schemas.openxmlformats.org/officeDocument/2006/relationships/hyperlink" Target="https://creativecommons.org/licenses/by-nc/4.0/" TargetMode="External"/><Relationship Id="rId7326" Type="http://schemas.openxmlformats.org/officeDocument/2006/relationships/hyperlink" Target="https://www.inaturalist.org/observations/174065364" TargetMode="External"/><Relationship Id="rId7327" Type="http://schemas.openxmlformats.org/officeDocument/2006/relationships/hyperlink" Target="https://www.inaturalist.org/people/bigpseudemoia123" TargetMode="External"/><Relationship Id="rId7328" Type="http://schemas.openxmlformats.org/officeDocument/2006/relationships/hyperlink" Target="https://creativecommons.org/licenses/by-nc/4.0/" TargetMode="External"/><Relationship Id="rId7329" Type="http://schemas.openxmlformats.org/officeDocument/2006/relationships/hyperlink" Target="https://www.inaturalist.org/observations/170250345" TargetMode="External"/><Relationship Id="rId7330" Type="http://schemas.openxmlformats.org/officeDocument/2006/relationships/hyperlink" Target="https://www.inaturalist.org/people/bigpseudemoia123" TargetMode="External"/><Relationship Id="rId7331" Type="http://schemas.openxmlformats.org/officeDocument/2006/relationships/hyperlink" Target="https://creativecommons.org/licenses/by-nc/4.0/" TargetMode="External"/><Relationship Id="rId7332" Type="http://schemas.openxmlformats.org/officeDocument/2006/relationships/hyperlink" Target="https://www.inaturalist.org/observations/169353469" TargetMode="External"/><Relationship Id="rId7333" Type="http://schemas.openxmlformats.org/officeDocument/2006/relationships/hyperlink" Target="https://www.inaturalist.org/people/jules_farquhar" TargetMode="External"/><Relationship Id="rId7334" Type="http://schemas.openxmlformats.org/officeDocument/2006/relationships/hyperlink" Target="https://creativecommons.org/licenses/by-nc/4.0/" TargetMode="External"/><Relationship Id="rId7335" Type="http://schemas.openxmlformats.org/officeDocument/2006/relationships/hyperlink" Target="https://www.inaturalist.org/observations/164777064" TargetMode="External"/><Relationship Id="rId7336" Type="http://schemas.openxmlformats.org/officeDocument/2006/relationships/hyperlink" Target="https://www.inaturalist.org/people/snakesrcool" TargetMode="External"/><Relationship Id="rId7337" Type="http://schemas.openxmlformats.org/officeDocument/2006/relationships/hyperlink" Target="https://creativecommons.org/licenses/by-nc/4.0/" TargetMode="External"/><Relationship Id="rId7338" Type="http://schemas.openxmlformats.org/officeDocument/2006/relationships/hyperlink" Target="https://www.inaturalist.org/observations/150401772" TargetMode="External"/><Relationship Id="rId7339" Type="http://schemas.openxmlformats.org/officeDocument/2006/relationships/hyperlink" Target="https://www.inaturalist.org/people/snakesrcool" TargetMode="External"/><Relationship Id="rId7340" Type="http://schemas.openxmlformats.org/officeDocument/2006/relationships/hyperlink" Target="https://creativecommons.org/licenses/by-nc/4.0/" TargetMode="External"/><Relationship Id="rId7341" Type="http://schemas.openxmlformats.org/officeDocument/2006/relationships/hyperlink" Target="https://www.inaturalist.org/observations/148346349" TargetMode="External"/><Relationship Id="rId7342" Type="http://schemas.openxmlformats.org/officeDocument/2006/relationships/hyperlink" Target="https://www.inaturalist.org/people/snakesrcool" TargetMode="External"/><Relationship Id="rId7343" Type="http://schemas.openxmlformats.org/officeDocument/2006/relationships/hyperlink" Target="https://creativecommons.org/licenses/by-nc/4.0/" TargetMode="External"/><Relationship Id="rId7344" Type="http://schemas.openxmlformats.org/officeDocument/2006/relationships/hyperlink" Target="https://www.inaturalist.org/observations/147024263" TargetMode="External"/><Relationship Id="rId7345" Type="http://schemas.openxmlformats.org/officeDocument/2006/relationships/hyperlink" Target="https://www.inaturalist.org/people/snakesrcool" TargetMode="External"/><Relationship Id="rId7346" Type="http://schemas.openxmlformats.org/officeDocument/2006/relationships/hyperlink" Target="https://creativecommons.org/licenses/by-nc/4.0/" TargetMode="External"/><Relationship Id="rId7347" Type="http://schemas.openxmlformats.org/officeDocument/2006/relationships/hyperlink" Target="https://www.inaturalist.org/observations/135245746" TargetMode="External"/><Relationship Id="rId7348" Type="http://schemas.openxmlformats.org/officeDocument/2006/relationships/hyperlink" Target="https://www.inaturalist.org/people/snakesrcool" TargetMode="External"/><Relationship Id="rId7349" Type="http://schemas.openxmlformats.org/officeDocument/2006/relationships/hyperlink" Target="https://creativecommons.org/licenses/by-nc/4.0/" TargetMode="External"/><Relationship Id="rId7350" Type="http://schemas.openxmlformats.org/officeDocument/2006/relationships/hyperlink" Target="https://www.inaturalist.org/observations/108164731" TargetMode="External"/><Relationship Id="rId7351" Type="http://schemas.openxmlformats.org/officeDocument/2006/relationships/hyperlink" Target="https://www.inaturalist.org/people/snakesrcool" TargetMode="External"/><Relationship Id="rId7352" Type="http://schemas.openxmlformats.org/officeDocument/2006/relationships/hyperlink" Target="https://creativecommons.org/licenses/by-nc/4.0/" TargetMode="External"/><Relationship Id="rId7353" Type="http://schemas.openxmlformats.org/officeDocument/2006/relationships/hyperlink" Target="https://www.inaturalist.org/observations/103290019" TargetMode="External"/><Relationship Id="rId7354" Type="http://schemas.openxmlformats.org/officeDocument/2006/relationships/hyperlink" Target="https://www.inaturalist.org/people/snakesrcool" TargetMode="External"/><Relationship Id="rId7355" Type="http://schemas.openxmlformats.org/officeDocument/2006/relationships/hyperlink" Target="https://creativecommons.org/licenses/by-nc/4.0/" TargetMode="External"/><Relationship Id="rId7356" Type="http://schemas.openxmlformats.org/officeDocument/2006/relationships/hyperlink" Target="https://www.inaturalist.org/observations/103290019" TargetMode="External"/><Relationship Id="rId7357" Type="http://schemas.openxmlformats.org/officeDocument/2006/relationships/hyperlink" Target="https://www.inaturalist.org/people/grahamarmstrong" TargetMode="External"/><Relationship Id="rId7358" Type="http://schemas.openxmlformats.org/officeDocument/2006/relationships/hyperlink" Target="https://creativecommons.org/licenses/by-nc/4.0/" TargetMode="External"/><Relationship Id="rId7359" Type="http://schemas.openxmlformats.org/officeDocument/2006/relationships/hyperlink" Target="https://www.inaturalist.org/observations/98435231" TargetMode="External"/><Relationship Id="rId7360" Type="http://schemas.openxmlformats.org/officeDocument/2006/relationships/hyperlink" Target="https://www.inaturalist.org/people/alifsmithii" TargetMode="External"/><Relationship Id="rId7361" Type="http://schemas.openxmlformats.org/officeDocument/2006/relationships/hyperlink" Target="https://creativecommons.org/licenses/by-nc/4.0/" TargetMode="External"/><Relationship Id="rId7362" Type="http://schemas.openxmlformats.org/officeDocument/2006/relationships/hyperlink" Target="https://www.inaturalist.org/observations/388652326" TargetMode="External"/><Relationship Id="rId7363" Type="http://schemas.openxmlformats.org/officeDocument/2006/relationships/hyperlink" Target="https://www.inaturalist.org/people/bitterns_and_brolgas" TargetMode="External"/><Relationship Id="rId7364" Type="http://schemas.openxmlformats.org/officeDocument/2006/relationships/hyperlink" Target="https://creativecommons.org/licenses/by-nc/4.0/" TargetMode="External"/><Relationship Id="rId7365" Type="http://schemas.openxmlformats.org/officeDocument/2006/relationships/hyperlink" Target="https://www.inaturalist.org/observations/380172849" TargetMode="External"/><Relationship Id="rId7366" Type="http://schemas.openxmlformats.org/officeDocument/2006/relationships/hyperlink" Target="https://www.inaturalist.org/people/nevosfarm" TargetMode="External"/><Relationship Id="rId7367" Type="http://schemas.openxmlformats.org/officeDocument/2006/relationships/hyperlink" Target="https://creativecommons.org/licenses/by-nc/4.0/" TargetMode="External"/><Relationship Id="rId7368" Type="http://schemas.openxmlformats.org/officeDocument/2006/relationships/hyperlink" Target="https://www.inaturalist.org/observations/373394231" TargetMode="External"/><Relationship Id="rId7369" Type="http://schemas.openxmlformats.org/officeDocument/2006/relationships/hyperlink" Target="https://www.inaturalist.org/people/jackfegan" TargetMode="External"/><Relationship Id="rId7370" Type="http://schemas.openxmlformats.org/officeDocument/2006/relationships/hyperlink" Target="https://creativecommons.org/licenses/by-nc/4.0/" TargetMode="External"/><Relationship Id="rId7371" Type="http://schemas.openxmlformats.org/officeDocument/2006/relationships/hyperlink" Target="https://www.inaturalist.org/observations/350489124" TargetMode="External"/><Relationship Id="rId7372" Type="http://schemas.openxmlformats.org/officeDocument/2006/relationships/hyperlink" Target="https://www.inaturalist.org/people/willjmatthews04" TargetMode="External"/><Relationship Id="rId7373" Type="http://schemas.openxmlformats.org/officeDocument/2006/relationships/hyperlink" Target="https://creativecommons.org/licenses/by-nc/4.0/" TargetMode="External"/><Relationship Id="rId7374" Type="http://schemas.openxmlformats.org/officeDocument/2006/relationships/hyperlink" Target="https://www.inaturalist.org/observations/330943670" TargetMode="External"/><Relationship Id="rId7375" Type="http://schemas.openxmlformats.org/officeDocument/2006/relationships/hyperlink" Target="https://www.inaturalist.org/people/philip_g" TargetMode="External"/><Relationship Id="rId7376" Type="http://schemas.openxmlformats.org/officeDocument/2006/relationships/hyperlink" Target="https://creativecommons.org/licenses/by-nc/4.0/" TargetMode="External"/><Relationship Id="rId7377" Type="http://schemas.openxmlformats.org/officeDocument/2006/relationships/hyperlink" Target="https://www.inaturalist.org/observations/325121062" TargetMode="External"/><Relationship Id="rId7378" Type="http://schemas.openxmlformats.org/officeDocument/2006/relationships/hyperlink" Target="https://www.inaturalist.org/people/brad_gabriel" TargetMode="External"/><Relationship Id="rId7379" Type="http://schemas.openxmlformats.org/officeDocument/2006/relationships/hyperlink" Target="https://creativecommons.org/licenses/by-nc/4.0/" TargetMode="External"/><Relationship Id="rId7380" Type="http://schemas.openxmlformats.org/officeDocument/2006/relationships/hyperlink" Target="https://www.inaturalist.org/observations/319735000" TargetMode="External"/><Relationship Id="rId7381" Type="http://schemas.openxmlformats.org/officeDocument/2006/relationships/hyperlink" Target="https://www.inaturalist.org/people/shanewalsh" TargetMode="External"/><Relationship Id="rId7382" Type="http://schemas.openxmlformats.org/officeDocument/2006/relationships/hyperlink" Target="https://creativecommons.org/licenses/by-nc/4.0/" TargetMode="External"/><Relationship Id="rId7383" Type="http://schemas.openxmlformats.org/officeDocument/2006/relationships/hyperlink" Target="https://www.inaturalist.org/observations/309414861" TargetMode="External"/><Relationship Id="rId7384" Type="http://schemas.openxmlformats.org/officeDocument/2006/relationships/hyperlink" Target="https://www.inaturalist.org/people/stucochrane" TargetMode="External"/><Relationship Id="rId7385" Type="http://schemas.openxmlformats.org/officeDocument/2006/relationships/hyperlink" Target="https://creativecommons.org/licenses/by-nc/4.0/" TargetMode="External"/><Relationship Id="rId7386" Type="http://schemas.openxmlformats.org/officeDocument/2006/relationships/hyperlink" Target="https://www.inaturalist.org/observations/308933050" TargetMode="External"/><Relationship Id="rId7387" Type="http://schemas.openxmlformats.org/officeDocument/2006/relationships/hyperlink" Target="https://www.inaturalist.org/people/alburyw" TargetMode="External"/><Relationship Id="rId7388" Type="http://schemas.openxmlformats.org/officeDocument/2006/relationships/hyperlink" Target="https://creativecommons.org/licenses/by-nc/4.0/" TargetMode="External"/><Relationship Id="rId7389" Type="http://schemas.openxmlformats.org/officeDocument/2006/relationships/hyperlink" Target="https://www.inaturalist.org/observations/307467212" TargetMode="External"/><Relationship Id="rId7390" Type="http://schemas.openxmlformats.org/officeDocument/2006/relationships/hyperlink" Target="https://www.inaturalist.org/people/alburyw" TargetMode="External"/><Relationship Id="rId7391" Type="http://schemas.openxmlformats.org/officeDocument/2006/relationships/hyperlink" Target="https://creativecommons.org/licenses/by-nc/4.0/" TargetMode="External"/><Relationship Id="rId7392" Type="http://schemas.openxmlformats.org/officeDocument/2006/relationships/hyperlink" Target="https://www.inaturalist.org/observations/307467212" TargetMode="External"/><Relationship Id="rId7393" Type="http://schemas.openxmlformats.org/officeDocument/2006/relationships/hyperlink" Target="https://www.inaturalist.org/people/nchp" TargetMode="External"/><Relationship Id="rId7394" Type="http://schemas.openxmlformats.org/officeDocument/2006/relationships/hyperlink" Target="https://creativecommons.org/licenses/by-nc/4.0/" TargetMode="External"/><Relationship Id="rId7395" Type="http://schemas.openxmlformats.org/officeDocument/2006/relationships/hyperlink" Target="https://www.inaturalist.org/observations/282292887" TargetMode="External"/><Relationship Id="rId7396" Type="http://schemas.openxmlformats.org/officeDocument/2006/relationships/hyperlink" Target="https://www.inaturalist.org/people/semi-milker" TargetMode="External"/><Relationship Id="rId7397" Type="http://schemas.openxmlformats.org/officeDocument/2006/relationships/hyperlink" Target="https://creativecommons.org/licenses/by-nc/4.0/" TargetMode="External"/><Relationship Id="rId7398" Type="http://schemas.openxmlformats.org/officeDocument/2006/relationships/hyperlink" Target="https://www.inaturalist.org/observations/259725429" TargetMode="External"/><Relationship Id="rId7399" Type="http://schemas.openxmlformats.org/officeDocument/2006/relationships/hyperlink" Target="https://www.inaturalist.org/people/lynchyw1ldlife" TargetMode="External"/><Relationship Id="rId7400" Type="http://schemas.openxmlformats.org/officeDocument/2006/relationships/hyperlink" Target="https://creativecommons.org/licenses/by-nc/4.0/" TargetMode="External"/><Relationship Id="rId7401" Type="http://schemas.openxmlformats.org/officeDocument/2006/relationships/hyperlink" Target="https://www.inaturalist.org/observations/256307633" TargetMode="External"/><Relationship Id="rId7402" Type="http://schemas.openxmlformats.org/officeDocument/2006/relationships/hyperlink" Target="https://www.inaturalist.org/people/greenhamburger" TargetMode="External"/><Relationship Id="rId7403" Type="http://schemas.openxmlformats.org/officeDocument/2006/relationships/hyperlink" Target="https://creativecommons.org/licenses/by-nc/4.0/" TargetMode="External"/><Relationship Id="rId7404" Type="http://schemas.openxmlformats.org/officeDocument/2006/relationships/hyperlink" Target="https://www.inaturalist.org/observations/252791246" TargetMode="External"/><Relationship Id="rId7405" Type="http://schemas.openxmlformats.org/officeDocument/2006/relationships/hyperlink" Target="https://www.inaturalist.org/people/m-jbetts" TargetMode="External"/><Relationship Id="rId7406" Type="http://schemas.openxmlformats.org/officeDocument/2006/relationships/hyperlink" Target="https://creativecommons.org/licenses/by-nc/4.0/" TargetMode="External"/><Relationship Id="rId7407" Type="http://schemas.openxmlformats.org/officeDocument/2006/relationships/hyperlink" Target="https://www.inaturalist.org/observations/250995167" TargetMode="External"/><Relationship Id="rId7408" Type="http://schemas.openxmlformats.org/officeDocument/2006/relationships/hyperlink" Target="https://www.inaturalist.org/people/jcmcinerney" TargetMode="External"/><Relationship Id="rId7409" Type="http://schemas.openxmlformats.org/officeDocument/2006/relationships/hyperlink" Target="https://creativecommons.org/licenses/by-nc/4.0/" TargetMode="External"/><Relationship Id="rId7410" Type="http://schemas.openxmlformats.org/officeDocument/2006/relationships/hyperlink" Target="https://www.inaturalist.org/observations/234880254" TargetMode="External"/><Relationship Id="rId7411" Type="http://schemas.openxmlformats.org/officeDocument/2006/relationships/hyperlink" Target="https://www.inaturalist.org/people/jcmcinerney" TargetMode="External"/><Relationship Id="rId7412" Type="http://schemas.openxmlformats.org/officeDocument/2006/relationships/hyperlink" Target="https://creativecommons.org/licenses/by-nc/4.0/" TargetMode="External"/><Relationship Id="rId7413" Type="http://schemas.openxmlformats.org/officeDocument/2006/relationships/hyperlink" Target="https://www.inaturalist.org/observations/234880254" TargetMode="External"/><Relationship Id="rId7414" Type="http://schemas.openxmlformats.org/officeDocument/2006/relationships/hyperlink" Target="https://www.inaturalist.org/people/owenlishmund" TargetMode="External"/><Relationship Id="rId7415" Type="http://schemas.openxmlformats.org/officeDocument/2006/relationships/hyperlink" Target="https://creativecommons.org/licenses/by-nc/4.0/" TargetMode="External"/><Relationship Id="rId7416" Type="http://schemas.openxmlformats.org/officeDocument/2006/relationships/hyperlink" Target="https://www.inaturalist.org/observations/232220092" TargetMode="External"/><Relationship Id="rId7417" Type="http://schemas.openxmlformats.org/officeDocument/2006/relationships/hyperlink" Target="https://www.inaturalist.org/people/em_nature" TargetMode="External"/><Relationship Id="rId7418" Type="http://schemas.openxmlformats.org/officeDocument/2006/relationships/hyperlink" Target="https://creativecommons.org/licenses/by-nc/4.0/" TargetMode="External"/><Relationship Id="rId7419" Type="http://schemas.openxmlformats.org/officeDocument/2006/relationships/hyperlink" Target="https://www.inaturalist.org/observations/224521432" TargetMode="External"/><Relationship Id="rId7420" Type="http://schemas.openxmlformats.org/officeDocument/2006/relationships/hyperlink" Target="https://www.inaturalist.org/people/alexander_dudley" TargetMode="External"/><Relationship Id="rId7421" Type="http://schemas.openxmlformats.org/officeDocument/2006/relationships/hyperlink" Target="https://creativecommons.org/licenses/by-nc/4.0/" TargetMode="External"/><Relationship Id="rId7422" Type="http://schemas.openxmlformats.org/officeDocument/2006/relationships/hyperlink" Target="https://www.inaturalist.org/observations/201080202" TargetMode="External"/><Relationship Id="rId7423" Type="http://schemas.openxmlformats.org/officeDocument/2006/relationships/hyperlink" Target="https://www.inaturalist.org/people/kimtemby" TargetMode="External"/><Relationship Id="rId7424" Type="http://schemas.openxmlformats.org/officeDocument/2006/relationships/hyperlink" Target="https://creativecommons.org/licenses/by-nc/4.0/" TargetMode="External"/><Relationship Id="rId7425" Type="http://schemas.openxmlformats.org/officeDocument/2006/relationships/hyperlink" Target="https://www.inaturalist.org/observations/198598280" TargetMode="External"/><Relationship Id="rId7426" Type="http://schemas.openxmlformats.org/officeDocument/2006/relationships/hyperlink" Target="https://www.inaturalist.org/people/darcywhittaker" TargetMode="External"/><Relationship Id="rId7427" Type="http://schemas.openxmlformats.org/officeDocument/2006/relationships/hyperlink" Target="https://creativecommons.org/licenses/by-nc/4.0/" TargetMode="External"/><Relationship Id="rId7428" Type="http://schemas.openxmlformats.org/officeDocument/2006/relationships/hyperlink" Target="https://www.inaturalist.org/observations/393769415" TargetMode="External"/><Relationship Id="rId7429" Type="http://schemas.openxmlformats.org/officeDocument/2006/relationships/hyperlink" Target="https://www.inaturalist.org/people/darcywhittaker" TargetMode="External"/><Relationship Id="rId7430" Type="http://schemas.openxmlformats.org/officeDocument/2006/relationships/hyperlink" Target="https://creativecommons.org/licenses/by-nc/4.0/" TargetMode="External"/><Relationship Id="rId7431" Type="http://schemas.openxmlformats.org/officeDocument/2006/relationships/hyperlink" Target="https://www.inaturalist.org/observations/393769415" TargetMode="External"/><Relationship Id="rId7432" Type="http://schemas.openxmlformats.org/officeDocument/2006/relationships/hyperlink" Target="https://www.inaturalist.org/people/jacintafrancesca" TargetMode="External"/><Relationship Id="rId7433" Type="http://schemas.openxmlformats.org/officeDocument/2006/relationships/hyperlink" Target="https://creativecommons.org/licenses/by-nc/4.0/" TargetMode="External"/><Relationship Id="rId7434" Type="http://schemas.openxmlformats.org/officeDocument/2006/relationships/hyperlink" Target="https://www.inaturalist.org/observations/393336189" TargetMode="External"/><Relationship Id="rId7435" Type="http://schemas.openxmlformats.org/officeDocument/2006/relationships/hyperlink" Target="https://www.inaturalist.org/people/ingreen626" TargetMode="External"/><Relationship Id="rId7436" Type="http://schemas.openxmlformats.org/officeDocument/2006/relationships/hyperlink" Target="https://creativecommons.org/licenses/by-nc/4.0/" TargetMode="External"/><Relationship Id="rId7437" Type="http://schemas.openxmlformats.org/officeDocument/2006/relationships/hyperlink" Target="https://www.inaturalist.org/observations/387126115" TargetMode="External"/><Relationship Id="rId7438" Type="http://schemas.openxmlformats.org/officeDocument/2006/relationships/hyperlink" Target="https://www.inaturalist.org/people/cmarquis" TargetMode="External"/><Relationship Id="rId7439" Type="http://schemas.openxmlformats.org/officeDocument/2006/relationships/hyperlink" Target="https://creativecommons.org/licenses/by-nc/4.0/" TargetMode="External"/><Relationship Id="rId7440" Type="http://schemas.openxmlformats.org/officeDocument/2006/relationships/hyperlink" Target="https://www.inaturalist.org/observations/385596229" TargetMode="External"/><Relationship Id="rId7441" Type="http://schemas.openxmlformats.org/officeDocument/2006/relationships/hyperlink" Target="https://www.inaturalist.org/people/aidan_21" TargetMode="External"/><Relationship Id="rId7442" Type="http://schemas.openxmlformats.org/officeDocument/2006/relationships/hyperlink" Target="https://creativecommons.org/licenses/by-nc/4.0/" TargetMode="External"/><Relationship Id="rId7443" Type="http://schemas.openxmlformats.org/officeDocument/2006/relationships/hyperlink" Target="https://www.inaturalist.org/observations/362671891" TargetMode="External"/><Relationship Id="rId7444" Type="http://schemas.openxmlformats.org/officeDocument/2006/relationships/hyperlink" Target="https://www.inaturalist.org/people/scottybertus" TargetMode="External"/><Relationship Id="rId7445" Type="http://schemas.openxmlformats.org/officeDocument/2006/relationships/hyperlink" Target="https://creativecommons.org/licenses/by-nc/4.0/" TargetMode="External"/><Relationship Id="rId7446" Type="http://schemas.openxmlformats.org/officeDocument/2006/relationships/hyperlink" Target="https://www.inaturalist.org/observations/358175232" TargetMode="External"/><Relationship Id="rId7447" Type="http://schemas.openxmlformats.org/officeDocument/2006/relationships/hyperlink" Target="https://www.inaturalist.org/people/anatinus" TargetMode="External"/><Relationship Id="rId7448" Type="http://schemas.openxmlformats.org/officeDocument/2006/relationships/hyperlink" Target="https://creativecommons.org/licenses/by-nc/4.0/" TargetMode="External"/><Relationship Id="rId7449" Type="http://schemas.openxmlformats.org/officeDocument/2006/relationships/hyperlink" Target="https://www.inaturalist.org/observations/352121340" TargetMode="External"/><Relationship Id="rId7450" Type="http://schemas.openxmlformats.org/officeDocument/2006/relationships/hyperlink" Target="https://www.inaturalist.org/people/lucindra" TargetMode="External"/><Relationship Id="rId7451" Type="http://schemas.openxmlformats.org/officeDocument/2006/relationships/hyperlink" Target="https://creativecommons.org/licenses/by-nc/4.0/" TargetMode="External"/><Relationship Id="rId7452" Type="http://schemas.openxmlformats.org/officeDocument/2006/relationships/hyperlink" Target="https://www.inaturalist.org/observations/348849486" TargetMode="External"/><Relationship Id="rId7453" Type="http://schemas.openxmlformats.org/officeDocument/2006/relationships/hyperlink" Target="https://www.inaturalist.org/people/grahamarmstrong" TargetMode="External"/><Relationship Id="rId7454" Type="http://schemas.openxmlformats.org/officeDocument/2006/relationships/hyperlink" Target="https://creativecommons.org/licenses/by-nc/4.0/" TargetMode="External"/><Relationship Id="rId7455" Type="http://schemas.openxmlformats.org/officeDocument/2006/relationships/hyperlink" Target="https://www.inaturalist.org/observations/346728102" TargetMode="External"/><Relationship Id="rId7456" Type="http://schemas.openxmlformats.org/officeDocument/2006/relationships/hyperlink" Target="https://www.inaturalist.org/people/khensen" TargetMode="External"/><Relationship Id="rId7457" Type="http://schemas.openxmlformats.org/officeDocument/2006/relationships/hyperlink" Target="https://creativecommons.org/licenses/by-nc/4.0/" TargetMode="External"/><Relationship Id="rId7458" Type="http://schemas.openxmlformats.org/officeDocument/2006/relationships/hyperlink" Target="https://www.inaturalist.org/observations/334062630" TargetMode="External"/><Relationship Id="rId7459" Type="http://schemas.openxmlformats.org/officeDocument/2006/relationships/hyperlink" Target="https://www.inaturalist.org/people/willjmatthews04" TargetMode="External"/><Relationship Id="rId7460" Type="http://schemas.openxmlformats.org/officeDocument/2006/relationships/hyperlink" Target="https://creativecommons.org/licenses/by-nc/4.0/" TargetMode="External"/><Relationship Id="rId7461" Type="http://schemas.openxmlformats.org/officeDocument/2006/relationships/hyperlink" Target="https://www.inaturalist.org/observations/328154478" TargetMode="External"/><Relationship Id="rId7462" Type="http://schemas.openxmlformats.org/officeDocument/2006/relationships/hyperlink" Target="https://www.inaturalist.org/people/brookiehutchy" TargetMode="External"/><Relationship Id="rId7463" Type="http://schemas.openxmlformats.org/officeDocument/2006/relationships/hyperlink" Target="https://creativecommons.org/licenses/by-nc/4.0/" TargetMode="External"/><Relationship Id="rId7464" Type="http://schemas.openxmlformats.org/officeDocument/2006/relationships/hyperlink" Target="https://www.inaturalist.org/observations/326877296" TargetMode="External"/><Relationship Id="rId7465" Type="http://schemas.openxmlformats.org/officeDocument/2006/relationships/hyperlink" Target="https://www.inaturalist.org/people/carnham" TargetMode="External"/><Relationship Id="rId7466" Type="http://schemas.openxmlformats.org/officeDocument/2006/relationships/hyperlink" Target="https://creativecommons.org/licenses/by-nc/4.0/" TargetMode="External"/><Relationship Id="rId7467" Type="http://schemas.openxmlformats.org/officeDocument/2006/relationships/hyperlink" Target="https://www.inaturalist.org/observations/324065785" TargetMode="External"/><Relationship Id="rId7468" Type="http://schemas.openxmlformats.org/officeDocument/2006/relationships/hyperlink" Target="https://www.inaturalist.org/people/caroljmiller" TargetMode="External"/><Relationship Id="rId7469" Type="http://schemas.openxmlformats.org/officeDocument/2006/relationships/hyperlink" Target="https://creativecommons.org/licenses/by-nc/4.0/" TargetMode="External"/><Relationship Id="rId7470" Type="http://schemas.openxmlformats.org/officeDocument/2006/relationships/hyperlink" Target="https://www.inaturalist.org/observations/320979164" TargetMode="External"/><Relationship Id="rId7471" Type="http://schemas.openxmlformats.org/officeDocument/2006/relationships/hyperlink" Target="https://www.inaturalist.org/people/christinemauger" TargetMode="External"/><Relationship Id="rId7472" Type="http://schemas.openxmlformats.org/officeDocument/2006/relationships/hyperlink" Target="https://creativecommons.org/licenses/by-nc/4.0/" TargetMode="External"/><Relationship Id="rId7473" Type="http://schemas.openxmlformats.org/officeDocument/2006/relationships/hyperlink" Target="https://www.inaturalist.org/observations/318740793" TargetMode="External"/><Relationship Id="rId7474" Type="http://schemas.openxmlformats.org/officeDocument/2006/relationships/hyperlink" Target="https://www.inaturalist.org/people/inspector_frog" TargetMode="External"/><Relationship Id="rId7475" Type="http://schemas.openxmlformats.org/officeDocument/2006/relationships/hyperlink" Target="https://creativecommons.org/licenses/by-nc/4.0/" TargetMode="External"/><Relationship Id="rId7476" Type="http://schemas.openxmlformats.org/officeDocument/2006/relationships/hyperlink" Target="https://www.inaturalist.org/observations/307897967" TargetMode="External"/><Relationship Id="rId7477" Type="http://schemas.openxmlformats.org/officeDocument/2006/relationships/hyperlink" Target="https://www.inaturalist.org/people/herphendrie" TargetMode="External"/><Relationship Id="rId7478" Type="http://schemas.openxmlformats.org/officeDocument/2006/relationships/hyperlink" Target="https://creativecommons.org/licenses/by-nc/4.0/" TargetMode="External"/><Relationship Id="rId7479" Type="http://schemas.openxmlformats.org/officeDocument/2006/relationships/hyperlink" Target="https://www.inaturalist.org/observations/298880034" TargetMode="External"/><Relationship Id="rId7480" Type="http://schemas.openxmlformats.org/officeDocument/2006/relationships/hyperlink" Target="https://www.inaturalist.org/people/aquila00" TargetMode="External"/><Relationship Id="rId7481" Type="http://schemas.openxmlformats.org/officeDocument/2006/relationships/hyperlink" Target="https://creativecommons.org/licenses/by-nc/4.0/" TargetMode="External"/><Relationship Id="rId7482" Type="http://schemas.openxmlformats.org/officeDocument/2006/relationships/hyperlink" Target="https://www.inaturalist.org/observations/280108605" TargetMode="External"/><Relationship Id="rId7483" Type="http://schemas.openxmlformats.org/officeDocument/2006/relationships/hyperlink" Target="https://www.inaturalist.org/people/cesdamess" TargetMode="External"/><Relationship Id="rId7484" Type="http://schemas.openxmlformats.org/officeDocument/2006/relationships/hyperlink" Target="https://creativecommons.org/licenses/by-nc/4.0/" TargetMode="External"/><Relationship Id="rId7485" Type="http://schemas.openxmlformats.org/officeDocument/2006/relationships/hyperlink" Target="https://www.inaturalist.org/observations/278021813" TargetMode="External"/><Relationship Id="rId7486" Type="http://schemas.openxmlformats.org/officeDocument/2006/relationships/hyperlink" Target="https://www.inaturalist.org/people/rycarter" TargetMode="External"/><Relationship Id="rId7487" Type="http://schemas.openxmlformats.org/officeDocument/2006/relationships/hyperlink" Target="https://creativecommons.org/licenses/by-nc/4.0/" TargetMode="External"/><Relationship Id="rId7488" Type="http://schemas.openxmlformats.org/officeDocument/2006/relationships/hyperlink" Target="https://www.inaturalist.org/observations/398419971" TargetMode="External"/><Relationship Id="rId7489" Type="http://schemas.openxmlformats.org/officeDocument/2006/relationships/hyperlink" Target="https://www.inaturalist.org/people/kentdalekelpies" TargetMode="External"/><Relationship Id="rId7490" Type="http://schemas.openxmlformats.org/officeDocument/2006/relationships/hyperlink" Target="https://creativecommons.org/licenses/by-nc/4.0/" TargetMode="External"/><Relationship Id="rId7491" Type="http://schemas.openxmlformats.org/officeDocument/2006/relationships/hyperlink" Target="https://www.inaturalist.org/observations/398405311" TargetMode="External"/><Relationship Id="rId7492" Type="http://schemas.openxmlformats.org/officeDocument/2006/relationships/hyperlink" Target="https://www.inaturalist.org/people/xaver73412" TargetMode="External"/><Relationship Id="rId7493" Type="http://schemas.openxmlformats.org/officeDocument/2006/relationships/hyperlink" Target="https://creativecommons.org/licenses/by-nc/4.0/" TargetMode="External"/><Relationship Id="rId7494" Type="http://schemas.openxmlformats.org/officeDocument/2006/relationships/hyperlink" Target="https://www.inaturalist.org/observations/398346617" TargetMode="External"/><Relationship Id="rId7495" Type="http://schemas.openxmlformats.org/officeDocument/2006/relationships/hyperlink" Target="https://www.inaturalist.org/people/pmartin1" TargetMode="External"/><Relationship Id="rId7496" Type="http://schemas.openxmlformats.org/officeDocument/2006/relationships/hyperlink" Target="https://creativecommons.org/licenses/by-nc/4.0/" TargetMode="External"/><Relationship Id="rId7497" Type="http://schemas.openxmlformats.org/officeDocument/2006/relationships/hyperlink" Target="https://www.inaturalist.org/observations/398081840" TargetMode="External"/><Relationship Id="rId7498" Type="http://schemas.openxmlformats.org/officeDocument/2006/relationships/hyperlink" Target="https://www.inaturalist.org/people/boogman" TargetMode="External"/><Relationship Id="rId7499" Type="http://schemas.openxmlformats.org/officeDocument/2006/relationships/hyperlink" Target="https://creativecommons.org/licenses/by-nc/4.0/" TargetMode="External"/><Relationship Id="rId7500" Type="http://schemas.openxmlformats.org/officeDocument/2006/relationships/hyperlink" Target="https://www.inaturalist.org/observations/397928642" TargetMode="External"/><Relationship Id="rId7501" Type="http://schemas.openxmlformats.org/officeDocument/2006/relationships/hyperlink" Target="https://www.inaturalist.org/people/beccbbbec" TargetMode="External"/><Relationship Id="rId7502" Type="http://schemas.openxmlformats.org/officeDocument/2006/relationships/hyperlink" Target="https://creativecommons.org/licenses/by-nc/4.0/" TargetMode="External"/><Relationship Id="rId7503" Type="http://schemas.openxmlformats.org/officeDocument/2006/relationships/hyperlink" Target="https://www.inaturalist.org/observations/397715714" TargetMode="External"/><Relationship Id="rId7504" Type="http://schemas.openxmlformats.org/officeDocument/2006/relationships/hyperlink" Target="https://www.inaturalist.org/people/brendancasey" TargetMode="External"/><Relationship Id="rId7505" Type="http://schemas.openxmlformats.org/officeDocument/2006/relationships/hyperlink" Target="https://creativecommons.org/licenses/by-nc/4.0/" TargetMode="External"/><Relationship Id="rId7506" Type="http://schemas.openxmlformats.org/officeDocument/2006/relationships/hyperlink" Target="https://www.inaturalist.org/observations/397678937" TargetMode="External"/><Relationship Id="rId7507" Type="http://schemas.openxmlformats.org/officeDocument/2006/relationships/hyperlink" Target="https://www.inaturalist.org/people/brendancasey" TargetMode="External"/><Relationship Id="rId7508" Type="http://schemas.openxmlformats.org/officeDocument/2006/relationships/hyperlink" Target="https://creativecommons.org/licenses/by-nc/4.0/" TargetMode="External"/><Relationship Id="rId7509" Type="http://schemas.openxmlformats.org/officeDocument/2006/relationships/hyperlink" Target="https://www.inaturalist.org/observations/397678937" TargetMode="External"/><Relationship Id="rId7510" Type="http://schemas.openxmlformats.org/officeDocument/2006/relationships/hyperlink" Target="https://www.inaturalist.org/people/boogman" TargetMode="External"/><Relationship Id="rId7511" Type="http://schemas.openxmlformats.org/officeDocument/2006/relationships/hyperlink" Target="https://creativecommons.org/licenses/by-nc/4.0/" TargetMode="External"/><Relationship Id="rId7512" Type="http://schemas.openxmlformats.org/officeDocument/2006/relationships/hyperlink" Target="https://www.inaturalist.org/observations/397675978" TargetMode="External"/><Relationship Id="rId7513" Type="http://schemas.openxmlformats.org/officeDocument/2006/relationships/hyperlink" Target="https://www.inaturalist.org/people/boogman" TargetMode="External"/><Relationship Id="rId7514" Type="http://schemas.openxmlformats.org/officeDocument/2006/relationships/hyperlink" Target="https://creativecommons.org/licenses/by-nc/4.0/" TargetMode="External"/><Relationship Id="rId7515" Type="http://schemas.openxmlformats.org/officeDocument/2006/relationships/hyperlink" Target="https://www.inaturalist.org/observations/397675978" TargetMode="External"/><Relationship Id="rId7516" Type="http://schemas.openxmlformats.org/officeDocument/2006/relationships/hyperlink" Target="https://www.inaturalist.org/people/matthew39722" TargetMode="External"/><Relationship Id="rId7517" Type="http://schemas.openxmlformats.org/officeDocument/2006/relationships/hyperlink" Target="https://creativecommons.org/licenses/by-nc/4.0/" TargetMode="External"/><Relationship Id="rId7518" Type="http://schemas.openxmlformats.org/officeDocument/2006/relationships/hyperlink" Target="https://www.inaturalist.org/observations/397344381" TargetMode="External"/><Relationship Id="rId7519" Type="http://schemas.openxmlformats.org/officeDocument/2006/relationships/hyperlink" Target="https://www.inaturalist.org/people/allthingswildlife2004" TargetMode="External"/><Relationship Id="rId7520" Type="http://schemas.openxmlformats.org/officeDocument/2006/relationships/hyperlink" Target="https://creativecommons.org/licenses/by-nc/4.0/" TargetMode="External"/><Relationship Id="rId7521" Type="http://schemas.openxmlformats.org/officeDocument/2006/relationships/hyperlink" Target="https://www.inaturalist.org/observations/397160531" TargetMode="External"/><Relationship Id="rId7522" Type="http://schemas.openxmlformats.org/officeDocument/2006/relationships/hyperlink" Target="https://www.inaturalist.org/people/allthingswildlife2004" TargetMode="External"/><Relationship Id="rId7523" Type="http://schemas.openxmlformats.org/officeDocument/2006/relationships/hyperlink" Target="https://creativecommons.org/licenses/by-nc/4.0/" TargetMode="External"/><Relationship Id="rId7524" Type="http://schemas.openxmlformats.org/officeDocument/2006/relationships/hyperlink" Target="https://www.inaturalist.org/observations/397160407" TargetMode="External"/><Relationship Id="rId7525" Type="http://schemas.openxmlformats.org/officeDocument/2006/relationships/hyperlink" Target="https://www.inaturalist.org/people/fraserj09" TargetMode="External"/><Relationship Id="rId7526" Type="http://schemas.openxmlformats.org/officeDocument/2006/relationships/hyperlink" Target="https://creativecommons.org/licenses/by-nc/4.0/" TargetMode="External"/><Relationship Id="rId7527" Type="http://schemas.openxmlformats.org/officeDocument/2006/relationships/hyperlink" Target="https://www.inaturalist.org/observations/397066096" TargetMode="External"/><Relationship Id="rId7528" Type="http://schemas.openxmlformats.org/officeDocument/2006/relationships/hyperlink" Target="https://www.inaturalist.org/people/allthingswildlife2004" TargetMode="External"/><Relationship Id="rId7529" Type="http://schemas.openxmlformats.org/officeDocument/2006/relationships/hyperlink" Target="https://creativecommons.org/licenses/by-nc/4.0/" TargetMode="External"/><Relationship Id="rId7530" Type="http://schemas.openxmlformats.org/officeDocument/2006/relationships/hyperlink" Target="https://www.inaturalist.org/observations/396607133" TargetMode="External"/><Relationship Id="rId7531" Type="http://schemas.openxmlformats.org/officeDocument/2006/relationships/hyperlink" Target="https://www.inaturalist.org/people/igomak" TargetMode="External"/><Relationship Id="rId7532" Type="http://schemas.openxmlformats.org/officeDocument/2006/relationships/hyperlink" Target="https://creativecommons.org/licenses/by-nc/4.0/" TargetMode="External"/><Relationship Id="rId7533" Type="http://schemas.openxmlformats.org/officeDocument/2006/relationships/hyperlink" Target="https://www.inaturalist.org/observations/396473511" TargetMode="External"/><Relationship Id="rId7534" Type="http://schemas.openxmlformats.org/officeDocument/2006/relationships/hyperlink" Target="https://www.inaturalist.org/people/sburnett" TargetMode="External"/><Relationship Id="rId7535" Type="http://schemas.openxmlformats.org/officeDocument/2006/relationships/hyperlink" Target="https://creativecommons.org/licenses/by-nc/4.0/" TargetMode="External"/><Relationship Id="rId7536" Type="http://schemas.openxmlformats.org/officeDocument/2006/relationships/hyperlink" Target="https://www.inaturalist.org/observations/398911429" TargetMode="External"/><Relationship Id="rId7537" Type="http://schemas.openxmlformats.org/officeDocument/2006/relationships/hyperlink" Target="https://www.inaturalist.org/people/econeighbour_" TargetMode="External"/><Relationship Id="rId7538" Type="http://schemas.openxmlformats.org/officeDocument/2006/relationships/hyperlink" Target="https://creativecommons.org/licenses/by-nc/4.0/" TargetMode="External"/><Relationship Id="rId7539" Type="http://schemas.openxmlformats.org/officeDocument/2006/relationships/hyperlink" Target="https://www.inaturalist.org/observations/391422759" TargetMode="External"/><Relationship Id="rId7540" Type="http://schemas.openxmlformats.org/officeDocument/2006/relationships/hyperlink" Target="https://www.inaturalist.org/people/wxs3344" TargetMode="External"/><Relationship Id="rId7541" Type="http://schemas.openxmlformats.org/officeDocument/2006/relationships/hyperlink" Target="https://creativecommons.org/licenses/by-nc/4.0/" TargetMode="External"/><Relationship Id="rId7542" Type="http://schemas.openxmlformats.org/officeDocument/2006/relationships/hyperlink" Target="https://www.inaturalist.org/observations/390259305" TargetMode="External"/><Relationship Id="rId7543" Type="http://schemas.openxmlformats.org/officeDocument/2006/relationships/hyperlink" Target="https://www.inaturalist.org/people/garthwimbush" TargetMode="External"/><Relationship Id="rId7544" Type="http://schemas.openxmlformats.org/officeDocument/2006/relationships/hyperlink" Target="https://creativecommons.org/licenses/by-nc/4.0/" TargetMode="External"/><Relationship Id="rId7545" Type="http://schemas.openxmlformats.org/officeDocument/2006/relationships/hyperlink" Target="https://www.inaturalist.org/observations/390184185" TargetMode="External"/><Relationship Id="rId7546" Type="http://schemas.openxmlformats.org/officeDocument/2006/relationships/hyperlink" Target="https://www.inaturalist.org/people/rubynats" TargetMode="External"/><Relationship Id="rId7547" Type="http://schemas.openxmlformats.org/officeDocument/2006/relationships/hyperlink" Target="https://creativecommons.org/licenses/by-nc/4.0/" TargetMode="External"/><Relationship Id="rId7548" Type="http://schemas.openxmlformats.org/officeDocument/2006/relationships/hyperlink" Target="https://www.inaturalist.org/observations/389559078" TargetMode="External"/><Relationship Id="rId7549" Type="http://schemas.openxmlformats.org/officeDocument/2006/relationships/hyperlink" Target="https://www.inaturalist.org/people/neverwinter" TargetMode="External"/><Relationship Id="rId7550" Type="http://schemas.openxmlformats.org/officeDocument/2006/relationships/hyperlink" Target="https://creativecommons.org/licenses/by-nc/4.0/" TargetMode="External"/><Relationship Id="rId7551" Type="http://schemas.openxmlformats.org/officeDocument/2006/relationships/hyperlink" Target="https://www.inaturalist.org/observations/389257303" TargetMode="External"/><Relationship Id="rId7552" Type="http://schemas.openxmlformats.org/officeDocument/2006/relationships/hyperlink" Target="https://www.inaturalist.org/people/fenningy" TargetMode="External"/><Relationship Id="rId7553" Type="http://schemas.openxmlformats.org/officeDocument/2006/relationships/hyperlink" Target="https://creativecommons.org/licenses/by-nc/4.0/" TargetMode="External"/><Relationship Id="rId7554" Type="http://schemas.openxmlformats.org/officeDocument/2006/relationships/hyperlink" Target="https://www.inaturalist.org/observations/389230371" TargetMode="External"/><Relationship Id="rId7555" Type="http://schemas.openxmlformats.org/officeDocument/2006/relationships/hyperlink" Target="https://www.inaturalist.org/people/cesdamess" TargetMode="External"/><Relationship Id="rId7556" Type="http://schemas.openxmlformats.org/officeDocument/2006/relationships/hyperlink" Target="https://creativecommons.org/licenses/by-nc/4.0/" TargetMode="External"/><Relationship Id="rId7557" Type="http://schemas.openxmlformats.org/officeDocument/2006/relationships/hyperlink" Target="https://www.inaturalist.org/observations/388950257" TargetMode="External"/><Relationship Id="rId7558" Type="http://schemas.openxmlformats.org/officeDocument/2006/relationships/hyperlink" Target="https://www.inaturalist.org/people/nickowesto" TargetMode="External"/><Relationship Id="rId7559" Type="http://schemas.openxmlformats.org/officeDocument/2006/relationships/hyperlink" Target="https://creativecommons.org/licenses/by-nc/4.0/" TargetMode="External"/><Relationship Id="rId7560" Type="http://schemas.openxmlformats.org/officeDocument/2006/relationships/hyperlink" Target="https://www.inaturalist.org/observations/388703767" TargetMode="External"/><Relationship Id="rId7561" Type="http://schemas.openxmlformats.org/officeDocument/2006/relationships/hyperlink" Target="https://www.inaturalist.org/people/beccbbbec" TargetMode="External"/><Relationship Id="rId7562" Type="http://schemas.openxmlformats.org/officeDocument/2006/relationships/hyperlink" Target="https://creativecommons.org/licenses/by-nc/4.0/" TargetMode="External"/><Relationship Id="rId7563" Type="http://schemas.openxmlformats.org/officeDocument/2006/relationships/hyperlink" Target="https://www.inaturalist.org/observations/388699237" TargetMode="External"/><Relationship Id="rId7564" Type="http://schemas.openxmlformats.org/officeDocument/2006/relationships/hyperlink" Target="https://www.inaturalist.org/people/beccbbbec" TargetMode="External"/><Relationship Id="rId7565" Type="http://schemas.openxmlformats.org/officeDocument/2006/relationships/hyperlink" Target="https://creativecommons.org/licenses/by-nc/4.0/" TargetMode="External"/><Relationship Id="rId7566" Type="http://schemas.openxmlformats.org/officeDocument/2006/relationships/hyperlink" Target="https://www.inaturalist.org/observations/388699232" TargetMode="External"/><Relationship Id="rId7567" Type="http://schemas.openxmlformats.org/officeDocument/2006/relationships/hyperlink" Target="https://www.inaturalist.org/people/beccbbbec" TargetMode="External"/><Relationship Id="rId7568" Type="http://schemas.openxmlformats.org/officeDocument/2006/relationships/hyperlink" Target="https://creativecommons.org/licenses/by-nc/4.0/" TargetMode="External"/><Relationship Id="rId7569" Type="http://schemas.openxmlformats.org/officeDocument/2006/relationships/hyperlink" Target="https://www.inaturalist.org/observations/388699227" TargetMode="External"/><Relationship Id="rId7570" Type="http://schemas.openxmlformats.org/officeDocument/2006/relationships/hyperlink" Target="https://www.inaturalist.org/people/davidk4895" TargetMode="External"/><Relationship Id="rId7571" Type="http://schemas.openxmlformats.org/officeDocument/2006/relationships/hyperlink" Target="https://creativecommons.org/licenses/by-nc/4.0/" TargetMode="External"/><Relationship Id="rId7572" Type="http://schemas.openxmlformats.org/officeDocument/2006/relationships/hyperlink" Target="https://www.inaturalist.org/observations/388337856" TargetMode="External"/><Relationship Id="rId7573" Type="http://schemas.openxmlformats.org/officeDocument/2006/relationships/hyperlink" Target="https://www.inaturalist.org/people/cannabinoid-respecter" TargetMode="External"/><Relationship Id="rId7574" Type="http://schemas.openxmlformats.org/officeDocument/2006/relationships/hyperlink" Target="https://creativecommons.org/licenses/by-nc/4.0/" TargetMode="External"/><Relationship Id="rId7575" Type="http://schemas.openxmlformats.org/officeDocument/2006/relationships/hyperlink" Target="https://www.inaturalist.org/observations/388075157" TargetMode="External"/><Relationship Id="rId7576" Type="http://schemas.openxmlformats.org/officeDocument/2006/relationships/hyperlink" Target="https://www.inaturalist.org/people/deec1322" TargetMode="External"/><Relationship Id="rId7577" Type="http://schemas.openxmlformats.org/officeDocument/2006/relationships/hyperlink" Target="https://creativecommons.org/licenses/by-nc/4.0/" TargetMode="External"/><Relationship Id="rId7578" Type="http://schemas.openxmlformats.org/officeDocument/2006/relationships/hyperlink" Target="https://www.inaturalist.org/observations/387873305" TargetMode="External"/><Relationship Id="rId7579" Type="http://schemas.openxmlformats.org/officeDocument/2006/relationships/hyperlink" Target="https://www.inaturalist.org/people/norman22291" TargetMode="External"/><Relationship Id="rId7580" Type="http://schemas.openxmlformats.org/officeDocument/2006/relationships/hyperlink" Target="https://creativecommons.org/licenses/by-nc/4.0/" TargetMode="External"/><Relationship Id="rId7581" Type="http://schemas.openxmlformats.org/officeDocument/2006/relationships/hyperlink" Target="https://www.inaturalist.org/observations/387836173" TargetMode="External"/><Relationship Id="rId7582" Type="http://schemas.openxmlformats.org/officeDocument/2006/relationships/hyperlink" Target="https://www.inaturalist.org/people/tomvig2024" TargetMode="External"/><Relationship Id="rId7583" Type="http://schemas.openxmlformats.org/officeDocument/2006/relationships/hyperlink" Target="https://creativecommons.org/licenses/by-nc/4.0/" TargetMode="External"/><Relationship Id="rId7584" Type="http://schemas.openxmlformats.org/officeDocument/2006/relationships/hyperlink" Target="https://www.inaturalist.org/observations/386476262" TargetMode="External"/><Relationship Id="rId7585" Type="http://schemas.openxmlformats.org/officeDocument/2006/relationships/hyperlink" Target="https://www.inaturalist.org/people/tomvig2024" TargetMode="External"/><Relationship Id="rId7586" Type="http://schemas.openxmlformats.org/officeDocument/2006/relationships/hyperlink" Target="https://creativecommons.org/licenses/by-nc/4.0/" TargetMode="External"/><Relationship Id="rId7587" Type="http://schemas.openxmlformats.org/officeDocument/2006/relationships/hyperlink" Target="https://www.inaturalist.org/observations/386476262" TargetMode="External"/><Relationship Id="rId7588" Type="http://schemas.openxmlformats.org/officeDocument/2006/relationships/hyperlink" Target="https://www.inaturalist.org/people/darcy_c" TargetMode="External"/><Relationship Id="rId7589" Type="http://schemas.openxmlformats.org/officeDocument/2006/relationships/hyperlink" Target="https://creativecommons.org/licenses/by-nc/4.0/" TargetMode="External"/><Relationship Id="rId7590" Type="http://schemas.openxmlformats.org/officeDocument/2006/relationships/hyperlink" Target="https://www.inaturalist.org/observations/385938725" TargetMode="External"/><Relationship Id="rId7591" Type="http://schemas.openxmlformats.org/officeDocument/2006/relationships/hyperlink" Target="https://www.inaturalist.org/people/thepittofdan" TargetMode="External"/><Relationship Id="rId7592" Type="http://schemas.openxmlformats.org/officeDocument/2006/relationships/hyperlink" Target="https://creativecommons.org/licenses/by-nc/4.0/" TargetMode="External"/><Relationship Id="rId7593" Type="http://schemas.openxmlformats.org/officeDocument/2006/relationships/hyperlink" Target="https://www.inaturalist.org/observations/385890638" TargetMode="External"/><Relationship Id="rId7594" Type="http://schemas.openxmlformats.org/officeDocument/2006/relationships/hyperlink" Target="https://www.inaturalist.org/people/jmag1" TargetMode="External"/><Relationship Id="rId7595" Type="http://schemas.openxmlformats.org/officeDocument/2006/relationships/hyperlink" Target="https://creativecommons.org/licenses/by-nc/4.0/" TargetMode="External"/><Relationship Id="rId7596" Type="http://schemas.openxmlformats.org/officeDocument/2006/relationships/hyperlink" Target="https://www.inaturalist.org/observations/384864123" TargetMode="External"/><Relationship Id="rId7597" Type="http://schemas.openxmlformats.org/officeDocument/2006/relationships/hyperlink" Target="https://www.inaturalist.org/people/catfood" TargetMode="External"/><Relationship Id="rId7598" Type="http://schemas.openxmlformats.org/officeDocument/2006/relationships/hyperlink" Target="https://creativecommons.org/licenses/by-nc/4.0/" TargetMode="External"/><Relationship Id="rId7599" Type="http://schemas.openxmlformats.org/officeDocument/2006/relationships/hyperlink" Target="https://www.inaturalist.org/observations/384780909" TargetMode="External"/><Relationship Id="rId7600" Type="http://schemas.openxmlformats.org/officeDocument/2006/relationships/hyperlink" Target="https://www.inaturalist.org/people/oonawuwow" TargetMode="External"/><Relationship Id="rId7601" Type="http://schemas.openxmlformats.org/officeDocument/2006/relationships/hyperlink" Target="https://creativecommons.org/licenses/by-nc/4.0/" TargetMode="External"/><Relationship Id="rId7602" Type="http://schemas.openxmlformats.org/officeDocument/2006/relationships/hyperlink" Target="https://www.inaturalist.org/observations/384739602" TargetMode="External"/><Relationship Id="rId7603" Type="http://schemas.openxmlformats.org/officeDocument/2006/relationships/hyperlink" Target="https://www.inaturalist.org/people/tom18072" TargetMode="External"/><Relationship Id="rId7604" Type="http://schemas.openxmlformats.org/officeDocument/2006/relationships/hyperlink" Target="https://creativecommons.org/licenses/by-nc/4.0/" TargetMode="External"/><Relationship Id="rId7605" Type="http://schemas.openxmlformats.org/officeDocument/2006/relationships/hyperlink" Target="https://www.inaturalist.org/observations/383888995" TargetMode="External"/><Relationship Id="rId7606" Type="http://schemas.openxmlformats.org/officeDocument/2006/relationships/hyperlink" Target="https://www.inaturalist.org/people/petehallinwildlife" TargetMode="External"/><Relationship Id="rId7607" Type="http://schemas.openxmlformats.org/officeDocument/2006/relationships/hyperlink" Target="https://creativecommons.org/licenses/by-nc/4.0/" TargetMode="External"/><Relationship Id="rId7608" Type="http://schemas.openxmlformats.org/officeDocument/2006/relationships/hyperlink" Target="https://www.inaturalist.org/observations/383849838" TargetMode="External"/><Relationship Id="rId7609" Type="http://schemas.openxmlformats.org/officeDocument/2006/relationships/hyperlink" Target="https://www.inaturalist.org/people/mitchell73" TargetMode="External"/><Relationship Id="rId7610" Type="http://schemas.openxmlformats.org/officeDocument/2006/relationships/hyperlink" Target="https://creativecommons.org/licenses/by-nc/4.0/" TargetMode="External"/><Relationship Id="rId7611" Type="http://schemas.openxmlformats.org/officeDocument/2006/relationships/hyperlink" Target="https://www.inaturalist.org/observations/383835650" TargetMode="External"/><Relationship Id="rId7612" Type="http://schemas.openxmlformats.org/officeDocument/2006/relationships/hyperlink" Target="https://www.inaturalist.org/people/khensen" TargetMode="External"/><Relationship Id="rId7613" Type="http://schemas.openxmlformats.org/officeDocument/2006/relationships/hyperlink" Target="https://creativecommons.org/licenses/by-nc/4.0/" TargetMode="External"/><Relationship Id="rId7614" Type="http://schemas.openxmlformats.org/officeDocument/2006/relationships/hyperlink" Target="https://www.inaturalist.org/observations/383592124" TargetMode="External"/><Relationship Id="rId7615" Type="http://schemas.openxmlformats.org/officeDocument/2006/relationships/hyperlink" Target="https://www.inaturalist.org/people/georgiarainey" TargetMode="External"/><Relationship Id="rId7616" Type="http://schemas.openxmlformats.org/officeDocument/2006/relationships/hyperlink" Target="https://creativecommons.org/licenses/by-nc/4.0/" TargetMode="External"/><Relationship Id="rId7617" Type="http://schemas.openxmlformats.org/officeDocument/2006/relationships/hyperlink" Target="https://www.inaturalist.org/observations/383161140" TargetMode="External"/><Relationship Id="rId7618" Type="http://schemas.openxmlformats.org/officeDocument/2006/relationships/hyperlink" Target="https://www.inaturalist.org/people/finnycohen" TargetMode="External"/><Relationship Id="rId7619" Type="http://schemas.openxmlformats.org/officeDocument/2006/relationships/hyperlink" Target="https://creativecommons.org/licenses/by-nc/4.0/" TargetMode="External"/><Relationship Id="rId7620" Type="http://schemas.openxmlformats.org/officeDocument/2006/relationships/hyperlink" Target="https://www.inaturalist.org/observations/382786921" TargetMode="External"/><Relationship Id="rId7621" Type="http://schemas.openxmlformats.org/officeDocument/2006/relationships/hyperlink" Target="https://www.inaturalist.org/people/geoffwilkins" TargetMode="External"/><Relationship Id="rId7622" Type="http://schemas.openxmlformats.org/officeDocument/2006/relationships/hyperlink" Target="https://creativecommons.org/licenses/by-nc/4.0/" TargetMode="External"/><Relationship Id="rId7623" Type="http://schemas.openxmlformats.org/officeDocument/2006/relationships/hyperlink" Target="https://www.inaturalist.org/observations/382485450" TargetMode="External"/><Relationship Id="rId7624" Type="http://schemas.openxmlformats.org/officeDocument/2006/relationships/hyperlink" Target="https://www.inaturalist.org/people/jeff55746" TargetMode="External"/><Relationship Id="rId7625" Type="http://schemas.openxmlformats.org/officeDocument/2006/relationships/hyperlink" Target="https://creativecommons.org/licenses/by-nc/4.0/" TargetMode="External"/><Relationship Id="rId7626" Type="http://schemas.openxmlformats.org/officeDocument/2006/relationships/hyperlink" Target="https://www.inaturalist.org/observations/380605676" TargetMode="External"/><Relationship Id="rId7627" Type="http://schemas.openxmlformats.org/officeDocument/2006/relationships/hyperlink" Target="https://www.inaturalist.org/people/rossbrockway" TargetMode="External"/><Relationship Id="rId7628" Type="http://schemas.openxmlformats.org/officeDocument/2006/relationships/hyperlink" Target="https://creativecommons.org/licenses/by-nc/4.0/" TargetMode="External"/><Relationship Id="rId7629" Type="http://schemas.openxmlformats.org/officeDocument/2006/relationships/hyperlink" Target="https://www.inaturalist.org/observations/379923916" TargetMode="External"/><Relationship Id="rId7630" Type="http://schemas.openxmlformats.org/officeDocument/2006/relationships/hyperlink" Target="https://www.inaturalist.org/people/scoll362" TargetMode="External"/><Relationship Id="rId7631" Type="http://schemas.openxmlformats.org/officeDocument/2006/relationships/hyperlink" Target="https://creativecommons.org/licenses/by-nc/4.0/" TargetMode="External"/><Relationship Id="rId7632" Type="http://schemas.openxmlformats.org/officeDocument/2006/relationships/hyperlink" Target="https://www.inaturalist.org/observations/379343741" TargetMode="External"/><Relationship Id="rId7633" Type="http://schemas.openxmlformats.org/officeDocument/2006/relationships/hyperlink" Target="https://www.inaturalist.org/people/scoll362" TargetMode="External"/><Relationship Id="rId7634" Type="http://schemas.openxmlformats.org/officeDocument/2006/relationships/hyperlink" Target="https://creativecommons.org/licenses/by-nc/4.0/" TargetMode="External"/><Relationship Id="rId7635" Type="http://schemas.openxmlformats.org/officeDocument/2006/relationships/hyperlink" Target="https://www.inaturalist.org/observations/379343741" TargetMode="External"/><Relationship Id="rId7636" Type="http://schemas.openxmlformats.org/officeDocument/2006/relationships/hyperlink" Target="https://www.inaturalist.org/people/will_hickling99" TargetMode="External"/><Relationship Id="rId7637" Type="http://schemas.openxmlformats.org/officeDocument/2006/relationships/hyperlink" Target="https://creativecommons.org/licenses/by-nc/4.0/" TargetMode="External"/><Relationship Id="rId7638" Type="http://schemas.openxmlformats.org/officeDocument/2006/relationships/hyperlink" Target="https://www.inaturalist.org/observations/378960576" TargetMode="External"/><Relationship Id="rId7639" Type="http://schemas.openxmlformats.org/officeDocument/2006/relationships/hyperlink" Target="https://www.inaturalist.org/people/dadwhatsthis" TargetMode="External"/><Relationship Id="rId7640" Type="http://schemas.openxmlformats.org/officeDocument/2006/relationships/hyperlink" Target="https://creativecommons.org/licenses/by-nc/4.0/" TargetMode="External"/><Relationship Id="rId7641" Type="http://schemas.openxmlformats.org/officeDocument/2006/relationships/hyperlink" Target="https://www.inaturalist.org/observations/378592907" TargetMode="External"/><Relationship Id="rId7642" Type="http://schemas.openxmlformats.org/officeDocument/2006/relationships/hyperlink" Target="https://www.inaturalist.org/people/lovejoyinfinity" TargetMode="External"/><Relationship Id="rId7643" Type="http://schemas.openxmlformats.org/officeDocument/2006/relationships/hyperlink" Target="https://creativecommons.org/licenses/by-nc/4.0/" TargetMode="External"/><Relationship Id="rId7644" Type="http://schemas.openxmlformats.org/officeDocument/2006/relationships/hyperlink" Target="https://www.inaturalist.org/observations/378317149" TargetMode="External"/><Relationship Id="rId7645" Type="http://schemas.openxmlformats.org/officeDocument/2006/relationships/hyperlink" Target="https://www.inaturalist.org/people/beccbbbec" TargetMode="External"/><Relationship Id="rId7646" Type="http://schemas.openxmlformats.org/officeDocument/2006/relationships/hyperlink" Target="https://creativecommons.org/licenses/by-nc/4.0/" TargetMode="External"/><Relationship Id="rId7647" Type="http://schemas.openxmlformats.org/officeDocument/2006/relationships/hyperlink" Target="https://www.inaturalist.org/observations/377993392" TargetMode="External"/><Relationship Id="rId7648" Type="http://schemas.openxmlformats.org/officeDocument/2006/relationships/hyperlink" Target="https://www.inaturalist.org/people/mieke_van_der_merwe" TargetMode="External"/><Relationship Id="rId7649" Type="http://schemas.openxmlformats.org/officeDocument/2006/relationships/hyperlink" Target="https://creativecommons.org/licenses/by-nc/4.0/" TargetMode="External"/><Relationship Id="rId7650" Type="http://schemas.openxmlformats.org/officeDocument/2006/relationships/hyperlink" Target="https://www.inaturalist.org/observations/376129175" TargetMode="External"/><Relationship Id="rId7651" Type="http://schemas.openxmlformats.org/officeDocument/2006/relationships/hyperlink" Target="https://www.inaturalist.org/people/tdjsayers" TargetMode="External"/><Relationship Id="rId7652" Type="http://schemas.openxmlformats.org/officeDocument/2006/relationships/hyperlink" Target="https://creativecommons.org/licenses/by-nc/4.0/" TargetMode="External"/><Relationship Id="rId7653" Type="http://schemas.openxmlformats.org/officeDocument/2006/relationships/hyperlink" Target="https://www.inaturalist.org/observations/374548128" TargetMode="External"/><Relationship Id="rId7654" Type="http://schemas.openxmlformats.org/officeDocument/2006/relationships/hyperlink" Target="https://www.inaturalist.org/people/nick_vine" TargetMode="External"/><Relationship Id="rId7655" Type="http://schemas.openxmlformats.org/officeDocument/2006/relationships/hyperlink" Target="https://creativecommons.org/licenses/by-nc/4.0/" TargetMode="External"/><Relationship Id="rId7656" Type="http://schemas.openxmlformats.org/officeDocument/2006/relationships/hyperlink" Target="https://www.inaturalist.org/observations/372207484" TargetMode="External"/><Relationship Id="rId7657" Type="http://schemas.openxmlformats.org/officeDocument/2006/relationships/hyperlink" Target="https://www.inaturalist.org/people/kiaoraroy" TargetMode="External"/><Relationship Id="rId7658" Type="http://schemas.openxmlformats.org/officeDocument/2006/relationships/hyperlink" Target="https://creativecommons.org/licenses/by-nc/4.0/" TargetMode="External"/><Relationship Id="rId7659" Type="http://schemas.openxmlformats.org/officeDocument/2006/relationships/hyperlink" Target="https://www.inaturalist.org/observations/371772504" TargetMode="External"/><Relationship Id="rId7660" Type="http://schemas.openxmlformats.org/officeDocument/2006/relationships/hyperlink" Target="https://www.inaturalist.org/people/takayna" TargetMode="External"/><Relationship Id="rId7661" Type="http://schemas.openxmlformats.org/officeDocument/2006/relationships/hyperlink" Target="https://creativecommons.org/licenses/by-nc/4.0/" TargetMode="External"/><Relationship Id="rId7662" Type="http://schemas.openxmlformats.org/officeDocument/2006/relationships/hyperlink" Target="https://www.inaturalist.org/observations/367977082" TargetMode="External"/><Relationship Id="rId7663" Type="http://schemas.openxmlformats.org/officeDocument/2006/relationships/hyperlink" Target="https://www.inaturalist.org/people/j_beatts" TargetMode="External"/><Relationship Id="rId7664" Type="http://schemas.openxmlformats.org/officeDocument/2006/relationships/hyperlink" Target="https://creativecommons.org/licenses/by-nc/4.0/" TargetMode="External"/><Relationship Id="rId7665" Type="http://schemas.openxmlformats.org/officeDocument/2006/relationships/hyperlink" Target="https://www.inaturalist.org/observations/361376821" TargetMode="External"/><Relationship Id="rId7666" Type="http://schemas.openxmlformats.org/officeDocument/2006/relationships/hyperlink" Target="https://www.inaturalist.org/people/mwhoran" TargetMode="External"/><Relationship Id="rId7667" Type="http://schemas.openxmlformats.org/officeDocument/2006/relationships/hyperlink" Target="https://creativecommons.org/licenses/by-nc/4.0/" TargetMode="External"/><Relationship Id="rId7668" Type="http://schemas.openxmlformats.org/officeDocument/2006/relationships/hyperlink" Target="https://www.inaturalist.org/observations/360452514" TargetMode="External"/><Relationship Id="rId7669" Type="http://schemas.openxmlformats.org/officeDocument/2006/relationships/hyperlink" Target="https://www.inaturalist.org/people/mwhoran" TargetMode="External"/><Relationship Id="rId7670" Type="http://schemas.openxmlformats.org/officeDocument/2006/relationships/hyperlink" Target="https://creativecommons.org/licenses/by-nc/4.0/" TargetMode="External"/><Relationship Id="rId7671" Type="http://schemas.openxmlformats.org/officeDocument/2006/relationships/hyperlink" Target="https://www.inaturalist.org/observations/360452514" TargetMode="External"/><Relationship Id="rId7672" Type="http://schemas.openxmlformats.org/officeDocument/2006/relationships/hyperlink" Target="https://www.inaturalist.org/people/sophiemah" TargetMode="External"/><Relationship Id="rId7673" Type="http://schemas.openxmlformats.org/officeDocument/2006/relationships/hyperlink" Target="https://creativecommons.org/licenses/by-nc/4.0/" TargetMode="External"/><Relationship Id="rId7674" Type="http://schemas.openxmlformats.org/officeDocument/2006/relationships/hyperlink" Target="https://www.inaturalist.org/observations/341298899" TargetMode="External"/><Relationship Id="rId7675" Type="http://schemas.openxmlformats.org/officeDocument/2006/relationships/hyperlink" Target="https://www.inaturalist.org/people/beaustock350" TargetMode="External"/><Relationship Id="rId7676" Type="http://schemas.openxmlformats.org/officeDocument/2006/relationships/hyperlink" Target="https://creativecommons.org/licenses/by-nc/4.0/" TargetMode="External"/><Relationship Id="rId7677" Type="http://schemas.openxmlformats.org/officeDocument/2006/relationships/hyperlink" Target="https://www.inaturalist.org/observations/340570358" TargetMode="External"/><Relationship Id="rId7678" Type="http://schemas.openxmlformats.org/officeDocument/2006/relationships/hyperlink" Target="https://www.inaturalist.org/people/williamscott279" TargetMode="External"/><Relationship Id="rId7679" Type="http://schemas.openxmlformats.org/officeDocument/2006/relationships/hyperlink" Target="https://creativecommons.org/licenses/by-nc/4.0/" TargetMode="External"/><Relationship Id="rId7680" Type="http://schemas.openxmlformats.org/officeDocument/2006/relationships/hyperlink" Target="https://www.inaturalist.org/observations/337071843" TargetMode="External"/><Relationship Id="rId7681" Type="http://schemas.openxmlformats.org/officeDocument/2006/relationships/hyperlink" Target="https://www.inaturalist.org/people/donglerthrongler" TargetMode="External"/><Relationship Id="rId7682" Type="http://schemas.openxmlformats.org/officeDocument/2006/relationships/hyperlink" Target="https://creativecommons.org/licenses/by-nc/4.0/" TargetMode="External"/><Relationship Id="rId7683" Type="http://schemas.openxmlformats.org/officeDocument/2006/relationships/hyperlink" Target="https://www.inaturalist.org/observations/336221875" TargetMode="External"/><Relationship Id="rId7684" Type="http://schemas.openxmlformats.org/officeDocument/2006/relationships/hyperlink" Target="https://www.inaturalist.org/people/elliesexotics" TargetMode="External"/><Relationship Id="rId7685" Type="http://schemas.openxmlformats.org/officeDocument/2006/relationships/hyperlink" Target="https://creativecommons.org/licenses/by-nc/4.0/" TargetMode="External"/><Relationship Id="rId7686" Type="http://schemas.openxmlformats.org/officeDocument/2006/relationships/hyperlink" Target="https://www.inaturalist.org/observations/328433459" TargetMode="External"/><Relationship Id="rId7687" Type="http://schemas.openxmlformats.org/officeDocument/2006/relationships/hyperlink" Target="https://www.inaturalist.org/people/sophiemah" TargetMode="External"/><Relationship Id="rId7688" Type="http://schemas.openxmlformats.org/officeDocument/2006/relationships/hyperlink" Target="https://creativecommons.org/licenses/by-nc/4.0/" TargetMode="External"/><Relationship Id="rId7689" Type="http://schemas.openxmlformats.org/officeDocument/2006/relationships/hyperlink" Target="https://www.inaturalist.org/observations/322696463" TargetMode="External"/><Relationship Id="rId7690" Type="http://schemas.openxmlformats.org/officeDocument/2006/relationships/hyperlink" Target="https://www.inaturalist.org/people/sophiemah" TargetMode="External"/><Relationship Id="rId7691" Type="http://schemas.openxmlformats.org/officeDocument/2006/relationships/hyperlink" Target="https://creativecommons.org/licenses/by-nc/4.0/" TargetMode="External"/><Relationship Id="rId7692" Type="http://schemas.openxmlformats.org/officeDocument/2006/relationships/hyperlink" Target="https://www.inaturalist.org/observations/322564394" TargetMode="External"/><Relationship Id="rId7693" Type="http://schemas.openxmlformats.org/officeDocument/2006/relationships/hyperlink" Target="https://www.inaturalist.org/people/mingeuncho" TargetMode="External"/><Relationship Id="rId7694" Type="http://schemas.openxmlformats.org/officeDocument/2006/relationships/hyperlink" Target="https://creativecommons.org/licenses/by-nc/4.0/" TargetMode="External"/><Relationship Id="rId7695" Type="http://schemas.openxmlformats.org/officeDocument/2006/relationships/hyperlink" Target="https://www.inaturalist.org/observations/322355630" TargetMode="External"/><Relationship Id="rId7696" Type="http://schemas.openxmlformats.org/officeDocument/2006/relationships/hyperlink" Target="https://www.inaturalist.org/people/leito19" TargetMode="External"/><Relationship Id="rId7697" Type="http://schemas.openxmlformats.org/officeDocument/2006/relationships/hyperlink" Target="https://creativecommons.org/licenses/by-nc/4.0/" TargetMode="External"/><Relationship Id="rId7698" Type="http://schemas.openxmlformats.org/officeDocument/2006/relationships/hyperlink" Target="https://www.inaturalist.org/observations/322203943" TargetMode="External"/><Relationship Id="rId7699" Type="http://schemas.openxmlformats.org/officeDocument/2006/relationships/hyperlink" Target="https://www.inaturalist.org/people/willjmatthews04" TargetMode="External"/><Relationship Id="rId7700" Type="http://schemas.openxmlformats.org/officeDocument/2006/relationships/hyperlink" Target="https://creativecommons.org/licenses/by-nc/4.0/" TargetMode="External"/><Relationship Id="rId7701" Type="http://schemas.openxmlformats.org/officeDocument/2006/relationships/hyperlink" Target="https://www.inaturalist.org/observations/321880945" TargetMode="External"/><Relationship Id="rId7702" Type="http://schemas.openxmlformats.org/officeDocument/2006/relationships/hyperlink" Target="https://www.inaturalist.org/people/alexdaviesz" TargetMode="External"/><Relationship Id="rId7703" Type="http://schemas.openxmlformats.org/officeDocument/2006/relationships/hyperlink" Target="https://creativecommons.org/licenses/by-nc/4.0/" TargetMode="External"/><Relationship Id="rId7704" Type="http://schemas.openxmlformats.org/officeDocument/2006/relationships/hyperlink" Target="https://www.inaturalist.org/observations/284436577" TargetMode="External"/><Relationship Id="rId7705" Type="http://schemas.openxmlformats.org/officeDocument/2006/relationships/hyperlink" Target="https://www.inaturalist.org/people/jacobdevine" TargetMode="External"/><Relationship Id="rId7706" Type="http://schemas.openxmlformats.org/officeDocument/2006/relationships/hyperlink" Target="https://creativecommons.org/licenses/by-nc/4.0/" TargetMode="External"/><Relationship Id="rId7707" Type="http://schemas.openxmlformats.org/officeDocument/2006/relationships/hyperlink" Target="https://www.inaturalist.org/observations/272370884" TargetMode="External"/><Relationship Id="rId7708" Type="http://schemas.openxmlformats.org/officeDocument/2006/relationships/hyperlink" Target="https://www.inaturalist.org/people/jacobdevine" TargetMode="External"/><Relationship Id="rId7709" Type="http://schemas.openxmlformats.org/officeDocument/2006/relationships/hyperlink" Target="https://creativecommons.org/licenses/by-nc/4.0/" TargetMode="External"/><Relationship Id="rId7710" Type="http://schemas.openxmlformats.org/officeDocument/2006/relationships/hyperlink" Target="https://www.inaturalist.org/observations/272370877" TargetMode="External"/><Relationship Id="rId7711" Type="http://schemas.openxmlformats.org/officeDocument/2006/relationships/hyperlink" Target="https://www.inaturalist.org/people/owenlishmund" TargetMode="External"/><Relationship Id="rId7712" Type="http://schemas.openxmlformats.org/officeDocument/2006/relationships/hyperlink" Target="https://creativecommons.org/licenses/by-nc/4.0/" TargetMode="External"/><Relationship Id="rId7713" Type="http://schemas.openxmlformats.org/officeDocument/2006/relationships/hyperlink" Target="https://www.inaturalist.org/observations/259328789" TargetMode="External"/><Relationship Id="rId7714" Type="http://schemas.openxmlformats.org/officeDocument/2006/relationships/hyperlink" Target="https://www.inaturalist.org/people/owenlishmund" TargetMode="External"/><Relationship Id="rId7715" Type="http://schemas.openxmlformats.org/officeDocument/2006/relationships/hyperlink" Target="https://creativecommons.org/licenses/by-nc/4.0/" TargetMode="External"/><Relationship Id="rId7716" Type="http://schemas.openxmlformats.org/officeDocument/2006/relationships/hyperlink" Target="https://www.inaturalist.org/observations/259325837" TargetMode="External"/><Relationship Id="rId7717" Type="http://schemas.openxmlformats.org/officeDocument/2006/relationships/hyperlink" Target="https://www.inaturalist.org/people/westerndownssnakecatcher" TargetMode="External"/><Relationship Id="rId7718" Type="http://schemas.openxmlformats.org/officeDocument/2006/relationships/hyperlink" Target="https://creativecommons.org/licenses/by-nc/4.0/" TargetMode="External"/><Relationship Id="rId7719" Type="http://schemas.openxmlformats.org/officeDocument/2006/relationships/hyperlink" Target="https://www.inaturalist.org/observations/256555501" TargetMode="External"/><Relationship Id="rId7720" Type="http://schemas.openxmlformats.org/officeDocument/2006/relationships/hyperlink" Target="https://www.inaturalist.org/people/jairand18" TargetMode="External"/><Relationship Id="rId7721" Type="http://schemas.openxmlformats.org/officeDocument/2006/relationships/hyperlink" Target="https://creativecommons.org/licenses/by-nc/4.0/" TargetMode="External"/><Relationship Id="rId7722" Type="http://schemas.openxmlformats.org/officeDocument/2006/relationships/hyperlink" Target="https://www.inaturalist.org/observations/253939971" TargetMode="External"/><Relationship Id="rId7723" Type="http://schemas.openxmlformats.org/officeDocument/2006/relationships/hyperlink" Target="https://www.inaturalist.org/people/cooky89" TargetMode="External"/><Relationship Id="rId7724" Type="http://schemas.openxmlformats.org/officeDocument/2006/relationships/hyperlink" Target="https://creativecommons.org/licenses/by-nc/4.0/" TargetMode="External"/><Relationship Id="rId7725" Type="http://schemas.openxmlformats.org/officeDocument/2006/relationships/hyperlink" Target="https://www.inaturalist.org/observations/238163550" TargetMode="External"/><Relationship Id="rId7726" Type="http://schemas.openxmlformats.org/officeDocument/2006/relationships/hyperlink" Target="https://www.inaturalist.org/people/joel-cohen" TargetMode="External"/><Relationship Id="rId7727" Type="http://schemas.openxmlformats.org/officeDocument/2006/relationships/hyperlink" Target="https://creativecommons.org/licenses/by-nc/4.0/" TargetMode="External"/><Relationship Id="rId7728" Type="http://schemas.openxmlformats.org/officeDocument/2006/relationships/hyperlink" Target="https://www.inaturalist.org/observations/208251034" TargetMode="External"/><Relationship Id="rId7729" Type="http://schemas.openxmlformats.org/officeDocument/2006/relationships/hyperlink" Target="https://www.inaturalist.org/people/braden1" TargetMode="External"/><Relationship Id="rId7730" Type="http://schemas.openxmlformats.org/officeDocument/2006/relationships/hyperlink" Target="https://creativecommons.org/licenses/by-nc/4.0/" TargetMode="External"/><Relationship Id="rId7731" Type="http://schemas.openxmlformats.org/officeDocument/2006/relationships/hyperlink" Target="https://www.inaturalist.org/observations/200612533" TargetMode="External"/><Relationship Id="rId7732" Type="http://schemas.openxmlformats.org/officeDocument/2006/relationships/hyperlink" Target="https://www.inaturalist.org/people/nicgambold" TargetMode="External"/><Relationship Id="rId7733" Type="http://schemas.openxmlformats.org/officeDocument/2006/relationships/hyperlink" Target="https://creativecommons.org/licenses/by-nc/4.0/" TargetMode="External"/><Relationship Id="rId7734" Type="http://schemas.openxmlformats.org/officeDocument/2006/relationships/hyperlink" Target="https://www.inaturalist.org/observations/196870734" TargetMode="External"/><Relationship Id="rId7735" Type="http://schemas.openxmlformats.org/officeDocument/2006/relationships/hyperlink" Target="https://www.inaturalist.org/people/williamscott279" TargetMode="External"/><Relationship Id="rId7736" Type="http://schemas.openxmlformats.org/officeDocument/2006/relationships/hyperlink" Target="https://creativecommons.org/licenses/by-nc/4.0/" TargetMode="External"/><Relationship Id="rId7737" Type="http://schemas.openxmlformats.org/officeDocument/2006/relationships/hyperlink" Target="https://www.inaturalist.org/observations/195775988" TargetMode="External"/><Relationship Id="rId7738" Type="http://schemas.openxmlformats.org/officeDocument/2006/relationships/hyperlink" Target="https://www.inaturalist.org/people/underwatergirl" TargetMode="External"/><Relationship Id="rId7739" Type="http://schemas.openxmlformats.org/officeDocument/2006/relationships/hyperlink" Target="https://creativecommons.org/licenses/by-nc/4.0/" TargetMode="External"/><Relationship Id="rId7740" Type="http://schemas.openxmlformats.org/officeDocument/2006/relationships/hyperlink" Target="https://www.inaturalist.org/observations/189052291" TargetMode="External"/><Relationship Id="rId7741" Type="http://schemas.openxmlformats.org/officeDocument/2006/relationships/hyperlink" Target="https://www.inaturalist.org/people/grahamarmstrong" TargetMode="External"/><Relationship Id="rId7742" Type="http://schemas.openxmlformats.org/officeDocument/2006/relationships/hyperlink" Target="https://creativecommons.org/licenses/by-nc/4.0/" TargetMode="External"/><Relationship Id="rId7743" Type="http://schemas.openxmlformats.org/officeDocument/2006/relationships/hyperlink" Target="https://www.inaturalist.org/observations/177291275" TargetMode="External"/><Relationship Id="rId7744" Type="http://schemas.openxmlformats.org/officeDocument/2006/relationships/hyperlink" Target="https://www.inaturalist.org/people/gibbergavin" TargetMode="External"/><Relationship Id="rId7745" Type="http://schemas.openxmlformats.org/officeDocument/2006/relationships/hyperlink" Target="https://creativecommons.org/licenses/by-nc/4.0/" TargetMode="External"/><Relationship Id="rId7746" Type="http://schemas.openxmlformats.org/officeDocument/2006/relationships/hyperlink" Target="https://www.inaturalist.org/observations/150520342" TargetMode="External"/><Relationship Id="rId7747" Type="http://schemas.openxmlformats.org/officeDocument/2006/relationships/hyperlink" Target="https://www.inaturalist.org/people/phallec0" TargetMode="External"/><Relationship Id="rId7748" Type="http://schemas.openxmlformats.org/officeDocument/2006/relationships/hyperlink" Target="https://creativecommons.org/licenses/by-nc/4.0/" TargetMode="External"/><Relationship Id="rId7749" Type="http://schemas.openxmlformats.org/officeDocument/2006/relationships/hyperlink" Target="https://www.inaturalist.org/observations/146429237" TargetMode="External"/><Relationship Id="rId7750" Type="http://schemas.openxmlformats.org/officeDocument/2006/relationships/hyperlink" Target="https://www.inaturalist.org/people/melissa_bruton" TargetMode="External"/><Relationship Id="rId7751" Type="http://schemas.openxmlformats.org/officeDocument/2006/relationships/hyperlink" Target="https://creativecommons.org/licenses/by-nc/4.0/" TargetMode="External"/><Relationship Id="rId7752" Type="http://schemas.openxmlformats.org/officeDocument/2006/relationships/hyperlink" Target="https://www.inaturalist.org/observations/103815808" TargetMode="External"/><Relationship Id="rId7753" Type="http://schemas.openxmlformats.org/officeDocument/2006/relationships/hyperlink" Target="https://www.inaturalist.org/people/rreams" TargetMode="External"/><Relationship Id="rId7754" Type="http://schemas.openxmlformats.org/officeDocument/2006/relationships/hyperlink" Target="https://creativecommons.org/licenses/by-nc/4.0/" TargetMode="External"/><Relationship Id="rId7755" Type="http://schemas.openxmlformats.org/officeDocument/2006/relationships/hyperlink" Target="https://www.inaturalist.org/observations/101164991" TargetMode="External"/><Relationship Id="rId7756" Type="http://schemas.openxmlformats.org/officeDocument/2006/relationships/hyperlink" Target="https://www.inaturalist.org/people/grahamarmstrong" TargetMode="External"/><Relationship Id="rId7757" Type="http://schemas.openxmlformats.org/officeDocument/2006/relationships/hyperlink" Target="https://creativecommons.org/licenses/by-nc/4.0/" TargetMode="External"/><Relationship Id="rId7758" Type="http://schemas.openxmlformats.org/officeDocument/2006/relationships/hyperlink" Target="https://www.inaturalist.org/observations/98568118" TargetMode="External"/><Relationship Id="rId7759" Type="http://schemas.openxmlformats.org/officeDocument/2006/relationships/hyperlink" Target="https://www.inaturalist.org/people/jdobson" TargetMode="External"/><Relationship Id="rId7760" Type="http://schemas.openxmlformats.org/officeDocument/2006/relationships/hyperlink" Target="https://creativecommons.org/licenses/by-nc/4.0/" TargetMode="External"/><Relationship Id="rId7761" Type="http://schemas.openxmlformats.org/officeDocument/2006/relationships/hyperlink" Target="https://www.inaturalist.org/observations/38737273" TargetMode="External"/><Relationship Id="rId7762" Type="http://schemas.openxmlformats.org/officeDocument/2006/relationships/hyperlink" Target="https://www.inaturalist.org/people/aville" TargetMode="External"/><Relationship Id="rId7763" Type="http://schemas.openxmlformats.org/officeDocument/2006/relationships/hyperlink" Target="https://creativecommons.org/licenses/by-nc/4.0/" TargetMode="External"/><Relationship Id="rId7764" Type="http://schemas.openxmlformats.org/officeDocument/2006/relationships/hyperlink" Target="https://www.inaturalist.org/observations/4259407" TargetMode="External"/><Relationship Id="rId7765" Type="http://schemas.openxmlformats.org/officeDocument/2006/relationships/hyperlink" Target="https://www.inaturalist.org/people/lucegoose" TargetMode="External"/><Relationship Id="rId7766" Type="http://schemas.openxmlformats.org/officeDocument/2006/relationships/hyperlink" Target="https://creativecommons.org/licenses/by-nc/4.0/" TargetMode="External"/><Relationship Id="rId7767" Type="http://schemas.openxmlformats.org/officeDocument/2006/relationships/hyperlink" Target="https://www.inaturalist.org/observations/394375793" TargetMode="External"/><Relationship Id="rId7768" Type="http://schemas.openxmlformats.org/officeDocument/2006/relationships/hyperlink" Target="https://www.inaturalist.org/people/jmag1" TargetMode="External"/><Relationship Id="rId7769" Type="http://schemas.openxmlformats.org/officeDocument/2006/relationships/hyperlink" Target="https://creativecommons.org/licenses/by-nc/4.0/" TargetMode="External"/><Relationship Id="rId7770" Type="http://schemas.openxmlformats.org/officeDocument/2006/relationships/hyperlink" Target="https://www.inaturalist.org/observations/400176674" TargetMode="External"/><Relationship Id="rId7771" Type="http://schemas.openxmlformats.org/officeDocument/2006/relationships/hyperlink" Target="https://www.inaturalist.org/people/nathanbeerkens" TargetMode="External"/><Relationship Id="rId7772" Type="http://schemas.openxmlformats.org/officeDocument/2006/relationships/hyperlink" Target="https://creativecommons.org/licenses/by-nc/4.0/" TargetMode="External"/><Relationship Id="rId7773" Type="http://schemas.openxmlformats.org/officeDocument/2006/relationships/hyperlink" Target="https://www.inaturalist.org/observations/396088269" TargetMode="External"/><Relationship Id="rId7774" Type="http://schemas.openxmlformats.org/officeDocument/2006/relationships/hyperlink" Target="https://www.inaturalist.org/people/crocattackdatabase" TargetMode="External"/><Relationship Id="rId7775" Type="http://schemas.openxmlformats.org/officeDocument/2006/relationships/hyperlink" Target="https://creativecommons.org/licenses/by-nc/4.0/" TargetMode="External"/><Relationship Id="rId7776" Type="http://schemas.openxmlformats.org/officeDocument/2006/relationships/hyperlink" Target="https://www.inaturalist.org/observations/372403244" TargetMode="External"/><Relationship Id="rId7777" Type="http://schemas.openxmlformats.org/officeDocument/2006/relationships/hyperlink" Target="https://www.inaturalist.org/people/crocattackdatabase" TargetMode="External"/><Relationship Id="rId7778" Type="http://schemas.openxmlformats.org/officeDocument/2006/relationships/hyperlink" Target="https://creativecommons.org/licenses/by-nc/4.0/" TargetMode="External"/><Relationship Id="rId7779" Type="http://schemas.openxmlformats.org/officeDocument/2006/relationships/hyperlink" Target="https://www.inaturalist.org/observations/370015899" TargetMode="External"/><Relationship Id="rId7780" Type="http://schemas.openxmlformats.org/officeDocument/2006/relationships/hyperlink" Target="https://www.inaturalist.org/people/khensen" TargetMode="External"/><Relationship Id="rId7781" Type="http://schemas.openxmlformats.org/officeDocument/2006/relationships/hyperlink" Target="https://creativecommons.org/licenses/by-nc/4.0/" TargetMode="External"/><Relationship Id="rId7782" Type="http://schemas.openxmlformats.org/officeDocument/2006/relationships/hyperlink" Target="https://www.inaturalist.org/observations/333785328" TargetMode="External"/><Relationship Id="rId7783" Type="http://schemas.openxmlformats.org/officeDocument/2006/relationships/hyperlink" Target="https://www.inaturalist.org/people/rreams" TargetMode="External"/><Relationship Id="rId7784" Type="http://schemas.openxmlformats.org/officeDocument/2006/relationships/hyperlink" Target="https://creativecommons.org/licenses/by-nc/4.0/" TargetMode="External"/><Relationship Id="rId7785" Type="http://schemas.openxmlformats.org/officeDocument/2006/relationships/hyperlink" Target="https://www.inaturalist.org/observations/327220436" TargetMode="External"/><Relationship Id="rId7786" Type="http://schemas.openxmlformats.org/officeDocument/2006/relationships/hyperlink" Target="https://www.inaturalist.org/people/beccbbbec" TargetMode="External"/><Relationship Id="rId7787" Type="http://schemas.openxmlformats.org/officeDocument/2006/relationships/hyperlink" Target="https://creativecommons.org/licenses/by-nc/4.0/" TargetMode="External"/><Relationship Id="rId7788" Type="http://schemas.openxmlformats.org/officeDocument/2006/relationships/hyperlink" Target="https://www.inaturalist.org/observations/321353828" TargetMode="External"/><Relationship Id="rId7789" Type="http://schemas.openxmlformats.org/officeDocument/2006/relationships/hyperlink" Target="https://www.inaturalist.org/people/will_loveridge99" TargetMode="External"/><Relationship Id="rId7790" Type="http://schemas.openxmlformats.org/officeDocument/2006/relationships/hyperlink" Target="https://creativecommons.org/licenses/by-nc/4.0/" TargetMode="External"/><Relationship Id="rId7791" Type="http://schemas.openxmlformats.org/officeDocument/2006/relationships/hyperlink" Target="https://www.inaturalist.org/observations/320071799" TargetMode="External"/><Relationship Id="rId7792" Type="http://schemas.openxmlformats.org/officeDocument/2006/relationships/hyperlink" Target="https://www.inaturalist.org/people/will_loveridge99" TargetMode="External"/><Relationship Id="rId7793" Type="http://schemas.openxmlformats.org/officeDocument/2006/relationships/hyperlink" Target="https://creativecommons.org/licenses/by-nc/4.0/" TargetMode="External"/><Relationship Id="rId7794" Type="http://schemas.openxmlformats.org/officeDocument/2006/relationships/hyperlink" Target="https://www.inaturalist.org/observations/320071799" TargetMode="External"/><Relationship Id="rId7795" Type="http://schemas.openxmlformats.org/officeDocument/2006/relationships/hyperlink" Target="https://www.inaturalist.org/people/owenlishmund" TargetMode="External"/><Relationship Id="rId7796" Type="http://schemas.openxmlformats.org/officeDocument/2006/relationships/hyperlink" Target="https://creativecommons.org/licenses/by-nc/4.0/" TargetMode="External"/><Relationship Id="rId7797" Type="http://schemas.openxmlformats.org/officeDocument/2006/relationships/hyperlink" Target="https://www.inaturalist.org/observations/294539279" TargetMode="External"/><Relationship Id="rId7798" Type="http://schemas.openxmlformats.org/officeDocument/2006/relationships/hyperlink" Target="https://www.inaturalist.org/people/lynchyw1ldlife" TargetMode="External"/><Relationship Id="rId7799" Type="http://schemas.openxmlformats.org/officeDocument/2006/relationships/hyperlink" Target="https://creativecommons.org/licenses/by-nc/4.0/" TargetMode="External"/><Relationship Id="rId7800" Type="http://schemas.openxmlformats.org/officeDocument/2006/relationships/hyperlink" Target="https://www.inaturalist.org/observations/252493048" TargetMode="External"/><Relationship Id="rId7801" Type="http://schemas.openxmlformats.org/officeDocument/2006/relationships/hyperlink" Target="https://www.inaturalist.org/people/adelaidef19" TargetMode="External"/><Relationship Id="rId7802" Type="http://schemas.openxmlformats.org/officeDocument/2006/relationships/hyperlink" Target="https://creativecommons.org/licenses/by-nc/4.0/" TargetMode="External"/><Relationship Id="rId7803" Type="http://schemas.openxmlformats.org/officeDocument/2006/relationships/hyperlink" Target="https://www.inaturalist.org/observations/166401684" TargetMode="External"/><Relationship Id="rId7804" Type="http://schemas.openxmlformats.org/officeDocument/2006/relationships/hyperlink" Target="https://www.inaturalist.org/people/nweigner" TargetMode="External"/><Relationship Id="rId7805" Type="http://schemas.openxmlformats.org/officeDocument/2006/relationships/hyperlink" Target="https://creativecommons.org/licenses/by-nc/4.0/" TargetMode="External"/><Relationship Id="rId7806" Type="http://schemas.openxmlformats.org/officeDocument/2006/relationships/hyperlink" Target="https://www.inaturalist.org/observations/152391714" TargetMode="External"/><Relationship Id="rId7807" Type="http://schemas.openxmlformats.org/officeDocument/2006/relationships/hyperlink" Target="https://www.inaturalist.org/people/allira89" TargetMode="External"/><Relationship Id="rId7808" Type="http://schemas.openxmlformats.org/officeDocument/2006/relationships/hyperlink" Target="https://creativecommons.org/licenses/by-nc/4.0/" TargetMode="External"/><Relationship Id="rId7809" Type="http://schemas.openxmlformats.org/officeDocument/2006/relationships/hyperlink" Target="https://www.inaturalist.org/observations/108574715" TargetMode="External"/><Relationship Id="rId7810" Type="http://schemas.openxmlformats.org/officeDocument/2006/relationships/hyperlink" Target="https://www.inaturalist.org/people/koality_content" TargetMode="External"/><Relationship Id="rId7811" Type="http://schemas.openxmlformats.org/officeDocument/2006/relationships/hyperlink" Target="https://creativecommons.org/licenses/by-nc/4.0/" TargetMode="External"/><Relationship Id="rId7812" Type="http://schemas.openxmlformats.org/officeDocument/2006/relationships/hyperlink" Target="https://www.inaturalist.org/observations/107755720" TargetMode="External"/><Relationship Id="rId7813" Type="http://schemas.openxmlformats.org/officeDocument/2006/relationships/hyperlink" Target="https://www.inaturalist.org/people/nhaass" TargetMode="External"/><Relationship Id="rId7814" Type="http://schemas.openxmlformats.org/officeDocument/2006/relationships/hyperlink" Target="https://creativecommons.org/licenses/by-nc/4.0/" TargetMode="External"/><Relationship Id="rId7815" Type="http://schemas.openxmlformats.org/officeDocument/2006/relationships/hyperlink" Target="https://www.inaturalist.org/observations/105594541" TargetMode="External"/><Relationship Id="rId7816" Type="http://schemas.openxmlformats.org/officeDocument/2006/relationships/hyperlink" Target="https://www.inaturalist.org/people/rreams" TargetMode="External"/><Relationship Id="rId7817" Type="http://schemas.openxmlformats.org/officeDocument/2006/relationships/hyperlink" Target="https://creativecommons.org/licenses/by-nc/4.0/" TargetMode="External"/><Relationship Id="rId7818" Type="http://schemas.openxmlformats.org/officeDocument/2006/relationships/hyperlink" Target="https://www.inaturalist.org/observations/101167185" TargetMode="External"/><Relationship Id="rId7819" Type="http://schemas.openxmlformats.org/officeDocument/2006/relationships/hyperlink" Target="https://www.inaturalist.org/people/braden1" TargetMode="External"/><Relationship Id="rId7820" Type="http://schemas.openxmlformats.org/officeDocument/2006/relationships/hyperlink" Target="https://creativecommons.org/licenses/by-nc/4.0/" TargetMode="External"/><Relationship Id="rId7821" Type="http://schemas.openxmlformats.org/officeDocument/2006/relationships/hyperlink" Target="https://www.inaturalist.org/observations/100224461" TargetMode="External"/><Relationship Id="rId7822" Type="http://schemas.openxmlformats.org/officeDocument/2006/relationships/hyperlink" Target="https://www.inaturalist.org/people/jdobson" TargetMode="External"/><Relationship Id="rId7823" Type="http://schemas.openxmlformats.org/officeDocument/2006/relationships/hyperlink" Target="https://creativecommons.org/licenses/by-nc/4.0/" TargetMode="External"/><Relationship Id="rId7824" Type="http://schemas.openxmlformats.org/officeDocument/2006/relationships/hyperlink" Target="https://www.inaturalist.org/observations/67178649" TargetMode="External"/><Relationship Id="rId7825" Type="http://schemas.openxmlformats.org/officeDocument/2006/relationships/hyperlink" Target="https://www.inaturalist.org/people/sarlou85" TargetMode="External"/><Relationship Id="rId7826" Type="http://schemas.openxmlformats.org/officeDocument/2006/relationships/hyperlink" Target="https://creativecommons.org/licenses/by-nc/4.0/" TargetMode="External"/><Relationship Id="rId7827" Type="http://schemas.openxmlformats.org/officeDocument/2006/relationships/hyperlink" Target="https://www.inaturalist.org/observations/38749700" TargetMode="External"/><Relationship Id="rId7828" Type="http://schemas.openxmlformats.org/officeDocument/2006/relationships/hyperlink" Target="https://www.inaturalist.org/people/pratty90" TargetMode="External"/><Relationship Id="rId7829" Type="http://schemas.openxmlformats.org/officeDocument/2006/relationships/hyperlink" Target="https://creativecommons.org/licenses/by-nc/4.0/" TargetMode="External"/><Relationship Id="rId7830" Type="http://schemas.openxmlformats.org/officeDocument/2006/relationships/hyperlink" Target="https://www.inaturalist.org/observations/34953379" TargetMode="External"/><Relationship Id="rId7831" Type="http://schemas.openxmlformats.org/officeDocument/2006/relationships/hyperlink" Target="https://www.inaturalist.org/people/kazeedee" TargetMode="External"/><Relationship Id="rId7832" Type="http://schemas.openxmlformats.org/officeDocument/2006/relationships/hyperlink" Target="https://creativecommons.org/licenses/by-nc/4.0/" TargetMode="External"/><Relationship Id="rId7833" Type="http://schemas.openxmlformats.org/officeDocument/2006/relationships/hyperlink" Target="https://www.inaturalist.org/observations/399524167" TargetMode="External"/><Relationship Id="rId7834" Type="http://schemas.openxmlformats.org/officeDocument/2006/relationships/hyperlink" Target="https://www.inaturalist.org/people/kazeedee" TargetMode="External"/><Relationship Id="rId7835" Type="http://schemas.openxmlformats.org/officeDocument/2006/relationships/hyperlink" Target="https://creativecommons.org/licenses/by-nc/4.0/" TargetMode="External"/><Relationship Id="rId7836" Type="http://schemas.openxmlformats.org/officeDocument/2006/relationships/hyperlink" Target="https://www.inaturalist.org/observations/399524167" TargetMode="External"/><Relationship Id="rId7837" Type="http://schemas.openxmlformats.org/officeDocument/2006/relationships/hyperlink" Target="https://www.inaturalist.org/people/kenty_8881" TargetMode="External"/><Relationship Id="rId7838" Type="http://schemas.openxmlformats.org/officeDocument/2006/relationships/hyperlink" Target="https://creativecommons.org/licenses/by-nc/4.0/" TargetMode="External"/><Relationship Id="rId7839" Type="http://schemas.openxmlformats.org/officeDocument/2006/relationships/hyperlink" Target="https://www.inaturalist.org/observations/397794678" TargetMode="External"/><Relationship Id="rId7840" Type="http://schemas.openxmlformats.org/officeDocument/2006/relationships/hyperlink" Target="https://www.inaturalist.org/people/mulgamaid" TargetMode="External"/><Relationship Id="rId7841" Type="http://schemas.openxmlformats.org/officeDocument/2006/relationships/hyperlink" Target="https://creativecommons.org/licenses/by-nc/4.0/" TargetMode="External"/><Relationship Id="rId7842" Type="http://schemas.openxmlformats.org/officeDocument/2006/relationships/hyperlink" Target="https://www.inaturalist.org/observations/389872554" TargetMode="External"/><Relationship Id="rId7843" Type="http://schemas.openxmlformats.org/officeDocument/2006/relationships/hyperlink" Target="https://www.inaturalist.org/people/mulgamaid" TargetMode="External"/><Relationship Id="rId7844" Type="http://schemas.openxmlformats.org/officeDocument/2006/relationships/hyperlink" Target="https://creativecommons.org/licenses/by-nc/4.0/" TargetMode="External"/><Relationship Id="rId7845" Type="http://schemas.openxmlformats.org/officeDocument/2006/relationships/hyperlink" Target="https://www.inaturalist.org/observations/389872504" TargetMode="External"/><Relationship Id="rId7846" Type="http://schemas.openxmlformats.org/officeDocument/2006/relationships/hyperlink" Target="https://www.inaturalist.org/people/mulgamaid" TargetMode="External"/><Relationship Id="rId7847" Type="http://schemas.openxmlformats.org/officeDocument/2006/relationships/hyperlink" Target="https://creativecommons.org/licenses/by-nc/4.0/" TargetMode="External"/><Relationship Id="rId7848" Type="http://schemas.openxmlformats.org/officeDocument/2006/relationships/hyperlink" Target="https://www.inaturalist.org/observations/389872427" TargetMode="External"/><Relationship Id="rId7849" Type="http://schemas.openxmlformats.org/officeDocument/2006/relationships/hyperlink" Target="https://www.inaturalist.org/people/kezzagilby" TargetMode="External"/><Relationship Id="rId7850" Type="http://schemas.openxmlformats.org/officeDocument/2006/relationships/hyperlink" Target="https://creativecommons.org/licenses/by-nc/4.0/" TargetMode="External"/><Relationship Id="rId7851" Type="http://schemas.openxmlformats.org/officeDocument/2006/relationships/hyperlink" Target="https://www.inaturalist.org/observations/379304726" TargetMode="External"/><Relationship Id="rId7852" Type="http://schemas.openxmlformats.org/officeDocument/2006/relationships/hyperlink" Target="https://www.inaturalist.org/people/christine0510" TargetMode="External"/><Relationship Id="rId7853" Type="http://schemas.openxmlformats.org/officeDocument/2006/relationships/hyperlink" Target="https://creativecommons.org/licenses/by-nc/4.0/" TargetMode="External"/><Relationship Id="rId7854" Type="http://schemas.openxmlformats.org/officeDocument/2006/relationships/hyperlink" Target="https://www.inaturalist.org/observations/373937734" TargetMode="External"/><Relationship Id="rId7855" Type="http://schemas.openxmlformats.org/officeDocument/2006/relationships/hyperlink" Target="https://www.inaturalist.org/people/geodyssian" TargetMode="External"/><Relationship Id="rId7856" Type="http://schemas.openxmlformats.org/officeDocument/2006/relationships/hyperlink" Target="https://creativecommons.org/licenses/by-nc/4.0/" TargetMode="External"/><Relationship Id="rId7857" Type="http://schemas.openxmlformats.org/officeDocument/2006/relationships/hyperlink" Target="https://www.inaturalist.org/observations/369156312" TargetMode="External"/><Relationship Id="rId7858" Type="http://schemas.openxmlformats.org/officeDocument/2006/relationships/hyperlink" Target="https://www.inaturalist.org/people/geodyssian" TargetMode="External"/><Relationship Id="rId7859" Type="http://schemas.openxmlformats.org/officeDocument/2006/relationships/hyperlink" Target="https://creativecommons.org/licenses/by-nc/4.0/" TargetMode="External"/><Relationship Id="rId7860" Type="http://schemas.openxmlformats.org/officeDocument/2006/relationships/hyperlink" Target="https://www.inaturalist.org/observations/369156312" TargetMode="External"/><Relationship Id="rId7861" Type="http://schemas.openxmlformats.org/officeDocument/2006/relationships/hyperlink" Target="https://www.inaturalist.org/people/dog-tits" TargetMode="External"/><Relationship Id="rId7862" Type="http://schemas.openxmlformats.org/officeDocument/2006/relationships/hyperlink" Target="https://creativecommons.org/licenses/by-nc/4.0/" TargetMode="External"/><Relationship Id="rId7863" Type="http://schemas.openxmlformats.org/officeDocument/2006/relationships/hyperlink" Target="https://www.inaturalist.org/observations/366944265" TargetMode="External"/><Relationship Id="rId7864" Type="http://schemas.openxmlformats.org/officeDocument/2006/relationships/hyperlink" Target="https://www.inaturalist.org/people/elocyn" TargetMode="External"/><Relationship Id="rId7865" Type="http://schemas.openxmlformats.org/officeDocument/2006/relationships/hyperlink" Target="https://creativecommons.org/licenses/by-nc/4.0/" TargetMode="External"/><Relationship Id="rId7866" Type="http://schemas.openxmlformats.org/officeDocument/2006/relationships/hyperlink" Target="https://www.inaturalist.org/observations/348281541" TargetMode="External"/><Relationship Id="rId7867" Type="http://schemas.openxmlformats.org/officeDocument/2006/relationships/hyperlink" Target="https://www.inaturalist.org/people/elocyn" TargetMode="External"/><Relationship Id="rId7868" Type="http://schemas.openxmlformats.org/officeDocument/2006/relationships/hyperlink" Target="https://creativecommons.org/licenses/by-nc/4.0/" TargetMode="External"/><Relationship Id="rId7869" Type="http://schemas.openxmlformats.org/officeDocument/2006/relationships/hyperlink" Target="https://www.inaturalist.org/observations/348281541" TargetMode="External"/><Relationship Id="rId7870" Type="http://schemas.openxmlformats.org/officeDocument/2006/relationships/hyperlink" Target="https://www.inaturalist.org/people/kurtis_w" TargetMode="External"/><Relationship Id="rId7871" Type="http://schemas.openxmlformats.org/officeDocument/2006/relationships/hyperlink" Target="https://creativecommons.org/licenses/by-nc/4.0/" TargetMode="External"/><Relationship Id="rId7872" Type="http://schemas.openxmlformats.org/officeDocument/2006/relationships/hyperlink" Target="https://www.inaturalist.org/observations/347687141" TargetMode="External"/><Relationship Id="rId7873" Type="http://schemas.openxmlformats.org/officeDocument/2006/relationships/hyperlink" Target="https://www.inaturalist.org/people/thewildgtrv" TargetMode="External"/><Relationship Id="rId7874" Type="http://schemas.openxmlformats.org/officeDocument/2006/relationships/hyperlink" Target="https://creativecommons.org/licenses/by-nc/4.0/" TargetMode="External"/><Relationship Id="rId7875" Type="http://schemas.openxmlformats.org/officeDocument/2006/relationships/hyperlink" Target="https://www.inaturalist.org/observations/346249016" TargetMode="External"/><Relationship Id="rId7876" Type="http://schemas.openxmlformats.org/officeDocument/2006/relationships/hyperlink" Target="https://www.inaturalist.org/people/darcy_c" TargetMode="External"/><Relationship Id="rId7877" Type="http://schemas.openxmlformats.org/officeDocument/2006/relationships/hyperlink" Target="https://creativecommons.org/licenses/by-nc/4.0/" TargetMode="External"/><Relationship Id="rId7878" Type="http://schemas.openxmlformats.org/officeDocument/2006/relationships/hyperlink" Target="https://www.inaturalist.org/observations/345461653" TargetMode="External"/><Relationship Id="rId7879" Type="http://schemas.openxmlformats.org/officeDocument/2006/relationships/hyperlink" Target="https://www.inaturalist.org/people/christine0510" TargetMode="External"/><Relationship Id="rId7880" Type="http://schemas.openxmlformats.org/officeDocument/2006/relationships/hyperlink" Target="https://creativecommons.org/licenses/by-nc/4.0/" TargetMode="External"/><Relationship Id="rId7881" Type="http://schemas.openxmlformats.org/officeDocument/2006/relationships/hyperlink" Target="https://www.inaturalist.org/observations/343465762" TargetMode="External"/><Relationship Id="rId7882" Type="http://schemas.openxmlformats.org/officeDocument/2006/relationships/hyperlink" Target="https://www.inaturalist.org/people/jaysond" TargetMode="External"/><Relationship Id="rId7883" Type="http://schemas.openxmlformats.org/officeDocument/2006/relationships/hyperlink" Target="https://creativecommons.org/licenses/by-nc/4.0/" TargetMode="External"/><Relationship Id="rId7884" Type="http://schemas.openxmlformats.org/officeDocument/2006/relationships/hyperlink" Target="https://www.inaturalist.org/observations/340744138" TargetMode="External"/><Relationship Id="rId7885" Type="http://schemas.openxmlformats.org/officeDocument/2006/relationships/hyperlink" Target="https://www.inaturalist.org/people/bushblood" TargetMode="External"/><Relationship Id="rId7886" Type="http://schemas.openxmlformats.org/officeDocument/2006/relationships/hyperlink" Target="https://creativecommons.org/licenses/by-nc/4.0/" TargetMode="External"/><Relationship Id="rId7887" Type="http://schemas.openxmlformats.org/officeDocument/2006/relationships/hyperlink" Target="https://www.inaturalist.org/observations/339693939" TargetMode="External"/><Relationship Id="rId7888" Type="http://schemas.openxmlformats.org/officeDocument/2006/relationships/hyperlink" Target="https://www.inaturalist.org/people/don_endriu_wildlife" TargetMode="External"/><Relationship Id="rId7889" Type="http://schemas.openxmlformats.org/officeDocument/2006/relationships/hyperlink" Target="https://creativecommons.org/licenses/by-nc/4.0/" TargetMode="External"/><Relationship Id="rId7890" Type="http://schemas.openxmlformats.org/officeDocument/2006/relationships/hyperlink" Target="https://www.inaturalist.org/observations/338842958" TargetMode="External"/><Relationship Id="rId7891" Type="http://schemas.openxmlformats.org/officeDocument/2006/relationships/hyperlink" Target="https://www.inaturalist.org/people/jonahwilts" TargetMode="External"/><Relationship Id="rId7892" Type="http://schemas.openxmlformats.org/officeDocument/2006/relationships/hyperlink" Target="https://creativecommons.org/licenses/by-nc/4.0/" TargetMode="External"/><Relationship Id="rId7893" Type="http://schemas.openxmlformats.org/officeDocument/2006/relationships/hyperlink" Target="https://www.inaturalist.org/observations/336420164" TargetMode="External"/><Relationship Id="rId7894" Type="http://schemas.openxmlformats.org/officeDocument/2006/relationships/hyperlink" Target="https://www.inaturalist.org/people/jameskennerley" TargetMode="External"/><Relationship Id="rId7895" Type="http://schemas.openxmlformats.org/officeDocument/2006/relationships/hyperlink" Target="https://creativecommons.org/licenses/by-nc/4.0/" TargetMode="External"/><Relationship Id="rId7896" Type="http://schemas.openxmlformats.org/officeDocument/2006/relationships/hyperlink" Target="https://www.inaturalist.org/observations/334271258" TargetMode="External"/><Relationship Id="rId7897" Type="http://schemas.openxmlformats.org/officeDocument/2006/relationships/hyperlink" Target="https://www.inaturalist.org/people/aliciapace" TargetMode="External"/><Relationship Id="rId7898" Type="http://schemas.openxmlformats.org/officeDocument/2006/relationships/hyperlink" Target="https://creativecommons.org/licenses/by-nc/4.0/" TargetMode="External"/><Relationship Id="rId7899" Type="http://schemas.openxmlformats.org/officeDocument/2006/relationships/hyperlink" Target="https://www.inaturalist.org/observations/330287872" TargetMode="External"/><Relationship Id="rId7900" Type="http://schemas.openxmlformats.org/officeDocument/2006/relationships/hyperlink" Target="https://www.inaturalist.org/people/rubynats" TargetMode="External"/><Relationship Id="rId7901" Type="http://schemas.openxmlformats.org/officeDocument/2006/relationships/hyperlink" Target="https://creativecommons.org/licenses/by-nc/4.0/" TargetMode="External"/><Relationship Id="rId7902" Type="http://schemas.openxmlformats.org/officeDocument/2006/relationships/hyperlink" Target="https://www.inaturalist.org/observations/329128941" TargetMode="External"/><Relationship Id="rId7903" Type="http://schemas.openxmlformats.org/officeDocument/2006/relationships/hyperlink" Target="https://www.inaturalist.org/people/rubynats" TargetMode="External"/><Relationship Id="rId7904" Type="http://schemas.openxmlformats.org/officeDocument/2006/relationships/hyperlink" Target="https://creativecommons.org/licenses/by-nc/4.0/" TargetMode="External"/><Relationship Id="rId7905" Type="http://schemas.openxmlformats.org/officeDocument/2006/relationships/hyperlink" Target="https://www.inaturalist.org/observations/328588705" TargetMode="External"/><Relationship Id="rId7906" Type="http://schemas.openxmlformats.org/officeDocument/2006/relationships/hyperlink" Target="https://www.inaturalist.org/people/mariodriesen" TargetMode="External"/><Relationship Id="rId7907" Type="http://schemas.openxmlformats.org/officeDocument/2006/relationships/hyperlink" Target="https://creativecommons.org/licenses/by-nc/4.0/" TargetMode="External"/><Relationship Id="rId7908" Type="http://schemas.openxmlformats.org/officeDocument/2006/relationships/hyperlink" Target="https://www.inaturalist.org/observations/327466894" TargetMode="External"/><Relationship Id="rId7909" Type="http://schemas.openxmlformats.org/officeDocument/2006/relationships/hyperlink" Target="https://www.inaturalist.org/people/mariodriesen" TargetMode="External"/><Relationship Id="rId7910" Type="http://schemas.openxmlformats.org/officeDocument/2006/relationships/hyperlink" Target="https://creativecommons.org/licenses/by-nc/4.0/" TargetMode="External"/><Relationship Id="rId7911" Type="http://schemas.openxmlformats.org/officeDocument/2006/relationships/hyperlink" Target="https://www.inaturalist.org/observations/327466872" TargetMode="External"/><Relationship Id="rId7912" Type="http://schemas.openxmlformats.org/officeDocument/2006/relationships/hyperlink" Target="https://www.inaturalist.org/people/mariodriesen" TargetMode="External"/><Relationship Id="rId7913" Type="http://schemas.openxmlformats.org/officeDocument/2006/relationships/hyperlink" Target="https://creativecommons.org/licenses/by-nc/4.0/" TargetMode="External"/><Relationship Id="rId7914" Type="http://schemas.openxmlformats.org/officeDocument/2006/relationships/hyperlink" Target="https://www.inaturalist.org/observations/327351653" TargetMode="External"/><Relationship Id="rId7915" Type="http://schemas.openxmlformats.org/officeDocument/2006/relationships/hyperlink" Target="https://www.inaturalist.org/people/maxi-t_152637" TargetMode="External"/><Relationship Id="rId7916" Type="http://schemas.openxmlformats.org/officeDocument/2006/relationships/hyperlink" Target="https://creativecommons.org/licenses/by-nc/4.0/" TargetMode="External"/><Relationship Id="rId7917" Type="http://schemas.openxmlformats.org/officeDocument/2006/relationships/hyperlink" Target="https://www.inaturalist.org/observations/327235147" TargetMode="External"/><Relationship Id="rId7918" Type="http://schemas.openxmlformats.org/officeDocument/2006/relationships/hyperlink" Target="https://www.inaturalist.org/people/mattcampbellaus" TargetMode="External"/><Relationship Id="rId7919" Type="http://schemas.openxmlformats.org/officeDocument/2006/relationships/hyperlink" Target="https://creativecommons.org/licenses/by-nc/4.0/" TargetMode="External"/><Relationship Id="rId7920" Type="http://schemas.openxmlformats.org/officeDocument/2006/relationships/hyperlink" Target="https://www.inaturalist.org/observations/327040112" TargetMode="External"/><Relationship Id="rId7921" Type="http://schemas.openxmlformats.org/officeDocument/2006/relationships/hyperlink" Target="https://www.inaturalist.org/people/moth_nut" TargetMode="External"/><Relationship Id="rId7922" Type="http://schemas.openxmlformats.org/officeDocument/2006/relationships/hyperlink" Target="https://creativecommons.org/licenses/by-nc/4.0/" TargetMode="External"/><Relationship Id="rId7923" Type="http://schemas.openxmlformats.org/officeDocument/2006/relationships/hyperlink" Target="https://www.inaturalist.org/observations/324244598" TargetMode="External"/><Relationship Id="rId7924" Type="http://schemas.openxmlformats.org/officeDocument/2006/relationships/hyperlink" Target="https://www.inaturalist.org/people/moth_nut" TargetMode="External"/><Relationship Id="rId7925" Type="http://schemas.openxmlformats.org/officeDocument/2006/relationships/hyperlink" Target="https://creativecommons.org/licenses/by-nc/4.0/" TargetMode="External"/><Relationship Id="rId7926" Type="http://schemas.openxmlformats.org/officeDocument/2006/relationships/hyperlink" Target="https://www.inaturalist.org/observations/324244584" TargetMode="External"/><Relationship Id="rId7927" Type="http://schemas.openxmlformats.org/officeDocument/2006/relationships/hyperlink" Target="https://www.inaturalist.org/people/thijsgudden" TargetMode="External"/><Relationship Id="rId7928" Type="http://schemas.openxmlformats.org/officeDocument/2006/relationships/hyperlink" Target="https://creativecommons.org/licenses/by-nc/4.0/" TargetMode="External"/><Relationship Id="rId7929" Type="http://schemas.openxmlformats.org/officeDocument/2006/relationships/hyperlink" Target="https://www.inaturalist.org/observations/322402419" TargetMode="External"/><Relationship Id="rId7930" Type="http://schemas.openxmlformats.org/officeDocument/2006/relationships/hyperlink" Target="https://www.inaturalist.org/people/thijsgudden" TargetMode="External"/><Relationship Id="rId7931" Type="http://schemas.openxmlformats.org/officeDocument/2006/relationships/hyperlink" Target="https://creativecommons.org/licenses/by-nc/4.0/" TargetMode="External"/><Relationship Id="rId7932" Type="http://schemas.openxmlformats.org/officeDocument/2006/relationships/hyperlink" Target="https://www.inaturalist.org/observations/321815721" TargetMode="External"/><Relationship Id="rId7933" Type="http://schemas.openxmlformats.org/officeDocument/2006/relationships/hyperlink" Target="https://www.inaturalist.org/people/urbanreptileremoval" TargetMode="External"/><Relationship Id="rId7934" Type="http://schemas.openxmlformats.org/officeDocument/2006/relationships/hyperlink" Target="https://creativecommons.org/licenses/by-nc/4.0/" TargetMode="External"/><Relationship Id="rId7935" Type="http://schemas.openxmlformats.org/officeDocument/2006/relationships/hyperlink" Target="https://www.inaturalist.org/observations/312641220" TargetMode="External"/><Relationship Id="rId7936" Type="http://schemas.openxmlformats.org/officeDocument/2006/relationships/hyperlink" Target="https://www.inaturalist.org/people/court_rae" TargetMode="External"/><Relationship Id="rId7937" Type="http://schemas.openxmlformats.org/officeDocument/2006/relationships/hyperlink" Target="https://creativecommons.org/licenses/by-nc/4.0/" TargetMode="External"/><Relationship Id="rId7938" Type="http://schemas.openxmlformats.org/officeDocument/2006/relationships/hyperlink" Target="https://www.inaturalist.org/observations/302967788" TargetMode="External"/><Relationship Id="rId7939" Type="http://schemas.openxmlformats.org/officeDocument/2006/relationships/hyperlink" Target="https://www.inaturalist.org/people/court_rae" TargetMode="External"/><Relationship Id="rId7940" Type="http://schemas.openxmlformats.org/officeDocument/2006/relationships/hyperlink" Target="https://creativecommons.org/licenses/by-nc/4.0/" TargetMode="External"/><Relationship Id="rId7941" Type="http://schemas.openxmlformats.org/officeDocument/2006/relationships/hyperlink" Target="https://www.inaturalist.org/observations/302967467" TargetMode="External"/><Relationship Id="rId7942" Type="http://schemas.openxmlformats.org/officeDocument/2006/relationships/hyperlink" Target="https://www.inaturalist.org/people/court_rae" TargetMode="External"/><Relationship Id="rId7943" Type="http://schemas.openxmlformats.org/officeDocument/2006/relationships/hyperlink" Target="https://creativecommons.org/licenses/by-nc/4.0/" TargetMode="External"/><Relationship Id="rId7944" Type="http://schemas.openxmlformats.org/officeDocument/2006/relationships/hyperlink" Target="https://www.inaturalist.org/observations/301705714" TargetMode="External"/><Relationship Id="rId7945" Type="http://schemas.openxmlformats.org/officeDocument/2006/relationships/hyperlink" Target="https://www.inaturalist.org/people/margot_oorebeek" TargetMode="External"/><Relationship Id="rId7946" Type="http://schemas.openxmlformats.org/officeDocument/2006/relationships/hyperlink" Target="https://creativecommons.org/licenses/by-nc/4.0/" TargetMode="External"/><Relationship Id="rId7947" Type="http://schemas.openxmlformats.org/officeDocument/2006/relationships/hyperlink" Target="https://www.inaturalist.org/observations/285562892" TargetMode="External"/><Relationship Id="rId7948" Type="http://schemas.openxmlformats.org/officeDocument/2006/relationships/hyperlink" Target="https://www.inaturalist.org/people/bluejay11" TargetMode="External"/><Relationship Id="rId7949" Type="http://schemas.openxmlformats.org/officeDocument/2006/relationships/hyperlink" Target="https://creativecommons.org/licenses/by-nc/4.0/" TargetMode="External"/><Relationship Id="rId7950" Type="http://schemas.openxmlformats.org/officeDocument/2006/relationships/hyperlink" Target="https://www.inaturalist.org/observations/281482348" TargetMode="External"/><Relationship Id="rId7951" Type="http://schemas.openxmlformats.org/officeDocument/2006/relationships/hyperlink" Target="https://www.inaturalist.org/people/jorden_perrett" TargetMode="External"/><Relationship Id="rId7952" Type="http://schemas.openxmlformats.org/officeDocument/2006/relationships/hyperlink" Target="https://creativecommons.org/licenses/by-nc/4.0/" TargetMode="External"/><Relationship Id="rId7953" Type="http://schemas.openxmlformats.org/officeDocument/2006/relationships/hyperlink" Target="https://www.inaturalist.org/observations/277593456" TargetMode="External"/><Relationship Id="rId7954" Type="http://schemas.openxmlformats.org/officeDocument/2006/relationships/hyperlink" Target="https://www.inaturalist.org/people/nick_vine" TargetMode="External"/><Relationship Id="rId7955" Type="http://schemas.openxmlformats.org/officeDocument/2006/relationships/hyperlink" Target="https://creativecommons.org/licenses/by-nc/4.0/" TargetMode="External"/><Relationship Id="rId7956" Type="http://schemas.openxmlformats.org/officeDocument/2006/relationships/hyperlink" Target="https://www.inaturalist.org/observations/265349921" TargetMode="External"/><Relationship Id="rId7957" Type="http://schemas.openxmlformats.org/officeDocument/2006/relationships/hyperlink" Target="https://www.inaturalist.org/people/sarlou85" TargetMode="External"/><Relationship Id="rId7958" Type="http://schemas.openxmlformats.org/officeDocument/2006/relationships/hyperlink" Target="https://creativecommons.org/licenses/by-nc/4.0/" TargetMode="External"/><Relationship Id="rId7959" Type="http://schemas.openxmlformats.org/officeDocument/2006/relationships/hyperlink" Target="https://www.inaturalist.org/observations/264910769" TargetMode="External"/><Relationship Id="rId7960" Type="http://schemas.openxmlformats.org/officeDocument/2006/relationships/hyperlink" Target="https://www.inaturalist.org/people/snakesrcool" TargetMode="External"/><Relationship Id="rId7961" Type="http://schemas.openxmlformats.org/officeDocument/2006/relationships/hyperlink" Target="https://creativecommons.org/licenses/by-nc/4.0/" TargetMode="External"/><Relationship Id="rId7962" Type="http://schemas.openxmlformats.org/officeDocument/2006/relationships/hyperlink" Target="https://www.inaturalist.org/observations/263129196" TargetMode="External"/><Relationship Id="rId7963" Type="http://schemas.openxmlformats.org/officeDocument/2006/relationships/hyperlink" Target="https://www.inaturalist.org/people/owen65" TargetMode="External"/><Relationship Id="rId7964" Type="http://schemas.openxmlformats.org/officeDocument/2006/relationships/hyperlink" Target="https://creativecommons.org/licenses/by-nc/4.0/" TargetMode="External"/><Relationship Id="rId7965" Type="http://schemas.openxmlformats.org/officeDocument/2006/relationships/hyperlink" Target="https://www.inaturalist.org/observations/262700257" TargetMode="External"/><Relationship Id="rId7966" Type="http://schemas.openxmlformats.org/officeDocument/2006/relationships/hyperlink" Target="https://www.inaturalist.org/people/t_sheehan" TargetMode="External"/><Relationship Id="rId7967" Type="http://schemas.openxmlformats.org/officeDocument/2006/relationships/hyperlink" Target="https://creativecommons.org/licenses/by-nc/4.0/" TargetMode="External"/><Relationship Id="rId7968" Type="http://schemas.openxmlformats.org/officeDocument/2006/relationships/hyperlink" Target="https://www.inaturalist.org/observations/260155774" TargetMode="External"/><Relationship Id="rId7969" Type="http://schemas.openxmlformats.org/officeDocument/2006/relationships/hyperlink" Target="https://www.inaturalist.org/people/rhytiphora" TargetMode="External"/><Relationship Id="rId7970" Type="http://schemas.openxmlformats.org/officeDocument/2006/relationships/hyperlink" Target="https://creativecommons.org/licenses/by-nc/4.0/" TargetMode="External"/><Relationship Id="rId7971" Type="http://schemas.openxmlformats.org/officeDocument/2006/relationships/hyperlink" Target="https://www.inaturalist.org/observations/258017893" TargetMode="External"/><Relationship Id="rId7972" Type="http://schemas.openxmlformats.org/officeDocument/2006/relationships/hyperlink" Target="https://www.inaturalist.org/people/rhytiphora" TargetMode="External"/><Relationship Id="rId7973" Type="http://schemas.openxmlformats.org/officeDocument/2006/relationships/hyperlink" Target="https://creativecommons.org/licenses/by-nc/4.0/" TargetMode="External"/><Relationship Id="rId7974" Type="http://schemas.openxmlformats.org/officeDocument/2006/relationships/hyperlink" Target="https://www.inaturalist.org/observations/258017893" TargetMode="External"/><Relationship Id="rId7975" Type="http://schemas.openxmlformats.org/officeDocument/2006/relationships/hyperlink" Target="https://www.inaturalist.org/people/levibrownwild" TargetMode="External"/><Relationship Id="rId7976" Type="http://schemas.openxmlformats.org/officeDocument/2006/relationships/hyperlink" Target="https://creativecommons.org/licenses/by-nc/4.0/" TargetMode="External"/><Relationship Id="rId7977" Type="http://schemas.openxmlformats.org/officeDocument/2006/relationships/hyperlink" Target="https://www.inaturalist.org/observations/257285639" TargetMode="External"/><Relationship Id="rId7978" Type="http://schemas.openxmlformats.org/officeDocument/2006/relationships/hyperlink" Target="https://www.inaturalist.org/people/jdolphinphoto" TargetMode="External"/><Relationship Id="rId7979" Type="http://schemas.openxmlformats.org/officeDocument/2006/relationships/hyperlink" Target="https://creativecommons.org/licenses/by-nc/4.0/" TargetMode="External"/><Relationship Id="rId7980" Type="http://schemas.openxmlformats.org/officeDocument/2006/relationships/hyperlink" Target="https://www.inaturalist.org/observations/257013544" TargetMode="External"/><Relationship Id="rId7981" Type="http://schemas.openxmlformats.org/officeDocument/2006/relationships/hyperlink" Target="https://www.inaturalist.org/people/naturegirlkh" TargetMode="External"/><Relationship Id="rId7982" Type="http://schemas.openxmlformats.org/officeDocument/2006/relationships/hyperlink" Target="https://creativecommons.org/licenses/by-nc/4.0/" TargetMode="External"/><Relationship Id="rId7983" Type="http://schemas.openxmlformats.org/officeDocument/2006/relationships/hyperlink" Target="https://www.inaturalist.org/observations/256900465" TargetMode="External"/><Relationship Id="rId7984" Type="http://schemas.openxmlformats.org/officeDocument/2006/relationships/hyperlink" Target="https://www.inaturalist.org/people/naturegirlkh" TargetMode="External"/><Relationship Id="rId7985" Type="http://schemas.openxmlformats.org/officeDocument/2006/relationships/hyperlink" Target="https://creativecommons.org/licenses/by-nc/4.0/" TargetMode="External"/><Relationship Id="rId7986" Type="http://schemas.openxmlformats.org/officeDocument/2006/relationships/hyperlink" Target="https://www.inaturalist.org/observations/256896017" TargetMode="External"/><Relationship Id="rId7987" Type="http://schemas.openxmlformats.org/officeDocument/2006/relationships/hyperlink" Target="https://www.inaturalist.org/people/emilymendel" TargetMode="External"/><Relationship Id="rId7988" Type="http://schemas.openxmlformats.org/officeDocument/2006/relationships/hyperlink" Target="https://creativecommons.org/licenses/by-nc/4.0/" TargetMode="External"/><Relationship Id="rId7989" Type="http://schemas.openxmlformats.org/officeDocument/2006/relationships/hyperlink" Target="https://www.inaturalist.org/observations/256764941" TargetMode="External"/><Relationship Id="rId7990" Type="http://schemas.openxmlformats.org/officeDocument/2006/relationships/hyperlink" Target="https://www.inaturalist.org/people/tiaberro" TargetMode="External"/><Relationship Id="rId7991" Type="http://schemas.openxmlformats.org/officeDocument/2006/relationships/hyperlink" Target="https://creativecommons.org/licenses/by-nc/4.0/" TargetMode="External"/><Relationship Id="rId7992" Type="http://schemas.openxmlformats.org/officeDocument/2006/relationships/hyperlink" Target="https://www.inaturalist.org/observations/255654416" TargetMode="External"/><Relationship Id="rId7993" Type="http://schemas.openxmlformats.org/officeDocument/2006/relationships/hyperlink" Target="https://www.inaturalist.org/people/don_endriu_wildlife" TargetMode="External"/><Relationship Id="rId7994" Type="http://schemas.openxmlformats.org/officeDocument/2006/relationships/hyperlink" Target="https://creativecommons.org/licenses/by-nc/4.0/" TargetMode="External"/><Relationship Id="rId7995" Type="http://schemas.openxmlformats.org/officeDocument/2006/relationships/hyperlink" Target="https://www.inaturalist.org/observations/255282339" TargetMode="External"/><Relationship Id="rId7996" Type="http://schemas.openxmlformats.org/officeDocument/2006/relationships/hyperlink" Target="https://www.inaturalist.org/people/isaacclarey" TargetMode="External"/><Relationship Id="rId7997" Type="http://schemas.openxmlformats.org/officeDocument/2006/relationships/hyperlink" Target="https://creativecommons.org/licenses/by-nc/4.0/" TargetMode="External"/><Relationship Id="rId7998" Type="http://schemas.openxmlformats.org/officeDocument/2006/relationships/hyperlink" Target="https://www.inaturalist.org/observations/255063250" TargetMode="External"/><Relationship Id="rId7999" Type="http://schemas.openxmlformats.org/officeDocument/2006/relationships/hyperlink" Target="https://www.inaturalist.org/people/donglerthrongler" TargetMode="External"/><Relationship Id="rId8000" Type="http://schemas.openxmlformats.org/officeDocument/2006/relationships/hyperlink" Target="https://creativecommons.org/licenses/by-nc/4.0/" TargetMode="External"/><Relationship Id="rId8001" Type="http://schemas.openxmlformats.org/officeDocument/2006/relationships/hyperlink" Target="https://www.inaturalist.org/observations/253142682" TargetMode="External"/><Relationship Id="rId8002" Type="http://schemas.openxmlformats.org/officeDocument/2006/relationships/hyperlink" Target="https://www.inaturalist.org/people/snakesrcool" TargetMode="External"/><Relationship Id="rId8003" Type="http://schemas.openxmlformats.org/officeDocument/2006/relationships/hyperlink" Target="https://creativecommons.org/licenses/by-nc/4.0/" TargetMode="External"/><Relationship Id="rId8004" Type="http://schemas.openxmlformats.org/officeDocument/2006/relationships/hyperlink" Target="https://www.inaturalist.org/observations/252561193" TargetMode="External"/><Relationship Id="rId8005" Type="http://schemas.openxmlformats.org/officeDocument/2006/relationships/hyperlink" Target="https://www.inaturalist.org/people/jarah" TargetMode="External"/><Relationship Id="rId8006" Type="http://schemas.openxmlformats.org/officeDocument/2006/relationships/hyperlink" Target="https://creativecommons.org/licenses/by-nc/4.0/" TargetMode="External"/><Relationship Id="rId8007" Type="http://schemas.openxmlformats.org/officeDocument/2006/relationships/hyperlink" Target="https://www.inaturalist.org/observations/251972845" TargetMode="External"/><Relationship Id="rId8008" Type="http://schemas.openxmlformats.org/officeDocument/2006/relationships/hyperlink" Target="https://www.inaturalist.org/people/mywildbackyard" TargetMode="External"/><Relationship Id="rId8009" Type="http://schemas.openxmlformats.org/officeDocument/2006/relationships/hyperlink" Target="https://creativecommons.org/licenses/by-nc/4.0/" TargetMode="External"/><Relationship Id="rId8010" Type="http://schemas.openxmlformats.org/officeDocument/2006/relationships/hyperlink" Target="https://www.inaturalist.org/observations/251377723" TargetMode="External"/><Relationship Id="rId8011" Type="http://schemas.openxmlformats.org/officeDocument/2006/relationships/hyperlink" Target="https://www.inaturalist.org/people/dartagnan1" TargetMode="External"/><Relationship Id="rId8012" Type="http://schemas.openxmlformats.org/officeDocument/2006/relationships/hyperlink" Target="https://creativecommons.org/licenses/by-nc/4.0/" TargetMode="External"/><Relationship Id="rId8013" Type="http://schemas.openxmlformats.org/officeDocument/2006/relationships/hyperlink" Target="https://www.inaturalist.org/observations/249942790" TargetMode="External"/><Relationship Id="rId8014" Type="http://schemas.openxmlformats.org/officeDocument/2006/relationships/hyperlink" Target="https://www.inaturalist.org/people/lezanimaux" TargetMode="External"/><Relationship Id="rId8015" Type="http://schemas.openxmlformats.org/officeDocument/2006/relationships/hyperlink" Target="https://creativecommons.org/licenses/by-nc/4.0/" TargetMode="External"/><Relationship Id="rId8016" Type="http://schemas.openxmlformats.org/officeDocument/2006/relationships/hyperlink" Target="https://www.inaturalist.org/observations/246767352" TargetMode="External"/><Relationship Id="rId8017" Type="http://schemas.openxmlformats.org/officeDocument/2006/relationships/hyperlink" Target="https://www.inaturalist.org/people/owenlishmund" TargetMode="External"/><Relationship Id="rId8018" Type="http://schemas.openxmlformats.org/officeDocument/2006/relationships/hyperlink" Target="https://creativecommons.org/licenses/by-nc/4.0/" TargetMode="External"/><Relationship Id="rId8019" Type="http://schemas.openxmlformats.org/officeDocument/2006/relationships/hyperlink" Target="https://www.inaturalist.org/observations/245698821" TargetMode="External"/><Relationship Id="rId8020" Type="http://schemas.openxmlformats.org/officeDocument/2006/relationships/hyperlink" Target="https://www.inaturalist.org/people/mia_hosken" TargetMode="External"/><Relationship Id="rId8021" Type="http://schemas.openxmlformats.org/officeDocument/2006/relationships/hyperlink" Target="https://creativecommons.org/licenses/by-nc/4.0/" TargetMode="External"/><Relationship Id="rId8022" Type="http://schemas.openxmlformats.org/officeDocument/2006/relationships/hyperlink" Target="https://www.inaturalist.org/observations/245679587" TargetMode="External"/><Relationship Id="rId8023" Type="http://schemas.openxmlformats.org/officeDocument/2006/relationships/hyperlink" Target="https://www.inaturalist.org/people/mia_hosken" TargetMode="External"/><Relationship Id="rId8024" Type="http://schemas.openxmlformats.org/officeDocument/2006/relationships/hyperlink" Target="https://creativecommons.org/licenses/by-nc/4.0/" TargetMode="External"/><Relationship Id="rId8025" Type="http://schemas.openxmlformats.org/officeDocument/2006/relationships/hyperlink" Target="https://www.inaturalist.org/observations/245679587" TargetMode="External"/><Relationship Id="rId8026" Type="http://schemas.openxmlformats.org/officeDocument/2006/relationships/hyperlink" Target="https://www.inaturalist.org/people/alburyw" TargetMode="External"/><Relationship Id="rId8027" Type="http://schemas.openxmlformats.org/officeDocument/2006/relationships/hyperlink" Target="https://creativecommons.org/licenses/by-nc/4.0/" TargetMode="External"/><Relationship Id="rId8028" Type="http://schemas.openxmlformats.org/officeDocument/2006/relationships/hyperlink" Target="https://www.inaturalist.org/observations/394631379" TargetMode="External"/><Relationship Id="rId8029" Type="http://schemas.openxmlformats.org/officeDocument/2006/relationships/hyperlink" Target="https://www.inaturalist.org/people/alburyw" TargetMode="External"/><Relationship Id="rId8030" Type="http://schemas.openxmlformats.org/officeDocument/2006/relationships/hyperlink" Target="https://creativecommons.org/licenses/by-nc/4.0/" TargetMode="External"/><Relationship Id="rId8031" Type="http://schemas.openxmlformats.org/officeDocument/2006/relationships/hyperlink" Target="https://www.inaturalist.org/observations/394631379" TargetMode="External"/><Relationship Id="rId8032" Type="http://schemas.openxmlformats.org/officeDocument/2006/relationships/hyperlink" Target="https://www.inaturalist.org/people/susannew7" TargetMode="External"/><Relationship Id="rId8033" Type="http://schemas.openxmlformats.org/officeDocument/2006/relationships/hyperlink" Target="https://creativecommons.org/licenses/by-nc/4.0/" TargetMode="External"/><Relationship Id="rId8034" Type="http://schemas.openxmlformats.org/officeDocument/2006/relationships/hyperlink" Target="https://www.inaturalist.org/observations/391716515" TargetMode="External"/><Relationship Id="rId8035" Type="http://schemas.openxmlformats.org/officeDocument/2006/relationships/hyperlink" Target="https://www.inaturalist.org/people/tracee01" TargetMode="External"/><Relationship Id="rId8036" Type="http://schemas.openxmlformats.org/officeDocument/2006/relationships/hyperlink" Target="https://creativecommons.org/licenses/by-nc/4.0/" TargetMode="External"/><Relationship Id="rId8037" Type="http://schemas.openxmlformats.org/officeDocument/2006/relationships/hyperlink" Target="https://www.inaturalist.org/observations/367350899" TargetMode="External"/><Relationship Id="rId8038" Type="http://schemas.openxmlformats.org/officeDocument/2006/relationships/hyperlink" Target="https://www.inaturalist.org/people/nat_is_a_lost" TargetMode="External"/><Relationship Id="rId8039" Type="http://schemas.openxmlformats.org/officeDocument/2006/relationships/hyperlink" Target="https://creativecommons.org/licenses/by-nc/4.0/" TargetMode="External"/><Relationship Id="rId8040" Type="http://schemas.openxmlformats.org/officeDocument/2006/relationships/hyperlink" Target="https://www.inaturalist.org/observations/366971983" TargetMode="External"/><Relationship Id="rId8041" Type="http://schemas.openxmlformats.org/officeDocument/2006/relationships/hyperlink" Target="https://www.inaturalist.org/people/nat_is_a_lost" TargetMode="External"/><Relationship Id="rId8042" Type="http://schemas.openxmlformats.org/officeDocument/2006/relationships/hyperlink" Target="https://creativecommons.org/licenses/by-nc/4.0/" TargetMode="External"/><Relationship Id="rId8043" Type="http://schemas.openxmlformats.org/officeDocument/2006/relationships/hyperlink" Target="https://www.inaturalist.org/observations/328840918" TargetMode="External"/><Relationship Id="rId8044" Type="http://schemas.openxmlformats.org/officeDocument/2006/relationships/hyperlink" Target="https://www.inaturalist.org/people/nat_is_a_lost" TargetMode="External"/><Relationship Id="rId8045" Type="http://schemas.openxmlformats.org/officeDocument/2006/relationships/hyperlink" Target="https://creativecommons.org/licenses/by-nc/4.0/" TargetMode="External"/><Relationship Id="rId8046" Type="http://schemas.openxmlformats.org/officeDocument/2006/relationships/hyperlink" Target="https://www.inaturalist.org/observations/307479318" TargetMode="External"/><Relationship Id="rId8047" Type="http://schemas.openxmlformats.org/officeDocument/2006/relationships/hyperlink" Target="https://www.inaturalist.org/people/alburyw" TargetMode="External"/><Relationship Id="rId8048" Type="http://schemas.openxmlformats.org/officeDocument/2006/relationships/hyperlink" Target="https://creativecommons.org/licenses/by-nc/4.0/" TargetMode="External"/><Relationship Id="rId8049" Type="http://schemas.openxmlformats.org/officeDocument/2006/relationships/hyperlink" Target="https://www.inaturalist.org/observations/307467214" TargetMode="External"/><Relationship Id="rId8050" Type="http://schemas.openxmlformats.org/officeDocument/2006/relationships/hyperlink" Target="https://www.inaturalist.org/people/alburyw" TargetMode="External"/><Relationship Id="rId8051" Type="http://schemas.openxmlformats.org/officeDocument/2006/relationships/hyperlink" Target="https://creativecommons.org/licenses/by-nc/4.0/" TargetMode="External"/><Relationship Id="rId8052" Type="http://schemas.openxmlformats.org/officeDocument/2006/relationships/hyperlink" Target="https://www.inaturalist.org/observations/307467214" TargetMode="External"/><Relationship Id="rId8053" Type="http://schemas.openxmlformats.org/officeDocument/2006/relationships/hyperlink" Target="https://www.inaturalist.org/people/fraserasquith" TargetMode="External"/><Relationship Id="rId8054" Type="http://schemas.openxmlformats.org/officeDocument/2006/relationships/hyperlink" Target="https://creativecommons.org/licenses/by-nc/4.0/" TargetMode="External"/><Relationship Id="rId8055" Type="http://schemas.openxmlformats.org/officeDocument/2006/relationships/hyperlink" Target="https://www.inaturalist.org/observations/271345761" TargetMode="External"/><Relationship Id="rId8056" Type="http://schemas.openxmlformats.org/officeDocument/2006/relationships/hyperlink" Target="https://www.inaturalist.org/people/indrabone" TargetMode="External"/><Relationship Id="rId8057" Type="http://schemas.openxmlformats.org/officeDocument/2006/relationships/hyperlink" Target="https://creativecommons.org/licenses/by-nc/4.0/" TargetMode="External"/><Relationship Id="rId8058" Type="http://schemas.openxmlformats.org/officeDocument/2006/relationships/hyperlink" Target="https://www.inaturalist.org/observations/269059652" TargetMode="External"/><Relationship Id="rId8059" Type="http://schemas.openxmlformats.org/officeDocument/2006/relationships/hyperlink" Target="https://www.inaturalist.org/people/braden1" TargetMode="External"/><Relationship Id="rId8060" Type="http://schemas.openxmlformats.org/officeDocument/2006/relationships/hyperlink" Target="https://creativecommons.org/licenses/by-nc/4.0/" TargetMode="External"/><Relationship Id="rId8061" Type="http://schemas.openxmlformats.org/officeDocument/2006/relationships/hyperlink" Target="https://www.inaturalist.org/observations/254049526" TargetMode="External"/><Relationship Id="rId8062" Type="http://schemas.openxmlformats.org/officeDocument/2006/relationships/hyperlink" Target="https://www.inaturalist.org/people/cesdamess" TargetMode="External"/><Relationship Id="rId8063" Type="http://schemas.openxmlformats.org/officeDocument/2006/relationships/hyperlink" Target="https://creativecommons.org/licenses/by-nc/4.0/" TargetMode="External"/><Relationship Id="rId8064" Type="http://schemas.openxmlformats.org/officeDocument/2006/relationships/hyperlink" Target="https://www.inaturalist.org/observations/237579026" TargetMode="External"/><Relationship Id="rId8065" Type="http://schemas.openxmlformats.org/officeDocument/2006/relationships/hyperlink" Target="https://www.inaturalist.org/people/brittgregory" TargetMode="External"/><Relationship Id="rId8066" Type="http://schemas.openxmlformats.org/officeDocument/2006/relationships/hyperlink" Target="https://creativecommons.org/licenses/by-nc/4.0/" TargetMode="External"/><Relationship Id="rId8067" Type="http://schemas.openxmlformats.org/officeDocument/2006/relationships/hyperlink" Target="https://www.inaturalist.org/observations/235839311" TargetMode="External"/><Relationship Id="rId8068" Type="http://schemas.openxmlformats.org/officeDocument/2006/relationships/hyperlink" Target="https://www.inaturalist.org/people/brittgregory" TargetMode="External"/><Relationship Id="rId8069" Type="http://schemas.openxmlformats.org/officeDocument/2006/relationships/hyperlink" Target="https://creativecommons.org/licenses/by-nc/4.0/" TargetMode="External"/><Relationship Id="rId8070" Type="http://schemas.openxmlformats.org/officeDocument/2006/relationships/hyperlink" Target="https://www.inaturalist.org/observations/235839311" TargetMode="External"/><Relationship Id="rId8071" Type="http://schemas.openxmlformats.org/officeDocument/2006/relationships/hyperlink" Target="https://www.inaturalist.org/people/nickvolpe" TargetMode="External"/><Relationship Id="rId8072" Type="http://schemas.openxmlformats.org/officeDocument/2006/relationships/hyperlink" Target="https://creativecommons.org/licenses/by-nc/4.0/" TargetMode="External"/><Relationship Id="rId8073" Type="http://schemas.openxmlformats.org/officeDocument/2006/relationships/hyperlink" Target="https://www.inaturalist.org/observations/191670423" TargetMode="External"/><Relationship Id="rId8074" Type="http://schemas.openxmlformats.org/officeDocument/2006/relationships/hyperlink" Target="https://www.inaturalist.org/people/ktucky" TargetMode="External"/><Relationship Id="rId8075" Type="http://schemas.openxmlformats.org/officeDocument/2006/relationships/hyperlink" Target="https://creativecommons.org/licenses/by-nc/4.0/" TargetMode="External"/><Relationship Id="rId8076" Type="http://schemas.openxmlformats.org/officeDocument/2006/relationships/hyperlink" Target="https://www.inaturalist.org/observations/191650728" TargetMode="External"/><Relationship Id="rId8077" Type="http://schemas.openxmlformats.org/officeDocument/2006/relationships/hyperlink" Target="https://www.inaturalist.org/people/johneichler" TargetMode="External"/><Relationship Id="rId8078" Type="http://schemas.openxmlformats.org/officeDocument/2006/relationships/hyperlink" Target="https://creativecommons.org/licenses/by-nc/4.0/" TargetMode="External"/><Relationship Id="rId8079" Type="http://schemas.openxmlformats.org/officeDocument/2006/relationships/hyperlink" Target="https://www.inaturalist.org/observations/190450921" TargetMode="External"/><Relationship Id="rId8080" Type="http://schemas.openxmlformats.org/officeDocument/2006/relationships/hyperlink" Target="https://www.inaturalist.org/people/dorcustitanus" TargetMode="External"/><Relationship Id="rId8081" Type="http://schemas.openxmlformats.org/officeDocument/2006/relationships/hyperlink" Target="https://creativecommons.org/licenses/by-nc/4.0/" TargetMode="External"/><Relationship Id="rId8082" Type="http://schemas.openxmlformats.org/officeDocument/2006/relationships/hyperlink" Target="https://www.inaturalist.org/observations/190041335" TargetMode="External"/><Relationship Id="rId8083" Type="http://schemas.openxmlformats.org/officeDocument/2006/relationships/hyperlink" Target="https://www.inaturalist.org/people/dorcustitanus" TargetMode="External"/><Relationship Id="rId8084" Type="http://schemas.openxmlformats.org/officeDocument/2006/relationships/hyperlink" Target="https://creativecommons.org/licenses/by-nc/4.0/" TargetMode="External"/><Relationship Id="rId8085" Type="http://schemas.openxmlformats.org/officeDocument/2006/relationships/hyperlink" Target="https://www.inaturalist.org/observations/144717588" TargetMode="External"/><Relationship Id="rId8086" Type="http://schemas.openxmlformats.org/officeDocument/2006/relationships/hyperlink" Target="https://www.inaturalist.org/people/sho_" TargetMode="External"/><Relationship Id="rId8087" Type="http://schemas.openxmlformats.org/officeDocument/2006/relationships/hyperlink" Target="https://creativecommons.org/licenses/by-nc/4.0/" TargetMode="External"/><Relationship Id="rId8088" Type="http://schemas.openxmlformats.org/officeDocument/2006/relationships/hyperlink" Target="https://www.inaturalist.org/observations/139290607" TargetMode="External"/><Relationship Id="rId8089" Type="http://schemas.openxmlformats.org/officeDocument/2006/relationships/hyperlink" Target="https://www.inaturalist.org/people/bio329" TargetMode="External"/><Relationship Id="rId8090" Type="http://schemas.openxmlformats.org/officeDocument/2006/relationships/hyperlink" Target="https://creativecommons.org/licenses/by-nc/4.0/" TargetMode="External"/><Relationship Id="rId8091" Type="http://schemas.openxmlformats.org/officeDocument/2006/relationships/hyperlink" Target="https://www.inaturalist.org/observations/124342483" TargetMode="External"/><Relationship Id="rId8092" Type="http://schemas.openxmlformats.org/officeDocument/2006/relationships/hyperlink" Target="https://www.inaturalist.org/people/bio329" TargetMode="External"/><Relationship Id="rId8093" Type="http://schemas.openxmlformats.org/officeDocument/2006/relationships/hyperlink" Target="https://creativecommons.org/licenses/by-nc/4.0/" TargetMode="External"/><Relationship Id="rId8094" Type="http://schemas.openxmlformats.org/officeDocument/2006/relationships/hyperlink" Target="https://www.inaturalist.org/observations/91202965" TargetMode="External"/><Relationship Id="rId8095" Type="http://schemas.openxmlformats.org/officeDocument/2006/relationships/hyperlink" Target="https://www.inaturalist.org/people/dancg" TargetMode="External"/><Relationship Id="rId8096" Type="http://schemas.openxmlformats.org/officeDocument/2006/relationships/hyperlink" Target="https://creativecommons.org/licenses/by-nc/4.0/" TargetMode="External"/><Relationship Id="rId8097" Type="http://schemas.openxmlformats.org/officeDocument/2006/relationships/hyperlink" Target="https://www.inaturalist.org/observations/75015253" TargetMode="External"/><Relationship Id="rId8098" Type="http://schemas.openxmlformats.org/officeDocument/2006/relationships/hyperlink" Target="https://www.inaturalist.org/people/owenlishmund" TargetMode="External"/><Relationship Id="rId8099" Type="http://schemas.openxmlformats.org/officeDocument/2006/relationships/hyperlink" Target="https://creativecommons.org/licenses/by-nc/4.0/" TargetMode="External"/><Relationship Id="rId8100" Type="http://schemas.openxmlformats.org/officeDocument/2006/relationships/hyperlink" Target="https://www.inaturalist.org/observations/46070718" TargetMode="External"/><Relationship Id="rId8101" Type="http://schemas.openxmlformats.org/officeDocument/2006/relationships/hyperlink" Target="https://www.inaturalist.org/people/wandiyali" TargetMode="External"/><Relationship Id="rId8102" Type="http://schemas.openxmlformats.org/officeDocument/2006/relationships/hyperlink" Target="https://creativecommons.org/licenses/by-nc/4.0/" TargetMode="External"/><Relationship Id="rId8103" Type="http://schemas.openxmlformats.org/officeDocument/2006/relationships/hyperlink" Target="https://www.inaturalist.org/observations/35876137" TargetMode="External"/><Relationship Id="rId8104" Type="http://schemas.openxmlformats.org/officeDocument/2006/relationships/hyperlink" Target="https://www.inaturalist.org/people/rossco" TargetMode="External"/><Relationship Id="rId8105" Type="http://schemas.openxmlformats.org/officeDocument/2006/relationships/hyperlink" Target="https://creativecommons.org/licenses/by-nc/4.0/" TargetMode="External"/><Relationship Id="rId8106" Type="http://schemas.openxmlformats.org/officeDocument/2006/relationships/hyperlink" Target="https://www.inaturalist.org/observations/19183038" TargetMode="External"/><Relationship Id="rId8107" Type="http://schemas.openxmlformats.org/officeDocument/2006/relationships/hyperlink" Target="https://www.inaturalist.org/people/wandiyali" TargetMode="External"/><Relationship Id="rId8108" Type="http://schemas.openxmlformats.org/officeDocument/2006/relationships/hyperlink" Target="https://creativecommons.org/licenses/by-nc/4.0/" TargetMode="External"/><Relationship Id="rId8109" Type="http://schemas.openxmlformats.org/officeDocument/2006/relationships/hyperlink" Target="https://www.inaturalist.org/observations/35875895" TargetMode="External"/><Relationship Id="rId8110" Type="http://schemas.openxmlformats.org/officeDocument/2006/relationships/hyperlink" Target="https://www.inaturalist.org/people/amvincent92" TargetMode="External"/><Relationship Id="rId8111" Type="http://schemas.openxmlformats.org/officeDocument/2006/relationships/hyperlink" Target="https://creativecommons.org/licenses/by-nc/4.0/" TargetMode="External"/><Relationship Id="rId8112" Type="http://schemas.openxmlformats.org/officeDocument/2006/relationships/hyperlink" Target="https://www.inaturalist.org/observations/18667522" TargetMode="External"/><Relationship Id="rId8113" Type="http://schemas.openxmlformats.org/officeDocument/2006/relationships/hyperlink" Target="https://www.inaturalist.org/people/kenty_8881" TargetMode="External"/><Relationship Id="rId8114" Type="http://schemas.openxmlformats.org/officeDocument/2006/relationships/hyperlink" Target="https://creativecommons.org/licenses/by-nc/4.0/" TargetMode="External"/><Relationship Id="rId8115" Type="http://schemas.openxmlformats.org/officeDocument/2006/relationships/hyperlink" Target="https://www.inaturalist.org/observations/395471806" TargetMode="External"/><Relationship Id="rId8116" Type="http://schemas.openxmlformats.org/officeDocument/2006/relationships/hyperlink" Target="https://www.inaturalist.org/people/axeholmes" TargetMode="External"/><Relationship Id="rId8117" Type="http://schemas.openxmlformats.org/officeDocument/2006/relationships/hyperlink" Target="https://creativecommons.org/licenses/by-nc/4.0/" TargetMode="External"/><Relationship Id="rId8118" Type="http://schemas.openxmlformats.org/officeDocument/2006/relationships/hyperlink" Target="https://www.inaturalist.org/observations/361970649" TargetMode="External"/><Relationship Id="rId8119" Type="http://schemas.openxmlformats.org/officeDocument/2006/relationships/hyperlink" Target="https://www.inaturalist.org/people/johnlread" TargetMode="External"/><Relationship Id="rId8120" Type="http://schemas.openxmlformats.org/officeDocument/2006/relationships/hyperlink" Target="https://creativecommons.org/licenses/by-nc/4.0/" TargetMode="External"/><Relationship Id="rId8121" Type="http://schemas.openxmlformats.org/officeDocument/2006/relationships/hyperlink" Target="https://www.inaturalist.org/observations/334193889" TargetMode="External"/><Relationship Id="rId8122" Type="http://schemas.openxmlformats.org/officeDocument/2006/relationships/hyperlink" Target="https://www.inaturalist.org/people/johnlread" TargetMode="External"/><Relationship Id="rId8123" Type="http://schemas.openxmlformats.org/officeDocument/2006/relationships/hyperlink" Target="https://creativecommons.org/licenses/by-nc/4.0/" TargetMode="External"/><Relationship Id="rId8124" Type="http://schemas.openxmlformats.org/officeDocument/2006/relationships/hyperlink" Target="https://www.inaturalist.org/observations/334193889" TargetMode="External"/><Relationship Id="rId8125" Type="http://schemas.openxmlformats.org/officeDocument/2006/relationships/hyperlink" Target="https://www.inaturalist.org/people/leah_donnelly" TargetMode="External"/><Relationship Id="rId8126" Type="http://schemas.openxmlformats.org/officeDocument/2006/relationships/hyperlink" Target="https://creativecommons.org/licenses/by-nc/4.0/" TargetMode="External"/><Relationship Id="rId8127" Type="http://schemas.openxmlformats.org/officeDocument/2006/relationships/hyperlink" Target="https://www.inaturalist.org/observations/320030541" TargetMode="External"/><Relationship Id="rId8128" Type="http://schemas.openxmlformats.org/officeDocument/2006/relationships/hyperlink" Target="https://www.inaturalist.org/people/they_ctenot_like_us" TargetMode="External"/><Relationship Id="rId8129" Type="http://schemas.openxmlformats.org/officeDocument/2006/relationships/hyperlink" Target="https://creativecommons.org/licenses/by-nc/4.0/" TargetMode="External"/><Relationship Id="rId8130" Type="http://schemas.openxmlformats.org/officeDocument/2006/relationships/hyperlink" Target="https://www.inaturalist.org/observations/314058463" TargetMode="External"/><Relationship Id="rId8131" Type="http://schemas.openxmlformats.org/officeDocument/2006/relationships/hyperlink" Target="https://www.inaturalist.org/people/charliesonn" TargetMode="External"/><Relationship Id="rId8132" Type="http://schemas.openxmlformats.org/officeDocument/2006/relationships/hyperlink" Target="https://creativecommons.org/licenses/by-nc/4.0/" TargetMode="External"/><Relationship Id="rId8133" Type="http://schemas.openxmlformats.org/officeDocument/2006/relationships/hyperlink" Target="https://www.inaturalist.org/observations/278392932" TargetMode="External"/><Relationship Id="rId8134" Type="http://schemas.openxmlformats.org/officeDocument/2006/relationships/hyperlink" Target="https://www.inaturalist.org/people/nickvolpe" TargetMode="External"/><Relationship Id="rId8135" Type="http://schemas.openxmlformats.org/officeDocument/2006/relationships/hyperlink" Target="https://creativecommons.org/licenses/by-nc/4.0/" TargetMode="External"/><Relationship Id="rId8136" Type="http://schemas.openxmlformats.org/officeDocument/2006/relationships/hyperlink" Target="https://www.inaturalist.org/observations/191670422" TargetMode="External"/><Relationship Id="rId8137" Type="http://schemas.openxmlformats.org/officeDocument/2006/relationships/hyperlink" Target="https://www.inaturalist.org/people/kstenman" TargetMode="External"/><Relationship Id="rId8138" Type="http://schemas.openxmlformats.org/officeDocument/2006/relationships/hyperlink" Target="https://creativecommons.org/licenses/by-nc/4.0/" TargetMode="External"/><Relationship Id="rId8139" Type="http://schemas.openxmlformats.org/officeDocument/2006/relationships/hyperlink" Target="https://www.inaturalist.org/observations/185789792" TargetMode="External"/><Relationship Id="rId8140" Type="http://schemas.openxmlformats.org/officeDocument/2006/relationships/hyperlink" Target="https://www.inaturalist.org/people/kstenman" TargetMode="External"/><Relationship Id="rId8141" Type="http://schemas.openxmlformats.org/officeDocument/2006/relationships/hyperlink" Target="https://creativecommons.org/licenses/by-nc/4.0/" TargetMode="External"/><Relationship Id="rId8142" Type="http://schemas.openxmlformats.org/officeDocument/2006/relationships/hyperlink" Target="https://www.inaturalist.org/observations/185789792" TargetMode="External"/><Relationship Id="rId8143" Type="http://schemas.openxmlformats.org/officeDocument/2006/relationships/hyperlink" Target="https://www.inaturalist.org/people/owenlishmund" TargetMode="External"/><Relationship Id="rId8144" Type="http://schemas.openxmlformats.org/officeDocument/2006/relationships/hyperlink" Target="https://creativecommons.org/licenses/by-nc/4.0/" TargetMode="External"/><Relationship Id="rId8145" Type="http://schemas.openxmlformats.org/officeDocument/2006/relationships/hyperlink" Target="https://www.inaturalist.org/observations/183446782" TargetMode="External"/><Relationship Id="rId8146" Type="http://schemas.openxmlformats.org/officeDocument/2006/relationships/hyperlink" Target="https://www.inaturalist.org/people/aidan_jk" TargetMode="External"/><Relationship Id="rId8147" Type="http://schemas.openxmlformats.org/officeDocument/2006/relationships/hyperlink" Target="https://creativecommons.org/licenses/by-nc/4.0/" TargetMode="External"/><Relationship Id="rId8148" Type="http://schemas.openxmlformats.org/officeDocument/2006/relationships/hyperlink" Target="https://www.inaturalist.org/observations/111495418" TargetMode="External"/><Relationship Id="rId8149" Type="http://schemas.openxmlformats.org/officeDocument/2006/relationships/hyperlink" Target="https://www.inaturalist.org/people/aidan_jk" TargetMode="External"/><Relationship Id="rId8150" Type="http://schemas.openxmlformats.org/officeDocument/2006/relationships/hyperlink" Target="https://creativecommons.org/licenses/by-nc/4.0/" TargetMode="External"/><Relationship Id="rId8151" Type="http://schemas.openxmlformats.org/officeDocument/2006/relationships/hyperlink" Target="https://www.inaturalist.org/observations/52119673" TargetMode="External"/><Relationship Id="rId8152" Type="http://schemas.openxmlformats.org/officeDocument/2006/relationships/hyperlink" Target="https://www.inaturalist.org/people/dudz" TargetMode="External"/><Relationship Id="rId8153" Type="http://schemas.openxmlformats.org/officeDocument/2006/relationships/hyperlink" Target="https://creativecommons.org/licenses/by-nc/4.0/" TargetMode="External"/><Relationship Id="rId8154" Type="http://schemas.openxmlformats.org/officeDocument/2006/relationships/hyperlink" Target="https://www.inaturalist.org/observations/41878368" TargetMode="External"/><Relationship Id="rId8155" Type="http://schemas.openxmlformats.org/officeDocument/2006/relationships/hyperlink" Target="https://www.inaturalist.org/people/olli_hallam" TargetMode="External"/><Relationship Id="rId8156" Type="http://schemas.openxmlformats.org/officeDocument/2006/relationships/hyperlink" Target="https://creativecommons.org/licenses/by-nc/4.0/" TargetMode="External"/><Relationship Id="rId8157" Type="http://schemas.openxmlformats.org/officeDocument/2006/relationships/hyperlink" Target="https://www.inaturalist.org/observations/351636612" TargetMode="External"/><Relationship Id="rId8158" Type="http://schemas.openxmlformats.org/officeDocument/2006/relationships/hyperlink" Target="https://www.inaturalist.org/people/siennahow" TargetMode="External"/><Relationship Id="rId8159" Type="http://schemas.openxmlformats.org/officeDocument/2006/relationships/hyperlink" Target="https://creativecommons.org/licenses/by-nc/4.0/" TargetMode="External"/><Relationship Id="rId8160" Type="http://schemas.openxmlformats.org/officeDocument/2006/relationships/hyperlink" Target="https://www.inaturalist.org/observations/351635693" TargetMode="External"/><Relationship Id="rId8161" Type="http://schemas.openxmlformats.org/officeDocument/2006/relationships/hyperlink" Target="https://www.inaturalist.org/people/tc01" TargetMode="External"/><Relationship Id="rId8162" Type="http://schemas.openxmlformats.org/officeDocument/2006/relationships/hyperlink" Target="https://creativecommons.org/licenses/by-nc/4.0/" TargetMode="External"/><Relationship Id="rId8163" Type="http://schemas.openxmlformats.org/officeDocument/2006/relationships/hyperlink" Target="https://www.inaturalist.org/observations/330205869" TargetMode="External"/><Relationship Id="rId8164" Type="http://schemas.openxmlformats.org/officeDocument/2006/relationships/hyperlink" Target="https://www.inaturalist.org/people/dsortino" TargetMode="External"/><Relationship Id="rId8165" Type="http://schemas.openxmlformats.org/officeDocument/2006/relationships/hyperlink" Target="https://creativecommons.org/licenses/by-nc/4.0/" TargetMode="External"/><Relationship Id="rId8166" Type="http://schemas.openxmlformats.org/officeDocument/2006/relationships/hyperlink" Target="https://www.inaturalist.org/observations/329538018" TargetMode="External"/><Relationship Id="rId8167" Type="http://schemas.openxmlformats.org/officeDocument/2006/relationships/hyperlink" Target="https://www.inaturalist.org/people/hudsonbrowne" TargetMode="External"/><Relationship Id="rId8168" Type="http://schemas.openxmlformats.org/officeDocument/2006/relationships/hyperlink" Target="https://creativecommons.org/licenses/by-nc/4.0/" TargetMode="External"/><Relationship Id="rId8169" Type="http://schemas.openxmlformats.org/officeDocument/2006/relationships/hyperlink" Target="https://www.inaturalist.org/observations/327214938" TargetMode="External"/><Relationship Id="rId8170" Type="http://schemas.openxmlformats.org/officeDocument/2006/relationships/hyperlink" Target="https://www.inaturalist.org/people/hudsonbrowne" TargetMode="External"/><Relationship Id="rId8171" Type="http://schemas.openxmlformats.org/officeDocument/2006/relationships/hyperlink" Target="https://creativecommons.org/licenses/by-nc/4.0/" TargetMode="External"/><Relationship Id="rId8172" Type="http://schemas.openxmlformats.org/officeDocument/2006/relationships/hyperlink" Target="https://www.inaturalist.org/observations/327214906" TargetMode="External"/><Relationship Id="rId8173" Type="http://schemas.openxmlformats.org/officeDocument/2006/relationships/hyperlink" Target="https://www.inaturalist.org/people/jvanweenen" TargetMode="External"/><Relationship Id="rId8174" Type="http://schemas.openxmlformats.org/officeDocument/2006/relationships/hyperlink" Target="https://creativecommons.org/licenses/by-nc/4.0/" TargetMode="External"/><Relationship Id="rId8175" Type="http://schemas.openxmlformats.org/officeDocument/2006/relationships/hyperlink" Target="https://www.inaturalist.org/observations/320046246" TargetMode="External"/><Relationship Id="rId8176" Type="http://schemas.openxmlformats.org/officeDocument/2006/relationships/hyperlink" Target="https://www.inaturalist.org/people/hudsonbrowne" TargetMode="External"/><Relationship Id="rId8177" Type="http://schemas.openxmlformats.org/officeDocument/2006/relationships/hyperlink" Target="https://creativecommons.org/licenses/by-nc/4.0/" TargetMode="External"/><Relationship Id="rId8178" Type="http://schemas.openxmlformats.org/officeDocument/2006/relationships/hyperlink" Target="https://www.inaturalist.org/observations/316839348" TargetMode="External"/><Relationship Id="rId8179" Type="http://schemas.openxmlformats.org/officeDocument/2006/relationships/hyperlink" Target="https://www.inaturalist.org/people/lynchj" TargetMode="External"/><Relationship Id="rId8180" Type="http://schemas.openxmlformats.org/officeDocument/2006/relationships/hyperlink" Target="https://creativecommons.org/licenses/by-nc/4.0/" TargetMode="External"/><Relationship Id="rId8181" Type="http://schemas.openxmlformats.org/officeDocument/2006/relationships/hyperlink" Target="https://www.inaturalist.org/observations/315394389" TargetMode="External"/><Relationship Id="rId8182" Type="http://schemas.openxmlformats.org/officeDocument/2006/relationships/hyperlink" Target="https://www.inaturalist.org/people/petebird" TargetMode="External"/><Relationship Id="rId8183" Type="http://schemas.openxmlformats.org/officeDocument/2006/relationships/hyperlink" Target="https://creativecommons.org/licenses/by-nc/4.0/" TargetMode="External"/><Relationship Id="rId8184" Type="http://schemas.openxmlformats.org/officeDocument/2006/relationships/hyperlink" Target="https://www.inaturalist.org/observations/314231744" TargetMode="External"/><Relationship Id="rId8185" Type="http://schemas.openxmlformats.org/officeDocument/2006/relationships/hyperlink" Target="https://www.inaturalist.org/people/darcywhittaker" TargetMode="External"/><Relationship Id="rId8186" Type="http://schemas.openxmlformats.org/officeDocument/2006/relationships/hyperlink" Target="https://creativecommons.org/licenses/by-nc/4.0/" TargetMode="External"/><Relationship Id="rId8187" Type="http://schemas.openxmlformats.org/officeDocument/2006/relationships/hyperlink" Target="https://www.inaturalist.org/observations/314474592" TargetMode="External"/><Relationship Id="rId8188" Type="http://schemas.openxmlformats.org/officeDocument/2006/relationships/hyperlink" Target="https://www.inaturalist.org/people/darcywhittaker" TargetMode="External"/><Relationship Id="rId8189" Type="http://schemas.openxmlformats.org/officeDocument/2006/relationships/hyperlink" Target="https://creativecommons.org/licenses/by-nc/4.0/" TargetMode="External"/><Relationship Id="rId8190" Type="http://schemas.openxmlformats.org/officeDocument/2006/relationships/hyperlink" Target="https://www.inaturalist.org/observations/314486494" TargetMode="External"/><Relationship Id="rId8191" Type="http://schemas.openxmlformats.org/officeDocument/2006/relationships/hyperlink" Target="https://www.inaturalist.org/people/emersoncastle" TargetMode="External"/><Relationship Id="rId8192" Type="http://schemas.openxmlformats.org/officeDocument/2006/relationships/hyperlink" Target="https://creativecommons.org/licenses/by-nc/4.0/" TargetMode="External"/><Relationship Id="rId8193" Type="http://schemas.openxmlformats.org/officeDocument/2006/relationships/hyperlink" Target="https://www.inaturalist.org/observations/313827470" TargetMode="External"/><Relationship Id="rId8194" Type="http://schemas.openxmlformats.org/officeDocument/2006/relationships/hyperlink" Target="https://www.inaturalist.org/people/bugbirder" TargetMode="External"/><Relationship Id="rId8195" Type="http://schemas.openxmlformats.org/officeDocument/2006/relationships/hyperlink" Target="https://creativecommons.org/licenses/by-nc/4.0/" TargetMode="External"/><Relationship Id="rId8196" Type="http://schemas.openxmlformats.org/officeDocument/2006/relationships/hyperlink" Target="https://www.inaturalist.org/observations/308582596" TargetMode="External"/><Relationship Id="rId8197" Type="http://schemas.openxmlformats.org/officeDocument/2006/relationships/hyperlink" Target="https://www.inaturalist.org/people/bugbirder" TargetMode="External"/><Relationship Id="rId8198" Type="http://schemas.openxmlformats.org/officeDocument/2006/relationships/hyperlink" Target="https://creativecommons.org/licenses/by-nc/4.0/" TargetMode="External"/><Relationship Id="rId8199" Type="http://schemas.openxmlformats.org/officeDocument/2006/relationships/hyperlink" Target="https://www.inaturalist.org/observations/308581227" TargetMode="External"/><Relationship Id="rId8200" Type="http://schemas.openxmlformats.org/officeDocument/2006/relationships/hyperlink" Target="https://www.inaturalist.org/people/chuditch" TargetMode="External"/><Relationship Id="rId8201" Type="http://schemas.openxmlformats.org/officeDocument/2006/relationships/hyperlink" Target="https://creativecommons.org/licenses/by-nc/4.0/" TargetMode="External"/><Relationship Id="rId8202" Type="http://schemas.openxmlformats.org/officeDocument/2006/relationships/hyperlink" Target="https://www.inaturalist.org/observations/308136791" TargetMode="External"/><Relationship Id="rId8203" Type="http://schemas.openxmlformats.org/officeDocument/2006/relationships/hyperlink" Target="https://www.inaturalist.org/people/chuditch" TargetMode="External"/><Relationship Id="rId8204" Type="http://schemas.openxmlformats.org/officeDocument/2006/relationships/hyperlink" Target="https://creativecommons.org/licenses/by-nc/4.0/" TargetMode="External"/><Relationship Id="rId8205" Type="http://schemas.openxmlformats.org/officeDocument/2006/relationships/hyperlink" Target="https://www.inaturalist.org/observations/308136712" TargetMode="External"/><Relationship Id="rId8206" Type="http://schemas.openxmlformats.org/officeDocument/2006/relationships/hyperlink" Target="https://www.inaturalist.org/people/chuditch" TargetMode="External"/><Relationship Id="rId8207" Type="http://schemas.openxmlformats.org/officeDocument/2006/relationships/hyperlink" Target="https://creativecommons.org/licenses/by-nc/4.0/" TargetMode="External"/><Relationship Id="rId8208" Type="http://schemas.openxmlformats.org/officeDocument/2006/relationships/hyperlink" Target="https://www.inaturalist.org/observations/249849723" TargetMode="External"/><Relationship Id="rId8209" Type="http://schemas.openxmlformats.org/officeDocument/2006/relationships/hyperlink" Target="https://www.inaturalist.org/people/chuditch" TargetMode="External"/><Relationship Id="rId8210" Type="http://schemas.openxmlformats.org/officeDocument/2006/relationships/hyperlink" Target="https://creativecommons.org/licenses/by-nc/4.0/" TargetMode="External"/><Relationship Id="rId8211" Type="http://schemas.openxmlformats.org/officeDocument/2006/relationships/hyperlink" Target="https://www.inaturalist.org/observations/249849722" TargetMode="External"/><Relationship Id="rId8212" Type="http://schemas.openxmlformats.org/officeDocument/2006/relationships/hyperlink" Target="https://www.inaturalist.org/people/chuditch" TargetMode="External"/><Relationship Id="rId8213" Type="http://schemas.openxmlformats.org/officeDocument/2006/relationships/hyperlink" Target="https://creativecommons.org/licenses/by-nc/4.0/" TargetMode="External"/><Relationship Id="rId8214" Type="http://schemas.openxmlformats.org/officeDocument/2006/relationships/hyperlink" Target="https://www.inaturalist.org/observations/249847977" TargetMode="External"/><Relationship Id="rId8215" Type="http://schemas.openxmlformats.org/officeDocument/2006/relationships/hyperlink" Target="https://www.inaturalist.org/people/chuditch" TargetMode="External"/><Relationship Id="rId8216" Type="http://schemas.openxmlformats.org/officeDocument/2006/relationships/hyperlink" Target="https://creativecommons.org/licenses/by-nc/4.0/" TargetMode="External"/><Relationship Id="rId8217" Type="http://schemas.openxmlformats.org/officeDocument/2006/relationships/hyperlink" Target="https://www.inaturalist.org/observations/249847945" TargetMode="External"/><Relationship Id="rId8218" Type="http://schemas.openxmlformats.org/officeDocument/2006/relationships/hyperlink" Target="https://www.inaturalist.org/people/chuditch" TargetMode="External"/><Relationship Id="rId8219" Type="http://schemas.openxmlformats.org/officeDocument/2006/relationships/hyperlink" Target="https://creativecommons.org/licenses/by-nc/4.0/" TargetMode="External"/><Relationship Id="rId8220" Type="http://schemas.openxmlformats.org/officeDocument/2006/relationships/hyperlink" Target="https://www.inaturalist.org/observations/249846754" TargetMode="External"/><Relationship Id="rId8221" Type="http://schemas.openxmlformats.org/officeDocument/2006/relationships/hyperlink" Target="https://www.inaturalist.org/people/grahamarmstrong" TargetMode="External"/><Relationship Id="rId8222" Type="http://schemas.openxmlformats.org/officeDocument/2006/relationships/hyperlink" Target="https://creativecommons.org/licenses/by-nc/4.0/" TargetMode="External"/><Relationship Id="rId8223" Type="http://schemas.openxmlformats.org/officeDocument/2006/relationships/hyperlink" Target="https://www.inaturalist.org/observations/243525124" TargetMode="External"/><Relationship Id="rId8224" Type="http://schemas.openxmlformats.org/officeDocument/2006/relationships/hyperlink" Target="https://www.inaturalist.org/people/harrisonhards8" TargetMode="External"/><Relationship Id="rId8225" Type="http://schemas.openxmlformats.org/officeDocument/2006/relationships/hyperlink" Target="https://creativecommons.org/licenses/by-nc/4.0/" TargetMode="External"/><Relationship Id="rId8226" Type="http://schemas.openxmlformats.org/officeDocument/2006/relationships/hyperlink" Target="https://www.inaturalist.org/observations/243037156" TargetMode="External"/><Relationship Id="rId8227" Type="http://schemas.openxmlformats.org/officeDocument/2006/relationships/hyperlink" Target="https://www.inaturalist.org/people/harrisonhards8" TargetMode="External"/><Relationship Id="rId8228" Type="http://schemas.openxmlformats.org/officeDocument/2006/relationships/hyperlink" Target="https://creativecommons.org/licenses/by-nc/4.0/" TargetMode="External"/><Relationship Id="rId8229" Type="http://schemas.openxmlformats.org/officeDocument/2006/relationships/hyperlink" Target="https://www.inaturalist.org/observations/243037060" TargetMode="External"/><Relationship Id="rId8230" Type="http://schemas.openxmlformats.org/officeDocument/2006/relationships/hyperlink" Target="https://www.inaturalist.org/people/harrisonhards8" TargetMode="External"/><Relationship Id="rId8231" Type="http://schemas.openxmlformats.org/officeDocument/2006/relationships/hyperlink" Target="https://creativecommons.org/licenses/by-nc/4.0/" TargetMode="External"/><Relationship Id="rId8232" Type="http://schemas.openxmlformats.org/officeDocument/2006/relationships/hyperlink" Target="https://www.inaturalist.org/observations/243036925" TargetMode="External"/><Relationship Id="rId8233" Type="http://schemas.openxmlformats.org/officeDocument/2006/relationships/hyperlink" Target="https://www.inaturalist.org/people/sebas00" TargetMode="External"/><Relationship Id="rId8234" Type="http://schemas.openxmlformats.org/officeDocument/2006/relationships/hyperlink" Target="https://creativecommons.org/licenses/by-nc/4.0/" TargetMode="External"/><Relationship Id="rId8235" Type="http://schemas.openxmlformats.org/officeDocument/2006/relationships/hyperlink" Target="https://www.inaturalist.org/observations/397341160" TargetMode="External"/><Relationship Id="rId8236" Type="http://schemas.openxmlformats.org/officeDocument/2006/relationships/hyperlink" Target="https://www.inaturalist.org/people/hanslambers" TargetMode="External"/><Relationship Id="rId8237" Type="http://schemas.openxmlformats.org/officeDocument/2006/relationships/hyperlink" Target="https://creativecommons.org/licenses/by-nc/4.0/" TargetMode="External"/><Relationship Id="rId8238" Type="http://schemas.openxmlformats.org/officeDocument/2006/relationships/hyperlink" Target="https://www.inaturalist.org/observations/400306448" TargetMode="External"/><Relationship Id="rId8239" Type="http://schemas.openxmlformats.org/officeDocument/2006/relationships/hyperlink" Target="https://www.inaturalist.org/people/keenasfish" TargetMode="External"/><Relationship Id="rId8240" Type="http://schemas.openxmlformats.org/officeDocument/2006/relationships/hyperlink" Target="https://creativecommons.org/licenses/by-nc/4.0/" TargetMode="External"/><Relationship Id="rId8241" Type="http://schemas.openxmlformats.org/officeDocument/2006/relationships/hyperlink" Target="https://www.inaturalist.org/observations/399817365" TargetMode="External"/><Relationship Id="rId8242" Type="http://schemas.openxmlformats.org/officeDocument/2006/relationships/hyperlink" Target="https://www.inaturalist.org/people/npk" TargetMode="External"/><Relationship Id="rId8243" Type="http://schemas.openxmlformats.org/officeDocument/2006/relationships/hyperlink" Target="https://creativecommons.org/licenses/by-nc/4.0/" TargetMode="External"/><Relationship Id="rId8244" Type="http://schemas.openxmlformats.org/officeDocument/2006/relationships/hyperlink" Target="https://www.inaturalist.org/observations/399776129" TargetMode="External"/><Relationship Id="rId8245" Type="http://schemas.openxmlformats.org/officeDocument/2006/relationships/hyperlink" Target="https://www.inaturalist.org/people/beachcomber23" TargetMode="External"/><Relationship Id="rId8246" Type="http://schemas.openxmlformats.org/officeDocument/2006/relationships/hyperlink" Target="https://creativecommons.org/licenses/by-nc/4.0/" TargetMode="External"/><Relationship Id="rId8247" Type="http://schemas.openxmlformats.org/officeDocument/2006/relationships/hyperlink" Target="https://www.inaturalist.org/observations/398640536" TargetMode="External"/><Relationship Id="rId8248" Type="http://schemas.openxmlformats.org/officeDocument/2006/relationships/hyperlink" Target="https://www.inaturalist.org/people/nswparkranger" TargetMode="External"/><Relationship Id="rId8249" Type="http://schemas.openxmlformats.org/officeDocument/2006/relationships/hyperlink" Target="https://creativecommons.org/licenses/by-nc/4.0/" TargetMode="External"/><Relationship Id="rId8250" Type="http://schemas.openxmlformats.org/officeDocument/2006/relationships/hyperlink" Target="https://www.inaturalist.org/observations/398350148" TargetMode="External"/><Relationship Id="rId8251" Type="http://schemas.openxmlformats.org/officeDocument/2006/relationships/hyperlink" Target="https://www.inaturalist.org/people/matt_hue_man" TargetMode="External"/><Relationship Id="rId8252" Type="http://schemas.openxmlformats.org/officeDocument/2006/relationships/hyperlink" Target="https://creativecommons.org/licenses/by-nc/4.0/" TargetMode="External"/><Relationship Id="rId8253" Type="http://schemas.openxmlformats.org/officeDocument/2006/relationships/hyperlink" Target="https://www.inaturalist.org/observations/398209921" TargetMode="External"/><Relationship Id="rId8254" Type="http://schemas.openxmlformats.org/officeDocument/2006/relationships/hyperlink" Target="https://www.inaturalist.org/people/lachlan_c" TargetMode="External"/><Relationship Id="rId8255" Type="http://schemas.openxmlformats.org/officeDocument/2006/relationships/hyperlink" Target="https://creativecommons.org/licenses/by-nc/4.0/" TargetMode="External"/><Relationship Id="rId8256" Type="http://schemas.openxmlformats.org/officeDocument/2006/relationships/hyperlink" Target="https://www.inaturalist.org/observations/397731947" TargetMode="External"/><Relationship Id="rId8257" Type="http://schemas.openxmlformats.org/officeDocument/2006/relationships/hyperlink" Target="https://www.inaturalist.org/people/zebsphotography" TargetMode="External"/><Relationship Id="rId8258" Type="http://schemas.openxmlformats.org/officeDocument/2006/relationships/hyperlink" Target="https://creativecommons.org/licenses/by-nc/4.0/" TargetMode="External"/><Relationship Id="rId8259" Type="http://schemas.openxmlformats.org/officeDocument/2006/relationships/hyperlink" Target="https://www.inaturalist.org/observations/394563340" TargetMode="External"/><Relationship Id="rId8260" Type="http://schemas.openxmlformats.org/officeDocument/2006/relationships/hyperlink" Target="https://www.inaturalist.org/people/creatmatt" TargetMode="External"/><Relationship Id="rId8261" Type="http://schemas.openxmlformats.org/officeDocument/2006/relationships/hyperlink" Target="https://creativecommons.org/licenses/by-nc/4.0/" TargetMode="External"/><Relationship Id="rId8262" Type="http://schemas.openxmlformats.org/officeDocument/2006/relationships/hyperlink" Target="https://www.inaturalist.org/observations/394289320" TargetMode="External"/><Relationship Id="rId8263" Type="http://schemas.openxmlformats.org/officeDocument/2006/relationships/hyperlink" Target="https://www.inaturalist.org/people/leoniec1965" TargetMode="External"/><Relationship Id="rId8264" Type="http://schemas.openxmlformats.org/officeDocument/2006/relationships/hyperlink" Target="https://creativecommons.org/licenses/by-nc/4.0/" TargetMode="External"/><Relationship Id="rId8265" Type="http://schemas.openxmlformats.org/officeDocument/2006/relationships/hyperlink" Target="https://www.inaturalist.org/observations/393445763" TargetMode="External"/><Relationship Id="rId8266" Type="http://schemas.openxmlformats.org/officeDocument/2006/relationships/hyperlink" Target="https://www.inaturalist.org/people/jolanalan" TargetMode="External"/><Relationship Id="rId8267" Type="http://schemas.openxmlformats.org/officeDocument/2006/relationships/hyperlink" Target="https://creativecommons.org/licenses/by-nc/4.0/" TargetMode="External"/><Relationship Id="rId8268" Type="http://schemas.openxmlformats.org/officeDocument/2006/relationships/hyperlink" Target="https://www.inaturalist.org/observations/393389400" TargetMode="External"/><Relationship Id="rId8269" Type="http://schemas.openxmlformats.org/officeDocument/2006/relationships/hyperlink" Target="https://www.inaturalist.org/people/liezlbez" TargetMode="External"/><Relationship Id="rId8270" Type="http://schemas.openxmlformats.org/officeDocument/2006/relationships/hyperlink" Target="https://creativecommons.org/licenses/by-nc/4.0/" TargetMode="External"/><Relationship Id="rId8271" Type="http://schemas.openxmlformats.org/officeDocument/2006/relationships/hyperlink" Target="https://www.inaturalist.org/observations/393160338" TargetMode="External"/><Relationship Id="rId8272" Type="http://schemas.openxmlformats.org/officeDocument/2006/relationships/hyperlink" Target="https://www.inaturalist.org/people/esspeeess" TargetMode="External"/><Relationship Id="rId8273" Type="http://schemas.openxmlformats.org/officeDocument/2006/relationships/hyperlink" Target="https://creativecommons.org/licenses/by-nc/4.0/" TargetMode="External"/><Relationship Id="rId8274" Type="http://schemas.openxmlformats.org/officeDocument/2006/relationships/hyperlink" Target="https://www.inaturalist.org/observations/393137616" TargetMode="External"/><Relationship Id="rId8275" Type="http://schemas.openxmlformats.org/officeDocument/2006/relationships/hyperlink" Target="https://www.inaturalist.org/people/adam_cross03" TargetMode="External"/><Relationship Id="rId8276" Type="http://schemas.openxmlformats.org/officeDocument/2006/relationships/hyperlink" Target="https://creativecommons.org/licenses/by-nc/4.0/" TargetMode="External"/><Relationship Id="rId8277" Type="http://schemas.openxmlformats.org/officeDocument/2006/relationships/hyperlink" Target="https://www.inaturalist.org/observations/392554555" TargetMode="External"/><Relationship Id="rId8278" Type="http://schemas.openxmlformats.org/officeDocument/2006/relationships/hyperlink" Target="https://www.inaturalist.org/people/levibrownwild" TargetMode="External"/><Relationship Id="rId8279" Type="http://schemas.openxmlformats.org/officeDocument/2006/relationships/hyperlink" Target="https://creativecommons.org/licenses/by-nc/4.0/" TargetMode="External"/><Relationship Id="rId8280" Type="http://schemas.openxmlformats.org/officeDocument/2006/relationships/hyperlink" Target="https://www.inaturalist.org/observations/389658335" TargetMode="External"/><Relationship Id="rId8281" Type="http://schemas.openxmlformats.org/officeDocument/2006/relationships/hyperlink" Target="https://www.inaturalist.org/people/benwx" TargetMode="External"/><Relationship Id="rId8282" Type="http://schemas.openxmlformats.org/officeDocument/2006/relationships/hyperlink" Target="https://creativecommons.org/licenses/by-nc/4.0/" TargetMode="External"/><Relationship Id="rId8283" Type="http://schemas.openxmlformats.org/officeDocument/2006/relationships/hyperlink" Target="https://www.inaturalist.org/observations/388933504" TargetMode="External"/><Relationship Id="rId8284" Type="http://schemas.openxmlformats.org/officeDocument/2006/relationships/hyperlink" Target="https://www.inaturalist.org/people/henrycarrick" TargetMode="External"/><Relationship Id="rId8285" Type="http://schemas.openxmlformats.org/officeDocument/2006/relationships/hyperlink" Target="https://creativecommons.org/licenses/by-nc/4.0/" TargetMode="External"/><Relationship Id="rId8286" Type="http://schemas.openxmlformats.org/officeDocument/2006/relationships/hyperlink" Target="https://www.inaturalist.org/observations/388144768" TargetMode="External"/><Relationship Id="rId8287" Type="http://schemas.openxmlformats.org/officeDocument/2006/relationships/hyperlink" Target="https://www.inaturalist.org/people/rachel59021" TargetMode="External"/><Relationship Id="rId8288" Type="http://schemas.openxmlformats.org/officeDocument/2006/relationships/hyperlink" Target="https://creativecommons.org/licenses/by-nc/4.0/" TargetMode="External"/><Relationship Id="rId8289" Type="http://schemas.openxmlformats.org/officeDocument/2006/relationships/hyperlink" Target="https://www.inaturalist.org/observations/384792333" TargetMode="External"/><Relationship Id="rId8290" Type="http://schemas.openxmlformats.org/officeDocument/2006/relationships/hyperlink" Target="https://www.inaturalist.org/people/taylor_fleming" TargetMode="External"/><Relationship Id="rId8291" Type="http://schemas.openxmlformats.org/officeDocument/2006/relationships/hyperlink" Target="https://creativecommons.org/licenses/by-nc/4.0/" TargetMode="External"/><Relationship Id="rId8292" Type="http://schemas.openxmlformats.org/officeDocument/2006/relationships/hyperlink" Target="https://www.inaturalist.org/observations/384471480" TargetMode="External"/><Relationship Id="rId8293" Type="http://schemas.openxmlformats.org/officeDocument/2006/relationships/hyperlink" Target="https://www.inaturalist.org/people/fharrihill" TargetMode="External"/><Relationship Id="rId8294" Type="http://schemas.openxmlformats.org/officeDocument/2006/relationships/hyperlink" Target="https://creativecommons.org/licenses/by-nc/4.0/" TargetMode="External"/><Relationship Id="rId8295" Type="http://schemas.openxmlformats.org/officeDocument/2006/relationships/hyperlink" Target="https://www.inaturalist.org/observations/378934271" TargetMode="External"/><Relationship Id="rId8296" Type="http://schemas.openxmlformats.org/officeDocument/2006/relationships/hyperlink" Target="https://www.inaturalist.org/people/annecasson" TargetMode="External"/><Relationship Id="rId8297" Type="http://schemas.openxmlformats.org/officeDocument/2006/relationships/hyperlink" Target="https://creativecommons.org/licenses/by-nc/4.0/" TargetMode="External"/><Relationship Id="rId8298" Type="http://schemas.openxmlformats.org/officeDocument/2006/relationships/hyperlink" Target="https://www.inaturalist.org/observations/369308050" TargetMode="External"/><Relationship Id="rId8299" Type="http://schemas.openxmlformats.org/officeDocument/2006/relationships/hyperlink" Target="https://www.inaturalist.org/people/fharrihill" TargetMode="External"/><Relationship Id="rId8300" Type="http://schemas.openxmlformats.org/officeDocument/2006/relationships/hyperlink" Target="https://creativecommons.org/licenses/by-nc/4.0/" TargetMode="External"/><Relationship Id="rId8301" Type="http://schemas.openxmlformats.org/officeDocument/2006/relationships/hyperlink" Target="https://www.inaturalist.org/observations/378914791" TargetMode="External"/><Relationship Id="rId8302" Type="http://schemas.openxmlformats.org/officeDocument/2006/relationships/hyperlink" Target="https://www.inaturalist.org/people/kris46866" TargetMode="External"/><Relationship Id="rId8303" Type="http://schemas.openxmlformats.org/officeDocument/2006/relationships/hyperlink" Target="https://creativecommons.org/licenses/by-nc/4.0/" TargetMode="External"/><Relationship Id="rId8304" Type="http://schemas.openxmlformats.org/officeDocument/2006/relationships/hyperlink" Target="https://www.inaturalist.org/observations/369220080" TargetMode="External"/><Relationship Id="rId8305" Type="http://schemas.openxmlformats.org/officeDocument/2006/relationships/hyperlink" Target="https://www.inaturalist.org/people/nick_vine" TargetMode="External"/><Relationship Id="rId8306" Type="http://schemas.openxmlformats.org/officeDocument/2006/relationships/hyperlink" Target="https://creativecommons.org/licenses/by-nc/4.0/" TargetMode="External"/><Relationship Id="rId8307" Type="http://schemas.openxmlformats.org/officeDocument/2006/relationships/hyperlink" Target="https://www.inaturalist.org/observations/364398789" TargetMode="External"/><Relationship Id="rId8308" Type="http://schemas.openxmlformats.org/officeDocument/2006/relationships/hyperlink" Target="https://www.inaturalist.org/people/johnlread" TargetMode="External"/><Relationship Id="rId8309" Type="http://schemas.openxmlformats.org/officeDocument/2006/relationships/hyperlink" Target="https://creativecommons.org/licenses/by-nc/4.0/" TargetMode="External"/><Relationship Id="rId8310" Type="http://schemas.openxmlformats.org/officeDocument/2006/relationships/hyperlink" Target="https://www.inaturalist.org/observations/363929482" TargetMode="External"/><Relationship Id="rId8311" Type="http://schemas.openxmlformats.org/officeDocument/2006/relationships/hyperlink" Target="https://www.inaturalist.org/people/wyn_russell" TargetMode="External"/><Relationship Id="rId8312" Type="http://schemas.openxmlformats.org/officeDocument/2006/relationships/hyperlink" Target="https://creativecommons.org/licenses/by-nc/4.0/" TargetMode="External"/><Relationship Id="rId8313" Type="http://schemas.openxmlformats.org/officeDocument/2006/relationships/hyperlink" Target="https://www.inaturalist.org/observations/337075483" TargetMode="External"/><Relationship Id="rId8314" Type="http://schemas.openxmlformats.org/officeDocument/2006/relationships/hyperlink" Target="https://www.inaturalist.org/people/willjmatthews04" TargetMode="External"/><Relationship Id="rId8315" Type="http://schemas.openxmlformats.org/officeDocument/2006/relationships/hyperlink" Target="https://creativecommons.org/licenses/by-nc/4.0/" TargetMode="External"/><Relationship Id="rId8316" Type="http://schemas.openxmlformats.org/officeDocument/2006/relationships/hyperlink" Target="https://www.inaturalist.org/observations/330943669" TargetMode="External"/><Relationship Id="rId8317" Type="http://schemas.openxmlformats.org/officeDocument/2006/relationships/hyperlink" Target="https://www.inaturalist.org/people/braden1" TargetMode="External"/><Relationship Id="rId8318" Type="http://schemas.openxmlformats.org/officeDocument/2006/relationships/hyperlink" Target="https://creativecommons.org/licenses/by-nc/4.0/" TargetMode="External"/><Relationship Id="rId8319" Type="http://schemas.openxmlformats.org/officeDocument/2006/relationships/hyperlink" Target="https://www.inaturalist.org/observations/249876815" TargetMode="External"/><Relationship Id="rId8320" Type="http://schemas.openxmlformats.org/officeDocument/2006/relationships/hyperlink" Target="https://www.inaturalist.org/people/kenty_8881" TargetMode="External"/><Relationship Id="rId8321" Type="http://schemas.openxmlformats.org/officeDocument/2006/relationships/hyperlink" Target="https://creativecommons.org/licenses/by-nc/4.0/" TargetMode="External"/><Relationship Id="rId8322" Type="http://schemas.openxmlformats.org/officeDocument/2006/relationships/hyperlink" Target="https://www.inaturalist.org/observations/247390272" TargetMode="External"/><Relationship Id="rId8323" Type="http://schemas.openxmlformats.org/officeDocument/2006/relationships/hyperlink" Target="https://www.inaturalist.org/people/jari_cornelis" TargetMode="External"/><Relationship Id="rId8324" Type="http://schemas.openxmlformats.org/officeDocument/2006/relationships/hyperlink" Target="https://creativecommons.org/licenses/by-nc/4.0/" TargetMode="External"/><Relationship Id="rId8325" Type="http://schemas.openxmlformats.org/officeDocument/2006/relationships/hyperlink" Target="https://www.inaturalist.org/observations/194010250" TargetMode="External"/><Relationship Id="rId8326" Type="http://schemas.openxmlformats.org/officeDocument/2006/relationships/hyperlink" Target="https://www.inaturalist.org/people/nickvolpe" TargetMode="External"/><Relationship Id="rId8327" Type="http://schemas.openxmlformats.org/officeDocument/2006/relationships/hyperlink" Target="https://creativecommons.org/licenses/by-nc/4.0/" TargetMode="External"/><Relationship Id="rId8328" Type="http://schemas.openxmlformats.org/officeDocument/2006/relationships/hyperlink" Target="https://www.inaturalist.org/observations/191711030" TargetMode="External"/><Relationship Id="rId8329" Type="http://schemas.openxmlformats.org/officeDocument/2006/relationships/hyperlink" Target="https://www.inaturalist.org/people/owenlishmund" TargetMode="External"/><Relationship Id="rId8330" Type="http://schemas.openxmlformats.org/officeDocument/2006/relationships/hyperlink" Target="https://creativecommons.org/licenses/by-nc/4.0/" TargetMode="External"/><Relationship Id="rId8331" Type="http://schemas.openxmlformats.org/officeDocument/2006/relationships/hyperlink" Target="https://www.inaturalist.org/observations/105699228" TargetMode="External"/><Relationship Id="rId8332" Type="http://schemas.openxmlformats.org/officeDocument/2006/relationships/hyperlink" Target="https://www.inaturalist.org/people/owenlishmund" TargetMode="External"/><Relationship Id="rId8333" Type="http://schemas.openxmlformats.org/officeDocument/2006/relationships/hyperlink" Target="https://creativecommons.org/licenses/by-nc/4.0/" TargetMode="External"/><Relationship Id="rId8334" Type="http://schemas.openxmlformats.org/officeDocument/2006/relationships/hyperlink" Target="https://www.inaturalist.org/observations/105699228" TargetMode="External"/><Relationship Id="rId8335" Type="http://schemas.openxmlformats.org/officeDocument/2006/relationships/hyperlink" Target="https://www.inaturalist.org/people/tim_nickholds" TargetMode="External"/><Relationship Id="rId8336" Type="http://schemas.openxmlformats.org/officeDocument/2006/relationships/hyperlink" Target="https://creativecommons.org/licenses/by-nc/4.0/" TargetMode="External"/><Relationship Id="rId8337" Type="http://schemas.openxmlformats.org/officeDocument/2006/relationships/hyperlink" Target="https://www.inaturalist.org/observations/104094129" TargetMode="External"/><Relationship Id="rId8338" Type="http://schemas.openxmlformats.org/officeDocument/2006/relationships/hyperlink" Target="https://www.inaturalist.org/people/darren_fielder" TargetMode="External"/><Relationship Id="rId8339" Type="http://schemas.openxmlformats.org/officeDocument/2006/relationships/hyperlink" Target="https://creativecommons.org/licenses/by-nc/4.0/" TargetMode="External"/><Relationship Id="rId8340" Type="http://schemas.openxmlformats.org/officeDocument/2006/relationships/hyperlink" Target="https://www.inaturalist.org/observations/104018534" TargetMode="External"/><Relationship Id="rId8341" Type="http://schemas.openxmlformats.org/officeDocument/2006/relationships/hyperlink" Target="https://www.inaturalist.org/people/rreams" TargetMode="External"/><Relationship Id="rId8342" Type="http://schemas.openxmlformats.org/officeDocument/2006/relationships/hyperlink" Target="https://creativecommons.org/licenses/by-nc/4.0/" TargetMode="External"/><Relationship Id="rId8343" Type="http://schemas.openxmlformats.org/officeDocument/2006/relationships/hyperlink" Target="https://www.inaturalist.org/observations/101166837" TargetMode="External"/><Relationship Id="rId8344" Type="http://schemas.openxmlformats.org/officeDocument/2006/relationships/hyperlink" Target="https://www.inaturalist.org/people/spixii" TargetMode="External"/><Relationship Id="rId8345" Type="http://schemas.openxmlformats.org/officeDocument/2006/relationships/hyperlink" Target="https://creativecommons.org/licenses/by-nc/4.0/" TargetMode="External"/><Relationship Id="rId8346" Type="http://schemas.openxmlformats.org/officeDocument/2006/relationships/hyperlink" Target="https://www.inaturalist.org/observations/43028733" TargetMode="External"/><Relationship Id="rId8347" Type="http://schemas.openxmlformats.org/officeDocument/2006/relationships/hyperlink" Target="https://www.inaturalist.org/people/owenlishmund" TargetMode="External"/><Relationship Id="rId8348" Type="http://schemas.openxmlformats.org/officeDocument/2006/relationships/hyperlink" Target="https://creativecommons.org/licenses/by-nc/4.0/" TargetMode="External"/><Relationship Id="rId8349" Type="http://schemas.openxmlformats.org/officeDocument/2006/relationships/hyperlink" Target="https://www.inaturalist.org/observations/36875679" TargetMode="External"/><Relationship Id="rId8350" Type="http://schemas.openxmlformats.org/officeDocument/2006/relationships/hyperlink" Target="https://www.inaturalist.org/people/willjmatthews04" TargetMode="External"/><Relationship Id="rId8351" Type="http://schemas.openxmlformats.org/officeDocument/2006/relationships/hyperlink" Target="https://creativecommons.org/licenses/by-nc/4.0/" TargetMode="External"/><Relationship Id="rId8352" Type="http://schemas.openxmlformats.org/officeDocument/2006/relationships/hyperlink" Target="https://www.inaturalist.org/observations/399829942" TargetMode="External"/><Relationship Id="rId8353" Type="http://schemas.openxmlformats.org/officeDocument/2006/relationships/hyperlink" Target="https://www.inaturalist.org/people/olliescully1" TargetMode="External"/><Relationship Id="rId8354" Type="http://schemas.openxmlformats.org/officeDocument/2006/relationships/hyperlink" Target="https://creativecommons.org/licenses/by-nc/4.0/" TargetMode="External"/><Relationship Id="rId8355" Type="http://schemas.openxmlformats.org/officeDocument/2006/relationships/hyperlink" Target="https://www.inaturalist.org/observations/386210300" TargetMode="External"/><Relationship Id="rId8356" Type="http://schemas.openxmlformats.org/officeDocument/2006/relationships/hyperlink" Target="https://www.inaturalist.org/people/axeholmes" TargetMode="External"/><Relationship Id="rId8357" Type="http://schemas.openxmlformats.org/officeDocument/2006/relationships/hyperlink" Target="https://creativecommons.org/licenses/by-nc/4.0/" TargetMode="External"/><Relationship Id="rId8358" Type="http://schemas.openxmlformats.org/officeDocument/2006/relationships/hyperlink" Target="https://www.inaturalist.org/observations/360543389" TargetMode="External"/><Relationship Id="rId8359" Type="http://schemas.openxmlformats.org/officeDocument/2006/relationships/hyperlink" Target="https://www.inaturalist.org/people/j_beatts" TargetMode="External"/><Relationship Id="rId8360" Type="http://schemas.openxmlformats.org/officeDocument/2006/relationships/hyperlink" Target="https://creativecommons.org/licenses/by-nc/4.0/" TargetMode="External"/><Relationship Id="rId8361" Type="http://schemas.openxmlformats.org/officeDocument/2006/relationships/hyperlink" Target="https://www.inaturalist.org/observations/361154849" TargetMode="External"/><Relationship Id="rId8362" Type="http://schemas.openxmlformats.org/officeDocument/2006/relationships/hyperlink" Target="https://www.inaturalist.org/people/da_slug" TargetMode="External"/><Relationship Id="rId8363" Type="http://schemas.openxmlformats.org/officeDocument/2006/relationships/hyperlink" Target="https://creativecommons.org/licenses/by-nc/4.0/" TargetMode="External"/><Relationship Id="rId8364" Type="http://schemas.openxmlformats.org/officeDocument/2006/relationships/hyperlink" Target="https://www.inaturalist.org/observations/379530448" TargetMode="External"/><Relationship Id="rId8365" Type="http://schemas.openxmlformats.org/officeDocument/2006/relationships/hyperlink" Target="https://www.inaturalist.org/people/da_slug" TargetMode="External"/><Relationship Id="rId8366" Type="http://schemas.openxmlformats.org/officeDocument/2006/relationships/hyperlink" Target="https://creativecommons.org/licenses/by-nc/4.0/" TargetMode="External"/><Relationship Id="rId8367" Type="http://schemas.openxmlformats.org/officeDocument/2006/relationships/hyperlink" Target="https://www.inaturalist.org/observations/379530448" TargetMode="External"/><Relationship Id="rId8368" Type="http://schemas.openxmlformats.org/officeDocument/2006/relationships/hyperlink" Target="https://www.inaturalist.org/people/damienesquerre2" TargetMode="External"/><Relationship Id="rId8369" Type="http://schemas.openxmlformats.org/officeDocument/2006/relationships/hyperlink" Target="https://creativecommons.org/licenses/by-nc/4.0/" TargetMode="External"/><Relationship Id="rId8370" Type="http://schemas.openxmlformats.org/officeDocument/2006/relationships/hyperlink" Target="https://www.inaturalist.org/observations/351424201" TargetMode="External"/><Relationship Id="rId8371" Type="http://schemas.openxmlformats.org/officeDocument/2006/relationships/hyperlink" Target="https://www.inaturalist.org/people/bigpseudemoia123" TargetMode="External"/><Relationship Id="rId8372" Type="http://schemas.openxmlformats.org/officeDocument/2006/relationships/hyperlink" Target="https://creativecommons.org/licenses/by-nc/4.0/" TargetMode="External"/><Relationship Id="rId8373" Type="http://schemas.openxmlformats.org/officeDocument/2006/relationships/hyperlink" Target="https://www.inaturalist.org/observations/342404091" TargetMode="External"/><Relationship Id="rId8374" Type="http://schemas.openxmlformats.org/officeDocument/2006/relationships/hyperlink" Target="https://www.inaturalist.org/people/living_daynagerously" TargetMode="External"/><Relationship Id="rId8375" Type="http://schemas.openxmlformats.org/officeDocument/2006/relationships/hyperlink" Target="https://creativecommons.org/licenses/by-nc/4.0/" TargetMode="External"/><Relationship Id="rId8376" Type="http://schemas.openxmlformats.org/officeDocument/2006/relationships/hyperlink" Target="https://www.inaturalist.org/observations/343956333" TargetMode="External"/><Relationship Id="rId8377" Type="http://schemas.openxmlformats.org/officeDocument/2006/relationships/hyperlink" Target="https://www.inaturalist.org/people/living_daynagerously" TargetMode="External"/><Relationship Id="rId8378" Type="http://schemas.openxmlformats.org/officeDocument/2006/relationships/hyperlink" Target="https://creativecommons.org/licenses/by-nc/4.0/" TargetMode="External"/><Relationship Id="rId8379" Type="http://schemas.openxmlformats.org/officeDocument/2006/relationships/hyperlink" Target="https://www.inaturalist.org/observations/343956333" TargetMode="External"/><Relationship Id="rId8380" Type="http://schemas.openxmlformats.org/officeDocument/2006/relationships/hyperlink" Target="https://www.inaturalist.org/people/mywildbackyard" TargetMode="External"/><Relationship Id="rId8381" Type="http://schemas.openxmlformats.org/officeDocument/2006/relationships/hyperlink" Target="https://creativecommons.org/licenses/by-nc/4.0/" TargetMode="External"/><Relationship Id="rId8382" Type="http://schemas.openxmlformats.org/officeDocument/2006/relationships/hyperlink" Target="https://www.inaturalist.org/observations/251116839" TargetMode="External"/><Relationship Id="rId8383" Type="http://schemas.openxmlformats.org/officeDocument/2006/relationships/hyperlink" Target="https://www.inaturalist.org/people/owenlishmund" TargetMode="External"/><Relationship Id="rId8384" Type="http://schemas.openxmlformats.org/officeDocument/2006/relationships/hyperlink" Target="https://creativecommons.org/licenses/by-nc/4.0/" TargetMode="External"/><Relationship Id="rId8385" Type="http://schemas.openxmlformats.org/officeDocument/2006/relationships/hyperlink" Target="https://www.inaturalist.org/observations/194568292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reativecommons.org/licenses/by-nc/4.0/" TargetMode="External"/><Relationship Id="rId2" Type="http://schemas.openxmlformats.org/officeDocument/2006/relationships/hyperlink" Target="https://www.inaturalist.org/observations/383153633" TargetMode="External"/><Relationship Id="rId3" Type="http://schemas.openxmlformats.org/officeDocument/2006/relationships/hyperlink" Target="https://creativecommons.org/licenses/by-nc/4.0/" TargetMode="External"/><Relationship Id="rId4" Type="http://schemas.openxmlformats.org/officeDocument/2006/relationships/hyperlink" Target="https://www.inaturalist.org/observations/383150127" TargetMode="External"/><Relationship Id="rId5" Type="http://schemas.openxmlformats.org/officeDocument/2006/relationships/hyperlink" Target="https://creativecommons.org/licenses/by-nc/4.0/" TargetMode="External"/><Relationship Id="rId6" Type="http://schemas.openxmlformats.org/officeDocument/2006/relationships/hyperlink" Target="https://www.inaturalist.org/observations/383148989" TargetMode="External"/><Relationship Id="rId7" Type="http://schemas.openxmlformats.org/officeDocument/2006/relationships/hyperlink" Target="https://creativecommons.org/licenses/by-nc/4.0/" TargetMode="External"/><Relationship Id="rId8" Type="http://schemas.openxmlformats.org/officeDocument/2006/relationships/hyperlink" Target="https://www.inaturalist.org/observations/383148674" TargetMode="External"/><Relationship Id="rId9" Type="http://schemas.openxmlformats.org/officeDocument/2006/relationships/hyperlink" Target="https://creativecommons.org/licenses/by-nc/4.0/" TargetMode="External"/><Relationship Id="rId10" Type="http://schemas.openxmlformats.org/officeDocument/2006/relationships/hyperlink" Target="https://www.inaturalist.org/observations/383148198" TargetMode="External"/><Relationship Id="rId11" Type="http://schemas.openxmlformats.org/officeDocument/2006/relationships/hyperlink" Target="https://creativecommons.org/licenses/by-nc/4.0/" TargetMode="External"/><Relationship Id="rId12" Type="http://schemas.openxmlformats.org/officeDocument/2006/relationships/hyperlink" Target="https://www.inaturalist.org/observations/383144668" TargetMode="External"/><Relationship Id="rId13" Type="http://schemas.openxmlformats.org/officeDocument/2006/relationships/hyperlink" Target="https://creativecommons.org/licenses/by-nc/4.0/" TargetMode="External"/><Relationship Id="rId14" Type="http://schemas.openxmlformats.org/officeDocument/2006/relationships/hyperlink" Target="https://www.inaturalist.org/observations/383141382" TargetMode="External"/><Relationship Id="rId15" Type="http://schemas.openxmlformats.org/officeDocument/2006/relationships/hyperlink" Target="https://creativecommons.org/licenses/by-nc/4.0/" TargetMode="External"/><Relationship Id="rId16" Type="http://schemas.openxmlformats.org/officeDocument/2006/relationships/hyperlink" Target="https://www.inaturalist.org/observations/383141105" TargetMode="External"/><Relationship Id="rId17" Type="http://schemas.openxmlformats.org/officeDocument/2006/relationships/hyperlink" Target="https://creativecommons.org/licenses/by-nc/4.0/" TargetMode="External"/><Relationship Id="rId18" Type="http://schemas.openxmlformats.org/officeDocument/2006/relationships/hyperlink" Target="https://www.inaturalist.org/observations/383137424" TargetMode="External"/><Relationship Id="rId19" Type="http://schemas.openxmlformats.org/officeDocument/2006/relationships/hyperlink" Target="https://creativecommons.org/licenses/by-nc/4.0/" TargetMode="External"/><Relationship Id="rId20" Type="http://schemas.openxmlformats.org/officeDocument/2006/relationships/hyperlink" Target="https://www.inaturalist.org/observations/383136697" TargetMode="External"/><Relationship Id="rId21" Type="http://schemas.openxmlformats.org/officeDocument/2006/relationships/hyperlink" Target="https://creativecommons.org/licenses/by-nc/4.0/" TargetMode="External"/><Relationship Id="rId22" Type="http://schemas.openxmlformats.org/officeDocument/2006/relationships/hyperlink" Target="https://www.inaturalist.org/observations/383126912" TargetMode="External"/><Relationship Id="rId23" Type="http://schemas.openxmlformats.org/officeDocument/2006/relationships/hyperlink" Target="https://creativecommons.org/licenses/by-nc/4.0/" TargetMode="External"/><Relationship Id="rId24" Type="http://schemas.openxmlformats.org/officeDocument/2006/relationships/hyperlink" Target="https://www.inaturalist.org/observations/383126472" TargetMode="External"/><Relationship Id="rId25" Type="http://schemas.openxmlformats.org/officeDocument/2006/relationships/hyperlink" Target="https://creativecommons.org/licenses/by-nc/4.0/" TargetMode="External"/><Relationship Id="rId26" Type="http://schemas.openxmlformats.org/officeDocument/2006/relationships/hyperlink" Target="https://www.inaturalist.org/observations/383123000" TargetMode="External"/><Relationship Id="rId27" Type="http://schemas.openxmlformats.org/officeDocument/2006/relationships/hyperlink" Target="https://creativecommons.org/licenses/by-nc/4.0/" TargetMode="External"/><Relationship Id="rId28" Type="http://schemas.openxmlformats.org/officeDocument/2006/relationships/hyperlink" Target="https://www.inaturalist.org/observations/383122603" TargetMode="External"/><Relationship Id="rId29" Type="http://schemas.openxmlformats.org/officeDocument/2006/relationships/hyperlink" Target="https://creativecommons.org/licenses/by-nc/4.0/" TargetMode="External"/><Relationship Id="rId30" Type="http://schemas.openxmlformats.org/officeDocument/2006/relationships/hyperlink" Target="https://www.inaturalist.org/observations/383122028" TargetMode="External"/><Relationship Id="rId31" Type="http://schemas.openxmlformats.org/officeDocument/2006/relationships/hyperlink" Target="https://creativecommons.org/licenses/by-nc/4.0/" TargetMode="External"/><Relationship Id="rId32" Type="http://schemas.openxmlformats.org/officeDocument/2006/relationships/hyperlink" Target="https://www.inaturalist.org/observations/383122000" TargetMode="External"/><Relationship Id="rId33" Type="http://schemas.openxmlformats.org/officeDocument/2006/relationships/hyperlink" Target="https://creativecommons.org/licenses/by-nc/4.0/" TargetMode="External"/><Relationship Id="rId34" Type="http://schemas.openxmlformats.org/officeDocument/2006/relationships/hyperlink" Target="https://www.inaturalist.org/observations/383121220" TargetMode="External"/><Relationship Id="rId35" Type="http://schemas.openxmlformats.org/officeDocument/2006/relationships/hyperlink" Target="https://creativecommons.org/licenses/by-nc/4.0/" TargetMode="External"/><Relationship Id="rId36" Type="http://schemas.openxmlformats.org/officeDocument/2006/relationships/hyperlink" Target="https://www.inaturalist.org/observations/383120974" TargetMode="External"/><Relationship Id="rId37" Type="http://schemas.openxmlformats.org/officeDocument/2006/relationships/hyperlink" Target="https://creativecommons.org/licenses/by-nc/4.0/" TargetMode="External"/><Relationship Id="rId38" Type="http://schemas.openxmlformats.org/officeDocument/2006/relationships/hyperlink" Target="https://www.inaturalist.org/observations/383119068" TargetMode="External"/><Relationship Id="rId39" Type="http://schemas.openxmlformats.org/officeDocument/2006/relationships/hyperlink" Target="https://creativecommons.org/licenses/by-nc/4.0/" TargetMode="External"/><Relationship Id="rId40" Type="http://schemas.openxmlformats.org/officeDocument/2006/relationships/hyperlink" Target="https://www.inaturalist.org/observations/383116621" TargetMode="External"/><Relationship Id="rId41" Type="http://schemas.openxmlformats.org/officeDocument/2006/relationships/hyperlink" Target="https://creativecommons.org/licenses/by-nc/4.0/" TargetMode="External"/><Relationship Id="rId42" Type="http://schemas.openxmlformats.org/officeDocument/2006/relationships/hyperlink" Target="https://www.inaturalist.org/observations/383112836" TargetMode="External"/><Relationship Id="rId43" Type="http://schemas.openxmlformats.org/officeDocument/2006/relationships/hyperlink" Target="https://creativecommons.org/licenses/by-nc/4.0/" TargetMode="External"/><Relationship Id="rId44" Type="http://schemas.openxmlformats.org/officeDocument/2006/relationships/hyperlink" Target="https://www.inaturalist.org/observations/383111737" TargetMode="External"/><Relationship Id="rId45" Type="http://schemas.openxmlformats.org/officeDocument/2006/relationships/hyperlink" Target="https://creativecommons.org/licenses/by-nc/4.0/" TargetMode="External"/><Relationship Id="rId46" Type="http://schemas.openxmlformats.org/officeDocument/2006/relationships/hyperlink" Target="https://www.inaturalist.org/observations/383109051" TargetMode="External"/><Relationship Id="rId47" Type="http://schemas.openxmlformats.org/officeDocument/2006/relationships/hyperlink" Target="https://creativecommons.org/licenses/by-nc/4.0/" TargetMode="External"/><Relationship Id="rId48" Type="http://schemas.openxmlformats.org/officeDocument/2006/relationships/hyperlink" Target="https://www.inaturalist.org/observations/383107499" TargetMode="External"/><Relationship Id="rId49" Type="http://schemas.openxmlformats.org/officeDocument/2006/relationships/hyperlink" Target="https://creativecommons.org/licenses/by-nc/4.0/" TargetMode="External"/><Relationship Id="rId50" Type="http://schemas.openxmlformats.org/officeDocument/2006/relationships/hyperlink" Target="https://www.inaturalist.org/observations/383104728" TargetMode="External"/><Relationship Id="rId51" Type="http://schemas.openxmlformats.org/officeDocument/2006/relationships/hyperlink" Target="https://creativecommons.org/licenses/by-nc/4.0/" TargetMode="External"/><Relationship Id="rId52" Type="http://schemas.openxmlformats.org/officeDocument/2006/relationships/hyperlink" Target="https://www.inaturalist.org/observations/383103229" TargetMode="External"/><Relationship Id="rId53" Type="http://schemas.openxmlformats.org/officeDocument/2006/relationships/hyperlink" Target="https://creativecommons.org/licenses/by-nc/4.0/" TargetMode="External"/><Relationship Id="rId54" Type="http://schemas.openxmlformats.org/officeDocument/2006/relationships/hyperlink" Target="https://www.inaturalist.org/observations/383102493" TargetMode="External"/><Relationship Id="rId55" Type="http://schemas.openxmlformats.org/officeDocument/2006/relationships/hyperlink" Target="https://creativecommons.org/licenses/by-nc/4.0/" TargetMode="External"/><Relationship Id="rId56" Type="http://schemas.openxmlformats.org/officeDocument/2006/relationships/hyperlink" Target="https://www.inaturalist.org/observations/383099385" TargetMode="External"/><Relationship Id="rId57" Type="http://schemas.openxmlformats.org/officeDocument/2006/relationships/hyperlink" Target="https://creativecommons.org/licenses/by-nc/4.0/" TargetMode="External"/><Relationship Id="rId58" Type="http://schemas.openxmlformats.org/officeDocument/2006/relationships/hyperlink" Target="https://www.inaturalist.org/observations/383097384" TargetMode="External"/><Relationship Id="rId59" Type="http://schemas.openxmlformats.org/officeDocument/2006/relationships/hyperlink" Target="https://creativecommons.org/licenses/by-nc/4.0/" TargetMode="External"/><Relationship Id="rId60" Type="http://schemas.openxmlformats.org/officeDocument/2006/relationships/hyperlink" Target="https://www.inaturalist.org/observations/383096105" TargetMode="External"/><Relationship Id="rId61" Type="http://schemas.openxmlformats.org/officeDocument/2006/relationships/hyperlink" Target="https://creativecommons.org/licenses/by-nc/4.0/" TargetMode="External"/><Relationship Id="rId62" Type="http://schemas.openxmlformats.org/officeDocument/2006/relationships/hyperlink" Target="https://www.inaturalist.org/observations/383092916" TargetMode="External"/><Relationship Id="rId63" Type="http://schemas.openxmlformats.org/officeDocument/2006/relationships/hyperlink" Target="https://creativecommons.org/licenses/by-nc/4.0/" TargetMode="External"/><Relationship Id="rId64" Type="http://schemas.openxmlformats.org/officeDocument/2006/relationships/hyperlink" Target="https://www.inaturalist.org/observations/383090616" TargetMode="External"/><Relationship Id="rId65" Type="http://schemas.openxmlformats.org/officeDocument/2006/relationships/hyperlink" Target="https://creativecommons.org/licenses/by-nc/4.0/" TargetMode="External"/><Relationship Id="rId66" Type="http://schemas.openxmlformats.org/officeDocument/2006/relationships/hyperlink" Target="https://www.inaturalist.org/observations/383090337" TargetMode="External"/><Relationship Id="rId67" Type="http://schemas.openxmlformats.org/officeDocument/2006/relationships/hyperlink" Target="https://creativecommons.org/licenses/by-nc/4.0/" TargetMode="External"/><Relationship Id="rId68" Type="http://schemas.openxmlformats.org/officeDocument/2006/relationships/hyperlink" Target="https://www.inaturalist.org/observations/383089833" TargetMode="External"/><Relationship Id="rId69" Type="http://schemas.openxmlformats.org/officeDocument/2006/relationships/hyperlink" Target="https://creativecommons.org/licenses/by-nc/4.0/" TargetMode="External"/><Relationship Id="rId70" Type="http://schemas.openxmlformats.org/officeDocument/2006/relationships/hyperlink" Target="https://www.inaturalist.org/observations/383089701" TargetMode="External"/><Relationship Id="rId71" Type="http://schemas.openxmlformats.org/officeDocument/2006/relationships/hyperlink" Target="https://creativecommons.org/licenses/by-nc/4.0/" TargetMode="External"/><Relationship Id="rId72" Type="http://schemas.openxmlformats.org/officeDocument/2006/relationships/hyperlink" Target="https://www.inaturalist.org/observations/383088170" TargetMode="External"/><Relationship Id="rId73" Type="http://schemas.openxmlformats.org/officeDocument/2006/relationships/hyperlink" Target="https://creativecommons.org/licenses/by-nc/4.0/" TargetMode="External"/><Relationship Id="rId74" Type="http://schemas.openxmlformats.org/officeDocument/2006/relationships/hyperlink" Target="https://www.inaturalist.org/observations/383087046" TargetMode="External"/><Relationship Id="rId75" Type="http://schemas.openxmlformats.org/officeDocument/2006/relationships/hyperlink" Target="https://creativecommons.org/licenses/by-nc/4.0/" TargetMode="External"/><Relationship Id="rId76" Type="http://schemas.openxmlformats.org/officeDocument/2006/relationships/hyperlink" Target="https://www.inaturalist.org/observations/383086100" TargetMode="External"/><Relationship Id="rId77" Type="http://schemas.openxmlformats.org/officeDocument/2006/relationships/hyperlink" Target="https://creativecommons.org/licenses/by-nc/4.0/" TargetMode="External"/><Relationship Id="rId78" Type="http://schemas.openxmlformats.org/officeDocument/2006/relationships/hyperlink" Target="https://www.inaturalist.org/observations/383086096" TargetMode="External"/><Relationship Id="rId79" Type="http://schemas.openxmlformats.org/officeDocument/2006/relationships/hyperlink" Target="https://creativecommons.org/licenses/by-nc/4.0/" TargetMode="External"/><Relationship Id="rId80" Type="http://schemas.openxmlformats.org/officeDocument/2006/relationships/hyperlink" Target="https://www.inaturalist.org/observations/383086092" TargetMode="External"/><Relationship Id="rId81" Type="http://schemas.openxmlformats.org/officeDocument/2006/relationships/hyperlink" Target="https://creativecommons.org/licenses/by-nc/4.0/" TargetMode="External"/><Relationship Id="rId82" Type="http://schemas.openxmlformats.org/officeDocument/2006/relationships/hyperlink" Target="https://www.inaturalist.org/observations/383086089" TargetMode="External"/><Relationship Id="rId83" Type="http://schemas.openxmlformats.org/officeDocument/2006/relationships/hyperlink" Target="https://creativecommons.org/licenses/by-nc/4.0/" TargetMode="External"/><Relationship Id="rId84" Type="http://schemas.openxmlformats.org/officeDocument/2006/relationships/hyperlink" Target="https://www.inaturalist.org/observations/383086088" TargetMode="External"/><Relationship Id="rId85" Type="http://schemas.openxmlformats.org/officeDocument/2006/relationships/hyperlink" Target="https://creativecommons.org/licenses/by-nc/4.0/" TargetMode="External"/><Relationship Id="rId86" Type="http://schemas.openxmlformats.org/officeDocument/2006/relationships/hyperlink" Target="https://www.inaturalist.org/observations/383086086" TargetMode="External"/><Relationship Id="rId87" Type="http://schemas.openxmlformats.org/officeDocument/2006/relationships/hyperlink" Target="https://creativecommons.org/licenses/by-nc/4.0/" TargetMode="External"/><Relationship Id="rId88" Type="http://schemas.openxmlformats.org/officeDocument/2006/relationships/hyperlink" Target="https://www.inaturalist.org/observations/383086081" TargetMode="External"/><Relationship Id="rId89" Type="http://schemas.openxmlformats.org/officeDocument/2006/relationships/hyperlink" Target="https://creativecommons.org/licenses/by-nc/4.0/" TargetMode="External"/><Relationship Id="rId90" Type="http://schemas.openxmlformats.org/officeDocument/2006/relationships/hyperlink" Target="https://www.inaturalist.org/observations/383086073" TargetMode="External"/><Relationship Id="rId91" Type="http://schemas.openxmlformats.org/officeDocument/2006/relationships/hyperlink" Target="https://creativecommons.org/licenses/by-nc/4.0/" TargetMode="External"/><Relationship Id="rId92" Type="http://schemas.openxmlformats.org/officeDocument/2006/relationships/hyperlink" Target="https://www.inaturalist.org/observations/383085451" TargetMode="External"/><Relationship Id="rId93" Type="http://schemas.openxmlformats.org/officeDocument/2006/relationships/hyperlink" Target="https://creativecommons.org/licenses/by-nc/4.0/" TargetMode="External"/><Relationship Id="rId94" Type="http://schemas.openxmlformats.org/officeDocument/2006/relationships/hyperlink" Target="https://www.inaturalist.org/observations/383085441" TargetMode="External"/><Relationship Id="rId95" Type="http://schemas.openxmlformats.org/officeDocument/2006/relationships/hyperlink" Target="https://creativecommons.org/licenses/by-nc/4.0/" TargetMode="External"/><Relationship Id="rId96" Type="http://schemas.openxmlformats.org/officeDocument/2006/relationships/hyperlink" Target="https://www.inaturalist.org/observations/383084733" TargetMode="External"/><Relationship Id="rId97" Type="http://schemas.openxmlformats.org/officeDocument/2006/relationships/hyperlink" Target="https://creativecommons.org/licenses/by-nc/4.0/" TargetMode="External"/><Relationship Id="rId98" Type="http://schemas.openxmlformats.org/officeDocument/2006/relationships/hyperlink" Target="https://www.inaturalist.org/observations/383082962" TargetMode="External"/><Relationship Id="rId99" Type="http://schemas.openxmlformats.org/officeDocument/2006/relationships/hyperlink" Target="https://creativecommons.org/licenses/by-nc/4.0/" TargetMode="External"/><Relationship Id="rId100" Type="http://schemas.openxmlformats.org/officeDocument/2006/relationships/hyperlink" Target="https://www.inaturalist.org/observations/383082902" TargetMode="External"/><Relationship Id="rId101" Type="http://schemas.openxmlformats.org/officeDocument/2006/relationships/hyperlink" Target="https://creativecommons.org/licenses/by-nc/4.0/" TargetMode="External"/><Relationship Id="rId102" Type="http://schemas.openxmlformats.org/officeDocument/2006/relationships/hyperlink" Target="https://www.inaturalist.org/observations/383082896" TargetMode="External"/><Relationship Id="rId103" Type="http://schemas.openxmlformats.org/officeDocument/2006/relationships/hyperlink" Target="https://creativecommons.org/licenses/by-nc/4.0/" TargetMode="External"/><Relationship Id="rId104" Type="http://schemas.openxmlformats.org/officeDocument/2006/relationships/hyperlink" Target="https://www.inaturalist.org/observations/383082892" TargetMode="External"/><Relationship Id="rId105" Type="http://schemas.openxmlformats.org/officeDocument/2006/relationships/hyperlink" Target="https://creativecommons.org/licenses/by-nc/4.0/" TargetMode="External"/><Relationship Id="rId106" Type="http://schemas.openxmlformats.org/officeDocument/2006/relationships/hyperlink" Target="https://www.inaturalist.org/observations/383082890" TargetMode="External"/><Relationship Id="rId107" Type="http://schemas.openxmlformats.org/officeDocument/2006/relationships/hyperlink" Target="https://creativecommons.org/licenses/by-nc/4.0/" TargetMode="External"/><Relationship Id="rId108" Type="http://schemas.openxmlformats.org/officeDocument/2006/relationships/hyperlink" Target="https://www.inaturalist.org/observations/383082888" TargetMode="External"/><Relationship Id="rId109" Type="http://schemas.openxmlformats.org/officeDocument/2006/relationships/hyperlink" Target="https://creativecommons.org/licenses/by-nc/4.0/" TargetMode="External"/><Relationship Id="rId110" Type="http://schemas.openxmlformats.org/officeDocument/2006/relationships/hyperlink" Target="https://www.inaturalist.org/observations/383082878" TargetMode="External"/><Relationship Id="rId111" Type="http://schemas.openxmlformats.org/officeDocument/2006/relationships/hyperlink" Target="https://creativecommons.org/licenses/by-nc/4.0/" TargetMode="External"/><Relationship Id="rId112" Type="http://schemas.openxmlformats.org/officeDocument/2006/relationships/hyperlink" Target="https://www.inaturalist.org/observations/383082874" TargetMode="External"/><Relationship Id="rId113" Type="http://schemas.openxmlformats.org/officeDocument/2006/relationships/hyperlink" Target="https://creativecommons.org/licenses/by-nc/4.0/" TargetMode="External"/><Relationship Id="rId114" Type="http://schemas.openxmlformats.org/officeDocument/2006/relationships/hyperlink" Target="https://www.inaturalist.org/observations/383082867" TargetMode="External"/><Relationship Id="rId115" Type="http://schemas.openxmlformats.org/officeDocument/2006/relationships/hyperlink" Target="https://creativecommons.org/licenses/by-nc/4.0/" TargetMode="External"/><Relationship Id="rId116" Type="http://schemas.openxmlformats.org/officeDocument/2006/relationships/hyperlink" Target="https://www.inaturalist.org/observations/383082813" TargetMode="External"/><Relationship Id="rId117" Type="http://schemas.openxmlformats.org/officeDocument/2006/relationships/hyperlink" Target="https://creativecommons.org/licenses/by-nc/4.0/" TargetMode="External"/><Relationship Id="rId118" Type="http://schemas.openxmlformats.org/officeDocument/2006/relationships/hyperlink" Target="https://www.inaturalist.org/observations/383082414" TargetMode="External"/><Relationship Id="rId119" Type="http://schemas.openxmlformats.org/officeDocument/2006/relationships/hyperlink" Target="https://creativecommons.org/licenses/by-nc/4.0/" TargetMode="External"/><Relationship Id="rId120" Type="http://schemas.openxmlformats.org/officeDocument/2006/relationships/hyperlink" Target="https://www.inaturalist.org/observations/383079848" TargetMode="External"/><Relationship Id="rId121" Type="http://schemas.openxmlformats.org/officeDocument/2006/relationships/hyperlink" Target="https://creativecommons.org/licenses/by-nc/4.0/" TargetMode="External"/><Relationship Id="rId122" Type="http://schemas.openxmlformats.org/officeDocument/2006/relationships/hyperlink" Target="https://www.inaturalist.org/observations/383077926" TargetMode="External"/><Relationship Id="rId123" Type="http://schemas.openxmlformats.org/officeDocument/2006/relationships/hyperlink" Target="https://creativecommons.org/licenses/by-nc/4.0/" TargetMode="External"/><Relationship Id="rId124" Type="http://schemas.openxmlformats.org/officeDocument/2006/relationships/hyperlink" Target="https://www.inaturalist.org/observations/383075712" TargetMode="External"/><Relationship Id="rId125" Type="http://schemas.openxmlformats.org/officeDocument/2006/relationships/hyperlink" Target="https://creativecommons.org/licenses/by-nc/4.0/" TargetMode="External"/><Relationship Id="rId126" Type="http://schemas.openxmlformats.org/officeDocument/2006/relationships/hyperlink" Target="https://www.inaturalist.org/observations/383075257" TargetMode="External"/><Relationship Id="rId127" Type="http://schemas.openxmlformats.org/officeDocument/2006/relationships/hyperlink" Target="https://creativecommons.org/licenses/by-nc/4.0/" TargetMode="External"/><Relationship Id="rId128" Type="http://schemas.openxmlformats.org/officeDocument/2006/relationships/hyperlink" Target="https://www.inaturalist.org/observations/383075255" TargetMode="External"/><Relationship Id="rId129" Type="http://schemas.openxmlformats.org/officeDocument/2006/relationships/hyperlink" Target="https://creativecommons.org/licenses/by-nc/4.0/" TargetMode="External"/><Relationship Id="rId130" Type="http://schemas.openxmlformats.org/officeDocument/2006/relationships/hyperlink" Target="https://www.inaturalist.org/observations/383075184" TargetMode="External"/><Relationship Id="rId131" Type="http://schemas.openxmlformats.org/officeDocument/2006/relationships/hyperlink" Target="https://creativecommons.org/licenses/by-nc/4.0/" TargetMode="External"/><Relationship Id="rId132" Type="http://schemas.openxmlformats.org/officeDocument/2006/relationships/hyperlink" Target="https://www.inaturalist.org/observations/383072765" TargetMode="External"/><Relationship Id="rId133" Type="http://schemas.openxmlformats.org/officeDocument/2006/relationships/hyperlink" Target="https://creativecommons.org/licenses/by-nc/4.0/" TargetMode="External"/><Relationship Id="rId134" Type="http://schemas.openxmlformats.org/officeDocument/2006/relationships/hyperlink" Target="https://www.inaturalist.org/observations/383070897" TargetMode="External"/><Relationship Id="rId135" Type="http://schemas.openxmlformats.org/officeDocument/2006/relationships/hyperlink" Target="https://creativecommons.org/licenses/by-nc/4.0/" TargetMode="External"/><Relationship Id="rId136" Type="http://schemas.openxmlformats.org/officeDocument/2006/relationships/hyperlink" Target="https://www.inaturalist.org/observations/383070871" TargetMode="External"/><Relationship Id="rId137" Type="http://schemas.openxmlformats.org/officeDocument/2006/relationships/hyperlink" Target="https://creativecommons.org/licenses/by-nc/4.0/" TargetMode="External"/><Relationship Id="rId138" Type="http://schemas.openxmlformats.org/officeDocument/2006/relationships/hyperlink" Target="https://www.inaturalist.org/observations/383070751" TargetMode="External"/><Relationship Id="rId139" Type="http://schemas.openxmlformats.org/officeDocument/2006/relationships/hyperlink" Target="https://creativecommons.org/licenses/by-nc/4.0/" TargetMode="External"/><Relationship Id="rId140" Type="http://schemas.openxmlformats.org/officeDocument/2006/relationships/hyperlink" Target="https://www.inaturalist.org/observations/383070424" TargetMode="External"/><Relationship Id="rId141" Type="http://schemas.openxmlformats.org/officeDocument/2006/relationships/hyperlink" Target="https://creativecommons.org/licenses/by-nc/4.0/" TargetMode="External"/><Relationship Id="rId142" Type="http://schemas.openxmlformats.org/officeDocument/2006/relationships/hyperlink" Target="https://www.inaturalist.org/observations/383063590" TargetMode="External"/><Relationship Id="rId143" Type="http://schemas.openxmlformats.org/officeDocument/2006/relationships/hyperlink" Target="https://creativecommons.org/licenses/by-nc/4.0/" TargetMode="External"/><Relationship Id="rId144" Type="http://schemas.openxmlformats.org/officeDocument/2006/relationships/hyperlink" Target="https://www.inaturalist.org/observations/383059704" TargetMode="External"/><Relationship Id="rId145" Type="http://schemas.openxmlformats.org/officeDocument/2006/relationships/hyperlink" Target="https://creativecommons.org/licenses/by-nc/4.0/" TargetMode="External"/><Relationship Id="rId146" Type="http://schemas.openxmlformats.org/officeDocument/2006/relationships/hyperlink" Target="https://www.inaturalist.org/observations/383057584" TargetMode="External"/><Relationship Id="rId147" Type="http://schemas.openxmlformats.org/officeDocument/2006/relationships/hyperlink" Target="https://creativecommons.org/licenses/by-nc/4.0/" TargetMode="External"/><Relationship Id="rId148" Type="http://schemas.openxmlformats.org/officeDocument/2006/relationships/hyperlink" Target="https://www.inaturalist.org/observations/383055169" TargetMode="External"/><Relationship Id="rId149" Type="http://schemas.openxmlformats.org/officeDocument/2006/relationships/hyperlink" Target="https://creativecommons.org/licenses/by-nc/4.0/" TargetMode="External"/><Relationship Id="rId150" Type="http://schemas.openxmlformats.org/officeDocument/2006/relationships/hyperlink" Target="https://www.inaturalist.org/observations/383055132" TargetMode="External"/><Relationship Id="rId151" Type="http://schemas.openxmlformats.org/officeDocument/2006/relationships/hyperlink" Target="https://creativecommons.org/licenses/by-nc/4.0/" TargetMode="External"/><Relationship Id="rId152" Type="http://schemas.openxmlformats.org/officeDocument/2006/relationships/hyperlink" Target="https://www.inaturalist.org/observations/383053981" TargetMode="External"/><Relationship Id="rId153" Type="http://schemas.openxmlformats.org/officeDocument/2006/relationships/hyperlink" Target="https://creativecommons.org/licenses/by-nc/4.0/" TargetMode="External"/><Relationship Id="rId154" Type="http://schemas.openxmlformats.org/officeDocument/2006/relationships/hyperlink" Target="https://www.inaturalist.org/observations/383052071" TargetMode="External"/><Relationship Id="rId155" Type="http://schemas.openxmlformats.org/officeDocument/2006/relationships/hyperlink" Target="https://creativecommons.org/licenses/by-nc/4.0/" TargetMode="External"/><Relationship Id="rId156" Type="http://schemas.openxmlformats.org/officeDocument/2006/relationships/hyperlink" Target="https://www.inaturalist.org/observations/383052038" TargetMode="External"/><Relationship Id="rId157" Type="http://schemas.openxmlformats.org/officeDocument/2006/relationships/hyperlink" Target="https://creativecommons.org/licenses/by-nc/4.0/" TargetMode="External"/><Relationship Id="rId158" Type="http://schemas.openxmlformats.org/officeDocument/2006/relationships/hyperlink" Target="https://www.inaturalist.org/observations/383048009" TargetMode="External"/><Relationship Id="rId159" Type="http://schemas.openxmlformats.org/officeDocument/2006/relationships/hyperlink" Target="https://creativecommons.org/licenses/by-nc/4.0/" TargetMode="External"/><Relationship Id="rId160" Type="http://schemas.openxmlformats.org/officeDocument/2006/relationships/hyperlink" Target="https://www.inaturalist.org/observations/383047435" TargetMode="External"/><Relationship Id="rId161" Type="http://schemas.openxmlformats.org/officeDocument/2006/relationships/hyperlink" Target="https://creativecommons.org/licenses/by-nc/4.0/" TargetMode="External"/><Relationship Id="rId162" Type="http://schemas.openxmlformats.org/officeDocument/2006/relationships/hyperlink" Target="https://www.inaturalist.org/observations/383047425" TargetMode="External"/><Relationship Id="rId163" Type="http://schemas.openxmlformats.org/officeDocument/2006/relationships/hyperlink" Target="https://creativecommons.org/licenses/by-nc/4.0/" TargetMode="External"/><Relationship Id="rId164" Type="http://schemas.openxmlformats.org/officeDocument/2006/relationships/hyperlink" Target="https://www.inaturalist.org/observations/383042866" TargetMode="External"/><Relationship Id="rId165" Type="http://schemas.openxmlformats.org/officeDocument/2006/relationships/hyperlink" Target="https://creativecommons.org/licenses/by-nc/4.0/" TargetMode="External"/><Relationship Id="rId166" Type="http://schemas.openxmlformats.org/officeDocument/2006/relationships/hyperlink" Target="https://www.inaturalist.org/observations/383042654" TargetMode="External"/><Relationship Id="rId167" Type="http://schemas.openxmlformats.org/officeDocument/2006/relationships/hyperlink" Target="https://creativecommons.org/licenses/by-nc/4.0/" TargetMode="External"/><Relationship Id="rId168" Type="http://schemas.openxmlformats.org/officeDocument/2006/relationships/hyperlink" Target="https://www.inaturalist.org/observations/383041030" TargetMode="External"/><Relationship Id="rId169" Type="http://schemas.openxmlformats.org/officeDocument/2006/relationships/hyperlink" Target="https://creativecommons.org/licenses/by-nc/4.0/" TargetMode="External"/><Relationship Id="rId170" Type="http://schemas.openxmlformats.org/officeDocument/2006/relationships/hyperlink" Target="https://www.inaturalist.org/observations/383036665" TargetMode="External"/><Relationship Id="rId171" Type="http://schemas.openxmlformats.org/officeDocument/2006/relationships/hyperlink" Target="https://creativecommons.org/licenses/by-nc/4.0/" TargetMode="External"/><Relationship Id="rId172" Type="http://schemas.openxmlformats.org/officeDocument/2006/relationships/hyperlink" Target="https://www.inaturalist.org/observations/383033717" TargetMode="External"/><Relationship Id="rId173" Type="http://schemas.openxmlformats.org/officeDocument/2006/relationships/hyperlink" Target="https://creativecommons.org/licenses/by-nc/4.0/" TargetMode="External"/><Relationship Id="rId174" Type="http://schemas.openxmlformats.org/officeDocument/2006/relationships/hyperlink" Target="https://www.inaturalist.org/observations/383031050" TargetMode="External"/><Relationship Id="rId175" Type="http://schemas.openxmlformats.org/officeDocument/2006/relationships/hyperlink" Target="https://creativecommons.org/licenses/by-nc/4.0/" TargetMode="External"/><Relationship Id="rId176" Type="http://schemas.openxmlformats.org/officeDocument/2006/relationships/hyperlink" Target="https://www.inaturalist.org/observations/383029464" TargetMode="External"/><Relationship Id="rId177" Type="http://schemas.openxmlformats.org/officeDocument/2006/relationships/hyperlink" Target="https://creativecommons.org/licenses/by-nc/4.0/" TargetMode="External"/><Relationship Id="rId178" Type="http://schemas.openxmlformats.org/officeDocument/2006/relationships/hyperlink" Target="https://www.inaturalist.org/observations/383026905" TargetMode="External"/><Relationship Id="rId179" Type="http://schemas.openxmlformats.org/officeDocument/2006/relationships/hyperlink" Target="https://creativecommons.org/licenses/by-nc/4.0/" TargetMode="External"/><Relationship Id="rId180" Type="http://schemas.openxmlformats.org/officeDocument/2006/relationships/hyperlink" Target="https://www.inaturalist.org/observations/383024237" TargetMode="External"/><Relationship Id="rId181" Type="http://schemas.openxmlformats.org/officeDocument/2006/relationships/hyperlink" Target="https://creativecommons.org/licenses/by-nc/4.0/" TargetMode="External"/><Relationship Id="rId182" Type="http://schemas.openxmlformats.org/officeDocument/2006/relationships/hyperlink" Target="https://www.inaturalist.org/observations/383023783" TargetMode="External"/><Relationship Id="rId183" Type="http://schemas.openxmlformats.org/officeDocument/2006/relationships/hyperlink" Target="https://creativecommons.org/licenses/by-nc/4.0/" TargetMode="External"/><Relationship Id="rId184" Type="http://schemas.openxmlformats.org/officeDocument/2006/relationships/hyperlink" Target="https://www.inaturalist.org/observations/383023531" TargetMode="External"/><Relationship Id="rId185" Type="http://schemas.openxmlformats.org/officeDocument/2006/relationships/hyperlink" Target="https://creativecommons.org/licenses/by-nc/4.0/" TargetMode="External"/><Relationship Id="rId186" Type="http://schemas.openxmlformats.org/officeDocument/2006/relationships/hyperlink" Target="https://www.inaturalist.org/observations/383023018" TargetMode="External"/><Relationship Id="rId187" Type="http://schemas.openxmlformats.org/officeDocument/2006/relationships/hyperlink" Target="https://creativecommons.org/licenses/by-nc/4.0/" TargetMode="External"/><Relationship Id="rId188" Type="http://schemas.openxmlformats.org/officeDocument/2006/relationships/hyperlink" Target="https://www.inaturalist.org/observations/383023009" TargetMode="External"/><Relationship Id="rId189" Type="http://schemas.openxmlformats.org/officeDocument/2006/relationships/hyperlink" Target="https://creativecommons.org/licenses/by-nc/4.0/" TargetMode="External"/><Relationship Id="rId190" Type="http://schemas.openxmlformats.org/officeDocument/2006/relationships/hyperlink" Target="https://www.inaturalist.org/observations/383022984" TargetMode="External"/><Relationship Id="rId191" Type="http://schemas.openxmlformats.org/officeDocument/2006/relationships/hyperlink" Target="https://creativecommons.org/licenses/by-nc/4.0/" TargetMode="External"/><Relationship Id="rId192" Type="http://schemas.openxmlformats.org/officeDocument/2006/relationships/hyperlink" Target="https://www.inaturalist.org/observations/383018447" TargetMode="External"/><Relationship Id="rId193" Type="http://schemas.openxmlformats.org/officeDocument/2006/relationships/hyperlink" Target="https://creativecommons.org/licenses/by-nc/4.0/" TargetMode="External"/><Relationship Id="rId194" Type="http://schemas.openxmlformats.org/officeDocument/2006/relationships/hyperlink" Target="https://www.inaturalist.org/observations/383010287" TargetMode="External"/><Relationship Id="rId195" Type="http://schemas.openxmlformats.org/officeDocument/2006/relationships/hyperlink" Target="https://creativecommons.org/licenses/by-nc/4.0/" TargetMode="External"/><Relationship Id="rId196" Type="http://schemas.openxmlformats.org/officeDocument/2006/relationships/hyperlink" Target="https://www.inaturalist.org/observations/383008762" TargetMode="External"/><Relationship Id="rId197" Type="http://schemas.openxmlformats.org/officeDocument/2006/relationships/hyperlink" Target="https://creativecommons.org/licenses/by-nc/4.0/" TargetMode="External"/><Relationship Id="rId198" Type="http://schemas.openxmlformats.org/officeDocument/2006/relationships/hyperlink" Target="https://www.inaturalist.org/observations/383008400" TargetMode="External"/><Relationship Id="rId199" Type="http://schemas.openxmlformats.org/officeDocument/2006/relationships/hyperlink" Target="https://creativecommons.org/licenses/by-nc/4.0/" TargetMode="External"/><Relationship Id="rId200" Type="http://schemas.openxmlformats.org/officeDocument/2006/relationships/hyperlink" Target="https://www.inaturalist.org/observations/383008210" TargetMode="External"/><Relationship Id="rId201" Type="http://schemas.openxmlformats.org/officeDocument/2006/relationships/hyperlink" Target="https://creativecommons.org/licenses/by-nc/4.0/" TargetMode="External"/><Relationship Id="rId202" Type="http://schemas.openxmlformats.org/officeDocument/2006/relationships/hyperlink" Target="https://www.inaturalist.org/observations/383007656" TargetMode="External"/><Relationship Id="rId203" Type="http://schemas.openxmlformats.org/officeDocument/2006/relationships/hyperlink" Target="https://creativecommons.org/licenses/by-nc/4.0/" TargetMode="External"/><Relationship Id="rId204" Type="http://schemas.openxmlformats.org/officeDocument/2006/relationships/hyperlink" Target="https://www.inaturalist.org/observations/383000733" TargetMode="External"/><Relationship Id="rId205" Type="http://schemas.openxmlformats.org/officeDocument/2006/relationships/hyperlink" Target="https://creativecommons.org/licenses/by-nc/4.0/" TargetMode="External"/><Relationship Id="rId206" Type="http://schemas.openxmlformats.org/officeDocument/2006/relationships/hyperlink" Target="https://www.inaturalist.org/observations/382998458" TargetMode="External"/><Relationship Id="rId207" Type="http://schemas.openxmlformats.org/officeDocument/2006/relationships/hyperlink" Target="https://creativecommons.org/licenses/by-nc/4.0/" TargetMode="External"/><Relationship Id="rId208" Type="http://schemas.openxmlformats.org/officeDocument/2006/relationships/hyperlink" Target="https://www.inaturalist.org/observations/382997556" TargetMode="External"/><Relationship Id="rId209" Type="http://schemas.openxmlformats.org/officeDocument/2006/relationships/hyperlink" Target="https://creativecommons.org/licenses/by-nc/4.0/" TargetMode="External"/><Relationship Id="rId210" Type="http://schemas.openxmlformats.org/officeDocument/2006/relationships/hyperlink" Target="https://www.inaturalist.org/observations/382995941" TargetMode="External"/><Relationship Id="rId211" Type="http://schemas.openxmlformats.org/officeDocument/2006/relationships/hyperlink" Target="https://creativecommons.org/licenses/by-nc/4.0/" TargetMode="External"/><Relationship Id="rId212" Type="http://schemas.openxmlformats.org/officeDocument/2006/relationships/hyperlink" Target="https://www.inaturalist.org/observations/382995370" TargetMode="External"/><Relationship Id="rId213" Type="http://schemas.openxmlformats.org/officeDocument/2006/relationships/hyperlink" Target="https://creativecommons.org/licenses/by-nc/4.0/" TargetMode="External"/><Relationship Id="rId214" Type="http://schemas.openxmlformats.org/officeDocument/2006/relationships/hyperlink" Target="https://www.inaturalist.org/observations/382993795" TargetMode="External"/><Relationship Id="rId215" Type="http://schemas.openxmlformats.org/officeDocument/2006/relationships/hyperlink" Target="https://creativecommons.org/licenses/by-nc/4.0/" TargetMode="External"/><Relationship Id="rId216" Type="http://schemas.openxmlformats.org/officeDocument/2006/relationships/hyperlink" Target="https://www.inaturalist.org/observations/382993756" TargetMode="External"/><Relationship Id="rId217" Type="http://schemas.openxmlformats.org/officeDocument/2006/relationships/hyperlink" Target="https://creativecommons.org/licenses/by-nc/4.0/" TargetMode="External"/><Relationship Id="rId218" Type="http://schemas.openxmlformats.org/officeDocument/2006/relationships/hyperlink" Target="https://www.inaturalist.org/observations/382993248" TargetMode="External"/><Relationship Id="rId219" Type="http://schemas.openxmlformats.org/officeDocument/2006/relationships/hyperlink" Target="https://creativecommons.org/licenses/by-nc/4.0/" TargetMode="External"/><Relationship Id="rId220" Type="http://schemas.openxmlformats.org/officeDocument/2006/relationships/hyperlink" Target="https://www.inaturalist.org/observations/382989658" TargetMode="External"/><Relationship Id="rId221" Type="http://schemas.openxmlformats.org/officeDocument/2006/relationships/hyperlink" Target="https://creativecommons.org/licenses/by-nc/4.0/" TargetMode="External"/><Relationship Id="rId222" Type="http://schemas.openxmlformats.org/officeDocument/2006/relationships/hyperlink" Target="https://www.inaturalist.org/observations/382987486" TargetMode="External"/><Relationship Id="rId223" Type="http://schemas.openxmlformats.org/officeDocument/2006/relationships/hyperlink" Target="https://creativecommons.org/licenses/by-nc/4.0/" TargetMode="External"/><Relationship Id="rId224" Type="http://schemas.openxmlformats.org/officeDocument/2006/relationships/hyperlink" Target="https://www.inaturalist.org/observations/382983854" TargetMode="External"/><Relationship Id="rId225" Type="http://schemas.openxmlformats.org/officeDocument/2006/relationships/hyperlink" Target="https://creativecommons.org/licenses/by-nc/4.0/" TargetMode="External"/><Relationship Id="rId226" Type="http://schemas.openxmlformats.org/officeDocument/2006/relationships/hyperlink" Target="https://www.inaturalist.org/observations/382983439" TargetMode="External"/><Relationship Id="rId227" Type="http://schemas.openxmlformats.org/officeDocument/2006/relationships/hyperlink" Target="https://creativecommons.org/licenses/by-nc/4.0/" TargetMode="External"/><Relationship Id="rId228" Type="http://schemas.openxmlformats.org/officeDocument/2006/relationships/hyperlink" Target="https://www.inaturalist.org/observations/382982338" TargetMode="External"/><Relationship Id="rId229" Type="http://schemas.openxmlformats.org/officeDocument/2006/relationships/hyperlink" Target="https://creativecommons.org/licenses/by-nc/4.0/" TargetMode="External"/><Relationship Id="rId230" Type="http://schemas.openxmlformats.org/officeDocument/2006/relationships/hyperlink" Target="https://www.inaturalist.org/observations/382980346" TargetMode="External"/><Relationship Id="rId231" Type="http://schemas.openxmlformats.org/officeDocument/2006/relationships/hyperlink" Target="https://creativecommons.org/licenses/by-nc/4.0/" TargetMode="External"/><Relationship Id="rId232" Type="http://schemas.openxmlformats.org/officeDocument/2006/relationships/hyperlink" Target="https://www.inaturalist.org/observations/382980000" TargetMode="External"/><Relationship Id="rId233" Type="http://schemas.openxmlformats.org/officeDocument/2006/relationships/hyperlink" Target="https://creativecommons.org/licenses/by-nc/4.0/" TargetMode="External"/><Relationship Id="rId234" Type="http://schemas.openxmlformats.org/officeDocument/2006/relationships/hyperlink" Target="https://www.inaturalist.org/observations/382967889" TargetMode="External"/><Relationship Id="rId235" Type="http://schemas.openxmlformats.org/officeDocument/2006/relationships/hyperlink" Target="https://creativecommons.org/licenses/by-nc/4.0/" TargetMode="External"/><Relationship Id="rId236" Type="http://schemas.openxmlformats.org/officeDocument/2006/relationships/hyperlink" Target="https://www.inaturalist.org/observations/382966059" TargetMode="External"/><Relationship Id="rId237" Type="http://schemas.openxmlformats.org/officeDocument/2006/relationships/hyperlink" Target="https://creativecommons.org/licenses/by-nc/4.0/" TargetMode="External"/><Relationship Id="rId238" Type="http://schemas.openxmlformats.org/officeDocument/2006/relationships/hyperlink" Target="https://www.inaturalist.org/observations/382964547" TargetMode="External"/><Relationship Id="rId239" Type="http://schemas.openxmlformats.org/officeDocument/2006/relationships/hyperlink" Target="https://creativecommons.org/licenses/by-nc/4.0/" TargetMode="External"/><Relationship Id="rId240" Type="http://schemas.openxmlformats.org/officeDocument/2006/relationships/hyperlink" Target="https://www.inaturalist.org/observations/382964094" TargetMode="External"/><Relationship Id="rId241" Type="http://schemas.openxmlformats.org/officeDocument/2006/relationships/hyperlink" Target="https://creativecommons.org/licenses/by-nc/4.0/" TargetMode="External"/><Relationship Id="rId242" Type="http://schemas.openxmlformats.org/officeDocument/2006/relationships/hyperlink" Target="https://www.inaturalist.org/observations/382961879" TargetMode="External"/><Relationship Id="rId243" Type="http://schemas.openxmlformats.org/officeDocument/2006/relationships/hyperlink" Target="https://creativecommons.org/licenses/by-nc/4.0/" TargetMode="External"/><Relationship Id="rId244" Type="http://schemas.openxmlformats.org/officeDocument/2006/relationships/hyperlink" Target="https://www.inaturalist.org/observations/382961005" TargetMode="External"/><Relationship Id="rId245" Type="http://schemas.openxmlformats.org/officeDocument/2006/relationships/hyperlink" Target="https://creativecommons.org/licenses/by-nc/4.0/" TargetMode="External"/><Relationship Id="rId246" Type="http://schemas.openxmlformats.org/officeDocument/2006/relationships/hyperlink" Target="https://www.inaturalist.org/observations/382957831" TargetMode="External"/><Relationship Id="rId247" Type="http://schemas.openxmlformats.org/officeDocument/2006/relationships/hyperlink" Target="https://creativecommons.org/licenses/by-nc/4.0/" TargetMode="External"/><Relationship Id="rId248" Type="http://schemas.openxmlformats.org/officeDocument/2006/relationships/hyperlink" Target="https://www.inaturalist.org/observations/382954644" TargetMode="External"/><Relationship Id="rId249" Type="http://schemas.openxmlformats.org/officeDocument/2006/relationships/hyperlink" Target="https://creativecommons.org/licenses/by-nc/4.0/" TargetMode="External"/><Relationship Id="rId250" Type="http://schemas.openxmlformats.org/officeDocument/2006/relationships/hyperlink" Target="https://www.inaturalist.org/observations/382954311" TargetMode="External"/><Relationship Id="rId251" Type="http://schemas.openxmlformats.org/officeDocument/2006/relationships/hyperlink" Target="https://creativecommons.org/licenses/by-nc/4.0/" TargetMode="External"/><Relationship Id="rId252" Type="http://schemas.openxmlformats.org/officeDocument/2006/relationships/hyperlink" Target="https://www.inaturalist.org/observations/382954299" TargetMode="External"/><Relationship Id="rId253" Type="http://schemas.openxmlformats.org/officeDocument/2006/relationships/hyperlink" Target="https://creativecommons.org/licenses/by-nc/4.0/" TargetMode="External"/><Relationship Id="rId254" Type="http://schemas.openxmlformats.org/officeDocument/2006/relationships/hyperlink" Target="https://www.inaturalist.org/observations/382953923" TargetMode="External"/><Relationship Id="rId255" Type="http://schemas.openxmlformats.org/officeDocument/2006/relationships/hyperlink" Target="https://creativecommons.org/licenses/by-nc/4.0/" TargetMode="External"/><Relationship Id="rId256" Type="http://schemas.openxmlformats.org/officeDocument/2006/relationships/hyperlink" Target="https://www.inaturalist.org/observations/382946359" TargetMode="External"/><Relationship Id="rId257" Type="http://schemas.openxmlformats.org/officeDocument/2006/relationships/hyperlink" Target="https://creativecommons.org/licenses/by-nc/4.0/" TargetMode="External"/><Relationship Id="rId258" Type="http://schemas.openxmlformats.org/officeDocument/2006/relationships/hyperlink" Target="https://www.inaturalist.org/observations/382945141" TargetMode="External"/><Relationship Id="rId259" Type="http://schemas.openxmlformats.org/officeDocument/2006/relationships/hyperlink" Target="https://creativecommons.org/licenses/by-nc/4.0/" TargetMode="External"/><Relationship Id="rId260" Type="http://schemas.openxmlformats.org/officeDocument/2006/relationships/hyperlink" Target="https://www.inaturalist.org/observations/382939552" TargetMode="External"/><Relationship Id="rId261" Type="http://schemas.openxmlformats.org/officeDocument/2006/relationships/hyperlink" Target="https://creativecommons.org/licenses/by-nc/4.0/" TargetMode="External"/><Relationship Id="rId262" Type="http://schemas.openxmlformats.org/officeDocument/2006/relationships/hyperlink" Target="https://www.inaturalist.org/observations/382938816" TargetMode="External"/><Relationship Id="rId263" Type="http://schemas.openxmlformats.org/officeDocument/2006/relationships/hyperlink" Target="https://creativecommons.org/licenses/by-nc/4.0/" TargetMode="External"/><Relationship Id="rId264" Type="http://schemas.openxmlformats.org/officeDocument/2006/relationships/hyperlink" Target="https://www.inaturalist.org/observations/382938633" TargetMode="External"/><Relationship Id="rId265" Type="http://schemas.openxmlformats.org/officeDocument/2006/relationships/hyperlink" Target="https://creativecommons.org/licenses/by-nc/4.0/" TargetMode="External"/><Relationship Id="rId266" Type="http://schemas.openxmlformats.org/officeDocument/2006/relationships/hyperlink" Target="https://www.inaturalist.org/observations/382937062" TargetMode="External"/><Relationship Id="rId267" Type="http://schemas.openxmlformats.org/officeDocument/2006/relationships/hyperlink" Target="https://creativecommons.org/licenses/by-nc/4.0/" TargetMode="External"/><Relationship Id="rId268" Type="http://schemas.openxmlformats.org/officeDocument/2006/relationships/hyperlink" Target="https://www.inaturalist.org/observations/382936350" TargetMode="External"/><Relationship Id="rId269" Type="http://schemas.openxmlformats.org/officeDocument/2006/relationships/hyperlink" Target="https://creativecommons.org/licenses/by-nc/4.0/" TargetMode="External"/><Relationship Id="rId270" Type="http://schemas.openxmlformats.org/officeDocument/2006/relationships/hyperlink" Target="https://www.inaturalist.org/observations/382935110" TargetMode="External"/><Relationship Id="rId271" Type="http://schemas.openxmlformats.org/officeDocument/2006/relationships/hyperlink" Target="https://creativecommons.org/licenses/by-nc/4.0/" TargetMode="External"/><Relationship Id="rId272" Type="http://schemas.openxmlformats.org/officeDocument/2006/relationships/hyperlink" Target="https://www.inaturalist.org/observations/382933905" TargetMode="External"/><Relationship Id="rId273" Type="http://schemas.openxmlformats.org/officeDocument/2006/relationships/hyperlink" Target="https://creativecommons.org/licenses/by-nc/4.0/" TargetMode="External"/><Relationship Id="rId274" Type="http://schemas.openxmlformats.org/officeDocument/2006/relationships/hyperlink" Target="https://www.inaturalist.org/observations/382931062" TargetMode="External"/><Relationship Id="rId275" Type="http://schemas.openxmlformats.org/officeDocument/2006/relationships/hyperlink" Target="https://creativecommons.org/licenses/by-nc/4.0/" TargetMode="External"/><Relationship Id="rId276" Type="http://schemas.openxmlformats.org/officeDocument/2006/relationships/hyperlink" Target="https://www.inaturalist.org/observations/382929018" TargetMode="External"/><Relationship Id="rId277" Type="http://schemas.openxmlformats.org/officeDocument/2006/relationships/hyperlink" Target="https://creativecommons.org/licenses/by-nc/4.0/" TargetMode="External"/><Relationship Id="rId278" Type="http://schemas.openxmlformats.org/officeDocument/2006/relationships/hyperlink" Target="https://www.inaturalist.org/observations/382926718" TargetMode="External"/><Relationship Id="rId279" Type="http://schemas.openxmlformats.org/officeDocument/2006/relationships/hyperlink" Target="https://creativecommons.org/licenses/by-nc/4.0/" TargetMode="External"/><Relationship Id="rId280" Type="http://schemas.openxmlformats.org/officeDocument/2006/relationships/hyperlink" Target="https://www.inaturalist.org/observations/382926555" TargetMode="External"/><Relationship Id="rId281" Type="http://schemas.openxmlformats.org/officeDocument/2006/relationships/hyperlink" Target="https://creativecommons.org/licenses/by-nc/4.0/" TargetMode="External"/><Relationship Id="rId282" Type="http://schemas.openxmlformats.org/officeDocument/2006/relationships/hyperlink" Target="https://www.inaturalist.org/observations/382926545" TargetMode="External"/><Relationship Id="rId283" Type="http://schemas.openxmlformats.org/officeDocument/2006/relationships/hyperlink" Target="https://creativecommons.org/licenses/by-nc/4.0/" TargetMode="External"/><Relationship Id="rId284" Type="http://schemas.openxmlformats.org/officeDocument/2006/relationships/hyperlink" Target="https://www.inaturalist.org/observations/382922566" TargetMode="External"/><Relationship Id="rId285" Type="http://schemas.openxmlformats.org/officeDocument/2006/relationships/hyperlink" Target="https://creativecommons.org/licenses/by-nc/4.0/" TargetMode="External"/><Relationship Id="rId286" Type="http://schemas.openxmlformats.org/officeDocument/2006/relationships/hyperlink" Target="https://www.inaturalist.org/observations/382922214" TargetMode="External"/><Relationship Id="rId287" Type="http://schemas.openxmlformats.org/officeDocument/2006/relationships/hyperlink" Target="https://creativecommons.org/licenses/by-nc/4.0/" TargetMode="External"/><Relationship Id="rId288" Type="http://schemas.openxmlformats.org/officeDocument/2006/relationships/hyperlink" Target="https://www.inaturalist.org/observations/382920167" TargetMode="External"/><Relationship Id="rId289" Type="http://schemas.openxmlformats.org/officeDocument/2006/relationships/hyperlink" Target="https://creativecommons.org/licenses/by-nc/4.0/" TargetMode="External"/><Relationship Id="rId290" Type="http://schemas.openxmlformats.org/officeDocument/2006/relationships/hyperlink" Target="https://www.inaturalist.org/observations/382918293" TargetMode="External"/><Relationship Id="rId291" Type="http://schemas.openxmlformats.org/officeDocument/2006/relationships/hyperlink" Target="https://creativecommons.org/licenses/by-nc/4.0/" TargetMode="External"/><Relationship Id="rId292" Type="http://schemas.openxmlformats.org/officeDocument/2006/relationships/hyperlink" Target="https://www.inaturalist.org/observations/382914670" TargetMode="External"/><Relationship Id="rId293" Type="http://schemas.openxmlformats.org/officeDocument/2006/relationships/hyperlink" Target="https://creativecommons.org/licenses/by-nc/4.0/" TargetMode="External"/><Relationship Id="rId294" Type="http://schemas.openxmlformats.org/officeDocument/2006/relationships/hyperlink" Target="https://www.inaturalist.org/observations/382911958" TargetMode="External"/><Relationship Id="rId295" Type="http://schemas.openxmlformats.org/officeDocument/2006/relationships/hyperlink" Target="https://creativecommons.org/licenses/by-nc/4.0/" TargetMode="External"/><Relationship Id="rId296" Type="http://schemas.openxmlformats.org/officeDocument/2006/relationships/hyperlink" Target="https://www.inaturalist.org/observations/382903438" TargetMode="External"/><Relationship Id="rId297" Type="http://schemas.openxmlformats.org/officeDocument/2006/relationships/hyperlink" Target="https://creativecommons.org/licenses/by-nc/4.0/" TargetMode="External"/><Relationship Id="rId298" Type="http://schemas.openxmlformats.org/officeDocument/2006/relationships/hyperlink" Target="https://www.inaturalist.org/observations/382901340" TargetMode="External"/><Relationship Id="rId299" Type="http://schemas.openxmlformats.org/officeDocument/2006/relationships/hyperlink" Target="https://creativecommons.org/licenses/by-nc/4.0/" TargetMode="External"/><Relationship Id="rId300" Type="http://schemas.openxmlformats.org/officeDocument/2006/relationships/hyperlink" Target="https://www.inaturalist.org/observations/382897983" TargetMode="External"/><Relationship Id="rId301" Type="http://schemas.openxmlformats.org/officeDocument/2006/relationships/hyperlink" Target="https://creativecommons.org/licenses/by-nc/4.0/" TargetMode="External"/><Relationship Id="rId302" Type="http://schemas.openxmlformats.org/officeDocument/2006/relationships/hyperlink" Target="https://www.inaturalist.org/observations/382895951" TargetMode="External"/><Relationship Id="rId303" Type="http://schemas.openxmlformats.org/officeDocument/2006/relationships/hyperlink" Target="https://creativecommons.org/licenses/by-nc/4.0/" TargetMode="External"/><Relationship Id="rId304" Type="http://schemas.openxmlformats.org/officeDocument/2006/relationships/hyperlink" Target="https://www.inaturalist.org/observations/382894757" TargetMode="External"/><Relationship Id="rId305" Type="http://schemas.openxmlformats.org/officeDocument/2006/relationships/hyperlink" Target="https://creativecommons.org/licenses/by-nc/4.0/" TargetMode="External"/><Relationship Id="rId306" Type="http://schemas.openxmlformats.org/officeDocument/2006/relationships/hyperlink" Target="https://www.inaturalist.org/observations/382892281" TargetMode="External"/><Relationship Id="rId307" Type="http://schemas.openxmlformats.org/officeDocument/2006/relationships/hyperlink" Target="https://creativecommons.org/licenses/by-nc/4.0/" TargetMode="External"/><Relationship Id="rId308" Type="http://schemas.openxmlformats.org/officeDocument/2006/relationships/hyperlink" Target="https://www.inaturalist.org/observations/382892270" TargetMode="External"/><Relationship Id="rId309" Type="http://schemas.openxmlformats.org/officeDocument/2006/relationships/hyperlink" Target="https://creativecommons.org/licenses/by-nc/4.0/" TargetMode="External"/><Relationship Id="rId310" Type="http://schemas.openxmlformats.org/officeDocument/2006/relationships/hyperlink" Target="https://www.inaturalist.org/observations/382891359" TargetMode="External"/><Relationship Id="rId311" Type="http://schemas.openxmlformats.org/officeDocument/2006/relationships/hyperlink" Target="https://creativecommons.org/licenses/by-nc/4.0/" TargetMode="External"/><Relationship Id="rId312" Type="http://schemas.openxmlformats.org/officeDocument/2006/relationships/hyperlink" Target="https://www.inaturalist.org/observations/382890937" TargetMode="External"/><Relationship Id="rId313" Type="http://schemas.openxmlformats.org/officeDocument/2006/relationships/hyperlink" Target="https://creativecommons.org/licenses/by-nc/4.0/" TargetMode="External"/><Relationship Id="rId314" Type="http://schemas.openxmlformats.org/officeDocument/2006/relationships/hyperlink" Target="https://www.inaturalist.org/observations/382882645" TargetMode="External"/><Relationship Id="rId315" Type="http://schemas.openxmlformats.org/officeDocument/2006/relationships/hyperlink" Target="https://creativecommons.org/licenses/by-nc/4.0/" TargetMode="External"/><Relationship Id="rId316" Type="http://schemas.openxmlformats.org/officeDocument/2006/relationships/hyperlink" Target="https://www.inaturalist.org/observations/382879774" TargetMode="External"/><Relationship Id="rId317" Type="http://schemas.openxmlformats.org/officeDocument/2006/relationships/hyperlink" Target="https://creativecommons.org/licenses/by-nc/4.0/" TargetMode="External"/><Relationship Id="rId318" Type="http://schemas.openxmlformats.org/officeDocument/2006/relationships/hyperlink" Target="https://www.inaturalist.org/observations/382874032" TargetMode="External"/><Relationship Id="rId319" Type="http://schemas.openxmlformats.org/officeDocument/2006/relationships/hyperlink" Target="https://creativecommons.org/licenses/by-nc/4.0/" TargetMode="External"/><Relationship Id="rId320" Type="http://schemas.openxmlformats.org/officeDocument/2006/relationships/hyperlink" Target="https://www.inaturalist.org/observations/382872483" TargetMode="External"/><Relationship Id="rId321" Type="http://schemas.openxmlformats.org/officeDocument/2006/relationships/hyperlink" Target="https://creativecommons.org/licenses/by-nc/4.0/" TargetMode="External"/><Relationship Id="rId322" Type="http://schemas.openxmlformats.org/officeDocument/2006/relationships/hyperlink" Target="https://www.inaturalist.org/observations/382872208" TargetMode="External"/><Relationship Id="rId323" Type="http://schemas.openxmlformats.org/officeDocument/2006/relationships/hyperlink" Target="https://creativecommons.org/licenses/by-nc/4.0/" TargetMode="External"/><Relationship Id="rId324" Type="http://schemas.openxmlformats.org/officeDocument/2006/relationships/hyperlink" Target="https://www.inaturalist.org/observations/382868557" TargetMode="External"/><Relationship Id="rId325" Type="http://schemas.openxmlformats.org/officeDocument/2006/relationships/hyperlink" Target="https://creativecommons.org/licenses/by-nc/4.0/" TargetMode="External"/><Relationship Id="rId326" Type="http://schemas.openxmlformats.org/officeDocument/2006/relationships/hyperlink" Target="https://www.inaturalist.org/observations/382864992" TargetMode="External"/><Relationship Id="rId327" Type="http://schemas.openxmlformats.org/officeDocument/2006/relationships/hyperlink" Target="https://creativecommons.org/licenses/by-nc/4.0/" TargetMode="External"/><Relationship Id="rId328" Type="http://schemas.openxmlformats.org/officeDocument/2006/relationships/hyperlink" Target="https://www.inaturalist.org/observations/382864988" TargetMode="External"/><Relationship Id="rId329" Type="http://schemas.openxmlformats.org/officeDocument/2006/relationships/hyperlink" Target="https://creativecommons.org/licenses/by-nc/4.0/" TargetMode="External"/><Relationship Id="rId330" Type="http://schemas.openxmlformats.org/officeDocument/2006/relationships/hyperlink" Target="https://www.inaturalist.org/observations/382864582" TargetMode="External"/><Relationship Id="rId331" Type="http://schemas.openxmlformats.org/officeDocument/2006/relationships/hyperlink" Target="https://creativecommons.org/licenses/by-nc/4.0/" TargetMode="External"/><Relationship Id="rId332" Type="http://schemas.openxmlformats.org/officeDocument/2006/relationships/hyperlink" Target="https://www.inaturalist.org/observations/382864319" TargetMode="External"/><Relationship Id="rId333" Type="http://schemas.openxmlformats.org/officeDocument/2006/relationships/hyperlink" Target="https://creativecommons.org/licenses/by-nc/4.0/" TargetMode="External"/><Relationship Id="rId334" Type="http://schemas.openxmlformats.org/officeDocument/2006/relationships/hyperlink" Target="https://www.inaturalist.org/observations/382864202" TargetMode="External"/><Relationship Id="rId335" Type="http://schemas.openxmlformats.org/officeDocument/2006/relationships/hyperlink" Target="https://creativecommons.org/licenses/by-nc/4.0/" TargetMode="External"/><Relationship Id="rId336" Type="http://schemas.openxmlformats.org/officeDocument/2006/relationships/hyperlink" Target="https://www.inaturalist.org/observations/382864108" TargetMode="External"/><Relationship Id="rId337" Type="http://schemas.openxmlformats.org/officeDocument/2006/relationships/hyperlink" Target="https://creativecommons.org/licenses/by-nc/4.0/" TargetMode="External"/><Relationship Id="rId338" Type="http://schemas.openxmlformats.org/officeDocument/2006/relationships/hyperlink" Target="https://www.inaturalist.org/observations/382863954" TargetMode="External"/><Relationship Id="rId339" Type="http://schemas.openxmlformats.org/officeDocument/2006/relationships/hyperlink" Target="https://creativecommons.org/licenses/by-nc/4.0/" TargetMode="External"/><Relationship Id="rId340" Type="http://schemas.openxmlformats.org/officeDocument/2006/relationships/hyperlink" Target="https://www.inaturalist.org/observations/382862909" TargetMode="External"/><Relationship Id="rId341" Type="http://schemas.openxmlformats.org/officeDocument/2006/relationships/hyperlink" Target="https://creativecommons.org/licenses/by-nc/4.0/" TargetMode="External"/><Relationship Id="rId342" Type="http://schemas.openxmlformats.org/officeDocument/2006/relationships/hyperlink" Target="https://www.inaturalist.org/observations/382862048" TargetMode="External"/><Relationship Id="rId343" Type="http://schemas.openxmlformats.org/officeDocument/2006/relationships/hyperlink" Target="https://creativecommons.org/licenses/by-nc/4.0/" TargetMode="External"/><Relationship Id="rId344" Type="http://schemas.openxmlformats.org/officeDocument/2006/relationships/hyperlink" Target="https://www.inaturalist.org/observations/382861537" TargetMode="External"/><Relationship Id="rId345" Type="http://schemas.openxmlformats.org/officeDocument/2006/relationships/hyperlink" Target="https://creativecommons.org/licenses/by-nc/4.0/" TargetMode="External"/><Relationship Id="rId346" Type="http://schemas.openxmlformats.org/officeDocument/2006/relationships/hyperlink" Target="https://www.inaturalist.org/observations/382860054" TargetMode="External"/><Relationship Id="rId347" Type="http://schemas.openxmlformats.org/officeDocument/2006/relationships/hyperlink" Target="https://creativecommons.org/licenses/by-nc/4.0/" TargetMode="External"/><Relationship Id="rId348" Type="http://schemas.openxmlformats.org/officeDocument/2006/relationships/hyperlink" Target="https://www.inaturalist.org/observations/382859996" TargetMode="External"/><Relationship Id="rId349" Type="http://schemas.openxmlformats.org/officeDocument/2006/relationships/hyperlink" Target="https://creativecommons.org/licenses/by-nc/4.0/" TargetMode="External"/><Relationship Id="rId350" Type="http://schemas.openxmlformats.org/officeDocument/2006/relationships/hyperlink" Target="https://www.inaturalist.org/observations/382858913" TargetMode="External"/><Relationship Id="rId351" Type="http://schemas.openxmlformats.org/officeDocument/2006/relationships/hyperlink" Target="https://creativecommons.org/licenses/by-nc/4.0/" TargetMode="External"/><Relationship Id="rId352" Type="http://schemas.openxmlformats.org/officeDocument/2006/relationships/hyperlink" Target="https://www.inaturalist.org/observations/382858543" TargetMode="External"/><Relationship Id="rId353" Type="http://schemas.openxmlformats.org/officeDocument/2006/relationships/hyperlink" Target="https://creativecommons.org/licenses/by-nc/4.0/" TargetMode="External"/><Relationship Id="rId354" Type="http://schemas.openxmlformats.org/officeDocument/2006/relationships/hyperlink" Target="https://www.inaturalist.org/observations/382857879" TargetMode="External"/><Relationship Id="rId355" Type="http://schemas.openxmlformats.org/officeDocument/2006/relationships/hyperlink" Target="https://creativecommons.org/licenses/by-nc/4.0/" TargetMode="External"/><Relationship Id="rId356" Type="http://schemas.openxmlformats.org/officeDocument/2006/relationships/hyperlink" Target="https://www.inaturalist.org/observations/382855968" TargetMode="External"/><Relationship Id="rId357" Type="http://schemas.openxmlformats.org/officeDocument/2006/relationships/hyperlink" Target="https://creativecommons.org/licenses/by-nc/4.0/" TargetMode="External"/><Relationship Id="rId358" Type="http://schemas.openxmlformats.org/officeDocument/2006/relationships/hyperlink" Target="https://www.inaturalist.org/observations/382855946" TargetMode="External"/><Relationship Id="rId359" Type="http://schemas.openxmlformats.org/officeDocument/2006/relationships/hyperlink" Target="https://creativecommons.org/licenses/by-nc/4.0/" TargetMode="External"/><Relationship Id="rId360" Type="http://schemas.openxmlformats.org/officeDocument/2006/relationships/hyperlink" Target="https://www.inaturalist.org/observations/382855803" TargetMode="External"/><Relationship Id="rId361" Type="http://schemas.openxmlformats.org/officeDocument/2006/relationships/hyperlink" Target="https://creativecommons.org/licenses/by-nc/4.0/" TargetMode="External"/><Relationship Id="rId362" Type="http://schemas.openxmlformats.org/officeDocument/2006/relationships/hyperlink" Target="https://www.inaturalist.org/observations/382855614" TargetMode="External"/><Relationship Id="rId363" Type="http://schemas.openxmlformats.org/officeDocument/2006/relationships/hyperlink" Target="https://creativecommons.org/licenses/by-nc/4.0/" TargetMode="External"/><Relationship Id="rId364" Type="http://schemas.openxmlformats.org/officeDocument/2006/relationships/hyperlink" Target="https://www.inaturalist.org/observations/382850917" TargetMode="External"/><Relationship Id="rId365" Type="http://schemas.openxmlformats.org/officeDocument/2006/relationships/hyperlink" Target="https://creativecommons.org/licenses/by-nc/4.0/" TargetMode="External"/><Relationship Id="rId366" Type="http://schemas.openxmlformats.org/officeDocument/2006/relationships/hyperlink" Target="https://www.inaturalist.org/observations/382850909" TargetMode="External"/><Relationship Id="rId367" Type="http://schemas.openxmlformats.org/officeDocument/2006/relationships/hyperlink" Target="https://creativecommons.org/licenses/by-nc/4.0/" TargetMode="External"/><Relationship Id="rId368" Type="http://schemas.openxmlformats.org/officeDocument/2006/relationships/hyperlink" Target="https://www.inaturalist.org/observations/382847576" TargetMode="External"/><Relationship Id="rId369" Type="http://schemas.openxmlformats.org/officeDocument/2006/relationships/hyperlink" Target="https://creativecommons.org/licenses/by-nc/4.0/" TargetMode="External"/><Relationship Id="rId370" Type="http://schemas.openxmlformats.org/officeDocument/2006/relationships/hyperlink" Target="https://www.inaturalist.org/observations/382845204" TargetMode="External"/><Relationship Id="rId371" Type="http://schemas.openxmlformats.org/officeDocument/2006/relationships/hyperlink" Target="https://creativecommons.org/licenses/by-nc/4.0/" TargetMode="External"/><Relationship Id="rId372" Type="http://schemas.openxmlformats.org/officeDocument/2006/relationships/hyperlink" Target="https://www.inaturalist.org/observations/382844279" TargetMode="External"/><Relationship Id="rId373" Type="http://schemas.openxmlformats.org/officeDocument/2006/relationships/hyperlink" Target="https://creativecommons.org/licenses/by-nc/4.0/" TargetMode="External"/><Relationship Id="rId374" Type="http://schemas.openxmlformats.org/officeDocument/2006/relationships/hyperlink" Target="https://www.inaturalist.org/observations/382844061" TargetMode="External"/><Relationship Id="rId375" Type="http://schemas.openxmlformats.org/officeDocument/2006/relationships/hyperlink" Target="https://creativecommons.org/licenses/by-nc/4.0/" TargetMode="External"/><Relationship Id="rId376" Type="http://schemas.openxmlformats.org/officeDocument/2006/relationships/hyperlink" Target="https://www.inaturalist.org/observations/382839971" TargetMode="External"/><Relationship Id="rId377" Type="http://schemas.openxmlformats.org/officeDocument/2006/relationships/hyperlink" Target="https://creativecommons.org/licenses/by-nc/4.0/" TargetMode="External"/><Relationship Id="rId378" Type="http://schemas.openxmlformats.org/officeDocument/2006/relationships/hyperlink" Target="https://www.inaturalist.org/observations/382836961" TargetMode="External"/><Relationship Id="rId379" Type="http://schemas.openxmlformats.org/officeDocument/2006/relationships/hyperlink" Target="https://creativecommons.org/licenses/by-nc/4.0/" TargetMode="External"/><Relationship Id="rId380" Type="http://schemas.openxmlformats.org/officeDocument/2006/relationships/hyperlink" Target="https://www.inaturalist.org/observations/382835133" TargetMode="External"/><Relationship Id="rId381" Type="http://schemas.openxmlformats.org/officeDocument/2006/relationships/hyperlink" Target="https://creativecommons.org/licenses/by-nc/4.0/" TargetMode="External"/><Relationship Id="rId382" Type="http://schemas.openxmlformats.org/officeDocument/2006/relationships/hyperlink" Target="https://www.inaturalist.org/observations/382832726" TargetMode="External"/><Relationship Id="rId383" Type="http://schemas.openxmlformats.org/officeDocument/2006/relationships/hyperlink" Target="https://creativecommons.org/licenses/by-nc/4.0/" TargetMode="External"/><Relationship Id="rId384" Type="http://schemas.openxmlformats.org/officeDocument/2006/relationships/hyperlink" Target="https://www.inaturalist.org/observations/382831971" TargetMode="External"/><Relationship Id="rId385" Type="http://schemas.openxmlformats.org/officeDocument/2006/relationships/hyperlink" Target="https://creativecommons.org/licenses/by-nc/4.0/" TargetMode="External"/><Relationship Id="rId386" Type="http://schemas.openxmlformats.org/officeDocument/2006/relationships/hyperlink" Target="https://www.inaturalist.org/observations/382831229" TargetMode="External"/><Relationship Id="rId387" Type="http://schemas.openxmlformats.org/officeDocument/2006/relationships/hyperlink" Target="https://creativecommons.org/licenses/by-nc/4.0/" TargetMode="External"/><Relationship Id="rId388" Type="http://schemas.openxmlformats.org/officeDocument/2006/relationships/hyperlink" Target="https://www.inaturalist.org/observations/382829708" TargetMode="External"/><Relationship Id="rId389" Type="http://schemas.openxmlformats.org/officeDocument/2006/relationships/hyperlink" Target="https://creativecommons.org/licenses/by-nc/4.0/" TargetMode="External"/><Relationship Id="rId390" Type="http://schemas.openxmlformats.org/officeDocument/2006/relationships/hyperlink" Target="https://www.inaturalist.org/observations/382826215" TargetMode="External"/><Relationship Id="rId391" Type="http://schemas.openxmlformats.org/officeDocument/2006/relationships/hyperlink" Target="https://creativecommons.org/licenses/by-nc/4.0/" TargetMode="External"/><Relationship Id="rId392" Type="http://schemas.openxmlformats.org/officeDocument/2006/relationships/hyperlink" Target="https://www.inaturalist.org/observations/382825066" TargetMode="External"/><Relationship Id="rId393" Type="http://schemas.openxmlformats.org/officeDocument/2006/relationships/hyperlink" Target="https://creativecommons.org/licenses/by-nc/4.0/" TargetMode="External"/><Relationship Id="rId394" Type="http://schemas.openxmlformats.org/officeDocument/2006/relationships/hyperlink" Target="https://www.inaturalist.org/observations/382824076" TargetMode="External"/><Relationship Id="rId395" Type="http://schemas.openxmlformats.org/officeDocument/2006/relationships/hyperlink" Target="https://creativecommons.org/licenses/by-nc/4.0/" TargetMode="External"/><Relationship Id="rId396" Type="http://schemas.openxmlformats.org/officeDocument/2006/relationships/hyperlink" Target="https://www.inaturalist.org/observations/382820250" TargetMode="External"/><Relationship Id="rId397" Type="http://schemas.openxmlformats.org/officeDocument/2006/relationships/hyperlink" Target="https://creativecommons.org/licenses/by-nc/4.0/" TargetMode="External"/><Relationship Id="rId398" Type="http://schemas.openxmlformats.org/officeDocument/2006/relationships/hyperlink" Target="https://www.inaturalist.org/observations/382817972" TargetMode="External"/><Relationship Id="rId399" Type="http://schemas.openxmlformats.org/officeDocument/2006/relationships/hyperlink" Target="https://creativecommons.org/licenses/by-nc/4.0/" TargetMode="External"/><Relationship Id="rId400" Type="http://schemas.openxmlformats.org/officeDocument/2006/relationships/hyperlink" Target="https://www.inaturalist.org/observations/382817218" TargetMode="External"/><Relationship Id="rId401" Type="http://schemas.openxmlformats.org/officeDocument/2006/relationships/hyperlink" Target="https://creativecommons.org/licenses/by-nc/4.0/" TargetMode="External"/><Relationship Id="rId402" Type="http://schemas.openxmlformats.org/officeDocument/2006/relationships/hyperlink" Target="https://www.inaturalist.org/observations/382815146" TargetMode="External"/><Relationship Id="rId403" Type="http://schemas.openxmlformats.org/officeDocument/2006/relationships/hyperlink" Target="https://creativecommons.org/licenses/by-nc/4.0/" TargetMode="External"/><Relationship Id="rId404" Type="http://schemas.openxmlformats.org/officeDocument/2006/relationships/hyperlink" Target="https://www.inaturalist.org/observations/382814656" TargetMode="External"/><Relationship Id="rId405" Type="http://schemas.openxmlformats.org/officeDocument/2006/relationships/hyperlink" Target="https://creativecommons.org/licenses/by-nc/4.0/" TargetMode="External"/><Relationship Id="rId406" Type="http://schemas.openxmlformats.org/officeDocument/2006/relationships/hyperlink" Target="https://www.inaturalist.org/observations/382812941" TargetMode="External"/><Relationship Id="rId407" Type="http://schemas.openxmlformats.org/officeDocument/2006/relationships/hyperlink" Target="https://creativecommons.org/licenses/by-nc/4.0/" TargetMode="External"/><Relationship Id="rId408" Type="http://schemas.openxmlformats.org/officeDocument/2006/relationships/hyperlink" Target="https://www.inaturalist.org/observations/382812224" TargetMode="External"/><Relationship Id="rId409" Type="http://schemas.openxmlformats.org/officeDocument/2006/relationships/hyperlink" Target="https://creativecommons.org/licenses/by-nc/4.0/" TargetMode="External"/><Relationship Id="rId410" Type="http://schemas.openxmlformats.org/officeDocument/2006/relationships/hyperlink" Target="https://www.inaturalist.org/observations/382812166" TargetMode="External"/><Relationship Id="rId411" Type="http://schemas.openxmlformats.org/officeDocument/2006/relationships/hyperlink" Target="https://creativecommons.org/licenses/by-nc/4.0/" TargetMode="External"/><Relationship Id="rId412" Type="http://schemas.openxmlformats.org/officeDocument/2006/relationships/hyperlink" Target="https://www.inaturalist.org/observations/382809345" TargetMode="External"/><Relationship Id="rId413" Type="http://schemas.openxmlformats.org/officeDocument/2006/relationships/hyperlink" Target="https://creativecommons.org/licenses/by-nc/4.0/" TargetMode="External"/><Relationship Id="rId414" Type="http://schemas.openxmlformats.org/officeDocument/2006/relationships/hyperlink" Target="https://www.inaturalist.org/observations/382805781" TargetMode="External"/><Relationship Id="rId415" Type="http://schemas.openxmlformats.org/officeDocument/2006/relationships/hyperlink" Target="https://creativecommons.org/licenses/by-nc/4.0/" TargetMode="External"/><Relationship Id="rId416" Type="http://schemas.openxmlformats.org/officeDocument/2006/relationships/hyperlink" Target="https://www.inaturalist.org/observations/382805556" TargetMode="External"/><Relationship Id="rId417" Type="http://schemas.openxmlformats.org/officeDocument/2006/relationships/hyperlink" Target="https://creativecommons.org/licenses/by-nc/4.0/" TargetMode="External"/><Relationship Id="rId418" Type="http://schemas.openxmlformats.org/officeDocument/2006/relationships/hyperlink" Target="https://www.inaturalist.org/observations/382805370" TargetMode="External"/><Relationship Id="rId419" Type="http://schemas.openxmlformats.org/officeDocument/2006/relationships/hyperlink" Target="https://creativecommons.org/licenses/by-nc/4.0/" TargetMode="External"/><Relationship Id="rId420" Type="http://schemas.openxmlformats.org/officeDocument/2006/relationships/hyperlink" Target="https://www.inaturalist.org/observations/382801129" TargetMode="External"/><Relationship Id="rId421" Type="http://schemas.openxmlformats.org/officeDocument/2006/relationships/hyperlink" Target="https://creativecommons.org/licenses/by-nc/4.0/" TargetMode="External"/><Relationship Id="rId422" Type="http://schemas.openxmlformats.org/officeDocument/2006/relationships/hyperlink" Target="https://www.inaturalist.org/observations/382799310" TargetMode="External"/><Relationship Id="rId423" Type="http://schemas.openxmlformats.org/officeDocument/2006/relationships/hyperlink" Target="https://creativecommons.org/licenses/by-nc/4.0/" TargetMode="External"/><Relationship Id="rId424" Type="http://schemas.openxmlformats.org/officeDocument/2006/relationships/hyperlink" Target="https://www.inaturalist.org/observations/382797969" TargetMode="External"/><Relationship Id="rId425" Type="http://schemas.openxmlformats.org/officeDocument/2006/relationships/hyperlink" Target="https://creativecommons.org/licenses/by-nc/4.0/" TargetMode="External"/><Relationship Id="rId426" Type="http://schemas.openxmlformats.org/officeDocument/2006/relationships/hyperlink" Target="https://www.inaturalist.org/observations/382791977" TargetMode="External"/><Relationship Id="rId427" Type="http://schemas.openxmlformats.org/officeDocument/2006/relationships/hyperlink" Target="https://creativecommons.org/licenses/by-nc/4.0/" TargetMode="External"/><Relationship Id="rId428" Type="http://schemas.openxmlformats.org/officeDocument/2006/relationships/hyperlink" Target="https://www.inaturalist.org/observations/382791786" TargetMode="External"/><Relationship Id="rId429" Type="http://schemas.openxmlformats.org/officeDocument/2006/relationships/hyperlink" Target="https://creativecommons.org/licenses/by-nc/4.0/" TargetMode="External"/><Relationship Id="rId430" Type="http://schemas.openxmlformats.org/officeDocument/2006/relationships/hyperlink" Target="https://www.inaturalist.org/observations/382777920" TargetMode="External"/><Relationship Id="rId431" Type="http://schemas.openxmlformats.org/officeDocument/2006/relationships/hyperlink" Target="https://creativecommons.org/licenses/by-nc/4.0/" TargetMode="External"/><Relationship Id="rId432" Type="http://schemas.openxmlformats.org/officeDocument/2006/relationships/hyperlink" Target="https://www.inaturalist.org/observations/382777712" TargetMode="External"/><Relationship Id="rId433" Type="http://schemas.openxmlformats.org/officeDocument/2006/relationships/hyperlink" Target="https://creativecommons.org/licenses/by-nc/4.0/" TargetMode="External"/><Relationship Id="rId434" Type="http://schemas.openxmlformats.org/officeDocument/2006/relationships/hyperlink" Target="https://www.inaturalist.org/observations/382777300" TargetMode="External"/><Relationship Id="rId435" Type="http://schemas.openxmlformats.org/officeDocument/2006/relationships/hyperlink" Target="https://creativecommons.org/licenses/by-nc/4.0/" TargetMode="External"/><Relationship Id="rId436" Type="http://schemas.openxmlformats.org/officeDocument/2006/relationships/hyperlink" Target="https://www.inaturalist.org/observations/382774420" TargetMode="External"/><Relationship Id="rId437" Type="http://schemas.openxmlformats.org/officeDocument/2006/relationships/hyperlink" Target="https://creativecommons.org/licenses/by-nc/4.0/" TargetMode="External"/><Relationship Id="rId438" Type="http://schemas.openxmlformats.org/officeDocument/2006/relationships/hyperlink" Target="https://www.inaturalist.org/observations/382773027" TargetMode="External"/><Relationship Id="rId439" Type="http://schemas.openxmlformats.org/officeDocument/2006/relationships/hyperlink" Target="https://creativecommons.org/licenses/by-nc/4.0/" TargetMode="External"/><Relationship Id="rId440" Type="http://schemas.openxmlformats.org/officeDocument/2006/relationships/hyperlink" Target="https://www.inaturalist.org/observations/382770925" TargetMode="External"/><Relationship Id="rId441" Type="http://schemas.openxmlformats.org/officeDocument/2006/relationships/hyperlink" Target="https://creativecommons.org/licenses/by-nc/4.0/" TargetMode="External"/><Relationship Id="rId442" Type="http://schemas.openxmlformats.org/officeDocument/2006/relationships/hyperlink" Target="https://www.inaturalist.org/observations/382768620" TargetMode="External"/><Relationship Id="rId443" Type="http://schemas.openxmlformats.org/officeDocument/2006/relationships/hyperlink" Target="https://creativecommons.org/licenses/by-nc/4.0/" TargetMode="External"/><Relationship Id="rId444" Type="http://schemas.openxmlformats.org/officeDocument/2006/relationships/hyperlink" Target="https://www.inaturalist.org/observations/382764441" TargetMode="External"/><Relationship Id="rId445" Type="http://schemas.openxmlformats.org/officeDocument/2006/relationships/hyperlink" Target="https://creativecommons.org/licenses/by-nc/4.0/" TargetMode="External"/><Relationship Id="rId446" Type="http://schemas.openxmlformats.org/officeDocument/2006/relationships/hyperlink" Target="https://www.inaturalist.org/observations/382762672" TargetMode="External"/><Relationship Id="rId447" Type="http://schemas.openxmlformats.org/officeDocument/2006/relationships/hyperlink" Target="https://creativecommons.org/licenses/by-nc/4.0/" TargetMode="External"/><Relationship Id="rId448" Type="http://schemas.openxmlformats.org/officeDocument/2006/relationships/hyperlink" Target="https://www.inaturalist.org/observations/382759466" TargetMode="External"/><Relationship Id="rId449" Type="http://schemas.openxmlformats.org/officeDocument/2006/relationships/hyperlink" Target="https://creativecommons.org/licenses/by-nc/4.0/" TargetMode="External"/><Relationship Id="rId450" Type="http://schemas.openxmlformats.org/officeDocument/2006/relationships/hyperlink" Target="https://www.inaturalist.org/observations/382758181" TargetMode="External"/><Relationship Id="rId451" Type="http://schemas.openxmlformats.org/officeDocument/2006/relationships/hyperlink" Target="https://creativecommons.org/licenses/by-nc/4.0/" TargetMode="External"/><Relationship Id="rId452" Type="http://schemas.openxmlformats.org/officeDocument/2006/relationships/hyperlink" Target="https://www.inaturalist.org/observations/382755472" TargetMode="External"/><Relationship Id="rId453" Type="http://schemas.openxmlformats.org/officeDocument/2006/relationships/hyperlink" Target="https://creativecommons.org/licenses/by-nc/4.0/" TargetMode="External"/><Relationship Id="rId454" Type="http://schemas.openxmlformats.org/officeDocument/2006/relationships/hyperlink" Target="https://www.inaturalist.org/observations/382753812" TargetMode="External"/><Relationship Id="rId455" Type="http://schemas.openxmlformats.org/officeDocument/2006/relationships/hyperlink" Target="https://creativecommons.org/licenses/by-nc/4.0/" TargetMode="External"/><Relationship Id="rId456" Type="http://schemas.openxmlformats.org/officeDocument/2006/relationships/hyperlink" Target="https://www.inaturalist.org/observations/382752332" TargetMode="External"/><Relationship Id="rId457" Type="http://schemas.openxmlformats.org/officeDocument/2006/relationships/hyperlink" Target="https://creativecommons.org/licenses/by-nc/4.0/" TargetMode="External"/><Relationship Id="rId458" Type="http://schemas.openxmlformats.org/officeDocument/2006/relationships/hyperlink" Target="https://www.inaturalist.org/observations/382748309" TargetMode="External"/><Relationship Id="rId459" Type="http://schemas.openxmlformats.org/officeDocument/2006/relationships/hyperlink" Target="https://creativecommons.org/licenses/by-nc/4.0/" TargetMode="External"/><Relationship Id="rId460" Type="http://schemas.openxmlformats.org/officeDocument/2006/relationships/hyperlink" Target="https://www.inaturalist.org/observations/382746416" TargetMode="External"/><Relationship Id="rId461" Type="http://schemas.openxmlformats.org/officeDocument/2006/relationships/hyperlink" Target="https://creativecommons.org/licenses/by-nc/4.0/" TargetMode="External"/><Relationship Id="rId462" Type="http://schemas.openxmlformats.org/officeDocument/2006/relationships/hyperlink" Target="https://www.inaturalist.org/observations/382744623" TargetMode="External"/><Relationship Id="rId463" Type="http://schemas.openxmlformats.org/officeDocument/2006/relationships/hyperlink" Target="https://creativecommons.org/licenses/by-nc/4.0/" TargetMode="External"/><Relationship Id="rId464" Type="http://schemas.openxmlformats.org/officeDocument/2006/relationships/hyperlink" Target="https://www.inaturalist.org/observations/382743430" TargetMode="External"/><Relationship Id="rId465" Type="http://schemas.openxmlformats.org/officeDocument/2006/relationships/hyperlink" Target="https://creativecommons.org/licenses/by-nc/4.0/" TargetMode="External"/><Relationship Id="rId466" Type="http://schemas.openxmlformats.org/officeDocument/2006/relationships/hyperlink" Target="https://www.inaturalist.org/observations/382742614" TargetMode="External"/><Relationship Id="rId467" Type="http://schemas.openxmlformats.org/officeDocument/2006/relationships/hyperlink" Target="https://creativecommons.org/licenses/by-nc/4.0/" TargetMode="External"/><Relationship Id="rId468" Type="http://schemas.openxmlformats.org/officeDocument/2006/relationships/hyperlink" Target="https://www.inaturalist.org/observations/382742611" TargetMode="External"/><Relationship Id="rId469" Type="http://schemas.openxmlformats.org/officeDocument/2006/relationships/hyperlink" Target="https://creativecommons.org/licenses/by-nc/4.0/" TargetMode="External"/><Relationship Id="rId470" Type="http://schemas.openxmlformats.org/officeDocument/2006/relationships/hyperlink" Target="https://www.inaturalist.org/observations/382742610" TargetMode="External"/><Relationship Id="rId471" Type="http://schemas.openxmlformats.org/officeDocument/2006/relationships/hyperlink" Target="https://creativecommons.org/licenses/by-nc/4.0/" TargetMode="External"/><Relationship Id="rId472" Type="http://schemas.openxmlformats.org/officeDocument/2006/relationships/hyperlink" Target="https://www.inaturalist.org/observations/382740056" TargetMode="External"/><Relationship Id="rId473" Type="http://schemas.openxmlformats.org/officeDocument/2006/relationships/hyperlink" Target="https://creativecommons.org/licenses/by-nc/4.0/" TargetMode="External"/><Relationship Id="rId474" Type="http://schemas.openxmlformats.org/officeDocument/2006/relationships/hyperlink" Target="https://www.inaturalist.org/observations/382739654" TargetMode="External"/><Relationship Id="rId475" Type="http://schemas.openxmlformats.org/officeDocument/2006/relationships/hyperlink" Target="https://creativecommons.org/licenses/by-nc/4.0/" TargetMode="External"/><Relationship Id="rId476" Type="http://schemas.openxmlformats.org/officeDocument/2006/relationships/hyperlink" Target="https://www.inaturalist.org/observations/382739454" TargetMode="External"/><Relationship Id="rId477" Type="http://schemas.openxmlformats.org/officeDocument/2006/relationships/hyperlink" Target="https://creativecommons.org/licenses/by-nc/4.0/" TargetMode="External"/><Relationship Id="rId478" Type="http://schemas.openxmlformats.org/officeDocument/2006/relationships/hyperlink" Target="https://www.inaturalist.org/observations/382739449" TargetMode="External"/><Relationship Id="rId479" Type="http://schemas.openxmlformats.org/officeDocument/2006/relationships/hyperlink" Target="https://creativecommons.org/licenses/by-nc/4.0/" TargetMode="External"/><Relationship Id="rId480" Type="http://schemas.openxmlformats.org/officeDocument/2006/relationships/hyperlink" Target="https://www.inaturalist.org/observations/382736386" TargetMode="External"/><Relationship Id="rId481" Type="http://schemas.openxmlformats.org/officeDocument/2006/relationships/hyperlink" Target="https://creativecommons.org/licenses/by-nc/4.0/" TargetMode="External"/><Relationship Id="rId482" Type="http://schemas.openxmlformats.org/officeDocument/2006/relationships/hyperlink" Target="https://www.inaturalist.org/observations/382735997" TargetMode="External"/><Relationship Id="rId483" Type="http://schemas.openxmlformats.org/officeDocument/2006/relationships/hyperlink" Target="https://creativecommons.org/licenses/by-nc/4.0/" TargetMode="External"/><Relationship Id="rId484" Type="http://schemas.openxmlformats.org/officeDocument/2006/relationships/hyperlink" Target="https://www.inaturalist.org/observations/382730742" TargetMode="External"/><Relationship Id="rId485" Type="http://schemas.openxmlformats.org/officeDocument/2006/relationships/hyperlink" Target="https://creativecommons.org/licenses/by-nc/4.0/" TargetMode="External"/><Relationship Id="rId486" Type="http://schemas.openxmlformats.org/officeDocument/2006/relationships/hyperlink" Target="https://www.inaturalist.org/observations/382730601" TargetMode="External"/><Relationship Id="rId487" Type="http://schemas.openxmlformats.org/officeDocument/2006/relationships/hyperlink" Target="https://creativecommons.org/licenses/by-nc/4.0/" TargetMode="External"/><Relationship Id="rId488" Type="http://schemas.openxmlformats.org/officeDocument/2006/relationships/hyperlink" Target="https://www.inaturalist.org/observations/382729161" TargetMode="External"/><Relationship Id="rId489" Type="http://schemas.openxmlformats.org/officeDocument/2006/relationships/hyperlink" Target="https://creativecommons.org/licenses/by-nc/4.0/" TargetMode="External"/><Relationship Id="rId490" Type="http://schemas.openxmlformats.org/officeDocument/2006/relationships/hyperlink" Target="https://www.inaturalist.org/observations/382728453" TargetMode="External"/><Relationship Id="rId491" Type="http://schemas.openxmlformats.org/officeDocument/2006/relationships/hyperlink" Target="https://creativecommons.org/licenses/by-nc/4.0/" TargetMode="External"/><Relationship Id="rId492" Type="http://schemas.openxmlformats.org/officeDocument/2006/relationships/hyperlink" Target="https://www.inaturalist.org/observations/382719222" TargetMode="External"/><Relationship Id="rId493" Type="http://schemas.openxmlformats.org/officeDocument/2006/relationships/hyperlink" Target="https://creativecommons.org/licenses/by-nc/4.0/" TargetMode="External"/><Relationship Id="rId494" Type="http://schemas.openxmlformats.org/officeDocument/2006/relationships/hyperlink" Target="https://www.inaturalist.org/observations/382716043" TargetMode="External"/><Relationship Id="rId495" Type="http://schemas.openxmlformats.org/officeDocument/2006/relationships/hyperlink" Target="https://creativecommons.org/licenses/by-nc/4.0/" TargetMode="External"/><Relationship Id="rId496" Type="http://schemas.openxmlformats.org/officeDocument/2006/relationships/hyperlink" Target="https://www.inaturalist.org/observations/382715828" TargetMode="External"/><Relationship Id="rId497" Type="http://schemas.openxmlformats.org/officeDocument/2006/relationships/hyperlink" Target="https://creativecommons.org/licenses/by-nc/4.0/" TargetMode="External"/><Relationship Id="rId498" Type="http://schemas.openxmlformats.org/officeDocument/2006/relationships/hyperlink" Target="https://www.inaturalist.org/observations/382709919" TargetMode="External"/><Relationship Id="rId499" Type="http://schemas.openxmlformats.org/officeDocument/2006/relationships/hyperlink" Target="https://creativecommons.org/licenses/by-nc/4.0/" TargetMode="External"/><Relationship Id="rId500" Type="http://schemas.openxmlformats.org/officeDocument/2006/relationships/hyperlink" Target="https://www.inaturalist.org/observations/382709918" TargetMode="External"/><Relationship Id="rId501" Type="http://schemas.openxmlformats.org/officeDocument/2006/relationships/hyperlink" Target="https://creativecommons.org/licenses/by-nc/4.0/" TargetMode="External"/><Relationship Id="rId502" Type="http://schemas.openxmlformats.org/officeDocument/2006/relationships/hyperlink" Target="https://www.inaturalist.org/observations/382709906" TargetMode="External"/><Relationship Id="rId503" Type="http://schemas.openxmlformats.org/officeDocument/2006/relationships/hyperlink" Target="https://creativecommons.org/licenses/by-nc/4.0/" TargetMode="External"/><Relationship Id="rId504" Type="http://schemas.openxmlformats.org/officeDocument/2006/relationships/hyperlink" Target="https://www.inaturalist.org/observations/382706529" TargetMode="External"/><Relationship Id="rId505" Type="http://schemas.openxmlformats.org/officeDocument/2006/relationships/hyperlink" Target="https://creativecommons.org/licenses/by-nc/4.0/" TargetMode="External"/><Relationship Id="rId506" Type="http://schemas.openxmlformats.org/officeDocument/2006/relationships/hyperlink" Target="https://www.inaturalist.org/observations/382705068" TargetMode="External"/><Relationship Id="rId507" Type="http://schemas.openxmlformats.org/officeDocument/2006/relationships/hyperlink" Target="https://creativecommons.org/licenses/by-nc/4.0/" TargetMode="External"/><Relationship Id="rId508" Type="http://schemas.openxmlformats.org/officeDocument/2006/relationships/hyperlink" Target="https://www.inaturalist.org/observations/382702350" TargetMode="External"/><Relationship Id="rId509" Type="http://schemas.openxmlformats.org/officeDocument/2006/relationships/hyperlink" Target="https://creativecommons.org/licenses/by-nc/4.0/" TargetMode="External"/><Relationship Id="rId510" Type="http://schemas.openxmlformats.org/officeDocument/2006/relationships/hyperlink" Target="https://www.inaturalist.org/observations/382699441" TargetMode="External"/><Relationship Id="rId511" Type="http://schemas.openxmlformats.org/officeDocument/2006/relationships/hyperlink" Target="https://creativecommons.org/licenses/by-nc/4.0/" TargetMode="External"/><Relationship Id="rId512" Type="http://schemas.openxmlformats.org/officeDocument/2006/relationships/hyperlink" Target="https://www.inaturalist.org/observations/382697771" TargetMode="External"/><Relationship Id="rId513" Type="http://schemas.openxmlformats.org/officeDocument/2006/relationships/hyperlink" Target="https://creativecommons.org/licenses/by-nc/4.0/" TargetMode="External"/><Relationship Id="rId514" Type="http://schemas.openxmlformats.org/officeDocument/2006/relationships/hyperlink" Target="https://www.inaturalist.org/observations/382697769" TargetMode="External"/><Relationship Id="rId515" Type="http://schemas.openxmlformats.org/officeDocument/2006/relationships/hyperlink" Target="https://creativecommons.org/licenses/by-nc/4.0/" TargetMode="External"/><Relationship Id="rId516" Type="http://schemas.openxmlformats.org/officeDocument/2006/relationships/hyperlink" Target="https://www.inaturalist.org/observations/382694320" TargetMode="External"/><Relationship Id="rId517" Type="http://schemas.openxmlformats.org/officeDocument/2006/relationships/hyperlink" Target="https://creativecommons.org/licenses/by-nc/4.0/" TargetMode="External"/><Relationship Id="rId518" Type="http://schemas.openxmlformats.org/officeDocument/2006/relationships/hyperlink" Target="https://www.inaturalist.org/observations/382693010" TargetMode="External"/><Relationship Id="rId519" Type="http://schemas.openxmlformats.org/officeDocument/2006/relationships/hyperlink" Target="https://creativecommons.org/licenses/by-nc/4.0/" TargetMode="External"/><Relationship Id="rId520" Type="http://schemas.openxmlformats.org/officeDocument/2006/relationships/hyperlink" Target="https://www.inaturalist.org/observations/382680965" TargetMode="External"/><Relationship Id="rId521" Type="http://schemas.openxmlformats.org/officeDocument/2006/relationships/hyperlink" Target="https://creativecommons.org/licenses/by-nc/4.0/" TargetMode="External"/><Relationship Id="rId522" Type="http://schemas.openxmlformats.org/officeDocument/2006/relationships/hyperlink" Target="https://www.inaturalist.org/observations/382677812" TargetMode="External"/><Relationship Id="rId523" Type="http://schemas.openxmlformats.org/officeDocument/2006/relationships/hyperlink" Target="https://creativecommons.org/licenses/by-nc/4.0/" TargetMode="External"/><Relationship Id="rId524" Type="http://schemas.openxmlformats.org/officeDocument/2006/relationships/hyperlink" Target="https://www.inaturalist.org/observations/382674536" TargetMode="External"/><Relationship Id="rId525" Type="http://schemas.openxmlformats.org/officeDocument/2006/relationships/hyperlink" Target="https://creativecommons.org/licenses/by-nc/4.0/" TargetMode="External"/><Relationship Id="rId526" Type="http://schemas.openxmlformats.org/officeDocument/2006/relationships/hyperlink" Target="https://www.inaturalist.org/observations/382674010" TargetMode="External"/><Relationship Id="rId527" Type="http://schemas.openxmlformats.org/officeDocument/2006/relationships/hyperlink" Target="https://creativecommons.org/licenses/by-nc/4.0/" TargetMode="External"/><Relationship Id="rId528" Type="http://schemas.openxmlformats.org/officeDocument/2006/relationships/hyperlink" Target="https://www.inaturalist.org/observations/382665951" TargetMode="External"/><Relationship Id="rId529" Type="http://schemas.openxmlformats.org/officeDocument/2006/relationships/hyperlink" Target="https://creativecommons.org/licenses/by-nc/4.0/" TargetMode="External"/><Relationship Id="rId530" Type="http://schemas.openxmlformats.org/officeDocument/2006/relationships/hyperlink" Target="https://www.inaturalist.org/observations/382661586" TargetMode="External"/><Relationship Id="rId531" Type="http://schemas.openxmlformats.org/officeDocument/2006/relationships/hyperlink" Target="https://creativecommons.org/licenses/by-nc/4.0/" TargetMode="External"/><Relationship Id="rId532" Type="http://schemas.openxmlformats.org/officeDocument/2006/relationships/hyperlink" Target="https://www.inaturalist.org/observations/382657810" TargetMode="External"/><Relationship Id="rId533" Type="http://schemas.openxmlformats.org/officeDocument/2006/relationships/hyperlink" Target="https://creativecommons.org/licenses/by-nc/4.0/" TargetMode="External"/><Relationship Id="rId534" Type="http://schemas.openxmlformats.org/officeDocument/2006/relationships/hyperlink" Target="https://www.inaturalist.org/observations/382654859" TargetMode="External"/><Relationship Id="rId535" Type="http://schemas.openxmlformats.org/officeDocument/2006/relationships/hyperlink" Target="https://creativecommons.org/licenses/by-nc/4.0/" TargetMode="External"/><Relationship Id="rId536" Type="http://schemas.openxmlformats.org/officeDocument/2006/relationships/hyperlink" Target="https://www.inaturalist.org/observations/382654158" TargetMode="External"/><Relationship Id="rId537" Type="http://schemas.openxmlformats.org/officeDocument/2006/relationships/hyperlink" Target="https://creativecommons.org/licenses/by-nc/4.0/" TargetMode="External"/><Relationship Id="rId538" Type="http://schemas.openxmlformats.org/officeDocument/2006/relationships/hyperlink" Target="https://www.inaturalist.org/observations/382652461" TargetMode="External"/><Relationship Id="rId539" Type="http://schemas.openxmlformats.org/officeDocument/2006/relationships/hyperlink" Target="https://creativecommons.org/licenses/by-nc/4.0/" TargetMode="External"/><Relationship Id="rId540" Type="http://schemas.openxmlformats.org/officeDocument/2006/relationships/hyperlink" Target="https://www.inaturalist.org/observations/382651261" TargetMode="External"/><Relationship Id="rId541" Type="http://schemas.openxmlformats.org/officeDocument/2006/relationships/hyperlink" Target="https://creativecommons.org/licenses/by-nc/4.0/" TargetMode="External"/><Relationship Id="rId542" Type="http://schemas.openxmlformats.org/officeDocument/2006/relationships/hyperlink" Target="https://www.inaturalist.org/observations/382649614" TargetMode="External"/><Relationship Id="rId543" Type="http://schemas.openxmlformats.org/officeDocument/2006/relationships/hyperlink" Target="https://creativecommons.org/licenses/by-nc/4.0/" TargetMode="External"/><Relationship Id="rId544" Type="http://schemas.openxmlformats.org/officeDocument/2006/relationships/hyperlink" Target="https://www.inaturalist.org/observations/382649236" TargetMode="External"/><Relationship Id="rId545" Type="http://schemas.openxmlformats.org/officeDocument/2006/relationships/hyperlink" Target="https://creativecommons.org/licenses/by-nc/4.0/" TargetMode="External"/><Relationship Id="rId546" Type="http://schemas.openxmlformats.org/officeDocument/2006/relationships/hyperlink" Target="https://www.inaturalist.org/observations/382647045" TargetMode="External"/><Relationship Id="rId547" Type="http://schemas.openxmlformats.org/officeDocument/2006/relationships/hyperlink" Target="https://creativecommons.org/licenses/by-nc/4.0/" TargetMode="External"/><Relationship Id="rId548" Type="http://schemas.openxmlformats.org/officeDocument/2006/relationships/hyperlink" Target="https://www.inaturalist.org/observations/382646166" TargetMode="External"/><Relationship Id="rId549" Type="http://schemas.openxmlformats.org/officeDocument/2006/relationships/hyperlink" Target="https://creativecommons.org/licenses/by-nc/4.0/" TargetMode="External"/><Relationship Id="rId550" Type="http://schemas.openxmlformats.org/officeDocument/2006/relationships/hyperlink" Target="https://www.inaturalist.org/observations/382646160" TargetMode="External"/><Relationship Id="rId551" Type="http://schemas.openxmlformats.org/officeDocument/2006/relationships/hyperlink" Target="https://creativecommons.org/licenses/by-nc/4.0/" TargetMode="External"/><Relationship Id="rId552" Type="http://schemas.openxmlformats.org/officeDocument/2006/relationships/hyperlink" Target="https://www.inaturalist.org/observations/382639761" TargetMode="External"/><Relationship Id="rId553" Type="http://schemas.openxmlformats.org/officeDocument/2006/relationships/hyperlink" Target="https://creativecommons.org/licenses/by-nc/4.0/" TargetMode="External"/><Relationship Id="rId554" Type="http://schemas.openxmlformats.org/officeDocument/2006/relationships/hyperlink" Target="https://www.inaturalist.org/observations/382637532" TargetMode="External"/><Relationship Id="rId555" Type="http://schemas.openxmlformats.org/officeDocument/2006/relationships/hyperlink" Target="https://creativecommons.org/licenses/by-nc/4.0/" TargetMode="External"/><Relationship Id="rId556" Type="http://schemas.openxmlformats.org/officeDocument/2006/relationships/hyperlink" Target="https://www.inaturalist.org/observations/382637187" TargetMode="External"/><Relationship Id="rId557" Type="http://schemas.openxmlformats.org/officeDocument/2006/relationships/hyperlink" Target="https://creativecommons.org/licenses/by-nc/4.0/" TargetMode="External"/><Relationship Id="rId558" Type="http://schemas.openxmlformats.org/officeDocument/2006/relationships/hyperlink" Target="https://www.inaturalist.org/observations/382631563" TargetMode="External"/><Relationship Id="rId559" Type="http://schemas.openxmlformats.org/officeDocument/2006/relationships/hyperlink" Target="https://creativecommons.org/licenses/by-nc/4.0/" TargetMode="External"/><Relationship Id="rId560" Type="http://schemas.openxmlformats.org/officeDocument/2006/relationships/hyperlink" Target="https://www.inaturalist.org/observations/382627131" TargetMode="External"/><Relationship Id="rId561" Type="http://schemas.openxmlformats.org/officeDocument/2006/relationships/hyperlink" Target="https://creativecommons.org/licenses/by-nc/4.0/" TargetMode="External"/><Relationship Id="rId562" Type="http://schemas.openxmlformats.org/officeDocument/2006/relationships/hyperlink" Target="https://www.inaturalist.org/observations/382627117" TargetMode="External"/><Relationship Id="rId563" Type="http://schemas.openxmlformats.org/officeDocument/2006/relationships/hyperlink" Target="https://creativecommons.org/licenses/by-nc/4.0/" TargetMode="External"/><Relationship Id="rId564" Type="http://schemas.openxmlformats.org/officeDocument/2006/relationships/hyperlink" Target="https://www.inaturalist.org/observations/382627116" TargetMode="External"/><Relationship Id="rId565" Type="http://schemas.openxmlformats.org/officeDocument/2006/relationships/hyperlink" Target="https://creativecommons.org/licenses/by-nc/4.0/" TargetMode="External"/><Relationship Id="rId566" Type="http://schemas.openxmlformats.org/officeDocument/2006/relationships/hyperlink" Target="https://www.inaturalist.org/observations/382620911" TargetMode="External"/><Relationship Id="rId567" Type="http://schemas.openxmlformats.org/officeDocument/2006/relationships/hyperlink" Target="https://creativecommons.org/licenses/by-nc/4.0/" TargetMode="External"/><Relationship Id="rId568" Type="http://schemas.openxmlformats.org/officeDocument/2006/relationships/hyperlink" Target="https://www.inaturalist.org/observations/382619085" TargetMode="External"/><Relationship Id="rId569" Type="http://schemas.openxmlformats.org/officeDocument/2006/relationships/hyperlink" Target="https://creativecommons.org/licenses/by-nc/4.0/" TargetMode="External"/><Relationship Id="rId570" Type="http://schemas.openxmlformats.org/officeDocument/2006/relationships/hyperlink" Target="https://www.inaturalist.org/observations/382611019" TargetMode="External"/><Relationship Id="rId571" Type="http://schemas.openxmlformats.org/officeDocument/2006/relationships/hyperlink" Target="https://creativecommons.org/licenses/by-nc/4.0/" TargetMode="External"/><Relationship Id="rId572" Type="http://schemas.openxmlformats.org/officeDocument/2006/relationships/hyperlink" Target="https://www.inaturalist.org/observations/382609219" TargetMode="External"/><Relationship Id="rId573" Type="http://schemas.openxmlformats.org/officeDocument/2006/relationships/hyperlink" Target="https://creativecommons.org/licenses/by-nc/4.0/" TargetMode="External"/><Relationship Id="rId574" Type="http://schemas.openxmlformats.org/officeDocument/2006/relationships/hyperlink" Target="https://www.inaturalist.org/observations/382600419" TargetMode="External"/><Relationship Id="rId575" Type="http://schemas.openxmlformats.org/officeDocument/2006/relationships/hyperlink" Target="https://creativecommons.org/licenses/by-nc/4.0/" TargetMode="External"/><Relationship Id="rId576" Type="http://schemas.openxmlformats.org/officeDocument/2006/relationships/hyperlink" Target="https://www.inaturalist.org/observations/382596172" TargetMode="External"/><Relationship Id="rId577" Type="http://schemas.openxmlformats.org/officeDocument/2006/relationships/hyperlink" Target="https://creativecommons.org/licenses/by-nc/4.0/" TargetMode="External"/><Relationship Id="rId578" Type="http://schemas.openxmlformats.org/officeDocument/2006/relationships/hyperlink" Target="https://www.inaturalist.org/observations/382595425" TargetMode="External"/><Relationship Id="rId579" Type="http://schemas.openxmlformats.org/officeDocument/2006/relationships/hyperlink" Target="https://creativecommons.org/licenses/by-nc/4.0/" TargetMode="External"/><Relationship Id="rId580" Type="http://schemas.openxmlformats.org/officeDocument/2006/relationships/hyperlink" Target="https://www.inaturalist.org/observations/382593044" TargetMode="External"/><Relationship Id="rId581" Type="http://schemas.openxmlformats.org/officeDocument/2006/relationships/hyperlink" Target="https://creativecommons.org/licenses/by-nc/4.0/" TargetMode="External"/><Relationship Id="rId582" Type="http://schemas.openxmlformats.org/officeDocument/2006/relationships/hyperlink" Target="https://www.inaturalist.org/observations/382589191" TargetMode="External"/><Relationship Id="rId583" Type="http://schemas.openxmlformats.org/officeDocument/2006/relationships/hyperlink" Target="https://creativecommons.org/licenses/by-nc/4.0/" TargetMode="External"/><Relationship Id="rId584" Type="http://schemas.openxmlformats.org/officeDocument/2006/relationships/hyperlink" Target="https://www.inaturalist.org/observations/382585587" TargetMode="External"/><Relationship Id="rId585" Type="http://schemas.openxmlformats.org/officeDocument/2006/relationships/hyperlink" Target="https://creativecommons.org/licenses/by-nc/4.0/" TargetMode="External"/><Relationship Id="rId586" Type="http://schemas.openxmlformats.org/officeDocument/2006/relationships/hyperlink" Target="https://www.inaturalist.org/observations/382584309" TargetMode="External"/><Relationship Id="rId587" Type="http://schemas.openxmlformats.org/officeDocument/2006/relationships/hyperlink" Target="https://creativecommons.org/licenses/by-nc/4.0/" TargetMode="External"/><Relationship Id="rId588" Type="http://schemas.openxmlformats.org/officeDocument/2006/relationships/hyperlink" Target="https://www.inaturalist.org/observations/382579427" TargetMode="External"/><Relationship Id="rId589" Type="http://schemas.openxmlformats.org/officeDocument/2006/relationships/hyperlink" Target="https://creativecommons.org/licenses/by-nc/4.0/" TargetMode="External"/><Relationship Id="rId590" Type="http://schemas.openxmlformats.org/officeDocument/2006/relationships/hyperlink" Target="https://www.inaturalist.org/observations/382577222" TargetMode="External"/><Relationship Id="rId591" Type="http://schemas.openxmlformats.org/officeDocument/2006/relationships/hyperlink" Target="https://creativecommons.org/licenses/by-nc/4.0/" TargetMode="External"/><Relationship Id="rId592" Type="http://schemas.openxmlformats.org/officeDocument/2006/relationships/hyperlink" Target="https://www.inaturalist.org/observations/382575844" TargetMode="External"/><Relationship Id="rId593" Type="http://schemas.openxmlformats.org/officeDocument/2006/relationships/hyperlink" Target="https://creativecommons.org/licenses/by-nc/4.0/" TargetMode="External"/><Relationship Id="rId594" Type="http://schemas.openxmlformats.org/officeDocument/2006/relationships/hyperlink" Target="https://www.inaturalist.org/observations/382573584" TargetMode="External"/><Relationship Id="rId595" Type="http://schemas.openxmlformats.org/officeDocument/2006/relationships/hyperlink" Target="https://creativecommons.org/licenses/by-nc/4.0/" TargetMode="External"/><Relationship Id="rId596" Type="http://schemas.openxmlformats.org/officeDocument/2006/relationships/hyperlink" Target="https://www.inaturalist.org/observations/382565498" TargetMode="External"/><Relationship Id="rId597" Type="http://schemas.openxmlformats.org/officeDocument/2006/relationships/hyperlink" Target="https://creativecommons.org/licenses/by-nc/4.0/" TargetMode="External"/><Relationship Id="rId598" Type="http://schemas.openxmlformats.org/officeDocument/2006/relationships/hyperlink" Target="https://www.inaturalist.org/observations/382562881" TargetMode="External"/><Relationship Id="rId599" Type="http://schemas.openxmlformats.org/officeDocument/2006/relationships/hyperlink" Target="https://creativecommons.org/licenses/by-nc/4.0/" TargetMode="External"/><Relationship Id="rId600" Type="http://schemas.openxmlformats.org/officeDocument/2006/relationships/hyperlink" Target="https://www.inaturalist.org/observations/382558952" TargetMode="External"/><Relationship Id="rId601" Type="http://schemas.openxmlformats.org/officeDocument/2006/relationships/hyperlink" Target="https://creativecommons.org/licenses/by-nc/4.0/" TargetMode="External"/><Relationship Id="rId602" Type="http://schemas.openxmlformats.org/officeDocument/2006/relationships/hyperlink" Target="https://www.inaturalist.org/observations/383149007" TargetMode="External"/><Relationship Id="rId603" Type="http://schemas.openxmlformats.org/officeDocument/2006/relationships/hyperlink" Target="https://creativecommons.org/licenses/by-nc/4.0/" TargetMode="External"/><Relationship Id="rId604" Type="http://schemas.openxmlformats.org/officeDocument/2006/relationships/hyperlink" Target="https://www.inaturalist.org/observations/383148062" TargetMode="External"/><Relationship Id="rId605" Type="http://schemas.openxmlformats.org/officeDocument/2006/relationships/hyperlink" Target="https://creativecommons.org/licenses/by-nc/4.0/" TargetMode="External"/><Relationship Id="rId606" Type="http://schemas.openxmlformats.org/officeDocument/2006/relationships/hyperlink" Target="https://www.inaturalist.org/observations/383144370" TargetMode="External"/><Relationship Id="rId607" Type="http://schemas.openxmlformats.org/officeDocument/2006/relationships/hyperlink" Target="https://creativecommons.org/licenses/by-nc/4.0/" TargetMode="External"/><Relationship Id="rId608" Type="http://schemas.openxmlformats.org/officeDocument/2006/relationships/hyperlink" Target="https://www.inaturalist.org/observations/383137279" TargetMode="External"/><Relationship Id="rId609" Type="http://schemas.openxmlformats.org/officeDocument/2006/relationships/hyperlink" Target="https://creativecommons.org/licenses/by-nc/4.0/" TargetMode="External"/><Relationship Id="rId610" Type="http://schemas.openxmlformats.org/officeDocument/2006/relationships/hyperlink" Target="https://www.inaturalist.org/observations/383115625" TargetMode="External"/><Relationship Id="rId611" Type="http://schemas.openxmlformats.org/officeDocument/2006/relationships/hyperlink" Target="https://creativecommons.org/licenses/by-nc/4.0/" TargetMode="External"/><Relationship Id="rId612" Type="http://schemas.openxmlformats.org/officeDocument/2006/relationships/hyperlink" Target="https://www.inaturalist.org/observations/383111653" TargetMode="External"/><Relationship Id="rId613" Type="http://schemas.openxmlformats.org/officeDocument/2006/relationships/hyperlink" Target="https://creativecommons.org/licenses/by-nc/4.0/" TargetMode="External"/><Relationship Id="rId614" Type="http://schemas.openxmlformats.org/officeDocument/2006/relationships/hyperlink" Target="https://www.inaturalist.org/observations/383106648" TargetMode="External"/><Relationship Id="rId615" Type="http://schemas.openxmlformats.org/officeDocument/2006/relationships/hyperlink" Target="https://creativecommons.org/licenses/by-nc/4.0/" TargetMode="External"/><Relationship Id="rId616" Type="http://schemas.openxmlformats.org/officeDocument/2006/relationships/hyperlink" Target="https://www.inaturalist.org/observations/383096902" TargetMode="External"/><Relationship Id="rId617" Type="http://schemas.openxmlformats.org/officeDocument/2006/relationships/hyperlink" Target="https://creativecommons.org/licenses/by-nc/4.0/" TargetMode="External"/><Relationship Id="rId618" Type="http://schemas.openxmlformats.org/officeDocument/2006/relationships/hyperlink" Target="https://www.inaturalist.org/observations/383095627" TargetMode="External"/><Relationship Id="rId619" Type="http://schemas.openxmlformats.org/officeDocument/2006/relationships/hyperlink" Target="https://creativecommons.org/licenses/by-nc/4.0/" TargetMode="External"/><Relationship Id="rId620" Type="http://schemas.openxmlformats.org/officeDocument/2006/relationships/hyperlink" Target="https://www.inaturalist.org/observations/383087185" TargetMode="External"/><Relationship Id="rId621" Type="http://schemas.openxmlformats.org/officeDocument/2006/relationships/hyperlink" Target="https://creativecommons.org/licenses/by-nc/4.0/" TargetMode="External"/><Relationship Id="rId622" Type="http://schemas.openxmlformats.org/officeDocument/2006/relationships/hyperlink" Target="https://www.inaturalist.org/observations/383087063" TargetMode="External"/><Relationship Id="rId623" Type="http://schemas.openxmlformats.org/officeDocument/2006/relationships/hyperlink" Target="https://creativecommons.org/licenses/by-nc/4.0/" TargetMode="External"/><Relationship Id="rId624" Type="http://schemas.openxmlformats.org/officeDocument/2006/relationships/hyperlink" Target="https://www.inaturalist.org/observations/383087058" TargetMode="External"/><Relationship Id="rId625" Type="http://schemas.openxmlformats.org/officeDocument/2006/relationships/hyperlink" Target="https://creativecommons.org/licenses/by-nc/4.0/" TargetMode="External"/><Relationship Id="rId626" Type="http://schemas.openxmlformats.org/officeDocument/2006/relationships/hyperlink" Target="https://www.inaturalist.org/observations/383087057" TargetMode="External"/><Relationship Id="rId627" Type="http://schemas.openxmlformats.org/officeDocument/2006/relationships/hyperlink" Target="https://creativecommons.org/licenses/by-nc/4.0/" TargetMode="External"/><Relationship Id="rId628" Type="http://schemas.openxmlformats.org/officeDocument/2006/relationships/hyperlink" Target="https://www.inaturalist.org/observations/383085012" TargetMode="External"/><Relationship Id="rId629" Type="http://schemas.openxmlformats.org/officeDocument/2006/relationships/hyperlink" Target="https://creativecommons.org/licenses/by-nc/4.0/" TargetMode="External"/><Relationship Id="rId630" Type="http://schemas.openxmlformats.org/officeDocument/2006/relationships/hyperlink" Target="https://www.inaturalist.org/observations/383082887" TargetMode="External"/><Relationship Id="rId631" Type="http://schemas.openxmlformats.org/officeDocument/2006/relationships/hyperlink" Target="https://creativecommons.org/licenses/by-nc/4.0/" TargetMode="External"/><Relationship Id="rId632" Type="http://schemas.openxmlformats.org/officeDocument/2006/relationships/hyperlink" Target="https://www.inaturalist.org/observations/383064702" TargetMode="External"/><Relationship Id="rId633" Type="http://schemas.openxmlformats.org/officeDocument/2006/relationships/hyperlink" Target="https://creativecommons.org/licenses/by-nc/4.0/" TargetMode="External"/><Relationship Id="rId634" Type="http://schemas.openxmlformats.org/officeDocument/2006/relationships/hyperlink" Target="https://www.inaturalist.org/observations/383054350" TargetMode="External"/><Relationship Id="rId635" Type="http://schemas.openxmlformats.org/officeDocument/2006/relationships/hyperlink" Target="https://creativecommons.org/licenses/by-nc/4.0/" TargetMode="External"/><Relationship Id="rId636" Type="http://schemas.openxmlformats.org/officeDocument/2006/relationships/hyperlink" Target="https://www.inaturalist.org/observations/383049450" TargetMode="External"/><Relationship Id="rId637" Type="http://schemas.openxmlformats.org/officeDocument/2006/relationships/hyperlink" Target="https://creativecommons.org/licenses/by-nc/4.0/" TargetMode="External"/><Relationship Id="rId638" Type="http://schemas.openxmlformats.org/officeDocument/2006/relationships/hyperlink" Target="https://www.inaturalist.org/observations/383044539" TargetMode="External"/><Relationship Id="rId639" Type="http://schemas.openxmlformats.org/officeDocument/2006/relationships/hyperlink" Target="https://creativecommons.org/licenses/by-nc/4.0/" TargetMode="External"/><Relationship Id="rId640" Type="http://schemas.openxmlformats.org/officeDocument/2006/relationships/hyperlink" Target="https://www.inaturalist.org/observations/383024796" TargetMode="External"/><Relationship Id="rId641" Type="http://schemas.openxmlformats.org/officeDocument/2006/relationships/hyperlink" Target="https://creativecommons.org/licenses/by-nc/4.0/" TargetMode="External"/><Relationship Id="rId642" Type="http://schemas.openxmlformats.org/officeDocument/2006/relationships/hyperlink" Target="https://www.inaturalist.org/observations/383023589" TargetMode="External"/><Relationship Id="rId643" Type="http://schemas.openxmlformats.org/officeDocument/2006/relationships/hyperlink" Target="https://creativecommons.org/licenses/by-nc/4.0/" TargetMode="External"/><Relationship Id="rId644" Type="http://schemas.openxmlformats.org/officeDocument/2006/relationships/hyperlink" Target="https://www.inaturalist.org/observations/383012842" TargetMode="External"/><Relationship Id="rId645" Type="http://schemas.openxmlformats.org/officeDocument/2006/relationships/hyperlink" Target="https://creativecommons.org/licenses/by-nc/4.0/" TargetMode="External"/><Relationship Id="rId646" Type="http://schemas.openxmlformats.org/officeDocument/2006/relationships/hyperlink" Target="https://www.inaturalist.org/observations/383001399" TargetMode="External"/><Relationship Id="rId647" Type="http://schemas.openxmlformats.org/officeDocument/2006/relationships/hyperlink" Target="https://creativecommons.org/licenses/by-nc/4.0/" TargetMode="External"/><Relationship Id="rId648" Type="http://schemas.openxmlformats.org/officeDocument/2006/relationships/hyperlink" Target="https://www.inaturalist.org/observations/382992908" TargetMode="External"/><Relationship Id="rId649" Type="http://schemas.openxmlformats.org/officeDocument/2006/relationships/hyperlink" Target="https://creativecommons.org/licenses/by-nc/4.0/" TargetMode="External"/><Relationship Id="rId650" Type="http://schemas.openxmlformats.org/officeDocument/2006/relationships/hyperlink" Target="https://www.inaturalist.org/observations/382979296" TargetMode="External"/><Relationship Id="rId651" Type="http://schemas.openxmlformats.org/officeDocument/2006/relationships/hyperlink" Target="https://creativecommons.org/licenses/by-nc/4.0/" TargetMode="External"/><Relationship Id="rId652" Type="http://schemas.openxmlformats.org/officeDocument/2006/relationships/hyperlink" Target="https://www.inaturalist.org/observations/382960810" TargetMode="External"/><Relationship Id="rId653" Type="http://schemas.openxmlformats.org/officeDocument/2006/relationships/hyperlink" Target="https://creativecommons.org/licenses/by-nc/4.0/" TargetMode="External"/><Relationship Id="rId654" Type="http://schemas.openxmlformats.org/officeDocument/2006/relationships/hyperlink" Target="https://www.inaturalist.org/observations/382959876" TargetMode="External"/><Relationship Id="rId655" Type="http://schemas.openxmlformats.org/officeDocument/2006/relationships/hyperlink" Target="https://creativecommons.org/licenses/by-nc/4.0/" TargetMode="External"/><Relationship Id="rId656" Type="http://schemas.openxmlformats.org/officeDocument/2006/relationships/hyperlink" Target="https://www.inaturalist.org/observations/382950532" TargetMode="External"/><Relationship Id="rId657" Type="http://schemas.openxmlformats.org/officeDocument/2006/relationships/hyperlink" Target="https://creativecommons.org/licenses/by-nc/4.0/" TargetMode="External"/><Relationship Id="rId658" Type="http://schemas.openxmlformats.org/officeDocument/2006/relationships/hyperlink" Target="https://www.inaturalist.org/observations/382917207" TargetMode="External"/><Relationship Id="rId659" Type="http://schemas.openxmlformats.org/officeDocument/2006/relationships/hyperlink" Target="https://creativecommons.org/licenses/by-nc/4.0/" TargetMode="External"/><Relationship Id="rId660" Type="http://schemas.openxmlformats.org/officeDocument/2006/relationships/hyperlink" Target="https://www.inaturalist.org/observations/382907822" TargetMode="External"/><Relationship Id="rId661" Type="http://schemas.openxmlformats.org/officeDocument/2006/relationships/hyperlink" Target="https://creativecommons.org/licenses/by-nc/4.0/" TargetMode="External"/><Relationship Id="rId662" Type="http://schemas.openxmlformats.org/officeDocument/2006/relationships/hyperlink" Target="https://www.inaturalist.org/observations/382907381" TargetMode="External"/><Relationship Id="rId663" Type="http://schemas.openxmlformats.org/officeDocument/2006/relationships/hyperlink" Target="https://creativecommons.org/licenses/by-nc/4.0/" TargetMode="External"/><Relationship Id="rId664" Type="http://schemas.openxmlformats.org/officeDocument/2006/relationships/hyperlink" Target="https://www.inaturalist.org/observations/382901950" TargetMode="External"/><Relationship Id="rId665" Type="http://schemas.openxmlformats.org/officeDocument/2006/relationships/hyperlink" Target="https://creativecommons.org/licenses/by-nc/4.0/" TargetMode="External"/><Relationship Id="rId666" Type="http://schemas.openxmlformats.org/officeDocument/2006/relationships/hyperlink" Target="https://www.inaturalist.org/observations/382870635" TargetMode="External"/><Relationship Id="rId667" Type="http://schemas.openxmlformats.org/officeDocument/2006/relationships/hyperlink" Target="https://creativecommons.org/licenses/by-nc/4.0/" TargetMode="External"/><Relationship Id="rId668" Type="http://schemas.openxmlformats.org/officeDocument/2006/relationships/hyperlink" Target="https://www.inaturalist.org/observations/382855470" TargetMode="External"/><Relationship Id="rId669" Type="http://schemas.openxmlformats.org/officeDocument/2006/relationships/hyperlink" Target="https://creativecommons.org/licenses/by-nc/4.0/" TargetMode="External"/><Relationship Id="rId670" Type="http://schemas.openxmlformats.org/officeDocument/2006/relationships/hyperlink" Target="https://www.inaturalist.org/observations/382822188" TargetMode="External"/><Relationship Id="rId671" Type="http://schemas.openxmlformats.org/officeDocument/2006/relationships/hyperlink" Target="https://creativecommons.org/licenses/by-nc/4.0/" TargetMode="External"/><Relationship Id="rId672" Type="http://schemas.openxmlformats.org/officeDocument/2006/relationships/hyperlink" Target="https://www.inaturalist.org/observations/382821666" TargetMode="External"/><Relationship Id="rId673" Type="http://schemas.openxmlformats.org/officeDocument/2006/relationships/hyperlink" Target="https://creativecommons.org/licenses/by-nc/4.0/" TargetMode="External"/><Relationship Id="rId674" Type="http://schemas.openxmlformats.org/officeDocument/2006/relationships/hyperlink" Target="https://www.inaturalist.org/observations/382809375" TargetMode="External"/><Relationship Id="rId675" Type="http://schemas.openxmlformats.org/officeDocument/2006/relationships/hyperlink" Target="https://creativecommons.org/licenses/by-nc/4.0/" TargetMode="External"/><Relationship Id="rId676" Type="http://schemas.openxmlformats.org/officeDocument/2006/relationships/hyperlink" Target="https://www.inaturalist.org/observations/382802756" TargetMode="External"/><Relationship Id="rId677" Type="http://schemas.openxmlformats.org/officeDocument/2006/relationships/hyperlink" Target="https://creativecommons.org/licenses/by-nc/4.0/" TargetMode="External"/><Relationship Id="rId678" Type="http://schemas.openxmlformats.org/officeDocument/2006/relationships/hyperlink" Target="https://www.inaturalist.org/observations/382794668" TargetMode="External"/><Relationship Id="rId679" Type="http://schemas.openxmlformats.org/officeDocument/2006/relationships/hyperlink" Target="https://creativecommons.org/licenses/by-nc/4.0/" TargetMode="External"/><Relationship Id="rId680" Type="http://schemas.openxmlformats.org/officeDocument/2006/relationships/hyperlink" Target="https://www.inaturalist.org/observations/382785716" TargetMode="External"/><Relationship Id="rId681" Type="http://schemas.openxmlformats.org/officeDocument/2006/relationships/hyperlink" Target="https://creativecommons.org/licenses/by-nc/4.0/" TargetMode="External"/><Relationship Id="rId682" Type="http://schemas.openxmlformats.org/officeDocument/2006/relationships/hyperlink" Target="https://www.inaturalist.org/observations/382777032" TargetMode="External"/><Relationship Id="rId683" Type="http://schemas.openxmlformats.org/officeDocument/2006/relationships/hyperlink" Target="https://creativecommons.org/licenses/by-nc/4.0/" TargetMode="External"/><Relationship Id="rId684" Type="http://schemas.openxmlformats.org/officeDocument/2006/relationships/hyperlink" Target="https://www.inaturalist.org/observations/382755266" TargetMode="External"/><Relationship Id="rId685" Type="http://schemas.openxmlformats.org/officeDocument/2006/relationships/hyperlink" Target="https://creativecommons.org/licenses/by-nc/4.0/" TargetMode="External"/><Relationship Id="rId686" Type="http://schemas.openxmlformats.org/officeDocument/2006/relationships/hyperlink" Target="https://www.inaturalist.org/observations/382750796" TargetMode="External"/><Relationship Id="rId687" Type="http://schemas.openxmlformats.org/officeDocument/2006/relationships/hyperlink" Target="https://creativecommons.org/licenses/by-nc/4.0/" TargetMode="External"/><Relationship Id="rId688" Type="http://schemas.openxmlformats.org/officeDocument/2006/relationships/hyperlink" Target="https://www.inaturalist.org/observations/382725409" TargetMode="External"/><Relationship Id="rId689" Type="http://schemas.openxmlformats.org/officeDocument/2006/relationships/hyperlink" Target="https://creativecommons.org/licenses/by-nc/4.0/" TargetMode="External"/><Relationship Id="rId690" Type="http://schemas.openxmlformats.org/officeDocument/2006/relationships/hyperlink" Target="https://www.inaturalist.org/observations/382708854" TargetMode="External"/><Relationship Id="rId691" Type="http://schemas.openxmlformats.org/officeDocument/2006/relationships/hyperlink" Target="https://creativecommons.org/licenses/by-nc/4.0/" TargetMode="External"/><Relationship Id="rId692" Type="http://schemas.openxmlformats.org/officeDocument/2006/relationships/hyperlink" Target="https://www.inaturalist.org/observations/382705902" TargetMode="External"/><Relationship Id="rId693" Type="http://schemas.openxmlformats.org/officeDocument/2006/relationships/hyperlink" Target="https://creativecommons.org/licenses/by-nc/4.0/" TargetMode="External"/><Relationship Id="rId694" Type="http://schemas.openxmlformats.org/officeDocument/2006/relationships/hyperlink" Target="https://www.inaturalist.org/observations/382690550" TargetMode="External"/><Relationship Id="rId695" Type="http://schemas.openxmlformats.org/officeDocument/2006/relationships/hyperlink" Target="https://creativecommons.org/licenses/by-nc/4.0/" TargetMode="External"/><Relationship Id="rId696" Type="http://schemas.openxmlformats.org/officeDocument/2006/relationships/hyperlink" Target="https://www.inaturalist.org/observations/382688672" TargetMode="External"/><Relationship Id="rId697" Type="http://schemas.openxmlformats.org/officeDocument/2006/relationships/hyperlink" Target="https://creativecommons.org/licenses/by-nc/4.0/" TargetMode="External"/><Relationship Id="rId698" Type="http://schemas.openxmlformats.org/officeDocument/2006/relationships/hyperlink" Target="https://www.inaturalist.org/observations/382623135" TargetMode="External"/><Relationship Id="rId699" Type="http://schemas.openxmlformats.org/officeDocument/2006/relationships/hyperlink" Target="https://creativecommons.org/licenses/by-nc/4.0/" TargetMode="External"/><Relationship Id="rId700" Type="http://schemas.openxmlformats.org/officeDocument/2006/relationships/hyperlink" Target="https://www.inaturalist.org/observations/382558286" TargetMode="External"/><Relationship Id="rId701" Type="http://schemas.openxmlformats.org/officeDocument/2006/relationships/hyperlink" Target="https://creativecommons.org/licenses/by-nc/4.0/" TargetMode="External"/><Relationship Id="rId702" Type="http://schemas.openxmlformats.org/officeDocument/2006/relationships/hyperlink" Target="https://www.inaturalist.org/observations/382497942" TargetMode="External"/><Relationship Id="rId703" Type="http://schemas.openxmlformats.org/officeDocument/2006/relationships/hyperlink" Target="https://creativecommons.org/licenses/by-nc/4.0/" TargetMode="External"/><Relationship Id="rId704" Type="http://schemas.openxmlformats.org/officeDocument/2006/relationships/hyperlink" Target="https://www.inaturalist.org/observations/382473283" TargetMode="External"/><Relationship Id="rId705" Type="http://schemas.openxmlformats.org/officeDocument/2006/relationships/hyperlink" Target="https://creativecommons.org/licenses/by-nc/4.0/" TargetMode="External"/><Relationship Id="rId706" Type="http://schemas.openxmlformats.org/officeDocument/2006/relationships/hyperlink" Target="https://www.inaturalist.org/observations/382462784" TargetMode="External"/><Relationship Id="rId707" Type="http://schemas.openxmlformats.org/officeDocument/2006/relationships/hyperlink" Target="https://creativecommons.org/licenses/by-nc/4.0/" TargetMode="External"/><Relationship Id="rId708" Type="http://schemas.openxmlformats.org/officeDocument/2006/relationships/hyperlink" Target="https://www.inaturalist.org/observations/382412499" TargetMode="External"/><Relationship Id="rId709" Type="http://schemas.openxmlformats.org/officeDocument/2006/relationships/hyperlink" Target="https://creativecommons.org/licenses/by-nc/4.0/" TargetMode="External"/><Relationship Id="rId710" Type="http://schemas.openxmlformats.org/officeDocument/2006/relationships/hyperlink" Target="https://www.inaturalist.org/observations/382396663" TargetMode="External"/><Relationship Id="rId711" Type="http://schemas.openxmlformats.org/officeDocument/2006/relationships/hyperlink" Target="https://creativecommons.org/licenses/by-nc/4.0/" TargetMode="External"/><Relationship Id="rId712" Type="http://schemas.openxmlformats.org/officeDocument/2006/relationships/hyperlink" Target="https://www.inaturalist.org/observations/382363831" TargetMode="External"/><Relationship Id="rId713" Type="http://schemas.openxmlformats.org/officeDocument/2006/relationships/hyperlink" Target="https://creativecommons.org/licenses/by-nc/4.0/" TargetMode="External"/><Relationship Id="rId714" Type="http://schemas.openxmlformats.org/officeDocument/2006/relationships/hyperlink" Target="https://www.inaturalist.org/observations/382321604" TargetMode="External"/><Relationship Id="rId715" Type="http://schemas.openxmlformats.org/officeDocument/2006/relationships/hyperlink" Target="https://creativecommons.org/licenses/by-nc/4.0/" TargetMode="External"/><Relationship Id="rId716" Type="http://schemas.openxmlformats.org/officeDocument/2006/relationships/hyperlink" Target="https://www.inaturalist.org/observations/382319955" TargetMode="External"/><Relationship Id="rId717" Type="http://schemas.openxmlformats.org/officeDocument/2006/relationships/hyperlink" Target="https://creativecommons.org/licenses/by-nc/4.0/" TargetMode="External"/><Relationship Id="rId718" Type="http://schemas.openxmlformats.org/officeDocument/2006/relationships/hyperlink" Target="https://www.inaturalist.org/observations/382270619" TargetMode="External"/><Relationship Id="rId719" Type="http://schemas.openxmlformats.org/officeDocument/2006/relationships/hyperlink" Target="https://creativecommons.org/licenses/by-nc/4.0/" TargetMode="External"/><Relationship Id="rId720" Type="http://schemas.openxmlformats.org/officeDocument/2006/relationships/hyperlink" Target="https://www.inaturalist.org/observations/382263105" TargetMode="External"/><Relationship Id="rId721" Type="http://schemas.openxmlformats.org/officeDocument/2006/relationships/hyperlink" Target="https://creativecommons.org/licenses/by-nc/4.0/" TargetMode="External"/><Relationship Id="rId722" Type="http://schemas.openxmlformats.org/officeDocument/2006/relationships/hyperlink" Target="https://www.inaturalist.org/observations/382253064" TargetMode="External"/><Relationship Id="rId723" Type="http://schemas.openxmlformats.org/officeDocument/2006/relationships/hyperlink" Target="https://creativecommons.org/licenses/by-nc/4.0/" TargetMode="External"/><Relationship Id="rId724" Type="http://schemas.openxmlformats.org/officeDocument/2006/relationships/hyperlink" Target="https://www.inaturalist.org/observations/382242311" TargetMode="External"/><Relationship Id="rId725" Type="http://schemas.openxmlformats.org/officeDocument/2006/relationships/hyperlink" Target="https://creativecommons.org/licenses/by-nc/4.0/" TargetMode="External"/><Relationship Id="rId726" Type="http://schemas.openxmlformats.org/officeDocument/2006/relationships/hyperlink" Target="https://www.inaturalist.org/observations/382239767" TargetMode="External"/><Relationship Id="rId727" Type="http://schemas.openxmlformats.org/officeDocument/2006/relationships/hyperlink" Target="https://creativecommons.org/licenses/by-nc/4.0/" TargetMode="External"/><Relationship Id="rId728" Type="http://schemas.openxmlformats.org/officeDocument/2006/relationships/hyperlink" Target="https://www.inaturalist.org/observations/382235069" TargetMode="External"/><Relationship Id="rId729" Type="http://schemas.openxmlformats.org/officeDocument/2006/relationships/hyperlink" Target="https://creativecommons.org/licenses/by-nc/4.0/" TargetMode="External"/><Relationship Id="rId730" Type="http://schemas.openxmlformats.org/officeDocument/2006/relationships/hyperlink" Target="https://www.inaturalist.org/observations/382217870" TargetMode="External"/><Relationship Id="rId731" Type="http://schemas.openxmlformats.org/officeDocument/2006/relationships/hyperlink" Target="https://creativecommons.org/licenses/by-nc/4.0/" TargetMode="External"/><Relationship Id="rId732" Type="http://schemas.openxmlformats.org/officeDocument/2006/relationships/hyperlink" Target="https://www.inaturalist.org/observations/382175390" TargetMode="External"/><Relationship Id="rId733" Type="http://schemas.openxmlformats.org/officeDocument/2006/relationships/hyperlink" Target="https://creativecommons.org/licenses/by-nc/4.0/" TargetMode="External"/><Relationship Id="rId734" Type="http://schemas.openxmlformats.org/officeDocument/2006/relationships/hyperlink" Target="https://www.inaturalist.org/observations/382172993" TargetMode="External"/><Relationship Id="rId735" Type="http://schemas.openxmlformats.org/officeDocument/2006/relationships/hyperlink" Target="https://creativecommons.org/licenses/by-nc/4.0/" TargetMode="External"/><Relationship Id="rId736" Type="http://schemas.openxmlformats.org/officeDocument/2006/relationships/hyperlink" Target="https://www.inaturalist.org/observations/382153373" TargetMode="External"/><Relationship Id="rId737" Type="http://schemas.openxmlformats.org/officeDocument/2006/relationships/hyperlink" Target="https://creativecommons.org/licenses/by-nc/4.0/" TargetMode="External"/><Relationship Id="rId738" Type="http://schemas.openxmlformats.org/officeDocument/2006/relationships/hyperlink" Target="https://www.inaturalist.org/observations/382127742" TargetMode="External"/><Relationship Id="rId739" Type="http://schemas.openxmlformats.org/officeDocument/2006/relationships/hyperlink" Target="https://creativecommons.org/licenses/by-nc/4.0/" TargetMode="External"/><Relationship Id="rId740" Type="http://schemas.openxmlformats.org/officeDocument/2006/relationships/hyperlink" Target="https://www.inaturalist.org/observations/382115705" TargetMode="External"/><Relationship Id="rId741" Type="http://schemas.openxmlformats.org/officeDocument/2006/relationships/hyperlink" Target="https://creativecommons.org/licenses/by-nc/4.0/" TargetMode="External"/><Relationship Id="rId742" Type="http://schemas.openxmlformats.org/officeDocument/2006/relationships/hyperlink" Target="https://www.inaturalist.org/observations/382104891" TargetMode="External"/><Relationship Id="rId743" Type="http://schemas.openxmlformats.org/officeDocument/2006/relationships/hyperlink" Target="https://creativecommons.org/licenses/by-nc/4.0/" TargetMode="External"/><Relationship Id="rId744" Type="http://schemas.openxmlformats.org/officeDocument/2006/relationships/hyperlink" Target="https://www.inaturalist.org/observations/382104291" TargetMode="External"/><Relationship Id="rId745" Type="http://schemas.openxmlformats.org/officeDocument/2006/relationships/hyperlink" Target="https://creativecommons.org/licenses/by-nc/4.0/" TargetMode="External"/><Relationship Id="rId746" Type="http://schemas.openxmlformats.org/officeDocument/2006/relationships/hyperlink" Target="https://www.inaturalist.org/observations/382093927" TargetMode="External"/><Relationship Id="rId747" Type="http://schemas.openxmlformats.org/officeDocument/2006/relationships/hyperlink" Target="https://creativecommons.org/licenses/by-nc/4.0/" TargetMode="External"/><Relationship Id="rId748" Type="http://schemas.openxmlformats.org/officeDocument/2006/relationships/hyperlink" Target="https://www.inaturalist.org/observations/382081686" TargetMode="External"/><Relationship Id="rId749" Type="http://schemas.openxmlformats.org/officeDocument/2006/relationships/hyperlink" Target="https://creativecommons.org/licenses/by-nc/4.0/" TargetMode="External"/><Relationship Id="rId750" Type="http://schemas.openxmlformats.org/officeDocument/2006/relationships/hyperlink" Target="https://www.inaturalist.org/observations/382052692" TargetMode="External"/><Relationship Id="rId751" Type="http://schemas.openxmlformats.org/officeDocument/2006/relationships/hyperlink" Target="https://creativecommons.org/licenses/by-nc/4.0/" TargetMode="External"/><Relationship Id="rId752" Type="http://schemas.openxmlformats.org/officeDocument/2006/relationships/hyperlink" Target="https://www.inaturalist.org/observations/382033630" TargetMode="External"/><Relationship Id="rId753" Type="http://schemas.openxmlformats.org/officeDocument/2006/relationships/hyperlink" Target="https://creativecommons.org/licenses/by-nc/4.0/" TargetMode="External"/><Relationship Id="rId754" Type="http://schemas.openxmlformats.org/officeDocument/2006/relationships/hyperlink" Target="https://www.inaturalist.org/observations/381983993" TargetMode="External"/><Relationship Id="rId755" Type="http://schemas.openxmlformats.org/officeDocument/2006/relationships/hyperlink" Target="https://creativecommons.org/licenses/by-nc/4.0/" TargetMode="External"/><Relationship Id="rId756" Type="http://schemas.openxmlformats.org/officeDocument/2006/relationships/hyperlink" Target="https://www.inaturalist.org/observations/381973352" TargetMode="External"/><Relationship Id="rId757" Type="http://schemas.openxmlformats.org/officeDocument/2006/relationships/hyperlink" Target="https://creativecommons.org/licenses/by-nc/4.0/" TargetMode="External"/><Relationship Id="rId758" Type="http://schemas.openxmlformats.org/officeDocument/2006/relationships/hyperlink" Target="https://www.inaturalist.org/observations/381966605" TargetMode="External"/><Relationship Id="rId759" Type="http://schemas.openxmlformats.org/officeDocument/2006/relationships/hyperlink" Target="https://creativecommons.org/licenses/by-nc/4.0/" TargetMode="External"/><Relationship Id="rId760" Type="http://schemas.openxmlformats.org/officeDocument/2006/relationships/hyperlink" Target="https://www.inaturalist.org/observations/381906941" TargetMode="External"/><Relationship Id="rId761" Type="http://schemas.openxmlformats.org/officeDocument/2006/relationships/hyperlink" Target="https://creativecommons.org/licenses/by-nc/4.0/" TargetMode="External"/><Relationship Id="rId762" Type="http://schemas.openxmlformats.org/officeDocument/2006/relationships/hyperlink" Target="https://www.inaturalist.org/observations/381890562" TargetMode="External"/><Relationship Id="rId763" Type="http://schemas.openxmlformats.org/officeDocument/2006/relationships/hyperlink" Target="https://creativecommons.org/licenses/by-nc/4.0/" TargetMode="External"/><Relationship Id="rId764" Type="http://schemas.openxmlformats.org/officeDocument/2006/relationships/hyperlink" Target="https://www.inaturalist.org/observations/381872643" TargetMode="External"/><Relationship Id="rId765" Type="http://schemas.openxmlformats.org/officeDocument/2006/relationships/hyperlink" Target="https://creativecommons.org/licenses/by-nc/4.0/" TargetMode="External"/><Relationship Id="rId766" Type="http://schemas.openxmlformats.org/officeDocument/2006/relationships/hyperlink" Target="https://www.inaturalist.org/observations/381866268" TargetMode="External"/><Relationship Id="rId767" Type="http://schemas.openxmlformats.org/officeDocument/2006/relationships/hyperlink" Target="https://creativecommons.org/licenses/by-nc/4.0/" TargetMode="External"/><Relationship Id="rId768" Type="http://schemas.openxmlformats.org/officeDocument/2006/relationships/hyperlink" Target="https://www.inaturalist.org/observations/381862539" TargetMode="External"/><Relationship Id="rId769" Type="http://schemas.openxmlformats.org/officeDocument/2006/relationships/hyperlink" Target="https://creativecommons.org/licenses/by-nc/4.0/" TargetMode="External"/><Relationship Id="rId770" Type="http://schemas.openxmlformats.org/officeDocument/2006/relationships/hyperlink" Target="https://www.inaturalist.org/observations/381847913" TargetMode="External"/><Relationship Id="rId771" Type="http://schemas.openxmlformats.org/officeDocument/2006/relationships/hyperlink" Target="https://creativecommons.org/licenses/by-nc/4.0/" TargetMode="External"/><Relationship Id="rId772" Type="http://schemas.openxmlformats.org/officeDocument/2006/relationships/hyperlink" Target="https://www.inaturalist.org/observations/381761441" TargetMode="External"/><Relationship Id="rId773" Type="http://schemas.openxmlformats.org/officeDocument/2006/relationships/hyperlink" Target="https://creativecommons.org/licenses/by-nc/4.0/" TargetMode="External"/><Relationship Id="rId774" Type="http://schemas.openxmlformats.org/officeDocument/2006/relationships/hyperlink" Target="https://www.inaturalist.org/observations/381761024" TargetMode="External"/><Relationship Id="rId775" Type="http://schemas.openxmlformats.org/officeDocument/2006/relationships/hyperlink" Target="https://creativecommons.org/licenses/by-nc/4.0/" TargetMode="External"/><Relationship Id="rId776" Type="http://schemas.openxmlformats.org/officeDocument/2006/relationships/hyperlink" Target="https://www.inaturalist.org/observations/381729705" TargetMode="External"/><Relationship Id="rId777" Type="http://schemas.openxmlformats.org/officeDocument/2006/relationships/hyperlink" Target="https://creativecommons.org/licenses/by-nc/4.0/" TargetMode="External"/><Relationship Id="rId778" Type="http://schemas.openxmlformats.org/officeDocument/2006/relationships/hyperlink" Target="https://www.inaturalist.org/observations/381728377" TargetMode="External"/><Relationship Id="rId779" Type="http://schemas.openxmlformats.org/officeDocument/2006/relationships/hyperlink" Target="https://creativecommons.org/licenses/by-nc/4.0/" TargetMode="External"/><Relationship Id="rId780" Type="http://schemas.openxmlformats.org/officeDocument/2006/relationships/hyperlink" Target="https://www.inaturalist.org/observations/381599326" TargetMode="External"/><Relationship Id="rId781" Type="http://schemas.openxmlformats.org/officeDocument/2006/relationships/hyperlink" Target="https://creativecommons.org/licenses/by-nc/4.0/" TargetMode="External"/><Relationship Id="rId782" Type="http://schemas.openxmlformats.org/officeDocument/2006/relationships/hyperlink" Target="https://www.inaturalist.org/observations/381584867" TargetMode="External"/><Relationship Id="rId783" Type="http://schemas.openxmlformats.org/officeDocument/2006/relationships/hyperlink" Target="https://creativecommons.org/licenses/by-nc/4.0/" TargetMode="External"/><Relationship Id="rId784" Type="http://schemas.openxmlformats.org/officeDocument/2006/relationships/hyperlink" Target="https://www.inaturalist.org/observations/381544325" TargetMode="External"/><Relationship Id="rId785" Type="http://schemas.openxmlformats.org/officeDocument/2006/relationships/hyperlink" Target="https://creativecommons.org/licenses/by-nc/4.0/" TargetMode="External"/><Relationship Id="rId786" Type="http://schemas.openxmlformats.org/officeDocument/2006/relationships/hyperlink" Target="https://www.inaturalist.org/observations/381505269" TargetMode="External"/><Relationship Id="rId787" Type="http://schemas.openxmlformats.org/officeDocument/2006/relationships/hyperlink" Target="https://creativecommons.org/licenses/by-nc/4.0/" TargetMode="External"/><Relationship Id="rId788" Type="http://schemas.openxmlformats.org/officeDocument/2006/relationships/hyperlink" Target="https://www.inaturalist.org/observations/381484590" TargetMode="External"/><Relationship Id="rId789" Type="http://schemas.openxmlformats.org/officeDocument/2006/relationships/hyperlink" Target="https://creativecommons.org/licenses/by-nc/4.0/" TargetMode="External"/><Relationship Id="rId790" Type="http://schemas.openxmlformats.org/officeDocument/2006/relationships/hyperlink" Target="https://www.inaturalist.org/observations/381448698" TargetMode="External"/><Relationship Id="rId791" Type="http://schemas.openxmlformats.org/officeDocument/2006/relationships/hyperlink" Target="https://creativecommons.org/licenses/by-nc/4.0/" TargetMode="External"/><Relationship Id="rId792" Type="http://schemas.openxmlformats.org/officeDocument/2006/relationships/hyperlink" Target="https://www.inaturalist.org/observations/381402405" TargetMode="External"/><Relationship Id="rId793" Type="http://schemas.openxmlformats.org/officeDocument/2006/relationships/hyperlink" Target="https://creativecommons.org/licenses/by-nc/4.0/" TargetMode="External"/><Relationship Id="rId794" Type="http://schemas.openxmlformats.org/officeDocument/2006/relationships/hyperlink" Target="https://www.inaturalist.org/observations/381401282" TargetMode="External"/><Relationship Id="rId795" Type="http://schemas.openxmlformats.org/officeDocument/2006/relationships/hyperlink" Target="https://creativecommons.org/licenses/by-nc/4.0/" TargetMode="External"/><Relationship Id="rId796" Type="http://schemas.openxmlformats.org/officeDocument/2006/relationships/hyperlink" Target="https://www.inaturalist.org/observations/381386547" TargetMode="External"/><Relationship Id="rId797" Type="http://schemas.openxmlformats.org/officeDocument/2006/relationships/hyperlink" Target="https://creativecommons.org/licenses/by-nc/4.0/" TargetMode="External"/><Relationship Id="rId798" Type="http://schemas.openxmlformats.org/officeDocument/2006/relationships/hyperlink" Target="https://www.inaturalist.org/observations/381367874" TargetMode="External"/><Relationship Id="rId799" Type="http://schemas.openxmlformats.org/officeDocument/2006/relationships/hyperlink" Target="https://creativecommons.org/licenses/by-nc/4.0/" TargetMode="External"/><Relationship Id="rId800" Type="http://schemas.openxmlformats.org/officeDocument/2006/relationships/hyperlink" Target="https://www.inaturalist.org/observations/381274766" TargetMode="External"/><Relationship Id="rId801" Type="http://schemas.openxmlformats.org/officeDocument/2006/relationships/hyperlink" Target="https://creativecommons.org/licenses/by-nc/4.0/" TargetMode="External"/><Relationship Id="rId802" Type="http://schemas.openxmlformats.org/officeDocument/2006/relationships/hyperlink" Target="https://www.inaturalist.org/observations/381259614" TargetMode="External"/><Relationship Id="rId803" Type="http://schemas.openxmlformats.org/officeDocument/2006/relationships/hyperlink" Target="https://creativecommons.org/licenses/by-nc/4.0/" TargetMode="External"/><Relationship Id="rId804" Type="http://schemas.openxmlformats.org/officeDocument/2006/relationships/hyperlink" Target="https://www.inaturalist.org/observations/381198268" TargetMode="External"/><Relationship Id="rId805" Type="http://schemas.openxmlformats.org/officeDocument/2006/relationships/hyperlink" Target="https://creativecommons.org/licenses/by-nc/4.0/" TargetMode="External"/><Relationship Id="rId806" Type="http://schemas.openxmlformats.org/officeDocument/2006/relationships/hyperlink" Target="https://www.inaturalist.org/observations/381174358" TargetMode="External"/><Relationship Id="rId807" Type="http://schemas.openxmlformats.org/officeDocument/2006/relationships/hyperlink" Target="https://creativecommons.org/licenses/by-nc/4.0/" TargetMode="External"/><Relationship Id="rId808" Type="http://schemas.openxmlformats.org/officeDocument/2006/relationships/hyperlink" Target="https://www.inaturalist.org/observations/381174343" TargetMode="External"/><Relationship Id="rId809" Type="http://schemas.openxmlformats.org/officeDocument/2006/relationships/hyperlink" Target="https://creativecommons.org/licenses/by-nc/4.0/" TargetMode="External"/><Relationship Id="rId810" Type="http://schemas.openxmlformats.org/officeDocument/2006/relationships/hyperlink" Target="https://www.inaturalist.org/observations/381150496" TargetMode="External"/><Relationship Id="rId811" Type="http://schemas.openxmlformats.org/officeDocument/2006/relationships/hyperlink" Target="https://creativecommons.org/licenses/by-nc/4.0/" TargetMode="External"/><Relationship Id="rId812" Type="http://schemas.openxmlformats.org/officeDocument/2006/relationships/hyperlink" Target="https://www.inaturalist.org/observations/381132144" TargetMode="External"/><Relationship Id="rId813" Type="http://schemas.openxmlformats.org/officeDocument/2006/relationships/hyperlink" Target="https://creativecommons.org/licenses/by-nc/4.0/" TargetMode="External"/><Relationship Id="rId814" Type="http://schemas.openxmlformats.org/officeDocument/2006/relationships/hyperlink" Target="https://www.inaturalist.org/observations/381131518" TargetMode="External"/><Relationship Id="rId815" Type="http://schemas.openxmlformats.org/officeDocument/2006/relationships/hyperlink" Target="https://creativecommons.org/licenses/by-nc/4.0/" TargetMode="External"/><Relationship Id="rId816" Type="http://schemas.openxmlformats.org/officeDocument/2006/relationships/hyperlink" Target="https://www.inaturalist.org/observations/380991692" TargetMode="External"/><Relationship Id="rId817" Type="http://schemas.openxmlformats.org/officeDocument/2006/relationships/hyperlink" Target="https://creativecommons.org/licenses/by-nc/4.0/" TargetMode="External"/><Relationship Id="rId818" Type="http://schemas.openxmlformats.org/officeDocument/2006/relationships/hyperlink" Target="https://www.inaturalist.org/observations/380932042" TargetMode="External"/><Relationship Id="rId819" Type="http://schemas.openxmlformats.org/officeDocument/2006/relationships/hyperlink" Target="https://creativecommons.org/licenses/by-nc/4.0/" TargetMode="External"/><Relationship Id="rId820" Type="http://schemas.openxmlformats.org/officeDocument/2006/relationships/hyperlink" Target="https://www.inaturalist.org/observations/380890423" TargetMode="External"/><Relationship Id="rId821" Type="http://schemas.openxmlformats.org/officeDocument/2006/relationships/hyperlink" Target="https://creativecommons.org/licenses/by-nc/4.0/" TargetMode="External"/><Relationship Id="rId822" Type="http://schemas.openxmlformats.org/officeDocument/2006/relationships/hyperlink" Target="https://www.inaturalist.org/observations/380872790" TargetMode="External"/><Relationship Id="rId823" Type="http://schemas.openxmlformats.org/officeDocument/2006/relationships/hyperlink" Target="https://creativecommons.org/licenses/by-nc/4.0/" TargetMode="External"/><Relationship Id="rId824" Type="http://schemas.openxmlformats.org/officeDocument/2006/relationships/hyperlink" Target="https://www.inaturalist.org/observations/380836792" TargetMode="External"/><Relationship Id="rId825" Type="http://schemas.openxmlformats.org/officeDocument/2006/relationships/hyperlink" Target="https://creativecommons.org/licenses/by-nc/4.0/" TargetMode="External"/><Relationship Id="rId826" Type="http://schemas.openxmlformats.org/officeDocument/2006/relationships/hyperlink" Target="https://www.inaturalist.org/observations/380827103" TargetMode="External"/><Relationship Id="rId827" Type="http://schemas.openxmlformats.org/officeDocument/2006/relationships/hyperlink" Target="https://creativecommons.org/licenses/by-nc/4.0/" TargetMode="External"/><Relationship Id="rId828" Type="http://schemas.openxmlformats.org/officeDocument/2006/relationships/hyperlink" Target="https://www.inaturalist.org/observations/380714320" TargetMode="External"/><Relationship Id="rId829" Type="http://schemas.openxmlformats.org/officeDocument/2006/relationships/hyperlink" Target="https://creativecommons.org/licenses/by-nc/4.0/" TargetMode="External"/><Relationship Id="rId830" Type="http://schemas.openxmlformats.org/officeDocument/2006/relationships/hyperlink" Target="https://www.inaturalist.org/observations/380698740" TargetMode="External"/><Relationship Id="rId831" Type="http://schemas.openxmlformats.org/officeDocument/2006/relationships/hyperlink" Target="https://creativecommons.org/licenses/by-nc/4.0/" TargetMode="External"/><Relationship Id="rId832" Type="http://schemas.openxmlformats.org/officeDocument/2006/relationships/hyperlink" Target="https://www.inaturalist.org/observations/380648472" TargetMode="External"/><Relationship Id="rId833" Type="http://schemas.openxmlformats.org/officeDocument/2006/relationships/hyperlink" Target="https://creativecommons.org/licenses/by-nc/4.0/" TargetMode="External"/><Relationship Id="rId834" Type="http://schemas.openxmlformats.org/officeDocument/2006/relationships/hyperlink" Target="https://www.inaturalist.org/observations/380334971" TargetMode="External"/><Relationship Id="rId835" Type="http://schemas.openxmlformats.org/officeDocument/2006/relationships/hyperlink" Target="https://creativecommons.org/licenses/by-nc/4.0/" TargetMode="External"/><Relationship Id="rId836" Type="http://schemas.openxmlformats.org/officeDocument/2006/relationships/hyperlink" Target="https://www.inaturalist.org/observations/380192476" TargetMode="External"/><Relationship Id="rId837" Type="http://schemas.openxmlformats.org/officeDocument/2006/relationships/hyperlink" Target="https://creativecommons.org/licenses/by-nc/4.0/" TargetMode="External"/><Relationship Id="rId838" Type="http://schemas.openxmlformats.org/officeDocument/2006/relationships/hyperlink" Target="https://www.inaturalist.org/observations/380180365" TargetMode="External"/><Relationship Id="rId839" Type="http://schemas.openxmlformats.org/officeDocument/2006/relationships/hyperlink" Target="https://creativecommons.org/licenses/by-nc/4.0/" TargetMode="External"/><Relationship Id="rId840" Type="http://schemas.openxmlformats.org/officeDocument/2006/relationships/hyperlink" Target="https://www.inaturalist.org/observations/380146698" TargetMode="External"/><Relationship Id="rId841" Type="http://schemas.openxmlformats.org/officeDocument/2006/relationships/hyperlink" Target="https://creativecommons.org/licenses/by-nc/4.0/" TargetMode="External"/><Relationship Id="rId842" Type="http://schemas.openxmlformats.org/officeDocument/2006/relationships/hyperlink" Target="https://www.inaturalist.org/observations/380140954" TargetMode="External"/><Relationship Id="rId843" Type="http://schemas.openxmlformats.org/officeDocument/2006/relationships/hyperlink" Target="https://creativecommons.org/licenses/by-nc/4.0/" TargetMode="External"/><Relationship Id="rId844" Type="http://schemas.openxmlformats.org/officeDocument/2006/relationships/hyperlink" Target="https://www.inaturalist.org/observations/380058881" TargetMode="External"/><Relationship Id="rId845" Type="http://schemas.openxmlformats.org/officeDocument/2006/relationships/hyperlink" Target="https://creativecommons.org/licenses/by-nc/4.0/" TargetMode="External"/><Relationship Id="rId846" Type="http://schemas.openxmlformats.org/officeDocument/2006/relationships/hyperlink" Target="https://www.inaturalist.org/observations/380004221" TargetMode="External"/><Relationship Id="rId847" Type="http://schemas.openxmlformats.org/officeDocument/2006/relationships/hyperlink" Target="https://creativecommons.org/licenses/by-nc/4.0/" TargetMode="External"/><Relationship Id="rId848" Type="http://schemas.openxmlformats.org/officeDocument/2006/relationships/hyperlink" Target="https://www.inaturalist.org/observations/379926667" TargetMode="External"/><Relationship Id="rId849" Type="http://schemas.openxmlformats.org/officeDocument/2006/relationships/hyperlink" Target="https://creativecommons.org/licenses/by-nc/4.0/" TargetMode="External"/><Relationship Id="rId850" Type="http://schemas.openxmlformats.org/officeDocument/2006/relationships/hyperlink" Target="https://www.inaturalist.org/observations/379883123" TargetMode="External"/><Relationship Id="rId851" Type="http://schemas.openxmlformats.org/officeDocument/2006/relationships/hyperlink" Target="https://creativecommons.org/licenses/by-nc/4.0/" TargetMode="External"/><Relationship Id="rId852" Type="http://schemas.openxmlformats.org/officeDocument/2006/relationships/hyperlink" Target="https://www.inaturalist.org/observations/379879727" TargetMode="External"/><Relationship Id="rId853" Type="http://schemas.openxmlformats.org/officeDocument/2006/relationships/hyperlink" Target="https://creativecommons.org/licenses/by-nc/4.0/" TargetMode="External"/><Relationship Id="rId854" Type="http://schemas.openxmlformats.org/officeDocument/2006/relationships/hyperlink" Target="https://www.inaturalist.org/observations/379875919" TargetMode="External"/><Relationship Id="rId855" Type="http://schemas.openxmlformats.org/officeDocument/2006/relationships/hyperlink" Target="https://creativecommons.org/licenses/by-nc/4.0/" TargetMode="External"/><Relationship Id="rId856" Type="http://schemas.openxmlformats.org/officeDocument/2006/relationships/hyperlink" Target="https://www.inaturalist.org/observations/379864947" TargetMode="External"/><Relationship Id="rId857" Type="http://schemas.openxmlformats.org/officeDocument/2006/relationships/hyperlink" Target="https://creativecommons.org/licenses/by-nc/4.0/" TargetMode="External"/><Relationship Id="rId858" Type="http://schemas.openxmlformats.org/officeDocument/2006/relationships/hyperlink" Target="https://www.inaturalist.org/observations/379823091" TargetMode="External"/><Relationship Id="rId859" Type="http://schemas.openxmlformats.org/officeDocument/2006/relationships/hyperlink" Target="https://creativecommons.org/licenses/by-nc/4.0/" TargetMode="External"/><Relationship Id="rId860" Type="http://schemas.openxmlformats.org/officeDocument/2006/relationships/hyperlink" Target="https://www.inaturalist.org/observations/379753423" TargetMode="External"/><Relationship Id="rId861" Type="http://schemas.openxmlformats.org/officeDocument/2006/relationships/hyperlink" Target="https://creativecommons.org/licenses/by-nc/4.0/" TargetMode="External"/><Relationship Id="rId862" Type="http://schemas.openxmlformats.org/officeDocument/2006/relationships/hyperlink" Target="https://www.inaturalist.org/observations/379714279" TargetMode="External"/><Relationship Id="rId863" Type="http://schemas.openxmlformats.org/officeDocument/2006/relationships/hyperlink" Target="https://creativecommons.org/licenses/by-nc/4.0/" TargetMode="External"/><Relationship Id="rId864" Type="http://schemas.openxmlformats.org/officeDocument/2006/relationships/hyperlink" Target="https://www.inaturalist.org/observations/379635276" TargetMode="External"/><Relationship Id="rId865" Type="http://schemas.openxmlformats.org/officeDocument/2006/relationships/hyperlink" Target="https://creativecommons.org/licenses/by-nc/4.0/" TargetMode="External"/><Relationship Id="rId866" Type="http://schemas.openxmlformats.org/officeDocument/2006/relationships/hyperlink" Target="https://www.inaturalist.org/observations/379614338" TargetMode="External"/><Relationship Id="rId867" Type="http://schemas.openxmlformats.org/officeDocument/2006/relationships/hyperlink" Target="https://creativecommons.org/licenses/by-nc/4.0/" TargetMode="External"/><Relationship Id="rId868" Type="http://schemas.openxmlformats.org/officeDocument/2006/relationships/hyperlink" Target="https://www.inaturalist.org/observations/379551315" TargetMode="External"/><Relationship Id="rId869" Type="http://schemas.openxmlformats.org/officeDocument/2006/relationships/hyperlink" Target="https://creativecommons.org/licenses/by-nc/4.0/" TargetMode="External"/><Relationship Id="rId870" Type="http://schemas.openxmlformats.org/officeDocument/2006/relationships/hyperlink" Target="https://www.inaturalist.org/observations/379537006" TargetMode="External"/><Relationship Id="rId871" Type="http://schemas.openxmlformats.org/officeDocument/2006/relationships/hyperlink" Target="https://creativecommons.org/licenses/by-nc/4.0/" TargetMode="External"/><Relationship Id="rId872" Type="http://schemas.openxmlformats.org/officeDocument/2006/relationships/hyperlink" Target="https://www.inaturalist.org/observations/379446118" TargetMode="External"/><Relationship Id="rId873" Type="http://schemas.openxmlformats.org/officeDocument/2006/relationships/hyperlink" Target="https://creativecommons.org/licenses/by-nc/4.0/" TargetMode="External"/><Relationship Id="rId874" Type="http://schemas.openxmlformats.org/officeDocument/2006/relationships/hyperlink" Target="https://www.inaturalist.org/observations/379291863" TargetMode="External"/><Relationship Id="rId875" Type="http://schemas.openxmlformats.org/officeDocument/2006/relationships/hyperlink" Target="https://creativecommons.org/licenses/by-nc/4.0/" TargetMode="External"/><Relationship Id="rId876" Type="http://schemas.openxmlformats.org/officeDocument/2006/relationships/hyperlink" Target="https://www.inaturalist.org/observations/379282407" TargetMode="External"/><Relationship Id="rId877" Type="http://schemas.openxmlformats.org/officeDocument/2006/relationships/hyperlink" Target="https://creativecommons.org/licenses/by-nc/4.0/" TargetMode="External"/><Relationship Id="rId878" Type="http://schemas.openxmlformats.org/officeDocument/2006/relationships/hyperlink" Target="https://www.inaturalist.org/observations/379184425" TargetMode="External"/><Relationship Id="rId879" Type="http://schemas.openxmlformats.org/officeDocument/2006/relationships/hyperlink" Target="https://creativecommons.org/licenses/by-nc/4.0/" TargetMode="External"/><Relationship Id="rId880" Type="http://schemas.openxmlformats.org/officeDocument/2006/relationships/hyperlink" Target="https://www.inaturalist.org/observations/379170262" TargetMode="External"/><Relationship Id="rId881" Type="http://schemas.openxmlformats.org/officeDocument/2006/relationships/hyperlink" Target="https://creativecommons.org/licenses/by-nc/4.0/" TargetMode="External"/><Relationship Id="rId882" Type="http://schemas.openxmlformats.org/officeDocument/2006/relationships/hyperlink" Target="https://www.inaturalist.org/observations/379088517" TargetMode="External"/><Relationship Id="rId883" Type="http://schemas.openxmlformats.org/officeDocument/2006/relationships/hyperlink" Target="https://creativecommons.org/licenses/by-nc/4.0/" TargetMode="External"/><Relationship Id="rId884" Type="http://schemas.openxmlformats.org/officeDocument/2006/relationships/hyperlink" Target="https://www.inaturalist.org/observations/378943885" TargetMode="External"/><Relationship Id="rId885" Type="http://schemas.openxmlformats.org/officeDocument/2006/relationships/hyperlink" Target="https://creativecommons.org/licenses/by-nc/4.0/" TargetMode="External"/><Relationship Id="rId886" Type="http://schemas.openxmlformats.org/officeDocument/2006/relationships/hyperlink" Target="https://www.inaturalist.org/observations/378874612" TargetMode="External"/><Relationship Id="rId887" Type="http://schemas.openxmlformats.org/officeDocument/2006/relationships/hyperlink" Target="https://creativecommons.org/licenses/by-nc/4.0/" TargetMode="External"/><Relationship Id="rId888" Type="http://schemas.openxmlformats.org/officeDocument/2006/relationships/hyperlink" Target="https://www.inaturalist.org/observations/378813046" TargetMode="External"/><Relationship Id="rId889" Type="http://schemas.openxmlformats.org/officeDocument/2006/relationships/hyperlink" Target="https://creativecommons.org/licenses/by-nc/4.0/" TargetMode="External"/><Relationship Id="rId890" Type="http://schemas.openxmlformats.org/officeDocument/2006/relationships/hyperlink" Target="https://www.inaturalist.org/observations/378654702" TargetMode="External"/><Relationship Id="rId891" Type="http://schemas.openxmlformats.org/officeDocument/2006/relationships/hyperlink" Target="https://creativecommons.org/licenses/by-nc/4.0/" TargetMode="External"/><Relationship Id="rId892" Type="http://schemas.openxmlformats.org/officeDocument/2006/relationships/hyperlink" Target="https://www.inaturalist.org/observations/378633468" TargetMode="External"/><Relationship Id="rId893" Type="http://schemas.openxmlformats.org/officeDocument/2006/relationships/hyperlink" Target="https://creativecommons.org/licenses/by-nc/4.0/" TargetMode="External"/><Relationship Id="rId894" Type="http://schemas.openxmlformats.org/officeDocument/2006/relationships/hyperlink" Target="https://www.inaturalist.org/observations/378287593" TargetMode="External"/><Relationship Id="rId895" Type="http://schemas.openxmlformats.org/officeDocument/2006/relationships/hyperlink" Target="https://creativecommons.org/licenses/by-nc/4.0/" TargetMode="External"/><Relationship Id="rId896" Type="http://schemas.openxmlformats.org/officeDocument/2006/relationships/hyperlink" Target="https://www.inaturalist.org/observations/378250021" TargetMode="External"/><Relationship Id="rId897" Type="http://schemas.openxmlformats.org/officeDocument/2006/relationships/hyperlink" Target="https://creativecommons.org/licenses/by-nc/4.0/" TargetMode="External"/><Relationship Id="rId898" Type="http://schemas.openxmlformats.org/officeDocument/2006/relationships/hyperlink" Target="https://www.inaturalist.org/observations/378226091" TargetMode="External"/><Relationship Id="rId899" Type="http://schemas.openxmlformats.org/officeDocument/2006/relationships/hyperlink" Target="https://creativecommons.org/licenses/by-nc/4.0/" TargetMode="External"/><Relationship Id="rId900" Type="http://schemas.openxmlformats.org/officeDocument/2006/relationships/hyperlink" Target="https://www.inaturalist.org/observations/378122276" TargetMode="External"/><Relationship Id="rId901" Type="http://schemas.openxmlformats.org/officeDocument/2006/relationships/hyperlink" Target="https://creativecommons.org/licenses/by-nc/4.0/" TargetMode="External"/><Relationship Id="rId902" Type="http://schemas.openxmlformats.org/officeDocument/2006/relationships/hyperlink" Target="https://www.inaturalist.org/observations/378034494" TargetMode="External"/><Relationship Id="rId903" Type="http://schemas.openxmlformats.org/officeDocument/2006/relationships/hyperlink" Target="https://creativecommons.org/licenses/by-nc/4.0/" TargetMode="External"/><Relationship Id="rId904" Type="http://schemas.openxmlformats.org/officeDocument/2006/relationships/hyperlink" Target="https://www.inaturalist.org/observations/378031693" TargetMode="External"/><Relationship Id="rId905" Type="http://schemas.openxmlformats.org/officeDocument/2006/relationships/hyperlink" Target="https://creativecommons.org/licenses/by-nc/4.0/" TargetMode="External"/><Relationship Id="rId906" Type="http://schemas.openxmlformats.org/officeDocument/2006/relationships/hyperlink" Target="https://www.inaturalist.org/observations/377896779" TargetMode="External"/><Relationship Id="rId907" Type="http://schemas.openxmlformats.org/officeDocument/2006/relationships/hyperlink" Target="https://creativecommons.org/licenses/by-nc/4.0/" TargetMode="External"/><Relationship Id="rId908" Type="http://schemas.openxmlformats.org/officeDocument/2006/relationships/hyperlink" Target="https://www.inaturalist.org/observations/377847425" TargetMode="External"/><Relationship Id="rId909" Type="http://schemas.openxmlformats.org/officeDocument/2006/relationships/hyperlink" Target="https://creativecommons.org/licenses/by-nc/4.0/" TargetMode="External"/><Relationship Id="rId910" Type="http://schemas.openxmlformats.org/officeDocument/2006/relationships/hyperlink" Target="https://www.inaturalist.org/observations/377839874" TargetMode="External"/><Relationship Id="rId911" Type="http://schemas.openxmlformats.org/officeDocument/2006/relationships/hyperlink" Target="https://creativecommons.org/licenses/by-nc/4.0/" TargetMode="External"/><Relationship Id="rId912" Type="http://schemas.openxmlformats.org/officeDocument/2006/relationships/hyperlink" Target="https://www.inaturalist.org/observations/377707389" TargetMode="External"/><Relationship Id="rId913" Type="http://schemas.openxmlformats.org/officeDocument/2006/relationships/hyperlink" Target="https://creativecommons.org/licenses/by-nc/4.0/" TargetMode="External"/><Relationship Id="rId914" Type="http://schemas.openxmlformats.org/officeDocument/2006/relationships/hyperlink" Target="https://www.inaturalist.org/observations/377692150" TargetMode="External"/><Relationship Id="rId915" Type="http://schemas.openxmlformats.org/officeDocument/2006/relationships/hyperlink" Target="https://creativecommons.org/licenses/by-nc/4.0/" TargetMode="External"/><Relationship Id="rId916" Type="http://schemas.openxmlformats.org/officeDocument/2006/relationships/hyperlink" Target="https://www.inaturalist.org/observations/377625021" TargetMode="External"/><Relationship Id="rId917" Type="http://schemas.openxmlformats.org/officeDocument/2006/relationships/hyperlink" Target="https://creativecommons.org/licenses/by-nc/4.0/" TargetMode="External"/><Relationship Id="rId918" Type="http://schemas.openxmlformats.org/officeDocument/2006/relationships/hyperlink" Target="https://www.inaturalist.org/observations/377473346" TargetMode="External"/><Relationship Id="rId919" Type="http://schemas.openxmlformats.org/officeDocument/2006/relationships/hyperlink" Target="https://creativecommons.org/licenses/by-nc/4.0/" TargetMode="External"/><Relationship Id="rId920" Type="http://schemas.openxmlformats.org/officeDocument/2006/relationships/hyperlink" Target="https://www.inaturalist.org/observations/377422303" TargetMode="External"/><Relationship Id="rId921" Type="http://schemas.openxmlformats.org/officeDocument/2006/relationships/hyperlink" Target="https://creativecommons.org/licenses/by-nc/4.0/" TargetMode="External"/><Relationship Id="rId922" Type="http://schemas.openxmlformats.org/officeDocument/2006/relationships/hyperlink" Target="https://www.inaturalist.org/observations/377346009" TargetMode="External"/><Relationship Id="rId923" Type="http://schemas.openxmlformats.org/officeDocument/2006/relationships/hyperlink" Target="https://creativecommons.org/licenses/by-nc/4.0/" TargetMode="External"/><Relationship Id="rId924" Type="http://schemas.openxmlformats.org/officeDocument/2006/relationships/hyperlink" Target="https://www.inaturalist.org/observations/377248093" TargetMode="External"/><Relationship Id="rId925" Type="http://schemas.openxmlformats.org/officeDocument/2006/relationships/hyperlink" Target="https://creativecommons.org/licenses/by-nc/4.0/" TargetMode="External"/><Relationship Id="rId926" Type="http://schemas.openxmlformats.org/officeDocument/2006/relationships/hyperlink" Target="https://www.inaturalist.org/observations/377228347" TargetMode="External"/><Relationship Id="rId927" Type="http://schemas.openxmlformats.org/officeDocument/2006/relationships/hyperlink" Target="https://creativecommons.org/licenses/by-nc/4.0/" TargetMode="External"/><Relationship Id="rId928" Type="http://schemas.openxmlformats.org/officeDocument/2006/relationships/hyperlink" Target="https://www.inaturalist.org/observations/377128442" TargetMode="External"/><Relationship Id="rId929" Type="http://schemas.openxmlformats.org/officeDocument/2006/relationships/hyperlink" Target="https://creativecommons.org/licenses/by-nc/4.0/" TargetMode="External"/><Relationship Id="rId930" Type="http://schemas.openxmlformats.org/officeDocument/2006/relationships/hyperlink" Target="https://www.inaturalist.org/observations/376964483" TargetMode="External"/><Relationship Id="rId931" Type="http://schemas.openxmlformats.org/officeDocument/2006/relationships/hyperlink" Target="https://creativecommons.org/licenses/by-nc/4.0/" TargetMode="External"/><Relationship Id="rId932" Type="http://schemas.openxmlformats.org/officeDocument/2006/relationships/hyperlink" Target="https://www.inaturalist.org/observations/376964461" TargetMode="External"/><Relationship Id="rId933" Type="http://schemas.openxmlformats.org/officeDocument/2006/relationships/hyperlink" Target="https://creativecommons.org/licenses/by-nc/4.0/" TargetMode="External"/><Relationship Id="rId934" Type="http://schemas.openxmlformats.org/officeDocument/2006/relationships/hyperlink" Target="https://www.inaturalist.org/observations/376960367" TargetMode="External"/><Relationship Id="rId935" Type="http://schemas.openxmlformats.org/officeDocument/2006/relationships/hyperlink" Target="https://creativecommons.org/licenses/by-nc/4.0/" TargetMode="External"/><Relationship Id="rId936" Type="http://schemas.openxmlformats.org/officeDocument/2006/relationships/hyperlink" Target="https://www.inaturalist.org/observations/376960349" TargetMode="External"/><Relationship Id="rId937" Type="http://schemas.openxmlformats.org/officeDocument/2006/relationships/hyperlink" Target="https://creativecommons.org/licenses/by-nc/4.0/" TargetMode="External"/><Relationship Id="rId938" Type="http://schemas.openxmlformats.org/officeDocument/2006/relationships/hyperlink" Target="https://www.inaturalist.org/observations/376935063" TargetMode="External"/><Relationship Id="rId939" Type="http://schemas.openxmlformats.org/officeDocument/2006/relationships/hyperlink" Target="https://creativecommons.org/licenses/by-nc/4.0/" TargetMode="External"/><Relationship Id="rId940" Type="http://schemas.openxmlformats.org/officeDocument/2006/relationships/hyperlink" Target="https://www.inaturalist.org/observations/376882568" TargetMode="External"/><Relationship Id="rId941" Type="http://schemas.openxmlformats.org/officeDocument/2006/relationships/hyperlink" Target="https://creativecommons.org/licenses/by-nc/4.0/" TargetMode="External"/><Relationship Id="rId942" Type="http://schemas.openxmlformats.org/officeDocument/2006/relationships/hyperlink" Target="https://www.inaturalist.org/observations/376815678" TargetMode="External"/><Relationship Id="rId943" Type="http://schemas.openxmlformats.org/officeDocument/2006/relationships/hyperlink" Target="https://creativecommons.org/licenses/by-nc/4.0/" TargetMode="External"/><Relationship Id="rId944" Type="http://schemas.openxmlformats.org/officeDocument/2006/relationships/hyperlink" Target="https://www.inaturalist.org/observations/376800048" TargetMode="External"/><Relationship Id="rId945" Type="http://schemas.openxmlformats.org/officeDocument/2006/relationships/hyperlink" Target="https://creativecommons.org/licenses/by-nc/4.0/" TargetMode="External"/><Relationship Id="rId946" Type="http://schemas.openxmlformats.org/officeDocument/2006/relationships/hyperlink" Target="https://www.inaturalist.org/observations/376708750" TargetMode="External"/><Relationship Id="rId947" Type="http://schemas.openxmlformats.org/officeDocument/2006/relationships/hyperlink" Target="https://creativecommons.org/licenses/by-nc/4.0/" TargetMode="External"/><Relationship Id="rId948" Type="http://schemas.openxmlformats.org/officeDocument/2006/relationships/hyperlink" Target="https://www.inaturalist.org/observations/376582621" TargetMode="External"/><Relationship Id="rId949" Type="http://schemas.openxmlformats.org/officeDocument/2006/relationships/hyperlink" Target="https://creativecommons.org/licenses/by-nc/4.0/" TargetMode="External"/><Relationship Id="rId950" Type="http://schemas.openxmlformats.org/officeDocument/2006/relationships/hyperlink" Target="https://www.inaturalist.org/observations/376428291" TargetMode="External"/><Relationship Id="rId951" Type="http://schemas.openxmlformats.org/officeDocument/2006/relationships/hyperlink" Target="https://creativecommons.org/licenses/by-nc/4.0/" TargetMode="External"/><Relationship Id="rId952" Type="http://schemas.openxmlformats.org/officeDocument/2006/relationships/hyperlink" Target="https://www.inaturalist.org/observations/376356772" TargetMode="External"/><Relationship Id="rId953" Type="http://schemas.openxmlformats.org/officeDocument/2006/relationships/hyperlink" Target="https://creativecommons.org/licenses/by-nc/4.0/" TargetMode="External"/><Relationship Id="rId954" Type="http://schemas.openxmlformats.org/officeDocument/2006/relationships/hyperlink" Target="https://www.inaturalist.org/observations/376326424" TargetMode="External"/><Relationship Id="rId955" Type="http://schemas.openxmlformats.org/officeDocument/2006/relationships/hyperlink" Target="https://creativecommons.org/licenses/by-nc/4.0/" TargetMode="External"/><Relationship Id="rId956" Type="http://schemas.openxmlformats.org/officeDocument/2006/relationships/hyperlink" Target="https://www.inaturalist.org/observations/376319614" TargetMode="External"/><Relationship Id="rId957" Type="http://schemas.openxmlformats.org/officeDocument/2006/relationships/hyperlink" Target="https://creativecommons.org/licenses/by-nc/4.0/" TargetMode="External"/><Relationship Id="rId958" Type="http://schemas.openxmlformats.org/officeDocument/2006/relationships/hyperlink" Target="https://www.inaturalist.org/observations/376184303" TargetMode="External"/><Relationship Id="rId959" Type="http://schemas.openxmlformats.org/officeDocument/2006/relationships/hyperlink" Target="https://creativecommons.org/licenses/by-nc/4.0/" TargetMode="External"/><Relationship Id="rId960" Type="http://schemas.openxmlformats.org/officeDocument/2006/relationships/hyperlink" Target="https://www.inaturalist.org/observations/376167666" TargetMode="External"/><Relationship Id="rId961" Type="http://schemas.openxmlformats.org/officeDocument/2006/relationships/hyperlink" Target="https://creativecommons.org/licenses/by-nc/4.0/" TargetMode="External"/><Relationship Id="rId962" Type="http://schemas.openxmlformats.org/officeDocument/2006/relationships/hyperlink" Target="https://www.inaturalist.org/observations/376095307" TargetMode="External"/><Relationship Id="rId963" Type="http://schemas.openxmlformats.org/officeDocument/2006/relationships/hyperlink" Target="https://creativecommons.org/licenses/by-nc/4.0/" TargetMode="External"/><Relationship Id="rId964" Type="http://schemas.openxmlformats.org/officeDocument/2006/relationships/hyperlink" Target="https://www.inaturalist.org/observations/376085430" TargetMode="External"/><Relationship Id="rId965" Type="http://schemas.openxmlformats.org/officeDocument/2006/relationships/hyperlink" Target="https://creativecommons.org/licenses/by-nc/4.0/" TargetMode="External"/><Relationship Id="rId966" Type="http://schemas.openxmlformats.org/officeDocument/2006/relationships/hyperlink" Target="https://www.inaturalist.org/observations/375968953" TargetMode="External"/><Relationship Id="rId967" Type="http://schemas.openxmlformats.org/officeDocument/2006/relationships/hyperlink" Target="https://creativecommons.org/licenses/by-nc/4.0/" TargetMode="External"/><Relationship Id="rId968" Type="http://schemas.openxmlformats.org/officeDocument/2006/relationships/hyperlink" Target="https://www.inaturalist.org/observations/375726088" TargetMode="External"/><Relationship Id="rId969" Type="http://schemas.openxmlformats.org/officeDocument/2006/relationships/hyperlink" Target="https://creativecommons.org/licenses/by-nc/4.0/" TargetMode="External"/><Relationship Id="rId970" Type="http://schemas.openxmlformats.org/officeDocument/2006/relationships/hyperlink" Target="https://www.inaturalist.org/observations/375707472" TargetMode="External"/><Relationship Id="rId971" Type="http://schemas.openxmlformats.org/officeDocument/2006/relationships/hyperlink" Target="https://creativecommons.org/licenses/by-nc/4.0/" TargetMode="External"/><Relationship Id="rId972" Type="http://schemas.openxmlformats.org/officeDocument/2006/relationships/hyperlink" Target="https://www.inaturalist.org/observations/375695241" TargetMode="External"/><Relationship Id="rId973" Type="http://schemas.openxmlformats.org/officeDocument/2006/relationships/hyperlink" Target="https://creativecommons.org/licenses/by-nc/4.0/" TargetMode="External"/><Relationship Id="rId974" Type="http://schemas.openxmlformats.org/officeDocument/2006/relationships/hyperlink" Target="https://www.inaturalist.org/observations/375615248" TargetMode="External"/><Relationship Id="rId975" Type="http://schemas.openxmlformats.org/officeDocument/2006/relationships/hyperlink" Target="https://creativecommons.org/licenses/by-nc/4.0/" TargetMode="External"/><Relationship Id="rId976" Type="http://schemas.openxmlformats.org/officeDocument/2006/relationships/hyperlink" Target="https://www.inaturalist.org/observations/375458420" TargetMode="External"/><Relationship Id="rId977" Type="http://schemas.openxmlformats.org/officeDocument/2006/relationships/hyperlink" Target="https://creativecommons.org/licenses/by-nc/4.0/" TargetMode="External"/><Relationship Id="rId978" Type="http://schemas.openxmlformats.org/officeDocument/2006/relationships/hyperlink" Target="https://www.inaturalist.org/observations/375438068" TargetMode="External"/><Relationship Id="rId979" Type="http://schemas.openxmlformats.org/officeDocument/2006/relationships/hyperlink" Target="https://creativecommons.org/licenses/by-nc/4.0/" TargetMode="External"/><Relationship Id="rId980" Type="http://schemas.openxmlformats.org/officeDocument/2006/relationships/hyperlink" Target="https://www.inaturalist.org/observations/375278268" TargetMode="External"/><Relationship Id="rId981" Type="http://schemas.openxmlformats.org/officeDocument/2006/relationships/hyperlink" Target="https://creativecommons.org/licenses/by-nc/4.0/" TargetMode="External"/><Relationship Id="rId982" Type="http://schemas.openxmlformats.org/officeDocument/2006/relationships/hyperlink" Target="https://www.inaturalist.org/observations/375037018" TargetMode="External"/><Relationship Id="rId983" Type="http://schemas.openxmlformats.org/officeDocument/2006/relationships/hyperlink" Target="https://creativecommons.org/licenses/by-nc/4.0/" TargetMode="External"/><Relationship Id="rId984" Type="http://schemas.openxmlformats.org/officeDocument/2006/relationships/hyperlink" Target="https://www.inaturalist.org/observations/375037007" TargetMode="External"/><Relationship Id="rId985" Type="http://schemas.openxmlformats.org/officeDocument/2006/relationships/hyperlink" Target="https://creativecommons.org/licenses/by-nc/4.0/" TargetMode="External"/><Relationship Id="rId986" Type="http://schemas.openxmlformats.org/officeDocument/2006/relationships/hyperlink" Target="https://www.inaturalist.org/observations/375036992" TargetMode="External"/><Relationship Id="rId987" Type="http://schemas.openxmlformats.org/officeDocument/2006/relationships/hyperlink" Target="https://creativecommons.org/licenses/by-nc/4.0/" TargetMode="External"/><Relationship Id="rId988" Type="http://schemas.openxmlformats.org/officeDocument/2006/relationships/hyperlink" Target="https://www.inaturalist.org/observations/374885621" TargetMode="External"/><Relationship Id="rId989" Type="http://schemas.openxmlformats.org/officeDocument/2006/relationships/hyperlink" Target="https://creativecommons.org/licenses/by-nc/4.0/" TargetMode="External"/><Relationship Id="rId990" Type="http://schemas.openxmlformats.org/officeDocument/2006/relationships/hyperlink" Target="https://www.inaturalist.org/observations/374877491" TargetMode="External"/><Relationship Id="rId991" Type="http://schemas.openxmlformats.org/officeDocument/2006/relationships/hyperlink" Target="https://creativecommons.org/licenses/by-nc/4.0/" TargetMode="External"/><Relationship Id="rId992" Type="http://schemas.openxmlformats.org/officeDocument/2006/relationships/hyperlink" Target="https://www.inaturalist.org/observations/374823310" TargetMode="External"/><Relationship Id="rId993" Type="http://schemas.openxmlformats.org/officeDocument/2006/relationships/hyperlink" Target="https://creativecommons.org/licenses/by-nc/4.0/" TargetMode="External"/><Relationship Id="rId994" Type="http://schemas.openxmlformats.org/officeDocument/2006/relationships/hyperlink" Target="https://www.inaturalist.org/observations/374276129" TargetMode="External"/><Relationship Id="rId995" Type="http://schemas.openxmlformats.org/officeDocument/2006/relationships/hyperlink" Target="https://creativecommons.org/licenses/by-nc/4.0/" TargetMode="External"/><Relationship Id="rId996" Type="http://schemas.openxmlformats.org/officeDocument/2006/relationships/hyperlink" Target="https://www.inaturalist.org/observations/374256378" TargetMode="External"/><Relationship Id="rId997" Type="http://schemas.openxmlformats.org/officeDocument/2006/relationships/hyperlink" Target="https://creativecommons.org/licenses/by-nc/4.0/" TargetMode="External"/><Relationship Id="rId998" Type="http://schemas.openxmlformats.org/officeDocument/2006/relationships/hyperlink" Target="https://www.inaturalist.org/observations/374144649" TargetMode="External"/><Relationship Id="rId999" Type="http://schemas.openxmlformats.org/officeDocument/2006/relationships/hyperlink" Target="https://creativecommons.org/licenses/by-nc/4.0/" TargetMode="External"/><Relationship Id="rId1000" Type="http://schemas.openxmlformats.org/officeDocument/2006/relationships/hyperlink" Target="https://www.inaturalist.org/observations/374113307" TargetMode="External"/><Relationship Id="rId1001" Type="http://schemas.openxmlformats.org/officeDocument/2006/relationships/hyperlink" Target="https://creativecommons.org/licenses/by-nc/4.0/" TargetMode="External"/><Relationship Id="rId1002" Type="http://schemas.openxmlformats.org/officeDocument/2006/relationships/hyperlink" Target="https://www.inaturalist.org/observations/383159896" TargetMode="External"/><Relationship Id="rId1003" Type="http://schemas.openxmlformats.org/officeDocument/2006/relationships/hyperlink" Target="https://creativecommons.org/licenses/by-nc/4.0/" TargetMode="External"/><Relationship Id="rId1004" Type="http://schemas.openxmlformats.org/officeDocument/2006/relationships/hyperlink" Target="https://www.inaturalist.org/observations/383157727" TargetMode="External"/><Relationship Id="rId1005" Type="http://schemas.openxmlformats.org/officeDocument/2006/relationships/hyperlink" Target="https://creativecommons.org/licenses/by-nc/4.0/" TargetMode="External"/><Relationship Id="rId1006" Type="http://schemas.openxmlformats.org/officeDocument/2006/relationships/hyperlink" Target="https://www.inaturalist.org/observations/383154892" TargetMode="External"/><Relationship Id="rId1007" Type="http://schemas.openxmlformats.org/officeDocument/2006/relationships/hyperlink" Target="https://creativecommons.org/licenses/by-nc/4.0/" TargetMode="External"/><Relationship Id="rId1008" Type="http://schemas.openxmlformats.org/officeDocument/2006/relationships/hyperlink" Target="https://www.inaturalist.org/observations/383154633" TargetMode="External"/><Relationship Id="rId1009" Type="http://schemas.openxmlformats.org/officeDocument/2006/relationships/hyperlink" Target="https://creativecommons.org/licenses/by-nc/4.0/" TargetMode="External"/><Relationship Id="rId1010" Type="http://schemas.openxmlformats.org/officeDocument/2006/relationships/hyperlink" Target="https://www.inaturalist.org/observations/383153859" TargetMode="External"/><Relationship Id="rId1011" Type="http://schemas.openxmlformats.org/officeDocument/2006/relationships/hyperlink" Target="https://creativecommons.org/licenses/by-nc/4.0/" TargetMode="External"/><Relationship Id="rId1012" Type="http://schemas.openxmlformats.org/officeDocument/2006/relationships/hyperlink" Target="https://www.inaturalist.org/observations/383153648" TargetMode="External"/><Relationship Id="rId1013" Type="http://schemas.openxmlformats.org/officeDocument/2006/relationships/hyperlink" Target="https://creativecommons.org/licenses/by-nc/4.0/" TargetMode="External"/><Relationship Id="rId1014" Type="http://schemas.openxmlformats.org/officeDocument/2006/relationships/hyperlink" Target="https://www.inaturalist.org/observations/383151791" TargetMode="External"/><Relationship Id="rId1015" Type="http://schemas.openxmlformats.org/officeDocument/2006/relationships/hyperlink" Target="https://creativecommons.org/licenses/by-nc/4.0/" TargetMode="External"/><Relationship Id="rId1016" Type="http://schemas.openxmlformats.org/officeDocument/2006/relationships/hyperlink" Target="https://www.inaturalist.org/observations/383148443" TargetMode="External"/><Relationship Id="rId1017" Type="http://schemas.openxmlformats.org/officeDocument/2006/relationships/hyperlink" Target="https://creativecommons.org/licenses/by-nc/4.0/" TargetMode="External"/><Relationship Id="rId1018" Type="http://schemas.openxmlformats.org/officeDocument/2006/relationships/hyperlink" Target="https://www.inaturalist.org/observations/383139682" TargetMode="External"/><Relationship Id="rId1019" Type="http://schemas.openxmlformats.org/officeDocument/2006/relationships/hyperlink" Target="https://creativecommons.org/licenses/by-nc/4.0/" TargetMode="External"/><Relationship Id="rId1020" Type="http://schemas.openxmlformats.org/officeDocument/2006/relationships/hyperlink" Target="https://www.inaturalist.org/observations/383139027" TargetMode="External"/><Relationship Id="rId1021" Type="http://schemas.openxmlformats.org/officeDocument/2006/relationships/hyperlink" Target="https://creativecommons.org/licenses/by-nc/4.0/" TargetMode="External"/><Relationship Id="rId1022" Type="http://schemas.openxmlformats.org/officeDocument/2006/relationships/hyperlink" Target="https://www.inaturalist.org/observations/383137815" TargetMode="External"/><Relationship Id="rId1023" Type="http://schemas.openxmlformats.org/officeDocument/2006/relationships/hyperlink" Target="https://creativecommons.org/licenses/by-nc/4.0/" TargetMode="External"/><Relationship Id="rId1024" Type="http://schemas.openxmlformats.org/officeDocument/2006/relationships/hyperlink" Target="https://www.inaturalist.org/observations/383135493" TargetMode="External"/><Relationship Id="rId1025" Type="http://schemas.openxmlformats.org/officeDocument/2006/relationships/hyperlink" Target="https://creativecommons.org/licenses/by-nc/4.0/" TargetMode="External"/><Relationship Id="rId1026" Type="http://schemas.openxmlformats.org/officeDocument/2006/relationships/hyperlink" Target="https://www.inaturalist.org/observations/383133279" TargetMode="External"/><Relationship Id="rId1027" Type="http://schemas.openxmlformats.org/officeDocument/2006/relationships/hyperlink" Target="https://creativecommons.org/licenses/by-nc/4.0/" TargetMode="External"/><Relationship Id="rId1028" Type="http://schemas.openxmlformats.org/officeDocument/2006/relationships/hyperlink" Target="https://www.inaturalist.org/observations/383133238" TargetMode="External"/><Relationship Id="rId1029" Type="http://schemas.openxmlformats.org/officeDocument/2006/relationships/hyperlink" Target="https://creativecommons.org/licenses/by-nc/4.0/" TargetMode="External"/><Relationship Id="rId1030" Type="http://schemas.openxmlformats.org/officeDocument/2006/relationships/hyperlink" Target="https://www.inaturalist.org/observations/383122190" TargetMode="External"/><Relationship Id="rId1031" Type="http://schemas.openxmlformats.org/officeDocument/2006/relationships/hyperlink" Target="https://creativecommons.org/licenses/by-nc/4.0/" TargetMode="External"/><Relationship Id="rId1032" Type="http://schemas.openxmlformats.org/officeDocument/2006/relationships/hyperlink" Target="https://www.inaturalist.org/observations/383120447" TargetMode="External"/><Relationship Id="rId1033" Type="http://schemas.openxmlformats.org/officeDocument/2006/relationships/hyperlink" Target="https://creativecommons.org/licenses/by-nc/4.0/" TargetMode="External"/><Relationship Id="rId1034" Type="http://schemas.openxmlformats.org/officeDocument/2006/relationships/hyperlink" Target="https://www.inaturalist.org/observations/383119274" TargetMode="External"/><Relationship Id="rId1035" Type="http://schemas.openxmlformats.org/officeDocument/2006/relationships/hyperlink" Target="https://creativecommons.org/licenses/by-nc/4.0/" TargetMode="External"/><Relationship Id="rId1036" Type="http://schemas.openxmlformats.org/officeDocument/2006/relationships/hyperlink" Target="https://www.inaturalist.org/observations/383116836" TargetMode="External"/><Relationship Id="rId1037" Type="http://schemas.openxmlformats.org/officeDocument/2006/relationships/hyperlink" Target="https://creativecommons.org/licenses/by-nc/4.0/" TargetMode="External"/><Relationship Id="rId1038" Type="http://schemas.openxmlformats.org/officeDocument/2006/relationships/hyperlink" Target="https://www.inaturalist.org/observations/383116319" TargetMode="External"/><Relationship Id="rId1039" Type="http://schemas.openxmlformats.org/officeDocument/2006/relationships/hyperlink" Target="https://creativecommons.org/licenses/by-nc/4.0/" TargetMode="External"/><Relationship Id="rId1040" Type="http://schemas.openxmlformats.org/officeDocument/2006/relationships/hyperlink" Target="https://www.inaturalist.org/observations/383112716" TargetMode="External"/><Relationship Id="rId1041" Type="http://schemas.openxmlformats.org/officeDocument/2006/relationships/hyperlink" Target="https://creativecommons.org/licenses/by-nc/4.0/" TargetMode="External"/><Relationship Id="rId1042" Type="http://schemas.openxmlformats.org/officeDocument/2006/relationships/hyperlink" Target="https://www.inaturalist.org/observations/383110083" TargetMode="External"/><Relationship Id="rId1043" Type="http://schemas.openxmlformats.org/officeDocument/2006/relationships/hyperlink" Target="https://creativecommons.org/licenses/by-nc/4.0/" TargetMode="External"/><Relationship Id="rId1044" Type="http://schemas.openxmlformats.org/officeDocument/2006/relationships/hyperlink" Target="https://www.inaturalist.org/observations/383109604" TargetMode="External"/><Relationship Id="rId1045" Type="http://schemas.openxmlformats.org/officeDocument/2006/relationships/hyperlink" Target="https://creativecommons.org/licenses/by-nc/4.0/" TargetMode="External"/><Relationship Id="rId1046" Type="http://schemas.openxmlformats.org/officeDocument/2006/relationships/hyperlink" Target="https://www.inaturalist.org/observations/383108872" TargetMode="External"/><Relationship Id="rId1047" Type="http://schemas.openxmlformats.org/officeDocument/2006/relationships/hyperlink" Target="https://creativecommons.org/licenses/by-nc/4.0/" TargetMode="External"/><Relationship Id="rId1048" Type="http://schemas.openxmlformats.org/officeDocument/2006/relationships/hyperlink" Target="https://www.inaturalist.org/observations/383091607" TargetMode="External"/><Relationship Id="rId1049" Type="http://schemas.openxmlformats.org/officeDocument/2006/relationships/hyperlink" Target="https://creativecommons.org/licenses/by-nc/4.0/" TargetMode="External"/><Relationship Id="rId1050" Type="http://schemas.openxmlformats.org/officeDocument/2006/relationships/hyperlink" Target="https://www.inaturalist.org/observations/383080375" TargetMode="External"/><Relationship Id="rId1051" Type="http://schemas.openxmlformats.org/officeDocument/2006/relationships/hyperlink" Target="https://creativecommons.org/licenses/by-nc/4.0/" TargetMode="External"/><Relationship Id="rId1052" Type="http://schemas.openxmlformats.org/officeDocument/2006/relationships/hyperlink" Target="https://www.inaturalist.org/observations/383078071" TargetMode="External"/><Relationship Id="rId1053" Type="http://schemas.openxmlformats.org/officeDocument/2006/relationships/hyperlink" Target="https://creativecommons.org/licenses/by-nc/4.0/" TargetMode="External"/><Relationship Id="rId1054" Type="http://schemas.openxmlformats.org/officeDocument/2006/relationships/hyperlink" Target="https://www.inaturalist.org/observations/383077730" TargetMode="External"/><Relationship Id="rId1055" Type="http://schemas.openxmlformats.org/officeDocument/2006/relationships/hyperlink" Target="https://creativecommons.org/licenses/by-nc/4.0/" TargetMode="External"/><Relationship Id="rId1056" Type="http://schemas.openxmlformats.org/officeDocument/2006/relationships/hyperlink" Target="https://www.inaturalist.org/observations/383076800" TargetMode="External"/><Relationship Id="rId1057" Type="http://schemas.openxmlformats.org/officeDocument/2006/relationships/hyperlink" Target="https://creativecommons.org/licenses/by-nc/4.0/" TargetMode="External"/><Relationship Id="rId1058" Type="http://schemas.openxmlformats.org/officeDocument/2006/relationships/hyperlink" Target="https://www.inaturalist.org/observations/383076130" TargetMode="External"/><Relationship Id="rId1059" Type="http://schemas.openxmlformats.org/officeDocument/2006/relationships/hyperlink" Target="https://creativecommons.org/licenses/by-nc/4.0/" TargetMode="External"/><Relationship Id="rId1060" Type="http://schemas.openxmlformats.org/officeDocument/2006/relationships/hyperlink" Target="https://www.inaturalist.org/observations/383073281" TargetMode="External"/><Relationship Id="rId1061" Type="http://schemas.openxmlformats.org/officeDocument/2006/relationships/hyperlink" Target="https://creativecommons.org/licenses/by-nc/4.0/" TargetMode="External"/><Relationship Id="rId1062" Type="http://schemas.openxmlformats.org/officeDocument/2006/relationships/hyperlink" Target="https://www.inaturalist.org/observations/383072028" TargetMode="External"/><Relationship Id="rId1063" Type="http://schemas.openxmlformats.org/officeDocument/2006/relationships/hyperlink" Target="https://creativecommons.org/licenses/by-nc/4.0/" TargetMode="External"/><Relationship Id="rId1064" Type="http://schemas.openxmlformats.org/officeDocument/2006/relationships/hyperlink" Target="https://www.inaturalist.org/observations/383071893" TargetMode="External"/><Relationship Id="rId1065" Type="http://schemas.openxmlformats.org/officeDocument/2006/relationships/hyperlink" Target="https://creativecommons.org/licenses/by-nc/4.0/" TargetMode="External"/><Relationship Id="rId1066" Type="http://schemas.openxmlformats.org/officeDocument/2006/relationships/hyperlink" Target="https://www.inaturalist.org/observations/383070234" TargetMode="External"/><Relationship Id="rId1067" Type="http://schemas.openxmlformats.org/officeDocument/2006/relationships/hyperlink" Target="https://creativecommons.org/licenses/by-nc/4.0/" TargetMode="External"/><Relationship Id="rId1068" Type="http://schemas.openxmlformats.org/officeDocument/2006/relationships/hyperlink" Target="https://www.inaturalist.org/observations/383058672" TargetMode="External"/><Relationship Id="rId1069" Type="http://schemas.openxmlformats.org/officeDocument/2006/relationships/hyperlink" Target="https://creativecommons.org/licenses/by-nc/4.0/" TargetMode="External"/><Relationship Id="rId1070" Type="http://schemas.openxmlformats.org/officeDocument/2006/relationships/hyperlink" Target="https://www.inaturalist.org/observations/383055567" TargetMode="External"/><Relationship Id="rId1071" Type="http://schemas.openxmlformats.org/officeDocument/2006/relationships/hyperlink" Target="https://creativecommons.org/licenses/by-nc/4.0/" TargetMode="External"/><Relationship Id="rId1072" Type="http://schemas.openxmlformats.org/officeDocument/2006/relationships/hyperlink" Target="https://www.inaturalist.org/observations/383053021" TargetMode="External"/><Relationship Id="rId1073" Type="http://schemas.openxmlformats.org/officeDocument/2006/relationships/hyperlink" Target="https://creativecommons.org/licenses/by-nc/4.0/" TargetMode="External"/><Relationship Id="rId1074" Type="http://schemas.openxmlformats.org/officeDocument/2006/relationships/hyperlink" Target="https://www.inaturalist.org/observations/383053012" TargetMode="External"/><Relationship Id="rId1075" Type="http://schemas.openxmlformats.org/officeDocument/2006/relationships/hyperlink" Target="https://creativecommons.org/licenses/by-nc/4.0/" TargetMode="External"/><Relationship Id="rId1076" Type="http://schemas.openxmlformats.org/officeDocument/2006/relationships/hyperlink" Target="https://www.inaturalist.org/observations/383035453" TargetMode="External"/><Relationship Id="rId1077" Type="http://schemas.openxmlformats.org/officeDocument/2006/relationships/hyperlink" Target="https://creativecommons.org/licenses/by-nc/4.0/" TargetMode="External"/><Relationship Id="rId1078" Type="http://schemas.openxmlformats.org/officeDocument/2006/relationships/hyperlink" Target="https://www.inaturalist.org/observations/383035160" TargetMode="External"/><Relationship Id="rId1079" Type="http://schemas.openxmlformats.org/officeDocument/2006/relationships/hyperlink" Target="https://creativecommons.org/licenses/by-nc/4.0/" TargetMode="External"/><Relationship Id="rId1080" Type="http://schemas.openxmlformats.org/officeDocument/2006/relationships/hyperlink" Target="https://www.inaturalist.org/observations/383035043" TargetMode="External"/><Relationship Id="rId1081" Type="http://schemas.openxmlformats.org/officeDocument/2006/relationships/hyperlink" Target="https://creativecommons.org/licenses/by-nc/4.0/" TargetMode="External"/><Relationship Id="rId1082" Type="http://schemas.openxmlformats.org/officeDocument/2006/relationships/hyperlink" Target="https://www.inaturalist.org/observations/383034733" TargetMode="External"/><Relationship Id="rId1083" Type="http://schemas.openxmlformats.org/officeDocument/2006/relationships/hyperlink" Target="https://creativecommons.org/licenses/by-nc/4.0/" TargetMode="External"/><Relationship Id="rId1084" Type="http://schemas.openxmlformats.org/officeDocument/2006/relationships/hyperlink" Target="https://www.inaturalist.org/observations/383030712" TargetMode="External"/><Relationship Id="rId1085" Type="http://schemas.openxmlformats.org/officeDocument/2006/relationships/hyperlink" Target="https://creativecommons.org/licenses/by-nc/4.0/" TargetMode="External"/><Relationship Id="rId1086" Type="http://schemas.openxmlformats.org/officeDocument/2006/relationships/hyperlink" Target="https://www.inaturalist.org/observations/383028528" TargetMode="External"/><Relationship Id="rId1087" Type="http://schemas.openxmlformats.org/officeDocument/2006/relationships/hyperlink" Target="https://creativecommons.org/licenses/by-nc/4.0/" TargetMode="External"/><Relationship Id="rId1088" Type="http://schemas.openxmlformats.org/officeDocument/2006/relationships/hyperlink" Target="https://www.inaturalist.org/observations/383026176" TargetMode="External"/><Relationship Id="rId1089" Type="http://schemas.openxmlformats.org/officeDocument/2006/relationships/hyperlink" Target="https://creativecommons.org/licenses/by-nc/4.0/" TargetMode="External"/><Relationship Id="rId1090" Type="http://schemas.openxmlformats.org/officeDocument/2006/relationships/hyperlink" Target="https://www.inaturalist.org/observations/383013985" TargetMode="External"/><Relationship Id="rId1091" Type="http://schemas.openxmlformats.org/officeDocument/2006/relationships/hyperlink" Target="https://creativecommons.org/licenses/by-nc/4.0/" TargetMode="External"/><Relationship Id="rId1092" Type="http://schemas.openxmlformats.org/officeDocument/2006/relationships/hyperlink" Target="https://www.inaturalist.org/observations/383013879" TargetMode="External"/><Relationship Id="rId1093" Type="http://schemas.openxmlformats.org/officeDocument/2006/relationships/hyperlink" Target="https://creativecommons.org/licenses/by-nc/4.0/" TargetMode="External"/><Relationship Id="rId1094" Type="http://schemas.openxmlformats.org/officeDocument/2006/relationships/hyperlink" Target="https://www.inaturalist.org/observations/383013106" TargetMode="External"/><Relationship Id="rId1095" Type="http://schemas.openxmlformats.org/officeDocument/2006/relationships/hyperlink" Target="https://creativecommons.org/licenses/by-nc/4.0/" TargetMode="External"/><Relationship Id="rId1096" Type="http://schemas.openxmlformats.org/officeDocument/2006/relationships/hyperlink" Target="https://www.inaturalist.org/observations/383011744" TargetMode="External"/><Relationship Id="rId1097" Type="http://schemas.openxmlformats.org/officeDocument/2006/relationships/hyperlink" Target="https://creativecommons.org/licenses/by-nc/4.0/" TargetMode="External"/><Relationship Id="rId1098" Type="http://schemas.openxmlformats.org/officeDocument/2006/relationships/hyperlink" Target="https://www.inaturalist.org/observations/383010605" TargetMode="External"/><Relationship Id="rId1099" Type="http://schemas.openxmlformats.org/officeDocument/2006/relationships/hyperlink" Target="https://creativecommons.org/licenses/by-nc/4.0/" TargetMode="External"/><Relationship Id="rId1100" Type="http://schemas.openxmlformats.org/officeDocument/2006/relationships/hyperlink" Target="https://www.inaturalist.org/observations/383010353" TargetMode="External"/><Relationship Id="rId1101" Type="http://schemas.openxmlformats.org/officeDocument/2006/relationships/hyperlink" Target="https://creativecommons.org/licenses/by-nc/4.0/" TargetMode="External"/><Relationship Id="rId1102" Type="http://schemas.openxmlformats.org/officeDocument/2006/relationships/hyperlink" Target="https://www.inaturalist.org/observations/383006378" TargetMode="External"/><Relationship Id="rId1103" Type="http://schemas.openxmlformats.org/officeDocument/2006/relationships/hyperlink" Target="https://creativecommons.org/licenses/by-nc/4.0/" TargetMode="External"/><Relationship Id="rId1104" Type="http://schemas.openxmlformats.org/officeDocument/2006/relationships/hyperlink" Target="https://www.inaturalist.org/observations/383000092" TargetMode="External"/><Relationship Id="rId1105" Type="http://schemas.openxmlformats.org/officeDocument/2006/relationships/hyperlink" Target="https://creativecommons.org/licenses/by-nc/4.0/" TargetMode="External"/><Relationship Id="rId1106" Type="http://schemas.openxmlformats.org/officeDocument/2006/relationships/hyperlink" Target="https://www.inaturalist.org/observations/382997598" TargetMode="External"/><Relationship Id="rId1107" Type="http://schemas.openxmlformats.org/officeDocument/2006/relationships/hyperlink" Target="https://creativecommons.org/licenses/by-nc/4.0/" TargetMode="External"/><Relationship Id="rId1108" Type="http://schemas.openxmlformats.org/officeDocument/2006/relationships/hyperlink" Target="https://www.inaturalist.org/observations/382997420" TargetMode="External"/><Relationship Id="rId1109" Type="http://schemas.openxmlformats.org/officeDocument/2006/relationships/hyperlink" Target="https://creativecommons.org/licenses/by-nc/4.0/" TargetMode="External"/><Relationship Id="rId1110" Type="http://schemas.openxmlformats.org/officeDocument/2006/relationships/hyperlink" Target="https://www.inaturalist.org/observations/382996737" TargetMode="External"/><Relationship Id="rId1111" Type="http://schemas.openxmlformats.org/officeDocument/2006/relationships/hyperlink" Target="https://creativecommons.org/licenses/by-nc/4.0/" TargetMode="External"/><Relationship Id="rId1112" Type="http://schemas.openxmlformats.org/officeDocument/2006/relationships/hyperlink" Target="https://www.inaturalist.org/observations/382988562" TargetMode="External"/><Relationship Id="rId1113" Type="http://schemas.openxmlformats.org/officeDocument/2006/relationships/hyperlink" Target="https://creativecommons.org/licenses/by-nc/4.0/" TargetMode="External"/><Relationship Id="rId1114" Type="http://schemas.openxmlformats.org/officeDocument/2006/relationships/hyperlink" Target="https://www.inaturalist.org/observations/382985912" TargetMode="External"/><Relationship Id="rId1115" Type="http://schemas.openxmlformats.org/officeDocument/2006/relationships/hyperlink" Target="https://creativecommons.org/licenses/by-nc/4.0/" TargetMode="External"/><Relationship Id="rId1116" Type="http://schemas.openxmlformats.org/officeDocument/2006/relationships/hyperlink" Target="https://www.inaturalist.org/observations/382984822" TargetMode="External"/><Relationship Id="rId1117" Type="http://schemas.openxmlformats.org/officeDocument/2006/relationships/hyperlink" Target="https://creativecommons.org/licenses/by-nc/4.0/" TargetMode="External"/><Relationship Id="rId1118" Type="http://schemas.openxmlformats.org/officeDocument/2006/relationships/hyperlink" Target="https://www.inaturalist.org/observations/382978019" TargetMode="External"/><Relationship Id="rId1119" Type="http://schemas.openxmlformats.org/officeDocument/2006/relationships/hyperlink" Target="https://creativecommons.org/licenses/by-nc/4.0/" TargetMode="External"/><Relationship Id="rId1120" Type="http://schemas.openxmlformats.org/officeDocument/2006/relationships/hyperlink" Target="https://www.inaturalist.org/observations/382966694" TargetMode="External"/><Relationship Id="rId1121" Type="http://schemas.openxmlformats.org/officeDocument/2006/relationships/hyperlink" Target="https://creativecommons.org/licenses/by-nc/4.0/" TargetMode="External"/><Relationship Id="rId1122" Type="http://schemas.openxmlformats.org/officeDocument/2006/relationships/hyperlink" Target="https://www.inaturalist.org/observations/382966617" TargetMode="External"/><Relationship Id="rId1123" Type="http://schemas.openxmlformats.org/officeDocument/2006/relationships/hyperlink" Target="https://creativecommons.org/licenses/by-nc/4.0/" TargetMode="External"/><Relationship Id="rId1124" Type="http://schemas.openxmlformats.org/officeDocument/2006/relationships/hyperlink" Target="https://www.inaturalist.org/observations/382966510" TargetMode="External"/><Relationship Id="rId1125" Type="http://schemas.openxmlformats.org/officeDocument/2006/relationships/hyperlink" Target="https://creativecommons.org/licenses/by-nc/4.0/" TargetMode="External"/><Relationship Id="rId1126" Type="http://schemas.openxmlformats.org/officeDocument/2006/relationships/hyperlink" Target="https://www.inaturalist.org/observations/382965230" TargetMode="External"/><Relationship Id="rId1127" Type="http://schemas.openxmlformats.org/officeDocument/2006/relationships/hyperlink" Target="https://creativecommons.org/licenses/by-nc/4.0/" TargetMode="External"/><Relationship Id="rId1128" Type="http://schemas.openxmlformats.org/officeDocument/2006/relationships/hyperlink" Target="https://www.inaturalist.org/observations/382961909" TargetMode="External"/><Relationship Id="rId1129" Type="http://schemas.openxmlformats.org/officeDocument/2006/relationships/hyperlink" Target="https://creativecommons.org/licenses/by-nc/4.0/" TargetMode="External"/><Relationship Id="rId1130" Type="http://schemas.openxmlformats.org/officeDocument/2006/relationships/hyperlink" Target="https://www.inaturalist.org/observations/382961138" TargetMode="External"/><Relationship Id="rId1131" Type="http://schemas.openxmlformats.org/officeDocument/2006/relationships/hyperlink" Target="https://creativecommons.org/licenses/by-nc/4.0/" TargetMode="External"/><Relationship Id="rId1132" Type="http://schemas.openxmlformats.org/officeDocument/2006/relationships/hyperlink" Target="https://www.inaturalist.org/observations/382960601" TargetMode="External"/><Relationship Id="rId1133" Type="http://schemas.openxmlformats.org/officeDocument/2006/relationships/hyperlink" Target="https://creativecommons.org/licenses/by-nc/4.0/" TargetMode="External"/><Relationship Id="rId1134" Type="http://schemas.openxmlformats.org/officeDocument/2006/relationships/hyperlink" Target="https://www.inaturalist.org/observations/382960182" TargetMode="External"/><Relationship Id="rId1135" Type="http://schemas.openxmlformats.org/officeDocument/2006/relationships/hyperlink" Target="https://creativecommons.org/licenses/by-nc/4.0/" TargetMode="External"/><Relationship Id="rId1136" Type="http://schemas.openxmlformats.org/officeDocument/2006/relationships/hyperlink" Target="https://www.inaturalist.org/observations/382960180" TargetMode="External"/><Relationship Id="rId1137" Type="http://schemas.openxmlformats.org/officeDocument/2006/relationships/hyperlink" Target="https://creativecommons.org/licenses/by-nc/4.0/" TargetMode="External"/><Relationship Id="rId1138" Type="http://schemas.openxmlformats.org/officeDocument/2006/relationships/hyperlink" Target="https://www.inaturalist.org/observations/382955722" TargetMode="External"/><Relationship Id="rId1139" Type="http://schemas.openxmlformats.org/officeDocument/2006/relationships/hyperlink" Target="https://creativecommons.org/licenses/by-nc/4.0/" TargetMode="External"/><Relationship Id="rId1140" Type="http://schemas.openxmlformats.org/officeDocument/2006/relationships/hyperlink" Target="https://www.inaturalist.org/observations/382954092" TargetMode="External"/><Relationship Id="rId1141" Type="http://schemas.openxmlformats.org/officeDocument/2006/relationships/hyperlink" Target="https://creativecommons.org/licenses/by-nc/4.0/" TargetMode="External"/><Relationship Id="rId1142" Type="http://schemas.openxmlformats.org/officeDocument/2006/relationships/hyperlink" Target="https://www.inaturalist.org/observations/382949988" TargetMode="External"/><Relationship Id="rId1143" Type="http://schemas.openxmlformats.org/officeDocument/2006/relationships/hyperlink" Target="https://creativecommons.org/licenses/by-nc/4.0/" TargetMode="External"/><Relationship Id="rId1144" Type="http://schemas.openxmlformats.org/officeDocument/2006/relationships/hyperlink" Target="https://www.inaturalist.org/observations/382949847" TargetMode="External"/><Relationship Id="rId1145" Type="http://schemas.openxmlformats.org/officeDocument/2006/relationships/hyperlink" Target="https://creativecommons.org/licenses/by-nc/4.0/" TargetMode="External"/><Relationship Id="rId1146" Type="http://schemas.openxmlformats.org/officeDocument/2006/relationships/hyperlink" Target="https://www.inaturalist.org/observations/382945993" TargetMode="External"/><Relationship Id="rId1147" Type="http://schemas.openxmlformats.org/officeDocument/2006/relationships/hyperlink" Target="https://creativecommons.org/licenses/by-nc/4.0/" TargetMode="External"/><Relationship Id="rId1148" Type="http://schemas.openxmlformats.org/officeDocument/2006/relationships/hyperlink" Target="https://www.inaturalist.org/observations/382941599" TargetMode="External"/><Relationship Id="rId1149" Type="http://schemas.openxmlformats.org/officeDocument/2006/relationships/hyperlink" Target="https://creativecommons.org/licenses/by-nc/4.0/" TargetMode="External"/><Relationship Id="rId1150" Type="http://schemas.openxmlformats.org/officeDocument/2006/relationships/hyperlink" Target="https://www.inaturalist.org/observations/382941098" TargetMode="External"/><Relationship Id="rId1151" Type="http://schemas.openxmlformats.org/officeDocument/2006/relationships/hyperlink" Target="https://creativecommons.org/licenses/by-nc/4.0/" TargetMode="External"/><Relationship Id="rId1152" Type="http://schemas.openxmlformats.org/officeDocument/2006/relationships/hyperlink" Target="https://www.inaturalist.org/observations/382936945" TargetMode="External"/><Relationship Id="rId1153" Type="http://schemas.openxmlformats.org/officeDocument/2006/relationships/hyperlink" Target="https://creativecommons.org/licenses/by-nc/4.0/" TargetMode="External"/><Relationship Id="rId1154" Type="http://schemas.openxmlformats.org/officeDocument/2006/relationships/hyperlink" Target="https://www.inaturalist.org/observations/382936315" TargetMode="External"/><Relationship Id="rId1155" Type="http://schemas.openxmlformats.org/officeDocument/2006/relationships/hyperlink" Target="https://creativecommons.org/licenses/by-nc/4.0/" TargetMode="External"/><Relationship Id="rId1156" Type="http://schemas.openxmlformats.org/officeDocument/2006/relationships/hyperlink" Target="https://www.inaturalist.org/observations/382935358" TargetMode="External"/><Relationship Id="rId1157" Type="http://schemas.openxmlformats.org/officeDocument/2006/relationships/hyperlink" Target="https://creativecommons.org/licenses/by-nc/4.0/" TargetMode="External"/><Relationship Id="rId1158" Type="http://schemas.openxmlformats.org/officeDocument/2006/relationships/hyperlink" Target="https://www.inaturalist.org/observations/382935264" TargetMode="External"/><Relationship Id="rId1159" Type="http://schemas.openxmlformats.org/officeDocument/2006/relationships/hyperlink" Target="https://creativecommons.org/licenses/by-nc/4.0/" TargetMode="External"/><Relationship Id="rId1160" Type="http://schemas.openxmlformats.org/officeDocument/2006/relationships/hyperlink" Target="https://www.inaturalist.org/observations/382934406" TargetMode="External"/><Relationship Id="rId1161" Type="http://schemas.openxmlformats.org/officeDocument/2006/relationships/hyperlink" Target="https://creativecommons.org/licenses/by-nc/4.0/" TargetMode="External"/><Relationship Id="rId1162" Type="http://schemas.openxmlformats.org/officeDocument/2006/relationships/hyperlink" Target="https://www.inaturalist.org/observations/382930655" TargetMode="External"/><Relationship Id="rId1163" Type="http://schemas.openxmlformats.org/officeDocument/2006/relationships/hyperlink" Target="https://creativecommons.org/licenses/by-nc/4.0/" TargetMode="External"/><Relationship Id="rId1164" Type="http://schemas.openxmlformats.org/officeDocument/2006/relationships/hyperlink" Target="https://www.inaturalist.org/observations/382916656" TargetMode="External"/><Relationship Id="rId1165" Type="http://schemas.openxmlformats.org/officeDocument/2006/relationships/hyperlink" Target="https://creativecommons.org/licenses/by-nc/4.0/" TargetMode="External"/><Relationship Id="rId1166" Type="http://schemas.openxmlformats.org/officeDocument/2006/relationships/hyperlink" Target="https://www.inaturalist.org/observations/382913085" TargetMode="External"/><Relationship Id="rId1167" Type="http://schemas.openxmlformats.org/officeDocument/2006/relationships/hyperlink" Target="https://creativecommons.org/licenses/by-nc/4.0/" TargetMode="External"/><Relationship Id="rId1168" Type="http://schemas.openxmlformats.org/officeDocument/2006/relationships/hyperlink" Target="https://www.inaturalist.org/observations/382912447" TargetMode="External"/><Relationship Id="rId1169" Type="http://schemas.openxmlformats.org/officeDocument/2006/relationships/hyperlink" Target="https://creativecommons.org/licenses/by-nc/4.0/" TargetMode="External"/><Relationship Id="rId1170" Type="http://schemas.openxmlformats.org/officeDocument/2006/relationships/hyperlink" Target="https://www.inaturalist.org/observations/382909346" TargetMode="External"/><Relationship Id="rId1171" Type="http://schemas.openxmlformats.org/officeDocument/2006/relationships/hyperlink" Target="https://creativecommons.org/licenses/by-nc/4.0/" TargetMode="External"/><Relationship Id="rId1172" Type="http://schemas.openxmlformats.org/officeDocument/2006/relationships/hyperlink" Target="https://www.inaturalist.org/observations/382907709" TargetMode="External"/><Relationship Id="rId1173" Type="http://schemas.openxmlformats.org/officeDocument/2006/relationships/hyperlink" Target="https://creativecommons.org/licenses/by-nc/4.0/" TargetMode="External"/><Relationship Id="rId1174" Type="http://schemas.openxmlformats.org/officeDocument/2006/relationships/hyperlink" Target="https://www.inaturalist.org/observations/382905637" TargetMode="External"/><Relationship Id="rId1175" Type="http://schemas.openxmlformats.org/officeDocument/2006/relationships/hyperlink" Target="https://creativecommons.org/licenses/by-nc/4.0/" TargetMode="External"/><Relationship Id="rId1176" Type="http://schemas.openxmlformats.org/officeDocument/2006/relationships/hyperlink" Target="https://www.inaturalist.org/observations/382901231" TargetMode="External"/><Relationship Id="rId1177" Type="http://schemas.openxmlformats.org/officeDocument/2006/relationships/hyperlink" Target="https://creativecommons.org/licenses/by-nc/4.0/" TargetMode="External"/><Relationship Id="rId1178" Type="http://schemas.openxmlformats.org/officeDocument/2006/relationships/hyperlink" Target="https://www.inaturalist.org/observations/382900426" TargetMode="External"/><Relationship Id="rId1179" Type="http://schemas.openxmlformats.org/officeDocument/2006/relationships/hyperlink" Target="https://creativecommons.org/licenses/by-nc/4.0/" TargetMode="External"/><Relationship Id="rId1180" Type="http://schemas.openxmlformats.org/officeDocument/2006/relationships/hyperlink" Target="https://www.inaturalist.org/observations/382897982" TargetMode="External"/><Relationship Id="rId1181" Type="http://schemas.openxmlformats.org/officeDocument/2006/relationships/hyperlink" Target="https://creativecommons.org/licenses/by-nc/4.0/" TargetMode="External"/><Relationship Id="rId1182" Type="http://schemas.openxmlformats.org/officeDocument/2006/relationships/hyperlink" Target="https://www.inaturalist.org/observations/382892234" TargetMode="External"/><Relationship Id="rId1183" Type="http://schemas.openxmlformats.org/officeDocument/2006/relationships/hyperlink" Target="https://creativecommons.org/licenses/by-nc/4.0/" TargetMode="External"/><Relationship Id="rId1184" Type="http://schemas.openxmlformats.org/officeDocument/2006/relationships/hyperlink" Target="https://www.inaturalist.org/observations/382892162" TargetMode="External"/><Relationship Id="rId1185" Type="http://schemas.openxmlformats.org/officeDocument/2006/relationships/hyperlink" Target="https://creativecommons.org/licenses/by-nc/4.0/" TargetMode="External"/><Relationship Id="rId1186" Type="http://schemas.openxmlformats.org/officeDocument/2006/relationships/hyperlink" Target="https://www.inaturalist.org/observations/382885650" TargetMode="External"/><Relationship Id="rId1187" Type="http://schemas.openxmlformats.org/officeDocument/2006/relationships/hyperlink" Target="https://creativecommons.org/licenses/by-nc/4.0/" TargetMode="External"/><Relationship Id="rId1188" Type="http://schemas.openxmlformats.org/officeDocument/2006/relationships/hyperlink" Target="https://www.inaturalist.org/observations/382883815" TargetMode="External"/><Relationship Id="rId1189" Type="http://schemas.openxmlformats.org/officeDocument/2006/relationships/hyperlink" Target="https://creativecommons.org/licenses/by-nc/4.0/" TargetMode="External"/><Relationship Id="rId1190" Type="http://schemas.openxmlformats.org/officeDocument/2006/relationships/hyperlink" Target="https://www.inaturalist.org/observations/382883425" TargetMode="External"/><Relationship Id="rId1191" Type="http://schemas.openxmlformats.org/officeDocument/2006/relationships/hyperlink" Target="https://creativecommons.org/licenses/by-nc/4.0/" TargetMode="External"/><Relationship Id="rId1192" Type="http://schemas.openxmlformats.org/officeDocument/2006/relationships/hyperlink" Target="https://www.inaturalist.org/observations/382871256" TargetMode="External"/><Relationship Id="rId1193" Type="http://schemas.openxmlformats.org/officeDocument/2006/relationships/hyperlink" Target="https://creativecommons.org/licenses/by-nc/4.0/" TargetMode="External"/><Relationship Id="rId1194" Type="http://schemas.openxmlformats.org/officeDocument/2006/relationships/hyperlink" Target="https://www.inaturalist.org/observations/382870810" TargetMode="External"/><Relationship Id="rId1195" Type="http://schemas.openxmlformats.org/officeDocument/2006/relationships/hyperlink" Target="https://creativecommons.org/licenses/by-nc/4.0/" TargetMode="External"/><Relationship Id="rId1196" Type="http://schemas.openxmlformats.org/officeDocument/2006/relationships/hyperlink" Target="https://www.inaturalist.org/observations/382868398" TargetMode="External"/><Relationship Id="rId1197" Type="http://schemas.openxmlformats.org/officeDocument/2006/relationships/hyperlink" Target="https://creativecommons.org/licenses/by-nc/4.0/" TargetMode="External"/><Relationship Id="rId1198" Type="http://schemas.openxmlformats.org/officeDocument/2006/relationships/hyperlink" Target="https://www.inaturalist.org/observations/382867663" TargetMode="External"/><Relationship Id="rId1199" Type="http://schemas.openxmlformats.org/officeDocument/2006/relationships/hyperlink" Target="https://creativecommons.org/licenses/by-nc/4.0/" TargetMode="External"/><Relationship Id="rId1200" Type="http://schemas.openxmlformats.org/officeDocument/2006/relationships/hyperlink" Target="https://www.inaturalist.org/observations/382867266" TargetMode="External"/><Relationship Id="rId1201" Type="http://schemas.openxmlformats.org/officeDocument/2006/relationships/hyperlink" Target="https://creativecommons.org/licenses/by-nc/4.0/" TargetMode="External"/><Relationship Id="rId1202" Type="http://schemas.openxmlformats.org/officeDocument/2006/relationships/hyperlink" Target="https://www.inaturalist.org/observations/383167911" TargetMode="External"/><Relationship Id="rId1203" Type="http://schemas.openxmlformats.org/officeDocument/2006/relationships/hyperlink" Target="https://creativecommons.org/licenses/by-nc/4.0/" TargetMode="External"/><Relationship Id="rId1204" Type="http://schemas.openxmlformats.org/officeDocument/2006/relationships/hyperlink" Target="https://www.inaturalist.org/observations/383166093" TargetMode="External"/><Relationship Id="rId1205" Type="http://schemas.openxmlformats.org/officeDocument/2006/relationships/hyperlink" Target="https://creativecommons.org/licenses/by-nc/4.0/" TargetMode="External"/><Relationship Id="rId1206" Type="http://schemas.openxmlformats.org/officeDocument/2006/relationships/hyperlink" Target="https://www.inaturalist.org/observations/383162467" TargetMode="External"/><Relationship Id="rId1207" Type="http://schemas.openxmlformats.org/officeDocument/2006/relationships/hyperlink" Target="https://creativecommons.org/licenses/by-nc/4.0/" TargetMode="External"/><Relationship Id="rId1208" Type="http://schemas.openxmlformats.org/officeDocument/2006/relationships/hyperlink" Target="https://www.inaturalist.org/observations/383162281" TargetMode="External"/><Relationship Id="rId1209" Type="http://schemas.openxmlformats.org/officeDocument/2006/relationships/hyperlink" Target="https://creativecommons.org/licenses/by-nc/4.0/" TargetMode="External"/><Relationship Id="rId1210" Type="http://schemas.openxmlformats.org/officeDocument/2006/relationships/hyperlink" Target="https://www.inaturalist.org/observations/383161466" TargetMode="External"/><Relationship Id="rId1211" Type="http://schemas.openxmlformats.org/officeDocument/2006/relationships/hyperlink" Target="https://creativecommons.org/licenses/by-nc/4.0/" TargetMode="External"/><Relationship Id="rId1212" Type="http://schemas.openxmlformats.org/officeDocument/2006/relationships/hyperlink" Target="https://www.inaturalist.org/observations/383161371" TargetMode="External"/><Relationship Id="rId1213" Type="http://schemas.openxmlformats.org/officeDocument/2006/relationships/hyperlink" Target="https://creativecommons.org/licenses/by-nc/4.0/" TargetMode="External"/><Relationship Id="rId1214" Type="http://schemas.openxmlformats.org/officeDocument/2006/relationships/hyperlink" Target="https://www.inaturalist.org/observations/383160664" TargetMode="External"/><Relationship Id="rId1215" Type="http://schemas.openxmlformats.org/officeDocument/2006/relationships/hyperlink" Target="https://creativecommons.org/licenses/by-nc/4.0/" TargetMode="External"/><Relationship Id="rId1216" Type="http://schemas.openxmlformats.org/officeDocument/2006/relationships/hyperlink" Target="https://www.inaturalist.org/observations/383159430" TargetMode="External"/><Relationship Id="rId1217" Type="http://schemas.openxmlformats.org/officeDocument/2006/relationships/hyperlink" Target="https://creativecommons.org/licenses/by-nc/4.0/" TargetMode="External"/><Relationship Id="rId1218" Type="http://schemas.openxmlformats.org/officeDocument/2006/relationships/hyperlink" Target="https://www.inaturalist.org/observations/383146576" TargetMode="External"/><Relationship Id="rId1219" Type="http://schemas.openxmlformats.org/officeDocument/2006/relationships/hyperlink" Target="https://creativecommons.org/licenses/by-nc/4.0/" TargetMode="External"/><Relationship Id="rId1220" Type="http://schemas.openxmlformats.org/officeDocument/2006/relationships/hyperlink" Target="https://www.inaturalist.org/observations/383138966" TargetMode="External"/><Relationship Id="rId1221" Type="http://schemas.openxmlformats.org/officeDocument/2006/relationships/hyperlink" Target="https://creativecommons.org/licenses/by-nc/4.0/" TargetMode="External"/><Relationship Id="rId1222" Type="http://schemas.openxmlformats.org/officeDocument/2006/relationships/hyperlink" Target="https://www.inaturalist.org/observations/383118995" TargetMode="External"/><Relationship Id="rId1223" Type="http://schemas.openxmlformats.org/officeDocument/2006/relationships/hyperlink" Target="https://creativecommons.org/licenses/by-nc/4.0/" TargetMode="External"/><Relationship Id="rId1224" Type="http://schemas.openxmlformats.org/officeDocument/2006/relationships/hyperlink" Target="https://www.inaturalist.org/observations/383116917" TargetMode="External"/><Relationship Id="rId1225" Type="http://schemas.openxmlformats.org/officeDocument/2006/relationships/hyperlink" Target="https://creativecommons.org/licenses/by-nc/4.0/" TargetMode="External"/><Relationship Id="rId1226" Type="http://schemas.openxmlformats.org/officeDocument/2006/relationships/hyperlink" Target="https://www.inaturalist.org/observations/383116557" TargetMode="External"/><Relationship Id="rId1227" Type="http://schemas.openxmlformats.org/officeDocument/2006/relationships/hyperlink" Target="https://creativecommons.org/licenses/by-nc/4.0/" TargetMode="External"/><Relationship Id="rId1228" Type="http://schemas.openxmlformats.org/officeDocument/2006/relationships/hyperlink" Target="https://www.inaturalist.org/observations/383114364" TargetMode="External"/><Relationship Id="rId1229" Type="http://schemas.openxmlformats.org/officeDocument/2006/relationships/hyperlink" Target="https://creativecommons.org/licenses/by-nc/4.0/" TargetMode="External"/><Relationship Id="rId1230" Type="http://schemas.openxmlformats.org/officeDocument/2006/relationships/hyperlink" Target="https://www.inaturalist.org/observations/383102894" TargetMode="External"/><Relationship Id="rId1231" Type="http://schemas.openxmlformats.org/officeDocument/2006/relationships/hyperlink" Target="https://creativecommons.org/licenses/by-nc/4.0/" TargetMode="External"/><Relationship Id="rId1232" Type="http://schemas.openxmlformats.org/officeDocument/2006/relationships/hyperlink" Target="https://www.inaturalist.org/observations/381545295" TargetMode="External"/><Relationship Id="rId1233" Type="http://schemas.openxmlformats.org/officeDocument/2006/relationships/hyperlink" Target="https://creativecommons.org/licenses/by-nc/4.0/" TargetMode="External"/><Relationship Id="rId1234" Type="http://schemas.openxmlformats.org/officeDocument/2006/relationships/hyperlink" Target="https://www.inaturalist.org/observations/383096437" TargetMode="External"/><Relationship Id="rId1235" Type="http://schemas.openxmlformats.org/officeDocument/2006/relationships/hyperlink" Target="https://creativecommons.org/licenses/by-nc/4.0/" TargetMode="External"/><Relationship Id="rId1236" Type="http://schemas.openxmlformats.org/officeDocument/2006/relationships/hyperlink" Target="https://www.inaturalist.org/observations/383087784" TargetMode="External"/><Relationship Id="rId1237" Type="http://schemas.openxmlformats.org/officeDocument/2006/relationships/hyperlink" Target="https://creativecommons.org/licenses/by-nc/4.0/" TargetMode="External"/><Relationship Id="rId1238" Type="http://schemas.openxmlformats.org/officeDocument/2006/relationships/hyperlink" Target="https://www.inaturalist.org/observations/383067484" TargetMode="External"/><Relationship Id="rId1239" Type="http://schemas.openxmlformats.org/officeDocument/2006/relationships/hyperlink" Target="https://creativecommons.org/licenses/by-nc/4.0/" TargetMode="External"/><Relationship Id="rId1240" Type="http://schemas.openxmlformats.org/officeDocument/2006/relationships/hyperlink" Target="https://www.inaturalist.org/observations/383061008" TargetMode="External"/><Relationship Id="rId1241" Type="http://schemas.openxmlformats.org/officeDocument/2006/relationships/hyperlink" Target="https://creativecommons.org/licenses/by-nc/4.0/" TargetMode="External"/><Relationship Id="rId1242" Type="http://schemas.openxmlformats.org/officeDocument/2006/relationships/hyperlink" Target="https://www.inaturalist.org/observations/383050942" TargetMode="External"/><Relationship Id="rId1243" Type="http://schemas.openxmlformats.org/officeDocument/2006/relationships/hyperlink" Target="https://creativecommons.org/licenses/by-nc/4.0/" TargetMode="External"/><Relationship Id="rId1244" Type="http://schemas.openxmlformats.org/officeDocument/2006/relationships/hyperlink" Target="https://www.inaturalist.org/observations/383049688" TargetMode="External"/><Relationship Id="rId1245" Type="http://schemas.openxmlformats.org/officeDocument/2006/relationships/hyperlink" Target="https://creativecommons.org/licenses/by-nc/4.0/" TargetMode="External"/><Relationship Id="rId1246" Type="http://schemas.openxmlformats.org/officeDocument/2006/relationships/hyperlink" Target="https://www.inaturalist.org/observations/383010431" TargetMode="External"/><Relationship Id="rId1247" Type="http://schemas.openxmlformats.org/officeDocument/2006/relationships/hyperlink" Target="https://creativecommons.org/licenses/by-nc/4.0/" TargetMode="External"/><Relationship Id="rId1248" Type="http://schemas.openxmlformats.org/officeDocument/2006/relationships/hyperlink" Target="https://www.inaturalist.org/observations/383005405" TargetMode="External"/><Relationship Id="rId1249" Type="http://schemas.openxmlformats.org/officeDocument/2006/relationships/hyperlink" Target="https://creativecommons.org/licenses/by-nc/4.0/" TargetMode="External"/><Relationship Id="rId1250" Type="http://schemas.openxmlformats.org/officeDocument/2006/relationships/hyperlink" Target="https://www.inaturalist.org/observations/382992268" TargetMode="External"/><Relationship Id="rId1251" Type="http://schemas.openxmlformats.org/officeDocument/2006/relationships/hyperlink" Target="https://creativecommons.org/licenses/by-nc/4.0/" TargetMode="External"/><Relationship Id="rId1252" Type="http://schemas.openxmlformats.org/officeDocument/2006/relationships/hyperlink" Target="https://www.inaturalist.org/observations/382985094" TargetMode="External"/><Relationship Id="rId1253" Type="http://schemas.openxmlformats.org/officeDocument/2006/relationships/hyperlink" Target="https://creativecommons.org/licenses/by-nc/4.0/" TargetMode="External"/><Relationship Id="rId1254" Type="http://schemas.openxmlformats.org/officeDocument/2006/relationships/hyperlink" Target="https://www.inaturalist.org/observations/382961804" TargetMode="External"/><Relationship Id="rId1255" Type="http://schemas.openxmlformats.org/officeDocument/2006/relationships/hyperlink" Target="https://creativecommons.org/licenses/by-nc/4.0/" TargetMode="External"/><Relationship Id="rId1256" Type="http://schemas.openxmlformats.org/officeDocument/2006/relationships/hyperlink" Target="https://www.inaturalist.org/observations/382960050" TargetMode="External"/><Relationship Id="rId1257" Type="http://schemas.openxmlformats.org/officeDocument/2006/relationships/hyperlink" Target="https://creativecommons.org/licenses/by-nc/4.0/" TargetMode="External"/><Relationship Id="rId1258" Type="http://schemas.openxmlformats.org/officeDocument/2006/relationships/hyperlink" Target="https://www.inaturalist.org/observations/382951064" TargetMode="External"/><Relationship Id="rId1259" Type="http://schemas.openxmlformats.org/officeDocument/2006/relationships/hyperlink" Target="https://creativecommons.org/licenses/by-nc/4.0/" TargetMode="External"/><Relationship Id="rId1260" Type="http://schemas.openxmlformats.org/officeDocument/2006/relationships/hyperlink" Target="https://www.inaturalist.org/observations/382942030" TargetMode="External"/><Relationship Id="rId1261" Type="http://schemas.openxmlformats.org/officeDocument/2006/relationships/hyperlink" Target="https://creativecommons.org/licenses/by-nc/4.0/" TargetMode="External"/><Relationship Id="rId1262" Type="http://schemas.openxmlformats.org/officeDocument/2006/relationships/hyperlink" Target="https://www.inaturalist.org/observations/382912550" TargetMode="External"/><Relationship Id="rId1263" Type="http://schemas.openxmlformats.org/officeDocument/2006/relationships/hyperlink" Target="https://creativecommons.org/licenses/by-nc/4.0/" TargetMode="External"/><Relationship Id="rId1264" Type="http://schemas.openxmlformats.org/officeDocument/2006/relationships/hyperlink" Target="https://www.inaturalist.org/observations/382896555" TargetMode="External"/><Relationship Id="rId1265" Type="http://schemas.openxmlformats.org/officeDocument/2006/relationships/hyperlink" Target="https://creativecommons.org/licenses/by-nc/4.0/" TargetMode="External"/><Relationship Id="rId1266" Type="http://schemas.openxmlformats.org/officeDocument/2006/relationships/hyperlink" Target="https://www.inaturalist.org/observations/382885830" TargetMode="External"/><Relationship Id="rId1267" Type="http://schemas.openxmlformats.org/officeDocument/2006/relationships/hyperlink" Target="https://creativecommons.org/licenses/by-nc/4.0/" TargetMode="External"/><Relationship Id="rId1268" Type="http://schemas.openxmlformats.org/officeDocument/2006/relationships/hyperlink" Target="https://www.inaturalist.org/observations/382879951" TargetMode="External"/><Relationship Id="rId1269" Type="http://schemas.openxmlformats.org/officeDocument/2006/relationships/hyperlink" Target="https://creativecommons.org/licenses/by-nc/4.0/" TargetMode="External"/><Relationship Id="rId1270" Type="http://schemas.openxmlformats.org/officeDocument/2006/relationships/hyperlink" Target="https://www.inaturalist.org/observations/382872264" TargetMode="External"/><Relationship Id="rId1271" Type="http://schemas.openxmlformats.org/officeDocument/2006/relationships/hyperlink" Target="https://creativecommons.org/licenses/by-nc/4.0/" TargetMode="External"/><Relationship Id="rId1272" Type="http://schemas.openxmlformats.org/officeDocument/2006/relationships/hyperlink" Target="https://www.inaturalist.org/observations/382865524" TargetMode="External"/><Relationship Id="rId1273" Type="http://schemas.openxmlformats.org/officeDocument/2006/relationships/hyperlink" Target="https://creativecommons.org/licenses/by-nc/4.0/" TargetMode="External"/><Relationship Id="rId1274" Type="http://schemas.openxmlformats.org/officeDocument/2006/relationships/hyperlink" Target="https://www.inaturalist.org/observations/382858656" TargetMode="External"/><Relationship Id="rId1275" Type="http://schemas.openxmlformats.org/officeDocument/2006/relationships/hyperlink" Target="https://creativecommons.org/licenses/by-nc/4.0/" TargetMode="External"/><Relationship Id="rId1276" Type="http://schemas.openxmlformats.org/officeDocument/2006/relationships/hyperlink" Target="https://www.inaturalist.org/observations/382857871" TargetMode="External"/><Relationship Id="rId1277" Type="http://schemas.openxmlformats.org/officeDocument/2006/relationships/hyperlink" Target="https://creativecommons.org/licenses/by-nc/4.0/" TargetMode="External"/><Relationship Id="rId1278" Type="http://schemas.openxmlformats.org/officeDocument/2006/relationships/hyperlink" Target="https://www.inaturalist.org/observations/382847850" TargetMode="External"/><Relationship Id="rId1279" Type="http://schemas.openxmlformats.org/officeDocument/2006/relationships/hyperlink" Target="https://creativecommons.org/licenses/by-nc/4.0/" TargetMode="External"/><Relationship Id="rId1280" Type="http://schemas.openxmlformats.org/officeDocument/2006/relationships/hyperlink" Target="https://www.inaturalist.org/observations/382846964" TargetMode="External"/><Relationship Id="rId1281" Type="http://schemas.openxmlformats.org/officeDocument/2006/relationships/hyperlink" Target="https://creativecommons.org/licenses/by-nc/4.0/" TargetMode="External"/><Relationship Id="rId1282" Type="http://schemas.openxmlformats.org/officeDocument/2006/relationships/hyperlink" Target="https://www.inaturalist.org/observations/382836656" TargetMode="External"/><Relationship Id="rId1283" Type="http://schemas.openxmlformats.org/officeDocument/2006/relationships/hyperlink" Target="https://creativecommons.org/licenses/by-nc/4.0/" TargetMode="External"/><Relationship Id="rId1284" Type="http://schemas.openxmlformats.org/officeDocument/2006/relationships/hyperlink" Target="https://www.inaturalist.org/observations/382836100" TargetMode="External"/><Relationship Id="rId1285" Type="http://schemas.openxmlformats.org/officeDocument/2006/relationships/hyperlink" Target="https://creativecommons.org/licenses/by-nc/4.0/" TargetMode="External"/><Relationship Id="rId1286" Type="http://schemas.openxmlformats.org/officeDocument/2006/relationships/hyperlink" Target="https://www.inaturalist.org/observations/382834955" TargetMode="External"/><Relationship Id="rId1287" Type="http://schemas.openxmlformats.org/officeDocument/2006/relationships/hyperlink" Target="https://creativecommons.org/licenses/by-nc/4.0/" TargetMode="External"/><Relationship Id="rId1288" Type="http://schemas.openxmlformats.org/officeDocument/2006/relationships/hyperlink" Target="https://www.inaturalist.org/observations/382830719" TargetMode="External"/><Relationship Id="rId1289" Type="http://schemas.openxmlformats.org/officeDocument/2006/relationships/hyperlink" Target="https://creativecommons.org/licenses/by-nc/4.0/" TargetMode="External"/><Relationship Id="rId1290" Type="http://schemas.openxmlformats.org/officeDocument/2006/relationships/hyperlink" Target="https://www.inaturalist.org/observations/382823001" TargetMode="External"/><Relationship Id="rId1291" Type="http://schemas.openxmlformats.org/officeDocument/2006/relationships/hyperlink" Target="https://creativecommons.org/licenses/by-nc/4.0/" TargetMode="External"/><Relationship Id="rId1292" Type="http://schemas.openxmlformats.org/officeDocument/2006/relationships/hyperlink" Target="https://www.inaturalist.org/observations/382815645" TargetMode="External"/><Relationship Id="rId1293" Type="http://schemas.openxmlformats.org/officeDocument/2006/relationships/hyperlink" Target="https://creativecommons.org/licenses/by-nc/4.0/" TargetMode="External"/><Relationship Id="rId1294" Type="http://schemas.openxmlformats.org/officeDocument/2006/relationships/hyperlink" Target="https://www.inaturalist.org/observations/382814630" TargetMode="External"/><Relationship Id="rId1295" Type="http://schemas.openxmlformats.org/officeDocument/2006/relationships/hyperlink" Target="https://creativecommons.org/licenses/by-nc/4.0/" TargetMode="External"/><Relationship Id="rId1296" Type="http://schemas.openxmlformats.org/officeDocument/2006/relationships/hyperlink" Target="https://www.inaturalist.org/observations/382809310" TargetMode="External"/><Relationship Id="rId1297" Type="http://schemas.openxmlformats.org/officeDocument/2006/relationships/hyperlink" Target="https://creativecommons.org/licenses/by-nc/4.0/" TargetMode="External"/><Relationship Id="rId1298" Type="http://schemas.openxmlformats.org/officeDocument/2006/relationships/hyperlink" Target="https://www.inaturalist.org/observations/382759511" TargetMode="External"/><Relationship Id="rId1299" Type="http://schemas.openxmlformats.org/officeDocument/2006/relationships/hyperlink" Target="https://creativecommons.org/licenses/by-nc/4.0/" TargetMode="External"/><Relationship Id="rId1300" Type="http://schemas.openxmlformats.org/officeDocument/2006/relationships/hyperlink" Target="https://www.inaturalist.org/observations/382757668" TargetMode="External"/><Relationship Id="rId1301" Type="http://schemas.openxmlformats.org/officeDocument/2006/relationships/hyperlink" Target="https://creativecommons.org/licenses/by-nc/4.0/" TargetMode="External"/><Relationship Id="rId1302" Type="http://schemas.openxmlformats.org/officeDocument/2006/relationships/hyperlink" Target="https://www.inaturalist.org/observations/382678569" TargetMode="External"/><Relationship Id="rId1303" Type="http://schemas.openxmlformats.org/officeDocument/2006/relationships/hyperlink" Target="https://creativecommons.org/licenses/by-nc/4.0/" TargetMode="External"/><Relationship Id="rId1304" Type="http://schemas.openxmlformats.org/officeDocument/2006/relationships/hyperlink" Target="https://www.inaturalist.org/observations/382661184" TargetMode="External"/><Relationship Id="rId1305" Type="http://schemas.openxmlformats.org/officeDocument/2006/relationships/hyperlink" Target="https://creativecommons.org/licenses/by-nc/4.0/" TargetMode="External"/><Relationship Id="rId1306" Type="http://schemas.openxmlformats.org/officeDocument/2006/relationships/hyperlink" Target="https://www.inaturalist.org/observations/382656965" TargetMode="External"/><Relationship Id="rId1307" Type="http://schemas.openxmlformats.org/officeDocument/2006/relationships/hyperlink" Target="https://creativecommons.org/licenses/by-nc/4.0/" TargetMode="External"/><Relationship Id="rId1308" Type="http://schemas.openxmlformats.org/officeDocument/2006/relationships/hyperlink" Target="https://www.inaturalist.org/observations/382651141" TargetMode="External"/><Relationship Id="rId1309" Type="http://schemas.openxmlformats.org/officeDocument/2006/relationships/hyperlink" Target="https://creativecommons.org/licenses/by-nc/4.0/" TargetMode="External"/><Relationship Id="rId1310" Type="http://schemas.openxmlformats.org/officeDocument/2006/relationships/hyperlink" Target="https://www.inaturalist.org/observations/382631584" TargetMode="External"/><Relationship Id="rId1311" Type="http://schemas.openxmlformats.org/officeDocument/2006/relationships/hyperlink" Target="https://creativecommons.org/licenses/by-nc/4.0/" TargetMode="External"/><Relationship Id="rId1312" Type="http://schemas.openxmlformats.org/officeDocument/2006/relationships/hyperlink" Target="https://www.inaturalist.org/observations/382627285" TargetMode="External"/><Relationship Id="rId1313" Type="http://schemas.openxmlformats.org/officeDocument/2006/relationships/hyperlink" Target="https://creativecommons.org/licenses/by-nc/4.0/" TargetMode="External"/><Relationship Id="rId1314" Type="http://schemas.openxmlformats.org/officeDocument/2006/relationships/hyperlink" Target="https://www.inaturalist.org/observations/382600007" TargetMode="External"/><Relationship Id="rId1315" Type="http://schemas.openxmlformats.org/officeDocument/2006/relationships/hyperlink" Target="https://creativecommons.org/licenses/by-nc/4.0/" TargetMode="External"/><Relationship Id="rId1316" Type="http://schemas.openxmlformats.org/officeDocument/2006/relationships/hyperlink" Target="https://www.inaturalist.org/observations/382561602" TargetMode="External"/><Relationship Id="rId1317" Type="http://schemas.openxmlformats.org/officeDocument/2006/relationships/hyperlink" Target="https://creativecommons.org/licenses/by-nc/4.0/" TargetMode="External"/><Relationship Id="rId1318" Type="http://schemas.openxmlformats.org/officeDocument/2006/relationships/hyperlink" Target="https://www.inaturalist.org/observations/382554090" TargetMode="External"/><Relationship Id="rId1319" Type="http://schemas.openxmlformats.org/officeDocument/2006/relationships/hyperlink" Target="https://creativecommons.org/licenses/by-nc/4.0/" TargetMode="External"/><Relationship Id="rId1320" Type="http://schemas.openxmlformats.org/officeDocument/2006/relationships/hyperlink" Target="https://www.inaturalist.org/observations/382513260" TargetMode="External"/><Relationship Id="rId1321" Type="http://schemas.openxmlformats.org/officeDocument/2006/relationships/hyperlink" Target="https://creativecommons.org/licenses/by-nc/4.0/" TargetMode="External"/><Relationship Id="rId1322" Type="http://schemas.openxmlformats.org/officeDocument/2006/relationships/hyperlink" Target="https://www.inaturalist.org/observations/382490334" TargetMode="External"/><Relationship Id="rId1323" Type="http://schemas.openxmlformats.org/officeDocument/2006/relationships/hyperlink" Target="https://creativecommons.org/licenses/by-nc/4.0/" TargetMode="External"/><Relationship Id="rId1324" Type="http://schemas.openxmlformats.org/officeDocument/2006/relationships/hyperlink" Target="https://www.inaturalist.org/observations/382484662" TargetMode="External"/><Relationship Id="rId1325" Type="http://schemas.openxmlformats.org/officeDocument/2006/relationships/hyperlink" Target="https://creativecommons.org/licenses/by-nc/4.0/" TargetMode="External"/><Relationship Id="rId1326" Type="http://schemas.openxmlformats.org/officeDocument/2006/relationships/hyperlink" Target="https://www.inaturalist.org/observations/382446728" TargetMode="External"/><Relationship Id="rId1327" Type="http://schemas.openxmlformats.org/officeDocument/2006/relationships/hyperlink" Target="https://creativecommons.org/licenses/by-nc/4.0/" TargetMode="External"/><Relationship Id="rId1328" Type="http://schemas.openxmlformats.org/officeDocument/2006/relationships/hyperlink" Target="https://www.inaturalist.org/observations/382436659" TargetMode="External"/><Relationship Id="rId1329" Type="http://schemas.openxmlformats.org/officeDocument/2006/relationships/hyperlink" Target="https://creativecommons.org/licenses/by-nc/4.0/" TargetMode="External"/><Relationship Id="rId1330" Type="http://schemas.openxmlformats.org/officeDocument/2006/relationships/hyperlink" Target="https://www.inaturalist.org/observations/382395455" TargetMode="External"/><Relationship Id="rId1331" Type="http://schemas.openxmlformats.org/officeDocument/2006/relationships/hyperlink" Target="https://creativecommons.org/licenses/by-nc/4.0/" TargetMode="External"/><Relationship Id="rId1332" Type="http://schemas.openxmlformats.org/officeDocument/2006/relationships/hyperlink" Target="https://www.inaturalist.org/observations/382310371" TargetMode="External"/><Relationship Id="rId1333" Type="http://schemas.openxmlformats.org/officeDocument/2006/relationships/hyperlink" Target="https://creativecommons.org/licenses/by-nc/4.0/" TargetMode="External"/><Relationship Id="rId1334" Type="http://schemas.openxmlformats.org/officeDocument/2006/relationships/hyperlink" Target="https://www.inaturalist.org/observations/382289945" TargetMode="External"/><Relationship Id="rId1335" Type="http://schemas.openxmlformats.org/officeDocument/2006/relationships/hyperlink" Target="https://creativecommons.org/licenses/by-nc/4.0/" TargetMode="External"/><Relationship Id="rId1336" Type="http://schemas.openxmlformats.org/officeDocument/2006/relationships/hyperlink" Target="https://www.inaturalist.org/observations/382275304" TargetMode="External"/><Relationship Id="rId1337" Type="http://schemas.openxmlformats.org/officeDocument/2006/relationships/hyperlink" Target="https://creativecommons.org/licenses/by-nc/4.0/" TargetMode="External"/><Relationship Id="rId1338" Type="http://schemas.openxmlformats.org/officeDocument/2006/relationships/hyperlink" Target="https://www.inaturalist.org/observations/382227646" TargetMode="External"/><Relationship Id="rId1339" Type="http://schemas.openxmlformats.org/officeDocument/2006/relationships/hyperlink" Target="https://creativecommons.org/licenses/by-nc/4.0/" TargetMode="External"/><Relationship Id="rId1340" Type="http://schemas.openxmlformats.org/officeDocument/2006/relationships/hyperlink" Target="https://www.inaturalist.org/observations/382226941" TargetMode="External"/><Relationship Id="rId1341" Type="http://schemas.openxmlformats.org/officeDocument/2006/relationships/hyperlink" Target="https://creativecommons.org/licenses/by-nc/4.0/" TargetMode="External"/><Relationship Id="rId1342" Type="http://schemas.openxmlformats.org/officeDocument/2006/relationships/hyperlink" Target="https://www.inaturalist.org/observations/382219856" TargetMode="External"/><Relationship Id="rId1343" Type="http://schemas.openxmlformats.org/officeDocument/2006/relationships/hyperlink" Target="https://creativecommons.org/licenses/by-nc/4.0/" TargetMode="External"/><Relationship Id="rId1344" Type="http://schemas.openxmlformats.org/officeDocument/2006/relationships/hyperlink" Target="https://www.inaturalist.org/observations/382211852" TargetMode="External"/><Relationship Id="rId1345" Type="http://schemas.openxmlformats.org/officeDocument/2006/relationships/hyperlink" Target="https://creativecommons.org/licenses/by-nc/4.0/" TargetMode="External"/><Relationship Id="rId1346" Type="http://schemas.openxmlformats.org/officeDocument/2006/relationships/hyperlink" Target="https://www.inaturalist.org/observations/382187824" TargetMode="External"/><Relationship Id="rId1347" Type="http://schemas.openxmlformats.org/officeDocument/2006/relationships/hyperlink" Target="https://creativecommons.org/licenses/by-nc/4.0/" TargetMode="External"/><Relationship Id="rId1348" Type="http://schemas.openxmlformats.org/officeDocument/2006/relationships/hyperlink" Target="https://www.inaturalist.org/observations/382177474" TargetMode="External"/><Relationship Id="rId1349" Type="http://schemas.openxmlformats.org/officeDocument/2006/relationships/hyperlink" Target="https://creativecommons.org/licenses/by-nc/4.0/" TargetMode="External"/><Relationship Id="rId1350" Type="http://schemas.openxmlformats.org/officeDocument/2006/relationships/hyperlink" Target="https://www.inaturalist.org/observations/382169278" TargetMode="External"/><Relationship Id="rId1351" Type="http://schemas.openxmlformats.org/officeDocument/2006/relationships/hyperlink" Target="https://creativecommons.org/licenses/by-nc/4.0/" TargetMode="External"/><Relationship Id="rId1352" Type="http://schemas.openxmlformats.org/officeDocument/2006/relationships/hyperlink" Target="https://www.inaturalist.org/observations/382165535" TargetMode="External"/><Relationship Id="rId1353" Type="http://schemas.openxmlformats.org/officeDocument/2006/relationships/hyperlink" Target="https://creativecommons.org/licenses/by-nc/4.0/" TargetMode="External"/><Relationship Id="rId1354" Type="http://schemas.openxmlformats.org/officeDocument/2006/relationships/hyperlink" Target="https://www.inaturalist.org/observations/382163752" TargetMode="External"/><Relationship Id="rId1355" Type="http://schemas.openxmlformats.org/officeDocument/2006/relationships/hyperlink" Target="https://creativecommons.org/licenses/by-nc/4.0/" TargetMode="External"/><Relationship Id="rId1356" Type="http://schemas.openxmlformats.org/officeDocument/2006/relationships/hyperlink" Target="https://www.inaturalist.org/observations/382138501" TargetMode="External"/><Relationship Id="rId1357" Type="http://schemas.openxmlformats.org/officeDocument/2006/relationships/hyperlink" Target="https://creativecommons.org/licenses/by-nc/4.0/" TargetMode="External"/><Relationship Id="rId1358" Type="http://schemas.openxmlformats.org/officeDocument/2006/relationships/hyperlink" Target="https://www.inaturalist.org/observations/382116562" TargetMode="External"/><Relationship Id="rId1359" Type="http://schemas.openxmlformats.org/officeDocument/2006/relationships/hyperlink" Target="https://creativecommons.org/licenses/by-nc/4.0/" TargetMode="External"/><Relationship Id="rId1360" Type="http://schemas.openxmlformats.org/officeDocument/2006/relationships/hyperlink" Target="https://www.inaturalist.org/observations/382081760" TargetMode="External"/><Relationship Id="rId1361" Type="http://schemas.openxmlformats.org/officeDocument/2006/relationships/hyperlink" Target="https://creativecommons.org/licenses/by-nc/4.0/" TargetMode="External"/><Relationship Id="rId1362" Type="http://schemas.openxmlformats.org/officeDocument/2006/relationships/hyperlink" Target="https://www.inaturalist.org/observations/382049220" TargetMode="External"/><Relationship Id="rId1363" Type="http://schemas.openxmlformats.org/officeDocument/2006/relationships/hyperlink" Target="https://creativecommons.org/licenses/by-nc/4.0/" TargetMode="External"/><Relationship Id="rId1364" Type="http://schemas.openxmlformats.org/officeDocument/2006/relationships/hyperlink" Target="https://www.inaturalist.org/observations/381996260" TargetMode="External"/><Relationship Id="rId1365" Type="http://schemas.openxmlformats.org/officeDocument/2006/relationships/hyperlink" Target="https://creativecommons.org/licenses/by-nc/4.0/" TargetMode="External"/><Relationship Id="rId1366" Type="http://schemas.openxmlformats.org/officeDocument/2006/relationships/hyperlink" Target="https://www.inaturalist.org/observations/381980884" TargetMode="External"/><Relationship Id="rId1367" Type="http://schemas.openxmlformats.org/officeDocument/2006/relationships/hyperlink" Target="https://creativecommons.org/licenses/by-nc/4.0/" TargetMode="External"/><Relationship Id="rId1368" Type="http://schemas.openxmlformats.org/officeDocument/2006/relationships/hyperlink" Target="https://www.inaturalist.org/observations/381956355" TargetMode="External"/><Relationship Id="rId1369" Type="http://schemas.openxmlformats.org/officeDocument/2006/relationships/hyperlink" Target="https://creativecommons.org/licenses/by-nc/4.0/" TargetMode="External"/><Relationship Id="rId1370" Type="http://schemas.openxmlformats.org/officeDocument/2006/relationships/hyperlink" Target="https://www.inaturalist.org/observations/381897163" TargetMode="External"/><Relationship Id="rId1371" Type="http://schemas.openxmlformats.org/officeDocument/2006/relationships/hyperlink" Target="https://creativecommons.org/licenses/by-nc/4.0/" TargetMode="External"/><Relationship Id="rId1372" Type="http://schemas.openxmlformats.org/officeDocument/2006/relationships/hyperlink" Target="https://www.inaturalist.org/observations/381894782" TargetMode="External"/><Relationship Id="rId1373" Type="http://schemas.openxmlformats.org/officeDocument/2006/relationships/hyperlink" Target="https://creativecommons.org/licenses/by-nc/4.0/" TargetMode="External"/><Relationship Id="rId1374" Type="http://schemas.openxmlformats.org/officeDocument/2006/relationships/hyperlink" Target="https://www.inaturalist.org/observations/381861057" TargetMode="External"/><Relationship Id="rId1375" Type="http://schemas.openxmlformats.org/officeDocument/2006/relationships/hyperlink" Target="https://creativecommons.org/licenses/by-nc/4.0/" TargetMode="External"/><Relationship Id="rId1376" Type="http://schemas.openxmlformats.org/officeDocument/2006/relationships/hyperlink" Target="https://www.inaturalist.org/observations/381822871" TargetMode="External"/><Relationship Id="rId1377" Type="http://schemas.openxmlformats.org/officeDocument/2006/relationships/hyperlink" Target="https://creativecommons.org/licenses/by-nc/4.0/" TargetMode="External"/><Relationship Id="rId1378" Type="http://schemas.openxmlformats.org/officeDocument/2006/relationships/hyperlink" Target="https://www.inaturalist.org/observations/381818652" TargetMode="External"/><Relationship Id="rId1379" Type="http://schemas.openxmlformats.org/officeDocument/2006/relationships/hyperlink" Target="https://creativecommons.org/licenses/by-nc/4.0/" TargetMode="External"/><Relationship Id="rId1380" Type="http://schemas.openxmlformats.org/officeDocument/2006/relationships/hyperlink" Target="https://www.inaturalist.org/observations/381781969" TargetMode="External"/><Relationship Id="rId1381" Type="http://schemas.openxmlformats.org/officeDocument/2006/relationships/hyperlink" Target="https://creativecommons.org/licenses/by-nc/4.0/" TargetMode="External"/><Relationship Id="rId1382" Type="http://schemas.openxmlformats.org/officeDocument/2006/relationships/hyperlink" Target="https://www.inaturalist.org/observations/381781901" TargetMode="External"/><Relationship Id="rId1383" Type="http://schemas.openxmlformats.org/officeDocument/2006/relationships/hyperlink" Target="https://creativecommons.org/licenses/by-nc/4.0/" TargetMode="External"/><Relationship Id="rId1384" Type="http://schemas.openxmlformats.org/officeDocument/2006/relationships/hyperlink" Target="https://www.inaturalist.org/observations/381777556" TargetMode="External"/><Relationship Id="rId1385" Type="http://schemas.openxmlformats.org/officeDocument/2006/relationships/hyperlink" Target="https://creativecommons.org/licenses/by-nc/4.0/" TargetMode="External"/><Relationship Id="rId1386" Type="http://schemas.openxmlformats.org/officeDocument/2006/relationships/hyperlink" Target="https://www.inaturalist.org/observations/381754576" TargetMode="External"/><Relationship Id="rId1387" Type="http://schemas.openxmlformats.org/officeDocument/2006/relationships/hyperlink" Target="https://creativecommons.org/licenses/by-nc/4.0/" TargetMode="External"/><Relationship Id="rId1388" Type="http://schemas.openxmlformats.org/officeDocument/2006/relationships/hyperlink" Target="https://www.inaturalist.org/observations/381747603" TargetMode="External"/><Relationship Id="rId1389" Type="http://schemas.openxmlformats.org/officeDocument/2006/relationships/hyperlink" Target="https://creativecommons.org/licenses/by-nc/4.0/" TargetMode="External"/><Relationship Id="rId1390" Type="http://schemas.openxmlformats.org/officeDocument/2006/relationships/hyperlink" Target="https://www.inaturalist.org/observations/381734490" TargetMode="External"/><Relationship Id="rId1391" Type="http://schemas.openxmlformats.org/officeDocument/2006/relationships/hyperlink" Target="https://creativecommons.org/licenses/by-nc/4.0/" TargetMode="External"/><Relationship Id="rId1392" Type="http://schemas.openxmlformats.org/officeDocument/2006/relationships/hyperlink" Target="https://www.inaturalist.org/observations/381719551" TargetMode="External"/><Relationship Id="rId1393" Type="http://schemas.openxmlformats.org/officeDocument/2006/relationships/hyperlink" Target="https://creativecommons.org/licenses/by-nc/4.0/" TargetMode="External"/><Relationship Id="rId1394" Type="http://schemas.openxmlformats.org/officeDocument/2006/relationships/hyperlink" Target="https://www.inaturalist.org/observations/381700408" TargetMode="External"/><Relationship Id="rId1395" Type="http://schemas.openxmlformats.org/officeDocument/2006/relationships/hyperlink" Target="https://creativecommons.org/licenses/by-nc/4.0/" TargetMode="External"/><Relationship Id="rId1396" Type="http://schemas.openxmlformats.org/officeDocument/2006/relationships/hyperlink" Target="https://www.inaturalist.org/observations/381684386" TargetMode="External"/><Relationship Id="rId1397" Type="http://schemas.openxmlformats.org/officeDocument/2006/relationships/hyperlink" Target="https://creativecommons.org/licenses/by-nc/4.0/" TargetMode="External"/><Relationship Id="rId1398" Type="http://schemas.openxmlformats.org/officeDocument/2006/relationships/hyperlink" Target="https://www.inaturalist.org/observations/381679327" TargetMode="External"/><Relationship Id="rId1399" Type="http://schemas.openxmlformats.org/officeDocument/2006/relationships/hyperlink" Target="https://creativecommons.org/licenses/by-nc/4.0/" TargetMode="External"/><Relationship Id="rId1400" Type="http://schemas.openxmlformats.org/officeDocument/2006/relationships/hyperlink" Target="https://www.inaturalist.org/observations/381597490" TargetMode="External"/><Relationship Id="rId1401" Type="http://schemas.openxmlformats.org/officeDocument/2006/relationships/hyperlink" Target="https://creativecommons.org/licenses/by-nc/4.0/" TargetMode="External"/><Relationship Id="rId1402" Type="http://schemas.openxmlformats.org/officeDocument/2006/relationships/hyperlink" Target="https://www.inaturalist.org/observations/383157527" TargetMode="External"/><Relationship Id="rId1403" Type="http://schemas.openxmlformats.org/officeDocument/2006/relationships/hyperlink" Target="https://creativecommons.org/licenses/by-nc/4.0/" TargetMode="External"/><Relationship Id="rId1404" Type="http://schemas.openxmlformats.org/officeDocument/2006/relationships/hyperlink" Target="https://www.inaturalist.org/observations/383115397" TargetMode="External"/><Relationship Id="rId1405" Type="http://schemas.openxmlformats.org/officeDocument/2006/relationships/hyperlink" Target="https://creativecommons.org/licenses/by-nc/4.0/" TargetMode="External"/><Relationship Id="rId1406" Type="http://schemas.openxmlformats.org/officeDocument/2006/relationships/hyperlink" Target="https://www.inaturalist.org/observations/383071227" TargetMode="External"/><Relationship Id="rId1407" Type="http://schemas.openxmlformats.org/officeDocument/2006/relationships/hyperlink" Target="https://creativecommons.org/licenses/by-nc/4.0/" TargetMode="External"/><Relationship Id="rId1408" Type="http://schemas.openxmlformats.org/officeDocument/2006/relationships/hyperlink" Target="https://www.inaturalist.org/observations/383050944" TargetMode="External"/><Relationship Id="rId1409" Type="http://schemas.openxmlformats.org/officeDocument/2006/relationships/hyperlink" Target="https://creativecommons.org/licenses/by-nc/4.0/" TargetMode="External"/><Relationship Id="rId1410" Type="http://schemas.openxmlformats.org/officeDocument/2006/relationships/hyperlink" Target="https://www.inaturalist.org/observations/383021359" TargetMode="External"/><Relationship Id="rId1411" Type="http://schemas.openxmlformats.org/officeDocument/2006/relationships/hyperlink" Target="https://creativecommons.org/licenses/by-nc/4.0/" TargetMode="External"/><Relationship Id="rId1412" Type="http://schemas.openxmlformats.org/officeDocument/2006/relationships/hyperlink" Target="https://www.inaturalist.org/observations/382937721" TargetMode="External"/><Relationship Id="rId1413" Type="http://schemas.openxmlformats.org/officeDocument/2006/relationships/hyperlink" Target="https://creativecommons.org/licenses/by-nc/4.0/" TargetMode="External"/><Relationship Id="rId1414" Type="http://schemas.openxmlformats.org/officeDocument/2006/relationships/hyperlink" Target="https://www.inaturalist.org/observations/382902940" TargetMode="External"/><Relationship Id="rId1415" Type="http://schemas.openxmlformats.org/officeDocument/2006/relationships/hyperlink" Target="https://creativecommons.org/licenses/by-nc/4.0/" TargetMode="External"/><Relationship Id="rId1416" Type="http://schemas.openxmlformats.org/officeDocument/2006/relationships/hyperlink" Target="https://www.inaturalist.org/observations/382790076" TargetMode="External"/><Relationship Id="rId1417" Type="http://schemas.openxmlformats.org/officeDocument/2006/relationships/hyperlink" Target="https://creativecommons.org/licenses/by-nc/4.0/" TargetMode="External"/><Relationship Id="rId1418" Type="http://schemas.openxmlformats.org/officeDocument/2006/relationships/hyperlink" Target="https://www.inaturalist.org/observations/382750817" TargetMode="External"/><Relationship Id="rId1419" Type="http://schemas.openxmlformats.org/officeDocument/2006/relationships/hyperlink" Target="https://creativecommons.org/licenses/by-nc/4.0/" TargetMode="External"/><Relationship Id="rId1420" Type="http://schemas.openxmlformats.org/officeDocument/2006/relationships/hyperlink" Target="https://www.inaturalist.org/observations/382442717" TargetMode="External"/><Relationship Id="rId1421" Type="http://schemas.openxmlformats.org/officeDocument/2006/relationships/hyperlink" Target="https://creativecommons.org/licenses/by-nc/4.0/" TargetMode="External"/><Relationship Id="rId1422" Type="http://schemas.openxmlformats.org/officeDocument/2006/relationships/hyperlink" Target="https://www.inaturalist.org/observations/382315180" TargetMode="External"/><Relationship Id="rId1423" Type="http://schemas.openxmlformats.org/officeDocument/2006/relationships/hyperlink" Target="https://creativecommons.org/licenses/by-nc/4.0/" TargetMode="External"/><Relationship Id="rId1424" Type="http://schemas.openxmlformats.org/officeDocument/2006/relationships/hyperlink" Target="https://www.inaturalist.org/observations/381938079" TargetMode="External"/><Relationship Id="rId1425" Type="http://schemas.openxmlformats.org/officeDocument/2006/relationships/hyperlink" Target="https://creativecommons.org/licenses/by-nc/4.0/" TargetMode="External"/><Relationship Id="rId1426" Type="http://schemas.openxmlformats.org/officeDocument/2006/relationships/hyperlink" Target="https://www.inaturalist.org/observations/381802200" TargetMode="External"/><Relationship Id="rId1427" Type="http://schemas.openxmlformats.org/officeDocument/2006/relationships/hyperlink" Target="https://creativecommons.org/licenses/by-nc/4.0/" TargetMode="External"/><Relationship Id="rId1428" Type="http://schemas.openxmlformats.org/officeDocument/2006/relationships/hyperlink" Target="https://www.inaturalist.org/observations/381281624" TargetMode="External"/><Relationship Id="rId1429" Type="http://schemas.openxmlformats.org/officeDocument/2006/relationships/hyperlink" Target="https://creativecommons.org/licenses/by-nc/4.0/" TargetMode="External"/><Relationship Id="rId1430" Type="http://schemas.openxmlformats.org/officeDocument/2006/relationships/hyperlink" Target="https://www.inaturalist.org/observations/381050190" TargetMode="External"/><Relationship Id="rId1431" Type="http://schemas.openxmlformats.org/officeDocument/2006/relationships/hyperlink" Target="https://creativecommons.org/licenses/by-nc/4.0/" TargetMode="External"/><Relationship Id="rId1432" Type="http://schemas.openxmlformats.org/officeDocument/2006/relationships/hyperlink" Target="https://www.inaturalist.org/observations/380314828" TargetMode="External"/><Relationship Id="rId1433" Type="http://schemas.openxmlformats.org/officeDocument/2006/relationships/hyperlink" Target="https://creativecommons.org/licenses/by-nc/4.0/" TargetMode="External"/><Relationship Id="rId1434" Type="http://schemas.openxmlformats.org/officeDocument/2006/relationships/hyperlink" Target="https://www.inaturalist.org/observations/379875650" TargetMode="External"/><Relationship Id="rId1435" Type="http://schemas.openxmlformats.org/officeDocument/2006/relationships/hyperlink" Target="https://creativecommons.org/licenses/by-nc/4.0/" TargetMode="External"/><Relationship Id="rId1436" Type="http://schemas.openxmlformats.org/officeDocument/2006/relationships/hyperlink" Target="https://www.inaturalist.org/observations/379761837" TargetMode="External"/><Relationship Id="rId1437" Type="http://schemas.openxmlformats.org/officeDocument/2006/relationships/hyperlink" Target="https://creativecommons.org/licenses/by-nc/4.0/" TargetMode="External"/><Relationship Id="rId1438" Type="http://schemas.openxmlformats.org/officeDocument/2006/relationships/hyperlink" Target="https://www.inaturalist.org/observations/379524071" TargetMode="External"/><Relationship Id="rId1439" Type="http://schemas.openxmlformats.org/officeDocument/2006/relationships/hyperlink" Target="https://creativecommons.org/licenses/by-nc/4.0/" TargetMode="External"/><Relationship Id="rId1440" Type="http://schemas.openxmlformats.org/officeDocument/2006/relationships/hyperlink" Target="https://www.inaturalist.org/observations/377122363" TargetMode="External"/><Relationship Id="rId1441" Type="http://schemas.openxmlformats.org/officeDocument/2006/relationships/hyperlink" Target="https://creativecommons.org/licenses/by-nc/4.0/" TargetMode="External"/><Relationship Id="rId1442" Type="http://schemas.openxmlformats.org/officeDocument/2006/relationships/hyperlink" Target="https://www.inaturalist.org/observations/383160616" TargetMode="External"/><Relationship Id="rId1443" Type="http://schemas.openxmlformats.org/officeDocument/2006/relationships/hyperlink" Target="https://creativecommons.org/licenses/by-nc/4.0/" TargetMode="External"/><Relationship Id="rId1444" Type="http://schemas.openxmlformats.org/officeDocument/2006/relationships/hyperlink" Target="https://www.inaturalist.org/observations/383159434" TargetMode="External"/><Relationship Id="rId1445" Type="http://schemas.openxmlformats.org/officeDocument/2006/relationships/hyperlink" Target="https://creativecommons.org/licenses/by-nc/4.0/" TargetMode="External"/><Relationship Id="rId1446" Type="http://schemas.openxmlformats.org/officeDocument/2006/relationships/hyperlink" Target="https://www.inaturalist.org/observations/383159411" TargetMode="External"/><Relationship Id="rId1447" Type="http://schemas.openxmlformats.org/officeDocument/2006/relationships/hyperlink" Target="https://creativecommons.org/licenses/by-nc/4.0/" TargetMode="External"/><Relationship Id="rId1448" Type="http://schemas.openxmlformats.org/officeDocument/2006/relationships/hyperlink" Target="https://www.inaturalist.org/observations/383153207" TargetMode="External"/><Relationship Id="rId1449" Type="http://schemas.openxmlformats.org/officeDocument/2006/relationships/hyperlink" Target="https://creativecommons.org/licenses/by-nc/4.0/" TargetMode="External"/><Relationship Id="rId1450" Type="http://schemas.openxmlformats.org/officeDocument/2006/relationships/hyperlink" Target="https://www.inaturalist.org/observations/383148990" TargetMode="External"/><Relationship Id="rId1451" Type="http://schemas.openxmlformats.org/officeDocument/2006/relationships/hyperlink" Target="https://creativecommons.org/licenses/by-nc/4.0/" TargetMode="External"/><Relationship Id="rId1452" Type="http://schemas.openxmlformats.org/officeDocument/2006/relationships/hyperlink" Target="https://www.inaturalist.org/observations/383147943" TargetMode="External"/><Relationship Id="rId1453" Type="http://schemas.openxmlformats.org/officeDocument/2006/relationships/hyperlink" Target="https://creativecommons.org/licenses/by-nc/4.0/" TargetMode="External"/><Relationship Id="rId1454" Type="http://schemas.openxmlformats.org/officeDocument/2006/relationships/hyperlink" Target="https://www.inaturalist.org/observations/383144998" TargetMode="External"/><Relationship Id="rId1455" Type="http://schemas.openxmlformats.org/officeDocument/2006/relationships/hyperlink" Target="https://creativecommons.org/licenses/by-nc/4.0/" TargetMode="External"/><Relationship Id="rId1456" Type="http://schemas.openxmlformats.org/officeDocument/2006/relationships/hyperlink" Target="https://www.inaturalist.org/observations/383137513" TargetMode="External"/><Relationship Id="rId1457" Type="http://schemas.openxmlformats.org/officeDocument/2006/relationships/hyperlink" Target="https://creativecommons.org/licenses/by-nc/4.0/" TargetMode="External"/><Relationship Id="rId1458" Type="http://schemas.openxmlformats.org/officeDocument/2006/relationships/hyperlink" Target="https://www.inaturalist.org/observations/383135241" TargetMode="External"/><Relationship Id="rId1459" Type="http://schemas.openxmlformats.org/officeDocument/2006/relationships/hyperlink" Target="https://creativecommons.org/licenses/by-nc/4.0/" TargetMode="External"/><Relationship Id="rId1460" Type="http://schemas.openxmlformats.org/officeDocument/2006/relationships/hyperlink" Target="https://www.inaturalist.org/observations/383122423" TargetMode="External"/><Relationship Id="rId1461" Type="http://schemas.openxmlformats.org/officeDocument/2006/relationships/hyperlink" Target="https://creativecommons.org/licenses/by-nc/4.0/" TargetMode="External"/><Relationship Id="rId1462" Type="http://schemas.openxmlformats.org/officeDocument/2006/relationships/hyperlink" Target="https://www.inaturalist.org/observations/383119974" TargetMode="External"/><Relationship Id="rId1463" Type="http://schemas.openxmlformats.org/officeDocument/2006/relationships/hyperlink" Target="https://creativecommons.org/licenses/by-nc/4.0/" TargetMode="External"/><Relationship Id="rId1464" Type="http://schemas.openxmlformats.org/officeDocument/2006/relationships/hyperlink" Target="https://www.inaturalist.org/observations/383118396" TargetMode="External"/><Relationship Id="rId1465" Type="http://schemas.openxmlformats.org/officeDocument/2006/relationships/hyperlink" Target="https://creativecommons.org/licenses/by-nc/4.0/" TargetMode="External"/><Relationship Id="rId1466" Type="http://schemas.openxmlformats.org/officeDocument/2006/relationships/hyperlink" Target="https://www.inaturalist.org/observations/383118151" TargetMode="External"/><Relationship Id="rId1467" Type="http://schemas.openxmlformats.org/officeDocument/2006/relationships/hyperlink" Target="https://creativecommons.org/licenses/by-nc/4.0/" TargetMode="External"/><Relationship Id="rId1468" Type="http://schemas.openxmlformats.org/officeDocument/2006/relationships/hyperlink" Target="https://www.inaturalist.org/observations/383117683" TargetMode="External"/><Relationship Id="rId1469" Type="http://schemas.openxmlformats.org/officeDocument/2006/relationships/hyperlink" Target="https://creativecommons.org/licenses/by-nc/4.0/" TargetMode="External"/><Relationship Id="rId1470" Type="http://schemas.openxmlformats.org/officeDocument/2006/relationships/hyperlink" Target="https://www.inaturalist.org/observations/383115095" TargetMode="External"/><Relationship Id="rId1471" Type="http://schemas.openxmlformats.org/officeDocument/2006/relationships/hyperlink" Target="https://creativecommons.org/licenses/by-nc/4.0/" TargetMode="External"/><Relationship Id="rId1472" Type="http://schemas.openxmlformats.org/officeDocument/2006/relationships/hyperlink" Target="https://www.inaturalist.org/observations/383082023" TargetMode="External"/><Relationship Id="rId1473" Type="http://schemas.openxmlformats.org/officeDocument/2006/relationships/hyperlink" Target="https://creativecommons.org/licenses/by-nc/4.0/" TargetMode="External"/><Relationship Id="rId1474" Type="http://schemas.openxmlformats.org/officeDocument/2006/relationships/hyperlink" Target="https://www.inaturalist.org/observations/383080148" TargetMode="External"/><Relationship Id="rId1475" Type="http://schemas.openxmlformats.org/officeDocument/2006/relationships/hyperlink" Target="https://creativecommons.org/licenses/by-nc/4.0/" TargetMode="External"/><Relationship Id="rId1476" Type="http://schemas.openxmlformats.org/officeDocument/2006/relationships/hyperlink" Target="https://www.inaturalist.org/observations/383079167" TargetMode="External"/><Relationship Id="rId1477" Type="http://schemas.openxmlformats.org/officeDocument/2006/relationships/hyperlink" Target="https://creativecommons.org/licenses/by-nc/4.0/" TargetMode="External"/><Relationship Id="rId1478" Type="http://schemas.openxmlformats.org/officeDocument/2006/relationships/hyperlink" Target="https://www.inaturalist.org/observations/383068794" TargetMode="External"/><Relationship Id="rId1479" Type="http://schemas.openxmlformats.org/officeDocument/2006/relationships/hyperlink" Target="https://creativecommons.org/licenses/by-nc/4.0/" TargetMode="External"/><Relationship Id="rId1480" Type="http://schemas.openxmlformats.org/officeDocument/2006/relationships/hyperlink" Target="https://www.inaturalist.org/observations/383064218" TargetMode="External"/><Relationship Id="rId1481" Type="http://schemas.openxmlformats.org/officeDocument/2006/relationships/hyperlink" Target="https://creativecommons.org/licenses/by-nc/4.0/" TargetMode="External"/><Relationship Id="rId1482" Type="http://schemas.openxmlformats.org/officeDocument/2006/relationships/hyperlink" Target="https://www.inaturalist.org/observations/383056927" TargetMode="External"/><Relationship Id="rId1483" Type="http://schemas.openxmlformats.org/officeDocument/2006/relationships/hyperlink" Target="https://creativecommons.org/licenses/by-nc/4.0/" TargetMode="External"/><Relationship Id="rId1484" Type="http://schemas.openxmlformats.org/officeDocument/2006/relationships/hyperlink" Target="https://www.inaturalist.org/observations/383043433" TargetMode="External"/><Relationship Id="rId1485" Type="http://schemas.openxmlformats.org/officeDocument/2006/relationships/hyperlink" Target="https://creativecommons.org/licenses/by-nc/4.0/" TargetMode="External"/><Relationship Id="rId1486" Type="http://schemas.openxmlformats.org/officeDocument/2006/relationships/hyperlink" Target="https://www.inaturalist.org/observations/383041889" TargetMode="External"/><Relationship Id="rId1487" Type="http://schemas.openxmlformats.org/officeDocument/2006/relationships/hyperlink" Target="https://creativecommons.org/licenses/by-nc/4.0/" TargetMode="External"/><Relationship Id="rId1488" Type="http://schemas.openxmlformats.org/officeDocument/2006/relationships/hyperlink" Target="https://www.inaturalist.org/observations/383027638" TargetMode="External"/><Relationship Id="rId1489" Type="http://schemas.openxmlformats.org/officeDocument/2006/relationships/hyperlink" Target="https://creativecommons.org/licenses/by-nc/4.0/" TargetMode="External"/><Relationship Id="rId1490" Type="http://schemas.openxmlformats.org/officeDocument/2006/relationships/hyperlink" Target="https://www.inaturalist.org/observations/383023658" TargetMode="External"/><Relationship Id="rId1491" Type="http://schemas.openxmlformats.org/officeDocument/2006/relationships/hyperlink" Target="https://creativecommons.org/licenses/by-nc/4.0/" TargetMode="External"/><Relationship Id="rId1492" Type="http://schemas.openxmlformats.org/officeDocument/2006/relationships/hyperlink" Target="https://www.inaturalist.org/observations/383021675" TargetMode="External"/><Relationship Id="rId1493" Type="http://schemas.openxmlformats.org/officeDocument/2006/relationships/hyperlink" Target="https://creativecommons.org/licenses/by-nc/4.0/" TargetMode="External"/><Relationship Id="rId1494" Type="http://schemas.openxmlformats.org/officeDocument/2006/relationships/hyperlink" Target="https://www.inaturalist.org/observations/383020968" TargetMode="External"/><Relationship Id="rId1495" Type="http://schemas.openxmlformats.org/officeDocument/2006/relationships/hyperlink" Target="https://creativecommons.org/licenses/by-nc/4.0/" TargetMode="External"/><Relationship Id="rId1496" Type="http://schemas.openxmlformats.org/officeDocument/2006/relationships/hyperlink" Target="https://www.inaturalist.org/observations/383005304" TargetMode="External"/><Relationship Id="rId1497" Type="http://schemas.openxmlformats.org/officeDocument/2006/relationships/hyperlink" Target="https://creativecommons.org/licenses/by-nc/4.0/" TargetMode="External"/><Relationship Id="rId1498" Type="http://schemas.openxmlformats.org/officeDocument/2006/relationships/hyperlink" Target="https://www.inaturalist.org/observations/382997248" TargetMode="External"/><Relationship Id="rId1499" Type="http://schemas.openxmlformats.org/officeDocument/2006/relationships/hyperlink" Target="https://creativecommons.org/licenses/by-nc/4.0/" TargetMode="External"/><Relationship Id="rId1500" Type="http://schemas.openxmlformats.org/officeDocument/2006/relationships/hyperlink" Target="https://www.inaturalist.org/observations/382997138" TargetMode="External"/><Relationship Id="rId1501" Type="http://schemas.openxmlformats.org/officeDocument/2006/relationships/hyperlink" Target="https://creativecommons.org/licenses/by-nc/4.0/" TargetMode="External"/><Relationship Id="rId1502" Type="http://schemas.openxmlformats.org/officeDocument/2006/relationships/hyperlink" Target="https://www.inaturalist.org/observations/382994684" TargetMode="External"/><Relationship Id="rId1503" Type="http://schemas.openxmlformats.org/officeDocument/2006/relationships/hyperlink" Target="https://creativecommons.org/licenses/by-nc/4.0/" TargetMode="External"/><Relationship Id="rId1504" Type="http://schemas.openxmlformats.org/officeDocument/2006/relationships/hyperlink" Target="https://www.inaturalist.org/observations/382993432" TargetMode="External"/><Relationship Id="rId1505" Type="http://schemas.openxmlformats.org/officeDocument/2006/relationships/hyperlink" Target="https://creativecommons.org/licenses/by-nc/4.0/" TargetMode="External"/><Relationship Id="rId1506" Type="http://schemas.openxmlformats.org/officeDocument/2006/relationships/hyperlink" Target="https://www.inaturalist.org/observations/382982664" TargetMode="External"/><Relationship Id="rId1507" Type="http://schemas.openxmlformats.org/officeDocument/2006/relationships/hyperlink" Target="https://creativecommons.org/licenses/by-nc/4.0/" TargetMode="External"/><Relationship Id="rId1508" Type="http://schemas.openxmlformats.org/officeDocument/2006/relationships/hyperlink" Target="https://www.inaturalist.org/observations/382980846" TargetMode="External"/><Relationship Id="rId1509" Type="http://schemas.openxmlformats.org/officeDocument/2006/relationships/hyperlink" Target="https://creativecommons.org/licenses/by-nc/4.0/" TargetMode="External"/><Relationship Id="rId1510" Type="http://schemas.openxmlformats.org/officeDocument/2006/relationships/hyperlink" Target="https://www.inaturalist.org/observations/382953837" TargetMode="External"/><Relationship Id="rId1511" Type="http://schemas.openxmlformats.org/officeDocument/2006/relationships/hyperlink" Target="https://creativecommons.org/licenses/by-nc/4.0/" TargetMode="External"/><Relationship Id="rId1512" Type="http://schemas.openxmlformats.org/officeDocument/2006/relationships/hyperlink" Target="https://www.inaturalist.org/observations/382953014" TargetMode="External"/><Relationship Id="rId1513" Type="http://schemas.openxmlformats.org/officeDocument/2006/relationships/hyperlink" Target="https://creativecommons.org/licenses/by-nc/4.0/" TargetMode="External"/><Relationship Id="rId1514" Type="http://schemas.openxmlformats.org/officeDocument/2006/relationships/hyperlink" Target="https://www.inaturalist.org/observations/382950327" TargetMode="External"/><Relationship Id="rId1515" Type="http://schemas.openxmlformats.org/officeDocument/2006/relationships/hyperlink" Target="https://creativecommons.org/licenses/by-nc/4.0/" TargetMode="External"/><Relationship Id="rId1516" Type="http://schemas.openxmlformats.org/officeDocument/2006/relationships/hyperlink" Target="https://www.inaturalist.org/observations/382942349" TargetMode="External"/><Relationship Id="rId1517" Type="http://schemas.openxmlformats.org/officeDocument/2006/relationships/hyperlink" Target="https://creativecommons.org/licenses/by-nc/4.0/" TargetMode="External"/><Relationship Id="rId1518" Type="http://schemas.openxmlformats.org/officeDocument/2006/relationships/hyperlink" Target="https://www.inaturalist.org/observations/382930861" TargetMode="External"/><Relationship Id="rId1519" Type="http://schemas.openxmlformats.org/officeDocument/2006/relationships/hyperlink" Target="https://creativecommons.org/licenses/by-nc/4.0/" TargetMode="External"/><Relationship Id="rId1520" Type="http://schemas.openxmlformats.org/officeDocument/2006/relationships/hyperlink" Target="https://www.inaturalist.org/observations/382926315" TargetMode="External"/><Relationship Id="rId1521" Type="http://schemas.openxmlformats.org/officeDocument/2006/relationships/hyperlink" Target="https://creativecommons.org/licenses/by-nc/4.0/" TargetMode="External"/><Relationship Id="rId1522" Type="http://schemas.openxmlformats.org/officeDocument/2006/relationships/hyperlink" Target="https://www.inaturalist.org/observations/382911965" TargetMode="External"/><Relationship Id="rId1523" Type="http://schemas.openxmlformats.org/officeDocument/2006/relationships/hyperlink" Target="https://creativecommons.org/licenses/by-nc/4.0/" TargetMode="External"/><Relationship Id="rId1524" Type="http://schemas.openxmlformats.org/officeDocument/2006/relationships/hyperlink" Target="https://www.inaturalist.org/observations/382908536" TargetMode="External"/><Relationship Id="rId1525" Type="http://schemas.openxmlformats.org/officeDocument/2006/relationships/hyperlink" Target="https://creativecommons.org/licenses/by-nc/4.0/" TargetMode="External"/><Relationship Id="rId1526" Type="http://schemas.openxmlformats.org/officeDocument/2006/relationships/hyperlink" Target="https://www.inaturalist.org/observations/382907280" TargetMode="External"/><Relationship Id="rId1527" Type="http://schemas.openxmlformats.org/officeDocument/2006/relationships/hyperlink" Target="https://creativecommons.org/licenses/by-nc/4.0/" TargetMode="External"/><Relationship Id="rId1528" Type="http://schemas.openxmlformats.org/officeDocument/2006/relationships/hyperlink" Target="https://www.inaturalist.org/observations/382896862" TargetMode="External"/><Relationship Id="rId1529" Type="http://schemas.openxmlformats.org/officeDocument/2006/relationships/hyperlink" Target="https://creativecommons.org/licenses/by-nc/4.0/" TargetMode="External"/><Relationship Id="rId1530" Type="http://schemas.openxmlformats.org/officeDocument/2006/relationships/hyperlink" Target="https://www.inaturalist.org/observations/382896603" TargetMode="External"/><Relationship Id="rId1531" Type="http://schemas.openxmlformats.org/officeDocument/2006/relationships/hyperlink" Target="https://creativecommons.org/licenses/by-nc/4.0/" TargetMode="External"/><Relationship Id="rId1532" Type="http://schemas.openxmlformats.org/officeDocument/2006/relationships/hyperlink" Target="https://www.inaturalist.org/observations/382884975" TargetMode="External"/><Relationship Id="rId1533" Type="http://schemas.openxmlformats.org/officeDocument/2006/relationships/hyperlink" Target="https://creativecommons.org/licenses/by-nc/4.0/" TargetMode="External"/><Relationship Id="rId1534" Type="http://schemas.openxmlformats.org/officeDocument/2006/relationships/hyperlink" Target="https://www.inaturalist.org/observations/382884435" TargetMode="External"/><Relationship Id="rId1535" Type="http://schemas.openxmlformats.org/officeDocument/2006/relationships/hyperlink" Target="https://creativecommons.org/licenses/by-nc/4.0/" TargetMode="External"/><Relationship Id="rId1536" Type="http://schemas.openxmlformats.org/officeDocument/2006/relationships/hyperlink" Target="https://www.inaturalist.org/observations/382873686" TargetMode="External"/><Relationship Id="rId1537" Type="http://schemas.openxmlformats.org/officeDocument/2006/relationships/hyperlink" Target="https://creativecommons.org/licenses/by-nc/4.0/" TargetMode="External"/><Relationship Id="rId1538" Type="http://schemas.openxmlformats.org/officeDocument/2006/relationships/hyperlink" Target="https://www.inaturalist.org/observations/382870973" TargetMode="External"/><Relationship Id="rId1539" Type="http://schemas.openxmlformats.org/officeDocument/2006/relationships/hyperlink" Target="https://creativecommons.org/licenses/by-nc/4.0/" TargetMode="External"/><Relationship Id="rId1540" Type="http://schemas.openxmlformats.org/officeDocument/2006/relationships/hyperlink" Target="https://www.inaturalist.org/observations/382867643" TargetMode="External"/><Relationship Id="rId1541" Type="http://schemas.openxmlformats.org/officeDocument/2006/relationships/hyperlink" Target="https://creativecommons.org/licenses/by-nc/4.0/" TargetMode="External"/><Relationship Id="rId1542" Type="http://schemas.openxmlformats.org/officeDocument/2006/relationships/hyperlink" Target="https://www.inaturalist.org/observations/382867372" TargetMode="External"/><Relationship Id="rId1543" Type="http://schemas.openxmlformats.org/officeDocument/2006/relationships/hyperlink" Target="https://creativecommons.org/licenses/by-nc/4.0/" TargetMode="External"/><Relationship Id="rId1544" Type="http://schemas.openxmlformats.org/officeDocument/2006/relationships/hyperlink" Target="https://www.inaturalist.org/observations/382867045" TargetMode="External"/><Relationship Id="rId1545" Type="http://schemas.openxmlformats.org/officeDocument/2006/relationships/hyperlink" Target="https://creativecommons.org/licenses/by-nc/4.0/" TargetMode="External"/><Relationship Id="rId1546" Type="http://schemas.openxmlformats.org/officeDocument/2006/relationships/hyperlink" Target="https://www.inaturalist.org/observations/382851974" TargetMode="External"/><Relationship Id="rId1547" Type="http://schemas.openxmlformats.org/officeDocument/2006/relationships/hyperlink" Target="https://creativecommons.org/licenses/by-nc/4.0/" TargetMode="External"/><Relationship Id="rId1548" Type="http://schemas.openxmlformats.org/officeDocument/2006/relationships/hyperlink" Target="https://www.inaturalist.org/observations/382849134" TargetMode="External"/><Relationship Id="rId1549" Type="http://schemas.openxmlformats.org/officeDocument/2006/relationships/hyperlink" Target="https://creativecommons.org/licenses/by-nc/4.0/" TargetMode="External"/><Relationship Id="rId1550" Type="http://schemas.openxmlformats.org/officeDocument/2006/relationships/hyperlink" Target="https://www.inaturalist.org/observations/382839835" TargetMode="External"/><Relationship Id="rId1551" Type="http://schemas.openxmlformats.org/officeDocument/2006/relationships/hyperlink" Target="https://creativecommons.org/licenses/by-nc/4.0/" TargetMode="External"/><Relationship Id="rId1552" Type="http://schemas.openxmlformats.org/officeDocument/2006/relationships/hyperlink" Target="https://www.inaturalist.org/observations/382826617" TargetMode="External"/><Relationship Id="rId1553" Type="http://schemas.openxmlformats.org/officeDocument/2006/relationships/hyperlink" Target="https://creativecommons.org/licenses/by-nc/4.0/" TargetMode="External"/><Relationship Id="rId1554" Type="http://schemas.openxmlformats.org/officeDocument/2006/relationships/hyperlink" Target="https://www.inaturalist.org/observations/382824688" TargetMode="External"/><Relationship Id="rId1555" Type="http://schemas.openxmlformats.org/officeDocument/2006/relationships/hyperlink" Target="https://creativecommons.org/licenses/by-nc/4.0/" TargetMode="External"/><Relationship Id="rId1556" Type="http://schemas.openxmlformats.org/officeDocument/2006/relationships/hyperlink" Target="https://www.inaturalist.org/observations/382811639" TargetMode="External"/><Relationship Id="rId1557" Type="http://schemas.openxmlformats.org/officeDocument/2006/relationships/hyperlink" Target="https://creativecommons.org/licenses/by-nc/4.0/" TargetMode="External"/><Relationship Id="rId1558" Type="http://schemas.openxmlformats.org/officeDocument/2006/relationships/hyperlink" Target="https://www.inaturalist.org/observations/382801670" TargetMode="External"/><Relationship Id="rId1559" Type="http://schemas.openxmlformats.org/officeDocument/2006/relationships/hyperlink" Target="https://creativecommons.org/licenses/by-nc/4.0/" TargetMode="External"/><Relationship Id="rId1560" Type="http://schemas.openxmlformats.org/officeDocument/2006/relationships/hyperlink" Target="https://www.inaturalist.org/observations/382780610" TargetMode="External"/><Relationship Id="rId1561" Type="http://schemas.openxmlformats.org/officeDocument/2006/relationships/hyperlink" Target="https://creativecommons.org/licenses/by-nc/4.0/" TargetMode="External"/><Relationship Id="rId1562" Type="http://schemas.openxmlformats.org/officeDocument/2006/relationships/hyperlink" Target="https://www.inaturalist.org/observations/382780422" TargetMode="External"/><Relationship Id="rId1563" Type="http://schemas.openxmlformats.org/officeDocument/2006/relationships/hyperlink" Target="https://creativecommons.org/licenses/by-nc/4.0/" TargetMode="External"/><Relationship Id="rId1564" Type="http://schemas.openxmlformats.org/officeDocument/2006/relationships/hyperlink" Target="https://www.inaturalist.org/observations/382770085" TargetMode="External"/><Relationship Id="rId1565" Type="http://schemas.openxmlformats.org/officeDocument/2006/relationships/hyperlink" Target="https://creativecommons.org/licenses/by-nc/4.0/" TargetMode="External"/><Relationship Id="rId1566" Type="http://schemas.openxmlformats.org/officeDocument/2006/relationships/hyperlink" Target="https://www.inaturalist.org/observations/382769618" TargetMode="External"/><Relationship Id="rId1567" Type="http://schemas.openxmlformats.org/officeDocument/2006/relationships/hyperlink" Target="https://creativecommons.org/licenses/by-nc/4.0/" TargetMode="External"/><Relationship Id="rId1568" Type="http://schemas.openxmlformats.org/officeDocument/2006/relationships/hyperlink" Target="https://www.inaturalist.org/observations/382767640" TargetMode="External"/><Relationship Id="rId1569" Type="http://schemas.openxmlformats.org/officeDocument/2006/relationships/hyperlink" Target="https://creativecommons.org/licenses/by-nc/4.0/" TargetMode="External"/><Relationship Id="rId1570" Type="http://schemas.openxmlformats.org/officeDocument/2006/relationships/hyperlink" Target="https://www.inaturalist.org/observations/382766217" TargetMode="External"/><Relationship Id="rId1571" Type="http://schemas.openxmlformats.org/officeDocument/2006/relationships/hyperlink" Target="https://creativecommons.org/licenses/by-nc/4.0/" TargetMode="External"/><Relationship Id="rId1572" Type="http://schemas.openxmlformats.org/officeDocument/2006/relationships/hyperlink" Target="https://www.inaturalist.org/observations/382763829" TargetMode="External"/><Relationship Id="rId1573" Type="http://schemas.openxmlformats.org/officeDocument/2006/relationships/hyperlink" Target="https://creativecommons.org/licenses/by-nc/4.0/" TargetMode="External"/><Relationship Id="rId1574" Type="http://schemas.openxmlformats.org/officeDocument/2006/relationships/hyperlink" Target="https://www.inaturalist.org/observations/382757223" TargetMode="External"/><Relationship Id="rId1575" Type="http://schemas.openxmlformats.org/officeDocument/2006/relationships/hyperlink" Target="https://creativecommons.org/licenses/by-nc/4.0/" TargetMode="External"/><Relationship Id="rId1576" Type="http://schemas.openxmlformats.org/officeDocument/2006/relationships/hyperlink" Target="https://www.inaturalist.org/observations/382756975" TargetMode="External"/><Relationship Id="rId1577" Type="http://schemas.openxmlformats.org/officeDocument/2006/relationships/hyperlink" Target="https://creativecommons.org/licenses/by-nc/4.0/" TargetMode="External"/><Relationship Id="rId1578" Type="http://schemas.openxmlformats.org/officeDocument/2006/relationships/hyperlink" Target="https://www.inaturalist.org/observations/382755006" TargetMode="External"/><Relationship Id="rId1579" Type="http://schemas.openxmlformats.org/officeDocument/2006/relationships/hyperlink" Target="https://creativecommons.org/licenses/by-nc/4.0/" TargetMode="External"/><Relationship Id="rId1580" Type="http://schemas.openxmlformats.org/officeDocument/2006/relationships/hyperlink" Target="https://www.inaturalist.org/observations/382753060" TargetMode="External"/><Relationship Id="rId1581" Type="http://schemas.openxmlformats.org/officeDocument/2006/relationships/hyperlink" Target="https://creativecommons.org/licenses/by-nc/4.0/" TargetMode="External"/><Relationship Id="rId1582" Type="http://schemas.openxmlformats.org/officeDocument/2006/relationships/hyperlink" Target="https://www.inaturalist.org/observations/382751184" TargetMode="External"/><Relationship Id="rId1583" Type="http://schemas.openxmlformats.org/officeDocument/2006/relationships/hyperlink" Target="https://creativecommons.org/licenses/by-nc/4.0/" TargetMode="External"/><Relationship Id="rId1584" Type="http://schemas.openxmlformats.org/officeDocument/2006/relationships/hyperlink" Target="https://www.inaturalist.org/observations/382749762" TargetMode="External"/><Relationship Id="rId1585" Type="http://schemas.openxmlformats.org/officeDocument/2006/relationships/hyperlink" Target="https://creativecommons.org/licenses/by-nc/4.0/" TargetMode="External"/><Relationship Id="rId1586" Type="http://schemas.openxmlformats.org/officeDocument/2006/relationships/hyperlink" Target="https://www.inaturalist.org/observations/382747409" TargetMode="External"/><Relationship Id="rId1587" Type="http://schemas.openxmlformats.org/officeDocument/2006/relationships/hyperlink" Target="https://creativecommons.org/licenses/by-nc/4.0/" TargetMode="External"/><Relationship Id="rId1588" Type="http://schemas.openxmlformats.org/officeDocument/2006/relationships/hyperlink" Target="https://www.inaturalist.org/observations/382744685" TargetMode="External"/><Relationship Id="rId1589" Type="http://schemas.openxmlformats.org/officeDocument/2006/relationships/hyperlink" Target="https://creativecommons.org/licenses/by-nc/4.0/" TargetMode="External"/><Relationship Id="rId1590" Type="http://schemas.openxmlformats.org/officeDocument/2006/relationships/hyperlink" Target="https://www.inaturalist.org/observations/382706209" TargetMode="External"/><Relationship Id="rId1591" Type="http://schemas.openxmlformats.org/officeDocument/2006/relationships/hyperlink" Target="https://creativecommons.org/licenses/by-nc/4.0/" TargetMode="External"/><Relationship Id="rId1592" Type="http://schemas.openxmlformats.org/officeDocument/2006/relationships/hyperlink" Target="https://www.inaturalist.org/observations/382694632" TargetMode="External"/><Relationship Id="rId1593" Type="http://schemas.openxmlformats.org/officeDocument/2006/relationships/hyperlink" Target="https://creativecommons.org/licenses/by-nc/4.0/" TargetMode="External"/><Relationship Id="rId1594" Type="http://schemas.openxmlformats.org/officeDocument/2006/relationships/hyperlink" Target="https://www.inaturalist.org/observations/382683229" TargetMode="External"/><Relationship Id="rId1595" Type="http://schemas.openxmlformats.org/officeDocument/2006/relationships/hyperlink" Target="https://creativecommons.org/licenses/by-nc/4.0/" TargetMode="External"/><Relationship Id="rId1596" Type="http://schemas.openxmlformats.org/officeDocument/2006/relationships/hyperlink" Target="https://www.inaturalist.org/observations/382681392" TargetMode="External"/><Relationship Id="rId1597" Type="http://schemas.openxmlformats.org/officeDocument/2006/relationships/hyperlink" Target="https://creativecommons.org/licenses/by-nc/4.0/" TargetMode="External"/><Relationship Id="rId1598" Type="http://schemas.openxmlformats.org/officeDocument/2006/relationships/hyperlink" Target="https://www.inaturalist.org/observations/382679495" TargetMode="External"/><Relationship Id="rId1599" Type="http://schemas.openxmlformats.org/officeDocument/2006/relationships/hyperlink" Target="https://creativecommons.org/licenses/by-nc/4.0/" TargetMode="External"/><Relationship Id="rId1600" Type="http://schemas.openxmlformats.org/officeDocument/2006/relationships/hyperlink" Target="https://www.inaturalist.org/observations/382666678" TargetMode="External"/><Relationship Id="rId1601" Type="http://schemas.openxmlformats.org/officeDocument/2006/relationships/hyperlink" Target="https://creativecommons.org/licenses/by-nc/4.0/" TargetMode="External"/><Relationship Id="rId1602" Type="http://schemas.openxmlformats.org/officeDocument/2006/relationships/hyperlink" Target="https://www.inaturalist.org/observations/382656466" TargetMode="External"/><Relationship Id="rId1603" Type="http://schemas.openxmlformats.org/officeDocument/2006/relationships/hyperlink" Target="https://creativecommons.org/licenses/by-nc/4.0/" TargetMode="External"/><Relationship Id="rId1604" Type="http://schemas.openxmlformats.org/officeDocument/2006/relationships/hyperlink" Target="https://www.inaturalist.org/observations/382648577" TargetMode="External"/><Relationship Id="rId1605" Type="http://schemas.openxmlformats.org/officeDocument/2006/relationships/hyperlink" Target="https://creativecommons.org/licenses/by-nc/4.0/" TargetMode="External"/><Relationship Id="rId1606" Type="http://schemas.openxmlformats.org/officeDocument/2006/relationships/hyperlink" Target="https://www.inaturalist.org/observations/382640747" TargetMode="External"/><Relationship Id="rId1607" Type="http://schemas.openxmlformats.org/officeDocument/2006/relationships/hyperlink" Target="https://creativecommons.org/licenses/by-nc/4.0/" TargetMode="External"/><Relationship Id="rId1608" Type="http://schemas.openxmlformats.org/officeDocument/2006/relationships/hyperlink" Target="https://www.inaturalist.org/observations/382638296" TargetMode="External"/><Relationship Id="rId1609" Type="http://schemas.openxmlformats.org/officeDocument/2006/relationships/hyperlink" Target="https://creativecommons.org/licenses/by-nc/4.0/" TargetMode="External"/><Relationship Id="rId1610" Type="http://schemas.openxmlformats.org/officeDocument/2006/relationships/hyperlink" Target="https://www.inaturalist.org/observations/382629045" TargetMode="External"/><Relationship Id="rId1611" Type="http://schemas.openxmlformats.org/officeDocument/2006/relationships/hyperlink" Target="https://creativecommons.org/licenses/by-nc/4.0/" TargetMode="External"/><Relationship Id="rId1612" Type="http://schemas.openxmlformats.org/officeDocument/2006/relationships/hyperlink" Target="https://www.inaturalist.org/observations/382629044" TargetMode="External"/><Relationship Id="rId1613" Type="http://schemas.openxmlformats.org/officeDocument/2006/relationships/hyperlink" Target="https://creativecommons.org/licenses/by-nc/4.0/" TargetMode="External"/><Relationship Id="rId1614" Type="http://schemas.openxmlformats.org/officeDocument/2006/relationships/hyperlink" Target="https://www.inaturalist.org/observations/382607301" TargetMode="External"/><Relationship Id="rId1615" Type="http://schemas.openxmlformats.org/officeDocument/2006/relationships/hyperlink" Target="https://creativecommons.org/licenses/by-nc/4.0/" TargetMode="External"/><Relationship Id="rId1616" Type="http://schemas.openxmlformats.org/officeDocument/2006/relationships/hyperlink" Target="https://www.inaturalist.org/observations/382596040" TargetMode="External"/><Relationship Id="rId1617" Type="http://schemas.openxmlformats.org/officeDocument/2006/relationships/hyperlink" Target="https://creativecommons.org/licenses/by-nc/4.0/" TargetMode="External"/><Relationship Id="rId1618" Type="http://schemas.openxmlformats.org/officeDocument/2006/relationships/hyperlink" Target="https://www.inaturalist.org/observations/382587800" TargetMode="External"/><Relationship Id="rId1619" Type="http://schemas.openxmlformats.org/officeDocument/2006/relationships/hyperlink" Target="https://creativecommons.org/licenses/by-nc/4.0/" TargetMode="External"/><Relationship Id="rId1620" Type="http://schemas.openxmlformats.org/officeDocument/2006/relationships/hyperlink" Target="https://www.inaturalist.org/observations/382576738" TargetMode="External"/><Relationship Id="rId1621" Type="http://schemas.openxmlformats.org/officeDocument/2006/relationships/hyperlink" Target="https://creativecommons.org/licenses/by-nc/4.0/" TargetMode="External"/><Relationship Id="rId1622" Type="http://schemas.openxmlformats.org/officeDocument/2006/relationships/hyperlink" Target="https://www.inaturalist.org/observations/382573046" TargetMode="External"/><Relationship Id="rId1623" Type="http://schemas.openxmlformats.org/officeDocument/2006/relationships/hyperlink" Target="https://creativecommons.org/licenses/by-nc/4.0/" TargetMode="External"/><Relationship Id="rId1624" Type="http://schemas.openxmlformats.org/officeDocument/2006/relationships/hyperlink" Target="https://www.inaturalist.org/observations/382566613" TargetMode="External"/><Relationship Id="rId1625" Type="http://schemas.openxmlformats.org/officeDocument/2006/relationships/hyperlink" Target="https://creativecommons.org/licenses/by-nc/4.0/" TargetMode="External"/><Relationship Id="rId1626" Type="http://schemas.openxmlformats.org/officeDocument/2006/relationships/hyperlink" Target="https://www.inaturalist.org/observations/382559185" TargetMode="External"/><Relationship Id="rId1627" Type="http://schemas.openxmlformats.org/officeDocument/2006/relationships/hyperlink" Target="https://creativecommons.org/licenses/by-nc/4.0/" TargetMode="External"/><Relationship Id="rId1628" Type="http://schemas.openxmlformats.org/officeDocument/2006/relationships/hyperlink" Target="https://www.inaturalist.org/observations/382552883" TargetMode="External"/><Relationship Id="rId1629" Type="http://schemas.openxmlformats.org/officeDocument/2006/relationships/hyperlink" Target="https://creativecommons.org/licenses/by-nc/4.0/" TargetMode="External"/><Relationship Id="rId1630" Type="http://schemas.openxmlformats.org/officeDocument/2006/relationships/hyperlink" Target="https://www.inaturalist.org/observations/382539691" TargetMode="External"/><Relationship Id="rId1631" Type="http://schemas.openxmlformats.org/officeDocument/2006/relationships/hyperlink" Target="https://creativecommons.org/licenses/by-nc/4.0/" TargetMode="External"/><Relationship Id="rId1632" Type="http://schemas.openxmlformats.org/officeDocument/2006/relationships/hyperlink" Target="https://www.inaturalist.org/observations/382534127" TargetMode="External"/><Relationship Id="rId1633" Type="http://schemas.openxmlformats.org/officeDocument/2006/relationships/hyperlink" Target="https://creativecommons.org/licenses/by-nc/4.0/" TargetMode="External"/><Relationship Id="rId1634" Type="http://schemas.openxmlformats.org/officeDocument/2006/relationships/hyperlink" Target="https://www.inaturalist.org/observations/382519374" TargetMode="External"/><Relationship Id="rId1635" Type="http://schemas.openxmlformats.org/officeDocument/2006/relationships/hyperlink" Target="https://creativecommons.org/licenses/by-nc/4.0/" TargetMode="External"/><Relationship Id="rId1636" Type="http://schemas.openxmlformats.org/officeDocument/2006/relationships/hyperlink" Target="https://www.inaturalist.org/observations/382514451" TargetMode="External"/><Relationship Id="rId1637" Type="http://schemas.openxmlformats.org/officeDocument/2006/relationships/hyperlink" Target="https://creativecommons.org/licenses/by-nc/4.0/" TargetMode="External"/><Relationship Id="rId1638" Type="http://schemas.openxmlformats.org/officeDocument/2006/relationships/hyperlink" Target="https://www.inaturalist.org/observations/382501683" TargetMode="External"/><Relationship Id="rId1639" Type="http://schemas.openxmlformats.org/officeDocument/2006/relationships/hyperlink" Target="https://creativecommons.org/licenses/by-nc/4.0/" TargetMode="External"/><Relationship Id="rId1640" Type="http://schemas.openxmlformats.org/officeDocument/2006/relationships/hyperlink" Target="https://www.inaturalist.org/observations/382501148" TargetMode="External"/><Relationship Id="rId1641" Type="http://schemas.openxmlformats.org/officeDocument/2006/relationships/hyperlink" Target="https://creativecommons.org/licenses/by-nc/4.0/" TargetMode="External"/><Relationship Id="rId1642" Type="http://schemas.openxmlformats.org/officeDocument/2006/relationships/hyperlink" Target="https://www.inaturalist.org/observations/382498733" TargetMode="External"/><Relationship Id="rId1643" Type="http://schemas.openxmlformats.org/officeDocument/2006/relationships/hyperlink" Target="https://creativecommons.org/licenses/by-nc/4.0/" TargetMode="External"/><Relationship Id="rId1644" Type="http://schemas.openxmlformats.org/officeDocument/2006/relationships/hyperlink" Target="https://www.inaturalist.org/observations/382484711" TargetMode="External"/><Relationship Id="rId1645" Type="http://schemas.openxmlformats.org/officeDocument/2006/relationships/hyperlink" Target="https://creativecommons.org/licenses/by-nc/4.0/" TargetMode="External"/><Relationship Id="rId1646" Type="http://schemas.openxmlformats.org/officeDocument/2006/relationships/hyperlink" Target="https://www.inaturalist.org/observations/382481932" TargetMode="External"/><Relationship Id="rId1647" Type="http://schemas.openxmlformats.org/officeDocument/2006/relationships/hyperlink" Target="https://creativecommons.org/licenses/by-nc/4.0/" TargetMode="External"/><Relationship Id="rId1648" Type="http://schemas.openxmlformats.org/officeDocument/2006/relationships/hyperlink" Target="https://www.inaturalist.org/observations/382481464" TargetMode="External"/><Relationship Id="rId1649" Type="http://schemas.openxmlformats.org/officeDocument/2006/relationships/hyperlink" Target="https://creativecommons.org/licenses/by-nc/4.0/" TargetMode="External"/><Relationship Id="rId1650" Type="http://schemas.openxmlformats.org/officeDocument/2006/relationships/hyperlink" Target="https://www.inaturalist.org/observations/382478119" TargetMode="External"/><Relationship Id="rId1651" Type="http://schemas.openxmlformats.org/officeDocument/2006/relationships/hyperlink" Target="https://creativecommons.org/licenses/by-nc/4.0/" TargetMode="External"/><Relationship Id="rId1652" Type="http://schemas.openxmlformats.org/officeDocument/2006/relationships/hyperlink" Target="https://www.inaturalist.org/observations/382452878" TargetMode="External"/><Relationship Id="rId1653" Type="http://schemas.openxmlformats.org/officeDocument/2006/relationships/hyperlink" Target="https://creativecommons.org/licenses/by-nc/4.0/" TargetMode="External"/><Relationship Id="rId1654" Type="http://schemas.openxmlformats.org/officeDocument/2006/relationships/hyperlink" Target="https://www.inaturalist.org/observations/382446841" TargetMode="External"/><Relationship Id="rId1655" Type="http://schemas.openxmlformats.org/officeDocument/2006/relationships/hyperlink" Target="https://creativecommons.org/licenses/by-nc/4.0/" TargetMode="External"/><Relationship Id="rId1656" Type="http://schemas.openxmlformats.org/officeDocument/2006/relationships/hyperlink" Target="https://www.inaturalist.org/observations/382443154" TargetMode="External"/><Relationship Id="rId1657" Type="http://schemas.openxmlformats.org/officeDocument/2006/relationships/hyperlink" Target="https://creativecommons.org/licenses/by-nc/4.0/" TargetMode="External"/><Relationship Id="rId1658" Type="http://schemas.openxmlformats.org/officeDocument/2006/relationships/hyperlink" Target="https://www.inaturalist.org/observations/382432675" TargetMode="External"/><Relationship Id="rId1659" Type="http://schemas.openxmlformats.org/officeDocument/2006/relationships/hyperlink" Target="https://creativecommons.org/licenses/by-nc/4.0/" TargetMode="External"/><Relationship Id="rId1660" Type="http://schemas.openxmlformats.org/officeDocument/2006/relationships/hyperlink" Target="https://www.inaturalist.org/observations/382396547" TargetMode="External"/><Relationship Id="rId1661" Type="http://schemas.openxmlformats.org/officeDocument/2006/relationships/hyperlink" Target="https://creativecommons.org/licenses/by-nc/4.0/" TargetMode="External"/><Relationship Id="rId1662" Type="http://schemas.openxmlformats.org/officeDocument/2006/relationships/hyperlink" Target="https://www.inaturalist.org/observations/382395156" TargetMode="External"/><Relationship Id="rId1663" Type="http://schemas.openxmlformats.org/officeDocument/2006/relationships/hyperlink" Target="https://creativecommons.org/licenses/by-nc/4.0/" TargetMode="External"/><Relationship Id="rId1664" Type="http://schemas.openxmlformats.org/officeDocument/2006/relationships/hyperlink" Target="https://www.inaturalist.org/observations/382382585" TargetMode="External"/><Relationship Id="rId1665" Type="http://schemas.openxmlformats.org/officeDocument/2006/relationships/hyperlink" Target="https://creativecommons.org/licenses/by-nc/4.0/" TargetMode="External"/><Relationship Id="rId1666" Type="http://schemas.openxmlformats.org/officeDocument/2006/relationships/hyperlink" Target="https://www.inaturalist.org/observations/382377058" TargetMode="External"/><Relationship Id="rId1667" Type="http://schemas.openxmlformats.org/officeDocument/2006/relationships/hyperlink" Target="https://creativecommons.org/licenses/by-nc/4.0/" TargetMode="External"/><Relationship Id="rId1668" Type="http://schemas.openxmlformats.org/officeDocument/2006/relationships/hyperlink" Target="https://www.inaturalist.org/observations/382371372" TargetMode="External"/><Relationship Id="rId1669" Type="http://schemas.openxmlformats.org/officeDocument/2006/relationships/hyperlink" Target="https://creativecommons.org/licenses/by-nc/4.0/" TargetMode="External"/><Relationship Id="rId1670" Type="http://schemas.openxmlformats.org/officeDocument/2006/relationships/hyperlink" Target="https://www.inaturalist.org/observations/382367951" TargetMode="External"/><Relationship Id="rId1671" Type="http://schemas.openxmlformats.org/officeDocument/2006/relationships/hyperlink" Target="https://creativecommons.org/licenses/by-nc/4.0/" TargetMode="External"/><Relationship Id="rId1672" Type="http://schemas.openxmlformats.org/officeDocument/2006/relationships/hyperlink" Target="https://www.inaturalist.org/observations/382357262" TargetMode="External"/><Relationship Id="rId1673" Type="http://schemas.openxmlformats.org/officeDocument/2006/relationships/hyperlink" Target="https://creativecommons.org/licenses/by-nc/4.0/" TargetMode="External"/><Relationship Id="rId1674" Type="http://schemas.openxmlformats.org/officeDocument/2006/relationships/hyperlink" Target="https://www.inaturalist.org/observations/382333822" TargetMode="External"/><Relationship Id="rId1675" Type="http://schemas.openxmlformats.org/officeDocument/2006/relationships/hyperlink" Target="https://creativecommons.org/licenses/by-nc/4.0/" TargetMode="External"/><Relationship Id="rId1676" Type="http://schemas.openxmlformats.org/officeDocument/2006/relationships/hyperlink" Target="https://www.inaturalist.org/observations/382333774" TargetMode="External"/><Relationship Id="rId1677" Type="http://schemas.openxmlformats.org/officeDocument/2006/relationships/hyperlink" Target="https://creativecommons.org/licenses/by-nc/4.0/" TargetMode="External"/><Relationship Id="rId1678" Type="http://schemas.openxmlformats.org/officeDocument/2006/relationships/hyperlink" Target="https://www.inaturalist.org/observations/382329721" TargetMode="External"/><Relationship Id="rId1679" Type="http://schemas.openxmlformats.org/officeDocument/2006/relationships/hyperlink" Target="https://creativecommons.org/licenses/by-nc/4.0/" TargetMode="External"/><Relationship Id="rId1680" Type="http://schemas.openxmlformats.org/officeDocument/2006/relationships/hyperlink" Target="https://www.inaturalist.org/observations/382328446" TargetMode="External"/><Relationship Id="rId1681" Type="http://schemas.openxmlformats.org/officeDocument/2006/relationships/hyperlink" Target="https://creativecommons.org/licenses/by-nc/4.0/" TargetMode="External"/><Relationship Id="rId1682" Type="http://schemas.openxmlformats.org/officeDocument/2006/relationships/hyperlink" Target="https://www.inaturalist.org/observations/382320201" TargetMode="External"/><Relationship Id="rId1683" Type="http://schemas.openxmlformats.org/officeDocument/2006/relationships/hyperlink" Target="https://creativecommons.org/licenses/by-nc/4.0/" TargetMode="External"/><Relationship Id="rId1684" Type="http://schemas.openxmlformats.org/officeDocument/2006/relationships/hyperlink" Target="https://www.inaturalist.org/observations/382319599" TargetMode="External"/><Relationship Id="rId1685" Type="http://schemas.openxmlformats.org/officeDocument/2006/relationships/hyperlink" Target="https://creativecommons.org/licenses/by-nc/4.0/" TargetMode="External"/><Relationship Id="rId1686" Type="http://schemas.openxmlformats.org/officeDocument/2006/relationships/hyperlink" Target="https://www.inaturalist.org/observations/382316970" TargetMode="External"/><Relationship Id="rId1687" Type="http://schemas.openxmlformats.org/officeDocument/2006/relationships/hyperlink" Target="https://creativecommons.org/licenses/by-nc/4.0/" TargetMode="External"/><Relationship Id="rId1688" Type="http://schemas.openxmlformats.org/officeDocument/2006/relationships/hyperlink" Target="https://www.inaturalist.org/observations/382312107" TargetMode="External"/><Relationship Id="rId1689" Type="http://schemas.openxmlformats.org/officeDocument/2006/relationships/hyperlink" Target="https://creativecommons.org/licenses/by-nc/4.0/" TargetMode="External"/><Relationship Id="rId1690" Type="http://schemas.openxmlformats.org/officeDocument/2006/relationships/hyperlink" Target="https://www.inaturalist.org/observations/382311032" TargetMode="External"/><Relationship Id="rId1691" Type="http://schemas.openxmlformats.org/officeDocument/2006/relationships/hyperlink" Target="https://creativecommons.org/licenses/by-nc/4.0/" TargetMode="External"/><Relationship Id="rId1692" Type="http://schemas.openxmlformats.org/officeDocument/2006/relationships/hyperlink" Target="https://www.inaturalist.org/observations/382302900" TargetMode="External"/><Relationship Id="rId1693" Type="http://schemas.openxmlformats.org/officeDocument/2006/relationships/hyperlink" Target="https://creativecommons.org/licenses/by-nc/4.0/" TargetMode="External"/><Relationship Id="rId1694" Type="http://schemas.openxmlformats.org/officeDocument/2006/relationships/hyperlink" Target="https://www.inaturalist.org/observations/382295303" TargetMode="External"/><Relationship Id="rId1695" Type="http://schemas.openxmlformats.org/officeDocument/2006/relationships/hyperlink" Target="https://creativecommons.org/licenses/by-nc/4.0/" TargetMode="External"/><Relationship Id="rId1696" Type="http://schemas.openxmlformats.org/officeDocument/2006/relationships/hyperlink" Target="https://www.inaturalist.org/observations/382259296" TargetMode="External"/><Relationship Id="rId1697" Type="http://schemas.openxmlformats.org/officeDocument/2006/relationships/hyperlink" Target="https://creativecommons.org/licenses/by-nc/4.0/" TargetMode="External"/><Relationship Id="rId1698" Type="http://schemas.openxmlformats.org/officeDocument/2006/relationships/hyperlink" Target="https://www.inaturalist.org/observations/382253405" TargetMode="External"/><Relationship Id="rId1699" Type="http://schemas.openxmlformats.org/officeDocument/2006/relationships/hyperlink" Target="https://creativecommons.org/licenses/by-nc/4.0/" TargetMode="External"/><Relationship Id="rId1700" Type="http://schemas.openxmlformats.org/officeDocument/2006/relationships/hyperlink" Target="https://www.inaturalist.org/observations/382250978" TargetMode="External"/><Relationship Id="rId1701" Type="http://schemas.openxmlformats.org/officeDocument/2006/relationships/hyperlink" Target="https://creativecommons.org/licenses/by-nc/4.0/" TargetMode="External"/><Relationship Id="rId1702" Type="http://schemas.openxmlformats.org/officeDocument/2006/relationships/hyperlink" Target="https://www.inaturalist.org/observations/382243524" TargetMode="External"/><Relationship Id="rId1703" Type="http://schemas.openxmlformats.org/officeDocument/2006/relationships/hyperlink" Target="https://creativecommons.org/licenses/by-nc/4.0/" TargetMode="External"/><Relationship Id="rId1704" Type="http://schemas.openxmlformats.org/officeDocument/2006/relationships/hyperlink" Target="https://www.inaturalist.org/observations/382236909" TargetMode="External"/><Relationship Id="rId1705" Type="http://schemas.openxmlformats.org/officeDocument/2006/relationships/hyperlink" Target="https://creativecommons.org/licenses/by-nc/4.0/" TargetMode="External"/><Relationship Id="rId1706" Type="http://schemas.openxmlformats.org/officeDocument/2006/relationships/hyperlink" Target="https://www.inaturalist.org/observations/382236573" TargetMode="External"/><Relationship Id="rId1707" Type="http://schemas.openxmlformats.org/officeDocument/2006/relationships/hyperlink" Target="https://creativecommons.org/licenses/by-nc/4.0/" TargetMode="External"/><Relationship Id="rId1708" Type="http://schemas.openxmlformats.org/officeDocument/2006/relationships/hyperlink" Target="https://www.inaturalist.org/observations/382235163" TargetMode="External"/><Relationship Id="rId1709" Type="http://schemas.openxmlformats.org/officeDocument/2006/relationships/hyperlink" Target="https://creativecommons.org/licenses/by-nc/4.0/" TargetMode="External"/><Relationship Id="rId1710" Type="http://schemas.openxmlformats.org/officeDocument/2006/relationships/hyperlink" Target="https://www.inaturalist.org/observations/382208685" TargetMode="External"/><Relationship Id="rId1711" Type="http://schemas.openxmlformats.org/officeDocument/2006/relationships/hyperlink" Target="https://creativecommons.org/licenses/by-nc/4.0/" TargetMode="External"/><Relationship Id="rId1712" Type="http://schemas.openxmlformats.org/officeDocument/2006/relationships/hyperlink" Target="https://www.inaturalist.org/observations/382195769" TargetMode="External"/><Relationship Id="rId1713" Type="http://schemas.openxmlformats.org/officeDocument/2006/relationships/hyperlink" Target="https://creativecommons.org/licenses/by-nc/4.0/" TargetMode="External"/><Relationship Id="rId1714" Type="http://schemas.openxmlformats.org/officeDocument/2006/relationships/hyperlink" Target="https://www.inaturalist.org/observations/382186575" TargetMode="External"/><Relationship Id="rId1715" Type="http://schemas.openxmlformats.org/officeDocument/2006/relationships/hyperlink" Target="https://creativecommons.org/licenses/by-nc/4.0/" TargetMode="External"/><Relationship Id="rId1716" Type="http://schemas.openxmlformats.org/officeDocument/2006/relationships/hyperlink" Target="https://www.inaturalist.org/observations/382171010" TargetMode="External"/><Relationship Id="rId1717" Type="http://schemas.openxmlformats.org/officeDocument/2006/relationships/hyperlink" Target="https://creativecommons.org/licenses/by-nc/4.0/" TargetMode="External"/><Relationship Id="rId1718" Type="http://schemas.openxmlformats.org/officeDocument/2006/relationships/hyperlink" Target="https://www.inaturalist.org/observations/382155965" TargetMode="External"/><Relationship Id="rId1719" Type="http://schemas.openxmlformats.org/officeDocument/2006/relationships/hyperlink" Target="https://creativecommons.org/licenses/by-nc/4.0/" TargetMode="External"/><Relationship Id="rId1720" Type="http://schemas.openxmlformats.org/officeDocument/2006/relationships/hyperlink" Target="https://www.inaturalist.org/observations/382152227" TargetMode="External"/><Relationship Id="rId1721" Type="http://schemas.openxmlformats.org/officeDocument/2006/relationships/hyperlink" Target="https://creativecommons.org/licenses/by-nc/4.0/" TargetMode="External"/><Relationship Id="rId1722" Type="http://schemas.openxmlformats.org/officeDocument/2006/relationships/hyperlink" Target="https://www.inaturalist.org/observations/382150154" TargetMode="External"/><Relationship Id="rId1723" Type="http://schemas.openxmlformats.org/officeDocument/2006/relationships/hyperlink" Target="https://creativecommons.org/licenses/by-nc/4.0/" TargetMode="External"/><Relationship Id="rId1724" Type="http://schemas.openxmlformats.org/officeDocument/2006/relationships/hyperlink" Target="https://www.inaturalist.org/observations/382149370" TargetMode="External"/><Relationship Id="rId1725" Type="http://schemas.openxmlformats.org/officeDocument/2006/relationships/hyperlink" Target="https://creativecommons.org/licenses/by-nc/4.0/" TargetMode="External"/><Relationship Id="rId1726" Type="http://schemas.openxmlformats.org/officeDocument/2006/relationships/hyperlink" Target="https://www.inaturalist.org/observations/382146948" TargetMode="External"/><Relationship Id="rId1727" Type="http://schemas.openxmlformats.org/officeDocument/2006/relationships/hyperlink" Target="https://creativecommons.org/licenses/by-nc/4.0/" TargetMode="External"/><Relationship Id="rId1728" Type="http://schemas.openxmlformats.org/officeDocument/2006/relationships/hyperlink" Target="https://www.inaturalist.org/observations/382141670" TargetMode="External"/><Relationship Id="rId1729" Type="http://schemas.openxmlformats.org/officeDocument/2006/relationships/hyperlink" Target="https://creativecommons.org/licenses/by-nc/4.0/" TargetMode="External"/><Relationship Id="rId1730" Type="http://schemas.openxmlformats.org/officeDocument/2006/relationships/hyperlink" Target="https://www.inaturalist.org/observations/382135059" TargetMode="External"/><Relationship Id="rId1731" Type="http://schemas.openxmlformats.org/officeDocument/2006/relationships/hyperlink" Target="https://creativecommons.org/licenses/by-nc/4.0/" TargetMode="External"/><Relationship Id="rId1732" Type="http://schemas.openxmlformats.org/officeDocument/2006/relationships/hyperlink" Target="https://www.inaturalist.org/observations/382128249" TargetMode="External"/><Relationship Id="rId1733" Type="http://schemas.openxmlformats.org/officeDocument/2006/relationships/hyperlink" Target="https://creativecommons.org/licenses/by-nc/4.0/" TargetMode="External"/><Relationship Id="rId1734" Type="http://schemas.openxmlformats.org/officeDocument/2006/relationships/hyperlink" Target="https://www.inaturalist.org/observations/382117120" TargetMode="External"/><Relationship Id="rId1735" Type="http://schemas.openxmlformats.org/officeDocument/2006/relationships/hyperlink" Target="https://creativecommons.org/licenses/by-nc/4.0/" TargetMode="External"/><Relationship Id="rId1736" Type="http://schemas.openxmlformats.org/officeDocument/2006/relationships/hyperlink" Target="https://www.inaturalist.org/observations/382095188" TargetMode="External"/><Relationship Id="rId1737" Type="http://schemas.openxmlformats.org/officeDocument/2006/relationships/hyperlink" Target="https://creativecommons.org/licenses/by-nc/4.0/" TargetMode="External"/><Relationship Id="rId1738" Type="http://schemas.openxmlformats.org/officeDocument/2006/relationships/hyperlink" Target="https://www.inaturalist.org/observations/382066587" TargetMode="External"/><Relationship Id="rId1739" Type="http://schemas.openxmlformats.org/officeDocument/2006/relationships/hyperlink" Target="https://creativecommons.org/licenses/by-nc/4.0/" TargetMode="External"/><Relationship Id="rId1740" Type="http://schemas.openxmlformats.org/officeDocument/2006/relationships/hyperlink" Target="https://www.inaturalist.org/observations/382062710" TargetMode="External"/><Relationship Id="rId1741" Type="http://schemas.openxmlformats.org/officeDocument/2006/relationships/hyperlink" Target="https://creativecommons.org/licenses/by-nc/4.0/" TargetMode="External"/><Relationship Id="rId1742" Type="http://schemas.openxmlformats.org/officeDocument/2006/relationships/hyperlink" Target="https://www.inaturalist.org/observations/382061331" TargetMode="External"/><Relationship Id="rId1743" Type="http://schemas.openxmlformats.org/officeDocument/2006/relationships/hyperlink" Target="https://creativecommons.org/licenses/by-nc/4.0/" TargetMode="External"/><Relationship Id="rId1744" Type="http://schemas.openxmlformats.org/officeDocument/2006/relationships/hyperlink" Target="https://www.inaturalist.org/observations/382053937" TargetMode="External"/><Relationship Id="rId1745" Type="http://schemas.openxmlformats.org/officeDocument/2006/relationships/hyperlink" Target="https://creativecommons.org/licenses/by-nc/4.0/" TargetMode="External"/><Relationship Id="rId1746" Type="http://schemas.openxmlformats.org/officeDocument/2006/relationships/hyperlink" Target="https://www.inaturalist.org/observations/382053614" TargetMode="External"/><Relationship Id="rId1747" Type="http://schemas.openxmlformats.org/officeDocument/2006/relationships/hyperlink" Target="https://creativecommons.org/licenses/by-nc/4.0/" TargetMode="External"/><Relationship Id="rId1748" Type="http://schemas.openxmlformats.org/officeDocument/2006/relationships/hyperlink" Target="https://www.inaturalist.org/observations/382013663" TargetMode="External"/><Relationship Id="rId1749" Type="http://schemas.openxmlformats.org/officeDocument/2006/relationships/hyperlink" Target="https://creativecommons.org/licenses/by-nc/4.0/" TargetMode="External"/><Relationship Id="rId1750" Type="http://schemas.openxmlformats.org/officeDocument/2006/relationships/hyperlink" Target="https://www.inaturalist.org/observations/382002986" TargetMode="External"/><Relationship Id="rId1751" Type="http://schemas.openxmlformats.org/officeDocument/2006/relationships/hyperlink" Target="https://creativecommons.org/licenses/by-nc/4.0/" TargetMode="External"/><Relationship Id="rId1752" Type="http://schemas.openxmlformats.org/officeDocument/2006/relationships/hyperlink" Target="https://www.inaturalist.org/observations/381998570" TargetMode="External"/><Relationship Id="rId1753" Type="http://schemas.openxmlformats.org/officeDocument/2006/relationships/hyperlink" Target="https://creativecommons.org/licenses/by-nc/4.0/" TargetMode="External"/><Relationship Id="rId1754" Type="http://schemas.openxmlformats.org/officeDocument/2006/relationships/hyperlink" Target="https://www.inaturalist.org/observations/381988220" TargetMode="External"/><Relationship Id="rId1755" Type="http://schemas.openxmlformats.org/officeDocument/2006/relationships/hyperlink" Target="https://creativecommons.org/licenses/by-nc/4.0/" TargetMode="External"/><Relationship Id="rId1756" Type="http://schemas.openxmlformats.org/officeDocument/2006/relationships/hyperlink" Target="https://www.inaturalist.org/observations/381958568" TargetMode="External"/><Relationship Id="rId1757" Type="http://schemas.openxmlformats.org/officeDocument/2006/relationships/hyperlink" Target="https://creativecommons.org/licenses/by-nc/4.0/" TargetMode="External"/><Relationship Id="rId1758" Type="http://schemas.openxmlformats.org/officeDocument/2006/relationships/hyperlink" Target="https://www.inaturalist.org/observations/381958533" TargetMode="External"/><Relationship Id="rId1759" Type="http://schemas.openxmlformats.org/officeDocument/2006/relationships/hyperlink" Target="https://creativecommons.org/licenses/by-nc/4.0/" TargetMode="External"/><Relationship Id="rId1760" Type="http://schemas.openxmlformats.org/officeDocument/2006/relationships/hyperlink" Target="https://www.inaturalist.org/observations/381940754" TargetMode="External"/><Relationship Id="rId1761" Type="http://schemas.openxmlformats.org/officeDocument/2006/relationships/hyperlink" Target="https://creativecommons.org/licenses/by-nc/4.0/" TargetMode="External"/><Relationship Id="rId1762" Type="http://schemas.openxmlformats.org/officeDocument/2006/relationships/hyperlink" Target="https://www.inaturalist.org/observations/381914588" TargetMode="External"/><Relationship Id="rId1763" Type="http://schemas.openxmlformats.org/officeDocument/2006/relationships/hyperlink" Target="https://creativecommons.org/licenses/by-nc/4.0/" TargetMode="External"/><Relationship Id="rId1764" Type="http://schemas.openxmlformats.org/officeDocument/2006/relationships/hyperlink" Target="https://www.inaturalist.org/observations/381908755" TargetMode="External"/><Relationship Id="rId1765" Type="http://schemas.openxmlformats.org/officeDocument/2006/relationships/hyperlink" Target="https://creativecommons.org/licenses/by-nc/4.0/" TargetMode="External"/><Relationship Id="rId1766" Type="http://schemas.openxmlformats.org/officeDocument/2006/relationships/hyperlink" Target="https://www.inaturalist.org/observations/381897910" TargetMode="External"/><Relationship Id="rId1767" Type="http://schemas.openxmlformats.org/officeDocument/2006/relationships/hyperlink" Target="https://creativecommons.org/licenses/by-nc/4.0/" TargetMode="External"/><Relationship Id="rId1768" Type="http://schemas.openxmlformats.org/officeDocument/2006/relationships/hyperlink" Target="https://www.inaturalist.org/observations/381861306" TargetMode="External"/><Relationship Id="rId1769" Type="http://schemas.openxmlformats.org/officeDocument/2006/relationships/hyperlink" Target="https://creativecommons.org/licenses/by-nc/4.0/" TargetMode="External"/><Relationship Id="rId1770" Type="http://schemas.openxmlformats.org/officeDocument/2006/relationships/hyperlink" Target="https://www.inaturalist.org/observations/381856876" TargetMode="External"/><Relationship Id="rId1771" Type="http://schemas.openxmlformats.org/officeDocument/2006/relationships/hyperlink" Target="https://creativecommons.org/licenses/by-nc/4.0/" TargetMode="External"/><Relationship Id="rId1772" Type="http://schemas.openxmlformats.org/officeDocument/2006/relationships/hyperlink" Target="https://www.inaturalist.org/observations/381839200" TargetMode="External"/><Relationship Id="rId1773" Type="http://schemas.openxmlformats.org/officeDocument/2006/relationships/hyperlink" Target="https://creativecommons.org/licenses/by-nc/4.0/" TargetMode="External"/><Relationship Id="rId1774" Type="http://schemas.openxmlformats.org/officeDocument/2006/relationships/hyperlink" Target="https://www.inaturalist.org/observations/381828287" TargetMode="External"/><Relationship Id="rId1775" Type="http://schemas.openxmlformats.org/officeDocument/2006/relationships/hyperlink" Target="https://creativecommons.org/licenses/by-nc/4.0/" TargetMode="External"/><Relationship Id="rId1776" Type="http://schemas.openxmlformats.org/officeDocument/2006/relationships/hyperlink" Target="https://www.inaturalist.org/observations/381803545" TargetMode="External"/><Relationship Id="rId1777" Type="http://schemas.openxmlformats.org/officeDocument/2006/relationships/hyperlink" Target="https://creativecommons.org/licenses/by-nc/4.0/" TargetMode="External"/><Relationship Id="rId1778" Type="http://schemas.openxmlformats.org/officeDocument/2006/relationships/hyperlink" Target="https://www.inaturalist.org/observations/381801451" TargetMode="External"/><Relationship Id="rId1779" Type="http://schemas.openxmlformats.org/officeDocument/2006/relationships/hyperlink" Target="https://creativecommons.org/licenses/by-nc/4.0/" TargetMode="External"/><Relationship Id="rId1780" Type="http://schemas.openxmlformats.org/officeDocument/2006/relationships/hyperlink" Target="https://www.inaturalist.org/observations/381791323" TargetMode="External"/><Relationship Id="rId1781" Type="http://schemas.openxmlformats.org/officeDocument/2006/relationships/hyperlink" Target="https://creativecommons.org/licenses/by-nc/4.0/" TargetMode="External"/><Relationship Id="rId1782" Type="http://schemas.openxmlformats.org/officeDocument/2006/relationships/hyperlink" Target="https://www.inaturalist.org/observations/381781961" TargetMode="External"/><Relationship Id="rId1783" Type="http://schemas.openxmlformats.org/officeDocument/2006/relationships/hyperlink" Target="https://creativecommons.org/licenses/by-nc/4.0/" TargetMode="External"/><Relationship Id="rId1784" Type="http://schemas.openxmlformats.org/officeDocument/2006/relationships/hyperlink" Target="https://www.inaturalist.org/observations/381781887" TargetMode="External"/><Relationship Id="rId1785" Type="http://schemas.openxmlformats.org/officeDocument/2006/relationships/hyperlink" Target="https://creativecommons.org/licenses/by-nc/4.0/" TargetMode="External"/><Relationship Id="rId1786" Type="http://schemas.openxmlformats.org/officeDocument/2006/relationships/hyperlink" Target="https://www.inaturalist.org/observations/381781878" TargetMode="External"/><Relationship Id="rId1787" Type="http://schemas.openxmlformats.org/officeDocument/2006/relationships/hyperlink" Target="https://creativecommons.org/licenses/by-nc/4.0/" TargetMode="External"/><Relationship Id="rId1788" Type="http://schemas.openxmlformats.org/officeDocument/2006/relationships/hyperlink" Target="https://www.inaturalist.org/observations/381781869" TargetMode="External"/><Relationship Id="rId1789" Type="http://schemas.openxmlformats.org/officeDocument/2006/relationships/hyperlink" Target="https://creativecommons.org/licenses/by-nc/4.0/" TargetMode="External"/><Relationship Id="rId1790" Type="http://schemas.openxmlformats.org/officeDocument/2006/relationships/hyperlink" Target="https://www.inaturalist.org/observations/381781863" TargetMode="External"/><Relationship Id="rId1791" Type="http://schemas.openxmlformats.org/officeDocument/2006/relationships/hyperlink" Target="https://creativecommons.org/licenses/by-nc/4.0/" TargetMode="External"/><Relationship Id="rId1792" Type="http://schemas.openxmlformats.org/officeDocument/2006/relationships/hyperlink" Target="https://www.inaturalist.org/observations/381781830" TargetMode="External"/><Relationship Id="rId1793" Type="http://schemas.openxmlformats.org/officeDocument/2006/relationships/hyperlink" Target="https://creativecommons.org/licenses/by-nc/4.0/" TargetMode="External"/><Relationship Id="rId1794" Type="http://schemas.openxmlformats.org/officeDocument/2006/relationships/hyperlink" Target="https://www.inaturalist.org/observations/381777070" TargetMode="External"/><Relationship Id="rId1795" Type="http://schemas.openxmlformats.org/officeDocument/2006/relationships/hyperlink" Target="https://creativecommons.org/licenses/by-nc/4.0/" TargetMode="External"/><Relationship Id="rId1796" Type="http://schemas.openxmlformats.org/officeDocument/2006/relationships/hyperlink" Target="https://www.inaturalist.org/observations/381765648" TargetMode="External"/><Relationship Id="rId1797" Type="http://schemas.openxmlformats.org/officeDocument/2006/relationships/hyperlink" Target="https://creativecommons.org/licenses/by-nc/4.0/" TargetMode="External"/><Relationship Id="rId1798" Type="http://schemas.openxmlformats.org/officeDocument/2006/relationships/hyperlink" Target="https://www.inaturalist.org/observations/381723229" TargetMode="External"/><Relationship Id="rId1799" Type="http://schemas.openxmlformats.org/officeDocument/2006/relationships/hyperlink" Target="https://creativecommons.org/licenses/by-nc/4.0/" TargetMode="External"/><Relationship Id="rId1800" Type="http://schemas.openxmlformats.org/officeDocument/2006/relationships/hyperlink" Target="https://www.inaturalist.org/observations/381696546" TargetMode="External"/><Relationship Id="rId1801" Type="http://schemas.openxmlformats.org/officeDocument/2006/relationships/hyperlink" Target="https://creativecommons.org/licenses/by-nc/4.0/" TargetMode="External"/><Relationship Id="rId1802" Type="http://schemas.openxmlformats.org/officeDocument/2006/relationships/hyperlink" Target="https://www.inaturalist.org/observations/381674476" TargetMode="External"/><Relationship Id="rId1803" Type="http://schemas.openxmlformats.org/officeDocument/2006/relationships/hyperlink" Target="https://creativecommons.org/licenses/by-nc/4.0/" TargetMode="External"/><Relationship Id="rId1804" Type="http://schemas.openxmlformats.org/officeDocument/2006/relationships/hyperlink" Target="https://www.inaturalist.org/observations/381632555" TargetMode="External"/><Relationship Id="rId1805" Type="http://schemas.openxmlformats.org/officeDocument/2006/relationships/hyperlink" Target="https://creativecommons.org/licenses/by-nc/4.0/" TargetMode="External"/><Relationship Id="rId1806" Type="http://schemas.openxmlformats.org/officeDocument/2006/relationships/hyperlink" Target="https://www.inaturalist.org/observations/381630417" TargetMode="External"/><Relationship Id="rId1807" Type="http://schemas.openxmlformats.org/officeDocument/2006/relationships/hyperlink" Target="https://creativecommons.org/licenses/by-nc/4.0/" TargetMode="External"/><Relationship Id="rId1808" Type="http://schemas.openxmlformats.org/officeDocument/2006/relationships/hyperlink" Target="https://www.inaturalist.org/observations/381627394" TargetMode="External"/><Relationship Id="rId1809" Type="http://schemas.openxmlformats.org/officeDocument/2006/relationships/hyperlink" Target="https://creativecommons.org/licenses/by-nc/4.0/" TargetMode="External"/><Relationship Id="rId1810" Type="http://schemas.openxmlformats.org/officeDocument/2006/relationships/hyperlink" Target="https://www.inaturalist.org/observations/381606173" TargetMode="External"/><Relationship Id="rId1811" Type="http://schemas.openxmlformats.org/officeDocument/2006/relationships/hyperlink" Target="https://creativecommons.org/licenses/by-nc/4.0/" TargetMode="External"/><Relationship Id="rId1812" Type="http://schemas.openxmlformats.org/officeDocument/2006/relationships/hyperlink" Target="https://www.inaturalist.org/observations/381595161" TargetMode="External"/><Relationship Id="rId1813" Type="http://schemas.openxmlformats.org/officeDocument/2006/relationships/hyperlink" Target="https://creativecommons.org/licenses/by-nc/4.0/" TargetMode="External"/><Relationship Id="rId1814" Type="http://schemas.openxmlformats.org/officeDocument/2006/relationships/hyperlink" Target="https://www.inaturalist.org/observations/381584072" TargetMode="External"/><Relationship Id="rId1815" Type="http://schemas.openxmlformats.org/officeDocument/2006/relationships/hyperlink" Target="https://creativecommons.org/licenses/by-nc/4.0/" TargetMode="External"/><Relationship Id="rId1816" Type="http://schemas.openxmlformats.org/officeDocument/2006/relationships/hyperlink" Target="https://www.inaturalist.org/observations/381574809" TargetMode="External"/><Relationship Id="rId1817" Type="http://schemas.openxmlformats.org/officeDocument/2006/relationships/hyperlink" Target="https://creativecommons.org/licenses/by-nc/4.0/" TargetMode="External"/><Relationship Id="rId1818" Type="http://schemas.openxmlformats.org/officeDocument/2006/relationships/hyperlink" Target="https://www.inaturalist.org/observations/381558393" TargetMode="External"/><Relationship Id="rId1819" Type="http://schemas.openxmlformats.org/officeDocument/2006/relationships/hyperlink" Target="https://creativecommons.org/licenses/by-nc/4.0/" TargetMode="External"/><Relationship Id="rId1820" Type="http://schemas.openxmlformats.org/officeDocument/2006/relationships/hyperlink" Target="https://www.inaturalist.org/observations/381532215" TargetMode="External"/><Relationship Id="rId1821" Type="http://schemas.openxmlformats.org/officeDocument/2006/relationships/hyperlink" Target="https://creativecommons.org/licenses/by-nc/4.0/" TargetMode="External"/><Relationship Id="rId1822" Type="http://schemas.openxmlformats.org/officeDocument/2006/relationships/hyperlink" Target="https://www.inaturalist.org/observations/381532131" TargetMode="External"/><Relationship Id="rId1823" Type="http://schemas.openxmlformats.org/officeDocument/2006/relationships/hyperlink" Target="https://creativecommons.org/licenses/by-nc/4.0/" TargetMode="External"/><Relationship Id="rId1824" Type="http://schemas.openxmlformats.org/officeDocument/2006/relationships/hyperlink" Target="https://www.inaturalist.org/observations/381527379" TargetMode="External"/><Relationship Id="rId1825" Type="http://schemas.openxmlformats.org/officeDocument/2006/relationships/hyperlink" Target="https://creativecommons.org/licenses/by-nc/4.0/" TargetMode="External"/><Relationship Id="rId1826" Type="http://schemas.openxmlformats.org/officeDocument/2006/relationships/hyperlink" Target="https://www.inaturalist.org/observations/381521143" TargetMode="External"/><Relationship Id="rId1827" Type="http://schemas.openxmlformats.org/officeDocument/2006/relationships/hyperlink" Target="https://creativecommons.org/licenses/by-nc/4.0/" TargetMode="External"/><Relationship Id="rId1828" Type="http://schemas.openxmlformats.org/officeDocument/2006/relationships/hyperlink" Target="https://www.inaturalist.org/observations/381509233" TargetMode="External"/><Relationship Id="rId1829" Type="http://schemas.openxmlformats.org/officeDocument/2006/relationships/hyperlink" Target="https://creativecommons.org/licenses/by-nc/4.0/" TargetMode="External"/><Relationship Id="rId1830" Type="http://schemas.openxmlformats.org/officeDocument/2006/relationships/hyperlink" Target="https://www.inaturalist.org/observations/381498041" TargetMode="External"/><Relationship Id="rId1831" Type="http://schemas.openxmlformats.org/officeDocument/2006/relationships/hyperlink" Target="https://creativecommons.org/licenses/by-nc/4.0/" TargetMode="External"/><Relationship Id="rId1832" Type="http://schemas.openxmlformats.org/officeDocument/2006/relationships/hyperlink" Target="https://www.inaturalist.org/observations/381484719" TargetMode="External"/><Relationship Id="rId1833" Type="http://schemas.openxmlformats.org/officeDocument/2006/relationships/hyperlink" Target="https://creativecommons.org/licenses/by-nc/4.0/" TargetMode="External"/><Relationship Id="rId1834" Type="http://schemas.openxmlformats.org/officeDocument/2006/relationships/hyperlink" Target="https://www.inaturalist.org/observations/381469981" TargetMode="External"/><Relationship Id="rId1835" Type="http://schemas.openxmlformats.org/officeDocument/2006/relationships/hyperlink" Target="https://creativecommons.org/licenses/by-nc/4.0/" TargetMode="External"/><Relationship Id="rId1836" Type="http://schemas.openxmlformats.org/officeDocument/2006/relationships/hyperlink" Target="https://www.inaturalist.org/observations/381464511" TargetMode="External"/><Relationship Id="rId1837" Type="http://schemas.openxmlformats.org/officeDocument/2006/relationships/hyperlink" Target="https://creativecommons.org/licenses/by-nc/4.0/" TargetMode="External"/><Relationship Id="rId1838" Type="http://schemas.openxmlformats.org/officeDocument/2006/relationships/hyperlink" Target="https://www.inaturalist.org/observations/381463569" TargetMode="External"/><Relationship Id="rId1839" Type="http://schemas.openxmlformats.org/officeDocument/2006/relationships/hyperlink" Target="https://creativecommons.org/licenses/by-nc/4.0/" TargetMode="External"/><Relationship Id="rId1840" Type="http://schemas.openxmlformats.org/officeDocument/2006/relationships/hyperlink" Target="https://www.inaturalist.org/observations/381446606" TargetMode="External"/><Relationship Id="rId1841" Type="http://schemas.openxmlformats.org/officeDocument/2006/relationships/hyperlink" Target="https://creativecommons.org/licenses/by-nc/4.0/" TargetMode="External"/><Relationship Id="rId1842" Type="http://schemas.openxmlformats.org/officeDocument/2006/relationships/hyperlink" Target="https://www.inaturalist.org/observations/381441603" TargetMode="External"/><Relationship Id="rId1843" Type="http://schemas.openxmlformats.org/officeDocument/2006/relationships/hyperlink" Target="https://creativecommons.org/licenses/by-nc/4.0/" TargetMode="External"/><Relationship Id="rId1844" Type="http://schemas.openxmlformats.org/officeDocument/2006/relationships/hyperlink" Target="https://www.inaturalist.org/observations/381354195" TargetMode="External"/><Relationship Id="rId1845" Type="http://schemas.openxmlformats.org/officeDocument/2006/relationships/hyperlink" Target="https://creativecommons.org/licenses/by-nc/4.0/" TargetMode="External"/><Relationship Id="rId1846" Type="http://schemas.openxmlformats.org/officeDocument/2006/relationships/hyperlink" Target="https://www.inaturalist.org/observations/381351460" TargetMode="External"/><Relationship Id="rId1847" Type="http://schemas.openxmlformats.org/officeDocument/2006/relationships/hyperlink" Target="https://creativecommons.org/licenses/by-nc/4.0/" TargetMode="External"/><Relationship Id="rId1848" Type="http://schemas.openxmlformats.org/officeDocument/2006/relationships/hyperlink" Target="https://www.inaturalist.org/observations/381347918" TargetMode="External"/><Relationship Id="rId1849" Type="http://schemas.openxmlformats.org/officeDocument/2006/relationships/hyperlink" Target="https://creativecommons.org/licenses/by-nc/4.0/" TargetMode="External"/><Relationship Id="rId1850" Type="http://schemas.openxmlformats.org/officeDocument/2006/relationships/hyperlink" Target="https://www.inaturalist.org/observations/381337037" TargetMode="External"/><Relationship Id="rId1851" Type="http://schemas.openxmlformats.org/officeDocument/2006/relationships/hyperlink" Target="https://creativecommons.org/licenses/by-nc/4.0/" TargetMode="External"/><Relationship Id="rId1852" Type="http://schemas.openxmlformats.org/officeDocument/2006/relationships/hyperlink" Target="https://www.inaturalist.org/observations/381303541" TargetMode="External"/><Relationship Id="rId1853" Type="http://schemas.openxmlformats.org/officeDocument/2006/relationships/hyperlink" Target="https://creativecommons.org/licenses/by-nc/4.0/" TargetMode="External"/><Relationship Id="rId1854" Type="http://schemas.openxmlformats.org/officeDocument/2006/relationships/hyperlink" Target="https://www.inaturalist.org/observations/381301952" TargetMode="External"/><Relationship Id="rId1855" Type="http://schemas.openxmlformats.org/officeDocument/2006/relationships/hyperlink" Target="https://creativecommons.org/licenses/by-nc/4.0/" TargetMode="External"/><Relationship Id="rId1856" Type="http://schemas.openxmlformats.org/officeDocument/2006/relationships/hyperlink" Target="https://www.inaturalist.org/observations/381297140" TargetMode="External"/><Relationship Id="rId1857" Type="http://schemas.openxmlformats.org/officeDocument/2006/relationships/hyperlink" Target="https://creativecommons.org/licenses/by-nc/4.0/" TargetMode="External"/><Relationship Id="rId1858" Type="http://schemas.openxmlformats.org/officeDocument/2006/relationships/hyperlink" Target="https://www.inaturalist.org/observations/381287827" TargetMode="External"/><Relationship Id="rId1859" Type="http://schemas.openxmlformats.org/officeDocument/2006/relationships/hyperlink" Target="https://creativecommons.org/licenses/by-nc/4.0/" TargetMode="External"/><Relationship Id="rId1860" Type="http://schemas.openxmlformats.org/officeDocument/2006/relationships/hyperlink" Target="https://www.inaturalist.org/observations/381278959" TargetMode="External"/><Relationship Id="rId1861" Type="http://schemas.openxmlformats.org/officeDocument/2006/relationships/hyperlink" Target="https://creativecommons.org/licenses/by-nc/4.0/" TargetMode="External"/><Relationship Id="rId1862" Type="http://schemas.openxmlformats.org/officeDocument/2006/relationships/hyperlink" Target="https://www.inaturalist.org/observations/381250633" TargetMode="External"/><Relationship Id="rId1863" Type="http://schemas.openxmlformats.org/officeDocument/2006/relationships/hyperlink" Target="https://creativecommons.org/licenses/by-nc/4.0/" TargetMode="External"/><Relationship Id="rId1864" Type="http://schemas.openxmlformats.org/officeDocument/2006/relationships/hyperlink" Target="https://www.inaturalist.org/observations/381237193" TargetMode="External"/><Relationship Id="rId1865" Type="http://schemas.openxmlformats.org/officeDocument/2006/relationships/hyperlink" Target="https://creativecommons.org/licenses/by-nc/4.0/" TargetMode="External"/><Relationship Id="rId1866" Type="http://schemas.openxmlformats.org/officeDocument/2006/relationships/hyperlink" Target="https://www.inaturalist.org/observations/381228632" TargetMode="External"/><Relationship Id="rId1867" Type="http://schemas.openxmlformats.org/officeDocument/2006/relationships/hyperlink" Target="https://creativecommons.org/licenses/by-nc/4.0/" TargetMode="External"/><Relationship Id="rId1868" Type="http://schemas.openxmlformats.org/officeDocument/2006/relationships/hyperlink" Target="https://www.inaturalist.org/observations/381214382" TargetMode="External"/><Relationship Id="rId1869" Type="http://schemas.openxmlformats.org/officeDocument/2006/relationships/hyperlink" Target="https://creativecommons.org/licenses/by-nc/4.0/" TargetMode="External"/><Relationship Id="rId1870" Type="http://schemas.openxmlformats.org/officeDocument/2006/relationships/hyperlink" Target="https://www.inaturalist.org/observations/381209846" TargetMode="External"/><Relationship Id="rId1871" Type="http://schemas.openxmlformats.org/officeDocument/2006/relationships/hyperlink" Target="https://creativecommons.org/licenses/by-nc/4.0/" TargetMode="External"/><Relationship Id="rId1872" Type="http://schemas.openxmlformats.org/officeDocument/2006/relationships/hyperlink" Target="https://www.inaturalist.org/observations/381195548" TargetMode="External"/><Relationship Id="rId1873" Type="http://schemas.openxmlformats.org/officeDocument/2006/relationships/hyperlink" Target="https://creativecommons.org/licenses/by-nc/4.0/" TargetMode="External"/><Relationship Id="rId1874" Type="http://schemas.openxmlformats.org/officeDocument/2006/relationships/hyperlink" Target="https://www.inaturalist.org/observations/381178789" TargetMode="External"/><Relationship Id="rId1875" Type="http://schemas.openxmlformats.org/officeDocument/2006/relationships/hyperlink" Target="https://creativecommons.org/licenses/by-nc/4.0/" TargetMode="External"/><Relationship Id="rId1876" Type="http://schemas.openxmlformats.org/officeDocument/2006/relationships/hyperlink" Target="https://www.inaturalist.org/observations/381167972" TargetMode="External"/><Relationship Id="rId1877" Type="http://schemas.openxmlformats.org/officeDocument/2006/relationships/hyperlink" Target="https://creativecommons.org/licenses/by-nc/4.0/" TargetMode="External"/><Relationship Id="rId1878" Type="http://schemas.openxmlformats.org/officeDocument/2006/relationships/hyperlink" Target="https://www.inaturalist.org/observations/381156305" TargetMode="External"/><Relationship Id="rId1879" Type="http://schemas.openxmlformats.org/officeDocument/2006/relationships/hyperlink" Target="https://creativecommons.org/licenses/by-nc/4.0/" TargetMode="External"/><Relationship Id="rId1880" Type="http://schemas.openxmlformats.org/officeDocument/2006/relationships/hyperlink" Target="https://www.inaturalist.org/observations/381152969" TargetMode="External"/><Relationship Id="rId1881" Type="http://schemas.openxmlformats.org/officeDocument/2006/relationships/hyperlink" Target="https://creativecommons.org/licenses/by-nc/4.0/" TargetMode="External"/><Relationship Id="rId1882" Type="http://schemas.openxmlformats.org/officeDocument/2006/relationships/hyperlink" Target="https://www.inaturalist.org/observations/381149576" TargetMode="External"/><Relationship Id="rId1883" Type="http://schemas.openxmlformats.org/officeDocument/2006/relationships/hyperlink" Target="https://creativecommons.org/licenses/by-nc/4.0/" TargetMode="External"/><Relationship Id="rId1884" Type="http://schemas.openxmlformats.org/officeDocument/2006/relationships/hyperlink" Target="https://www.inaturalist.org/observations/381134438" TargetMode="External"/><Relationship Id="rId1885" Type="http://schemas.openxmlformats.org/officeDocument/2006/relationships/hyperlink" Target="https://creativecommons.org/licenses/by-nc/4.0/" TargetMode="External"/><Relationship Id="rId1886" Type="http://schemas.openxmlformats.org/officeDocument/2006/relationships/hyperlink" Target="https://www.inaturalist.org/observations/381124056" TargetMode="External"/><Relationship Id="rId1887" Type="http://schemas.openxmlformats.org/officeDocument/2006/relationships/hyperlink" Target="https://creativecommons.org/licenses/by-nc/4.0/" TargetMode="External"/><Relationship Id="rId1888" Type="http://schemas.openxmlformats.org/officeDocument/2006/relationships/hyperlink" Target="https://www.inaturalist.org/observations/381105610" TargetMode="External"/><Relationship Id="rId1889" Type="http://schemas.openxmlformats.org/officeDocument/2006/relationships/hyperlink" Target="https://creativecommons.org/licenses/by-nc/4.0/" TargetMode="External"/><Relationship Id="rId1890" Type="http://schemas.openxmlformats.org/officeDocument/2006/relationships/hyperlink" Target="https://www.inaturalist.org/observations/381089961" TargetMode="External"/><Relationship Id="rId1891" Type="http://schemas.openxmlformats.org/officeDocument/2006/relationships/hyperlink" Target="https://creativecommons.org/licenses/by-nc/4.0/" TargetMode="External"/><Relationship Id="rId1892" Type="http://schemas.openxmlformats.org/officeDocument/2006/relationships/hyperlink" Target="https://www.inaturalist.org/observations/381042239" TargetMode="External"/><Relationship Id="rId1893" Type="http://schemas.openxmlformats.org/officeDocument/2006/relationships/hyperlink" Target="https://creativecommons.org/licenses/by-nc/4.0/" TargetMode="External"/><Relationship Id="rId1894" Type="http://schemas.openxmlformats.org/officeDocument/2006/relationships/hyperlink" Target="https://www.inaturalist.org/observations/381015459" TargetMode="External"/><Relationship Id="rId1895" Type="http://schemas.openxmlformats.org/officeDocument/2006/relationships/hyperlink" Target="https://creativecommons.org/licenses/by-nc/4.0/" TargetMode="External"/><Relationship Id="rId1896" Type="http://schemas.openxmlformats.org/officeDocument/2006/relationships/hyperlink" Target="https://www.inaturalist.org/observations/380998647" TargetMode="External"/><Relationship Id="rId1897" Type="http://schemas.openxmlformats.org/officeDocument/2006/relationships/hyperlink" Target="https://creativecommons.org/licenses/by-nc/4.0/" TargetMode="External"/><Relationship Id="rId1898" Type="http://schemas.openxmlformats.org/officeDocument/2006/relationships/hyperlink" Target="https://www.inaturalist.org/observations/380998235" TargetMode="External"/><Relationship Id="rId1899" Type="http://schemas.openxmlformats.org/officeDocument/2006/relationships/hyperlink" Target="https://creativecommons.org/licenses/by-nc/4.0/" TargetMode="External"/><Relationship Id="rId1900" Type="http://schemas.openxmlformats.org/officeDocument/2006/relationships/hyperlink" Target="https://www.inaturalist.org/observations/380983664" TargetMode="External"/><Relationship Id="rId1901" Type="http://schemas.openxmlformats.org/officeDocument/2006/relationships/hyperlink" Target="https://creativecommons.org/licenses/by-nc/4.0/" TargetMode="External"/><Relationship Id="rId1902" Type="http://schemas.openxmlformats.org/officeDocument/2006/relationships/hyperlink" Target="https://www.inaturalist.org/observations/380966227" TargetMode="External"/><Relationship Id="rId1903" Type="http://schemas.openxmlformats.org/officeDocument/2006/relationships/hyperlink" Target="https://creativecommons.org/licenses/by-nc/4.0/" TargetMode="External"/><Relationship Id="rId1904" Type="http://schemas.openxmlformats.org/officeDocument/2006/relationships/hyperlink" Target="https://www.inaturalist.org/observations/380950391" TargetMode="External"/><Relationship Id="rId1905" Type="http://schemas.openxmlformats.org/officeDocument/2006/relationships/hyperlink" Target="https://creativecommons.org/licenses/by-nc/4.0/" TargetMode="External"/><Relationship Id="rId1906" Type="http://schemas.openxmlformats.org/officeDocument/2006/relationships/hyperlink" Target="https://www.inaturalist.org/observations/380929903" TargetMode="External"/><Relationship Id="rId1907" Type="http://schemas.openxmlformats.org/officeDocument/2006/relationships/hyperlink" Target="https://creativecommons.org/licenses/by-nc/4.0/" TargetMode="External"/><Relationship Id="rId1908" Type="http://schemas.openxmlformats.org/officeDocument/2006/relationships/hyperlink" Target="https://www.inaturalist.org/observations/380924871" TargetMode="External"/><Relationship Id="rId1909" Type="http://schemas.openxmlformats.org/officeDocument/2006/relationships/hyperlink" Target="https://creativecommons.org/licenses/by-nc/4.0/" TargetMode="External"/><Relationship Id="rId1910" Type="http://schemas.openxmlformats.org/officeDocument/2006/relationships/hyperlink" Target="https://www.inaturalist.org/observations/380918827" TargetMode="External"/><Relationship Id="rId1911" Type="http://schemas.openxmlformats.org/officeDocument/2006/relationships/hyperlink" Target="https://creativecommons.org/licenses/by-nc/4.0/" TargetMode="External"/><Relationship Id="rId1912" Type="http://schemas.openxmlformats.org/officeDocument/2006/relationships/hyperlink" Target="https://www.inaturalist.org/observations/380909391" TargetMode="External"/><Relationship Id="rId1913" Type="http://schemas.openxmlformats.org/officeDocument/2006/relationships/hyperlink" Target="https://creativecommons.org/licenses/by-nc/4.0/" TargetMode="External"/><Relationship Id="rId1914" Type="http://schemas.openxmlformats.org/officeDocument/2006/relationships/hyperlink" Target="https://www.inaturalist.org/observations/380899439" TargetMode="External"/><Relationship Id="rId1915" Type="http://schemas.openxmlformats.org/officeDocument/2006/relationships/hyperlink" Target="https://creativecommons.org/licenses/by-nc/4.0/" TargetMode="External"/><Relationship Id="rId1916" Type="http://schemas.openxmlformats.org/officeDocument/2006/relationships/hyperlink" Target="https://www.inaturalist.org/observations/380893597" TargetMode="External"/><Relationship Id="rId1917" Type="http://schemas.openxmlformats.org/officeDocument/2006/relationships/hyperlink" Target="https://creativecommons.org/licenses/by-nc/4.0/" TargetMode="External"/><Relationship Id="rId1918" Type="http://schemas.openxmlformats.org/officeDocument/2006/relationships/hyperlink" Target="https://www.inaturalist.org/observations/380875521" TargetMode="External"/><Relationship Id="rId1919" Type="http://schemas.openxmlformats.org/officeDocument/2006/relationships/hyperlink" Target="https://creativecommons.org/licenses/by-nc/4.0/" TargetMode="External"/><Relationship Id="rId1920" Type="http://schemas.openxmlformats.org/officeDocument/2006/relationships/hyperlink" Target="https://www.inaturalist.org/observations/380864168" TargetMode="External"/><Relationship Id="rId1921" Type="http://schemas.openxmlformats.org/officeDocument/2006/relationships/hyperlink" Target="https://creativecommons.org/licenses/by-nc/4.0/" TargetMode="External"/><Relationship Id="rId1922" Type="http://schemas.openxmlformats.org/officeDocument/2006/relationships/hyperlink" Target="https://www.inaturalist.org/observations/380840298" TargetMode="External"/><Relationship Id="rId1923" Type="http://schemas.openxmlformats.org/officeDocument/2006/relationships/hyperlink" Target="https://creativecommons.org/licenses/by-nc/4.0/" TargetMode="External"/><Relationship Id="rId1924" Type="http://schemas.openxmlformats.org/officeDocument/2006/relationships/hyperlink" Target="https://www.inaturalist.org/observations/380837785" TargetMode="External"/><Relationship Id="rId1925" Type="http://schemas.openxmlformats.org/officeDocument/2006/relationships/hyperlink" Target="https://creativecommons.org/licenses/by-nc/4.0/" TargetMode="External"/><Relationship Id="rId1926" Type="http://schemas.openxmlformats.org/officeDocument/2006/relationships/hyperlink" Target="https://www.inaturalist.org/observations/380793077" TargetMode="External"/><Relationship Id="rId1927" Type="http://schemas.openxmlformats.org/officeDocument/2006/relationships/hyperlink" Target="https://creativecommons.org/licenses/by-nc/4.0/" TargetMode="External"/><Relationship Id="rId1928" Type="http://schemas.openxmlformats.org/officeDocument/2006/relationships/hyperlink" Target="https://www.inaturalist.org/observations/380756409" TargetMode="External"/><Relationship Id="rId1929" Type="http://schemas.openxmlformats.org/officeDocument/2006/relationships/hyperlink" Target="https://creativecommons.org/licenses/by-nc/4.0/" TargetMode="External"/><Relationship Id="rId1930" Type="http://schemas.openxmlformats.org/officeDocument/2006/relationships/hyperlink" Target="https://www.inaturalist.org/observations/380739308" TargetMode="External"/><Relationship Id="rId1931" Type="http://schemas.openxmlformats.org/officeDocument/2006/relationships/hyperlink" Target="https://creativecommons.org/licenses/by-nc/4.0/" TargetMode="External"/><Relationship Id="rId1932" Type="http://schemas.openxmlformats.org/officeDocument/2006/relationships/hyperlink" Target="https://www.inaturalist.org/observations/380732045" TargetMode="External"/><Relationship Id="rId1933" Type="http://schemas.openxmlformats.org/officeDocument/2006/relationships/hyperlink" Target="https://creativecommons.org/licenses/by-nc/4.0/" TargetMode="External"/><Relationship Id="rId1934" Type="http://schemas.openxmlformats.org/officeDocument/2006/relationships/hyperlink" Target="https://www.inaturalist.org/observations/380724028" TargetMode="External"/><Relationship Id="rId1935" Type="http://schemas.openxmlformats.org/officeDocument/2006/relationships/hyperlink" Target="https://creativecommons.org/licenses/by-nc/4.0/" TargetMode="External"/><Relationship Id="rId1936" Type="http://schemas.openxmlformats.org/officeDocument/2006/relationships/hyperlink" Target="https://www.inaturalist.org/observations/380707382" TargetMode="External"/><Relationship Id="rId1937" Type="http://schemas.openxmlformats.org/officeDocument/2006/relationships/hyperlink" Target="https://creativecommons.org/licenses/by-nc/4.0/" TargetMode="External"/><Relationship Id="rId1938" Type="http://schemas.openxmlformats.org/officeDocument/2006/relationships/hyperlink" Target="https://www.inaturalist.org/observations/380693753" TargetMode="External"/><Relationship Id="rId1939" Type="http://schemas.openxmlformats.org/officeDocument/2006/relationships/hyperlink" Target="https://creativecommons.org/licenses/by-nc/4.0/" TargetMode="External"/><Relationship Id="rId1940" Type="http://schemas.openxmlformats.org/officeDocument/2006/relationships/hyperlink" Target="https://www.inaturalist.org/observations/380679672" TargetMode="External"/><Relationship Id="rId1941" Type="http://schemas.openxmlformats.org/officeDocument/2006/relationships/hyperlink" Target="https://creativecommons.org/licenses/by-nc/4.0/" TargetMode="External"/><Relationship Id="rId1942" Type="http://schemas.openxmlformats.org/officeDocument/2006/relationships/hyperlink" Target="https://www.inaturalist.org/observations/380664556" TargetMode="External"/><Relationship Id="rId1943" Type="http://schemas.openxmlformats.org/officeDocument/2006/relationships/hyperlink" Target="https://creativecommons.org/licenses/by-nc/4.0/" TargetMode="External"/><Relationship Id="rId1944" Type="http://schemas.openxmlformats.org/officeDocument/2006/relationships/hyperlink" Target="https://www.inaturalist.org/observations/380664520" TargetMode="External"/><Relationship Id="rId1945" Type="http://schemas.openxmlformats.org/officeDocument/2006/relationships/hyperlink" Target="https://creativecommons.org/licenses/by-nc/4.0/" TargetMode="External"/><Relationship Id="rId1946" Type="http://schemas.openxmlformats.org/officeDocument/2006/relationships/hyperlink" Target="https://www.inaturalist.org/observations/380664377" TargetMode="External"/><Relationship Id="rId1947" Type="http://schemas.openxmlformats.org/officeDocument/2006/relationships/hyperlink" Target="https://creativecommons.org/licenses/by-nc/4.0/" TargetMode="External"/><Relationship Id="rId1948" Type="http://schemas.openxmlformats.org/officeDocument/2006/relationships/hyperlink" Target="https://www.inaturalist.org/observations/380661086" TargetMode="External"/><Relationship Id="rId1949" Type="http://schemas.openxmlformats.org/officeDocument/2006/relationships/hyperlink" Target="https://creativecommons.org/licenses/by-nc/4.0/" TargetMode="External"/><Relationship Id="rId1950" Type="http://schemas.openxmlformats.org/officeDocument/2006/relationships/hyperlink" Target="https://www.inaturalist.org/observations/380611472" TargetMode="External"/><Relationship Id="rId1951" Type="http://schemas.openxmlformats.org/officeDocument/2006/relationships/hyperlink" Target="https://creativecommons.org/licenses/by-nc/4.0/" TargetMode="External"/><Relationship Id="rId1952" Type="http://schemas.openxmlformats.org/officeDocument/2006/relationships/hyperlink" Target="https://www.inaturalist.org/observations/380530199" TargetMode="External"/><Relationship Id="rId1953" Type="http://schemas.openxmlformats.org/officeDocument/2006/relationships/hyperlink" Target="https://creativecommons.org/licenses/by-nc/4.0/" TargetMode="External"/><Relationship Id="rId1954" Type="http://schemas.openxmlformats.org/officeDocument/2006/relationships/hyperlink" Target="https://www.inaturalist.org/observations/380491645" TargetMode="External"/><Relationship Id="rId1955" Type="http://schemas.openxmlformats.org/officeDocument/2006/relationships/hyperlink" Target="https://creativecommons.org/licenses/by-nc/4.0/" TargetMode="External"/><Relationship Id="rId1956" Type="http://schemas.openxmlformats.org/officeDocument/2006/relationships/hyperlink" Target="https://www.inaturalist.org/observations/380458789" TargetMode="External"/><Relationship Id="rId1957" Type="http://schemas.openxmlformats.org/officeDocument/2006/relationships/hyperlink" Target="https://creativecommons.org/licenses/by-nc/4.0/" TargetMode="External"/><Relationship Id="rId1958" Type="http://schemas.openxmlformats.org/officeDocument/2006/relationships/hyperlink" Target="https://www.inaturalist.org/observations/380453854" TargetMode="External"/><Relationship Id="rId1959" Type="http://schemas.openxmlformats.org/officeDocument/2006/relationships/hyperlink" Target="https://creativecommons.org/licenses/by-nc/4.0/" TargetMode="External"/><Relationship Id="rId1960" Type="http://schemas.openxmlformats.org/officeDocument/2006/relationships/hyperlink" Target="https://www.inaturalist.org/observations/380425197" TargetMode="External"/><Relationship Id="rId1961" Type="http://schemas.openxmlformats.org/officeDocument/2006/relationships/hyperlink" Target="https://creativecommons.org/licenses/by-nc/4.0/" TargetMode="External"/><Relationship Id="rId1962" Type="http://schemas.openxmlformats.org/officeDocument/2006/relationships/hyperlink" Target="https://www.inaturalist.org/observations/380394735" TargetMode="External"/><Relationship Id="rId1963" Type="http://schemas.openxmlformats.org/officeDocument/2006/relationships/hyperlink" Target="https://creativecommons.org/licenses/by-nc/4.0/" TargetMode="External"/><Relationship Id="rId1964" Type="http://schemas.openxmlformats.org/officeDocument/2006/relationships/hyperlink" Target="https://www.inaturalist.org/observations/380304846" TargetMode="External"/><Relationship Id="rId1965" Type="http://schemas.openxmlformats.org/officeDocument/2006/relationships/hyperlink" Target="https://creativecommons.org/licenses/by-nc/4.0/" TargetMode="External"/><Relationship Id="rId1966" Type="http://schemas.openxmlformats.org/officeDocument/2006/relationships/hyperlink" Target="https://www.inaturalist.org/observations/380296045" TargetMode="External"/><Relationship Id="rId1967" Type="http://schemas.openxmlformats.org/officeDocument/2006/relationships/hyperlink" Target="https://creativecommons.org/licenses/by-nc/4.0/" TargetMode="External"/><Relationship Id="rId1968" Type="http://schemas.openxmlformats.org/officeDocument/2006/relationships/hyperlink" Target="https://www.inaturalist.org/observations/380286642" TargetMode="External"/><Relationship Id="rId1969" Type="http://schemas.openxmlformats.org/officeDocument/2006/relationships/hyperlink" Target="https://creativecommons.org/licenses/by-nc/4.0/" TargetMode="External"/><Relationship Id="rId1970" Type="http://schemas.openxmlformats.org/officeDocument/2006/relationships/hyperlink" Target="https://www.inaturalist.org/observations/380254260" TargetMode="External"/><Relationship Id="rId1971" Type="http://schemas.openxmlformats.org/officeDocument/2006/relationships/hyperlink" Target="https://creativecommons.org/licenses/by-nc/4.0/" TargetMode="External"/><Relationship Id="rId1972" Type="http://schemas.openxmlformats.org/officeDocument/2006/relationships/hyperlink" Target="https://www.inaturalist.org/observations/380236920" TargetMode="External"/><Relationship Id="rId1973" Type="http://schemas.openxmlformats.org/officeDocument/2006/relationships/hyperlink" Target="https://creativecommons.org/licenses/by-nc/4.0/" TargetMode="External"/><Relationship Id="rId1974" Type="http://schemas.openxmlformats.org/officeDocument/2006/relationships/hyperlink" Target="https://www.inaturalist.org/observations/380236215" TargetMode="External"/><Relationship Id="rId1975" Type="http://schemas.openxmlformats.org/officeDocument/2006/relationships/hyperlink" Target="https://creativecommons.org/licenses/by-nc/4.0/" TargetMode="External"/><Relationship Id="rId1976" Type="http://schemas.openxmlformats.org/officeDocument/2006/relationships/hyperlink" Target="https://www.inaturalist.org/observations/380231099" TargetMode="External"/><Relationship Id="rId1977" Type="http://schemas.openxmlformats.org/officeDocument/2006/relationships/hyperlink" Target="https://creativecommons.org/licenses/by-nc/4.0/" TargetMode="External"/><Relationship Id="rId1978" Type="http://schemas.openxmlformats.org/officeDocument/2006/relationships/hyperlink" Target="https://www.inaturalist.org/observations/380229973" TargetMode="External"/><Relationship Id="rId1979" Type="http://schemas.openxmlformats.org/officeDocument/2006/relationships/hyperlink" Target="https://creativecommons.org/licenses/by-nc/4.0/" TargetMode="External"/><Relationship Id="rId1980" Type="http://schemas.openxmlformats.org/officeDocument/2006/relationships/hyperlink" Target="https://www.inaturalist.org/observations/380217575" TargetMode="External"/><Relationship Id="rId1981" Type="http://schemas.openxmlformats.org/officeDocument/2006/relationships/hyperlink" Target="https://creativecommons.org/licenses/by-nc/4.0/" TargetMode="External"/><Relationship Id="rId1982" Type="http://schemas.openxmlformats.org/officeDocument/2006/relationships/hyperlink" Target="https://www.inaturalist.org/observations/380146736" TargetMode="External"/><Relationship Id="rId1983" Type="http://schemas.openxmlformats.org/officeDocument/2006/relationships/hyperlink" Target="https://creativecommons.org/licenses/by-nc/4.0/" TargetMode="External"/><Relationship Id="rId1984" Type="http://schemas.openxmlformats.org/officeDocument/2006/relationships/hyperlink" Target="https://www.inaturalist.org/observations/380146692" TargetMode="External"/><Relationship Id="rId1985" Type="http://schemas.openxmlformats.org/officeDocument/2006/relationships/hyperlink" Target="https://creativecommons.org/licenses/by-nc/4.0/" TargetMode="External"/><Relationship Id="rId1986" Type="http://schemas.openxmlformats.org/officeDocument/2006/relationships/hyperlink" Target="https://www.inaturalist.org/observations/380107430" TargetMode="External"/><Relationship Id="rId1987" Type="http://schemas.openxmlformats.org/officeDocument/2006/relationships/hyperlink" Target="https://creativecommons.org/licenses/by-nc/4.0/" TargetMode="External"/><Relationship Id="rId1988" Type="http://schemas.openxmlformats.org/officeDocument/2006/relationships/hyperlink" Target="https://www.inaturalist.org/observations/380100580" TargetMode="External"/><Relationship Id="rId1989" Type="http://schemas.openxmlformats.org/officeDocument/2006/relationships/hyperlink" Target="https://creativecommons.org/licenses/by-nc/4.0/" TargetMode="External"/><Relationship Id="rId1990" Type="http://schemas.openxmlformats.org/officeDocument/2006/relationships/hyperlink" Target="https://www.inaturalist.org/observations/380094073" TargetMode="External"/><Relationship Id="rId1991" Type="http://schemas.openxmlformats.org/officeDocument/2006/relationships/hyperlink" Target="https://creativecommons.org/licenses/by-nc/4.0/" TargetMode="External"/><Relationship Id="rId1992" Type="http://schemas.openxmlformats.org/officeDocument/2006/relationships/hyperlink" Target="https://www.inaturalist.org/observations/380075651" TargetMode="External"/><Relationship Id="rId1993" Type="http://schemas.openxmlformats.org/officeDocument/2006/relationships/hyperlink" Target="https://creativecommons.org/licenses/by-nc/4.0/" TargetMode="External"/><Relationship Id="rId1994" Type="http://schemas.openxmlformats.org/officeDocument/2006/relationships/hyperlink" Target="https://www.inaturalist.org/observations/380072510" TargetMode="External"/><Relationship Id="rId1995" Type="http://schemas.openxmlformats.org/officeDocument/2006/relationships/hyperlink" Target="https://creativecommons.org/licenses/by-nc/4.0/" TargetMode="External"/><Relationship Id="rId1996" Type="http://schemas.openxmlformats.org/officeDocument/2006/relationships/hyperlink" Target="https://www.inaturalist.org/observations/380053957" TargetMode="External"/><Relationship Id="rId1997" Type="http://schemas.openxmlformats.org/officeDocument/2006/relationships/hyperlink" Target="https://creativecommons.org/licenses/by-nc/4.0/" TargetMode="External"/><Relationship Id="rId1998" Type="http://schemas.openxmlformats.org/officeDocument/2006/relationships/hyperlink" Target="https://www.inaturalist.org/observations/380039690" TargetMode="External"/><Relationship Id="rId1999" Type="http://schemas.openxmlformats.org/officeDocument/2006/relationships/hyperlink" Target="https://creativecommons.org/licenses/by-nc/4.0/" TargetMode="External"/><Relationship Id="rId2000" Type="http://schemas.openxmlformats.org/officeDocument/2006/relationships/hyperlink" Target="https://www.inaturalist.org/observations/380020428" TargetMode="External"/><Relationship Id="rId2001" Type="http://schemas.openxmlformats.org/officeDocument/2006/relationships/hyperlink" Target="https://creativecommons.org/licenses/by-nc/4.0/" TargetMode="External"/><Relationship Id="rId2002" Type="http://schemas.openxmlformats.org/officeDocument/2006/relationships/hyperlink" Target="https://www.inaturalist.org/observations/383176378" TargetMode="External"/><Relationship Id="rId2003" Type="http://schemas.openxmlformats.org/officeDocument/2006/relationships/hyperlink" Target="https://creativecommons.org/licenses/by-nc/4.0/" TargetMode="External"/><Relationship Id="rId2004" Type="http://schemas.openxmlformats.org/officeDocument/2006/relationships/hyperlink" Target="https://www.inaturalist.org/observations/383176034" TargetMode="External"/><Relationship Id="rId2005" Type="http://schemas.openxmlformats.org/officeDocument/2006/relationships/hyperlink" Target="https://creativecommons.org/licenses/by-nc/4.0/" TargetMode="External"/><Relationship Id="rId2006" Type="http://schemas.openxmlformats.org/officeDocument/2006/relationships/hyperlink" Target="https://www.inaturalist.org/observations/383175948" TargetMode="External"/><Relationship Id="rId2007" Type="http://schemas.openxmlformats.org/officeDocument/2006/relationships/hyperlink" Target="https://creativecommons.org/licenses/by-nc/4.0/" TargetMode="External"/><Relationship Id="rId2008" Type="http://schemas.openxmlformats.org/officeDocument/2006/relationships/hyperlink" Target="https://www.inaturalist.org/observations/383175815" TargetMode="External"/><Relationship Id="rId2009" Type="http://schemas.openxmlformats.org/officeDocument/2006/relationships/hyperlink" Target="https://creativecommons.org/licenses/by-nc/4.0/" TargetMode="External"/><Relationship Id="rId2010" Type="http://schemas.openxmlformats.org/officeDocument/2006/relationships/hyperlink" Target="https://www.inaturalist.org/observations/383175395" TargetMode="External"/><Relationship Id="rId2011" Type="http://schemas.openxmlformats.org/officeDocument/2006/relationships/hyperlink" Target="https://creativecommons.org/licenses/by-nc/4.0/" TargetMode="External"/><Relationship Id="rId2012" Type="http://schemas.openxmlformats.org/officeDocument/2006/relationships/hyperlink" Target="https://www.inaturalist.org/observations/383175389" TargetMode="External"/><Relationship Id="rId2013" Type="http://schemas.openxmlformats.org/officeDocument/2006/relationships/hyperlink" Target="https://creativecommons.org/licenses/by-nc/4.0/" TargetMode="External"/><Relationship Id="rId2014" Type="http://schemas.openxmlformats.org/officeDocument/2006/relationships/hyperlink" Target="https://www.inaturalist.org/observations/383175371" TargetMode="External"/><Relationship Id="rId2015" Type="http://schemas.openxmlformats.org/officeDocument/2006/relationships/hyperlink" Target="https://creativecommons.org/licenses/by-nc/4.0/" TargetMode="External"/><Relationship Id="rId2016" Type="http://schemas.openxmlformats.org/officeDocument/2006/relationships/hyperlink" Target="https://www.inaturalist.org/observations/383175297" TargetMode="External"/><Relationship Id="rId2017" Type="http://schemas.openxmlformats.org/officeDocument/2006/relationships/hyperlink" Target="https://creativecommons.org/licenses/by-nc/4.0/" TargetMode="External"/><Relationship Id="rId2018" Type="http://schemas.openxmlformats.org/officeDocument/2006/relationships/hyperlink" Target="https://www.inaturalist.org/observations/383175025" TargetMode="External"/><Relationship Id="rId2019" Type="http://schemas.openxmlformats.org/officeDocument/2006/relationships/hyperlink" Target="https://creativecommons.org/licenses/by-nc/4.0/" TargetMode="External"/><Relationship Id="rId2020" Type="http://schemas.openxmlformats.org/officeDocument/2006/relationships/hyperlink" Target="https://www.inaturalist.org/observations/383174979" TargetMode="External"/><Relationship Id="rId2021" Type="http://schemas.openxmlformats.org/officeDocument/2006/relationships/hyperlink" Target="https://creativecommons.org/licenses/by-nc/4.0/" TargetMode="External"/><Relationship Id="rId2022" Type="http://schemas.openxmlformats.org/officeDocument/2006/relationships/hyperlink" Target="https://www.inaturalist.org/observations/383174955" TargetMode="External"/><Relationship Id="rId2023" Type="http://schemas.openxmlformats.org/officeDocument/2006/relationships/hyperlink" Target="https://creativecommons.org/licenses/by-nc/4.0/" TargetMode="External"/><Relationship Id="rId2024" Type="http://schemas.openxmlformats.org/officeDocument/2006/relationships/hyperlink" Target="https://www.inaturalist.org/observations/383174834" TargetMode="External"/><Relationship Id="rId2025" Type="http://schemas.openxmlformats.org/officeDocument/2006/relationships/hyperlink" Target="https://creativecommons.org/licenses/by-nc/4.0/" TargetMode="External"/><Relationship Id="rId2026" Type="http://schemas.openxmlformats.org/officeDocument/2006/relationships/hyperlink" Target="https://www.inaturalist.org/observations/383174720" TargetMode="External"/><Relationship Id="rId2027" Type="http://schemas.openxmlformats.org/officeDocument/2006/relationships/hyperlink" Target="https://creativecommons.org/licenses/by-nc/4.0/" TargetMode="External"/><Relationship Id="rId2028" Type="http://schemas.openxmlformats.org/officeDocument/2006/relationships/hyperlink" Target="https://www.inaturalist.org/observations/383174187" TargetMode="External"/><Relationship Id="rId2029" Type="http://schemas.openxmlformats.org/officeDocument/2006/relationships/hyperlink" Target="https://creativecommons.org/licenses/by-nc/4.0/" TargetMode="External"/><Relationship Id="rId2030" Type="http://schemas.openxmlformats.org/officeDocument/2006/relationships/hyperlink" Target="https://www.inaturalist.org/observations/383174043" TargetMode="External"/><Relationship Id="rId2031" Type="http://schemas.openxmlformats.org/officeDocument/2006/relationships/hyperlink" Target="https://creativecommons.org/licenses/by-nc/4.0/" TargetMode="External"/><Relationship Id="rId2032" Type="http://schemas.openxmlformats.org/officeDocument/2006/relationships/hyperlink" Target="https://www.inaturalist.org/observations/383173833" TargetMode="External"/><Relationship Id="rId2033" Type="http://schemas.openxmlformats.org/officeDocument/2006/relationships/hyperlink" Target="https://creativecommons.org/licenses/by-nc/4.0/" TargetMode="External"/><Relationship Id="rId2034" Type="http://schemas.openxmlformats.org/officeDocument/2006/relationships/hyperlink" Target="https://www.inaturalist.org/observations/383173766" TargetMode="External"/><Relationship Id="rId2035" Type="http://schemas.openxmlformats.org/officeDocument/2006/relationships/hyperlink" Target="https://creativecommons.org/licenses/by-nc/4.0/" TargetMode="External"/><Relationship Id="rId2036" Type="http://schemas.openxmlformats.org/officeDocument/2006/relationships/hyperlink" Target="https://www.inaturalist.org/observations/383173727" TargetMode="External"/><Relationship Id="rId2037" Type="http://schemas.openxmlformats.org/officeDocument/2006/relationships/hyperlink" Target="https://creativecommons.org/licenses/by-nc/4.0/" TargetMode="External"/><Relationship Id="rId2038" Type="http://schemas.openxmlformats.org/officeDocument/2006/relationships/hyperlink" Target="https://www.inaturalist.org/observations/383173120" TargetMode="External"/><Relationship Id="rId2039" Type="http://schemas.openxmlformats.org/officeDocument/2006/relationships/hyperlink" Target="https://creativecommons.org/licenses/by-nc/4.0/" TargetMode="External"/><Relationship Id="rId2040" Type="http://schemas.openxmlformats.org/officeDocument/2006/relationships/hyperlink" Target="https://www.inaturalist.org/observations/383173080" TargetMode="External"/><Relationship Id="rId2041" Type="http://schemas.openxmlformats.org/officeDocument/2006/relationships/hyperlink" Target="https://creativecommons.org/licenses/by-nc/4.0/" TargetMode="External"/><Relationship Id="rId2042" Type="http://schemas.openxmlformats.org/officeDocument/2006/relationships/hyperlink" Target="https://www.inaturalist.org/observations/383173075" TargetMode="External"/><Relationship Id="rId2043" Type="http://schemas.openxmlformats.org/officeDocument/2006/relationships/hyperlink" Target="https://creativecommons.org/licenses/by-nc/4.0/" TargetMode="External"/><Relationship Id="rId2044" Type="http://schemas.openxmlformats.org/officeDocument/2006/relationships/hyperlink" Target="https://www.inaturalist.org/observations/383173070" TargetMode="External"/><Relationship Id="rId2045" Type="http://schemas.openxmlformats.org/officeDocument/2006/relationships/hyperlink" Target="https://creativecommons.org/licenses/by-nc/4.0/" TargetMode="External"/><Relationship Id="rId2046" Type="http://schemas.openxmlformats.org/officeDocument/2006/relationships/hyperlink" Target="https://www.inaturalist.org/observations/383172957" TargetMode="External"/><Relationship Id="rId2047" Type="http://schemas.openxmlformats.org/officeDocument/2006/relationships/hyperlink" Target="https://creativecommons.org/licenses/by-nc/4.0/" TargetMode="External"/><Relationship Id="rId2048" Type="http://schemas.openxmlformats.org/officeDocument/2006/relationships/hyperlink" Target="https://www.inaturalist.org/observations/383172887" TargetMode="External"/><Relationship Id="rId2049" Type="http://schemas.openxmlformats.org/officeDocument/2006/relationships/hyperlink" Target="https://creativecommons.org/licenses/by-nc/4.0/" TargetMode="External"/><Relationship Id="rId2050" Type="http://schemas.openxmlformats.org/officeDocument/2006/relationships/hyperlink" Target="https://www.inaturalist.org/observations/383172882" TargetMode="External"/><Relationship Id="rId2051" Type="http://schemas.openxmlformats.org/officeDocument/2006/relationships/hyperlink" Target="https://creativecommons.org/licenses/by-nc/4.0/" TargetMode="External"/><Relationship Id="rId2052" Type="http://schemas.openxmlformats.org/officeDocument/2006/relationships/hyperlink" Target="https://www.inaturalist.org/observations/383172876" TargetMode="External"/><Relationship Id="rId2053" Type="http://schemas.openxmlformats.org/officeDocument/2006/relationships/hyperlink" Target="https://creativecommons.org/licenses/by-nc/4.0/" TargetMode="External"/><Relationship Id="rId2054" Type="http://schemas.openxmlformats.org/officeDocument/2006/relationships/hyperlink" Target="https://www.inaturalist.org/observations/383172875" TargetMode="External"/><Relationship Id="rId2055" Type="http://schemas.openxmlformats.org/officeDocument/2006/relationships/hyperlink" Target="https://creativecommons.org/licenses/by-nc/4.0/" TargetMode="External"/><Relationship Id="rId2056" Type="http://schemas.openxmlformats.org/officeDocument/2006/relationships/hyperlink" Target="https://www.inaturalist.org/observations/383172850" TargetMode="External"/><Relationship Id="rId2057" Type="http://schemas.openxmlformats.org/officeDocument/2006/relationships/hyperlink" Target="https://creativecommons.org/licenses/by-nc/4.0/" TargetMode="External"/><Relationship Id="rId2058" Type="http://schemas.openxmlformats.org/officeDocument/2006/relationships/hyperlink" Target="https://www.inaturalist.org/observations/383172845" TargetMode="External"/><Relationship Id="rId2059" Type="http://schemas.openxmlformats.org/officeDocument/2006/relationships/hyperlink" Target="https://creativecommons.org/licenses/by-nc/4.0/" TargetMode="External"/><Relationship Id="rId2060" Type="http://schemas.openxmlformats.org/officeDocument/2006/relationships/hyperlink" Target="https://www.inaturalist.org/observations/383172837" TargetMode="External"/><Relationship Id="rId2061" Type="http://schemas.openxmlformats.org/officeDocument/2006/relationships/hyperlink" Target="https://creativecommons.org/licenses/by-nc/4.0/" TargetMode="External"/><Relationship Id="rId2062" Type="http://schemas.openxmlformats.org/officeDocument/2006/relationships/hyperlink" Target="https://www.inaturalist.org/observations/383172835" TargetMode="External"/><Relationship Id="rId2063" Type="http://schemas.openxmlformats.org/officeDocument/2006/relationships/hyperlink" Target="https://creativecommons.org/licenses/by-nc/4.0/" TargetMode="External"/><Relationship Id="rId2064" Type="http://schemas.openxmlformats.org/officeDocument/2006/relationships/hyperlink" Target="https://www.inaturalist.org/observations/383172826" TargetMode="External"/><Relationship Id="rId2065" Type="http://schemas.openxmlformats.org/officeDocument/2006/relationships/hyperlink" Target="https://creativecommons.org/licenses/by-nc/4.0/" TargetMode="External"/><Relationship Id="rId2066" Type="http://schemas.openxmlformats.org/officeDocument/2006/relationships/hyperlink" Target="https://www.inaturalist.org/observations/383172825" TargetMode="External"/><Relationship Id="rId2067" Type="http://schemas.openxmlformats.org/officeDocument/2006/relationships/hyperlink" Target="https://creativecommons.org/licenses/by-nc/4.0/" TargetMode="External"/><Relationship Id="rId2068" Type="http://schemas.openxmlformats.org/officeDocument/2006/relationships/hyperlink" Target="https://www.inaturalist.org/observations/383172819" TargetMode="External"/><Relationship Id="rId2069" Type="http://schemas.openxmlformats.org/officeDocument/2006/relationships/hyperlink" Target="https://creativecommons.org/licenses/by-nc/4.0/" TargetMode="External"/><Relationship Id="rId2070" Type="http://schemas.openxmlformats.org/officeDocument/2006/relationships/hyperlink" Target="https://www.inaturalist.org/observations/383172797" TargetMode="External"/><Relationship Id="rId2071" Type="http://schemas.openxmlformats.org/officeDocument/2006/relationships/hyperlink" Target="https://creativecommons.org/licenses/by-nc/4.0/" TargetMode="External"/><Relationship Id="rId2072" Type="http://schemas.openxmlformats.org/officeDocument/2006/relationships/hyperlink" Target="https://www.inaturalist.org/observations/383172796" TargetMode="External"/><Relationship Id="rId2073" Type="http://schemas.openxmlformats.org/officeDocument/2006/relationships/hyperlink" Target="https://creativecommons.org/licenses/by-nc/4.0/" TargetMode="External"/><Relationship Id="rId2074" Type="http://schemas.openxmlformats.org/officeDocument/2006/relationships/hyperlink" Target="https://www.inaturalist.org/observations/383172770" TargetMode="External"/><Relationship Id="rId2075" Type="http://schemas.openxmlformats.org/officeDocument/2006/relationships/hyperlink" Target="https://creativecommons.org/licenses/by-nc/4.0/" TargetMode="External"/><Relationship Id="rId2076" Type="http://schemas.openxmlformats.org/officeDocument/2006/relationships/hyperlink" Target="https://www.inaturalist.org/observations/383172559" TargetMode="External"/><Relationship Id="rId2077" Type="http://schemas.openxmlformats.org/officeDocument/2006/relationships/hyperlink" Target="https://creativecommons.org/licenses/by-nc/4.0/" TargetMode="External"/><Relationship Id="rId2078" Type="http://schemas.openxmlformats.org/officeDocument/2006/relationships/hyperlink" Target="https://www.inaturalist.org/observations/383172481" TargetMode="External"/><Relationship Id="rId2079" Type="http://schemas.openxmlformats.org/officeDocument/2006/relationships/hyperlink" Target="https://creativecommons.org/licenses/by-nc/4.0/" TargetMode="External"/><Relationship Id="rId2080" Type="http://schemas.openxmlformats.org/officeDocument/2006/relationships/hyperlink" Target="https://www.inaturalist.org/observations/383172390" TargetMode="External"/><Relationship Id="rId2081" Type="http://schemas.openxmlformats.org/officeDocument/2006/relationships/hyperlink" Target="https://creativecommons.org/licenses/by-nc/4.0/" TargetMode="External"/><Relationship Id="rId2082" Type="http://schemas.openxmlformats.org/officeDocument/2006/relationships/hyperlink" Target="https://www.inaturalist.org/observations/383172246" TargetMode="External"/><Relationship Id="rId2083" Type="http://schemas.openxmlformats.org/officeDocument/2006/relationships/hyperlink" Target="https://creativecommons.org/licenses/by-nc/4.0/" TargetMode="External"/><Relationship Id="rId2084" Type="http://schemas.openxmlformats.org/officeDocument/2006/relationships/hyperlink" Target="https://www.inaturalist.org/observations/383171787" TargetMode="External"/><Relationship Id="rId2085" Type="http://schemas.openxmlformats.org/officeDocument/2006/relationships/hyperlink" Target="https://creativecommons.org/licenses/by-nc/4.0/" TargetMode="External"/><Relationship Id="rId2086" Type="http://schemas.openxmlformats.org/officeDocument/2006/relationships/hyperlink" Target="https://www.inaturalist.org/observations/383171782" TargetMode="External"/><Relationship Id="rId2087" Type="http://schemas.openxmlformats.org/officeDocument/2006/relationships/hyperlink" Target="https://creativecommons.org/licenses/by-nc/4.0/" TargetMode="External"/><Relationship Id="rId2088" Type="http://schemas.openxmlformats.org/officeDocument/2006/relationships/hyperlink" Target="https://www.inaturalist.org/observations/383171659" TargetMode="External"/><Relationship Id="rId2089" Type="http://schemas.openxmlformats.org/officeDocument/2006/relationships/hyperlink" Target="https://creativecommons.org/licenses/by-nc/4.0/" TargetMode="External"/><Relationship Id="rId2090" Type="http://schemas.openxmlformats.org/officeDocument/2006/relationships/hyperlink" Target="https://www.inaturalist.org/observations/383171647" TargetMode="External"/><Relationship Id="rId2091" Type="http://schemas.openxmlformats.org/officeDocument/2006/relationships/hyperlink" Target="https://creativecommons.org/licenses/by-nc/4.0/" TargetMode="External"/><Relationship Id="rId2092" Type="http://schemas.openxmlformats.org/officeDocument/2006/relationships/hyperlink" Target="https://www.inaturalist.org/observations/383171590" TargetMode="External"/><Relationship Id="rId2093" Type="http://schemas.openxmlformats.org/officeDocument/2006/relationships/hyperlink" Target="https://creativecommons.org/licenses/by-nc/4.0/" TargetMode="External"/><Relationship Id="rId2094" Type="http://schemas.openxmlformats.org/officeDocument/2006/relationships/hyperlink" Target="https://www.inaturalist.org/observations/383171574" TargetMode="External"/><Relationship Id="rId2095" Type="http://schemas.openxmlformats.org/officeDocument/2006/relationships/hyperlink" Target="https://creativecommons.org/licenses/by-nc/4.0/" TargetMode="External"/><Relationship Id="rId2096" Type="http://schemas.openxmlformats.org/officeDocument/2006/relationships/hyperlink" Target="https://www.inaturalist.org/observations/383171564" TargetMode="External"/><Relationship Id="rId2097" Type="http://schemas.openxmlformats.org/officeDocument/2006/relationships/hyperlink" Target="https://creativecommons.org/licenses/by-nc/4.0/" TargetMode="External"/><Relationship Id="rId2098" Type="http://schemas.openxmlformats.org/officeDocument/2006/relationships/hyperlink" Target="https://www.inaturalist.org/observations/383171284" TargetMode="External"/><Relationship Id="rId2099" Type="http://schemas.openxmlformats.org/officeDocument/2006/relationships/hyperlink" Target="https://creativecommons.org/licenses/by-nc/4.0/" TargetMode="External"/><Relationship Id="rId2100" Type="http://schemas.openxmlformats.org/officeDocument/2006/relationships/hyperlink" Target="https://www.inaturalist.org/observations/383171151" TargetMode="External"/><Relationship Id="rId2101" Type="http://schemas.openxmlformats.org/officeDocument/2006/relationships/hyperlink" Target="https://creativecommons.org/licenses/by-nc/4.0/" TargetMode="External"/><Relationship Id="rId2102" Type="http://schemas.openxmlformats.org/officeDocument/2006/relationships/hyperlink" Target="https://www.inaturalist.org/observations/383171150" TargetMode="External"/><Relationship Id="rId2103" Type="http://schemas.openxmlformats.org/officeDocument/2006/relationships/hyperlink" Target="https://creativecommons.org/licenses/by-nc/4.0/" TargetMode="External"/><Relationship Id="rId2104" Type="http://schemas.openxmlformats.org/officeDocument/2006/relationships/hyperlink" Target="https://www.inaturalist.org/observations/383171149" TargetMode="External"/><Relationship Id="rId2105" Type="http://schemas.openxmlformats.org/officeDocument/2006/relationships/hyperlink" Target="https://creativecommons.org/licenses/by-nc/4.0/" TargetMode="External"/><Relationship Id="rId2106" Type="http://schemas.openxmlformats.org/officeDocument/2006/relationships/hyperlink" Target="https://www.inaturalist.org/observations/383171140" TargetMode="External"/><Relationship Id="rId2107" Type="http://schemas.openxmlformats.org/officeDocument/2006/relationships/hyperlink" Target="https://creativecommons.org/licenses/by-nc/4.0/" TargetMode="External"/><Relationship Id="rId2108" Type="http://schemas.openxmlformats.org/officeDocument/2006/relationships/hyperlink" Target="https://www.inaturalist.org/observations/383171137" TargetMode="External"/><Relationship Id="rId2109" Type="http://schemas.openxmlformats.org/officeDocument/2006/relationships/hyperlink" Target="https://creativecommons.org/licenses/by-nc/4.0/" TargetMode="External"/><Relationship Id="rId2110" Type="http://schemas.openxmlformats.org/officeDocument/2006/relationships/hyperlink" Target="https://www.inaturalist.org/observations/383171013" TargetMode="External"/><Relationship Id="rId2111" Type="http://schemas.openxmlformats.org/officeDocument/2006/relationships/hyperlink" Target="https://creativecommons.org/licenses/by-nc/4.0/" TargetMode="External"/><Relationship Id="rId2112" Type="http://schemas.openxmlformats.org/officeDocument/2006/relationships/hyperlink" Target="https://www.inaturalist.org/observations/383170871" TargetMode="External"/><Relationship Id="rId2113" Type="http://schemas.openxmlformats.org/officeDocument/2006/relationships/hyperlink" Target="https://creativecommons.org/licenses/by-nc/4.0/" TargetMode="External"/><Relationship Id="rId2114" Type="http://schemas.openxmlformats.org/officeDocument/2006/relationships/hyperlink" Target="https://www.inaturalist.org/observations/383170848" TargetMode="External"/><Relationship Id="rId2115" Type="http://schemas.openxmlformats.org/officeDocument/2006/relationships/hyperlink" Target="https://creativecommons.org/licenses/by-nc/4.0/" TargetMode="External"/><Relationship Id="rId2116" Type="http://schemas.openxmlformats.org/officeDocument/2006/relationships/hyperlink" Target="https://www.inaturalist.org/observations/383170707" TargetMode="External"/><Relationship Id="rId2117" Type="http://schemas.openxmlformats.org/officeDocument/2006/relationships/hyperlink" Target="https://creativecommons.org/licenses/by-nc/4.0/" TargetMode="External"/><Relationship Id="rId2118" Type="http://schemas.openxmlformats.org/officeDocument/2006/relationships/hyperlink" Target="https://www.inaturalist.org/observations/383170623" TargetMode="External"/><Relationship Id="rId2119" Type="http://schemas.openxmlformats.org/officeDocument/2006/relationships/hyperlink" Target="https://creativecommons.org/licenses/by-nc/4.0/" TargetMode="External"/><Relationship Id="rId2120" Type="http://schemas.openxmlformats.org/officeDocument/2006/relationships/hyperlink" Target="https://www.inaturalist.org/observations/383170517" TargetMode="External"/><Relationship Id="rId2121" Type="http://schemas.openxmlformats.org/officeDocument/2006/relationships/hyperlink" Target="https://creativecommons.org/licenses/by-nc/4.0/" TargetMode="External"/><Relationship Id="rId2122" Type="http://schemas.openxmlformats.org/officeDocument/2006/relationships/hyperlink" Target="https://www.inaturalist.org/observations/383170504" TargetMode="External"/><Relationship Id="rId2123" Type="http://schemas.openxmlformats.org/officeDocument/2006/relationships/hyperlink" Target="https://creativecommons.org/licenses/by-nc/4.0/" TargetMode="External"/><Relationship Id="rId2124" Type="http://schemas.openxmlformats.org/officeDocument/2006/relationships/hyperlink" Target="https://www.inaturalist.org/observations/383170426" TargetMode="External"/><Relationship Id="rId2125" Type="http://schemas.openxmlformats.org/officeDocument/2006/relationships/hyperlink" Target="https://creativecommons.org/licenses/by-nc/4.0/" TargetMode="External"/><Relationship Id="rId2126" Type="http://schemas.openxmlformats.org/officeDocument/2006/relationships/hyperlink" Target="https://www.inaturalist.org/observations/383170421" TargetMode="External"/><Relationship Id="rId2127" Type="http://schemas.openxmlformats.org/officeDocument/2006/relationships/hyperlink" Target="https://creativecommons.org/licenses/by-nc/4.0/" TargetMode="External"/><Relationship Id="rId2128" Type="http://schemas.openxmlformats.org/officeDocument/2006/relationships/hyperlink" Target="https://www.inaturalist.org/observations/383170232" TargetMode="External"/><Relationship Id="rId2129" Type="http://schemas.openxmlformats.org/officeDocument/2006/relationships/hyperlink" Target="https://creativecommons.org/licenses/by-nc/4.0/" TargetMode="External"/><Relationship Id="rId2130" Type="http://schemas.openxmlformats.org/officeDocument/2006/relationships/hyperlink" Target="https://www.inaturalist.org/observations/383170213" TargetMode="External"/><Relationship Id="rId2131" Type="http://schemas.openxmlformats.org/officeDocument/2006/relationships/hyperlink" Target="https://creativecommons.org/licenses/by-nc/4.0/" TargetMode="External"/><Relationship Id="rId2132" Type="http://schemas.openxmlformats.org/officeDocument/2006/relationships/hyperlink" Target="https://www.inaturalist.org/observations/383169999" TargetMode="External"/><Relationship Id="rId2133" Type="http://schemas.openxmlformats.org/officeDocument/2006/relationships/hyperlink" Target="https://creativecommons.org/licenses/by-nc/4.0/" TargetMode="External"/><Relationship Id="rId2134" Type="http://schemas.openxmlformats.org/officeDocument/2006/relationships/hyperlink" Target="https://www.inaturalist.org/observations/383169876" TargetMode="External"/><Relationship Id="rId2135" Type="http://schemas.openxmlformats.org/officeDocument/2006/relationships/hyperlink" Target="https://creativecommons.org/licenses/by-nc/4.0/" TargetMode="External"/><Relationship Id="rId2136" Type="http://schemas.openxmlformats.org/officeDocument/2006/relationships/hyperlink" Target="https://www.inaturalist.org/observations/383169718" TargetMode="External"/><Relationship Id="rId2137" Type="http://schemas.openxmlformats.org/officeDocument/2006/relationships/hyperlink" Target="https://creativecommons.org/licenses/by-nc/4.0/" TargetMode="External"/><Relationship Id="rId2138" Type="http://schemas.openxmlformats.org/officeDocument/2006/relationships/hyperlink" Target="https://www.inaturalist.org/observations/383169704" TargetMode="External"/><Relationship Id="rId2139" Type="http://schemas.openxmlformats.org/officeDocument/2006/relationships/hyperlink" Target="https://creativecommons.org/licenses/by-nc/4.0/" TargetMode="External"/><Relationship Id="rId2140" Type="http://schemas.openxmlformats.org/officeDocument/2006/relationships/hyperlink" Target="https://www.inaturalist.org/observations/383169692" TargetMode="External"/><Relationship Id="rId2141" Type="http://schemas.openxmlformats.org/officeDocument/2006/relationships/hyperlink" Target="https://creativecommons.org/licenses/by-nc/4.0/" TargetMode="External"/><Relationship Id="rId2142" Type="http://schemas.openxmlformats.org/officeDocument/2006/relationships/hyperlink" Target="https://www.inaturalist.org/observations/383169674" TargetMode="External"/><Relationship Id="rId2143" Type="http://schemas.openxmlformats.org/officeDocument/2006/relationships/hyperlink" Target="https://creativecommons.org/licenses/by-nc/4.0/" TargetMode="External"/><Relationship Id="rId2144" Type="http://schemas.openxmlformats.org/officeDocument/2006/relationships/hyperlink" Target="https://www.inaturalist.org/observations/383169609" TargetMode="External"/><Relationship Id="rId2145" Type="http://schemas.openxmlformats.org/officeDocument/2006/relationships/hyperlink" Target="https://creativecommons.org/licenses/by-nc/4.0/" TargetMode="External"/><Relationship Id="rId2146" Type="http://schemas.openxmlformats.org/officeDocument/2006/relationships/hyperlink" Target="https://www.inaturalist.org/observations/383169401" TargetMode="External"/><Relationship Id="rId2147" Type="http://schemas.openxmlformats.org/officeDocument/2006/relationships/hyperlink" Target="https://creativecommons.org/licenses/by-nc/4.0/" TargetMode="External"/><Relationship Id="rId2148" Type="http://schemas.openxmlformats.org/officeDocument/2006/relationships/hyperlink" Target="https://www.inaturalist.org/observations/383169373" TargetMode="External"/><Relationship Id="rId2149" Type="http://schemas.openxmlformats.org/officeDocument/2006/relationships/hyperlink" Target="https://creativecommons.org/licenses/by-nc/4.0/" TargetMode="External"/><Relationship Id="rId2150" Type="http://schemas.openxmlformats.org/officeDocument/2006/relationships/hyperlink" Target="https://www.inaturalist.org/observations/383169353" TargetMode="External"/><Relationship Id="rId2151" Type="http://schemas.openxmlformats.org/officeDocument/2006/relationships/hyperlink" Target="https://creativecommons.org/licenses/by-nc/4.0/" TargetMode="External"/><Relationship Id="rId2152" Type="http://schemas.openxmlformats.org/officeDocument/2006/relationships/hyperlink" Target="https://www.inaturalist.org/observations/383168809" TargetMode="External"/><Relationship Id="rId2153" Type="http://schemas.openxmlformats.org/officeDocument/2006/relationships/hyperlink" Target="https://creativecommons.org/licenses/by-nc/4.0/" TargetMode="External"/><Relationship Id="rId2154" Type="http://schemas.openxmlformats.org/officeDocument/2006/relationships/hyperlink" Target="https://www.inaturalist.org/observations/383168799" TargetMode="External"/><Relationship Id="rId2155" Type="http://schemas.openxmlformats.org/officeDocument/2006/relationships/hyperlink" Target="https://creativecommons.org/licenses/by-nc/4.0/" TargetMode="External"/><Relationship Id="rId2156" Type="http://schemas.openxmlformats.org/officeDocument/2006/relationships/hyperlink" Target="https://www.inaturalist.org/observations/383168789" TargetMode="External"/><Relationship Id="rId2157" Type="http://schemas.openxmlformats.org/officeDocument/2006/relationships/hyperlink" Target="https://creativecommons.org/licenses/by-nc/4.0/" TargetMode="External"/><Relationship Id="rId2158" Type="http://schemas.openxmlformats.org/officeDocument/2006/relationships/hyperlink" Target="https://www.inaturalist.org/observations/383168740" TargetMode="External"/><Relationship Id="rId2159" Type="http://schemas.openxmlformats.org/officeDocument/2006/relationships/hyperlink" Target="https://creativecommons.org/licenses/by-nc/4.0/" TargetMode="External"/><Relationship Id="rId2160" Type="http://schemas.openxmlformats.org/officeDocument/2006/relationships/hyperlink" Target="https://www.inaturalist.org/observations/383168723" TargetMode="External"/><Relationship Id="rId2161" Type="http://schemas.openxmlformats.org/officeDocument/2006/relationships/hyperlink" Target="https://creativecommons.org/licenses/by-nc/4.0/" TargetMode="External"/><Relationship Id="rId2162" Type="http://schemas.openxmlformats.org/officeDocument/2006/relationships/hyperlink" Target="https://www.inaturalist.org/observations/383168285" TargetMode="External"/><Relationship Id="rId2163" Type="http://schemas.openxmlformats.org/officeDocument/2006/relationships/hyperlink" Target="https://creativecommons.org/licenses/by-nc/4.0/" TargetMode="External"/><Relationship Id="rId2164" Type="http://schemas.openxmlformats.org/officeDocument/2006/relationships/hyperlink" Target="https://www.inaturalist.org/observations/383168183" TargetMode="External"/><Relationship Id="rId2165" Type="http://schemas.openxmlformats.org/officeDocument/2006/relationships/hyperlink" Target="https://creativecommons.org/licenses/by-nc/4.0/" TargetMode="External"/><Relationship Id="rId2166" Type="http://schemas.openxmlformats.org/officeDocument/2006/relationships/hyperlink" Target="https://www.inaturalist.org/observations/383167989" TargetMode="External"/><Relationship Id="rId2167" Type="http://schemas.openxmlformats.org/officeDocument/2006/relationships/hyperlink" Target="https://creativecommons.org/licenses/by-nc/4.0/" TargetMode="External"/><Relationship Id="rId2168" Type="http://schemas.openxmlformats.org/officeDocument/2006/relationships/hyperlink" Target="https://www.inaturalist.org/observations/383167795" TargetMode="External"/><Relationship Id="rId2169" Type="http://schemas.openxmlformats.org/officeDocument/2006/relationships/hyperlink" Target="https://creativecommons.org/licenses/by-nc/4.0/" TargetMode="External"/><Relationship Id="rId2170" Type="http://schemas.openxmlformats.org/officeDocument/2006/relationships/hyperlink" Target="https://www.inaturalist.org/observations/383167739" TargetMode="External"/><Relationship Id="rId2171" Type="http://schemas.openxmlformats.org/officeDocument/2006/relationships/hyperlink" Target="https://creativecommons.org/licenses/by-nc/4.0/" TargetMode="External"/><Relationship Id="rId2172" Type="http://schemas.openxmlformats.org/officeDocument/2006/relationships/hyperlink" Target="https://www.inaturalist.org/observations/383167636" TargetMode="External"/><Relationship Id="rId2173" Type="http://schemas.openxmlformats.org/officeDocument/2006/relationships/hyperlink" Target="https://creativecommons.org/licenses/by-nc/4.0/" TargetMode="External"/><Relationship Id="rId2174" Type="http://schemas.openxmlformats.org/officeDocument/2006/relationships/hyperlink" Target="https://www.inaturalist.org/observations/383167507" TargetMode="External"/><Relationship Id="rId2175" Type="http://schemas.openxmlformats.org/officeDocument/2006/relationships/hyperlink" Target="https://creativecommons.org/licenses/by-nc/4.0/" TargetMode="External"/><Relationship Id="rId2176" Type="http://schemas.openxmlformats.org/officeDocument/2006/relationships/hyperlink" Target="https://www.inaturalist.org/observations/383167456" TargetMode="External"/><Relationship Id="rId2177" Type="http://schemas.openxmlformats.org/officeDocument/2006/relationships/hyperlink" Target="https://creativecommons.org/licenses/by-nc/4.0/" TargetMode="External"/><Relationship Id="rId2178" Type="http://schemas.openxmlformats.org/officeDocument/2006/relationships/hyperlink" Target="https://www.inaturalist.org/observations/383167435" TargetMode="External"/><Relationship Id="rId2179" Type="http://schemas.openxmlformats.org/officeDocument/2006/relationships/hyperlink" Target="https://creativecommons.org/licenses/by-nc/4.0/" TargetMode="External"/><Relationship Id="rId2180" Type="http://schemas.openxmlformats.org/officeDocument/2006/relationships/hyperlink" Target="https://www.inaturalist.org/observations/383167356" TargetMode="External"/><Relationship Id="rId2181" Type="http://schemas.openxmlformats.org/officeDocument/2006/relationships/hyperlink" Target="https://creativecommons.org/licenses/by-nc/4.0/" TargetMode="External"/><Relationship Id="rId2182" Type="http://schemas.openxmlformats.org/officeDocument/2006/relationships/hyperlink" Target="https://www.inaturalist.org/observations/383167256" TargetMode="External"/><Relationship Id="rId2183" Type="http://schemas.openxmlformats.org/officeDocument/2006/relationships/hyperlink" Target="https://creativecommons.org/licenses/by-nc/4.0/" TargetMode="External"/><Relationship Id="rId2184" Type="http://schemas.openxmlformats.org/officeDocument/2006/relationships/hyperlink" Target="https://www.inaturalist.org/observations/383167180" TargetMode="External"/><Relationship Id="rId2185" Type="http://schemas.openxmlformats.org/officeDocument/2006/relationships/hyperlink" Target="https://creativecommons.org/licenses/by-nc/4.0/" TargetMode="External"/><Relationship Id="rId2186" Type="http://schemas.openxmlformats.org/officeDocument/2006/relationships/hyperlink" Target="https://www.inaturalist.org/observations/383167146" TargetMode="External"/><Relationship Id="rId2187" Type="http://schemas.openxmlformats.org/officeDocument/2006/relationships/hyperlink" Target="https://creativecommons.org/licenses/by-nc/4.0/" TargetMode="External"/><Relationship Id="rId2188" Type="http://schemas.openxmlformats.org/officeDocument/2006/relationships/hyperlink" Target="https://www.inaturalist.org/observations/383166856" TargetMode="External"/><Relationship Id="rId2189" Type="http://schemas.openxmlformats.org/officeDocument/2006/relationships/hyperlink" Target="https://creativecommons.org/licenses/by-nc/4.0/" TargetMode="External"/><Relationship Id="rId2190" Type="http://schemas.openxmlformats.org/officeDocument/2006/relationships/hyperlink" Target="https://www.inaturalist.org/observations/383166855" TargetMode="External"/><Relationship Id="rId2191" Type="http://schemas.openxmlformats.org/officeDocument/2006/relationships/hyperlink" Target="https://creativecommons.org/licenses/by-nc/4.0/" TargetMode="External"/><Relationship Id="rId2192" Type="http://schemas.openxmlformats.org/officeDocument/2006/relationships/hyperlink" Target="https://www.inaturalist.org/observations/383166744" TargetMode="External"/><Relationship Id="rId2193" Type="http://schemas.openxmlformats.org/officeDocument/2006/relationships/hyperlink" Target="https://creativecommons.org/licenses/by-nc/4.0/" TargetMode="External"/><Relationship Id="rId2194" Type="http://schemas.openxmlformats.org/officeDocument/2006/relationships/hyperlink" Target="https://www.inaturalist.org/observations/383166614" TargetMode="External"/><Relationship Id="rId2195" Type="http://schemas.openxmlformats.org/officeDocument/2006/relationships/hyperlink" Target="https://creativecommons.org/licenses/by-nc/4.0/" TargetMode="External"/><Relationship Id="rId2196" Type="http://schemas.openxmlformats.org/officeDocument/2006/relationships/hyperlink" Target="https://www.inaturalist.org/observations/383166609" TargetMode="External"/><Relationship Id="rId2197" Type="http://schemas.openxmlformats.org/officeDocument/2006/relationships/hyperlink" Target="https://creativecommons.org/licenses/by-nc/4.0/" TargetMode="External"/><Relationship Id="rId2198" Type="http://schemas.openxmlformats.org/officeDocument/2006/relationships/hyperlink" Target="https://www.inaturalist.org/observations/383166388" TargetMode="External"/><Relationship Id="rId2199" Type="http://schemas.openxmlformats.org/officeDocument/2006/relationships/hyperlink" Target="https://creativecommons.org/licenses/by-nc/4.0/" TargetMode="External"/><Relationship Id="rId2200" Type="http://schemas.openxmlformats.org/officeDocument/2006/relationships/hyperlink" Target="https://www.inaturalist.org/observations/383166347" TargetMode="External"/><Relationship Id="rId2201" Type="http://schemas.openxmlformats.org/officeDocument/2006/relationships/hyperlink" Target="https://creativecommons.org/licenses/by-nc/4.0/" TargetMode="External"/><Relationship Id="rId2202" Type="http://schemas.openxmlformats.org/officeDocument/2006/relationships/hyperlink" Target="https://www.inaturalist.org/observations/383166260" TargetMode="External"/><Relationship Id="rId2203" Type="http://schemas.openxmlformats.org/officeDocument/2006/relationships/hyperlink" Target="https://creativecommons.org/licenses/by-nc/4.0/" TargetMode="External"/><Relationship Id="rId2204" Type="http://schemas.openxmlformats.org/officeDocument/2006/relationships/hyperlink" Target="https://www.inaturalist.org/observations/383166255" TargetMode="External"/><Relationship Id="rId2205" Type="http://schemas.openxmlformats.org/officeDocument/2006/relationships/hyperlink" Target="https://creativecommons.org/licenses/by-nc/4.0/" TargetMode="External"/><Relationship Id="rId2206" Type="http://schemas.openxmlformats.org/officeDocument/2006/relationships/hyperlink" Target="https://www.inaturalist.org/observations/383166196" TargetMode="External"/><Relationship Id="rId2207" Type="http://schemas.openxmlformats.org/officeDocument/2006/relationships/hyperlink" Target="https://creativecommons.org/licenses/by-nc/4.0/" TargetMode="External"/><Relationship Id="rId2208" Type="http://schemas.openxmlformats.org/officeDocument/2006/relationships/hyperlink" Target="https://www.inaturalist.org/observations/383166061" TargetMode="External"/><Relationship Id="rId2209" Type="http://schemas.openxmlformats.org/officeDocument/2006/relationships/hyperlink" Target="https://creativecommons.org/licenses/by-nc/4.0/" TargetMode="External"/><Relationship Id="rId2210" Type="http://schemas.openxmlformats.org/officeDocument/2006/relationships/hyperlink" Target="https://www.inaturalist.org/observations/383165667" TargetMode="External"/><Relationship Id="rId2211" Type="http://schemas.openxmlformats.org/officeDocument/2006/relationships/hyperlink" Target="https://creativecommons.org/licenses/by-nc/4.0/" TargetMode="External"/><Relationship Id="rId2212" Type="http://schemas.openxmlformats.org/officeDocument/2006/relationships/hyperlink" Target="https://www.inaturalist.org/observations/383165648" TargetMode="External"/><Relationship Id="rId2213" Type="http://schemas.openxmlformats.org/officeDocument/2006/relationships/hyperlink" Target="https://creativecommons.org/licenses/by-nc/4.0/" TargetMode="External"/><Relationship Id="rId2214" Type="http://schemas.openxmlformats.org/officeDocument/2006/relationships/hyperlink" Target="https://www.inaturalist.org/observations/383165608" TargetMode="External"/><Relationship Id="rId2215" Type="http://schemas.openxmlformats.org/officeDocument/2006/relationships/hyperlink" Target="https://creativecommons.org/licenses/by-nc/4.0/" TargetMode="External"/><Relationship Id="rId2216" Type="http://schemas.openxmlformats.org/officeDocument/2006/relationships/hyperlink" Target="https://www.inaturalist.org/observations/383165419" TargetMode="External"/><Relationship Id="rId2217" Type="http://schemas.openxmlformats.org/officeDocument/2006/relationships/hyperlink" Target="https://creativecommons.org/licenses/by-nc/4.0/" TargetMode="External"/><Relationship Id="rId2218" Type="http://schemas.openxmlformats.org/officeDocument/2006/relationships/hyperlink" Target="https://www.inaturalist.org/observations/383165382" TargetMode="External"/><Relationship Id="rId2219" Type="http://schemas.openxmlformats.org/officeDocument/2006/relationships/hyperlink" Target="https://creativecommons.org/licenses/by-nc/4.0/" TargetMode="External"/><Relationship Id="rId2220" Type="http://schemas.openxmlformats.org/officeDocument/2006/relationships/hyperlink" Target="https://www.inaturalist.org/observations/383165295" TargetMode="External"/><Relationship Id="rId2221" Type="http://schemas.openxmlformats.org/officeDocument/2006/relationships/hyperlink" Target="https://creativecommons.org/licenses/by-nc/4.0/" TargetMode="External"/><Relationship Id="rId2222" Type="http://schemas.openxmlformats.org/officeDocument/2006/relationships/hyperlink" Target="https://www.inaturalist.org/observations/383165202" TargetMode="External"/><Relationship Id="rId2223" Type="http://schemas.openxmlformats.org/officeDocument/2006/relationships/hyperlink" Target="https://creativecommons.org/licenses/by-nc/4.0/" TargetMode="External"/><Relationship Id="rId2224" Type="http://schemas.openxmlformats.org/officeDocument/2006/relationships/hyperlink" Target="https://www.inaturalist.org/observations/383165173" TargetMode="External"/><Relationship Id="rId2225" Type="http://schemas.openxmlformats.org/officeDocument/2006/relationships/hyperlink" Target="https://creativecommons.org/licenses/by-nc/4.0/" TargetMode="External"/><Relationship Id="rId2226" Type="http://schemas.openxmlformats.org/officeDocument/2006/relationships/hyperlink" Target="https://www.inaturalist.org/observations/383165143" TargetMode="External"/><Relationship Id="rId2227" Type="http://schemas.openxmlformats.org/officeDocument/2006/relationships/hyperlink" Target="https://creativecommons.org/licenses/by-nc/4.0/" TargetMode="External"/><Relationship Id="rId2228" Type="http://schemas.openxmlformats.org/officeDocument/2006/relationships/hyperlink" Target="https://www.inaturalist.org/observations/383165018" TargetMode="External"/><Relationship Id="rId2229" Type="http://schemas.openxmlformats.org/officeDocument/2006/relationships/hyperlink" Target="https://creativecommons.org/licenses/by-nc/4.0/" TargetMode="External"/><Relationship Id="rId2230" Type="http://schemas.openxmlformats.org/officeDocument/2006/relationships/hyperlink" Target="https://www.inaturalist.org/observations/383164966" TargetMode="External"/><Relationship Id="rId2231" Type="http://schemas.openxmlformats.org/officeDocument/2006/relationships/hyperlink" Target="https://creativecommons.org/licenses/by-nc/4.0/" TargetMode="External"/><Relationship Id="rId2232" Type="http://schemas.openxmlformats.org/officeDocument/2006/relationships/hyperlink" Target="https://www.inaturalist.org/observations/383164939" TargetMode="External"/><Relationship Id="rId2233" Type="http://schemas.openxmlformats.org/officeDocument/2006/relationships/hyperlink" Target="https://creativecommons.org/licenses/by-nc/4.0/" TargetMode="External"/><Relationship Id="rId2234" Type="http://schemas.openxmlformats.org/officeDocument/2006/relationships/hyperlink" Target="https://www.inaturalist.org/observations/383164588" TargetMode="External"/><Relationship Id="rId2235" Type="http://schemas.openxmlformats.org/officeDocument/2006/relationships/hyperlink" Target="https://creativecommons.org/licenses/by-nc/4.0/" TargetMode="External"/><Relationship Id="rId2236" Type="http://schemas.openxmlformats.org/officeDocument/2006/relationships/hyperlink" Target="https://www.inaturalist.org/observations/383164374" TargetMode="External"/><Relationship Id="rId2237" Type="http://schemas.openxmlformats.org/officeDocument/2006/relationships/hyperlink" Target="https://creativecommons.org/licenses/by-nc/4.0/" TargetMode="External"/><Relationship Id="rId2238" Type="http://schemas.openxmlformats.org/officeDocument/2006/relationships/hyperlink" Target="https://www.inaturalist.org/observations/383164342" TargetMode="External"/><Relationship Id="rId2239" Type="http://schemas.openxmlformats.org/officeDocument/2006/relationships/hyperlink" Target="https://creativecommons.org/licenses/by-nc/4.0/" TargetMode="External"/><Relationship Id="rId2240" Type="http://schemas.openxmlformats.org/officeDocument/2006/relationships/hyperlink" Target="https://www.inaturalist.org/observations/383164259" TargetMode="External"/><Relationship Id="rId2241" Type="http://schemas.openxmlformats.org/officeDocument/2006/relationships/hyperlink" Target="https://creativecommons.org/licenses/by-nc/4.0/" TargetMode="External"/><Relationship Id="rId2242" Type="http://schemas.openxmlformats.org/officeDocument/2006/relationships/hyperlink" Target="https://www.inaturalist.org/observations/383164179" TargetMode="External"/><Relationship Id="rId2243" Type="http://schemas.openxmlformats.org/officeDocument/2006/relationships/hyperlink" Target="https://creativecommons.org/licenses/by-nc/4.0/" TargetMode="External"/><Relationship Id="rId2244" Type="http://schemas.openxmlformats.org/officeDocument/2006/relationships/hyperlink" Target="https://www.inaturalist.org/observations/383163987" TargetMode="External"/><Relationship Id="rId2245" Type="http://schemas.openxmlformats.org/officeDocument/2006/relationships/hyperlink" Target="https://creativecommons.org/licenses/by-nc/4.0/" TargetMode="External"/><Relationship Id="rId2246" Type="http://schemas.openxmlformats.org/officeDocument/2006/relationships/hyperlink" Target="https://www.inaturalist.org/observations/383163984" TargetMode="External"/><Relationship Id="rId2247" Type="http://schemas.openxmlformats.org/officeDocument/2006/relationships/hyperlink" Target="https://creativecommons.org/licenses/by-nc/4.0/" TargetMode="External"/><Relationship Id="rId2248" Type="http://schemas.openxmlformats.org/officeDocument/2006/relationships/hyperlink" Target="https://www.inaturalist.org/observations/383163923" TargetMode="External"/><Relationship Id="rId2249" Type="http://schemas.openxmlformats.org/officeDocument/2006/relationships/hyperlink" Target="https://creativecommons.org/licenses/by-nc/4.0/" TargetMode="External"/><Relationship Id="rId2250" Type="http://schemas.openxmlformats.org/officeDocument/2006/relationships/hyperlink" Target="https://www.inaturalist.org/observations/383163715" TargetMode="External"/><Relationship Id="rId2251" Type="http://schemas.openxmlformats.org/officeDocument/2006/relationships/hyperlink" Target="https://creativecommons.org/licenses/by-nc/4.0/" TargetMode="External"/><Relationship Id="rId2252" Type="http://schemas.openxmlformats.org/officeDocument/2006/relationships/hyperlink" Target="https://www.inaturalist.org/observations/383163692" TargetMode="External"/><Relationship Id="rId2253" Type="http://schemas.openxmlformats.org/officeDocument/2006/relationships/hyperlink" Target="https://creativecommons.org/licenses/by-nc/4.0/" TargetMode="External"/><Relationship Id="rId2254" Type="http://schemas.openxmlformats.org/officeDocument/2006/relationships/hyperlink" Target="https://www.inaturalist.org/observations/383163665" TargetMode="External"/><Relationship Id="rId2255" Type="http://schemas.openxmlformats.org/officeDocument/2006/relationships/hyperlink" Target="https://creativecommons.org/licenses/by-nc/4.0/" TargetMode="External"/><Relationship Id="rId2256" Type="http://schemas.openxmlformats.org/officeDocument/2006/relationships/hyperlink" Target="https://www.inaturalist.org/observations/383163661" TargetMode="External"/><Relationship Id="rId2257" Type="http://schemas.openxmlformats.org/officeDocument/2006/relationships/hyperlink" Target="https://creativecommons.org/licenses/by-nc/4.0/" TargetMode="External"/><Relationship Id="rId2258" Type="http://schemas.openxmlformats.org/officeDocument/2006/relationships/hyperlink" Target="https://www.inaturalist.org/observations/383163655" TargetMode="External"/><Relationship Id="rId2259" Type="http://schemas.openxmlformats.org/officeDocument/2006/relationships/hyperlink" Target="https://creativecommons.org/licenses/by-nc/4.0/" TargetMode="External"/><Relationship Id="rId2260" Type="http://schemas.openxmlformats.org/officeDocument/2006/relationships/hyperlink" Target="https://www.inaturalist.org/observations/383163648" TargetMode="External"/><Relationship Id="rId2261" Type="http://schemas.openxmlformats.org/officeDocument/2006/relationships/hyperlink" Target="https://creativecommons.org/licenses/by-nc/4.0/" TargetMode="External"/><Relationship Id="rId2262" Type="http://schemas.openxmlformats.org/officeDocument/2006/relationships/hyperlink" Target="https://www.inaturalist.org/observations/383163646" TargetMode="External"/><Relationship Id="rId2263" Type="http://schemas.openxmlformats.org/officeDocument/2006/relationships/hyperlink" Target="https://creativecommons.org/licenses/by-nc/4.0/" TargetMode="External"/><Relationship Id="rId2264" Type="http://schemas.openxmlformats.org/officeDocument/2006/relationships/hyperlink" Target="https://www.inaturalist.org/observations/383163637" TargetMode="External"/><Relationship Id="rId2265" Type="http://schemas.openxmlformats.org/officeDocument/2006/relationships/hyperlink" Target="https://creativecommons.org/licenses/by-nc/4.0/" TargetMode="External"/><Relationship Id="rId2266" Type="http://schemas.openxmlformats.org/officeDocument/2006/relationships/hyperlink" Target="https://www.inaturalist.org/observations/383163521" TargetMode="External"/><Relationship Id="rId2267" Type="http://schemas.openxmlformats.org/officeDocument/2006/relationships/hyperlink" Target="https://creativecommons.org/licenses/by-nc/4.0/" TargetMode="External"/><Relationship Id="rId2268" Type="http://schemas.openxmlformats.org/officeDocument/2006/relationships/hyperlink" Target="https://www.inaturalist.org/observations/383163338" TargetMode="External"/><Relationship Id="rId2269" Type="http://schemas.openxmlformats.org/officeDocument/2006/relationships/hyperlink" Target="https://creativecommons.org/licenses/by-nc/4.0/" TargetMode="External"/><Relationship Id="rId2270" Type="http://schemas.openxmlformats.org/officeDocument/2006/relationships/hyperlink" Target="https://www.inaturalist.org/observations/383163316" TargetMode="External"/><Relationship Id="rId2271" Type="http://schemas.openxmlformats.org/officeDocument/2006/relationships/hyperlink" Target="https://creativecommons.org/licenses/by-nc/4.0/" TargetMode="External"/><Relationship Id="rId2272" Type="http://schemas.openxmlformats.org/officeDocument/2006/relationships/hyperlink" Target="https://www.inaturalist.org/observations/383163085" TargetMode="External"/><Relationship Id="rId2273" Type="http://schemas.openxmlformats.org/officeDocument/2006/relationships/hyperlink" Target="https://creativecommons.org/licenses/by-nc/4.0/" TargetMode="External"/><Relationship Id="rId2274" Type="http://schemas.openxmlformats.org/officeDocument/2006/relationships/hyperlink" Target="https://www.inaturalist.org/observations/383162976" TargetMode="External"/><Relationship Id="rId2275" Type="http://schemas.openxmlformats.org/officeDocument/2006/relationships/hyperlink" Target="https://creativecommons.org/licenses/by-nc/4.0/" TargetMode="External"/><Relationship Id="rId2276" Type="http://schemas.openxmlformats.org/officeDocument/2006/relationships/hyperlink" Target="https://www.inaturalist.org/observations/383162879" TargetMode="External"/><Relationship Id="rId2277" Type="http://schemas.openxmlformats.org/officeDocument/2006/relationships/hyperlink" Target="https://creativecommons.org/licenses/by-nc/4.0/" TargetMode="External"/><Relationship Id="rId2278" Type="http://schemas.openxmlformats.org/officeDocument/2006/relationships/hyperlink" Target="https://www.inaturalist.org/observations/383162864" TargetMode="External"/><Relationship Id="rId2279" Type="http://schemas.openxmlformats.org/officeDocument/2006/relationships/hyperlink" Target="https://creativecommons.org/licenses/by-nc/4.0/" TargetMode="External"/><Relationship Id="rId2280" Type="http://schemas.openxmlformats.org/officeDocument/2006/relationships/hyperlink" Target="https://www.inaturalist.org/observations/383162734" TargetMode="External"/><Relationship Id="rId2281" Type="http://schemas.openxmlformats.org/officeDocument/2006/relationships/hyperlink" Target="https://creativecommons.org/licenses/by-nc/4.0/" TargetMode="External"/><Relationship Id="rId2282" Type="http://schemas.openxmlformats.org/officeDocument/2006/relationships/hyperlink" Target="https://www.inaturalist.org/observations/383162732" TargetMode="External"/><Relationship Id="rId2283" Type="http://schemas.openxmlformats.org/officeDocument/2006/relationships/hyperlink" Target="https://creativecommons.org/licenses/by-nc/4.0/" TargetMode="External"/><Relationship Id="rId2284" Type="http://schemas.openxmlformats.org/officeDocument/2006/relationships/hyperlink" Target="https://www.inaturalist.org/observations/383162614" TargetMode="External"/><Relationship Id="rId2285" Type="http://schemas.openxmlformats.org/officeDocument/2006/relationships/hyperlink" Target="https://creativecommons.org/licenses/by-nc/4.0/" TargetMode="External"/><Relationship Id="rId2286" Type="http://schemas.openxmlformats.org/officeDocument/2006/relationships/hyperlink" Target="https://www.inaturalist.org/observations/383162527" TargetMode="External"/><Relationship Id="rId2287" Type="http://schemas.openxmlformats.org/officeDocument/2006/relationships/hyperlink" Target="https://creativecommons.org/licenses/by-nc/4.0/" TargetMode="External"/><Relationship Id="rId2288" Type="http://schemas.openxmlformats.org/officeDocument/2006/relationships/hyperlink" Target="https://www.inaturalist.org/observations/383162298" TargetMode="External"/><Relationship Id="rId2289" Type="http://schemas.openxmlformats.org/officeDocument/2006/relationships/hyperlink" Target="https://creativecommons.org/licenses/by-nc/4.0/" TargetMode="External"/><Relationship Id="rId2290" Type="http://schemas.openxmlformats.org/officeDocument/2006/relationships/hyperlink" Target="https://www.inaturalist.org/observations/383162169" TargetMode="External"/><Relationship Id="rId2291" Type="http://schemas.openxmlformats.org/officeDocument/2006/relationships/hyperlink" Target="https://creativecommons.org/licenses/by-nc/4.0/" TargetMode="External"/><Relationship Id="rId2292" Type="http://schemas.openxmlformats.org/officeDocument/2006/relationships/hyperlink" Target="https://www.inaturalist.org/observations/383162009" TargetMode="External"/><Relationship Id="rId2293" Type="http://schemas.openxmlformats.org/officeDocument/2006/relationships/hyperlink" Target="https://creativecommons.org/licenses/by-nc/4.0/" TargetMode="External"/><Relationship Id="rId2294" Type="http://schemas.openxmlformats.org/officeDocument/2006/relationships/hyperlink" Target="https://www.inaturalist.org/observations/383161979" TargetMode="External"/><Relationship Id="rId2295" Type="http://schemas.openxmlformats.org/officeDocument/2006/relationships/hyperlink" Target="https://creativecommons.org/licenses/by-nc/4.0/" TargetMode="External"/><Relationship Id="rId2296" Type="http://schemas.openxmlformats.org/officeDocument/2006/relationships/hyperlink" Target="https://www.inaturalist.org/observations/383161974" TargetMode="External"/><Relationship Id="rId2297" Type="http://schemas.openxmlformats.org/officeDocument/2006/relationships/hyperlink" Target="https://creativecommons.org/licenses/by-nc/4.0/" TargetMode="External"/><Relationship Id="rId2298" Type="http://schemas.openxmlformats.org/officeDocument/2006/relationships/hyperlink" Target="https://www.inaturalist.org/observations/383161959" TargetMode="External"/><Relationship Id="rId2299" Type="http://schemas.openxmlformats.org/officeDocument/2006/relationships/hyperlink" Target="https://creativecommons.org/licenses/by-nc/4.0/" TargetMode="External"/><Relationship Id="rId2300" Type="http://schemas.openxmlformats.org/officeDocument/2006/relationships/hyperlink" Target="https://www.inaturalist.org/observations/383161946" TargetMode="External"/><Relationship Id="rId2301" Type="http://schemas.openxmlformats.org/officeDocument/2006/relationships/hyperlink" Target="https://creativecommons.org/licenses/by-nc/4.0/" TargetMode="External"/><Relationship Id="rId2302" Type="http://schemas.openxmlformats.org/officeDocument/2006/relationships/hyperlink" Target="https://www.inaturalist.org/observations/383161921" TargetMode="External"/><Relationship Id="rId2303" Type="http://schemas.openxmlformats.org/officeDocument/2006/relationships/hyperlink" Target="https://creativecommons.org/licenses/by-nc/4.0/" TargetMode="External"/><Relationship Id="rId2304" Type="http://schemas.openxmlformats.org/officeDocument/2006/relationships/hyperlink" Target="https://www.inaturalist.org/observations/383161677" TargetMode="External"/><Relationship Id="rId2305" Type="http://schemas.openxmlformats.org/officeDocument/2006/relationships/hyperlink" Target="https://creativecommons.org/licenses/by-nc/4.0/" TargetMode="External"/><Relationship Id="rId2306" Type="http://schemas.openxmlformats.org/officeDocument/2006/relationships/hyperlink" Target="https://www.inaturalist.org/observations/383161665" TargetMode="External"/><Relationship Id="rId2307" Type="http://schemas.openxmlformats.org/officeDocument/2006/relationships/hyperlink" Target="https://creativecommons.org/licenses/by-nc/4.0/" TargetMode="External"/><Relationship Id="rId2308" Type="http://schemas.openxmlformats.org/officeDocument/2006/relationships/hyperlink" Target="https://www.inaturalist.org/observations/383161656" TargetMode="External"/><Relationship Id="rId2309" Type="http://schemas.openxmlformats.org/officeDocument/2006/relationships/hyperlink" Target="https://creativecommons.org/licenses/by-nc/4.0/" TargetMode="External"/><Relationship Id="rId2310" Type="http://schemas.openxmlformats.org/officeDocument/2006/relationships/hyperlink" Target="https://www.inaturalist.org/observations/383161507" TargetMode="External"/><Relationship Id="rId2311" Type="http://schemas.openxmlformats.org/officeDocument/2006/relationships/hyperlink" Target="https://creativecommons.org/licenses/by-nc/4.0/" TargetMode="External"/><Relationship Id="rId2312" Type="http://schemas.openxmlformats.org/officeDocument/2006/relationships/hyperlink" Target="https://www.inaturalist.org/observations/383161478" TargetMode="External"/><Relationship Id="rId2313" Type="http://schemas.openxmlformats.org/officeDocument/2006/relationships/hyperlink" Target="https://creativecommons.org/licenses/by-nc/4.0/" TargetMode="External"/><Relationship Id="rId2314" Type="http://schemas.openxmlformats.org/officeDocument/2006/relationships/hyperlink" Target="https://www.inaturalist.org/observations/383161324" TargetMode="External"/><Relationship Id="rId2315" Type="http://schemas.openxmlformats.org/officeDocument/2006/relationships/hyperlink" Target="https://creativecommons.org/licenses/by-nc/4.0/" TargetMode="External"/><Relationship Id="rId2316" Type="http://schemas.openxmlformats.org/officeDocument/2006/relationships/hyperlink" Target="https://www.inaturalist.org/observations/383161238" TargetMode="External"/><Relationship Id="rId2317" Type="http://schemas.openxmlformats.org/officeDocument/2006/relationships/hyperlink" Target="https://creativecommons.org/licenses/by-nc/4.0/" TargetMode="External"/><Relationship Id="rId2318" Type="http://schemas.openxmlformats.org/officeDocument/2006/relationships/hyperlink" Target="https://www.inaturalist.org/observations/383161193" TargetMode="External"/><Relationship Id="rId2319" Type="http://schemas.openxmlformats.org/officeDocument/2006/relationships/hyperlink" Target="https://creativecommons.org/licenses/by-nc/4.0/" TargetMode="External"/><Relationship Id="rId2320" Type="http://schemas.openxmlformats.org/officeDocument/2006/relationships/hyperlink" Target="https://www.inaturalist.org/observations/383161119" TargetMode="External"/><Relationship Id="rId2321" Type="http://schemas.openxmlformats.org/officeDocument/2006/relationships/hyperlink" Target="https://creativecommons.org/licenses/by-nc/4.0/" TargetMode="External"/><Relationship Id="rId2322" Type="http://schemas.openxmlformats.org/officeDocument/2006/relationships/hyperlink" Target="https://www.inaturalist.org/observations/383160840" TargetMode="External"/><Relationship Id="rId2323" Type="http://schemas.openxmlformats.org/officeDocument/2006/relationships/hyperlink" Target="https://creativecommons.org/licenses/by-nc/4.0/" TargetMode="External"/><Relationship Id="rId2324" Type="http://schemas.openxmlformats.org/officeDocument/2006/relationships/hyperlink" Target="https://www.inaturalist.org/observations/383160743" TargetMode="External"/><Relationship Id="rId2325" Type="http://schemas.openxmlformats.org/officeDocument/2006/relationships/hyperlink" Target="https://creativecommons.org/licenses/by-nc/4.0/" TargetMode="External"/><Relationship Id="rId2326" Type="http://schemas.openxmlformats.org/officeDocument/2006/relationships/hyperlink" Target="https://www.inaturalist.org/observations/383160736" TargetMode="External"/><Relationship Id="rId2327" Type="http://schemas.openxmlformats.org/officeDocument/2006/relationships/hyperlink" Target="https://creativecommons.org/licenses/by-nc/4.0/" TargetMode="External"/><Relationship Id="rId2328" Type="http://schemas.openxmlformats.org/officeDocument/2006/relationships/hyperlink" Target="https://www.inaturalist.org/observations/383160625" TargetMode="External"/><Relationship Id="rId2329" Type="http://schemas.openxmlformats.org/officeDocument/2006/relationships/hyperlink" Target="https://creativecommons.org/licenses/by-nc/4.0/" TargetMode="External"/><Relationship Id="rId2330" Type="http://schemas.openxmlformats.org/officeDocument/2006/relationships/hyperlink" Target="https://www.inaturalist.org/observations/383160384" TargetMode="External"/><Relationship Id="rId2331" Type="http://schemas.openxmlformats.org/officeDocument/2006/relationships/hyperlink" Target="https://creativecommons.org/licenses/by-nc/4.0/" TargetMode="External"/><Relationship Id="rId2332" Type="http://schemas.openxmlformats.org/officeDocument/2006/relationships/hyperlink" Target="https://www.inaturalist.org/observations/383160251" TargetMode="External"/><Relationship Id="rId2333" Type="http://schemas.openxmlformats.org/officeDocument/2006/relationships/hyperlink" Target="https://creativecommons.org/licenses/by-nc/4.0/" TargetMode="External"/><Relationship Id="rId2334" Type="http://schemas.openxmlformats.org/officeDocument/2006/relationships/hyperlink" Target="https://www.inaturalist.org/observations/383160230" TargetMode="External"/><Relationship Id="rId2335" Type="http://schemas.openxmlformats.org/officeDocument/2006/relationships/hyperlink" Target="https://creativecommons.org/licenses/by-nc/4.0/" TargetMode="External"/><Relationship Id="rId2336" Type="http://schemas.openxmlformats.org/officeDocument/2006/relationships/hyperlink" Target="https://www.inaturalist.org/observations/383160168" TargetMode="External"/><Relationship Id="rId2337" Type="http://schemas.openxmlformats.org/officeDocument/2006/relationships/hyperlink" Target="https://creativecommons.org/licenses/by-nc/4.0/" TargetMode="External"/><Relationship Id="rId2338" Type="http://schemas.openxmlformats.org/officeDocument/2006/relationships/hyperlink" Target="https://www.inaturalist.org/observations/383160142" TargetMode="External"/><Relationship Id="rId2339" Type="http://schemas.openxmlformats.org/officeDocument/2006/relationships/hyperlink" Target="https://creativecommons.org/licenses/by-nc/4.0/" TargetMode="External"/><Relationship Id="rId2340" Type="http://schemas.openxmlformats.org/officeDocument/2006/relationships/hyperlink" Target="https://www.inaturalist.org/observations/383160049" TargetMode="External"/><Relationship Id="rId2341" Type="http://schemas.openxmlformats.org/officeDocument/2006/relationships/hyperlink" Target="https://creativecommons.org/licenses/by-nc/4.0/" TargetMode="External"/><Relationship Id="rId2342" Type="http://schemas.openxmlformats.org/officeDocument/2006/relationships/hyperlink" Target="https://www.inaturalist.org/observations/383159878" TargetMode="External"/><Relationship Id="rId2343" Type="http://schemas.openxmlformats.org/officeDocument/2006/relationships/hyperlink" Target="https://creativecommons.org/licenses/by-nc/4.0/" TargetMode="External"/><Relationship Id="rId2344" Type="http://schemas.openxmlformats.org/officeDocument/2006/relationships/hyperlink" Target="https://www.inaturalist.org/observations/383159875" TargetMode="External"/><Relationship Id="rId2345" Type="http://schemas.openxmlformats.org/officeDocument/2006/relationships/hyperlink" Target="https://creativecommons.org/licenses/by-nc/4.0/" TargetMode="External"/><Relationship Id="rId2346" Type="http://schemas.openxmlformats.org/officeDocument/2006/relationships/hyperlink" Target="https://www.inaturalist.org/observations/383159639" TargetMode="External"/><Relationship Id="rId2347" Type="http://schemas.openxmlformats.org/officeDocument/2006/relationships/hyperlink" Target="https://creativecommons.org/licenses/by-nc/4.0/" TargetMode="External"/><Relationship Id="rId2348" Type="http://schemas.openxmlformats.org/officeDocument/2006/relationships/hyperlink" Target="https://www.inaturalist.org/observations/383159502" TargetMode="External"/><Relationship Id="rId2349" Type="http://schemas.openxmlformats.org/officeDocument/2006/relationships/hyperlink" Target="https://creativecommons.org/licenses/by-nc/4.0/" TargetMode="External"/><Relationship Id="rId2350" Type="http://schemas.openxmlformats.org/officeDocument/2006/relationships/hyperlink" Target="https://www.inaturalist.org/observations/383159420" TargetMode="External"/><Relationship Id="rId2351" Type="http://schemas.openxmlformats.org/officeDocument/2006/relationships/hyperlink" Target="https://creativecommons.org/licenses/by-nc/4.0/" TargetMode="External"/><Relationship Id="rId2352" Type="http://schemas.openxmlformats.org/officeDocument/2006/relationships/hyperlink" Target="https://www.inaturalist.org/observations/383159383" TargetMode="External"/><Relationship Id="rId2353" Type="http://schemas.openxmlformats.org/officeDocument/2006/relationships/hyperlink" Target="https://creativecommons.org/licenses/by-nc/4.0/" TargetMode="External"/><Relationship Id="rId2354" Type="http://schemas.openxmlformats.org/officeDocument/2006/relationships/hyperlink" Target="https://www.inaturalist.org/observations/383159362" TargetMode="External"/><Relationship Id="rId2355" Type="http://schemas.openxmlformats.org/officeDocument/2006/relationships/hyperlink" Target="https://creativecommons.org/licenses/by-nc/4.0/" TargetMode="External"/><Relationship Id="rId2356" Type="http://schemas.openxmlformats.org/officeDocument/2006/relationships/hyperlink" Target="https://www.inaturalist.org/observations/383159216" TargetMode="External"/><Relationship Id="rId2357" Type="http://schemas.openxmlformats.org/officeDocument/2006/relationships/hyperlink" Target="https://creativecommons.org/licenses/by-nc/4.0/" TargetMode="External"/><Relationship Id="rId2358" Type="http://schemas.openxmlformats.org/officeDocument/2006/relationships/hyperlink" Target="https://www.inaturalist.org/observations/383159196" TargetMode="External"/><Relationship Id="rId2359" Type="http://schemas.openxmlformats.org/officeDocument/2006/relationships/hyperlink" Target="https://creativecommons.org/licenses/by-nc/4.0/" TargetMode="External"/><Relationship Id="rId2360" Type="http://schemas.openxmlformats.org/officeDocument/2006/relationships/hyperlink" Target="https://www.inaturalist.org/observations/383158963" TargetMode="External"/><Relationship Id="rId2361" Type="http://schemas.openxmlformats.org/officeDocument/2006/relationships/hyperlink" Target="https://creativecommons.org/licenses/by-nc/4.0/" TargetMode="External"/><Relationship Id="rId2362" Type="http://schemas.openxmlformats.org/officeDocument/2006/relationships/hyperlink" Target="https://www.inaturalist.org/observations/383158937" TargetMode="External"/><Relationship Id="rId2363" Type="http://schemas.openxmlformats.org/officeDocument/2006/relationships/hyperlink" Target="https://creativecommons.org/licenses/by-nc/4.0/" TargetMode="External"/><Relationship Id="rId2364" Type="http://schemas.openxmlformats.org/officeDocument/2006/relationships/hyperlink" Target="https://www.inaturalist.org/observations/383158936" TargetMode="External"/><Relationship Id="rId2365" Type="http://schemas.openxmlformats.org/officeDocument/2006/relationships/hyperlink" Target="https://creativecommons.org/licenses/by-nc/4.0/" TargetMode="External"/><Relationship Id="rId2366" Type="http://schemas.openxmlformats.org/officeDocument/2006/relationships/hyperlink" Target="https://www.inaturalist.org/observations/383158802" TargetMode="External"/><Relationship Id="rId2367" Type="http://schemas.openxmlformats.org/officeDocument/2006/relationships/hyperlink" Target="https://creativecommons.org/licenses/by-nc/4.0/" TargetMode="External"/><Relationship Id="rId2368" Type="http://schemas.openxmlformats.org/officeDocument/2006/relationships/hyperlink" Target="https://www.inaturalist.org/observations/383158634" TargetMode="External"/><Relationship Id="rId2369" Type="http://schemas.openxmlformats.org/officeDocument/2006/relationships/hyperlink" Target="https://creativecommons.org/licenses/by-nc/4.0/" TargetMode="External"/><Relationship Id="rId2370" Type="http://schemas.openxmlformats.org/officeDocument/2006/relationships/hyperlink" Target="https://www.inaturalist.org/observations/383158585" TargetMode="External"/><Relationship Id="rId2371" Type="http://schemas.openxmlformats.org/officeDocument/2006/relationships/hyperlink" Target="https://creativecommons.org/licenses/by-nc/4.0/" TargetMode="External"/><Relationship Id="rId2372" Type="http://schemas.openxmlformats.org/officeDocument/2006/relationships/hyperlink" Target="https://www.inaturalist.org/observations/383158531" TargetMode="External"/><Relationship Id="rId2373" Type="http://schemas.openxmlformats.org/officeDocument/2006/relationships/hyperlink" Target="https://creativecommons.org/licenses/by-nc/4.0/" TargetMode="External"/><Relationship Id="rId2374" Type="http://schemas.openxmlformats.org/officeDocument/2006/relationships/hyperlink" Target="https://www.inaturalist.org/observations/383158498" TargetMode="External"/><Relationship Id="rId2375" Type="http://schemas.openxmlformats.org/officeDocument/2006/relationships/hyperlink" Target="https://creativecommons.org/licenses/by-nc/4.0/" TargetMode="External"/><Relationship Id="rId2376" Type="http://schemas.openxmlformats.org/officeDocument/2006/relationships/hyperlink" Target="https://www.inaturalist.org/observations/383158497" TargetMode="External"/><Relationship Id="rId2377" Type="http://schemas.openxmlformats.org/officeDocument/2006/relationships/hyperlink" Target="https://creativecommons.org/licenses/by-nc/4.0/" TargetMode="External"/><Relationship Id="rId2378" Type="http://schemas.openxmlformats.org/officeDocument/2006/relationships/hyperlink" Target="https://www.inaturalist.org/observations/383158492" TargetMode="External"/><Relationship Id="rId2379" Type="http://schemas.openxmlformats.org/officeDocument/2006/relationships/hyperlink" Target="https://creativecommons.org/licenses/by-nc/4.0/" TargetMode="External"/><Relationship Id="rId2380" Type="http://schemas.openxmlformats.org/officeDocument/2006/relationships/hyperlink" Target="https://www.inaturalist.org/observations/383158280" TargetMode="External"/><Relationship Id="rId2381" Type="http://schemas.openxmlformats.org/officeDocument/2006/relationships/hyperlink" Target="https://creativecommons.org/licenses/by-nc/4.0/" TargetMode="External"/><Relationship Id="rId2382" Type="http://schemas.openxmlformats.org/officeDocument/2006/relationships/hyperlink" Target="https://www.inaturalist.org/observations/383158258" TargetMode="External"/><Relationship Id="rId2383" Type="http://schemas.openxmlformats.org/officeDocument/2006/relationships/hyperlink" Target="https://creativecommons.org/licenses/by-nc/4.0/" TargetMode="External"/><Relationship Id="rId2384" Type="http://schemas.openxmlformats.org/officeDocument/2006/relationships/hyperlink" Target="https://www.inaturalist.org/observations/383158238" TargetMode="External"/><Relationship Id="rId2385" Type="http://schemas.openxmlformats.org/officeDocument/2006/relationships/hyperlink" Target="https://creativecommons.org/licenses/by-nc/4.0/" TargetMode="External"/><Relationship Id="rId2386" Type="http://schemas.openxmlformats.org/officeDocument/2006/relationships/hyperlink" Target="https://www.inaturalist.org/observations/383158137" TargetMode="External"/><Relationship Id="rId2387" Type="http://schemas.openxmlformats.org/officeDocument/2006/relationships/hyperlink" Target="https://creativecommons.org/licenses/by-nc/4.0/" TargetMode="External"/><Relationship Id="rId2388" Type="http://schemas.openxmlformats.org/officeDocument/2006/relationships/hyperlink" Target="https://www.inaturalist.org/observations/383158062" TargetMode="External"/><Relationship Id="rId2389" Type="http://schemas.openxmlformats.org/officeDocument/2006/relationships/hyperlink" Target="https://creativecommons.org/licenses/by-nc/4.0/" TargetMode="External"/><Relationship Id="rId2390" Type="http://schemas.openxmlformats.org/officeDocument/2006/relationships/hyperlink" Target="https://www.inaturalist.org/observations/383157800" TargetMode="External"/><Relationship Id="rId2391" Type="http://schemas.openxmlformats.org/officeDocument/2006/relationships/hyperlink" Target="https://creativecommons.org/licenses/by-nc/4.0/" TargetMode="External"/><Relationship Id="rId2392" Type="http://schemas.openxmlformats.org/officeDocument/2006/relationships/hyperlink" Target="https://www.inaturalist.org/observations/383157785" TargetMode="External"/><Relationship Id="rId2393" Type="http://schemas.openxmlformats.org/officeDocument/2006/relationships/hyperlink" Target="https://creativecommons.org/licenses/by-nc/4.0/" TargetMode="External"/><Relationship Id="rId2394" Type="http://schemas.openxmlformats.org/officeDocument/2006/relationships/hyperlink" Target="https://www.inaturalist.org/observations/383157784" TargetMode="External"/><Relationship Id="rId2395" Type="http://schemas.openxmlformats.org/officeDocument/2006/relationships/hyperlink" Target="https://creativecommons.org/licenses/by-nc/4.0/" TargetMode="External"/><Relationship Id="rId2396" Type="http://schemas.openxmlformats.org/officeDocument/2006/relationships/hyperlink" Target="https://www.inaturalist.org/observations/383157765" TargetMode="External"/><Relationship Id="rId2397" Type="http://schemas.openxmlformats.org/officeDocument/2006/relationships/hyperlink" Target="https://creativecommons.org/licenses/by-nc/4.0/" TargetMode="External"/><Relationship Id="rId2398" Type="http://schemas.openxmlformats.org/officeDocument/2006/relationships/hyperlink" Target="https://www.inaturalist.org/observations/383157761" TargetMode="External"/><Relationship Id="rId2399" Type="http://schemas.openxmlformats.org/officeDocument/2006/relationships/hyperlink" Target="https://creativecommons.org/licenses/by-nc/4.0/" TargetMode="External"/><Relationship Id="rId2400" Type="http://schemas.openxmlformats.org/officeDocument/2006/relationships/hyperlink" Target="https://www.inaturalist.org/observations/383157760" TargetMode="External"/><Relationship Id="rId2401" Type="http://schemas.openxmlformats.org/officeDocument/2006/relationships/hyperlink" Target="https://creativecommons.org/licenses/by-nc/4.0/" TargetMode="External"/><Relationship Id="rId2402" Type="http://schemas.openxmlformats.org/officeDocument/2006/relationships/hyperlink" Target="https://www.inaturalist.org/observations/383157758" TargetMode="External"/><Relationship Id="rId2403" Type="http://schemas.openxmlformats.org/officeDocument/2006/relationships/hyperlink" Target="https://creativecommons.org/licenses/by-nc/4.0/" TargetMode="External"/><Relationship Id="rId2404" Type="http://schemas.openxmlformats.org/officeDocument/2006/relationships/hyperlink" Target="https://www.inaturalist.org/observations/383157757" TargetMode="External"/><Relationship Id="rId2405" Type="http://schemas.openxmlformats.org/officeDocument/2006/relationships/hyperlink" Target="https://creativecommons.org/licenses/by-nc/4.0/" TargetMode="External"/><Relationship Id="rId2406" Type="http://schemas.openxmlformats.org/officeDocument/2006/relationships/hyperlink" Target="https://www.inaturalist.org/observations/383157752" TargetMode="External"/><Relationship Id="rId2407" Type="http://schemas.openxmlformats.org/officeDocument/2006/relationships/hyperlink" Target="https://creativecommons.org/licenses/by-nc/4.0/" TargetMode="External"/><Relationship Id="rId2408" Type="http://schemas.openxmlformats.org/officeDocument/2006/relationships/hyperlink" Target="https://www.inaturalist.org/observations/383157751" TargetMode="External"/><Relationship Id="rId2409" Type="http://schemas.openxmlformats.org/officeDocument/2006/relationships/hyperlink" Target="https://creativecommons.org/licenses/by-nc/4.0/" TargetMode="External"/><Relationship Id="rId2410" Type="http://schemas.openxmlformats.org/officeDocument/2006/relationships/hyperlink" Target="https://www.inaturalist.org/observations/383157744" TargetMode="External"/><Relationship Id="rId2411" Type="http://schemas.openxmlformats.org/officeDocument/2006/relationships/hyperlink" Target="https://creativecommons.org/licenses/by-nc/4.0/" TargetMode="External"/><Relationship Id="rId2412" Type="http://schemas.openxmlformats.org/officeDocument/2006/relationships/hyperlink" Target="https://www.inaturalist.org/observations/383157743" TargetMode="External"/><Relationship Id="rId2413" Type="http://schemas.openxmlformats.org/officeDocument/2006/relationships/hyperlink" Target="https://creativecommons.org/licenses/by-nc/4.0/" TargetMode="External"/><Relationship Id="rId2414" Type="http://schemas.openxmlformats.org/officeDocument/2006/relationships/hyperlink" Target="https://www.inaturalist.org/observations/383157742" TargetMode="External"/><Relationship Id="rId2415" Type="http://schemas.openxmlformats.org/officeDocument/2006/relationships/hyperlink" Target="https://creativecommons.org/licenses/by-nc/4.0/" TargetMode="External"/><Relationship Id="rId2416" Type="http://schemas.openxmlformats.org/officeDocument/2006/relationships/hyperlink" Target="https://www.inaturalist.org/observations/383157734" TargetMode="External"/><Relationship Id="rId2417" Type="http://schemas.openxmlformats.org/officeDocument/2006/relationships/hyperlink" Target="https://creativecommons.org/licenses/by-nc/4.0/" TargetMode="External"/><Relationship Id="rId2418" Type="http://schemas.openxmlformats.org/officeDocument/2006/relationships/hyperlink" Target="https://www.inaturalist.org/observations/383157729" TargetMode="External"/><Relationship Id="rId2419" Type="http://schemas.openxmlformats.org/officeDocument/2006/relationships/hyperlink" Target="https://creativecommons.org/licenses/by-nc/4.0/" TargetMode="External"/><Relationship Id="rId2420" Type="http://schemas.openxmlformats.org/officeDocument/2006/relationships/hyperlink" Target="https://www.inaturalist.org/observations/383157728" TargetMode="External"/><Relationship Id="rId2421" Type="http://schemas.openxmlformats.org/officeDocument/2006/relationships/hyperlink" Target="https://creativecommons.org/licenses/by-nc/4.0/" TargetMode="External"/><Relationship Id="rId2422" Type="http://schemas.openxmlformats.org/officeDocument/2006/relationships/hyperlink" Target="https://www.inaturalist.org/observations/383157720" TargetMode="External"/><Relationship Id="rId2423" Type="http://schemas.openxmlformats.org/officeDocument/2006/relationships/hyperlink" Target="https://creativecommons.org/licenses/by-nc/4.0/" TargetMode="External"/><Relationship Id="rId2424" Type="http://schemas.openxmlformats.org/officeDocument/2006/relationships/hyperlink" Target="https://www.inaturalist.org/observations/383157718" TargetMode="External"/><Relationship Id="rId2425" Type="http://schemas.openxmlformats.org/officeDocument/2006/relationships/hyperlink" Target="https://creativecommons.org/licenses/by-nc/4.0/" TargetMode="External"/><Relationship Id="rId2426" Type="http://schemas.openxmlformats.org/officeDocument/2006/relationships/hyperlink" Target="https://www.inaturalist.org/observations/383157577" TargetMode="External"/><Relationship Id="rId2427" Type="http://schemas.openxmlformats.org/officeDocument/2006/relationships/hyperlink" Target="https://creativecommons.org/licenses/by-nc/4.0/" TargetMode="External"/><Relationship Id="rId2428" Type="http://schemas.openxmlformats.org/officeDocument/2006/relationships/hyperlink" Target="https://www.inaturalist.org/observations/383157424" TargetMode="External"/><Relationship Id="rId2429" Type="http://schemas.openxmlformats.org/officeDocument/2006/relationships/hyperlink" Target="https://creativecommons.org/licenses/by-nc/4.0/" TargetMode="External"/><Relationship Id="rId2430" Type="http://schemas.openxmlformats.org/officeDocument/2006/relationships/hyperlink" Target="https://www.inaturalist.org/observations/383157265" TargetMode="External"/><Relationship Id="rId2431" Type="http://schemas.openxmlformats.org/officeDocument/2006/relationships/hyperlink" Target="https://creativecommons.org/licenses/by-nc/4.0/" TargetMode="External"/><Relationship Id="rId2432" Type="http://schemas.openxmlformats.org/officeDocument/2006/relationships/hyperlink" Target="https://www.inaturalist.org/observations/383157019" TargetMode="External"/><Relationship Id="rId2433" Type="http://schemas.openxmlformats.org/officeDocument/2006/relationships/hyperlink" Target="https://creativecommons.org/licenses/by-nc/4.0/" TargetMode="External"/><Relationship Id="rId2434" Type="http://schemas.openxmlformats.org/officeDocument/2006/relationships/hyperlink" Target="https://www.inaturalist.org/observations/383156770" TargetMode="External"/><Relationship Id="rId2435" Type="http://schemas.openxmlformats.org/officeDocument/2006/relationships/hyperlink" Target="https://creativecommons.org/licenses/by-nc/4.0/" TargetMode="External"/><Relationship Id="rId2436" Type="http://schemas.openxmlformats.org/officeDocument/2006/relationships/hyperlink" Target="https://www.inaturalist.org/observations/383156691" TargetMode="External"/><Relationship Id="rId2437" Type="http://schemas.openxmlformats.org/officeDocument/2006/relationships/hyperlink" Target="https://creativecommons.org/licenses/by-nc/4.0/" TargetMode="External"/><Relationship Id="rId2438" Type="http://schemas.openxmlformats.org/officeDocument/2006/relationships/hyperlink" Target="https://www.inaturalist.org/observations/383156612" TargetMode="External"/><Relationship Id="rId2439" Type="http://schemas.openxmlformats.org/officeDocument/2006/relationships/hyperlink" Target="https://creativecommons.org/licenses/by-nc/4.0/" TargetMode="External"/><Relationship Id="rId2440" Type="http://schemas.openxmlformats.org/officeDocument/2006/relationships/hyperlink" Target="https://www.inaturalist.org/observations/383156563" TargetMode="External"/><Relationship Id="rId2441" Type="http://schemas.openxmlformats.org/officeDocument/2006/relationships/hyperlink" Target="https://creativecommons.org/licenses/by-nc/4.0/" TargetMode="External"/><Relationship Id="rId2442" Type="http://schemas.openxmlformats.org/officeDocument/2006/relationships/hyperlink" Target="https://www.inaturalist.org/observations/383156507" TargetMode="External"/><Relationship Id="rId2443" Type="http://schemas.openxmlformats.org/officeDocument/2006/relationships/hyperlink" Target="https://creativecommons.org/licenses/by-nc/4.0/" TargetMode="External"/><Relationship Id="rId2444" Type="http://schemas.openxmlformats.org/officeDocument/2006/relationships/hyperlink" Target="https://www.inaturalist.org/observations/383156483" TargetMode="External"/><Relationship Id="rId2445" Type="http://schemas.openxmlformats.org/officeDocument/2006/relationships/hyperlink" Target="https://creativecommons.org/licenses/by-nc/4.0/" TargetMode="External"/><Relationship Id="rId2446" Type="http://schemas.openxmlformats.org/officeDocument/2006/relationships/hyperlink" Target="https://www.inaturalist.org/observations/383156478" TargetMode="External"/><Relationship Id="rId2447" Type="http://schemas.openxmlformats.org/officeDocument/2006/relationships/hyperlink" Target="https://creativecommons.org/licenses/by-nc/4.0/" TargetMode="External"/><Relationship Id="rId2448" Type="http://schemas.openxmlformats.org/officeDocument/2006/relationships/hyperlink" Target="https://www.inaturalist.org/observations/383156412" TargetMode="External"/><Relationship Id="rId2449" Type="http://schemas.openxmlformats.org/officeDocument/2006/relationships/hyperlink" Target="https://creativecommons.org/licenses/by-nc/4.0/" TargetMode="External"/><Relationship Id="rId2450" Type="http://schemas.openxmlformats.org/officeDocument/2006/relationships/hyperlink" Target="https://www.inaturalist.org/observations/383156315" TargetMode="External"/><Relationship Id="rId2451" Type="http://schemas.openxmlformats.org/officeDocument/2006/relationships/hyperlink" Target="https://creativecommons.org/licenses/by-nc/4.0/" TargetMode="External"/><Relationship Id="rId2452" Type="http://schemas.openxmlformats.org/officeDocument/2006/relationships/hyperlink" Target="https://www.inaturalist.org/observations/383156265" TargetMode="External"/><Relationship Id="rId2453" Type="http://schemas.openxmlformats.org/officeDocument/2006/relationships/hyperlink" Target="https://creativecommons.org/licenses/by-nc/4.0/" TargetMode="External"/><Relationship Id="rId2454" Type="http://schemas.openxmlformats.org/officeDocument/2006/relationships/hyperlink" Target="https://www.inaturalist.org/observations/383156261" TargetMode="External"/><Relationship Id="rId2455" Type="http://schemas.openxmlformats.org/officeDocument/2006/relationships/hyperlink" Target="https://creativecommons.org/licenses/by-nc/4.0/" TargetMode="External"/><Relationship Id="rId2456" Type="http://schemas.openxmlformats.org/officeDocument/2006/relationships/hyperlink" Target="https://www.inaturalist.org/observations/383156256" TargetMode="External"/><Relationship Id="rId2457" Type="http://schemas.openxmlformats.org/officeDocument/2006/relationships/hyperlink" Target="https://creativecommons.org/licenses/by-nc/4.0/" TargetMode="External"/><Relationship Id="rId2458" Type="http://schemas.openxmlformats.org/officeDocument/2006/relationships/hyperlink" Target="https://www.inaturalist.org/observations/383156254" TargetMode="External"/><Relationship Id="rId2459" Type="http://schemas.openxmlformats.org/officeDocument/2006/relationships/hyperlink" Target="https://creativecommons.org/licenses/by-nc/4.0/" TargetMode="External"/><Relationship Id="rId2460" Type="http://schemas.openxmlformats.org/officeDocument/2006/relationships/hyperlink" Target="https://www.inaturalist.org/observations/383156122" TargetMode="External"/><Relationship Id="rId2461" Type="http://schemas.openxmlformats.org/officeDocument/2006/relationships/hyperlink" Target="https://creativecommons.org/licenses/by-nc/4.0/" TargetMode="External"/><Relationship Id="rId2462" Type="http://schemas.openxmlformats.org/officeDocument/2006/relationships/hyperlink" Target="https://www.inaturalist.org/observations/383156074" TargetMode="External"/><Relationship Id="rId2463" Type="http://schemas.openxmlformats.org/officeDocument/2006/relationships/hyperlink" Target="https://creativecommons.org/licenses/by-nc/4.0/" TargetMode="External"/><Relationship Id="rId2464" Type="http://schemas.openxmlformats.org/officeDocument/2006/relationships/hyperlink" Target="https://www.inaturalist.org/observations/383156062" TargetMode="External"/><Relationship Id="rId2465" Type="http://schemas.openxmlformats.org/officeDocument/2006/relationships/hyperlink" Target="https://creativecommons.org/licenses/by-nc/4.0/" TargetMode="External"/><Relationship Id="rId2466" Type="http://schemas.openxmlformats.org/officeDocument/2006/relationships/hyperlink" Target="https://www.inaturalist.org/observations/383156061" TargetMode="External"/><Relationship Id="rId2467" Type="http://schemas.openxmlformats.org/officeDocument/2006/relationships/hyperlink" Target="https://creativecommons.org/licenses/by-nc/4.0/" TargetMode="External"/><Relationship Id="rId2468" Type="http://schemas.openxmlformats.org/officeDocument/2006/relationships/hyperlink" Target="https://www.inaturalist.org/observations/383156058" TargetMode="External"/><Relationship Id="rId2469" Type="http://schemas.openxmlformats.org/officeDocument/2006/relationships/hyperlink" Target="https://creativecommons.org/licenses/by-nc/4.0/" TargetMode="External"/><Relationship Id="rId2470" Type="http://schemas.openxmlformats.org/officeDocument/2006/relationships/hyperlink" Target="https://www.inaturalist.org/observations/383156054" TargetMode="External"/><Relationship Id="rId2471" Type="http://schemas.openxmlformats.org/officeDocument/2006/relationships/hyperlink" Target="https://creativecommons.org/licenses/by-nc/4.0/" TargetMode="External"/><Relationship Id="rId2472" Type="http://schemas.openxmlformats.org/officeDocument/2006/relationships/hyperlink" Target="https://www.inaturalist.org/observations/383156045" TargetMode="External"/><Relationship Id="rId2473" Type="http://schemas.openxmlformats.org/officeDocument/2006/relationships/hyperlink" Target="https://creativecommons.org/licenses/by-nc/4.0/" TargetMode="External"/><Relationship Id="rId2474" Type="http://schemas.openxmlformats.org/officeDocument/2006/relationships/hyperlink" Target="https://www.inaturalist.org/observations/383156041" TargetMode="External"/><Relationship Id="rId2475" Type="http://schemas.openxmlformats.org/officeDocument/2006/relationships/hyperlink" Target="https://creativecommons.org/licenses/by-nc/4.0/" TargetMode="External"/><Relationship Id="rId2476" Type="http://schemas.openxmlformats.org/officeDocument/2006/relationships/hyperlink" Target="https://www.inaturalist.org/observations/383156036" TargetMode="External"/><Relationship Id="rId2477" Type="http://schemas.openxmlformats.org/officeDocument/2006/relationships/hyperlink" Target="https://creativecommons.org/licenses/by-nc/4.0/" TargetMode="External"/><Relationship Id="rId2478" Type="http://schemas.openxmlformats.org/officeDocument/2006/relationships/hyperlink" Target="https://www.inaturalist.org/observations/383155832" TargetMode="External"/><Relationship Id="rId2479" Type="http://schemas.openxmlformats.org/officeDocument/2006/relationships/hyperlink" Target="https://creativecommons.org/licenses/by-nc/4.0/" TargetMode="External"/><Relationship Id="rId2480" Type="http://schemas.openxmlformats.org/officeDocument/2006/relationships/hyperlink" Target="https://www.inaturalist.org/observations/383155792" TargetMode="External"/><Relationship Id="rId2481" Type="http://schemas.openxmlformats.org/officeDocument/2006/relationships/hyperlink" Target="https://creativecommons.org/licenses/by-nc/4.0/" TargetMode="External"/><Relationship Id="rId2482" Type="http://schemas.openxmlformats.org/officeDocument/2006/relationships/hyperlink" Target="https://www.inaturalist.org/observations/383155582" TargetMode="External"/><Relationship Id="rId2483" Type="http://schemas.openxmlformats.org/officeDocument/2006/relationships/hyperlink" Target="https://creativecommons.org/licenses/by-nc/4.0/" TargetMode="External"/><Relationship Id="rId2484" Type="http://schemas.openxmlformats.org/officeDocument/2006/relationships/hyperlink" Target="https://www.inaturalist.org/observations/383155537" TargetMode="External"/><Relationship Id="rId2485" Type="http://schemas.openxmlformats.org/officeDocument/2006/relationships/hyperlink" Target="https://creativecommons.org/licenses/by-nc/4.0/" TargetMode="External"/><Relationship Id="rId2486" Type="http://schemas.openxmlformats.org/officeDocument/2006/relationships/hyperlink" Target="https://www.inaturalist.org/observations/383155519" TargetMode="External"/><Relationship Id="rId2487" Type="http://schemas.openxmlformats.org/officeDocument/2006/relationships/hyperlink" Target="https://creativecommons.org/licenses/by-nc/4.0/" TargetMode="External"/><Relationship Id="rId2488" Type="http://schemas.openxmlformats.org/officeDocument/2006/relationships/hyperlink" Target="https://www.inaturalist.org/observations/383155324" TargetMode="External"/><Relationship Id="rId2489" Type="http://schemas.openxmlformats.org/officeDocument/2006/relationships/hyperlink" Target="https://creativecommons.org/licenses/by-nc/4.0/" TargetMode="External"/><Relationship Id="rId2490" Type="http://schemas.openxmlformats.org/officeDocument/2006/relationships/hyperlink" Target="https://www.inaturalist.org/observations/383155180" TargetMode="External"/><Relationship Id="rId2491" Type="http://schemas.openxmlformats.org/officeDocument/2006/relationships/hyperlink" Target="https://creativecommons.org/licenses/by-nc/4.0/" TargetMode="External"/><Relationship Id="rId2492" Type="http://schemas.openxmlformats.org/officeDocument/2006/relationships/hyperlink" Target="https://www.inaturalist.org/observations/383155179" TargetMode="External"/><Relationship Id="rId2493" Type="http://schemas.openxmlformats.org/officeDocument/2006/relationships/hyperlink" Target="https://creativecommons.org/licenses/by-nc/4.0/" TargetMode="External"/><Relationship Id="rId2494" Type="http://schemas.openxmlformats.org/officeDocument/2006/relationships/hyperlink" Target="https://www.inaturalist.org/observations/383155151" TargetMode="External"/><Relationship Id="rId2495" Type="http://schemas.openxmlformats.org/officeDocument/2006/relationships/hyperlink" Target="https://creativecommons.org/licenses/by-nc/4.0/" TargetMode="External"/><Relationship Id="rId2496" Type="http://schemas.openxmlformats.org/officeDocument/2006/relationships/hyperlink" Target="https://www.inaturalist.org/observations/383154981" TargetMode="External"/><Relationship Id="rId2497" Type="http://schemas.openxmlformats.org/officeDocument/2006/relationships/hyperlink" Target="https://creativecommons.org/licenses/by-nc/4.0/" TargetMode="External"/><Relationship Id="rId2498" Type="http://schemas.openxmlformats.org/officeDocument/2006/relationships/hyperlink" Target="https://www.inaturalist.org/observations/383154965" TargetMode="External"/><Relationship Id="rId2499" Type="http://schemas.openxmlformats.org/officeDocument/2006/relationships/hyperlink" Target="https://creativecommons.org/licenses/by-nc/4.0/" TargetMode="External"/><Relationship Id="rId2500" Type="http://schemas.openxmlformats.org/officeDocument/2006/relationships/hyperlink" Target="https://www.inaturalist.org/observations/383154876" TargetMode="External"/><Relationship Id="rId2501" Type="http://schemas.openxmlformats.org/officeDocument/2006/relationships/hyperlink" Target="https://creativecommons.org/licenses/by-nc/4.0/" TargetMode="External"/><Relationship Id="rId2502" Type="http://schemas.openxmlformats.org/officeDocument/2006/relationships/hyperlink" Target="https://www.inaturalist.org/observations/383154800" TargetMode="External"/><Relationship Id="rId2503" Type="http://schemas.openxmlformats.org/officeDocument/2006/relationships/hyperlink" Target="https://creativecommons.org/licenses/by-nc/4.0/" TargetMode="External"/><Relationship Id="rId2504" Type="http://schemas.openxmlformats.org/officeDocument/2006/relationships/hyperlink" Target="https://www.inaturalist.org/observations/383154660" TargetMode="External"/><Relationship Id="rId2505" Type="http://schemas.openxmlformats.org/officeDocument/2006/relationships/hyperlink" Target="https://creativecommons.org/licenses/by-nc/4.0/" TargetMode="External"/><Relationship Id="rId2506" Type="http://schemas.openxmlformats.org/officeDocument/2006/relationships/hyperlink" Target="https://www.inaturalist.org/observations/383154276" TargetMode="External"/><Relationship Id="rId2507" Type="http://schemas.openxmlformats.org/officeDocument/2006/relationships/hyperlink" Target="https://creativecommons.org/licenses/by-nc/4.0/" TargetMode="External"/><Relationship Id="rId2508" Type="http://schemas.openxmlformats.org/officeDocument/2006/relationships/hyperlink" Target="https://www.inaturalist.org/observations/383154195" TargetMode="External"/><Relationship Id="rId2509" Type="http://schemas.openxmlformats.org/officeDocument/2006/relationships/hyperlink" Target="https://creativecommons.org/licenses/by-nc/4.0/" TargetMode="External"/><Relationship Id="rId2510" Type="http://schemas.openxmlformats.org/officeDocument/2006/relationships/hyperlink" Target="https://www.inaturalist.org/observations/383153977" TargetMode="External"/><Relationship Id="rId2511" Type="http://schemas.openxmlformats.org/officeDocument/2006/relationships/hyperlink" Target="https://creativecommons.org/licenses/by-nc/4.0/" TargetMode="External"/><Relationship Id="rId2512" Type="http://schemas.openxmlformats.org/officeDocument/2006/relationships/hyperlink" Target="https://www.inaturalist.org/observations/383153967" TargetMode="External"/><Relationship Id="rId2513" Type="http://schemas.openxmlformats.org/officeDocument/2006/relationships/hyperlink" Target="https://creativecommons.org/licenses/by-nc/4.0/" TargetMode="External"/><Relationship Id="rId2514" Type="http://schemas.openxmlformats.org/officeDocument/2006/relationships/hyperlink" Target="https://www.inaturalist.org/observations/383153960" TargetMode="External"/><Relationship Id="rId2515" Type="http://schemas.openxmlformats.org/officeDocument/2006/relationships/hyperlink" Target="https://creativecommons.org/licenses/by-nc/4.0/" TargetMode="External"/><Relationship Id="rId2516" Type="http://schemas.openxmlformats.org/officeDocument/2006/relationships/hyperlink" Target="https://www.inaturalist.org/observations/383153734" TargetMode="External"/><Relationship Id="rId2517" Type="http://schemas.openxmlformats.org/officeDocument/2006/relationships/hyperlink" Target="https://creativecommons.org/licenses/by-nc/4.0/" TargetMode="External"/><Relationship Id="rId2518" Type="http://schemas.openxmlformats.org/officeDocument/2006/relationships/hyperlink" Target="https://www.inaturalist.org/observations/383153725" TargetMode="External"/><Relationship Id="rId2519" Type="http://schemas.openxmlformats.org/officeDocument/2006/relationships/hyperlink" Target="https://creativecommons.org/licenses/by-nc/4.0/" TargetMode="External"/><Relationship Id="rId2520" Type="http://schemas.openxmlformats.org/officeDocument/2006/relationships/hyperlink" Target="https://www.inaturalist.org/observations/383153721" TargetMode="External"/><Relationship Id="rId2521" Type="http://schemas.openxmlformats.org/officeDocument/2006/relationships/hyperlink" Target="https://creativecommons.org/licenses/by-nc/4.0/" TargetMode="External"/><Relationship Id="rId2522" Type="http://schemas.openxmlformats.org/officeDocument/2006/relationships/hyperlink" Target="https://www.inaturalist.org/observations/383153585" TargetMode="External"/><Relationship Id="rId2523" Type="http://schemas.openxmlformats.org/officeDocument/2006/relationships/hyperlink" Target="https://creativecommons.org/licenses/by-nc/4.0/" TargetMode="External"/><Relationship Id="rId2524" Type="http://schemas.openxmlformats.org/officeDocument/2006/relationships/hyperlink" Target="https://www.inaturalist.org/observations/383153468" TargetMode="External"/><Relationship Id="rId2525" Type="http://schemas.openxmlformats.org/officeDocument/2006/relationships/hyperlink" Target="https://creativecommons.org/licenses/by-nc/4.0/" TargetMode="External"/><Relationship Id="rId2526" Type="http://schemas.openxmlformats.org/officeDocument/2006/relationships/hyperlink" Target="https://www.inaturalist.org/observations/383153463" TargetMode="External"/><Relationship Id="rId2527" Type="http://schemas.openxmlformats.org/officeDocument/2006/relationships/hyperlink" Target="https://creativecommons.org/licenses/by-nc/4.0/" TargetMode="External"/><Relationship Id="rId2528" Type="http://schemas.openxmlformats.org/officeDocument/2006/relationships/hyperlink" Target="https://www.inaturalist.org/observations/383153346" TargetMode="External"/><Relationship Id="rId2529" Type="http://schemas.openxmlformats.org/officeDocument/2006/relationships/hyperlink" Target="https://creativecommons.org/licenses/by-nc/4.0/" TargetMode="External"/><Relationship Id="rId2530" Type="http://schemas.openxmlformats.org/officeDocument/2006/relationships/hyperlink" Target="https://www.inaturalist.org/observations/383153323" TargetMode="External"/><Relationship Id="rId2531" Type="http://schemas.openxmlformats.org/officeDocument/2006/relationships/hyperlink" Target="https://creativecommons.org/licenses/by-nc/4.0/" TargetMode="External"/><Relationship Id="rId2532" Type="http://schemas.openxmlformats.org/officeDocument/2006/relationships/hyperlink" Target="https://www.inaturalist.org/observations/383153252" TargetMode="External"/><Relationship Id="rId2533" Type="http://schemas.openxmlformats.org/officeDocument/2006/relationships/hyperlink" Target="https://creativecommons.org/licenses/by-nc/4.0/" TargetMode="External"/><Relationship Id="rId2534" Type="http://schemas.openxmlformats.org/officeDocument/2006/relationships/hyperlink" Target="https://www.inaturalist.org/observations/383153162" TargetMode="External"/><Relationship Id="rId2535" Type="http://schemas.openxmlformats.org/officeDocument/2006/relationships/hyperlink" Target="https://creativecommons.org/licenses/by-nc/4.0/" TargetMode="External"/><Relationship Id="rId2536" Type="http://schemas.openxmlformats.org/officeDocument/2006/relationships/hyperlink" Target="https://www.inaturalist.org/observations/383152584" TargetMode="External"/><Relationship Id="rId2537" Type="http://schemas.openxmlformats.org/officeDocument/2006/relationships/hyperlink" Target="https://creativecommons.org/licenses/by-nc/4.0/" TargetMode="External"/><Relationship Id="rId2538" Type="http://schemas.openxmlformats.org/officeDocument/2006/relationships/hyperlink" Target="https://www.inaturalist.org/observations/383152564" TargetMode="External"/><Relationship Id="rId2539" Type="http://schemas.openxmlformats.org/officeDocument/2006/relationships/hyperlink" Target="https://creativecommons.org/licenses/by-nc/4.0/" TargetMode="External"/><Relationship Id="rId2540" Type="http://schemas.openxmlformats.org/officeDocument/2006/relationships/hyperlink" Target="https://www.inaturalist.org/observations/383152466" TargetMode="External"/><Relationship Id="rId2541" Type="http://schemas.openxmlformats.org/officeDocument/2006/relationships/hyperlink" Target="https://creativecommons.org/licenses/by-nc/4.0/" TargetMode="External"/><Relationship Id="rId2542" Type="http://schemas.openxmlformats.org/officeDocument/2006/relationships/hyperlink" Target="https://www.inaturalist.org/observations/383152340" TargetMode="External"/><Relationship Id="rId2543" Type="http://schemas.openxmlformats.org/officeDocument/2006/relationships/hyperlink" Target="https://creativecommons.org/licenses/by-nc/4.0/" TargetMode="External"/><Relationship Id="rId2544" Type="http://schemas.openxmlformats.org/officeDocument/2006/relationships/hyperlink" Target="https://www.inaturalist.org/observations/383152321" TargetMode="External"/><Relationship Id="rId2545" Type="http://schemas.openxmlformats.org/officeDocument/2006/relationships/hyperlink" Target="https://creativecommons.org/licenses/by-nc/4.0/" TargetMode="External"/><Relationship Id="rId2546" Type="http://schemas.openxmlformats.org/officeDocument/2006/relationships/hyperlink" Target="https://www.inaturalist.org/observations/383152222" TargetMode="External"/><Relationship Id="rId2547" Type="http://schemas.openxmlformats.org/officeDocument/2006/relationships/hyperlink" Target="https://creativecommons.org/licenses/by-nc/4.0/" TargetMode="External"/><Relationship Id="rId2548" Type="http://schemas.openxmlformats.org/officeDocument/2006/relationships/hyperlink" Target="https://www.inaturalist.org/observations/383152192" TargetMode="External"/><Relationship Id="rId2549" Type="http://schemas.openxmlformats.org/officeDocument/2006/relationships/hyperlink" Target="https://creativecommons.org/licenses/by-nc/4.0/" TargetMode="External"/><Relationship Id="rId2550" Type="http://schemas.openxmlformats.org/officeDocument/2006/relationships/hyperlink" Target="https://www.inaturalist.org/observations/383152004" TargetMode="External"/><Relationship Id="rId2551" Type="http://schemas.openxmlformats.org/officeDocument/2006/relationships/hyperlink" Target="https://creativecommons.org/licenses/by-nc/4.0/" TargetMode="External"/><Relationship Id="rId2552" Type="http://schemas.openxmlformats.org/officeDocument/2006/relationships/hyperlink" Target="https://www.inaturalist.org/observations/383152002" TargetMode="External"/><Relationship Id="rId2553" Type="http://schemas.openxmlformats.org/officeDocument/2006/relationships/hyperlink" Target="https://creativecommons.org/licenses/by-nc/4.0/" TargetMode="External"/><Relationship Id="rId2554" Type="http://schemas.openxmlformats.org/officeDocument/2006/relationships/hyperlink" Target="https://www.inaturalist.org/observations/383151998" TargetMode="External"/><Relationship Id="rId2555" Type="http://schemas.openxmlformats.org/officeDocument/2006/relationships/hyperlink" Target="https://creativecommons.org/licenses/by-nc/4.0/" TargetMode="External"/><Relationship Id="rId2556" Type="http://schemas.openxmlformats.org/officeDocument/2006/relationships/hyperlink" Target="https://www.inaturalist.org/observations/383151991" TargetMode="External"/><Relationship Id="rId2557" Type="http://schemas.openxmlformats.org/officeDocument/2006/relationships/hyperlink" Target="https://creativecommons.org/licenses/by-nc/4.0/" TargetMode="External"/><Relationship Id="rId2558" Type="http://schemas.openxmlformats.org/officeDocument/2006/relationships/hyperlink" Target="https://www.inaturalist.org/observations/383151986" TargetMode="External"/><Relationship Id="rId2559" Type="http://schemas.openxmlformats.org/officeDocument/2006/relationships/hyperlink" Target="https://creativecommons.org/licenses/by-nc/4.0/" TargetMode="External"/><Relationship Id="rId2560" Type="http://schemas.openxmlformats.org/officeDocument/2006/relationships/hyperlink" Target="https://www.inaturalist.org/observations/383151555" TargetMode="External"/><Relationship Id="rId2561" Type="http://schemas.openxmlformats.org/officeDocument/2006/relationships/hyperlink" Target="https://creativecommons.org/licenses/by-nc/4.0/" TargetMode="External"/><Relationship Id="rId2562" Type="http://schemas.openxmlformats.org/officeDocument/2006/relationships/hyperlink" Target="https://www.inaturalist.org/observations/383151167" TargetMode="External"/><Relationship Id="rId2563" Type="http://schemas.openxmlformats.org/officeDocument/2006/relationships/hyperlink" Target="https://creativecommons.org/licenses/by-nc/4.0/" TargetMode="External"/><Relationship Id="rId2564" Type="http://schemas.openxmlformats.org/officeDocument/2006/relationships/hyperlink" Target="https://www.inaturalist.org/observations/383151075" TargetMode="External"/><Relationship Id="rId2565" Type="http://schemas.openxmlformats.org/officeDocument/2006/relationships/hyperlink" Target="https://creativecommons.org/licenses/by-nc/4.0/" TargetMode="External"/><Relationship Id="rId2566" Type="http://schemas.openxmlformats.org/officeDocument/2006/relationships/hyperlink" Target="https://www.inaturalist.org/observations/383151064" TargetMode="External"/><Relationship Id="rId2567" Type="http://schemas.openxmlformats.org/officeDocument/2006/relationships/hyperlink" Target="https://creativecommons.org/licenses/by-nc/4.0/" TargetMode="External"/><Relationship Id="rId2568" Type="http://schemas.openxmlformats.org/officeDocument/2006/relationships/hyperlink" Target="https://www.inaturalist.org/observations/383151058" TargetMode="External"/><Relationship Id="rId2569" Type="http://schemas.openxmlformats.org/officeDocument/2006/relationships/hyperlink" Target="https://creativecommons.org/licenses/by-nc/4.0/" TargetMode="External"/><Relationship Id="rId2570" Type="http://schemas.openxmlformats.org/officeDocument/2006/relationships/hyperlink" Target="https://www.inaturalist.org/observations/383150704" TargetMode="External"/><Relationship Id="rId2571" Type="http://schemas.openxmlformats.org/officeDocument/2006/relationships/hyperlink" Target="https://creativecommons.org/licenses/by-nc/4.0/" TargetMode="External"/><Relationship Id="rId2572" Type="http://schemas.openxmlformats.org/officeDocument/2006/relationships/hyperlink" Target="https://www.inaturalist.org/observations/383150550" TargetMode="External"/><Relationship Id="rId2573" Type="http://schemas.openxmlformats.org/officeDocument/2006/relationships/hyperlink" Target="https://creativecommons.org/licenses/by-nc/4.0/" TargetMode="External"/><Relationship Id="rId2574" Type="http://schemas.openxmlformats.org/officeDocument/2006/relationships/hyperlink" Target="https://www.inaturalist.org/observations/383150440" TargetMode="External"/><Relationship Id="rId2575" Type="http://schemas.openxmlformats.org/officeDocument/2006/relationships/hyperlink" Target="https://creativecommons.org/licenses/by-nc/4.0/" TargetMode="External"/><Relationship Id="rId2576" Type="http://schemas.openxmlformats.org/officeDocument/2006/relationships/hyperlink" Target="https://www.inaturalist.org/observations/383150345" TargetMode="External"/><Relationship Id="rId2577" Type="http://schemas.openxmlformats.org/officeDocument/2006/relationships/hyperlink" Target="https://creativecommons.org/licenses/by-nc/4.0/" TargetMode="External"/><Relationship Id="rId2578" Type="http://schemas.openxmlformats.org/officeDocument/2006/relationships/hyperlink" Target="https://www.inaturalist.org/observations/383150329" TargetMode="External"/><Relationship Id="rId2579" Type="http://schemas.openxmlformats.org/officeDocument/2006/relationships/hyperlink" Target="https://creativecommons.org/licenses/by-nc/4.0/" TargetMode="External"/><Relationship Id="rId2580" Type="http://schemas.openxmlformats.org/officeDocument/2006/relationships/hyperlink" Target="https://www.inaturalist.org/observations/383150195" TargetMode="External"/><Relationship Id="rId2581" Type="http://schemas.openxmlformats.org/officeDocument/2006/relationships/hyperlink" Target="https://creativecommons.org/licenses/by-nc/4.0/" TargetMode="External"/><Relationship Id="rId2582" Type="http://schemas.openxmlformats.org/officeDocument/2006/relationships/hyperlink" Target="https://www.inaturalist.org/observations/383150191" TargetMode="External"/><Relationship Id="rId2583" Type="http://schemas.openxmlformats.org/officeDocument/2006/relationships/hyperlink" Target="https://creativecommons.org/licenses/by-nc/4.0/" TargetMode="External"/><Relationship Id="rId2584" Type="http://schemas.openxmlformats.org/officeDocument/2006/relationships/hyperlink" Target="https://www.inaturalist.org/observations/383150152" TargetMode="External"/><Relationship Id="rId2585" Type="http://schemas.openxmlformats.org/officeDocument/2006/relationships/hyperlink" Target="https://creativecommons.org/licenses/by-nc/4.0/" TargetMode="External"/><Relationship Id="rId2586" Type="http://schemas.openxmlformats.org/officeDocument/2006/relationships/hyperlink" Target="https://www.inaturalist.org/observations/383150137" TargetMode="External"/><Relationship Id="rId2587" Type="http://schemas.openxmlformats.org/officeDocument/2006/relationships/hyperlink" Target="https://creativecommons.org/licenses/by-nc/4.0/" TargetMode="External"/><Relationship Id="rId2588" Type="http://schemas.openxmlformats.org/officeDocument/2006/relationships/hyperlink" Target="https://www.inaturalist.org/observations/383150065" TargetMode="External"/><Relationship Id="rId2589" Type="http://schemas.openxmlformats.org/officeDocument/2006/relationships/hyperlink" Target="https://creativecommons.org/licenses/by-nc/4.0/" TargetMode="External"/><Relationship Id="rId2590" Type="http://schemas.openxmlformats.org/officeDocument/2006/relationships/hyperlink" Target="https://www.inaturalist.org/observations/383150007" TargetMode="External"/><Relationship Id="rId2591" Type="http://schemas.openxmlformats.org/officeDocument/2006/relationships/hyperlink" Target="https://creativecommons.org/licenses/by-nc/4.0/" TargetMode="External"/><Relationship Id="rId2592" Type="http://schemas.openxmlformats.org/officeDocument/2006/relationships/hyperlink" Target="https://www.inaturalist.org/observations/383149997" TargetMode="External"/><Relationship Id="rId2593" Type="http://schemas.openxmlformats.org/officeDocument/2006/relationships/hyperlink" Target="https://creativecommons.org/licenses/by-nc/4.0/" TargetMode="External"/><Relationship Id="rId2594" Type="http://schemas.openxmlformats.org/officeDocument/2006/relationships/hyperlink" Target="https://www.inaturalist.org/observations/383149785" TargetMode="External"/><Relationship Id="rId2595" Type="http://schemas.openxmlformats.org/officeDocument/2006/relationships/hyperlink" Target="https://creativecommons.org/licenses/by-nc/4.0/" TargetMode="External"/><Relationship Id="rId2596" Type="http://schemas.openxmlformats.org/officeDocument/2006/relationships/hyperlink" Target="https://www.inaturalist.org/observations/383149753" TargetMode="External"/><Relationship Id="rId2597" Type="http://schemas.openxmlformats.org/officeDocument/2006/relationships/hyperlink" Target="https://creativecommons.org/licenses/by-nc/4.0/" TargetMode="External"/><Relationship Id="rId2598" Type="http://schemas.openxmlformats.org/officeDocument/2006/relationships/hyperlink" Target="https://www.inaturalist.org/observations/383149549" TargetMode="External"/><Relationship Id="rId2599" Type="http://schemas.openxmlformats.org/officeDocument/2006/relationships/hyperlink" Target="https://creativecommons.org/licenses/by-nc/4.0/" TargetMode="External"/><Relationship Id="rId2600" Type="http://schemas.openxmlformats.org/officeDocument/2006/relationships/hyperlink" Target="https://www.inaturalist.org/observations/383149495" TargetMode="External"/><Relationship Id="rId2601" Type="http://schemas.openxmlformats.org/officeDocument/2006/relationships/hyperlink" Target="https://creativecommons.org/licenses/by-nc/4.0/" TargetMode="External"/><Relationship Id="rId2602" Type="http://schemas.openxmlformats.org/officeDocument/2006/relationships/hyperlink" Target="https://www.inaturalist.org/observations/383178344" TargetMode="External"/><Relationship Id="rId2603" Type="http://schemas.openxmlformats.org/officeDocument/2006/relationships/hyperlink" Target="https://creativecommons.org/licenses/by-nc/4.0/" TargetMode="External"/><Relationship Id="rId2604" Type="http://schemas.openxmlformats.org/officeDocument/2006/relationships/hyperlink" Target="https://www.inaturalist.org/observations/383177676" TargetMode="External"/><Relationship Id="rId2605" Type="http://schemas.openxmlformats.org/officeDocument/2006/relationships/hyperlink" Target="https://creativecommons.org/licenses/by-nc/4.0/" TargetMode="External"/><Relationship Id="rId2606" Type="http://schemas.openxmlformats.org/officeDocument/2006/relationships/hyperlink" Target="https://www.inaturalist.org/observations/383169954" TargetMode="External"/><Relationship Id="rId2607" Type="http://schemas.openxmlformats.org/officeDocument/2006/relationships/hyperlink" Target="https://creativecommons.org/licenses/by-nc/4.0/" TargetMode="External"/><Relationship Id="rId2608" Type="http://schemas.openxmlformats.org/officeDocument/2006/relationships/hyperlink" Target="https://www.inaturalist.org/observations/383156220" TargetMode="External"/><Relationship Id="rId2609" Type="http://schemas.openxmlformats.org/officeDocument/2006/relationships/hyperlink" Target="https://creativecommons.org/licenses/by-nc/4.0/" TargetMode="External"/><Relationship Id="rId2610" Type="http://schemas.openxmlformats.org/officeDocument/2006/relationships/hyperlink" Target="https://www.inaturalist.org/observations/383136251" TargetMode="External"/><Relationship Id="rId2611" Type="http://schemas.openxmlformats.org/officeDocument/2006/relationships/hyperlink" Target="https://creativecommons.org/licenses/by-nc/4.0/" TargetMode="External"/><Relationship Id="rId2612" Type="http://schemas.openxmlformats.org/officeDocument/2006/relationships/hyperlink" Target="https://www.inaturalist.org/observations/383127277" TargetMode="External"/><Relationship Id="rId2613" Type="http://schemas.openxmlformats.org/officeDocument/2006/relationships/hyperlink" Target="https://creativecommons.org/licenses/by-nc/4.0/" TargetMode="External"/><Relationship Id="rId2614" Type="http://schemas.openxmlformats.org/officeDocument/2006/relationships/hyperlink" Target="https://www.inaturalist.org/observations/383088727" TargetMode="External"/><Relationship Id="rId2615" Type="http://schemas.openxmlformats.org/officeDocument/2006/relationships/hyperlink" Target="https://creativecommons.org/licenses/by-nc/4.0/" TargetMode="External"/><Relationship Id="rId2616" Type="http://schemas.openxmlformats.org/officeDocument/2006/relationships/hyperlink" Target="https://www.inaturalist.org/observations/383063632" TargetMode="External"/><Relationship Id="rId2617" Type="http://schemas.openxmlformats.org/officeDocument/2006/relationships/hyperlink" Target="https://creativecommons.org/licenses/by-nc/4.0/" TargetMode="External"/><Relationship Id="rId2618" Type="http://schemas.openxmlformats.org/officeDocument/2006/relationships/hyperlink" Target="https://www.inaturalist.org/observations/383045729" TargetMode="External"/><Relationship Id="rId2619" Type="http://schemas.openxmlformats.org/officeDocument/2006/relationships/hyperlink" Target="https://creativecommons.org/licenses/by-nc/4.0/" TargetMode="External"/><Relationship Id="rId2620" Type="http://schemas.openxmlformats.org/officeDocument/2006/relationships/hyperlink" Target="https://www.inaturalist.org/observations/383042745" TargetMode="External"/><Relationship Id="rId2621" Type="http://schemas.openxmlformats.org/officeDocument/2006/relationships/hyperlink" Target="https://creativecommons.org/licenses/by-nc/4.0/" TargetMode="External"/><Relationship Id="rId2622" Type="http://schemas.openxmlformats.org/officeDocument/2006/relationships/hyperlink" Target="https://www.inaturalist.org/observations/383040139" TargetMode="External"/><Relationship Id="rId2623" Type="http://schemas.openxmlformats.org/officeDocument/2006/relationships/hyperlink" Target="https://creativecommons.org/licenses/by-nc/4.0/" TargetMode="External"/><Relationship Id="rId2624" Type="http://schemas.openxmlformats.org/officeDocument/2006/relationships/hyperlink" Target="https://www.inaturalist.org/observations/383022839" TargetMode="External"/><Relationship Id="rId2625" Type="http://schemas.openxmlformats.org/officeDocument/2006/relationships/hyperlink" Target="https://creativecommons.org/licenses/by-nc/4.0/" TargetMode="External"/><Relationship Id="rId2626" Type="http://schemas.openxmlformats.org/officeDocument/2006/relationships/hyperlink" Target="https://www.inaturalist.org/observations/383020577" TargetMode="External"/><Relationship Id="rId2627" Type="http://schemas.openxmlformats.org/officeDocument/2006/relationships/hyperlink" Target="https://creativecommons.org/licenses/by-nc/4.0/" TargetMode="External"/><Relationship Id="rId2628" Type="http://schemas.openxmlformats.org/officeDocument/2006/relationships/hyperlink" Target="https://www.inaturalist.org/observations/382986981" TargetMode="External"/><Relationship Id="rId2629" Type="http://schemas.openxmlformats.org/officeDocument/2006/relationships/hyperlink" Target="https://creativecommons.org/licenses/by-nc/4.0/" TargetMode="External"/><Relationship Id="rId2630" Type="http://schemas.openxmlformats.org/officeDocument/2006/relationships/hyperlink" Target="https://www.inaturalist.org/observations/382980772" TargetMode="External"/><Relationship Id="rId2631" Type="http://schemas.openxmlformats.org/officeDocument/2006/relationships/hyperlink" Target="https://creativecommons.org/licenses/by-nc/4.0/" TargetMode="External"/><Relationship Id="rId2632" Type="http://schemas.openxmlformats.org/officeDocument/2006/relationships/hyperlink" Target="https://www.inaturalist.org/observations/382977522" TargetMode="External"/><Relationship Id="rId2633" Type="http://schemas.openxmlformats.org/officeDocument/2006/relationships/hyperlink" Target="https://creativecommons.org/licenses/by-nc/4.0/" TargetMode="External"/><Relationship Id="rId2634" Type="http://schemas.openxmlformats.org/officeDocument/2006/relationships/hyperlink" Target="https://www.inaturalist.org/observations/382975114" TargetMode="External"/><Relationship Id="rId2635" Type="http://schemas.openxmlformats.org/officeDocument/2006/relationships/hyperlink" Target="https://creativecommons.org/licenses/by-nc/4.0/" TargetMode="External"/><Relationship Id="rId2636" Type="http://schemas.openxmlformats.org/officeDocument/2006/relationships/hyperlink" Target="https://www.inaturalist.org/observations/382964497" TargetMode="External"/><Relationship Id="rId2637" Type="http://schemas.openxmlformats.org/officeDocument/2006/relationships/hyperlink" Target="https://creativecommons.org/licenses/by-nc/4.0/" TargetMode="External"/><Relationship Id="rId2638" Type="http://schemas.openxmlformats.org/officeDocument/2006/relationships/hyperlink" Target="https://www.inaturalist.org/observations/382964438" TargetMode="External"/><Relationship Id="rId2639" Type="http://schemas.openxmlformats.org/officeDocument/2006/relationships/hyperlink" Target="https://creativecommons.org/licenses/by-nc/4.0/" TargetMode="External"/><Relationship Id="rId2640" Type="http://schemas.openxmlformats.org/officeDocument/2006/relationships/hyperlink" Target="https://www.inaturalist.org/observations/382964420" TargetMode="External"/><Relationship Id="rId2641" Type="http://schemas.openxmlformats.org/officeDocument/2006/relationships/hyperlink" Target="https://creativecommons.org/licenses/by-nc/4.0/" TargetMode="External"/><Relationship Id="rId2642" Type="http://schemas.openxmlformats.org/officeDocument/2006/relationships/hyperlink" Target="https://www.inaturalist.org/observations/383180416" TargetMode="External"/><Relationship Id="rId2643" Type="http://schemas.openxmlformats.org/officeDocument/2006/relationships/hyperlink" Target="https://creativecommons.org/licenses/by-nc/4.0/" TargetMode="External"/><Relationship Id="rId2644" Type="http://schemas.openxmlformats.org/officeDocument/2006/relationships/hyperlink" Target="https://www.inaturalist.org/observations/383180207" TargetMode="External"/><Relationship Id="rId2645" Type="http://schemas.openxmlformats.org/officeDocument/2006/relationships/hyperlink" Target="https://creativecommons.org/licenses/by-nc/4.0/" TargetMode="External"/><Relationship Id="rId2646" Type="http://schemas.openxmlformats.org/officeDocument/2006/relationships/hyperlink" Target="https://www.inaturalist.org/observations/383179938" TargetMode="External"/><Relationship Id="rId2647" Type="http://schemas.openxmlformats.org/officeDocument/2006/relationships/hyperlink" Target="https://creativecommons.org/licenses/by-nc/4.0/" TargetMode="External"/><Relationship Id="rId2648" Type="http://schemas.openxmlformats.org/officeDocument/2006/relationships/hyperlink" Target="https://www.inaturalist.org/observations/383179613" TargetMode="External"/><Relationship Id="rId2649" Type="http://schemas.openxmlformats.org/officeDocument/2006/relationships/hyperlink" Target="https://creativecommons.org/licenses/by-nc/4.0/" TargetMode="External"/><Relationship Id="rId2650" Type="http://schemas.openxmlformats.org/officeDocument/2006/relationships/hyperlink" Target="https://www.inaturalist.org/observations/383179520" TargetMode="External"/><Relationship Id="rId2651" Type="http://schemas.openxmlformats.org/officeDocument/2006/relationships/hyperlink" Target="https://creativecommons.org/licenses/by-nc/4.0/" TargetMode="External"/><Relationship Id="rId2652" Type="http://schemas.openxmlformats.org/officeDocument/2006/relationships/hyperlink" Target="https://www.inaturalist.org/observations/383179359" TargetMode="External"/><Relationship Id="rId2653" Type="http://schemas.openxmlformats.org/officeDocument/2006/relationships/hyperlink" Target="https://creativecommons.org/licenses/by-nc/4.0/" TargetMode="External"/><Relationship Id="rId2654" Type="http://schemas.openxmlformats.org/officeDocument/2006/relationships/hyperlink" Target="https://www.inaturalist.org/observations/383179273" TargetMode="External"/><Relationship Id="rId2655" Type="http://schemas.openxmlformats.org/officeDocument/2006/relationships/hyperlink" Target="https://creativecommons.org/licenses/by-nc/4.0/" TargetMode="External"/><Relationship Id="rId2656" Type="http://schemas.openxmlformats.org/officeDocument/2006/relationships/hyperlink" Target="https://www.inaturalist.org/observations/383179175" TargetMode="External"/><Relationship Id="rId2657" Type="http://schemas.openxmlformats.org/officeDocument/2006/relationships/hyperlink" Target="https://creativecommons.org/licenses/by-nc/4.0/" TargetMode="External"/><Relationship Id="rId2658" Type="http://schemas.openxmlformats.org/officeDocument/2006/relationships/hyperlink" Target="https://www.inaturalist.org/observations/383178897" TargetMode="External"/><Relationship Id="rId2659" Type="http://schemas.openxmlformats.org/officeDocument/2006/relationships/hyperlink" Target="https://creativecommons.org/licenses/by-nc/4.0/" TargetMode="External"/><Relationship Id="rId2660" Type="http://schemas.openxmlformats.org/officeDocument/2006/relationships/hyperlink" Target="https://www.inaturalist.org/observations/383178653" TargetMode="External"/><Relationship Id="rId2661" Type="http://schemas.openxmlformats.org/officeDocument/2006/relationships/hyperlink" Target="https://creativecommons.org/licenses/by-nc/4.0/" TargetMode="External"/><Relationship Id="rId2662" Type="http://schemas.openxmlformats.org/officeDocument/2006/relationships/hyperlink" Target="https://www.inaturalist.org/observations/383178556" TargetMode="External"/><Relationship Id="rId2663" Type="http://schemas.openxmlformats.org/officeDocument/2006/relationships/hyperlink" Target="https://creativecommons.org/licenses/by-nc/4.0/" TargetMode="External"/><Relationship Id="rId2664" Type="http://schemas.openxmlformats.org/officeDocument/2006/relationships/hyperlink" Target="https://www.inaturalist.org/observations/383178543" TargetMode="External"/><Relationship Id="rId2665" Type="http://schemas.openxmlformats.org/officeDocument/2006/relationships/hyperlink" Target="https://creativecommons.org/licenses/by-nc/4.0/" TargetMode="External"/><Relationship Id="rId2666" Type="http://schemas.openxmlformats.org/officeDocument/2006/relationships/hyperlink" Target="https://www.inaturalist.org/observations/383178403" TargetMode="External"/><Relationship Id="rId2667" Type="http://schemas.openxmlformats.org/officeDocument/2006/relationships/hyperlink" Target="https://creativecommons.org/licenses/by-nc/4.0/" TargetMode="External"/><Relationship Id="rId2668" Type="http://schemas.openxmlformats.org/officeDocument/2006/relationships/hyperlink" Target="https://www.inaturalist.org/observations/383178182" TargetMode="External"/><Relationship Id="rId2669" Type="http://schemas.openxmlformats.org/officeDocument/2006/relationships/hyperlink" Target="https://creativecommons.org/licenses/by-nc/4.0/" TargetMode="External"/><Relationship Id="rId2670" Type="http://schemas.openxmlformats.org/officeDocument/2006/relationships/hyperlink" Target="https://www.inaturalist.org/observations/383178107" TargetMode="External"/><Relationship Id="rId2671" Type="http://schemas.openxmlformats.org/officeDocument/2006/relationships/hyperlink" Target="https://creativecommons.org/licenses/by-nc/4.0/" TargetMode="External"/><Relationship Id="rId2672" Type="http://schemas.openxmlformats.org/officeDocument/2006/relationships/hyperlink" Target="https://www.inaturalist.org/observations/383178076" TargetMode="External"/><Relationship Id="rId2673" Type="http://schemas.openxmlformats.org/officeDocument/2006/relationships/hyperlink" Target="https://creativecommons.org/licenses/by-nc/4.0/" TargetMode="External"/><Relationship Id="rId2674" Type="http://schemas.openxmlformats.org/officeDocument/2006/relationships/hyperlink" Target="https://www.inaturalist.org/observations/383177729" TargetMode="External"/><Relationship Id="rId2675" Type="http://schemas.openxmlformats.org/officeDocument/2006/relationships/hyperlink" Target="https://creativecommons.org/licenses/by-nc/4.0/" TargetMode="External"/><Relationship Id="rId2676" Type="http://schemas.openxmlformats.org/officeDocument/2006/relationships/hyperlink" Target="https://www.inaturalist.org/observations/383177271" TargetMode="External"/><Relationship Id="rId2677" Type="http://schemas.openxmlformats.org/officeDocument/2006/relationships/hyperlink" Target="https://creativecommons.org/licenses/by-nc/4.0/" TargetMode="External"/><Relationship Id="rId2678" Type="http://schemas.openxmlformats.org/officeDocument/2006/relationships/hyperlink" Target="https://www.inaturalist.org/observations/383177183" TargetMode="External"/><Relationship Id="rId2679" Type="http://schemas.openxmlformats.org/officeDocument/2006/relationships/hyperlink" Target="https://creativecommons.org/licenses/by-nc/4.0/" TargetMode="External"/><Relationship Id="rId2680" Type="http://schemas.openxmlformats.org/officeDocument/2006/relationships/hyperlink" Target="https://www.inaturalist.org/observations/383177126" TargetMode="External"/><Relationship Id="rId2681" Type="http://schemas.openxmlformats.org/officeDocument/2006/relationships/hyperlink" Target="https://creativecommons.org/licenses/by-nc/4.0/" TargetMode="External"/><Relationship Id="rId2682" Type="http://schemas.openxmlformats.org/officeDocument/2006/relationships/hyperlink" Target="https://www.inaturalist.org/observations/383177051" TargetMode="External"/><Relationship Id="rId2683" Type="http://schemas.openxmlformats.org/officeDocument/2006/relationships/hyperlink" Target="https://creativecommons.org/licenses/by-nc/4.0/" TargetMode="External"/><Relationship Id="rId2684" Type="http://schemas.openxmlformats.org/officeDocument/2006/relationships/hyperlink" Target="https://www.inaturalist.org/observations/383176959" TargetMode="External"/><Relationship Id="rId2685" Type="http://schemas.openxmlformats.org/officeDocument/2006/relationships/hyperlink" Target="https://creativecommons.org/licenses/by-nc/4.0/" TargetMode="External"/><Relationship Id="rId2686" Type="http://schemas.openxmlformats.org/officeDocument/2006/relationships/hyperlink" Target="https://www.inaturalist.org/observations/383176786" TargetMode="External"/><Relationship Id="rId2687" Type="http://schemas.openxmlformats.org/officeDocument/2006/relationships/hyperlink" Target="https://creativecommons.org/licenses/by-nc/4.0/" TargetMode="External"/><Relationship Id="rId2688" Type="http://schemas.openxmlformats.org/officeDocument/2006/relationships/hyperlink" Target="https://www.inaturalist.org/observations/383176574" TargetMode="External"/><Relationship Id="rId2689" Type="http://schemas.openxmlformats.org/officeDocument/2006/relationships/hyperlink" Target="https://creativecommons.org/licenses/by-nc/4.0/" TargetMode="External"/><Relationship Id="rId2690" Type="http://schemas.openxmlformats.org/officeDocument/2006/relationships/hyperlink" Target="https://www.inaturalist.org/observations/383176484" TargetMode="External"/><Relationship Id="rId2691" Type="http://schemas.openxmlformats.org/officeDocument/2006/relationships/hyperlink" Target="https://creativecommons.org/licenses/by-nc/4.0/" TargetMode="External"/><Relationship Id="rId2692" Type="http://schemas.openxmlformats.org/officeDocument/2006/relationships/hyperlink" Target="https://www.inaturalist.org/observations/383176478" TargetMode="External"/><Relationship Id="rId2693" Type="http://schemas.openxmlformats.org/officeDocument/2006/relationships/hyperlink" Target="https://creativecommons.org/licenses/by-nc/4.0/" TargetMode="External"/><Relationship Id="rId2694" Type="http://schemas.openxmlformats.org/officeDocument/2006/relationships/hyperlink" Target="https://www.inaturalist.org/observations/383176247" TargetMode="External"/><Relationship Id="rId2695" Type="http://schemas.openxmlformats.org/officeDocument/2006/relationships/hyperlink" Target="https://creativecommons.org/licenses/by-nc/4.0/" TargetMode="External"/><Relationship Id="rId2696" Type="http://schemas.openxmlformats.org/officeDocument/2006/relationships/hyperlink" Target="https://www.inaturalist.org/observations/383175913" TargetMode="External"/><Relationship Id="rId2697" Type="http://schemas.openxmlformats.org/officeDocument/2006/relationships/hyperlink" Target="https://creativecommons.org/licenses/by-nc/4.0/" TargetMode="External"/><Relationship Id="rId2698" Type="http://schemas.openxmlformats.org/officeDocument/2006/relationships/hyperlink" Target="https://www.inaturalist.org/observations/383175798" TargetMode="External"/><Relationship Id="rId2699" Type="http://schemas.openxmlformats.org/officeDocument/2006/relationships/hyperlink" Target="https://creativecommons.org/licenses/by-nc/4.0/" TargetMode="External"/><Relationship Id="rId2700" Type="http://schemas.openxmlformats.org/officeDocument/2006/relationships/hyperlink" Target="https://www.inaturalist.org/observations/383175472" TargetMode="External"/><Relationship Id="rId2701" Type="http://schemas.openxmlformats.org/officeDocument/2006/relationships/hyperlink" Target="https://creativecommons.org/licenses/by-nc/4.0/" TargetMode="External"/><Relationship Id="rId2702" Type="http://schemas.openxmlformats.org/officeDocument/2006/relationships/hyperlink" Target="https://www.inaturalist.org/observations/383175330" TargetMode="External"/><Relationship Id="rId2703" Type="http://schemas.openxmlformats.org/officeDocument/2006/relationships/hyperlink" Target="https://creativecommons.org/licenses/by-nc/4.0/" TargetMode="External"/><Relationship Id="rId2704" Type="http://schemas.openxmlformats.org/officeDocument/2006/relationships/hyperlink" Target="https://www.inaturalist.org/observations/383175252" TargetMode="External"/><Relationship Id="rId2705" Type="http://schemas.openxmlformats.org/officeDocument/2006/relationships/hyperlink" Target="https://creativecommons.org/licenses/by-nc/4.0/" TargetMode="External"/><Relationship Id="rId2706" Type="http://schemas.openxmlformats.org/officeDocument/2006/relationships/hyperlink" Target="https://www.inaturalist.org/observations/383175152" TargetMode="External"/><Relationship Id="rId2707" Type="http://schemas.openxmlformats.org/officeDocument/2006/relationships/hyperlink" Target="https://creativecommons.org/licenses/by-nc/4.0/" TargetMode="External"/><Relationship Id="rId2708" Type="http://schemas.openxmlformats.org/officeDocument/2006/relationships/hyperlink" Target="https://www.inaturalist.org/observations/383175020" TargetMode="External"/><Relationship Id="rId2709" Type="http://schemas.openxmlformats.org/officeDocument/2006/relationships/hyperlink" Target="https://creativecommons.org/licenses/by-nc/4.0/" TargetMode="External"/><Relationship Id="rId2710" Type="http://schemas.openxmlformats.org/officeDocument/2006/relationships/hyperlink" Target="https://www.inaturalist.org/observations/383174946" TargetMode="External"/><Relationship Id="rId2711" Type="http://schemas.openxmlformats.org/officeDocument/2006/relationships/hyperlink" Target="https://creativecommons.org/licenses/by-nc/4.0/" TargetMode="External"/><Relationship Id="rId2712" Type="http://schemas.openxmlformats.org/officeDocument/2006/relationships/hyperlink" Target="https://www.inaturalist.org/observations/383174904" TargetMode="External"/><Relationship Id="rId2713" Type="http://schemas.openxmlformats.org/officeDocument/2006/relationships/hyperlink" Target="https://creativecommons.org/licenses/by-nc/4.0/" TargetMode="External"/><Relationship Id="rId2714" Type="http://schemas.openxmlformats.org/officeDocument/2006/relationships/hyperlink" Target="https://www.inaturalist.org/observations/383174735" TargetMode="External"/><Relationship Id="rId2715" Type="http://schemas.openxmlformats.org/officeDocument/2006/relationships/hyperlink" Target="https://creativecommons.org/licenses/by-nc/4.0/" TargetMode="External"/><Relationship Id="rId2716" Type="http://schemas.openxmlformats.org/officeDocument/2006/relationships/hyperlink" Target="https://www.inaturalist.org/observations/383174585" TargetMode="External"/><Relationship Id="rId2717" Type="http://schemas.openxmlformats.org/officeDocument/2006/relationships/hyperlink" Target="https://creativecommons.org/licenses/by-nc/4.0/" TargetMode="External"/><Relationship Id="rId2718" Type="http://schemas.openxmlformats.org/officeDocument/2006/relationships/hyperlink" Target="https://www.inaturalist.org/observations/383174526" TargetMode="External"/><Relationship Id="rId2719" Type="http://schemas.openxmlformats.org/officeDocument/2006/relationships/hyperlink" Target="https://creativecommons.org/licenses/by-nc/4.0/" TargetMode="External"/><Relationship Id="rId2720" Type="http://schemas.openxmlformats.org/officeDocument/2006/relationships/hyperlink" Target="https://www.inaturalist.org/observations/383174521" TargetMode="External"/><Relationship Id="rId2721" Type="http://schemas.openxmlformats.org/officeDocument/2006/relationships/hyperlink" Target="https://creativecommons.org/licenses/by-nc/4.0/" TargetMode="External"/><Relationship Id="rId2722" Type="http://schemas.openxmlformats.org/officeDocument/2006/relationships/hyperlink" Target="https://www.inaturalist.org/observations/383174386" TargetMode="External"/><Relationship Id="rId2723" Type="http://schemas.openxmlformats.org/officeDocument/2006/relationships/hyperlink" Target="https://creativecommons.org/licenses/by-nc/4.0/" TargetMode="External"/><Relationship Id="rId2724" Type="http://schemas.openxmlformats.org/officeDocument/2006/relationships/hyperlink" Target="https://www.inaturalist.org/observations/383174378" TargetMode="External"/><Relationship Id="rId2725" Type="http://schemas.openxmlformats.org/officeDocument/2006/relationships/hyperlink" Target="https://creativecommons.org/licenses/by-nc/4.0/" TargetMode="External"/><Relationship Id="rId2726" Type="http://schemas.openxmlformats.org/officeDocument/2006/relationships/hyperlink" Target="https://www.inaturalist.org/observations/383174192" TargetMode="External"/><Relationship Id="rId2727" Type="http://schemas.openxmlformats.org/officeDocument/2006/relationships/hyperlink" Target="https://creativecommons.org/licenses/by-nc/4.0/" TargetMode="External"/><Relationship Id="rId2728" Type="http://schemas.openxmlformats.org/officeDocument/2006/relationships/hyperlink" Target="https://www.inaturalist.org/observations/383174171" TargetMode="External"/><Relationship Id="rId2729" Type="http://schemas.openxmlformats.org/officeDocument/2006/relationships/hyperlink" Target="https://creativecommons.org/licenses/by-nc/4.0/" TargetMode="External"/><Relationship Id="rId2730" Type="http://schemas.openxmlformats.org/officeDocument/2006/relationships/hyperlink" Target="https://www.inaturalist.org/observations/383174002" TargetMode="External"/><Relationship Id="rId2731" Type="http://schemas.openxmlformats.org/officeDocument/2006/relationships/hyperlink" Target="https://creativecommons.org/licenses/by-nc/4.0/" TargetMode="External"/><Relationship Id="rId2732" Type="http://schemas.openxmlformats.org/officeDocument/2006/relationships/hyperlink" Target="https://www.inaturalist.org/observations/383173719" TargetMode="External"/><Relationship Id="rId2733" Type="http://schemas.openxmlformats.org/officeDocument/2006/relationships/hyperlink" Target="https://creativecommons.org/licenses/by-nc/4.0/" TargetMode="External"/><Relationship Id="rId2734" Type="http://schemas.openxmlformats.org/officeDocument/2006/relationships/hyperlink" Target="https://www.inaturalist.org/observations/383173608" TargetMode="External"/><Relationship Id="rId2735" Type="http://schemas.openxmlformats.org/officeDocument/2006/relationships/hyperlink" Target="https://creativecommons.org/licenses/by-nc/4.0/" TargetMode="External"/><Relationship Id="rId2736" Type="http://schemas.openxmlformats.org/officeDocument/2006/relationships/hyperlink" Target="https://www.inaturalist.org/observations/383173590" TargetMode="External"/><Relationship Id="rId2737" Type="http://schemas.openxmlformats.org/officeDocument/2006/relationships/hyperlink" Target="https://creativecommons.org/licenses/by-nc/4.0/" TargetMode="External"/><Relationship Id="rId2738" Type="http://schemas.openxmlformats.org/officeDocument/2006/relationships/hyperlink" Target="https://www.inaturalist.org/observations/383173449" TargetMode="External"/><Relationship Id="rId2739" Type="http://schemas.openxmlformats.org/officeDocument/2006/relationships/hyperlink" Target="https://creativecommons.org/licenses/by-nc/4.0/" TargetMode="External"/><Relationship Id="rId2740" Type="http://schemas.openxmlformats.org/officeDocument/2006/relationships/hyperlink" Target="https://www.inaturalist.org/observations/383173338" TargetMode="External"/><Relationship Id="rId2741" Type="http://schemas.openxmlformats.org/officeDocument/2006/relationships/hyperlink" Target="https://creativecommons.org/licenses/by-nc/4.0/" TargetMode="External"/><Relationship Id="rId2742" Type="http://schemas.openxmlformats.org/officeDocument/2006/relationships/hyperlink" Target="https://www.inaturalist.org/observations/383173328" TargetMode="External"/><Relationship Id="rId2743" Type="http://schemas.openxmlformats.org/officeDocument/2006/relationships/hyperlink" Target="https://creativecommons.org/licenses/by-nc/4.0/" TargetMode="External"/><Relationship Id="rId2744" Type="http://schemas.openxmlformats.org/officeDocument/2006/relationships/hyperlink" Target="https://www.inaturalist.org/observations/383173187" TargetMode="External"/><Relationship Id="rId2745" Type="http://schemas.openxmlformats.org/officeDocument/2006/relationships/hyperlink" Target="https://creativecommons.org/licenses/by-nc/4.0/" TargetMode="External"/><Relationship Id="rId2746" Type="http://schemas.openxmlformats.org/officeDocument/2006/relationships/hyperlink" Target="https://www.inaturalist.org/observations/383173159" TargetMode="External"/><Relationship Id="rId2747" Type="http://schemas.openxmlformats.org/officeDocument/2006/relationships/hyperlink" Target="https://creativecommons.org/licenses/by-nc/4.0/" TargetMode="External"/><Relationship Id="rId2748" Type="http://schemas.openxmlformats.org/officeDocument/2006/relationships/hyperlink" Target="https://www.inaturalist.org/observations/383173133" TargetMode="External"/><Relationship Id="rId2749" Type="http://schemas.openxmlformats.org/officeDocument/2006/relationships/hyperlink" Target="https://creativecommons.org/licenses/by-nc/4.0/" TargetMode="External"/><Relationship Id="rId2750" Type="http://schemas.openxmlformats.org/officeDocument/2006/relationships/hyperlink" Target="https://www.inaturalist.org/observations/383173107" TargetMode="External"/><Relationship Id="rId2751" Type="http://schemas.openxmlformats.org/officeDocument/2006/relationships/hyperlink" Target="https://creativecommons.org/licenses/by-nc/4.0/" TargetMode="External"/><Relationship Id="rId2752" Type="http://schemas.openxmlformats.org/officeDocument/2006/relationships/hyperlink" Target="https://www.inaturalist.org/observations/383173086" TargetMode="External"/><Relationship Id="rId2753" Type="http://schemas.openxmlformats.org/officeDocument/2006/relationships/hyperlink" Target="https://creativecommons.org/licenses/by-nc/4.0/" TargetMode="External"/><Relationship Id="rId2754" Type="http://schemas.openxmlformats.org/officeDocument/2006/relationships/hyperlink" Target="https://www.inaturalist.org/observations/383173030" TargetMode="External"/><Relationship Id="rId2755" Type="http://schemas.openxmlformats.org/officeDocument/2006/relationships/hyperlink" Target="https://creativecommons.org/licenses/by-nc/4.0/" TargetMode="External"/><Relationship Id="rId2756" Type="http://schemas.openxmlformats.org/officeDocument/2006/relationships/hyperlink" Target="https://www.inaturalist.org/observations/383172852" TargetMode="External"/><Relationship Id="rId2757" Type="http://schemas.openxmlformats.org/officeDocument/2006/relationships/hyperlink" Target="https://creativecommons.org/licenses/by-nc/4.0/" TargetMode="External"/><Relationship Id="rId2758" Type="http://schemas.openxmlformats.org/officeDocument/2006/relationships/hyperlink" Target="https://www.inaturalist.org/observations/383172771" TargetMode="External"/><Relationship Id="rId2759" Type="http://schemas.openxmlformats.org/officeDocument/2006/relationships/hyperlink" Target="https://creativecommons.org/licenses/by-nc/4.0/" TargetMode="External"/><Relationship Id="rId2760" Type="http://schemas.openxmlformats.org/officeDocument/2006/relationships/hyperlink" Target="https://www.inaturalist.org/observations/383172764" TargetMode="External"/><Relationship Id="rId2761" Type="http://schemas.openxmlformats.org/officeDocument/2006/relationships/hyperlink" Target="https://creativecommons.org/licenses/by-nc/4.0/" TargetMode="External"/><Relationship Id="rId2762" Type="http://schemas.openxmlformats.org/officeDocument/2006/relationships/hyperlink" Target="https://www.inaturalist.org/observations/383172754" TargetMode="External"/><Relationship Id="rId2763" Type="http://schemas.openxmlformats.org/officeDocument/2006/relationships/hyperlink" Target="https://creativecommons.org/licenses/by-nc/4.0/" TargetMode="External"/><Relationship Id="rId2764" Type="http://schemas.openxmlformats.org/officeDocument/2006/relationships/hyperlink" Target="https://www.inaturalist.org/observations/383172613" TargetMode="External"/><Relationship Id="rId2765" Type="http://schemas.openxmlformats.org/officeDocument/2006/relationships/hyperlink" Target="https://creativecommons.org/licenses/by-nc/4.0/" TargetMode="External"/><Relationship Id="rId2766" Type="http://schemas.openxmlformats.org/officeDocument/2006/relationships/hyperlink" Target="https://www.inaturalist.org/observations/383172605" TargetMode="External"/><Relationship Id="rId2767" Type="http://schemas.openxmlformats.org/officeDocument/2006/relationships/hyperlink" Target="https://creativecommons.org/licenses/by-nc/4.0/" TargetMode="External"/><Relationship Id="rId2768" Type="http://schemas.openxmlformats.org/officeDocument/2006/relationships/hyperlink" Target="https://www.inaturalist.org/observations/383172376" TargetMode="External"/><Relationship Id="rId2769" Type="http://schemas.openxmlformats.org/officeDocument/2006/relationships/hyperlink" Target="https://creativecommons.org/licenses/by-nc/4.0/" TargetMode="External"/><Relationship Id="rId2770" Type="http://schemas.openxmlformats.org/officeDocument/2006/relationships/hyperlink" Target="https://www.inaturalist.org/observations/383172342" TargetMode="External"/><Relationship Id="rId2771" Type="http://schemas.openxmlformats.org/officeDocument/2006/relationships/hyperlink" Target="https://creativecommons.org/licenses/by-nc/4.0/" TargetMode="External"/><Relationship Id="rId2772" Type="http://schemas.openxmlformats.org/officeDocument/2006/relationships/hyperlink" Target="https://www.inaturalist.org/observations/383172331" TargetMode="External"/><Relationship Id="rId2773" Type="http://schemas.openxmlformats.org/officeDocument/2006/relationships/hyperlink" Target="https://creativecommons.org/licenses/by-nc/4.0/" TargetMode="External"/><Relationship Id="rId2774" Type="http://schemas.openxmlformats.org/officeDocument/2006/relationships/hyperlink" Target="https://www.inaturalist.org/observations/383172021" TargetMode="External"/><Relationship Id="rId2775" Type="http://schemas.openxmlformats.org/officeDocument/2006/relationships/hyperlink" Target="https://creativecommons.org/licenses/by-nc/4.0/" TargetMode="External"/><Relationship Id="rId2776" Type="http://schemas.openxmlformats.org/officeDocument/2006/relationships/hyperlink" Target="https://www.inaturalist.org/observations/383171934" TargetMode="External"/><Relationship Id="rId2777" Type="http://schemas.openxmlformats.org/officeDocument/2006/relationships/hyperlink" Target="https://creativecommons.org/licenses/by-nc/4.0/" TargetMode="External"/><Relationship Id="rId2778" Type="http://schemas.openxmlformats.org/officeDocument/2006/relationships/hyperlink" Target="https://www.inaturalist.org/observations/383171893" TargetMode="External"/><Relationship Id="rId2779" Type="http://schemas.openxmlformats.org/officeDocument/2006/relationships/hyperlink" Target="https://creativecommons.org/licenses/by-nc/4.0/" TargetMode="External"/><Relationship Id="rId2780" Type="http://schemas.openxmlformats.org/officeDocument/2006/relationships/hyperlink" Target="https://www.inaturalist.org/observations/383171834" TargetMode="External"/><Relationship Id="rId2781" Type="http://schemas.openxmlformats.org/officeDocument/2006/relationships/hyperlink" Target="https://creativecommons.org/licenses/by-nc/4.0/" TargetMode="External"/><Relationship Id="rId2782" Type="http://schemas.openxmlformats.org/officeDocument/2006/relationships/hyperlink" Target="https://www.inaturalist.org/observations/383171774" TargetMode="External"/><Relationship Id="rId2783" Type="http://schemas.openxmlformats.org/officeDocument/2006/relationships/hyperlink" Target="https://creativecommons.org/licenses/by-nc/4.0/" TargetMode="External"/><Relationship Id="rId2784" Type="http://schemas.openxmlformats.org/officeDocument/2006/relationships/hyperlink" Target="https://www.inaturalist.org/observations/383171661" TargetMode="External"/><Relationship Id="rId2785" Type="http://schemas.openxmlformats.org/officeDocument/2006/relationships/hyperlink" Target="https://creativecommons.org/licenses/by-nc/4.0/" TargetMode="External"/><Relationship Id="rId2786" Type="http://schemas.openxmlformats.org/officeDocument/2006/relationships/hyperlink" Target="https://www.inaturalist.org/observations/383171651" TargetMode="External"/><Relationship Id="rId2787" Type="http://schemas.openxmlformats.org/officeDocument/2006/relationships/hyperlink" Target="https://creativecommons.org/licenses/by-nc/4.0/" TargetMode="External"/><Relationship Id="rId2788" Type="http://schemas.openxmlformats.org/officeDocument/2006/relationships/hyperlink" Target="https://www.inaturalist.org/observations/383171641" TargetMode="External"/><Relationship Id="rId2789" Type="http://schemas.openxmlformats.org/officeDocument/2006/relationships/hyperlink" Target="https://creativecommons.org/licenses/by-nc/4.0/" TargetMode="External"/><Relationship Id="rId2790" Type="http://schemas.openxmlformats.org/officeDocument/2006/relationships/hyperlink" Target="https://www.inaturalist.org/observations/383171637" TargetMode="External"/><Relationship Id="rId2791" Type="http://schemas.openxmlformats.org/officeDocument/2006/relationships/hyperlink" Target="https://creativecommons.org/licenses/by-nc/4.0/" TargetMode="External"/><Relationship Id="rId2792" Type="http://schemas.openxmlformats.org/officeDocument/2006/relationships/hyperlink" Target="https://www.inaturalist.org/observations/383171508" TargetMode="External"/><Relationship Id="rId2793" Type="http://schemas.openxmlformats.org/officeDocument/2006/relationships/hyperlink" Target="https://creativecommons.org/licenses/by-nc/4.0/" TargetMode="External"/><Relationship Id="rId2794" Type="http://schemas.openxmlformats.org/officeDocument/2006/relationships/hyperlink" Target="https://www.inaturalist.org/observations/383171230" TargetMode="External"/><Relationship Id="rId2795" Type="http://schemas.openxmlformats.org/officeDocument/2006/relationships/hyperlink" Target="https://creativecommons.org/licenses/by-nc/4.0/" TargetMode="External"/><Relationship Id="rId2796" Type="http://schemas.openxmlformats.org/officeDocument/2006/relationships/hyperlink" Target="https://www.inaturalist.org/observations/383171192" TargetMode="External"/><Relationship Id="rId2797" Type="http://schemas.openxmlformats.org/officeDocument/2006/relationships/hyperlink" Target="https://creativecommons.org/licenses/by-nc/4.0/" TargetMode="External"/><Relationship Id="rId2798" Type="http://schemas.openxmlformats.org/officeDocument/2006/relationships/hyperlink" Target="https://www.inaturalist.org/observations/383171147" TargetMode="External"/><Relationship Id="rId2799" Type="http://schemas.openxmlformats.org/officeDocument/2006/relationships/hyperlink" Target="https://creativecommons.org/licenses/by-nc/4.0/" TargetMode="External"/><Relationship Id="rId2800" Type="http://schemas.openxmlformats.org/officeDocument/2006/relationships/hyperlink" Target="https://www.inaturalist.org/observations/383170937" TargetMode="External"/><Relationship Id="rId2801" Type="http://schemas.openxmlformats.org/officeDocument/2006/relationships/hyperlink" Target="https://creativecommons.org/licenses/by-nc/4.0/" TargetMode="External"/><Relationship Id="rId2802" Type="http://schemas.openxmlformats.org/officeDocument/2006/relationships/hyperlink" Target="https://www.inaturalist.org/observations/383170881" TargetMode="External"/><Relationship Id="rId2803" Type="http://schemas.openxmlformats.org/officeDocument/2006/relationships/hyperlink" Target="https://creativecommons.org/licenses/by-nc/4.0/" TargetMode="External"/><Relationship Id="rId2804" Type="http://schemas.openxmlformats.org/officeDocument/2006/relationships/hyperlink" Target="https://www.inaturalist.org/observations/383170880" TargetMode="External"/><Relationship Id="rId2805" Type="http://schemas.openxmlformats.org/officeDocument/2006/relationships/hyperlink" Target="https://creativecommons.org/licenses/by-nc/4.0/" TargetMode="External"/><Relationship Id="rId2806" Type="http://schemas.openxmlformats.org/officeDocument/2006/relationships/hyperlink" Target="https://www.inaturalist.org/observations/383170843" TargetMode="External"/><Relationship Id="rId2807" Type="http://schemas.openxmlformats.org/officeDocument/2006/relationships/hyperlink" Target="https://creativecommons.org/licenses/by-nc/4.0/" TargetMode="External"/><Relationship Id="rId2808" Type="http://schemas.openxmlformats.org/officeDocument/2006/relationships/hyperlink" Target="https://www.inaturalist.org/observations/383170543" TargetMode="External"/><Relationship Id="rId2809" Type="http://schemas.openxmlformats.org/officeDocument/2006/relationships/hyperlink" Target="https://creativecommons.org/licenses/by-nc/4.0/" TargetMode="External"/><Relationship Id="rId2810" Type="http://schemas.openxmlformats.org/officeDocument/2006/relationships/hyperlink" Target="https://www.inaturalist.org/observations/383170442" TargetMode="External"/><Relationship Id="rId2811" Type="http://schemas.openxmlformats.org/officeDocument/2006/relationships/hyperlink" Target="https://creativecommons.org/licenses/by-nc/4.0/" TargetMode="External"/><Relationship Id="rId2812" Type="http://schemas.openxmlformats.org/officeDocument/2006/relationships/hyperlink" Target="https://www.inaturalist.org/observations/383170374" TargetMode="External"/><Relationship Id="rId2813" Type="http://schemas.openxmlformats.org/officeDocument/2006/relationships/hyperlink" Target="https://creativecommons.org/licenses/by-nc/4.0/" TargetMode="External"/><Relationship Id="rId2814" Type="http://schemas.openxmlformats.org/officeDocument/2006/relationships/hyperlink" Target="https://www.inaturalist.org/observations/383170366" TargetMode="External"/><Relationship Id="rId2815" Type="http://schemas.openxmlformats.org/officeDocument/2006/relationships/hyperlink" Target="https://creativecommons.org/licenses/by-nc/4.0/" TargetMode="External"/><Relationship Id="rId2816" Type="http://schemas.openxmlformats.org/officeDocument/2006/relationships/hyperlink" Target="https://www.inaturalist.org/observations/383170257" TargetMode="External"/><Relationship Id="rId2817" Type="http://schemas.openxmlformats.org/officeDocument/2006/relationships/hyperlink" Target="https://creativecommons.org/licenses/by-nc/4.0/" TargetMode="External"/><Relationship Id="rId2818" Type="http://schemas.openxmlformats.org/officeDocument/2006/relationships/hyperlink" Target="https://www.inaturalist.org/observations/383170253" TargetMode="External"/><Relationship Id="rId2819" Type="http://schemas.openxmlformats.org/officeDocument/2006/relationships/hyperlink" Target="https://creativecommons.org/licenses/by-nc/4.0/" TargetMode="External"/><Relationship Id="rId2820" Type="http://schemas.openxmlformats.org/officeDocument/2006/relationships/hyperlink" Target="https://www.inaturalist.org/observations/383170218" TargetMode="External"/><Relationship Id="rId2821" Type="http://schemas.openxmlformats.org/officeDocument/2006/relationships/hyperlink" Target="https://creativecommons.org/licenses/by-nc/4.0/" TargetMode="External"/><Relationship Id="rId2822" Type="http://schemas.openxmlformats.org/officeDocument/2006/relationships/hyperlink" Target="https://www.inaturalist.org/observations/383170182" TargetMode="External"/><Relationship Id="rId2823" Type="http://schemas.openxmlformats.org/officeDocument/2006/relationships/hyperlink" Target="https://creativecommons.org/licenses/by-nc/4.0/" TargetMode="External"/><Relationship Id="rId2824" Type="http://schemas.openxmlformats.org/officeDocument/2006/relationships/hyperlink" Target="https://www.inaturalist.org/observations/383169971" TargetMode="External"/><Relationship Id="rId2825" Type="http://schemas.openxmlformats.org/officeDocument/2006/relationships/hyperlink" Target="https://creativecommons.org/licenses/by-nc/4.0/" TargetMode="External"/><Relationship Id="rId2826" Type="http://schemas.openxmlformats.org/officeDocument/2006/relationships/hyperlink" Target="https://www.inaturalist.org/observations/383169841" TargetMode="External"/><Relationship Id="rId2827" Type="http://schemas.openxmlformats.org/officeDocument/2006/relationships/hyperlink" Target="https://creativecommons.org/licenses/by-nc/4.0/" TargetMode="External"/><Relationship Id="rId2828" Type="http://schemas.openxmlformats.org/officeDocument/2006/relationships/hyperlink" Target="https://www.inaturalist.org/observations/383169746" TargetMode="External"/><Relationship Id="rId2829" Type="http://schemas.openxmlformats.org/officeDocument/2006/relationships/hyperlink" Target="https://creativecommons.org/licenses/by-nc/4.0/" TargetMode="External"/><Relationship Id="rId2830" Type="http://schemas.openxmlformats.org/officeDocument/2006/relationships/hyperlink" Target="https://www.inaturalist.org/observations/383169446" TargetMode="External"/><Relationship Id="rId2831" Type="http://schemas.openxmlformats.org/officeDocument/2006/relationships/hyperlink" Target="https://creativecommons.org/licenses/by-nc/4.0/" TargetMode="External"/><Relationship Id="rId2832" Type="http://schemas.openxmlformats.org/officeDocument/2006/relationships/hyperlink" Target="https://www.inaturalist.org/observations/383169440" TargetMode="External"/><Relationship Id="rId2833" Type="http://schemas.openxmlformats.org/officeDocument/2006/relationships/hyperlink" Target="https://creativecommons.org/licenses/by-nc/4.0/" TargetMode="External"/><Relationship Id="rId2834" Type="http://schemas.openxmlformats.org/officeDocument/2006/relationships/hyperlink" Target="https://www.inaturalist.org/observations/383169335" TargetMode="External"/><Relationship Id="rId2835" Type="http://schemas.openxmlformats.org/officeDocument/2006/relationships/hyperlink" Target="https://creativecommons.org/licenses/by-nc/4.0/" TargetMode="External"/><Relationship Id="rId2836" Type="http://schemas.openxmlformats.org/officeDocument/2006/relationships/hyperlink" Target="https://www.inaturalist.org/observations/383169304" TargetMode="External"/><Relationship Id="rId2837" Type="http://schemas.openxmlformats.org/officeDocument/2006/relationships/hyperlink" Target="https://creativecommons.org/licenses/by-nc/4.0/" TargetMode="External"/><Relationship Id="rId2838" Type="http://schemas.openxmlformats.org/officeDocument/2006/relationships/hyperlink" Target="https://www.inaturalist.org/observations/383169026" TargetMode="External"/><Relationship Id="rId2839" Type="http://schemas.openxmlformats.org/officeDocument/2006/relationships/hyperlink" Target="https://creativecommons.org/licenses/by-nc/4.0/" TargetMode="External"/><Relationship Id="rId2840" Type="http://schemas.openxmlformats.org/officeDocument/2006/relationships/hyperlink" Target="https://www.inaturalist.org/observations/383168896" TargetMode="External"/><Relationship Id="rId2841" Type="http://schemas.openxmlformats.org/officeDocument/2006/relationships/hyperlink" Target="https://creativecommons.org/licenses/by-nc/4.0/" TargetMode="External"/><Relationship Id="rId2842" Type="http://schemas.openxmlformats.org/officeDocument/2006/relationships/hyperlink" Target="https://www.inaturalist.org/observations/383168875" TargetMode="External"/><Relationship Id="rId2843" Type="http://schemas.openxmlformats.org/officeDocument/2006/relationships/hyperlink" Target="https://creativecommons.org/licenses/by-nc/4.0/" TargetMode="External"/><Relationship Id="rId2844" Type="http://schemas.openxmlformats.org/officeDocument/2006/relationships/hyperlink" Target="https://www.inaturalist.org/observations/383168856" TargetMode="External"/><Relationship Id="rId2845" Type="http://schemas.openxmlformats.org/officeDocument/2006/relationships/hyperlink" Target="https://creativecommons.org/licenses/by-nc/4.0/" TargetMode="External"/><Relationship Id="rId2846" Type="http://schemas.openxmlformats.org/officeDocument/2006/relationships/hyperlink" Target="https://www.inaturalist.org/observations/383168840" TargetMode="External"/><Relationship Id="rId2847" Type="http://schemas.openxmlformats.org/officeDocument/2006/relationships/hyperlink" Target="https://creativecommons.org/licenses/by-nc/4.0/" TargetMode="External"/><Relationship Id="rId2848" Type="http://schemas.openxmlformats.org/officeDocument/2006/relationships/hyperlink" Target="https://www.inaturalist.org/observations/383168761" TargetMode="External"/><Relationship Id="rId2849" Type="http://schemas.openxmlformats.org/officeDocument/2006/relationships/hyperlink" Target="https://creativecommons.org/licenses/by-nc/4.0/" TargetMode="External"/><Relationship Id="rId2850" Type="http://schemas.openxmlformats.org/officeDocument/2006/relationships/hyperlink" Target="https://www.inaturalist.org/observations/383168747" TargetMode="External"/><Relationship Id="rId2851" Type="http://schemas.openxmlformats.org/officeDocument/2006/relationships/hyperlink" Target="https://creativecommons.org/licenses/by-nc/4.0/" TargetMode="External"/><Relationship Id="rId2852" Type="http://schemas.openxmlformats.org/officeDocument/2006/relationships/hyperlink" Target="https://www.inaturalist.org/observations/383168745" TargetMode="External"/><Relationship Id="rId2853" Type="http://schemas.openxmlformats.org/officeDocument/2006/relationships/hyperlink" Target="https://creativecommons.org/licenses/by-nc/4.0/" TargetMode="External"/><Relationship Id="rId2854" Type="http://schemas.openxmlformats.org/officeDocument/2006/relationships/hyperlink" Target="https://www.inaturalist.org/observations/383168744" TargetMode="External"/><Relationship Id="rId2855" Type="http://schemas.openxmlformats.org/officeDocument/2006/relationships/hyperlink" Target="https://creativecommons.org/licenses/by-nc/4.0/" TargetMode="External"/><Relationship Id="rId2856" Type="http://schemas.openxmlformats.org/officeDocument/2006/relationships/hyperlink" Target="https://www.inaturalist.org/observations/383168728" TargetMode="External"/><Relationship Id="rId2857" Type="http://schemas.openxmlformats.org/officeDocument/2006/relationships/hyperlink" Target="https://creativecommons.org/licenses/by-nc/4.0/" TargetMode="External"/><Relationship Id="rId2858" Type="http://schemas.openxmlformats.org/officeDocument/2006/relationships/hyperlink" Target="https://www.inaturalist.org/observations/383168520" TargetMode="External"/><Relationship Id="rId2859" Type="http://schemas.openxmlformats.org/officeDocument/2006/relationships/hyperlink" Target="https://creativecommons.org/licenses/by-nc/4.0/" TargetMode="External"/><Relationship Id="rId2860" Type="http://schemas.openxmlformats.org/officeDocument/2006/relationships/hyperlink" Target="https://www.inaturalist.org/observations/383168441" TargetMode="External"/><Relationship Id="rId2861" Type="http://schemas.openxmlformats.org/officeDocument/2006/relationships/hyperlink" Target="https://creativecommons.org/licenses/by-nc/4.0/" TargetMode="External"/><Relationship Id="rId2862" Type="http://schemas.openxmlformats.org/officeDocument/2006/relationships/hyperlink" Target="https://www.inaturalist.org/observations/383168279" TargetMode="External"/><Relationship Id="rId2863" Type="http://schemas.openxmlformats.org/officeDocument/2006/relationships/hyperlink" Target="https://creativecommons.org/licenses/by-nc/4.0/" TargetMode="External"/><Relationship Id="rId2864" Type="http://schemas.openxmlformats.org/officeDocument/2006/relationships/hyperlink" Target="https://www.inaturalist.org/observations/383168155" TargetMode="External"/><Relationship Id="rId2865" Type="http://schemas.openxmlformats.org/officeDocument/2006/relationships/hyperlink" Target="https://creativecommons.org/licenses/by-nc/4.0/" TargetMode="External"/><Relationship Id="rId2866" Type="http://schemas.openxmlformats.org/officeDocument/2006/relationships/hyperlink" Target="https://www.inaturalist.org/observations/383168133" TargetMode="External"/><Relationship Id="rId2867" Type="http://schemas.openxmlformats.org/officeDocument/2006/relationships/hyperlink" Target="https://creativecommons.org/licenses/by-nc/4.0/" TargetMode="External"/><Relationship Id="rId2868" Type="http://schemas.openxmlformats.org/officeDocument/2006/relationships/hyperlink" Target="https://www.inaturalist.org/observations/383168101" TargetMode="External"/><Relationship Id="rId2869" Type="http://schemas.openxmlformats.org/officeDocument/2006/relationships/hyperlink" Target="https://creativecommons.org/licenses/by-nc/4.0/" TargetMode="External"/><Relationship Id="rId2870" Type="http://schemas.openxmlformats.org/officeDocument/2006/relationships/hyperlink" Target="https://www.inaturalist.org/observations/383168015" TargetMode="External"/><Relationship Id="rId2871" Type="http://schemas.openxmlformats.org/officeDocument/2006/relationships/hyperlink" Target="https://creativecommons.org/licenses/by-nc/4.0/" TargetMode="External"/><Relationship Id="rId2872" Type="http://schemas.openxmlformats.org/officeDocument/2006/relationships/hyperlink" Target="https://www.inaturalist.org/observations/383167921" TargetMode="External"/><Relationship Id="rId2873" Type="http://schemas.openxmlformats.org/officeDocument/2006/relationships/hyperlink" Target="https://creativecommons.org/licenses/by-nc/4.0/" TargetMode="External"/><Relationship Id="rId2874" Type="http://schemas.openxmlformats.org/officeDocument/2006/relationships/hyperlink" Target="https://www.inaturalist.org/observations/383167879" TargetMode="External"/><Relationship Id="rId2875" Type="http://schemas.openxmlformats.org/officeDocument/2006/relationships/hyperlink" Target="https://creativecommons.org/licenses/by-nc/4.0/" TargetMode="External"/><Relationship Id="rId2876" Type="http://schemas.openxmlformats.org/officeDocument/2006/relationships/hyperlink" Target="https://www.inaturalist.org/observations/383167798" TargetMode="External"/><Relationship Id="rId2877" Type="http://schemas.openxmlformats.org/officeDocument/2006/relationships/hyperlink" Target="https://creativecommons.org/licenses/by-nc/4.0/" TargetMode="External"/><Relationship Id="rId2878" Type="http://schemas.openxmlformats.org/officeDocument/2006/relationships/hyperlink" Target="https://www.inaturalist.org/observations/383167640" TargetMode="External"/><Relationship Id="rId2879" Type="http://schemas.openxmlformats.org/officeDocument/2006/relationships/hyperlink" Target="https://creativecommons.org/licenses/by-nc/4.0/" TargetMode="External"/><Relationship Id="rId2880" Type="http://schemas.openxmlformats.org/officeDocument/2006/relationships/hyperlink" Target="https://www.inaturalist.org/observations/383167566" TargetMode="External"/><Relationship Id="rId2881" Type="http://schemas.openxmlformats.org/officeDocument/2006/relationships/hyperlink" Target="https://creativecommons.org/licenses/by-nc/4.0/" TargetMode="External"/><Relationship Id="rId2882" Type="http://schemas.openxmlformats.org/officeDocument/2006/relationships/hyperlink" Target="https://www.inaturalist.org/observations/383167444" TargetMode="External"/><Relationship Id="rId2883" Type="http://schemas.openxmlformats.org/officeDocument/2006/relationships/hyperlink" Target="https://creativecommons.org/licenses/by-nc/4.0/" TargetMode="External"/><Relationship Id="rId2884" Type="http://schemas.openxmlformats.org/officeDocument/2006/relationships/hyperlink" Target="https://www.inaturalist.org/observations/383167326" TargetMode="External"/><Relationship Id="rId2885" Type="http://schemas.openxmlformats.org/officeDocument/2006/relationships/hyperlink" Target="https://creativecommons.org/licenses/by-nc/4.0/" TargetMode="External"/><Relationship Id="rId2886" Type="http://schemas.openxmlformats.org/officeDocument/2006/relationships/hyperlink" Target="https://www.inaturalist.org/observations/383167237" TargetMode="External"/><Relationship Id="rId2887" Type="http://schemas.openxmlformats.org/officeDocument/2006/relationships/hyperlink" Target="https://creativecommons.org/licenses/by-nc/4.0/" TargetMode="External"/><Relationship Id="rId2888" Type="http://schemas.openxmlformats.org/officeDocument/2006/relationships/hyperlink" Target="https://www.inaturalist.org/observations/383167159" TargetMode="External"/><Relationship Id="rId2889" Type="http://schemas.openxmlformats.org/officeDocument/2006/relationships/hyperlink" Target="https://creativecommons.org/licenses/by-nc/4.0/" TargetMode="External"/><Relationship Id="rId2890" Type="http://schemas.openxmlformats.org/officeDocument/2006/relationships/hyperlink" Target="https://www.inaturalist.org/observations/383167136" TargetMode="External"/><Relationship Id="rId2891" Type="http://schemas.openxmlformats.org/officeDocument/2006/relationships/hyperlink" Target="https://creativecommons.org/licenses/by-nc/4.0/" TargetMode="External"/><Relationship Id="rId2892" Type="http://schemas.openxmlformats.org/officeDocument/2006/relationships/hyperlink" Target="https://www.inaturalist.org/observations/383166994" TargetMode="External"/><Relationship Id="rId2893" Type="http://schemas.openxmlformats.org/officeDocument/2006/relationships/hyperlink" Target="https://creativecommons.org/licenses/by-nc/4.0/" TargetMode="External"/><Relationship Id="rId2894" Type="http://schemas.openxmlformats.org/officeDocument/2006/relationships/hyperlink" Target="https://www.inaturalist.org/observations/383166987" TargetMode="External"/><Relationship Id="rId2895" Type="http://schemas.openxmlformats.org/officeDocument/2006/relationships/hyperlink" Target="https://creativecommons.org/licenses/by-nc/4.0/" TargetMode="External"/><Relationship Id="rId2896" Type="http://schemas.openxmlformats.org/officeDocument/2006/relationships/hyperlink" Target="https://www.inaturalist.org/observations/383166885" TargetMode="External"/><Relationship Id="rId2897" Type="http://schemas.openxmlformats.org/officeDocument/2006/relationships/hyperlink" Target="https://creativecommons.org/licenses/by-nc/4.0/" TargetMode="External"/><Relationship Id="rId2898" Type="http://schemas.openxmlformats.org/officeDocument/2006/relationships/hyperlink" Target="https://www.inaturalist.org/observations/383166780" TargetMode="External"/><Relationship Id="rId2899" Type="http://schemas.openxmlformats.org/officeDocument/2006/relationships/hyperlink" Target="https://creativecommons.org/licenses/by-nc/4.0/" TargetMode="External"/><Relationship Id="rId2900" Type="http://schemas.openxmlformats.org/officeDocument/2006/relationships/hyperlink" Target="https://www.inaturalist.org/observations/383166654" TargetMode="External"/><Relationship Id="rId2901" Type="http://schemas.openxmlformats.org/officeDocument/2006/relationships/hyperlink" Target="https://creativecommons.org/licenses/by-nc/4.0/" TargetMode="External"/><Relationship Id="rId2902" Type="http://schemas.openxmlformats.org/officeDocument/2006/relationships/hyperlink" Target="https://www.inaturalist.org/observations/383166416" TargetMode="External"/><Relationship Id="rId2903" Type="http://schemas.openxmlformats.org/officeDocument/2006/relationships/hyperlink" Target="https://creativecommons.org/licenses/by-nc/4.0/" TargetMode="External"/><Relationship Id="rId2904" Type="http://schemas.openxmlformats.org/officeDocument/2006/relationships/hyperlink" Target="https://www.inaturalist.org/observations/383166280" TargetMode="External"/><Relationship Id="rId2905" Type="http://schemas.openxmlformats.org/officeDocument/2006/relationships/hyperlink" Target="https://creativecommons.org/licenses/by-nc/4.0/" TargetMode="External"/><Relationship Id="rId2906" Type="http://schemas.openxmlformats.org/officeDocument/2006/relationships/hyperlink" Target="https://www.inaturalist.org/observations/383166220" TargetMode="External"/><Relationship Id="rId2907" Type="http://schemas.openxmlformats.org/officeDocument/2006/relationships/hyperlink" Target="https://creativecommons.org/licenses/by-nc/4.0/" TargetMode="External"/><Relationship Id="rId2908" Type="http://schemas.openxmlformats.org/officeDocument/2006/relationships/hyperlink" Target="https://www.inaturalist.org/observations/383166195" TargetMode="External"/><Relationship Id="rId2909" Type="http://schemas.openxmlformats.org/officeDocument/2006/relationships/hyperlink" Target="https://creativecommons.org/licenses/by-nc/4.0/" TargetMode="External"/><Relationship Id="rId2910" Type="http://schemas.openxmlformats.org/officeDocument/2006/relationships/hyperlink" Target="https://www.inaturalist.org/observations/383166087" TargetMode="External"/><Relationship Id="rId2911" Type="http://schemas.openxmlformats.org/officeDocument/2006/relationships/hyperlink" Target="https://creativecommons.org/licenses/by-nc/4.0/" TargetMode="External"/><Relationship Id="rId2912" Type="http://schemas.openxmlformats.org/officeDocument/2006/relationships/hyperlink" Target="https://www.inaturalist.org/observations/383165967" TargetMode="External"/><Relationship Id="rId2913" Type="http://schemas.openxmlformats.org/officeDocument/2006/relationships/hyperlink" Target="https://creativecommons.org/licenses/by-nc/4.0/" TargetMode="External"/><Relationship Id="rId2914" Type="http://schemas.openxmlformats.org/officeDocument/2006/relationships/hyperlink" Target="https://www.inaturalist.org/observations/383165941" TargetMode="External"/><Relationship Id="rId2915" Type="http://schemas.openxmlformats.org/officeDocument/2006/relationships/hyperlink" Target="https://creativecommons.org/licenses/by-nc/4.0/" TargetMode="External"/><Relationship Id="rId2916" Type="http://schemas.openxmlformats.org/officeDocument/2006/relationships/hyperlink" Target="https://www.inaturalist.org/observations/383165707" TargetMode="External"/><Relationship Id="rId2917" Type="http://schemas.openxmlformats.org/officeDocument/2006/relationships/hyperlink" Target="https://creativecommons.org/licenses/by-nc/4.0/" TargetMode="External"/><Relationship Id="rId2918" Type="http://schemas.openxmlformats.org/officeDocument/2006/relationships/hyperlink" Target="https://www.inaturalist.org/observations/383165642" TargetMode="External"/><Relationship Id="rId2919" Type="http://schemas.openxmlformats.org/officeDocument/2006/relationships/hyperlink" Target="https://creativecommons.org/licenses/by-nc/4.0/" TargetMode="External"/><Relationship Id="rId2920" Type="http://schemas.openxmlformats.org/officeDocument/2006/relationships/hyperlink" Target="https://www.inaturalist.org/observations/383165620" TargetMode="External"/><Relationship Id="rId2921" Type="http://schemas.openxmlformats.org/officeDocument/2006/relationships/hyperlink" Target="https://creativecommons.org/licenses/by-nc/4.0/" TargetMode="External"/><Relationship Id="rId2922" Type="http://schemas.openxmlformats.org/officeDocument/2006/relationships/hyperlink" Target="https://www.inaturalist.org/observations/383165340" TargetMode="External"/><Relationship Id="rId2923" Type="http://schemas.openxmlformats.org/officeDocument/2006/relationships/hyperlink" Target="https://creativecommons.org/licenses/by-nc/4.0/" TargetMode="External"/><Relationship Id="rId2924" Type="http://schemas.openxmlformats.org/officeDocument/2006/relationships/hyperlink" Target="https://www.inaturalist.org/observations/383164893" TargetMode="External"/><Relationship Id="rId2925" Type="http://schemas.openxmlformats.org/officeDocument/2006/relationships/hyperlink" Target="https://creativecommons.org/licenses/by-nc/4.0/" TargetMode="External"/><Relationship Id="rId2926" Type="http://schemas.openxmlformats.org/officeDocument/2006/relationships/hyperlink" Target="https://www.inaturalist.org/observations/383164864" TargetMode="External"/><Relationship Id="rId2927" Type="http://schemas.openxmlformats.org/officeDocument/2006/relationships/hyperlink" Target="https://creativecommons.org/licenses/by-nc/4.0/" TargetMode="External"/><Relationship Id="rId2928" Type="http://schemas.openxmlformats.org/officeDocument/2006/relationships/hyperlink" Target="https://www.inaturalist.org/observations/383164797" TargetMode="External"/><Relationship Id="rId2929" Type="http://schemas.openxmlformats.org/officeDocument/2006/relationships/hyperlink" Target="https://creativecommons.org/licenses/by-nc/4.0/" TargetMode="External"/><Relationship Id="rId2930" Type="http://schemas.openxmlformats.org/officeDocument/2006/relationships/hyperlink" Target="https://www.inaturalist.org/observations/383164712" TargetMode="External"/><Relationship Id="rId2931" Type="http://schemas.openxmlformats.org/officeDocument/2006/relationships/hyperlink" Target="https://creativecommons.org/licenses/by-nc/4.0/" TargetMode="External"/><Relationship Id="rId2932" Type="http://schemas.openxmlformats.org/officeDocument/2006/relationships/hyperlink" Target="https://www.inaturalist.org/observations/383164657" TargetMode="External"/><Relationship Id="rId2933" Type="http://schemas.openxmlformats.org/officeDocument/2006/relationships/hyperlink" Target="https://creativecommons.org/licenses/by-nc/4.0/" TargetMode="External"/><Relationship Id="rId2934" Type="http://schemas.openxmlformats.org/officeDocument/2006/relationships/hyperlink" Target="https://www.inaturalist.org/observations/383164647" TargetMode="External"/><Relationship Id="rId2935" Type="http://schemas.openxmlformats.org/officeDocument/2006/relationships/hyperlink" Target="https://creativecommons.org/licenses/by-nc/4.0/" TargetMode="External"/><Relationship Id="rId2936" Type="http://schemas.openxmlformats.org/officeDocument/2006/relationships/hyperlink" Target="https://www.inaturalist.org/observations/383164641" TargetMode="External"/><Relationship Id="rId2937" Type="http://schemas.openxmlformats.org/officeDocument/2006/relationships/hyperlink" Target="https://creativecommons.org/licenses/by-nc/4.0/" TargetMode="External"/><Relationship Id="rId2938" Type="http://schemas.openxmlformats.org/officeDocument/2006/relationships/hyperlink" Target="https://www.inaturalist.org/observations/383164639" TargetMode="External"/><Relationship Id="rId2939" Type="http://schemas.openxmlformats.org/officeDocument/2006/relationships/hyperlink" Target="https://creativecommons.org/licenses/by-nc/4.0/" TargetMode="External"/><Relationship Id="rId2940" Type="http://schemas.openxmlformats.org/officeDocument/2006/relationships/hyperlink" Target="https://www.inaturalist.org/observations/383164548" TargetMode="External"/><Relationship Id="rId2941" Type="http://schemas.openxmlformats.org/officeDocument/2006/relationships/hyperlink" Target="https://creativecommons.org/licenses/by-nc/4.0/" TargetMode="External"/><Relationship Id="rId2942" Type="http://schemas.openxmlformats.org/officeDocument/2006/relationships/hyperlink" Target="https://www.inaturalist.org/observations/383164400" TargetMode="External"/><Relationship Id="rId2943" Type="http://schemas.openxmlformats.org/officeDocument/2006/relationships/hyperlink" Target="https://creativecommons.org/licenses/by-nc/4.0/" TargetMode="External"/><Relationship Id="rId2944" Type="http://schemas.openxmlformats.org/officeDocument/2006/relationships/hyperlink" Target="https://www.inaturalist.org/observations/383164165" TargetMode="External"/><Relationship Id="rId2945" Type="http://schemas.openxmlformats.org/officeDocument/2006/relationships/hyperlink" Target="https://creativecommons.org/licenses/by-nc/4.0/" TargetMode="External"/><Relationship Id="rId2946" Type="http://schemas.openxmlformats.org/officeDocument/2006/relationships/hyperlink" Target="https://www.inaturalist.org/observations/383163317" TargetMode="External"/><Relationship Id="rId2947" Type="http://schemas.openxmlformats.org/officeDocument/2006/relationships/hyperlink" Target="https://creativecommons.org/licenses/by-nc/4.0/" TargetMode="External"/><Relationship Id="rId2948" Type="http://schemas.openxmlformats.org/officeDocument/2006/relationships/hyperlink" Target="https://www.inaturalist.org/observations/383162963" TargetMode="External"/><Relationship Id="rId2949" Type="http://schemas.openxmlformats.org/officeDocument/2006/relationships/hyperlink" Target="https://creativecommons.org/licenses/by-nc/4.0/" TargetMode="External"/><Relationship Id="rId2950" Type="http://schemas.openxmlformats.org/officeDocument/2006/relationships/hyperlink" Target="https://www.inaturalist.org/observations/383162958" TargetMode="External"/><Relationship Id="rId2951" Type="http://schemas.openxmlformats.org/officeDocument/2006/relationships/hyperlink" Target="https://creativecommons.org/licenses/by-nc/4.0/" TargetMode="External"/><Relationship Id="rId2952" Type="http://schemas.openxmlformats.org/officeDocument/2006/relationships/hyperlink" Target="https://www.inaturalist.org/observations/383162735" TargetMode="External"/><Relationship Id="rId2953" Type="http://schemas.openxmlformats.org/officeDocument/2006/relationships/hyperlink" Target="https://creativecommons.org/licenses/by-nc/4.0/" TargetMode="External"/><Relationship Id="rId2954" Type="http://schemas.openxmlformats.org/officeDocument/2006/relationships/hyperlink" Target="https://www.inaturalist.org/observations/383162579" TargetMode="External"/><Relationship Id="rId2955" Type="http://schemas.openxmlformats.org/officeDocument/2006/relationships/hyperlink" Target="https://creativecommons.org/licenses/by-nc/4.0/" TargetMode="External"/><Relationship Id="rId2956" Type="http://schemas.openxmlformats.org/officeDocument/2006/relationships/hyperlink" Target="https://www.inaturalist.org/observations/383162485" TargetMode="External"/><Relationship Id="rId2957" Type="http://schemas.openxmlformats.org/officeDocument/2006/relationships/hyperlink" Target="https://creativecommons.org/licenses/by-nc/4.0/" TargetMode="External"/><Relationship Id="rId2958" Type="http://schemas.openxmlformats.org/officeDocument/2006/relationships/hyperlink" Target="https://www.inaturalist.org/observations/383162475" TargetMode="External"/><Relationship Id="rId2959" Type="http://schemas.openxmlformats.org/officeDocument/2006/relationships/hyperlink" Target="https://creativecommons.org/licenses/by-nc/4.0/" TargetMode="External"/><Relationship Id="rId2960" Type="http://schemas.openxmlformats.org/officeDocument/2006/relationships/hyperlink" Target="https://www.inaturalist.org/observations/383162471" TargetMode="External"/><Relationship Id="rId2961" Type="http://schemas.openxmlformats.org/officeDocument/2006/relationships/hyperlink" Target="https://creativecommons.org/licenses/by-nc/4.0/" TargetMode="External"/><Relationship Id="rId2962" Type="http://schemas.openxmlformats.org/officeDocument/2006/relationships/hyperlink" Target="https://www.inaturalist.org/observations/383162462" TargetMode="External"/><Relationship Id="rId2963" Type="http://schemas.openxmlformats.org/officeDocument/2006/relationships/hyperlink" Target="https://creativecommons.org/licenses/by-nc/4.0/" TargetMode="External"/><Relationship Id="rId2964" Type="http://schemas.openxmlformats.org/officeDocument/2006/relationships/hyperlink" Target="https://www.inaturalist.org/observations/383162396" TargetMode="External"/><Relationship Id="rId2965" Type="http://schemas.openxmlformats.org/officeDocument/2006/relationships/hyperlink" Target="https://creativecommons.org/licenses/by-nc/4.0/" TargetMode="External"/><Relationship Id="rId2966" Type="http://schemas.openxmlformats.org/officeDocument/2006/relationships/hyperlink" Target="https://www.inaturalist.org/observations/383162394" TargetMode="External"/><Relationship Id="rId2967" Type="http://schemas.openxmlformats.org/officeDocument/2006/relationships/hyperlink" Target="https://creativecommons.org/licenses/by-nc/4.0/" TargetMode="External"/><Relationship Id="rId2968" Type="http://schemas.openxmlformats.org/officeDocument/2006/relationships/hyperlink" Target="https://www.inaturalist.org/observations/383162340" TargetMode="External"/><Relationship Id="rId2969" Type="http://schemas.openxmlformats.org/officeDocument/2006/relationships/hyperlink" Target="https://creativecommons.org/licenses/by-nc/4.0/" TargetMode="External"/><Relationship Id="rId2970" Type="http://schemas.openxmlformats.org/officeDocument/2006/relationships/hyperlink" Target="https://www.inaturalist.org/observations/383162201" TargetMode="External"/><Relationship Id="rId2971" Type="http://schemas.openxmlformats.org/officeDocument/2006/relationships/hyperlink" Target="https://creativecommons.org/licenses/by-nc/4.0/" TargetMode="External"/><Relationship Id="rId2972" Type="http://schemas.openxmlformats.org/officeDocument/2006/relationships/hyperlink" Target="https://www.inaturalist.org/observations/383161961" TargetMode="External"/><Relationship Id="rId2973" Type="http://schemas.openxmlformats.org/officeDocument/2006/relationships/hyperlink" Target="https://creativecommons.org/licenses/by-nc/4.0/" TargetMode="External"/><Relationship Id="rId2974" Type="http://schemas.openxmlformats.org/officeDocument/2006/relationships/hyperlink" Target="https://www.inaturalist.org/observations/383161943" TargetMode="External"/><Relationship Id="rId2975" Type="http://schemas.openxmlformats.org/officeDocument/2006/relationships/hyperlink" Target="https://creativecommons.org/licenses/by-nc/4.0/" TargetMode="External"/><Relationship Id="rId2976" Type="http://schemas.openxmlformats.org/officeDocument/2006/relationships/hyperlink" Target="https://www.inaturalist.org/observations/383161879" TargetMode="External"/><Relationship Id="rId2977" Type="http://schemas.openxmlformats.org/officeDocument/2006/relationships/hyperlink" Target="https://creativecommons.org/licenses/by-nc/4.0/" TargetMode="External"/><Relationship Id="rId2978" Type="http://schemas.openxmlformats.org/officeDocument/2006/relationships/hyperlink" Target="https://www.inaturalist.org/observations/383161873" TargetMode="External"/><Relationship Id="rId2979" Type="http://schemas.openxmlformats.org/officeDocument/2006/relationships/hyperlink" Target="https://creativecommons.org/licenses/by-nc/4.0/" TargetMode="External"/><Relationship Id="rId2980" Type="http://schemas.openxmlformats.org/officeDocument/2006/relationships/hyperlink" Target="https://www.inaturalist.org/observations/383161841" TargetMode="External"/><Relationship Id="rId2981" Type="http://schemas.openxmlformats.org/officeDocument/2006/relationships/hyperlink" Target="https://creativecommons.org/licenses/by-nc/4.0/" TargetMode="External"/><Relationship Id="rId2982" Type="http://schemas.openxmlformats.org/officeDocument/2006/relationships/hyperlink" Target="https://www.inaturalist.org/observations/383161828" TargetMode="External"/><Relationship Id="rId2983" Type="http://schemas.openxmlformats.org/officeDocument/2006/relationships/hyperlink" Target="https://creativecommons.org/licenses/by-nc/4.0/" TargetMode="External"/><Relationship Id="rId2984" Type="http://schemas.openxmlformats.org/officeDocument/2006/relationships/hyperlink" Target="https://www.inaturalist.org/observations/383161788" TargetMode="External"/><Relationship Id="rId2985" Type="http://schemas.openxmlformats.org/officeDocument/2006/relationships/hyperlink" Target="https://creativecommons.org/licenses/by-nc/4.0/" TargetMode="External"/><Relationship Id="rId2986" Type="http://schemas.openxmlformats.org/officeDocument/2006/relationships/hyperlink" Target="https://www.inaturalist.org/observations/383161530" TargetMode="External"/><Relationship Id="rId2987" Type="http://schemas.openxmlformats.org/officeDocument/2006/relationships/hyperlink" Target="https://creativecommons.org/licenses/by-nc/4.0/" TargetMode="External"/><Relationship Id="rId2988" Type="http://schemas.openxmlformats.org/officeDocument/2006/relationships/hyperlink" Target="https://www.inaturalist.org/observations/383161461" TargetMode="External"/><Relationship Id="rId2989" Type="http://schemas.openxmlformats.org/officeDocument/2006/relationships/hyperlink" Target="https://creativecommons.org/licenses/by-nc/4.0/" TargetMode="External"/><Relationship Id="rId2990" Type="http://schemas.openxmlformats.org/officeDocument/2006/relationships/hyperlink" Target="https://www.inaturalist.org/observations/383161447" TargetMode="External"/><Relationship Id="rId2991" Type="http://schemas.openxmlformats.org/officeDocument/2006/relationships/hyperlink" Target="https://creativecommons.org/licenses/by-nc/4.0/" TargetMode="External"/><Relationship Id="rId2992" Type="http://schemas.openxmlformats.org/officeDocument/2006/relationships/hyperlink" Target="https://www.inaturalist.org/observations/383161443" TargetMode="External"/><Relationship Id="rId2993" Type="http://schemas.openxmlformats.org/officeDocument/2006/relationships/hyperlink" Target="https://creativecommons.org/licenses/by-nc/4.0/" TargetMode="External"/><Relationship Id="rId2994" Type="http://schemas.openxmlformats.org/officeDocument/2006/relationships/hyperlink" Target="https://www.inaturalist.org/observations/383161432" TargetMode="External"/><Relationship Id="rId2995" Type="http://schemas.openxmlformats.org/officeDocument/2006/relationships/hyperlink" Target="https://creativecommons.org/licenses/by-nc/4.0/" TargetMode="External"/><Relationship Id="rId2996" Type="http://schemas.openxmlformats.org/officeDocument/2006/relationships/hyperlink" Target="https://www.inaturalist.org/observations/383161406" TargetMode="External"/><Relationship Id="rId2997" Type="http://schemas.openxmlformats.org/officeDocument/2006/relationships/hyperlink" Target="https://creativecommons.org/licenses/by-nc/4.0/" TargetMode="External"/><Relationship Id="rId2998" Type="http://schemas.openxmlformats.org/officeDocument/2006/relationships/hyperlink" Target="https://www.inaturalist.org/observations/383161364" TargetMode="External"/><Relationship Id="rId2999" Type="http://schemas.openxmlformats.org/officeDocument/2006/relationships/hyperlink" Target="https://creativecommons.org/licenses/by-nc/4.0/" TargetMode="External"/><Relationship Id="rId3000" Type="http://schemas.openxmlformats.org/officeDocument/2006/relationships/hyperlink" Target="https://www.inaturalist.org/observations/383161354" TargetMode="External"/><Relationship Id="rId3001" Type="http://schemas.openxmlformats.org/officeDocument/2006/relationships/hyperlink" Target="https://creativecommons.org/licenses/by-nc/4.0/" TargetMode="External"/><Relationship Id="rId3002" Type="http://schemas.openxmlformats.org/officeDocument/2006/relationships/hyperlink" Target="https://www.inaturalist.org/observations/383161347" TargetMode="External"/><Relationship Id="rId3003" Type="http://schemas.openxmlformats.org/officeDocument/2006/relationships/hyperlink" Target="https://creativecommons.org/licenses/by-nc/4.0/" TargetMode="External"/><Relationship Id="rId3004" Type="http://schemas.openxmlformats.org/officeDocument/2006/relationships/hyperlink" Target="https://www.inaturalist.org/observations/383161289" TargetMode="External"/><Relationship Id="rId3005" Type="http://schemas.openxmlformats.org/officeDocument/2006/relationships/hyperlink" Target="https://creativecommons.org/licenses/by-nc/4.0/" TargetMode="External"/><Relationship Id="rId3006" Type="http://schemas.openxmlformats.org/officeDocument/2006/relationships/hyperlink" Target="https://www.inaturalist.org/observations/383161210" TargetMode="External"/><Relationship Id="rId3007" Type="http://schemas.openxmlformats.org/officeDocument/2006/relationships/hyperlink" Target="https://creativecommons.org/licenses/by-nc/4.0/" TargetMode="External"/><Relationship Id="rId3008" Type="http://schemas.openxmlformats.org/officeDocument/2006/relationships/hyperlink" Target="https://www.inaturalist.org/observations/383161114" TargetMode="External"/><Relationship Id="rId3009" Type="http://schemas.openxmlformats.org/officeDocument/2006/relationships/hyperlink" Target="https://creativecommons.org/licenses/by-nc/4.0/" TargetMode="External"/><Relationship Id="rId3010" Type="http://schemas.openxmlformats.org/officeDocument/2006/relationships/hyperlink" Target="https://www.inaturalist.org/observations/383161108" TargetMode="External"/><Relationship Id="rId3011" Type="http://schemas.openxmlformats.org/officeDocument/2006/relationships/hyperlink" Target="https://creativecommons.org/licenses/by-nc/4.0/" TargetMode="External"/><Relationship Id="rId3012" Type="http://schemas.openxmlformats.org/officeDocument/2006/relationships/hyperlink" Target="https://www.inaturalist.org/observations/383161050" TargetMode="External"/><Relationship Id="rId3013" Type="http://schemas.openxmlformats.org/officeDocument/2006/relationships/hyperlink" Target="https://creativecommons.org/licenses/by-nc/4.0/" TargetMode="External"/><Relationship Id="rId3014" Type="http://schemas.openxmlformats.org/officeDocument/2006/relationships/hyperlink" Target="https://www.inaturalist.org/observations/383161004" TargetMode="External"/><Relationship Id="rId3015" Type="http://schemas.openxmlformats.org/officeDocument/2006/relationships/hyperlink" Target="https://creativecommons.org/licenses/by-nc/4.0/" TargetMode="External"/><Relationship Id="rId3016" Type="http://schemas.openxmlformats.org/officeDocument/2006/relationships/hyperlink" Target="https://www.inaturalist.org/observations/383160906" TargetMode="External"/><Relationship Id="rId3017" Type="http://schemas.openxmlformats.org/officeDocument/2006/relationships/hyperlink" Target="https://creativecommons.org/licenses/by-nc/4.0/" TargetMode="External"/><Relationship Id="rId3018" Type="http://schemas.openxmlformats.org/officeDocument/2006/relationships/hyperlink" Target="https://www.inaturalist.org/observations/383160882" TargetMode="External"/><Relationship Id="rId3019" Type="http://schemas.openxmlformats.org/officeDocument/2006/relationships/hyperlink" Target="https://creativecommons.org/licenses/by-nc/4.0/" TargetMode="External"/><Relationship Id="rId3020" Type="http://schemas.openxmlformats.org/officeDocument/2006/relationships/hyperlink" Target="https://www.inaturalist.org/observations/383160858" TargetMode="External"/><Relationship Id="rId3021" Type="http://schemas.openxmlformats.org/officeDocument/2006/relationships/hyperlink" Target="https://creativecommons.org/licenses/by-nc/4.0/" TargetMode="External"/><Relationship Id="rId3022" Type="http://schemas.openxmlformats.org/officeDocument/2006/relationships/hyperlink" Target="https://www.inaturalist.org/observations/383160849" TargetMode="External"/><Relationship Id="rId3023" Type="http://schemas.openxmlformats.org/officeDocument/2006/relationships/hyperlink" Target="https://creativecommons.org/licenses/by-nc/4.0/" TargetMode="External"/><Relationship Id="rId3024" Type="http://schemas.openxmlformats.org/officeDocument/2006/relationships/hyperlink" Target="https://www.inaturalist.org/observations/383160826" TargetMode="External"/><Relationship Id="rId3025" Type="http://schemas.openxmlformats.org/officeDocument/2006/relationships/hyperlink" Target="https://creativecommons.org/licenses/by-nc/4.0/" TargetMode="External"/><Relationship Id="rId3026" Type="http://schemas.openxmlformats.org/officeDocument/2006/relationships/hyperlink" Target="https://www.inaturalist.org/observations/383160749" TargetMode="External"/><Relationship Id="rId3027" Type="http://schemas.openxmlformats.org/officeDocument/2006/relationships/hyperlink" Target="https://creativecommons.org/licenses/by-nc/4.0/" TargetMode="External"/><Relationship Id="rId3028" Type="http://schemas.openxmlformats.org/officeDocument/2006/relationships/hyperlink" Target="https://www.inaturalist.org/observations/383160567" TargetMode="External"/><Relationship Id="rId3029" Type="http://schemas.openxmlformats.org/officeDocument/2006/relationships/hyperlink" Target="https://creativecommons.org/licenses/by-nc/4.0/" TargetMode="External"/><Relationship Id="rId3030" Type="http://schemas.openxmlformats.org/officeDocument/2006/relationships/hyperlink" Target="https://www.inaturalist.org/observations/383160411" TargetMode="External"/><Relationship Id="rId3031" Type="http://schemas.openxmlformats.org/officeDocument/2006/relationships/hyperlink" Target="https://creativecommons.org/licenses/by-nc/4.0/" TargetMode="External"/><Relationship Id="rId3032" Type="http://schemas.openxmlformats.org/officeDocument/2006/relationships/hyperlink" Target="https://www.inaturalist.org/observations/383160405" TargetMode="External"/><Relationship Id="rId3033" Type="http://schemas.openxmlformats.org/officeDocument/2006/relationships/hyperlink" Target="https://creativecommons.org/licenses/by-nc/4.0/" TargetMode="External"/><Relationship Id="rId3034" Type="http://schemas.openxmlformats.org/officeDocument/2006/relationships/hyperlink" Target="https://www.inaturalist.org/observations/383160351" TargetMode="External"/><Relationship Id="rId3035" Type="http://schemas.openxmlformats.org/officeDocument/2006/relationships/hyperlink" Target="https://creativecommons.org/licenses/by-nc/4.0/" TargetMode="External"/><Relationship Id="rId3036" Type="http://schemas.openxmlformats.org/officeDocument/2006/relationships/hyperlink" Target="https://www.inaturalist.org/observations/383160333" TargetMode="External"/><Relationship Id="rId3037" Type="http://schemas.openxmlformats.org/officeDocument/2006/relationships/hyperlink" Target="https://creativecommons.org/licenses/by-nc/4.0/" TargetMode="External"/><Relationship Id="rId3038" Type="http://schemas.openxmlformats.org/officeDocument/2006/relationships/hyperlink" Target="https://www.inaturalist.org/observations/383160300" TargetMode="External"/><Relationship Id="rId3039" Type="http://schemas.openxmlformats.org/officeDocument/2006/relationships/hyperlink" Target="https://creativecommons.org/licenses/by-nc/4.0/" TargetMode="External"/><Relationship Id="rId3040" Type="http://schemas.openxmlformats.org/officeDocument/2006/relationships/hyperlink" Target="https://www.inaturalist.org/observations/383160225" TargetMode="External"/><Relationship Id="rId3041" Type="http://schemas.openxmlformats.org/officeDocument/2006/relationships/hyperlink" Target="https://creativecommons.org/licenses/by-nc/4.0/" TargetMode="External"/><Relationship Id="rId3042" Type="http://schemas.openxmlformats.org/officeDocument/2006/relationships/hyperlink" Target="https://www.inaturalist.org/observations/383159858" TargetMode="External"/><Relationship Id="rId3043" Type="http://schemas.openxmlformats.org/officeDocument/2006/relationships/hyperlink" Target="https://creativecommons.org/licenses/by-nc/4.0/" TargetMode="External"/><Relationship Id="rId3044" Type="http://schemas.openxmlformats.org/officeDocument/2006/relationships/hyperlink" Target="https://www.inaturalist.org/observations/383159764" TargetMode="External"/><Relationship Id="rId3045" Type="http://schemas.openxmlformats.org/officeDocument/2006/relationships/hyperlink" Target="https://creativecommons.org/licenses/by-nc/4.0/" TargetMode="External"/><Relationship Id="rId3046" Type="http://schemas.openxmlformats.org/officeDocument/2006/relationships/hyperlink" Target="https://www.inaturalist.org/observations/383159683" TargetMode="External"/><Relationship Id="rId3047" Type="http://schemas.openxmlformats.org/officeDocument/2006/relationships/hyperlink" Target="https://creativecommons.org/licenses/by-nc/4.0/" TargetMode="External"/><Relationship Id="rId3048" Type="http://schemas.openxmlformats.org/officeDocument/2006/relationships/hyperlink" Target="https://www.inaturalist.org/observations/383159579" TargetMode="External"/><Relationship Id="rId3049" Type="http://schemas.openxmlformats.org/officeDocument/2006/relationships/hyperlink" Target="https://creativecommons.org/licenses/by-nc/4.0/" TargetMode="External"/><Relationship Id="rId3050" Type="http://schemas.openxmlformats.org/officeDocument/2006/relationships/hyperlink" Target="https://www.inaturalist.org/observations/383159497" TargetMode="External"/><Relationship Id="rId3051" Type="http://schemas.openxmlformats.org/officeDocument/2006/relationships/hyperlink" Target="https://creativecommons.org/licenses/by-nc/4.0/" TargetMode="External"/><Relationship Id="rId3052" Type="http://schemas.openxmlformats.org/officeDocument/2006/relationships/hyperlink" Target="https://www.inaturalist.org/observations/383159451" TargetMode="External"/><Relationship Id="rId3053" Type="http://schemas.openxmlformats.org/officeDocument/2006/relationships/hyperlink" Target="https://creativecommons.org/licenses/by-nc/4.0/" TargetMode="External"/><Relationship Id="rId3054" Type="http://schemas.openxmlformats.org/officeDocument/2006/relationships/hyperlink" Target="https://www.inaturalist.org/observations/383159378" TargetMode="External"/><Relationship Id="rId3055" Type="http://schemas.openxmlformats.org/officeDocument/2006/relationships/hyperlink" Target="https://creativecommons.org/licenses/by-nc/4.0/" TargetMode="External"/><Relationship Id="rId3056" Type="http://schemas.openxmlformats.org/officeDocument/2006/relationships/hyperlink" Target="https://www.inaturalist.org/observations/383159333" TargetMode="External"/><Relationship Id="rId3057" Type="http://schemas.openxmlformats.org/officeDocument/2006/relationships/hyperlink" Target="https://creativecommons.org/licenses/by-nc/4.0/" TargetMode="External"/><Relationship Id="rId3058" Type="http://schemas.openxmlformats.org/officeDocument/2006/relationships/hyperlink" Target="https://www.inaturalist.org/observations/383159209" TargetMode="External"/><Relationship Id="rId3059" Type="http://schemas.openxmlformats.org/officeDocument/2006/relationships/hyperlink" Target="https://creativecommons.org/licenses/by-nc/4.0/" TargetMode="External"/><Relationship Id="rId3060" Type="http://schemas.openxmlformats.org/officeDocument/2006/relationships/hyperlink" Target="https://www.inaturalist.org/observations/383159190" TargetMode="External"/><Relationship Id="rId3061" Type="http://schemas.openxmlformats.org/officeDocument/2006/relationships/hyperlink" Target="https://creativecommons.org/licenses/by-nc/4.0/" TargetMode="External"/><Relationship Id="rId3062" Type="http://schemas.openxmlformats.org/officeDocument/2006/relationships/hyperlink" Target="https://www.inaturalist.org/observations/383158527" TargetMode="External"/><Relationship Id="rId3063" Type="http://schemas.openxmlformats.org/officeDocument/2006/relationships/hyperlink" Target="https://creativecommons.org/licenses/by-nc/4.0/" TargetMode="External"/><Relationship Id="rId3064" Type="http://schemas.openxmlformats.org/officeDocument/2006/relationships/hyperlink" Target="https://www.inaturalist.org/observations/383158008" TargetMode="External"/><Relationship Id="rId3065" Type="http://schemas.openxmlformats.org/officeDocument/2006/relationships/hyperlink" Target="https://creativecommons.org/licenses/by-nc/4.0/" TargetMode="External"/><Relationship Id="rId3066" Type="http://schemas.openxmlformats.org/officeDocument/2006/relationships/hyperlink" Target="https://www.inaturalist.org/observations/383157989" TargetMode="External"/><Relationship Id="rId3067" Type="http://schemas.openxmlformats.org/officeDocument/2006/relationships/hyperlink" Target="https://creativecommons.org/licenses/by-nc/4.0/" TargetMode="External"/><Relationship Id="rId3068" Type="http://schemas.openxmlformats.org/officeDocument/2006/relationships/hyperlink" Target="https://www.inaturalist.org/observations/383157936" TargetMode="External"/><Relationship Id="rId3069" Type="http://schemas.openxmlformats.org/officeDocument/2006/relationships/hyperlink" Target="https://creativecommons.org/licenses/by-nc/4.0/" TargetMode="External"/><Relationship Id="rId3070" Type="http://schemas.openxmlformats.org/officeDocument/2006/relationships/hyperlink" Target="https://www.inaturalist.org/observations/383157861" TargetMode="External"/><Relationship Id="rId3071" Type="http://schemas.openxmlformats.org/officeDocument/2006/relationships/hyperlink" Target="https://creativecommons.org/licenses/by-nc/4.0/" TargetMode="External"/><Relationship Id="rId3072" Type="http://schemas.openxmlformats.org/officeDocument/2006/relationships/hyperlink" Target="https://www.inaturalist.org/observations/383157739" TargetMode="External"/><Relationship Id="rId3073" Type="http://schemas.openxmlformats.org/officeDocument/2006/relationships/hyperlink" Target="https://creativecommons.org/licenses/by-nc/4.0/" TargetMode="External"/><Relationship Id="rId3074" Type="http://schemas.openxmlformats.org/officeDocument/2006/relationships/hyperlink" Target="https://www.inaturalist.org/observations/383157733" TargetMode="External"/><Relationship Id="rId3075" Type="http://schemas.openxmlformats.org/officeDocument/2006/relationships/hyperlink" Target="https://creativecommons.org/licenses/by-nc/4.0/" TargetMode="External"/><Relationship Id="rId3076" Type="http://schemas.openxmlformats.org/officeDocument/2006/relationships/hyperlink" Target="https://www.inaturalist.org/observations/383157675" TargetMode="External"/><Relationship Id="rId3077" Type="http://schemas.openxmlformats.org/officeDocument/2006/relationships/hyperlink" Target="https://creativecommons.org/licenses/by-nc/4.0/" TargetMode="External"/><Relationship Id="rId3078" Type="http://schemas.openxmlformats.org/officeDocument/2006/relationships/hyperlink" Target="https://www.inaturalist.org/observations/383157644" TargetMode="External"/><Relationship Id="rId3079" Type="http://schemas.openxmlformats.org/officeDocument/2006/relationships/hyperlink" Target="https://creativecommons.org/licenses/by-nc/4.0/" TargetMode="External"/><Relationship Id="rId3080" Type="http://schemas.openxmlformats.org/officeDocument/2006/relationships/hyperlink" Target="https://www.inaturalist.org/observations/383157639" TargetMode="External"/><Relationship Id="rId3081" Type="http://schemas.openxmlformats.org/officeDocument/2006/relationships/hyperlink" Target="https://creativecommons.org/licenses/by-nc/4.0/" TargetMode="External"/><Relationship Id="rId3082" Type="http://schemas.openxmlformats.org/officeDocument/2006/relationships/hyperlink" Target="https://www.inaturalist.org/observations/383157615" TargetMode="External"/><Relationship Id="rId3083" Type="http://schemas.openxmlformats.org/officeDocument/2006/relationships/hyperlink" Target="https://creativecommons.org/licenses/by-nc/4.0/" TargetMode="External"/><Relationship Id="rId3084" Type="http://schemas.openxmlformats.org/officeDocument/2006/relationships/hyperlink" Target="https://www.inaturalist.org/observations/383157560" TargetMode="External"/><Relationship Id="rId3085" Type="http://schemas.openxmlformats.org/officeDocument/2006/relationships/hyperlink" Target="https://creativecommons.org/licenses/by-nc/4.0/" TargetMode="External"/><Relationship Id="rId3086" Type="http://schemas.openxmlformats.org/officeDocument/2006/relationships/hyperlink" Target="https://www.inaturalist.org/observations/383157469" TargetMode="External"/><Relationship Id="rId3087" Type="http://schemas.openxmlformats.org/officeDocument/2006/relationships/hyperlink" Target="https://creativecommons.org/licenses/by-nc/4.0/" TargetMode="External"/><Relationship Id="rId3088" Type="http://schemas.openxmlformats.org/officeDocument/2006/relationships/hyperlink" Target="https://www.inaturalist.org/observations/383157447" TargetMode="External"/><Relationship Id="rId3089" Type="http://schemas.openxmlformats.org/officeDocument/2006/relationships/hyperlink" Target="https://creativecommons.org/licenses/by-nc/4.0/" TargetMode="External"/><Relationship Id="rId3090" Type="http://schemas.openxmlformats.org/officeDocument/2006/relationships/hyperlink" Target="https://www.inaturalist.org/observations/383157318" TargetMode="External"/><Relationship Id="rId3091" Type="http://schemas.openxmlformats.org/officeDocument/2006/relationships/hyperlink" Target="https://creativecommons.org/licenses/by-nc/4.0/" TargetMode="External"/><Relationship Id="rId3092" Type="http://schemas.openxmlformats.org/officeDocument/2006/relationships/hyperlink" Target="https://www.inaturalist.org/observations/383157284" TargetMode="External"/><Relationship Id="rId3093" Type="http://schemas.openxmlformats.org/officeDocument/2006/relationships/hyperlink" Target="https://creativecommons.org/licenses/by-nc/4.0/" TargetMode="External"/><Relationship Id="rId3094" Type="http://schemas.openxmlformats.org/officeDocument/2006/relationships/hyperlink" Target="https://www.inaturalist.org/observations/383157253" TargetMode="External"/><Relationship Id="rId3095" Type="http://schemas.openxmlformats.org/officeDocument/2006/relationships/hyperlink" Target="https://creativecommons.org/licenses/by-nc/4.0/" TargetMode="External"/><Relationship Id="rId3096" Type="http://schemas.openxmlformats.org/officeDocument/2006/relationships/hyperlink" Target="https://www.inaturalist.org/observations/383157213" TargetMode="External"/><Relationship Id="rId3097" Type="http://schemas.openxmlformats.org/officeDocument/2006/relationships/hyperlink" Target="https://creativecommons.org/licenses/by-nc/4.0/" TargetMode="External"/><Relationship Id="rId3098" Type="http://schemas.openxmlformats.org/officeDocument/2006/relationships/hyperlink" Target="https://www.inaturalist.org/observations/383157196" TargetMode="External"/><Relationship Id="rId3099" Type="http://schemas.openxmlformats.org/officeDocument/2006/relationships/hyperlink" Target="https://creativecommons.org/licenses/by-nc/4.0/" TargetMode="External"/><Relationship Id="rId3100" Type="http://schemas.openxmlformats.org/officeDocument/2006/relationships/hyperlink" Target="https://www.inaturalist.org/observations/383157105" TargetMode="External"/><Relationship Id="rId3101" Type="http://schemas.openxmlformats.org/officeDocument/2006/relationships/hyperlink" Target="https://creativecommons.org/licenses/by-nc/4.0/" TargetMode="External"/><Relationship Id="rId3102" Type="http://schemas.openxmlformats.org/officeDocument/2006/relationships/hyperlink" Target="https://www.inaturalist.org/observations/383157084" TargetMode="External"/><Relationship Id="rId3103" Type="http://schemas.openxmlformats.org/officeDocument/2006/relationships/hyperlink" Target="https://creativecommons.org/licenses/by-nc/4.0/" TargetMode="External"/><Relationship Id="rId3104" Type="http://schemas.openxmlformats.org/officeDocument/2006/relationships/hyperlink" Target="https://www.inaturalist.org/observations/383157055" TargetMode="External"/><Relationship Id="rId3105" Type="http://schemas.openxmlformats.org/officeDocument/2006/relationships/hyperlink" Target="https://creativecommons.org/licenses/by-nc/4.0/" TargetMode="External"/><Relationship Id="rId3106" Type="http://schemas.openxmlformats.org/officeDocument/2006/relationships/hyperlink" Target="https://www.inaturalist.org/observations/383157015" TargetMode="External"/><Relationship Id="rId3107" Type="http://schemas.openxmlformats.org/officeDocument/2006/relationships/hyperlink" Target="https://creativecommons.org/licenses/by-nc/4.0/" TargetMode="External"/><Relationship Id="rId3108" Type="http://schemas.openxmlformats.org/officeDocument/2006/relationships/hyperlink" Target="https://www.inaturalist.org/observations/383156983" TargetMode="External"/><Relationship Id="rId3109" Type="http://schemas.openxmlformats.org/officeDocument/2006/relationships/hyperlink" Target="https://creativecommons.org/licenses/by-nc/4.0/" TargetMode="External"/><Relationship Id="rId3110" Type="http://schemas.openxmlformats.org/officeDocument/2006/relationships/hyperlink" Target="https://www.inaturalist.org/observations/383156964" TargetMode="External"/><Relationship Id="rId3111" Type="http://schemas.openxmlformats.org/officeDocument/2006/relationships/hyperlink" Target="https://creativecommons.org/licenses/by-nc/4.0/" TargetMode="External"/><Relationship Id="rId3112" Type="http://schemas.openxmlformats.org/officeDocument/2006/relationships/hyperlink" Target="https://www.inaturalist.org/observations/383156935" TargetMode="External"/><Relationship Id="rId3113" Type="http://schemas.openxmlformats.org/officeDocument/2006/relationships/hyperlink" Target="https://creativecommons.org/licenses/by-nc/4.0/" TargetMode="External"/><Relationship Id="rId3114" Type="http://schemas.openxmlformats.org/officeDocument/2006/relationships/hyperlink" Target="https://www.inaturalist.org/observations/383156926" TargetMode="External"/><Relationship Id="rId3115" Type="http://schemas.openxmlformats.org/officeDocument/2006/relationships/hyperlink" Target="https://creativecommons.org/licenses/by-nc/4.0/" TargetMode="External"/><Relationship Id="rId3116" Type="http://schemas.openxmlformats.org/officeDocument/2006/relationships/hyperlink" Target="https://www.inaturalist.org/observations/383156907" TargetMode="External"/><Relationship Id="rId3117" Type="http://schemas.openxmlformats.org/officeDocument/2006/relationships/hyperlink" Target="https://creativecommons.org/licenses/by-nc/4.0/" TargetMode="External"/><Relationship Id="rId3118" Type="http://schemas.openxmlformats.org/officeDocument/2006/relationships/hyperlink" Target="https://www.inaturalist.org/observations/383156883" TargetMode="External"/><Relationship Id="rId3119" Type="http://schemas.openxmlformats.org/officeDocument/2006/relationships/hyperlink" Target="https://creativecommons.org/licenses/by-nc/4.0/" TargetMode="External"/><Relationship Id="rId3120" Type="http://schemas.openxmlformats.org/officeDocument/2006/relationships/hyperlink" Target="https://www.inaturalist.org/observations/383156740" TargetMode="External"/><Relationship Id="rId3121" Type="http://schemas.openxmlformats.org/officeDocument/2006/relationships/hyperlink" Target="https://creativecommons.org/licenses/by-nc/4.0/" TargetMode="External"/><Relationship Id="rId3122" Type="http://schemas.openxmlformats.org/officeDocument/2006/relationships/hyperlink" Target="https://www.inaturalist.org/observations/383156727" TargetMode="External"/><Relationship Id="rId3123" Type="http://schemas.openxmlformats.org/officeDocument/2006/relationships/hyperlink" Target="https://creativecommons.org/licenses/by-nc/4.0/" TargetMode="External"/><Relationship Id="rId3124" Type="http://schemas.openxmlformats.org/officeDocument/2006/relationships/hyperlink" Target="https://www.inaturalist.org/observations/383156693" TargetMode="External"/><Relationship Id="rId3125" Type="http://schemas.openxmlformats.org/officeDocument/2006/relationships/hyperlink" Target="https://creativecommons.org/licenses/by-nc/4.0/" TargetMode="External"/><Relationship Id="rId3126" Type="http://schemas.openxmlformats.org/officeDocument/2006/relationships/hyperlink" Target="https://www.inaturalist.org/observations/383156539" TargetMode="External"/><Relationship Id="rId3127" Type="http://schemas.openxmlformats.org/officeDocument/2006/relationships/hyperlink" Target="https://creativecommons.org/licenses/by-nc/4.0/" TargetMode="External"/><Relationship Id="rId3128" Type="http://schemas.openxmlformats.org/officeDocument/2006/relationships/hyperlink" Target="https://www.inaturalist.org/observations/383156538" TargetMode="External"/><Relationship Id="rId3129" Type="http://schemas.openxmlformats.org/officeDocument/2006/relationships/hyperlink" Target="https://creativecommons.org/licenses/by-nc/4.0/" TargetMode="External"/><Relationship Id="rId3130" Type="http://schemas.openxmlformats.org/officeDocument/2006/relationships/hyperlink" Target="https://www.inaturalist.org/observations/383156522" TargetMode="External"/><Relationship Id="rId3131" Type="http://schemas.openxmlformats.org/officeDocument/2006/relationships/hyperlink" Target="https://creativecommons.org/licenses/by-nc/4.0/" TargetMode="External"/><Relationship Id="rId3132" Type="http://schemas.openxmlformats.org/officeDocument/2006/relationships/hyperlink" Target="https://www.inaturalist.org/observations/383156452" TargetMode="External"/><Relationship Id="rId3133" Type="http://schemas.openxmlformats.org/officeDocument/2006/relationships/hyperlink" Target="https://creativecommons.org/licenses/by-nc/4.0/" TargetMode="External"/><Relationship Id="rId3134" Type="http://schemas.openxmlformats.org/officeDocument/2006/relationships/hyperlink" Target="https://www.inaturalist.org/observations/383156386" TargetMode="External"/><Relationship Id="rId3135" Type="http://schemas.openxmlformats.org/officeDocument/2006/relationships/hyperlink" Target="https://creativecommons.org/licenses/by-nc/4.0/" TargetMode="External"/><Relationship Id="rId3136" Type="http://schemas.openxmlformats.org/officeDocument/2006/relationships/hyperlink" Target="https://www.inaturalist.org/observations/383156364" TargetMode="External"/><Relationship Id="rId3137" Type="http://schemas.openxmlformats.org/officeDocument/2006/relationships/hyperlink" Target="https://creativecommons.org/licenses/by-nc/4.0/" TargetMode="External"/><Relationship Id="rId3138" Type="http://schemas.openxmlformats.org/officeDocument/2006/relationships/hyperlink" Target="https://www.inaturalist.org/observations/383156330" TargetMode="External"/><Relationship Id="rId3139" Type="http://schemas.openxmlformats.org/officeDocument/2006/relationships/hyperlink" Target="https://creativecommons.org/licenses/by-nc/4.0/" TargetMode="External"/><Relationship Id="rId3140" Type="http://schemas.openxmlformats.org/officeDocument/2006/relationships/hyperlink" Target="https://www.inaturalist.org/observations/383156290" TargetMode="External"/><Relationship Id="rId3141" Type="http://schemas.openxmlformats.org/officeDocument/2006/relationships/hyperlink" Target="https://creativecommons.org/licenses/by-nc/4.0/" TargetMode="External"/><Relationship Id="rId3142" Type="http://schemas.openxmlformats.org/officeDocument/2006/relationships/hyperlink" Target="https://www.inaturalist.org/observations/383156125" TargetMode="External"/><Relationship Id="rId3143" Type="http://schemas.openxmlformats.org/officeDocument/2006/relationships/hyperlink" Target="https://creativecommons.org/licenses/by-nc/4.0/" TargetMode="External"/><Relationship Id="rId3144" Type="http://schemas.openxmlformats.org/officeDocument/2006/relationships/hyperlink" Target="https://www.inaturalist.org/observations/383156096" TargetMode="External"/><Relationship Id="rId3145" Type="http://schemas.openxmlformats.org/officeDocument/2006/relationships/hyperlink" Target="https://creativecommons.org/licenses/by-nc/4.0/" TargetMode="External"/><Relationship Id="rId3146" Type="http://schemas.openxmlformats.org/officeDocument/2006/relationships/hyperlink" Target="https://www.inaturalist.org/observations/383156088" TargetMode="External"/><Relationship Id="rId3147" Type="http://schemas.openxmlformats.org/officeDocument/2006/relationships/hyperlink" Target="https://creativecommons.org/licenses/by-nc/4.0/" TargetMode="External"/><Relationship Id="rId3148" Type="http://schemas.openxmlformats.org/officeDocument/2006/relationships/hyperlink" Target="https://www.inaturalist.org/observations/383156064" TargetMode="External"/><Relationship Id="rId3149" Type="http://schemas.openxmlformats.org/officeDocument/2006/relationships/hyperlink" Target="https://creativecommons.org/licenses/by-nc/4.0/" TargetMode="External"/><Relationship Id="rId3150" Type="http://schemas.openxmlformats.org/officeDocument/2006/relationships/hyperlink" Target="https://www.inaturalist.org/observations/383156056" TargetMode="External"/><Relationship Id="rId3151" Type="http://schemas.openxmlformats.org/officeDocument/2006/relationships/hyperlink" Target="https://creativecommons.org/licenses/by-nc/4.0/" TargetMode="External"/><Relationship Id="rId3152" Type="http://schemas.openxmlformats.org/officeDocument/2006/relationships/hyperlink" Target="https://www.inaturalist.org/observations/383156004" TargetMode="External"/><Relationship Id="rId3153" Type="http://schemas.openxmlformats.org/officeDocument/2006/relationships/hyperlink" Target="https://creativecommons.org/licenses/by-nc/4.0/" TargetMode="External"/><Relationship Id="rId3154" Type="http://schemas.openxmlformats.org/officeDocument/2006/relationships/hyperlink" Target="https://www.inaturalist.org/observations/383155816" TargetMode="External"/><Relationship Id="rId3155" Type="http://schemas.openxmlformats.org/officeDocument/2006/relationships/hyperlink" Target="https://creativecommons.org/licenses/by-nc/4.0/" TargetMode="External"/><Relationship Id="rId3156" Type="http://schemas.openxmlformats.org/officeDocument/2006/relationships/hyperlink" Target="https://www.inaturalist.org/observations/383155570" TargetMode="External"/><Relationship Id="rId3157" Type="http://schemas.openxmlformats.org/officeDocument/2006/relationships/hyperlink" Target="https://creativecommons.org/licenses/by-nc/4.0/" TargetMode="External"/><Relationship Id="rId3158" Type="http://schemas.openxmlformats.org/officeDocument/2006/relationships/hyperlink" Target="https://www.inaturalist.org/observations/383155550" TargetMode="External"/><Relationship Id="rId3159" Type="http://schemas.openxmlformats.org/officeDocument/2006/relationships/hyperlink" Target="https://creativecommons.org/licenses/by-nc/4.0/" TargetMode="External"/><Relationship Id="rId3160" Type="http://schemas.openxmlformats.org/officeDocument/2006/relationships/hyperlink" Target="https://www.inaturalist.org/observations/383155515" TargetMode="External"/><Relationship Id="rId3161" Type="http://schemas.openxmlformats.org/officeDocument/2006/relationships/hyperlink" Target="https://creativecommons.org/licenses/by-nc/4.0/" TargetMode="External"/><Relationship Id="rId3162" Type="http://schemas.openxmlformats.org/officeDocument/2006/relationships/hyperlink" Target="https://www.inaturalist.org/observations/383155511" TargetMode="External"/><Relationship Id="rId3163" Type="http://schemas.openxmlformats.org/officeDocument/2006/relationships/hyperlink" Target="https://creativecommons.org/licenses/by-nc/4.0/" TargetMode="External"/><Relationship Id="rId3164" Type="http://schemas.openxmlformats.org/officeDocument/2006/relationships/hyperlink" Target="https://www.inaturalist.org/observations/383155457" TargetMode="External"/><Relationship Id="rId3165" Type="http://schemas.openxmlformats.org/officeDocument/2006/relationships/hyperlink" Target="https://creativecommons.org/licenses/by-nc/4.0/" TargetMode="External"/><Relationship Id="rId3166" Type="http://schemas.openxmlformats.org/officeDocument/2006/relationships/hyperlink" Target="https://www.inaturalist.org/observations/383155373" TargetMode="External"/><Relationship Id="rId3167" Type="http://schemas.openxmlformats.org/officeDocument/2006/relationships/hyperlink" Target="https://creativecommons.org/licenses/by-nc/4.0/" TargetMode="External"/><Relationship Id="rId3168" Type="http://schemas.openxmlformats.org/officeDocument/2006/relationships/hyperlink" Target="https://www.inaturalist.org/observations/383155264" TargetMode="External"/><Relationship Id="rId3169" Type="http://schemas.openxmlformats.org/officeDocument/2006/relationships/hyperlink" Target="https://creativecommons.org/licenses/by-nc/4.0/" TargetMode="External"/><Relationship Id="rId3170" Type="http://schemas.openxmlformats.org/officeDocument/2006/relationships/hyperlink" Target="https://www.inaturalist.org/observations/383155192" TargetMode="External"/><Relationship Id="rId3171" Type="http://schemas.openxmlformats.org/officeDocument/2006/relationships/hyperlink" Target="https://creativecommons.org/licenses/by-nc/4.0/" TargetMode="External"/><Relationship Id="rId3172" Type="http://schemas.openxmlformats.org/officeDocument/2006/relationships/hyperlink" Target="https://www.inaturalist.org/observations/383155122" TargetMode="External"/><Relationship Id="rId3173" Type="http://schemas.openxmlformats.org/officeDocument/2006/relationships/hyperlink" Target="https://creativecommons.org/licenses/by-nc/4.0/" TargetMode="External"/><Relationship Id="rId3174" Type="http://schemas.openxmlformats.org/officeDocument/2006/relationships/hyperlink" Target="https://www.inaturalist.org/observations/383155084" TargetMode="External"/><Relationship Id="rId3175" Type="http://schemas.openxmlformats.org/officeDocument/2006/relationships/hyperlink" Target="https://creativecommons.org/licenses/by-nc/4.0/" TargetMode="External"/><Relationship Id="rId3176" Type="http://schemas.openxmlformats.org/officeDocument/2006/relationships/hyperlink" Target="https://www.inaturalist.org/observations/383155013" TargetMode="External"/><Relationship Id="rId3177" Type="http://schemas.openxmlformats.org/officeDocument/2006/relationships/hyperlink" Target="https://creativecommons.org/licenses/by-nc/4.0/" TargetMode="External"/><Relationship Id="rId3178" Type="http://schemas.openxmlformats.org/officeDocument/2006/relationships/hyperlink" Target="https://www.inaturalist.org/observations/383154978" TargetMode="External"/><Relationship Id="rId3179" Type="http://schemas.openxmlformats.org/officeDocument/2006/relationships/hyperlink" Target="https://creativecommons.org/licenses/by-nc/4.0/" TargetMode="External"/><Relationship Id="rId3180" Type="http://schemas.openxmlformats.org/officeDocument/2006/relationships/hyperlink" Target="https://www.inaturalist.org/observations/383154924" TargetMode="External"/><Relationship Id="rId3181" Type="http://schemas.openxmlformats.org/officeDocument/2006/relationships/hyperlink" Target="https://creativecommons.org/licenses/by-nc/4.0/" TargetMode="External"/><Relationship Id="rId3182" Type="http://schemas.openxmlformats.org/officeDocument/2006/relationships/hyperlink" Target="https://www.inaturalist.org/observations/383154910" TargetMode="External"/><Relationship Id="rId3183" Type="http://schemas.openxmlformats.org/officeDocument/2006/relationships/hyperlink" Target="https://creativecommons.org/licenses/by-nc/4.0/" TargetMode="External"/><Relationship Id="rId3184" Type="http://schemas.openxmlformats.org/officeDocument/2006/relationships/hyperlink" Target="https://www.inaturalist.org/observations/383154882" TargetMode="External"/><Relationship Id="rId3185" Type="http://schemas.openxmlformats.org/officeDocument/2006/relationships/hyperlink" Target="https://creativecommons.org/licenses/by-nc/4.0/" TargetMode="External"/><Relationship Id="rId3186" Type="http://schemas.openxmlformats.org/officeDocument/2006/relationships/hyperlink" Target="https://www.inaturalist.org/observations/383154869" TargetMode="External"/><Relationship Id="rId3187" Type="http://schemas.openxmlformats.org/officeDocument/2006/relationships/hyperlink" Target="https://creativecommons.org/licenses/by-nc/4.0/" TargetMode="External"/><Relationship Id="rId3188" Type="http://schemas.openxmlformats.org/officeDocument/2006/relationships/hyperlink" Target="https://www.inaturalist.org/observations/383154748" TargetMode="External"/><Relationship Id="rId3189" Type="http://schemas.openxmlformats.org/officeDocument/2006/relationships/hyperlink" Target="https://creativecommons.org/licenses/by-nc/4.0/" TargetMode="External"/><Relationship Id="rId3190" Type="http://schemas.openxmlformats.org/officeDocument/2006/relationships/hyperlink" Target="https://www.inaturalist.org/observations/383154641" TargetMode="External"/><Relationship Id="rId3191" Type="http://schemas.openxmlformats.org/officeDocument/2006/relationships/hyperlink" Target="https://creativecommons.org/licenses/by-nc/4.0/" TargetMode="External"/><Relationship Id="rId3192" Type="http://schemas.openxmlformats.org/officeDocument/2006/relationships/hyperlink" Target="https://www.inaturalist.org/observations/383154634" TargetMode="External"/><Relationship Id="rId3193" Type="http://schemas.openxmlformats.org/officeDocument/2006/relationships/hyperlink" Target="https://creativecommons.org/licenses/by-nc/4.0/" TargetMode="External"/><Relationship Id="rId3194" Type="http://schemas.openxmlformats.org/officeDocument/2006/relationships/hyperlink" Target="https://www.inaturalist.org/observations/383154609" TargetMode="External"/><Relationship Id="rId3195" Type="http://schemas.openxmlformats.org/officeDocument/2006/relationships/hyperlink" Target="https://creativecommons.org/licenses/by-nc/4.0/" TargetMode="External"/><Relationship Id="rId3196" Type="http://schemas.openxmlformats.org/officeDocument/2006/relationships/hyperlink" Target="https://www.inaturalist.org/observations/383154503" TargetMode="External"/><Relationship Id="rId3197" Type="http://schemas.openxmlformats.org/officeDocument/2006/relationships/hyperlink" Target="https://creativecommons.org/licenses/by-nc/4.0/" TargetMode="External"/><Relationship Id="rId3198" Type="http://schemas.openxmlformats.org/officeDocument/2006/relationships/hyperlink" Target="https://www.inaturalist.org/observations/383154040" TargetMode="External"/><Relationship Id="rId3199" Type="http://schemas.openxmlformats.org/officeDocument/2006/relationships/hyperlink" Target="https://creativecommons.org/licenses/by-nc/4.0/" TargetMode="External"/><Relationship Id="rId3200" Type="http://schemas.openxmlformats.org/officeDocument/2006/relationships/hyperlink" Target="https://www.inaturalist.org/observations/383153935" TargetMode="External"/><Relationship Id="rId3201" Type="http://schemas.openxmlformats.org/officeDocument/2006/relationships/hyperlink" Target="https://creativecommons.org/licenses/by-nc/4.0/" TargetMode="External"/><Relationship Id="rId3202" Type="http://schemas.openxmlformats.org/officeDocument/2006/relationships/hyperlink" Target="https://www.inaturalist.org/observations/383153877" TargetMode="External"/><Relationship Id="rId3203" Type="http://schemas.openxmlformats.org/officeDocument/2006/relationships/hyperlink" Target="https://creativecommons.org/licenses/by-nc/4.0/" TargetMode="External"/><Relationship Id="rId3204" Type="http://schemas.openxmlformats.org/officeDocument/2006/relationships/hyperlink" Target="https://www.inaturalist.org/observations/383153838" TargetMode="External"/><Relationship Id="rId3205" Type="http://schemas.openxmlformats.org/officeDocument/2006/relationships/hyperlink" Target="https://creativecommons.org/licenses/by-nc/4.0/" TargetMode="External"/><Relationship Id="rId3206" Type="http://schemas.openxmlformats.org/officeDocument/2006/relationships/hyperlink" Target="https://www.inaturalist.org/observations/383153778" TargetMode="External"/><Relationship Id="rId3207" Type="http://schemas.openxmlformats.org/officeDocument/2006/relationships/hyperlink" Target="https://creativecommons.org/licenses/by-nc/4.0/" TargetMode="External"/><Relationship Id="rId3208" Type="http://schemas.openxmlformats.org/officeDocument/2006/relationships/hyperlink" Target="https://www.inaturalist.org/observations/383153777" TargetMode="External"/><Relationship Id="rId3209" Type="http://schemas.openxmlformats.org/officeDocument/2006/relationships/hyperlink" Target="https://creativecommons.org/licenses/by-nc/4.0/" TargetMode="External"/><Relationship Id="rId3210" Type="http://schemas.openxmlformats.org/officeDocument/2006/relationships/hyperlink" Target="https://www.inaturalist.org/observations/383153703" TargetMode="External"/><Relationship Id="rId3211" Type="http://schemas.openxmlformats.org/officeDocument/2006/relationships/hyperlink" Target="https://creativecommons.org/licenses/by-nc/4.0/" TargetMode="External"/><Relationship Id="rId3212" Type="http://schemas.openxmlformats.org/officeDocument/2006/relationships/hyperlink" Target="https://www.inaturalist.org/observations/383153702" TargetMode="External"/><Relationship Id="rId3213" Type="http://schemas.openxmlformats.org/officeDocument/2006/relationships/hyperlink" Target="https://creativecommons.org/licenses/by-nc/4.0/" TargetMode="External"/><Relationship Id="rId3214" Type="http://schemas.openxmlformats.org/officeDocument/2006/relationships/hyperlink" Target="https://www.inaturalist.org/observations/383153670" TargetMode="External"/><Relationship Id="rId3215" Type="http://schemas.openxmlformats.org/officeDocument/2006/relationships/hyperlink" Target="https://creativecommons.org/licenses/by-nc/4.0/" TargetMode="External"/><Relationship Id="rId3216" Type="http://schemas.openxmlformats.org/officeDocument/2006/relationships/hyperlink" Target="https://www.inaturalist.org/observations/383153634" TargetMode="External"/><Relationship Id="rId3217" Type="http://schemas.openxmlformats.org/officeDocument/2006/relationships/hyperlink" Target="https://creativecommons.org/licenses/by-nc/4.0/" TargetMode="External"/><Relationship Id="rId3218" Type="http://schemas.openxmlformats.org/officeDocument/2006/relationships/hyperlink" Target="https://www.inaturalist.org/observations/383153602" TargetMode="External"/><Relationship Id="rId3219" Type="http://schemas.openxmlformats.org/officeDocument/2006/relationships/hyperlink" Target="https://creativecommons.org/licenses/by-nc/4.0/" TargetMode="External"/><Relationship Id="rId3220" Type="http://schemas.openxmlformats.org/officeDocument/2006/relationships/hyperlink" Target="https://www.inaturalist.org/observations/383153579" TargetMode="External"/><Relationship Id="rId3221" Type="http://schemas.openxmlformats.org/officeDocument/2006/relationships/hyperlink" Target="https://creativecommons.org/licenses/by-nc/4.0/" TargetMode="External"/><Relationship Id="rId3222" Type="http://schemas.openxmlformats.org/officeDocument/2006/relationships/hyperlink" Target="https://www.inaturalist.org/observations/383153568" TargetMode="External"/><Relationship Id="rId3223" Type="http://schemas.openxmlformats.org/officeDocument/2006/relationships/hyperlink" Target="https://creativecommons.org/licenses/by-nc/4.0/" TargetMode="External"/><Relationship Id="rId3224" Type="http://schemas.openxmlformats.org/officeDocument/2006/relationships/hyperlink" Target="https://www.inaturalist.org/observations/383153523" TargetMode="External"/><Relationship Id="rId3225" Type="http://schemas.openxmlformats.org/officeDocument/2006/relationships/hyperlink" Target="https://creativecommons.org/licenses/by-nc/4.0/" TargetMode="External"/><Relationship Id="rId3226" Type="http://schemas.openxmlformats.org/officeDocument/2006/relationships/hyperlink" Target="https://www.inaturalist.org/observations/383153513" TargetMode="External"/><Relationship Id="rId3227" Type="http://schemas.openxmlformats.org/officeDocument/2006/relationships/hyperlink" Target="https://creativecommons.org/licenses/by-nc/4.0/" TargetMode="External"/><Relationship Id="rId3228" Type="http://schemas.openxmlformats.org/officeDocument/2006/relationships/hyperlink" Target="https://www.inaturalist.org/observations/383153457" TargetMode="External"/><Relationship Id="rId3229" Type="http://schemas.openxmlformats.org/officeDocument/2006/relationships/hyperlink" Target="https://creativecommons.org/licenses/by-nc/4.0/" TargetMode="External"/><Relationship Id="rId3230" Type="http://schemas.openxmlformats.org/officeDocument/2006/relationships/hyperlink" Target="https://www.inaturalist.org/observations/383153454" TargetMode="External"/><Relationship Id="rId3231" Type="http://schemas.openxmlformats.org/officeDocument/2006/relationships/hyperlink" Target="https://creativecommons.org/licenses/by-nc/4.0/" TargetMode="External"/><Relationship Id="rId3232" Type="http://schemas.openxmlformats.org/officeDocument/2006/relationships/hyperlink" Target="https://www.inaturalist.org/observations/383153453" TargetMode="External"/><Relationship Id="rId3233" Type="http://schemas.openxmlformats.org/officeDocument/2006/relationships/hyperlink" Target="https://creativecommons.org/licenses/by-nc/4.0/" TargetMode="External"/><Relationship Id="rId3234" Type="http://schemas.openxmlformats.org/officeDocument/2006/relationships/hyperlink" Target="https://www.inaturalist.org/observations/383153408" TargetMode="External"/><Relationship Id="rId3235" Type="http://schemas.openxmlformats.org/officeDocument/2006/relationships/hyperlink" Target="https://creativecommons.org/licenses/by-nc/4.0/" TargetMode="External"/><Relationship Id="rId3236" Type="http://schemas.openxmlformats.org/officeDocument/2006/relationships/hyperlink" Target="https://www.inaturalist.org/observations/383153399" TargetMode="External"/><Relationship Id="rId3237" Type="http://schemas.openxmlformats.org/officeDocument/2006/relationships/hyperlink" Target="https://creativecommons.org/licenses/by-nc/4.0/" TargetMode="External"/><Relationship Id="rId3238" Type="http://schemas.openxmlformats.org/officeDocument/2006/relationships/hyperlink" Target="https://www.inaturalist.org/observations/383153345" TargetMode="External"/><Relationship Id="rId3239" Type="http://schemas.openxmlformats.org/officeDocument/2006/relationships/hyperlink" Target="https://creativecommons.org/licenses/by-nc/4.0/" TargetMode="External"/><Relationship Id="rId3240" Type="http://schemas.openxmlformats.org/officeDocument/2006/relationships/hyperlink" Target="https://www.inaturalist.org/observations/383153303" TargetMode="External"/><Relationship Id="rId3241" Type="http://schemas.openxmlformats.org/officeDocument/2006/relationships/hyperlink" Target="https://creativecommons.org/licenses/by-nc/4.0/" TargetMode="External"/><Relationship Id="rId3242" Type="http://schemas.openxmlformats.org/officeDocument/2006/relationships/hyperlink" Target="https://www.inaturalist.org/observations/383153280" TargetMode="External"/><Relationship Id="rId3243" Type="http://schemas.openxmlformats.org/officeDocument/2006/relationships/hyperlink" Target="https://creativecommons.org/licenses/by-nc/4.0/" TargetMode="External"/><Relationship Id="rId3244" Type="http://schemas.openxmlformats.org/officeDocument/2006/relationships/hyperlink" Target="https://www.inaturalist.org/observations/383153278" TargetMode="External"/><Relationship Id="rId3245" Type="http://schemas.openxmlformats.org/officeDocument/2006/relationships/hyperlink" Target="https://creativecommons.org/licenses/by-nc/4.0/" TargetMode="External"/><Relationship Id="rId3246" Type="http://schemas.openxmlformats.org/officeDocument/2006/relationships/hyperlink" Target="https://www.inaturalist.org/observations/383153205" TargetMode="External"/><Relationship Id="rId3247" Type="http://schemas.openxmlformats.org/officeDocument/2006/relationships/hyperlink" Target="https://creativecommons.org/licenses/by-nc/4.0/" TargetMode="External"/><Relationship Id="rId3248" Type="http://schemas.openxmlformats.org/officeDocument/2006/relationships/hyperlink" Target="https://www.inaturalist.org/observations/383153147" TargetMode="External"/><Relationship Id="rId3249" Type="http://schemas.openxmlformats.org/officeDocument/2006/relationships/hyperlink" Target="https://creativecommons.org/licenses/by-nc/4.0/" TargetMode="External"/><Relationship Id="rId3250" Type="http://schemas.openxmlformats.org/officeDocument/2006/relationships/hyperlink" Target="https://www.inaturalist.org/observations/383153110" TargetMode="External"/><Relationship Id="rId3251" Type="http://schemas.openxmlformats.org/officeDocument/2006/relationships/hyperlink" Target="https://creativecommons.org/licenses/by-nc/4.0/" TargetMode="External"/><Relationship Id="rId3252" Type="http://schemas.openxmlformats.org/officeDocument/2006/relationships/hyperlink" Target="https://www.inaturalist.org/observations/383152815" TargetMode="External"/><Relationship Id="rId3253" Type="http://schemas.openxmlformats.org/officeDocument/2006/relationships/hyperlink" Target="https://creativecommons.org/licenses/by-nc/4.0/" TargetMode="External"/><Relationship Id="rId3254" Type="http://schemas.openxmlformats.org/officeDocument/2006/relationships/hyperlink" Target="https://www.inaturalist.org/observations/383152762" TargetMode="External"/><Relationship Id="rId3255" Type="http://schemas.openxmlformats.org/officeDocument/2006/relationships/hyperlink" Target="https://creativecommons.org/licenses/by-nc/4.0/" TargetMode="External"/><Relationship Id="rId3256" Type="http://schemas.openxmlformats.org/officeDocument/2006/relationships/hyperlink" Target="https://www.inaturalist.org/observations/383152569" TargetMode="External"/><Relationship Id="rId3257" Type="http://schemas.openxmlformats.org/officeDocument/2006/relationships/hyperlink" Target="https://creativecommons.org/licenses/by-nc/4.0/" TargetMode="External"/><Relationship Id="rId3258" Type="http://schemas.openxmlformats.org/officeDocument/2006/relationships/hyperlink" Target="https://www.inaturalist.org/observations/383152411" TargetMode="External"/><Relationship Id="rId3259" Type="http://schemas.openxmlformats.org/officeDocument/2006/relationships/hyperlink" Target="https://creativecommons.org/licenses/by-nc/4.0/" TargetMode="External"/><Relationship Id="rId3260" Type="http://schemas.openxmlformats.org/officeDocument/2006/relationships/hyperlink" Target="https://www.inaturalist.org/observations/383152332" TargetMode="External"/><Relationship Id="rId3261" Type="http://schemas.openxmlformats.org/officeDocument/2006/relationships/hyperlink" Target="https://creativecommons.org/licenses/by-nc/4.0/" TargetMode="External"/><Relationship Id="rId3262" Type="http://schemas.openxmlformats.org/officeDocument/2006/relationships/hyperlink" Target="https://www.inaturalist.org/observations/383152313" TargetMode="External"/><Relationship Id="rId3263" Type="http://schemas.openxmlformats.org/officeDocument/2006/relationships/hyperlink" Target="https://creativecommons.org/licenses/by-nc/4.0/" TargetMode="External"/><Relationship Id="rId3264" Type="http://schemas.openxmlformats.org/officeDocument/2006/relationships/hyperlink" Target="https://www.inaturalist.org/observations/383152160" TargetMode="External"/><Relationship Id="rId3265" Type="http://schemas.openxmlformats.org/officeDocument/2006/relationships/hyperlink" Target="https://creativecommons.org/licenses/by-nc/4.0/" TargetMode="External"/><Relationship Id="rId3266" Type="http://schemas.openxmlformats.org/officeDocument/2006/relationships/hyperlink" Target="https://www.inaturalist.org/observations/383152124" TargetMode="External"/><Relationship Id="rId3267" Type="http://schemas.openxmlformats.org/officeDocument/2006/relationships/hyperlink" Target="https://creativecommons.org/licenses/by-nc/4.0/" TargetMode="External"/><Relationship Id="rId3268" Type="http://schemas.openxmlformats.org/officeDocument/2006/relationships/hyperlink" Target="https://www.inaturalist.org/observations/383151996" TargetMode="External"/><Relationship Id="rId3269" Type="http://schemas.openxmlformats.org/officeDocument/2006/relationships/hyperlink" Target="https://creativecommons.org/licenses/by-nc/4.0/" TargetMode="External"/><Relationship Id="rId3270" Type="http://schemas.openxmlformats.org/officeDocument/2006/relationships/hyperlink" Target="https://www.inaturalist.org/observations/383151982" TargetMode="External"/><Relationship Id="rId3271" Type="http://schemas.openxmlformats.org/officeDocument/2006/relationships/hyperlink" Target="https://creativecommons.org/licenses/by-nc/4.0/" TargetMode="External"/><Relationship Id="rId3272" Type="http://schemas.openxmlformats.org/officeDocument/2006/relationships/hyperlink" Target="https://www.inaturalist.org/observations/383151969" TargetMode="External"/><Relationship Id="rId3273" Type="http://schemas.openxmlformats.org/officeDocument/2006/relationships/hyperlink" Target="https://creativecommons.org/licenses/by-nc/4.0/" TargetMode="External"/><Relationship Id="rId3274" Type="http://schemas.openxmlformats.org/officeDocument/2006/relationships/hyperlink" Target="https://www.inaturalist.org/observations/383151922" TargetMode="External"/><Relationship Id="rId3275" Type="http://schemas.openxmlformats.org/officeDocument/2006/relationships/hyperlink" Target="https://creativecommons.org/licenses/by-nc/4.0/" TargetMode="External"/><Relationship Id="rId3276" Type="http://schemas.openxmlformats.org/officeDocument/2006/relationships/hyperlink" Target="https://www.inaturalist.org/observations/383151631" TargetMode="External"/><Relationship Id="rId3277" Type="http://schemas.openxmlformats.org/officeDocument/2006/relationships/hyperlink" Target="https://creativecommons.org/licenses/by-nc/4.0/" TargetMode="External"/><Relationship Id="rId3278" Type="http://schemas.openxmlformats.org/officeDocument/2006/relationships/hyperlink" Target="https://www.inaturalist.org/observations/383151627" TargetMode="External"/><Relationship Id="rId3279" Type="http://schemas.openxmlformats.org/officeDocument/2006/relationships/hyperlink" Target="https://creativecommons.org/licenses/by-nc/4.0/" TargetMode="External"/><Relationship Id="rId3280" Type="http://schemas.openxmlformats.org/officeDocument/2006/relationships/hyperlink" Target="https://www.inaturalist.org/observations/383151424" TargetMode="External"/><Relationship Id="rId3281" Type="http://schemas.openxmlformats.org/officeDocument/2006/relationships/hyperlink" Target="https://creativecommons.org/licenses/by-nc/4.0/" TargetMode="External"/><Relationship Id="rId3282" Type="http://schemas.openxmlformats.org/officeDocument/2006/relationships/hyperlink" Target="https://www.inaturalist.org/observations/383151032" TargetMode="External"/><Relationship Id="rId3283" Type="http://schemas.openxmlformats.org/officeDocument/2006/relationships/hyperlink" Target="https://creativecommons.org/licenses/by-nc/4.0/" TargetMode="External"/><Relationship Id="rId3284" Type="http://schemas.openxmlformats.org/officeDocument/2006/relationships/hyperlink" Target="https://www.inaturalist.org/observations/383150881" TargetMode="External"/><Relationship Id="rId3285" Type="http://schemas.openxmlformats.org/officeDocument/2006/relationships/hyperlink" Target="https://creativecommons.org/licenses/by-nc/4.0/" TargetMode="External"/><Relationship Id="rId3286" Type="http://schemas.openxmlformats.org/officeDocument/2006/relationships/hyperlink" Target="https://www.inaturalist.org/observations/383150766" TargetMode="External"/><Relationship Id="rId3287" Type="http://schemas.openxmlformats.org/officeDocument/2006/relationships/hyperlink" Target="https://creativecommons.org/licenses/by-nc/4.0/" TargetMode="External"/><Relationship Id="rId3288" Type="http://schemas.openxmlformats.org/officeDocument/2006/relationships/hyperlink" Target="https://www.inaturalist.org/observations/383150760" TargetMode="External"/><Relationship Id="rId3289" Type="http://schemas.openxmlformats.org/officeDocument/2006/relationships/hyperlink" Target="https://creativecommons.org/licenses/by-nc/4.0/" TargetMode="External"/><Relationship Id="rId3290" Type="http://schemas.openxmlformats.org/officeDocument/2006/relationships/hyperlink" Target="https://www.inaturalist.org/observations/383150756" TargetMode="External"/><Relationship Id="rId3291" Type="http://schemas.openxmlformats.org/officeDocument/2006/relationships/hyperlink" Target="https://creativecommons.org/licenses/by-nc/4.0/" TargetMode="External"/><Relationship Id="rId3292" Type="http://schemas.openxmlformats.org/officeDocument/2006/relationships/hyperlink" Target="https://www.inaturalist.org/observations/383150737" TargetMode="External"/><Relationship Id="rId3293" Type="http://schemas.openxmlformats.org/officeDocument/2006/relationships/hyperlink" Target="https://creativecommons.org/licenses/by-nc/4.0/" TargetMode="External"/><Relationship Id="rId3294" Type="http://schemas.openxmlformats.org/officeDocument/2006/relationships/hyperlink" Target="https://www.inaturalist.org/observations/383150722" TargetMode="External"/><Relationship Id="rId3295" Type="http://schemas.openxmlformats.org/officeDocument/2006/relationships/hyperlink" Target="https://creativecommons.org/licenses/by-nc/4.0/" TargetMode="External"/><Relationship Id="rId3296" Type="http://schemas.openxmlformats.org/officeDocument/2006/relationships/hyperlink" Target="https://www.inaturalist.org/observations/383150534" TargetMode="External"/><Relationship Id="rId3297" Type="http://schemas.openxmlformats.org/officeDocument/2006/relationships/hyperlink" Target="https://creativecommons.org/licenses/by-nc/4.0/" TargetMode="External"/><Relationship Id="rId3298" Type="http://schemas.openxmlformats.org/officeDocument/2006/relationships/hyperlink" Target="https://www.inaturalist.org/observations/383150517" TargetMode="External"/><Relationship Id="rId3299" Type="http://schemas.openxmlformats.org/officeDocument/2006/relationships/hyperlink" Target="https://creativecommons.org/licenses/by-nc/4.0/" TargetMode="External"/><Relationship Id="rId3300" Type="http://schemas.openxmlformats.org/officeDocument/2006/relationships/hyperlink" Target="https://www.inaturalist.org/observations/383150234" TargetMode="External"/><Relationship Id="rId3301" Type="http://schemas.openxmlformats.org/officeDocument/2006/relationships/hyperlink" Target="https://creativecommons.org/licenses/by-nc/4.0/" TargetMode="External"/><Relationship Id="rId3302" Type="http://schemas.openxmlformats.org/officeDocument/2006/relationships/hyperlink" Target="https://www.inaturalist.org/observations/383150193" TargetMode="External"/><Relationship Id="rId3303" Type="http://schemas.openxmlformats.org/officeDocument/2006/relationships/hyperlink" Target="https://creativecommons.org/licenses/by-nc/4.0/" TargetMode="External"/><Relationship Id="rId3304" Type="http://schemas.openxmlformats.org/officeDocument/2006/relationships/hyperlink" Target="https://www.inaturalist.org/observations/383150139" TargetMode="External"/><Relationship Id="rId3305" Type="http://schemas.openxmlformats.org/officeDocument/2006/relationships/hyperlink" Target="https://creativecommons.org/licenses/by-nc/4.0/" TargetMode="External"/><Relationship Id="rId3306" Type="http://schemas.openxmlformats.org/officeDocument/2006/relationships/hyperlink" Target="https://www.inaturalist.org/observations/383149872" TargetMode="External"/><Relationship Id="rId3307" Type="http://schemas.openxmlformats.org/officeDocument/2006/relationships/hyperlink" Target="https://creativecommons.org/licenses/by-nc/4.0/" TargetMode="External"/><Relationship Id="rId3308" Type="http://schemas.openxmlformats.org/officeDocument/2006/relationships/hyperlink" Target="https://www.inaturalist.org/observations/383149795" TargetMode="External"/><Relationship Id="rId3309" Type="http://schemas.openxmlformats.org/officeDocument/2006/relationships/hyperlink" Target="https://creativecommons.org/licenses/by-nc/4.0/" TargetMode="External"/><Relationship Id="rId3310" Type="http://schemas.openxmlformats.org/officeDocument/2006/relationships/hyperlink" Target="https://www.inaturalist.org/observations/383149740" TargetMode="External"/><Relationship Id="rId3311" Type="http://schemas.openxmlformats.org/officeDocument/2006/relationships/hyperlink" Target="https://creativecommons.org/licenses/by-nc/4.0/" TargetMode="External"/><Relationship Id="rId3312" Type="http://schemas.openxmlformats.org/officeDocument/2006/relationships/hyperlink" Target="https://www.inaturalist.org/observations/383149711" TargetMode="External"/><Relationship Id="rId3313" Type="http://schemas.openxmlformats.org/officeDocument/2006/relationships/hyperlink" Target="https://creativecommons.org/licenses/by-nc/4.0/" TargetMode="External"/><Relationship Id="rId3314" Type="http://schemas.openxmlformats.org/officeDocument/2006/relationships/hyperlink" Target="https://www.inaturalist.org/observations/383149703" TargetMode="External"/><Relationship Id="rId3315" Type="http://schemas.openxmlformats.org/officeDocument/2006/relationships/hyperlink" Target="https://creativecommons.org/licenses/by-nc/4.0/" TargetMode="External"/><Relationship Id="rId3316" Type="http://schemas.openxmlformats.org/officeDocument/2006/relationships/hyperlink" Target="https://www.inaturalist.org/observations/383149620" TargetMode="External"/><Relationship Id="rId3317" Type="http://schemas.openxmlformats.org/officeDocument/2006/relationships/hyperlink" Target="https://creativecommons.org/licenses/by-nc/4.0/" TargetMode="External"/><Relationship Id="rId3318" Type="http://schemas.openxmlformats.org/officeDocument/2006/relationships/hyperlink" Target="https://www.inaturalist.org/observations/383149579" TargetMode="External"/><Relationship Id="rId3319" Type="http://schemas.openxmlformats.org/officeDocument/2006/relationships/hyperlink" Target="https://creativecommons.org/licenses/by-nc/4.0/" TargetMode="External"/><Relationship Id="rId3320" Type="http://schemas.openxmlformats.org/officeDocument/2006/relationships/hyperlink" Target="https://www.inaturalist.org/observations/383149472" TargetMode="External"/><Relationship Id="rId3321" Type="http://schemas.openxmlformats.org/officeDocument/2006/relationships/hyperlink" Target="https://creativecommons.org/licenses/by-nc/4.0/" TargetMode="External"/><Relationship Id="rId3322" Type="http://schemas.openxmlformats.org/officeDocument/2006/relationships/hyperlink" Target="https://www.inaturalist.org/observations/383149434" TargetMode="External"/><Relationship Id="rId3323" Type="http://schemas.openxmlformats.org/officeDocument/2006/relationships/hyperlink" Target="https://creativecommons.org/licenses/by-nc/4.0/" TargetMode="External"/><Relationship Id="rId3324" Type="http://schemas.openxmlformats.org/officeDocument/2006/relationships/hyperlink" Target="https://www.inaturalist.org/observations/383149328" TargetMode="External"/><Relationship Id="rId3325" Type="http://schemas.openxmlformats.org/officeDocument/2006/relationships/hyperlink" Target="https://creativecommons.org/licenses/by-nc/4.0/" TargetMode="External"/><Relationship Id="rId3326" Type="http://schemas.openxmlformats.org/officeDocument/2006/relationships/hyperlink" Target="https://www.inaturalist.org/observations/383149287" TargetMode="External"/><Relationship Id="rId3327" Type="http://schemas.openxmlformats.org/officeDocument/2006/relationships/hyperlink" Target="https://creativecommons.org/licenses/by-nc/4.0/" TargetMode="External"/><Relationship Id="rId3328" Type="http://schemas.openxmlformats.org/officeDocument/2006/relationships/hyperlink" Target="https://www.inaturalist.org/observations/383149283" TargetMode="External"/><Relationship Id="rId3329" Type="http://schemas.openxmlformats.org/officeDocument/2006/relationships/hyperlink" Target="https://creativecommons.org/licenses/by-nc/4.0/" TargetMode="External"/><Relationship Id="rId3330" Type="http://schemas.openxmlformats.org/officeDocument/2006/relationships/hyperlink" Target="https://www.inaturalist.org/observations/383149033" TargetMode="External"/><Relationship Id="rId3331" Type="http://schemas.openxmlformats.org/officeDocument/2006/relationships/hyperlink" Target="https://creativecommons.org/licenses/by-nc/4.0/" TargetMode="External"/><Relationship Id="rId3332" Type="http://schemas.openxmlformats.org/officeDocument/2006/relationships/hyperlink" Target="https://www.inaturalist.org/observations/383148831" TargetMode="External"/><Relationship Id="rId3333" Type="http://schemas.openxmlformats.org/officeDocument/2006/relationships/hyperlink" Target="https://creativecommons.org/licenses/by-nc/4.0/" TargetMode="External"/><Relationship Id="rId3334" Type="http://schemas.openxmlformats.org/officeDocument/2006/relationships/hyperlink" Target="https://www.inaturalist.org/observations/383148772" TargetMode="External"/><Relationship Id="rId3335" Type="http://schemas.openxmlformats.org/officeDocument/2006/relationships/hyperlink" Target="https://creativecommons.org/licenses/by-nc/4.0/" TargetMode="External"/><Relationship Id="rId3336" Type="http://schemas.openxmlformats.org/officeDocument/2006/relationships/hyperlink" Target="https://www.inaturalist.org/observations/383148724" TargetMode="External"/><Relationship Id="rId3337" Type="http://schemas.openxmlformats.org/officeDocument/2006/relationships/hyperlink" Target="https://creativecommons.org/licenses/by-nc/4.0/" TargetMode="External"/><Relationship Id="rId3338" Type="http://schemas.openxmlformats.org/officeDocument/2006/relationships/hyperlink" Target="https://www.inaturalist.org/observations/383148681" TargetMode="External"/><Relationship Id="rId3339" Type="http://schemas.openxmlformats.org/officeDocument/2006/relationships/hyperlink" Target="https://creativecommons.org/licenses/by-nc/4.0/" TargetMode="External"/><Relationship Id="rId3340" Type="http://schemas.openxmlformats.org/officeDocument/2006/relationships/hyperlink" Target="https://www.inaturalist.org/observations/383148616" TargetMode="External"/><Relationship Id="rId3341" Type="http://schemas.openxmlformats.org/officeDocument/2006/relationships/hyperlink" Target="https://creativecommons.org/licenses/by-nc/4.0/" TargetMode="External"/><Relationship Id="rId3342" Type="http://schemas.openxmlformats.org/officeDocument/2006/relationships/hyperlink" Target="https://www.inaturalist.org/observations/383148557" TargetMode="External"/><Relationship Id="rId3343" Type="http://schemas.openxmlformats.org/officeDocument/2006/relationships/hyperlink" Target="https://creativecommons.org/licenses/by-nc/4.0/" TargetMode="External"/><Relationship Id="rId3344" Type="http://schemas.openxmlformats.org/officeDocument/2006/relationships/hyperlink" Target="https://www.inaturalist.org/observations/383148485" TargetMode="External"/><Relationship Id="rId3345" Type="http://schemas.openxmlformats.org/officeDocument/2006/relationships/hyperlink" Target="https://creativecommons.org/licenses/by-nc/4.0/" TargetMode="External"/><Relationship Id="rId3346" Type="http://schemas.openxmlformats.org/officeDocument/2006/relationships/hyperlink" Target="https://www.inaturalist.org/observations/383148478" TargetMode="External"/><Relationship Id="rId3347" Type="http://schemas.openxmlformats.org/officeDocument/2006/relationships/hyperlink" Target="https://creativecommons.org/licenses/by-nc/4.0/" TargetMode="External"/><Relationship Id="rId3348" Type="http://schemas.openxmlformats.org/officeDocument/2006/relationships/hyperlink" Target="https://www.inaturalist.org/observations/383148428" TargetMode="External"/><Relationship Id="rId3349" Type="http://schemas.openxmlformats.org/officeDocument/2006/relationships/hyperlink" Target="https://creativecommons.org/licenses/by-nc/4.0/" TargetMode="External"/><Relationship Id="rId3350" Type="http://schemas.openxmlformats.org/officeDocument/2006/relationships/hyperlink" Target="https://www.inaturalist.org/observations/383148333" TargetMode="External"/><Relationship Id="rId3351" Type="http://schemas.openxmlformats.org/officeDocument/2006/relationships/hyperlink" Target="https://creativecommons.org/licenses/by-nc/4.0/" TargetMode="External"/><Relationship Id="rId3352" Type="http://schemas.openxmlformats.org/officeDocument/2006/relationships/hyperlink" Target="https://www.inaturalist.org/observations/383148252" TargetMode="External"/><Relationship Id="rId3353" Type="http://schemas.openxmlformats.org/officeDocument/2006/relationships/hyperlink" Target="https://creativecommons.org/licenses/by-nc/4.0/" TargetMode="External"/><Relationship Id="rId3354" Type="http://schemas.openxmlformats.org/officeDocument/2006/relationships/hyperlink" Target="https://www.inaturalist.org/observations/383148232" TargetMode="External"/><Relationship Id="rId3355" Type="http://schemas.openxmlformats.org/officeDocument/2006/relationships/hyperlink" Target="https://creativecommons.org/licenses/by-nc/4.0/" TargetMode="External"/><Relationship Id="rId3356" Type="http://schemas.openxmlformats.org/officeDocument/2006/relationships/hyperlink" Target="https://www.inaturalist.org/observations/383148105" TargetMode="External"/><Relationship Id="rId3357" Type="http://schemas.openxmlformats.org/officeDocument/2006/relationships/hyperlink" Target="https://creativecommons.org/licenses/by-nc/4.0/" TargetMode="External"/><Relationship Id="rId3358" Type="http://schemas.openxmlformats.org/officeDocument/2006/relationships/hyperlink" Target="https://www.inaturalist.org/observations/383148094" TargetMode="External"/><Relationship Id="rId3359" Type="http://schemas.openxmlformats.org/officeDocument/2006/relationships/hyperlink" Target="https://creativecommons.org/licenses/by-nc/4.0/" TargetMode="External"/><Relationship Id="rId3360" Type="http://schemas.openxmlformats.org/officeDocument/2006/relationships/hyperlink" Target="https://www.inaturalist.org/observations/383148092" TargetMode="External"/><Relationship Id="rId3361" Type="http://schemas.openxmlformats.org/officeDocument/2006/relationships/hyperlink" Target="https://creativecommons.org/licenses/by-nc/4.0/" TargetMode="External"/><Relationship Id="rId3362" Type="http://schemas.openxmlformats.org/officeDocument/2006/relationships/hyperlink" Target="https://www.inaturalist.org/observations/383148049" TargetMode="External"/><Relationship Id="rId3363" Type="http://schemas.openxmlformats.org/officeDocument/2006/relationships/hyperlink" Target="https://creativecommons.org/licenses/by-nc/4.0/" TargetMode="External"/><Relationship Id="rId3364" Type="http://schemas.openxmlformats.org/officeDocument/2006/relationships/hyperlink" Target="https://www.inaturalist.org/observations/383147985" TargetMode="External"/><Relationship Id="rId3365" Type="http://schemas.openxmlformats.org/officeDocument/2006/relationships/hyperlink" Target="https://creativecommons.org/licenses/by-nc/4.0/" TargetMode="External"/><Relationship Id="rId3366" Type="http://schemas.openxmlformats.org/officeDocument/2006/relationships/hyperlink" Target="https://www.inaturalist.org/observations/383147896" TargetMode="External"/><Relationship Id="rId3367" Type="http://schemas.openxmlformats.org/officeDocument/2006/relationships/hyperlink" Target="https://creativecommons.org/licenses/by-nc/4.0/" TargetMode="External"/><Relationship Id="rId3368" Type="http://schemas.openxmlformats.org/officeDocument/2006/relationships/hyperlink" Target="https://www.inaturalist.org/observations/383147808" TargetMode="External"/><Relationship Id="rId3369" Type="http://schemas.openxmlformats.org/officeDocument/2006/relationships/hyperlink" Target="https://creativecommons.org/licenses/by-nc/4.0/" TargetMode="External"/><Relationship Id="rId3370" Type="http://schemas.openxmlformats.org/officeDocument/2006/relationships/hyperlink" Target="https://www.inaturalist.org/observations/383147734" TargetMode="External"/><Relationship Id="rId3371" Type="http://schemas.openxmlformats.org/officeDocument/2006/relationships/hyperlink" Target="https://creativecommons.org/licenses/by-nc/4.0/" TargetMode="External"/><Relationship Id="rId3372" Type="http://schemas.openxmlformats.org/officeDocument/2006/relationships/hyperlink" Target="https://www.inaturalist.org/observations/383147687" TargetMode="External"/><Relationship Id="rId3373" Type="http://schemas.openxmlformats.org/officeDocument/2006/relationships/hyperlink" Target="https://creativecommons.org/licenses/by-nc/4.0/" TargetMode="External"/><Relationship Id="rId3374" Type="http://schemas.openxmlformats.org/officeDocument/2006/relationships/hyperlink" Target="https://www.inaturalist.org/observations/383147622" TargetMode="External"/><Relationship Id="rId3375" Type="http://schemas.openxmlformats.org/officeDocument/2006/relationships/hyperlink" Target="https://creativecommons.org/licenses/by-nc/4.0/" TargetMode="External"/><Relationship Id="rId3376" Type="http://schemas.openxmlformats.org/officeDocument/2006/relationships/hyperlink" Target="https://www.inaturalist.org/observations/383147618" TargetMode="External"/><Relationship Id="rId3377" Type="http://schemas.openxmlformats.org/officeDocument/2006/relationships/hyperlink" Target="https://creativecommons.org/licenses/by-nc/4.0/" TargetMode="External"/><Relationship Id="rId3378" Type="http://schemas.openxmlformats.org/officeDocument/2006/relationships/hyperlink" Target="https://www.inaturalist.org/observations/383147508" TargetMode="External"/><Relationship Id="rId3379" Type="http://schemas.openxmlformats.org/officeDocument/2006/relationships/hyperlink" Target="https://creativecommons.org/licenses/by-nc/4.0/" TargetMode="External"/><Relationship Id="rId3380" Type="http://schemas.openxmlformats.org/officeDocument/2006/relationships/hyperlink" Target="https://www.inaturalist.org/observations/383147349" TargetMode="External"/><Relationship Id="rId3381" Type="http://schemas.openxmlformats.org/officeDocument/2006/relationships/hyperlink" Target="https://creativecommons.org/licenses/by-nc/4.0/" TargetMode="External"/><Relationship Id="rId3382" Type="http://schemas.openxmlformats.org/officeDocument/2006/relationships/hyperlink" Target="https://www.inaturalist.org/observations/383147232" TargetMode="External"/><Relationship Id="rId3383" Type="http://schemas.openxmlformats.org/officeDocument/2006/relationships/hyperlink" Target="https://creativecommons.org/licenses/by-nc/4.0/" TargetMode="External"/><Relationship Id="rId3384" Type="http://schemas.openxmlformats.org/officeDocument/2006/relationships/hyperlink" Target="https://www.inaturalist.org/observations/383147199" TargetMode="External"/><Relationship Id="rId3385" Type="http://schemas.openxmlformats.org/officeDocument/2006/relationships/hyperlink" Target="https://creativecommons.org/licenses/by-nc/4.0/" TargetMode="External"/><Relationship Id="rId3386" Type="http://schemas.openxmlformats.org/officeDocument/2006/relationships/hyperlink" Target="https://www.inaturalist.org/observations/383147014" TargetMode="External"/><Relationship Id="rId3387" Type="http://schemas.openxmlformats.org/officeDocument/2006/relationships/hyperlink" Target="https://creativecommons.org/licenses/by-nc/4.0/" TargetMode="External"/><Relationship Id="rId3388" Type="http://schemas.openxmlformats.org/officeDocument/2006/relationships/hyperlink" Target="https://www.inaturalist.org/observations/383146987" TargetMode="External"/><Relationship Id="rId3389" Type="http://schemas.openxmlformats.org/officeDocument/2006/relationships/hyperlink" Target="https://creativecommons.org/licenses/by-nc/4.0/" TargetMode="External"/><Relationship Id="rId3390" Type="http://schemas.openxmlformats.org/officeDocument/2006/relationships/hyperlink" Target="https://www.inaturalist.org/observations/383146971" TargetMode="External"/><Relationship Id="rId3391" Type="http://schemas.openxmlformats.org/officeDocument/2006/relationships/hyperlink" Target="https://creativecommons.org/licenses/by-nc/4.0/" TargetMode="External"/><Relationship Id="rId3392" Type="http://schemas.openxmlformats.org/officeDocument/2006/relationships/hyperlink" Target="https://www.inaturalist.org/observations/383146934" TargetMode="External"/><Relationship Id="rId3393" Type="http://schemas.openxmlformats.org/officeDocument/2006/relationships/hyperlink" Target="https://creativecommons.org/licenses/by-nc/4.0/" TargetMode="External"/><Relationship Id="rId3394" Type="http://schemas.openxmlformats.org/officeDocument/2006/relationships/hyperlink" Target="https://www.inaturalist.org/observations/383146905" TargetMode="External"/><Relationship Id="rId3395" Type="http://schemas.openxmlformats.org/officeDocument/2006/relationships/hyperlink" Target="https://creativecommons.org/licenses/by-nc/4.0/" TargetMode="External"/><Relationship Id="rId3396" Type="http://schemas.openxmlformats.org/officeDocument/2006/relationships/hyperlink" Target="https://www.inaturalist.org/observations/383146864" TargetMode="External"/><Relationship Id="rId3397" Type="http://schemas.openxmlformats.org/officeDocument/2006/relationships/hyperlink" Target="https://creativecommons.org/licenses/by-nc/4.0/" TargetMode="External"/><Relationship Id="rId3398" Type="http://schemas.openxmlformats.org/officeDocument/2006/relationships/hyperlink" Target="https://www.inaturalist.org/observations/383146647" TargetMode="External"/><Relationship Id="rId3399" Type="http://schemas.openxmlformats.org/officeDocument/2006/relationships/hyperlink" Target="https://creativecommons.org/licenses/by-nc/4.0/" TargetMode="External"/><Relationship Id="rId3400" Type="http://schemas.openxmlformats.org/officeDocument/2006/relationships/hyperlink" Target="https://www.inaturalist.org/observations/383146607" TargetMode="External"/><Relationship Id="rId3401" Type="http://schemas.openxmlformats.org/officeDocument/2006/relationships/hyperlink" Target="https://creativecommons.org/licenses/by-nc/4.0/" TargetMode="External"/><Relationship Id="rId3402" Type="http://schemas.openxmlformats.org/officeDocument/2006/relationships/hyperlink" Target="https://www.inaturalist.org/observations/383146577" TargetMode="External"/><Relationship Id="rId3403" Type="http://schemas.openxmlformats.org/officeDocument/2006/relationships/hyperlink" Target="https://creativecommons.org/licenses/by-nc/4.0/" TargetMode="External"/><Relationship Id="rId3404" Type="http://schemas.openxmlformats.org/officeDocument/2006/relationships/hyperlink" Target="https://www.inaturalist.org/observations/383146514" TargetMode="External"/><Relationship Id="rId3405" Type="http://schemas.openxmlformats.org/officeDocument/2006/relationships/hyperlink" Target="https://creativecommons.org/licenses/by-nc/4.0/" TargetMode="External"/><Relationship Id="rId3406" Type="http://schemas.openxmlformats.org/officeDocument/2006/relationships/hyperlink" Target="https://www.inaturalist.org/observations/383146494" TargetMode="External"/><Relationship Id="rId3407" Type="http://schemas.openxmlformats.org/officeDocument/2006/relationships/hyperlink" Target="https://creativecommons.org/licenses/by-nc/4.0/" TargetMode="External"/><Relationship Id="rId3408" Type="http://schemas.openxmlformats.org/officeDocument/2006/relationships/hyperlink" Target="https://www.inaturalist.org/observations/383146470" TargetMode="External"/><Relationship Id="rId3409" Type="http://schemas.openxmlformats.org/officeDocument/2006/relationships/hyperlink" Target="https://creativecommons.org/licenses/by-nc/4.0/" TargetMode="External"/><Relationship Id="rId3410" Type="http://schemas.openxmlformats.org/officeDocument/2006/relationships/hyperlink" Target="https://www.inaturalist.org/observations/383146458" TargetMode="External"/><Relationship Id="rId3411" Type="http://schemas.openxmlformats.org/officeDocument/2006/relationships/hyperlink" Target="https://creativecommons.org/licenses/by-nc/4.0/" TargetMode="External"/><Relationship Id="rId3412" Type="http://schemas.openxmlformats.org/officeDocument/2006/relationships/hyperlink" Target="https://www.inaturalist.org/observations/383146457" TargetMode="External"/><Relationship Id="rId3413" Type="http://schemas.openxmlformats.org/officeDocument/2006/relationships/hyperlink" Target="https://creativecommons.org/licenses/by-nc/4.0/" TargetMode="External"/><Relationship Id="rId3414" Type="http://schemas.openxmlformats.org/officeDocument/2006/relationships/hyperlink" Target="https://www.inaturalist.org/observations/383146202" TargetMode="External"/><Relationship Id="rId3415" Type="http://schemas.openxmlformats.org/officeDocument/2006/relationships/hyperlink" Target="https://creativecommons.org/licenses/by-nc/4.0/" TargetMode="External"/><Relationship Id="rId3416" Type="http://schemas.openxmlformats.org/officeDocument/2006/relationships/hyperlink" Target="https://www.inaturalist.org/observations/383146107" TargetMode="External"/><Relationship Id="rId3417" Type="http://schemas.openxmlformats.org/officeDocument/2006/relationships/hyperlink" Target="https://creativecommons.org/licenses/by-nc/4.0/" TargetMode="External"/><Relationship Id="rId3418" Type="http://schemas.openxmlformats.org/officeDocument/2006/relationships/hyperlink" Target="https://www.inaturalist.org/observations/383146072" TargetMode="External"/><Relationship Id="rId3419" Type="http://schemas.openxmlformats.org/officeDocument/2006/relationships/hyperlink" Target="https://creativecommons.org/licenses/by-nc/4.0/" TargetMode="External"/><Relationship Id="rId3420" Type="http://schemas.openxmlformats.org/officeDocument/2006/relationships/hyperlink" Target="https://www.inaturalist.org/observations/383146049" TargetMode="External"/><Relationship Id="rId3421" Type="http://schemas.openxmlformats.org/officeDocument/2006/relationships/hyperlink" Target="https://creativecommons.org/licenses/by-nc/4.0/" TargetMode="External"/><Relationship Id="rId3422" Type="http://schemas.openxmlformats.org/officeDocument/2006/relationships/hyperlink" Target="https://www.inaturalist.org/observations/383146001" TargetMode="External"/><Relationship Id="rId3423" Type="http://schemas.openxmlformats.org/officeDocument/2006/relationships/hyperlink" Target="https://creativecommons.org/licenses/by-nc/4.0/" TargetMode="External"/><Relationship Id="rId3424" Type="http://schemas.openxmlformats.org/officeDocument/2006/relationships/hyperlink" Target="https://www.inaturalist.org/observations/383146000" TargetMode="External"/><Relationship Id="rId3425" Type="http://schemas.openxmlformats.org/officeDocument/2006/relationships/hyperlink" Target="https://creativecommons.org/licenses/by-nc/4.0/" TargetMode="External"/><Relationship Id="rId3426" Type="http://schemas.openxmlformats.org/officeDocument/2006/relationships/hyperlink" Target="https://www.inaturalist.org/observations/383145993" TargetMode="External"/><Relationship Id="rId3427" Type="http://schemas.openxmlformats.org/officeDocument/2006/relationships/hyperlink" Target="https://creativecommons.org/licenses/by-nc/4.0/" TargetMode="External"/><Relationship Id="rId3428" Type="http://schemas.openxmlformats.org/officeDocument/2006/relationships/hyperlink" Target="https://www.inaturalist.org/observations/383145915" TargetMode="External"/><Relationship Id="rId3429" Type="http://schemas.openxmlformats.org/officeDocument/2006/relationships/hyperlink" Target="https://creativecommons.org/licenses/by-nc/4.0/" TargetMode="External"/><Relationship Id="rId3430" Type="http://schemas.openxmlformats.org/officeDocument/2006/relationships/hyperlink" Target="https://www.inaturalist.org/observations/383145816" TargetMode="External"/><Relationship Id="rId3431" Type="http://schemas.openxmlformats.org/officeDocument/2006/relationships/hyperlink" Target="https://creativecommons.org/licenses/by-nc/4.0/" TargetMode="External"/><Relationship Id="rId3432" Type="http://schemas.openxmlformats.org/officeDocument/2006/relationships/hyperlink" Target="https://www.inaturalist.org/observations/383145774" TargetMode="External"/><Relationship Id="rId3433" Type="http://schemas.openxmlformats.org/officeDocument/2006/relationships/hyperlink" Target="https://creativecommons.org/licenses/by-nc/4.0/" TargetMode="External"/><Relationship Id="rId3434" Type="http://schemas.openxmlformats.org/officeDocument/2006/relationships/hyperlink" Target="https://www.inaturalist.org/observations/383145765" TargetMode="External"/><Relationship Id="rId3435" Type="http://schemas.openxmlformats.org/officeDocument/2006/relationships/hyperlink" Target="https://creativecommons.org/licenses/by-nc/4.0/" TargetMode="External"/><Relationship Id="rId3436" Type="http://schemas.openxmlformats.org/officeDocument/2006/relationships/hyperlink" Target="https://www.inaturalist.org/observations/383145730" TargetMode="External"/><Relationship Id="rId3437" Type="http://schemas.openxmlformats.org/officeDocument/2006/relationships/hyperlink" Target="https://creativecommons.org/licenses/by-nc/4.0/" TargetMode="External"/><Relationship Id="rId3438" Type="http://schemas.openxmlformats.org/officeDocument/2006/relationships/hyperlink" Target="https://www.inaturalist.org/observations/383145615" TargetMode="External"/><Relationship Id="rId3439" Type="http://schemas.openxmlformats.org/officeDocument/2006/relationships/hyperlink" Target="https://creativecommons.org/licenses/by-nc/4.0/" TargetMode="External"/><Relationship Id="rId3440" Type="http://schemas.openxmlformats.org/officeDocument/2006/relationships/hyperlink" Target="https://www.inaturalist.org/observations/383145590" TargetMode="External"/><Relationship Id="rId3441" Type="http://schemas.openxmlformats.org/officeDocument/2006/relationships/hyperlink" Target="https://creativecommons.org/licenses/by-nc/4.0/" TargetMode="External"/><Relationship Id="rId3442" Type="http://schemas.openxmlformats.org/officeDocument/2006/relationships/hyperlink" Target="https://www.inaturalist.org/observations/383145570" TargetMode="External"/><Relationship Id="rId3443" Type="http://schemas.openxmlformats.org/officeDocument/2006/relationships/hyperlink" Target="https://creativecommons.org/licenses/by-nc/4.0/" TargetMode="External"/><Relationship Id="rId3444" Type="http://schemas.openxmlformats.org/officeDocument/2006/relationships/hyperlink" Target="https://www.inaturalist.org/observations/383145543" TargetMode="External"/><Relationship Id="rId3445" Type="http://schemas.openxmlformats.org/officeDocument/2006/relationships/hyperlink" Target="https://creativecommons.org/licenses/by-nc/4.0/" TargetMode="External"/><Relationship Id="rId3446" Type="http://schemas.openxmlformats.org/officeDocument/2006/relationships/hyperlink" Target="https://www.inaturalist.org/observations/383145445" TargetMode="External"/><Relationship Id="rId3447" Type="http://schemas.openxmlformats.org/officeDocument/2006/relationships/hyperlink" Target="https://creativecommons.org/licenses/by-nc/4.0/" TargetMode="External"/><Relationship Id="rId3448" Type="http://schemas.openxmlformats.org/officeDocument/2006/relationships/hyperlink" Target="https://www.inaturalist.org/observations/383145432" TargetMode="External"/><Relationship Id="rId3449" Type="http://schemas.openxmlformats.org/officeDocument/2006/relationships/hyperlink" Target="https://creativecommons.org/licenses/by-nc/4.0/" TargetMode="External"/><Relationship Id="rId3450" Type="http://schemas.openxmlformats.org/officeDocument/2006/relationships/hyperlink" Target="https://www.inaturalist.org/observations/383145337" TargetMode="External"/><Relationship Id="rId3451" Type="http://schemas.openxmlformats.org/officeDocument/2006/relationships/hyperlink" Target="https://creativecommons.org/licenses/by-nc/4.0/" TargetMode="External"/><Relationship Id="rId3452" Type="http://schemas.openxmlformats.org/officeDocument/2006/relationships/hyperlink" Target="https://www.inaturalist.org/observations/383145168" TargetMode="External"/><Relationship Id="rId3453" Type="http://schemas.openxmlformats.org/officeDocument/2006/relationships/hyperlink" Target="https://creativecommons.org/licenses/by-nc/4.0/" TargetMode="External"/><Relationship Id="rId3454" Type="http://schemas.openxmlformats.org/officeDocument/2006/relationships/hyperlink" Target="https://www.inaturalist.org/observations/383145142" TargetMode="External"/><Relationship Id="rId3455" Type="http://schemas.openxmlformats.org/officeDocument/2006/relationships/hyperlink" Target="https://creativecommons.org/licenses/by-nc/4.0/" TargetMode="External"/><Relationship Id="rId3456" Type="http://schemas.openxmlformats.org/officeDocument/2006/relationships/hyperlink" Target="https://www.inaturalist.org/observations/383145101" TargetMode="External"/><Relationship Id="rId3457" Type="http://schemas.openxmlformats.org/officeDocument/2006/relationships/hyperlink" Target="https://creativecommons.org/licenses/by-nc/4.0/" TargetMode="External"/><Relationship Id="rId3458" Type="http://schemas.openxmlformats.org/officeDocument/2006/relationships/hyperlink" Target="https://www.inaturalist.org/observations/383145017" TargetMode="External"/><Relationship Id="rId3459" Type="http://schemas.openxmlformats.org/officeDocument/2006/relationships/hyperlink" Target="https://creativecommons.org/licenses/by-nc/4.0/" TargetMode="External"/><Relationship Id="rId3460" Type="http://schemas.openxmlformats.org/officeDocument/2006/relationships/hyperlink" Target="https://www.inaturalist.org/observations/383145016" TargetMode="External"/><Relationship Id="rId3461" Type="http://schemas.openxmlformats.org/officeDocument/2006/relationships/hyperlink" Target="https://creativecommons.org/licenses/by-nc/4.0/" TargetMode="External"/><Relationship Id="rId3462" Type="http://schemas.openxmlformats.org/officeDocument/2006/relationships/hyperlink" Target="https://www.inaturalist.org/observations/383144954" TargetMode="External"/><Relationship Id="rId3463" Type="http://schemas.openxmlformats.org/officeDocument/2006/relationships/hyperlink" Target="https://creativecommons.org/licenses/by-nc/4.0/" TargetMode="External"/><Relationship Id="rId3464" Type="http://schemas.openxmlformats.org/officeDocument/2006/relationships/hyperlink" Target="https://www.inaturalist.org/observations/383144928" TargetMode="External"/><Relationship Id="rId3465" Type="http://schemas.openxmlformats.org/officeDocument/2006/relationships/hyperlink" Target="https://creativecommons.org/licenses/by-nc/4.0/" TargetMode="External"/><Relationship Id="rId3466" Type="http://schemas.openxmlformats.org/officeDocument/2006/relationships/hyperlink" Target="https://www.inaturalist.org/observations/383144919" TargetMode="External"/><Relationship Id="rId3467" Type="http://schemas.openxmlformats.org/officeDocument/2006/relationships/hyperlink" Target="https://creativecommons.org/licenses/by-nc/4.0/" TargetMode="External"/><Relationship Id="rId3468" Type="http://schemas.openxmlformats.org/officeDocument/2006/relationships/hyperlink" Target="https://www.inaturalist.org/observations/383144917" TargetMode="External"/><Relationship Id="rId3469" Type="http://schemas.openxmlformats.org/officeDocument/2006/relationships/hyperlink" Target="https://creativecommons.org/licenses/by-nc/4.0/" TargetMode="External"/><Relationship Id="rId3470" Type="http://schemas.openxmlformats.org/officeDocument/2006/relationships/hyperlink" Target="https://www.inaturalist.org/observations/383144870" TargetMode="External"/><Relationship Id="rId3471" Type="http://schemas.openxmlformats.org/officeDocument/2006/relationships/hyperlink" Target="https://creativecommons.org/licenses/by-nc/4.0/" TargetMode="External"/><Relationship Id="rId3472" Type="http://schemas.openxmlformats.org/officeDocument/2006/relationships/hyperlink" Target="https://www.inaturalist.org/observations/383144752" TargetMode="External"/><Relationship Id="rId3473" Type="http://schemas.openxmlformats.org/officeDocument/2006/relationships/hyperlink" Target="https://creativecommons.org/licenses/by-nc/4.0/" TargetMode="External"/><Relationship Id="rId3474" Type="http://schemas.openxmlformats.org/officeDocument/2006/relationships/hyperlink" Target="https://www.inaturalist.org/observations/383144721" TargetMode="External"/><Relationship Id="rId3475" Type="http://schemas.openxmlformats.org/officeDocument/2006/relationships/hyperlink" Target="https://creativecommons.org/licenses/by-nc/4.0/" TargetMode="External"/><Relationship Id="rId3476" Type="http://schemas.openxmlformats.org/officeDocument/2006/relationships/hyperlink" Target="https://www.inaturalist.org/observations/383144662" TargetMode="External"/><Relationship Id="rId3477" Type="http://schemas.openxmlformats.org/officeDocument/2006/relationships/hyperlink" Target="https://creativecommons.org/licenses/by-nc/4.0/" TargetMode="External"/><Relationship Id="rId3478" Type="http://schemas.openxmlformats.org/officeDocument/2006/relationships/hyperlink" Target="https://www.inaturalist.org/observations/383144593" TargetMode="External"/><Relationship Id="rId3479" Type="http://schemas.openxmlformats.org/officeDocument/2006/relationships/hyperlink" Target="https://creativecommons.org/licenses/by-nc/4.0/" TargetMode="External"/><Relationship Id="rId3480" Type="http://schemas.openxmlformats.org/officeDocument/2006/relationships/hyperlink" Target="https://www.inaturalist.org/observations/383144575" TargetMode="External"/><Relationship Id="rId3481" Type="http://schemas.openxmlformats.org/officeDocument/2006/relationships/hyperlink" Target="https://creativecommons.org/licenses/by-nc/4.0/" TargetMode="External"/><Relationship Id="rId3482" Type="http://schemas.openxmlformats.org/officeDocument/2006/relationships/hyperlink" Target="https://www.inaturalist.org/observations/383144432" TargetMode="External"/><Relationship Id="rId3483" Type="http://schemas.openxmlformats.org/officeDocument/2006/relationships/hyperlink" Target="https://creativecommons.org/licenses/by-nc/4.0/" TargetMode="External"/><Relationship Id="rId3484" Type="http://schemas.openxmlformats.org/officeDocument/2006/relationships/hyperlink" Target="https://www.inaturalist.org/observations/383144404" TargetMode="External"/><Relationship Id="rId3485" Type="http://schemas.openxmlformats.org/officeDocument/2006/relationships/hyperlink" Target="https://creativecommons.org/licenses/by-nc/4.0/" TargetMode="External"/><Relationship Id="rId3486" Type="http://schemas.openxmlformats.org/officeDocument/2006/relationships/hyperlink" Target="https://www.inaturalist.org/observations/383144401" TargetMode="External"/><Relationship Id="rId3487" Type="http://schemas.openxmlformats.org/officeDocument/2006/relationships/hyperlink" Target="https://creativecommons.org/licenses/by-nc/4.0/" TargetMode="External"/><Relationship Id="rId3488" Type="http://schemas.openxmlformats.org/officeDocument/2006/relationships/hyperlink" Target="https://www.inaturalist.org/observations/383144302" TargetMode="External"/><Relationship Id="rId3489" Type="http://schemas.openxmlformats.org/officeDocument/2006/relationships/hyperlink" Target="https://creativecommons.org/licenses/by-nc/4.0/" TargetMode="External"/><Relationship Id="rId3490" Type="http://schemas.openxmlformats.org/officeDocument/2006/relationships/hyperlink" Target="https://www.inaturalist.org/observations/383144256" TargetMode="External"/><Relationship Id="rId3491" Type="http://schemas.openxmlformats.org/officeDocument/2006/relationships/hyperlink" Target="https://creativecommons.org/licenses/by-nc/4.0/" TargetMode="External"/><Relationship Id="rId3492" Type="http://schemas.openxmlformats.org/officeDocument/2006/relationships/hyperlink" Target="https://www.inaturalist.org/observations/383144231" TargetMode="External"/><Relationship Id="rId3493" Type="http://schemas.openxmlformats.org/officeDocument/2006/relationships/hyperlink" Target="https://creativecommons.org/licenses/by-nc/4.0/" TargetMode="External"/><Relationship Id="rId3494" Type="http://schemas.openxmlformats.org/officeDocument/2006/relationships/hyperlink" Target="https://www.inaturalist.org/observations/383144227" TargetMode="External"/><Relationship Id="rId3495" Type="http://schemas.openxmlformats.org/officeDocument/2006/relationships/hyperlink" Target="https://creativecommons.org/licenses/by-nc/4.0/" TargetMode="External"/><Relationship Id="rId3496" Type="http://schemas.openxmlformats.org/officeDocument/2006/relationships/hyperlink" Target="https://www.inaturalist.org/observations/383144193" TargetMode="External"/><Relationship Id="rId3497" Type="http://schemas.openxmlformats.org/officeDocument/2006/relationships/hyperlink" Target="https://creativecommons.org/licenses/by-nc/4.0/" TargetMode="External"/><Relationship Id="rId3498" Type="http://schemas.openxmlformats.org/officeDocument/2006/relationships/hyperlink" Target="https://www.inaturalist.org/observations/383144039" TargetMode="External"/><Relationship Id="rId3499" Type="http://schemas.openxmlformats.org/officeDocument/2006/relationships/hyperlink" Target="https://creativecommons.org/licenses/by-nc/4.0/" TargetMode="External"/><Relationship Id="rId3500" Type="http://schemas.openxmlformats.org/officeDocument/2006/relationships/hyperlink" Target="https://www.inaturalist.org/observations/383144021" TargetMode="External"/><Relationship Id="rId3501" Type="http://schemas.openxmlformats.org/officeDocument/2006/relationships/hyperlink" Target="https://creativecommons.org/licenses/by-nc/4.0/" TargetMode="External"/><Relationship Id="rId3502" Type="http://schemas.openxmlformats.org/officeDocument/2006/relationships/hyperlink" Target="https://www.inaturalist.org/observations/383143997" TargetMode="External"/><Relationship Id="rId3503" Type="http://schemas.openxmlformats.org/officeDocument/2006/relationships/hyperlink" Target="https://creativecommons.org/licenses/by-nc/4.0/" TargetMode="External"/><Relationship Id="rId3504" Type="http://schemas.openxmlformats.org/officeDocument/2006/relationships/hyperlink" Target="https://www.inaturalist.org/observations/383143808" TargetMode="External"/><Relationship Id="rId3505" Type="http://schemas.openxmlformats.org/officeDocument/2006/relationships/hyperlink" Target="https://creativecommons.org/licenses/by-nc/4.0/" TargetMode="External"/><Relationship Id="rId3506" Type="http://schemas.openxmlformats.org/officeDocument/2006/relationships/hyperlink" Target="https://www.inaturalist.org/observations/383143801" TargetMode="External"/><Relationship Id="rId3507" Type="http://schemas.openxmlformats.org/officeDocument/2006/relationships/hyperlink" Target="https://creativecommons.org/licenses/by-nc/4.0/" TargetMode="External"/><Relationship Id="rId3508" Type="http://schemas.openxmlformats.org/officeDocument/2006/relationships/hyperlink" Target="https://www.inaturalist.org/observations/383143720" TargetMode="External"/><Relationship Id="rId3509" Type="http://schemas.openxmlformats.org/officeDocument/2006/relationships/hyperlink" Target="https://creativecommons.org/licenses/by-nc/4.0/" TargetMode="External"/><Relationship Id="rId3510" Type="http://schemas.openxmlformats.org/officeDocument/2006/relationships/hyperlink" Target="https://www.inaturalist.org/observations/383143703" TargetMode="External"/><Relationship Id="rId3511" Type="http://schemas.openxmlformats.org/officeDocument/2006/relationships/hyperlink" Target="https://creativecommons.org/licenses/by-nc/4.0/" TargetMode="External"/><Relationship Id="rId3512" Type="http://schemas.openxmlformats.org/officeDocument/2006/relationships/hyperlink" Target="https://www.inaturalist.org/observations/383143682" TargetMode="External"/><Relationship Id="rId3513" Type="http://schemas.openxmlformats.org/officeDocument/2006/relationships/hyperlink" Target="https://creativecommons.org/licenses/by-nc/4.0/" TargetMode="External"/><Relationship Id="rId3514" Type="http://schemas.openxmlformats.org/officeDocument/2006/relationships/hyperlink" Target="https://www.inaturalist.org/observations/383143596" TargetMode="External"/><Relationship Id="rId3515" Type="http://schemas.openxmlformats.org/officeDocument/2006/relationships/hyperlink" Target="https://creativecommons.org/licenses/by-nc/4.0/" TargetMode="External"/><Relationship Id="rId3516" Type="http://schemas.openxmlformats.org/officeDocument/2006/relationships/hyperlink" Target="https://www.inaturalist.org/observations/383143415" TargetMode="External"/><Relationship Id="rId3517" Type="http://schemas.openxmlformats.org/officeDocument/2006/relationships/hyperlink" Target="https://creativecommons.org/licenses/by-nc/4.0/" TargetMode="External"/><Relationship Id="rId3518" Type="http://schemas.openxmlformats.org/officeDocument/2006/relationships/hyperlink" Target="https://www.inaturalist.org/observations/383143329" TargetMode="External"/><Relationship Id="rId3519" Type="http://schemas.openxmlformats.org/officeDocument/2006/relationships/hyperlink" Target="https://creativecommons.org/licenses/by-nc/4.0/" TargetMode="External"/><Relationship Id="rId3520" Type="http://schemas.openxmlformats.org/officeDocument/2006/relationships/hyperlink" Target="https://www.inaturalist.org/observations/383143251" TargetMode="External"/><Relationship Id="rId3521" Type="http://schemas.openxmlformats.org/officeDocument/2006/relationships/hyperlink" Target="https://creativecommons.org/licenses/by-nc/4.0/" TargetMode="External"/><Relationship Id="rId3522" Type="http://schemas.openxmlformats.org/officeDocument/2006/relationships/hyperlink" Target="https://www.inaturalist.org/observations/383143196" TargetMode="External"/><Relationship Id="rId3523" Type="http://schemas.openxmlformats.org/officeDocument/2006/relationships/hyperlink" Target="https://creativecommons.org/licenses/by-nc/4.0/" TargetMode="External"/><Relationship Id="rId3524" Type="http://schemas.openxmlformats.org/officeDocument/2006/relationships/hyperlink" Target="https://www.inaturalist.org/observations/383143049" TargetMode="External"/><Relationship Id="rId3525" Type="http://schemas.openxmlformats.org/officeDocument/2006/relationships/hyperlink" Target="https://creativecommons.org/licenses/by-nc/4.0/" TargetMode="External"/><Relationship Id="rId3526" Type="http://schemas.openxmlformats.org/officeDocument/2006/relationships/hyperlink" Target="https://www.inaturalist.org/observations/383142919" TargetMode="External"/><Relationship Id="rId3527" Type="http://schemas.openxmlformats.org/officeDocument/2006/relationships/hyperlink" Target="https://creativecommons.org/licenses/by-nc/4.0/" TargetMode="External"/><Relationship Id="rId3528" Type="http://schemas.openxmlformats.org/officeDocument/2006/relationships/hyperlink" Target="https://www.inaturalist.org/observations/383142865" TargetMode="External"/><Relationship Id="rId3529" Type="http://schemas.openxmlformats.org/officeDocument/2006/relationships/hyperlink" Target="https://creativecommons.org/licenses/by-nc/4.0/" TargetMode="External"/><Relationship Id="rId3530" Type="http://schemas.openxmlformats.org/officeDocument/2006/relationships/hyperlink" Target="https://www.inaturalist.org/observations/383142852" TargetMode="External"/><Relationship Id="rId3531" Type="http://schemas.openxmlformats.org/officeDocument/2006/relationships/hyperlink" Target="https://creativecommons.org/licenses/by-nc/4.0/" TargetMode="External"/><Relationship Id="rId3532" Type="http://schemas.openxmlformats.org/officeDocument/2006/relationships/hyperlink" Target="https://www.inaturalist.org/observations/383142821" TargetMode="External"/><Relationship Id="rId3533" Type="http://schemas.openxmlformats.org/officeDocument/2006/relationships/hyperlink" Target="https://creativecommons.org/licenses/by-nc/4.0/" TargetMode="External"/><Relationship Id="rId3534" Type="http://schemas.openxmlformats.org/officeDocument/2006/relationships/hyperlink" Target="https://www.inaturalist.org/observations/383142806" TargetMode="External"/><Relationship Id="rId3535" Type="http://schemas.openxmlformats.org/officeDocument/2006/relationships/hyperlink" Target="https://creativecommons.org/licenses/by-nc/4.0/" TargetMode="External"/><Relationship Id="rId3536" Type="http://schemas.openxmlformats.org/officeDocument/2006/relationships/hyperlink" Target="https://www.inaturalist.org/observations/383142796" TargetMode="External"/><Relationship Id="rId3537" Type="http://schemas.openxmlformats.org/officeDocument/2006/relationships/hyperlink" Target="https://creativecommons.org/licenses/by-nc/4.0/" TargetMode="External"/><Relationship Id="rId3538" Type="http://schemas.openxmlformats.org/officeDocument/2006/relationships/hyperlink" Target="https://www.inaturalist.org/observations/383142748" TargetMode="External"/><Relationship Id="rId3539" Type="http://schemas.openxmlformats.org/officeDocument/2006/relationships/hyperlink" Target="https://creativecommons.org/licenses/by-nc/4.0/" TargetMode="External"/><Relationship Id="rId3540" Type="http://schemas.openxmlformats.org/officeDocument/2006/relationships/hyperlink" Target="https://www.inaturalist.org/observations/383142735" TargetMode="External"/><Relationship Id="rId3541" Type="http://schemas.openxmlformats.org/officeDocument/2006/relationships/hyperlink" Target="https://creativecommons.org/licenses/by-nc/4.0/" TargetMode="External"/><Relationship Id="rId3542" Type="http://schemas.openxmlformats.org/officeDocument/2006/relationships/hyperlink" Target="https://www.inaturalist.org/observations/383142718" TargetMode="External"/><Relationship Id="rId3543" Type="http://schemas.openxmlformats.org/officeDocument/2006/relationships/hyperlink" Target="https://creativecommons.org/licenses/by-nc/4.0/" TargetMode="External"/><Relationship Id="rId3544" Type="http://schemas.openxmlformats.org/officeDocument/2006/relationships/hyperlink" Target="https://www.inaturalist.org/observations/383142680" TargetMode="External"/><Relationship Id="rId3545" Type="http://schemas.openxmlformats.org/officeDocument/2006/relationships/hyperlink" Target="https://creativecommons.org/licenses/by-nc/4.0/" TargetMode="External"/><Relationship Id="rId3546" Type="http://schemas.openxmlformats.org/officeDocument/2006/relationships/hyperlink" Target="https://www.inaturalist.org/observations/383142650" TargetMode="External"/><Relationship Id="rId3547" Type="http://schemas.openxmlformats.org/officeDocument/2006/relationships/hyperlink" Target="https://creativecommons.org/licenses/by-nc/4.0/" TargetMode="External"/><Relationship Id="rId3548" Type="http://schemas.openxmlformats.org/officeDocument/2006/relationships/hyperlink" Target="https://www.inaturalist.org/observations/383142631" TargetMode="External"/><Relationship Id="rId3549" Type="http://schemas.openxmlformats.org/officeDocument/2006/relationships/hyperlink" Target="https://creativecommons.org/licenses/by-nc/4.0/" TargetMode="External"/><Relationship Id="rId3550" Type="http://schemas.openxmlformats.org/officeDocument/2006/relationships/hyperlink" Target="https://www.inaturalist.org/observations/383142605" TargetMode="External"/><Relationship Id="rId3551" Type="http://schemas.openxmlformats.org/officeDocument/2006/relationships/hyperlink" Target="https://creativecommons.org/licenses/by-nc/4.0/" TargetMode="External"/><Relationship Id="rId3552" Type="http://schemas.openxmlformats.org/officeDocument/2006/relationships/hyperlink" Target="https://www.inaturalist.org/observations/383142551" TargetMode="External"/><Relationship Id="rId3553" Type="http://schemas.openxmlformats.org/officeDocument/2006/relationships/hyperlink" Target="https://creativecommons.org/licenses/by-nc/4.0/" TargetMode="External"/><Relationship Id="rId3554" Type="http://schemas.openxmlformats.org/officeDocument/2006/relationships/hyperlink" Target="https://www.inaturalist.org/observations/383142462" TargetMode="External"/><Relationship Id="rId3555" Type="http://schemas.openxmlformats.org/officeDocument/2006/relationships/hyperlink" Target="https://creativecommons.org/licenses/by-nc/4.0/" TargetMode="External"/><Relationship Id="rId3556" Type="http://schemas.openxmlformats.org/officeDocument/2006/relationships/hyperlink" Target="https://www.inaturalist.org/observations/383142291" TargetMode="External"/><Relationship Id="rId3557" Type="http://schemas.openxmlformats.org/officeDocument/2006/relationships/hyperlink" Target="https://creativecommons.org/licenses/by-nc/4.0/" TargetMode="External"/><Relationship Id="rId3558" Type="http://schemas.openxmlformats.org/officeDocument/2006/relationships/hyperlink" Target="https://www.inaturalist.org/observations/383142278" TargetMode="External"/><Relationship Id="rId3559" Type="http://schemas.openxmlformats.org/officeDocument/2006/relationships/hyperlink" Target="https://creativecommons.org/licenses/by-nc/4.0/" TargetMode="External"/><Relationship Id="rId3560" Type="http://schemas.openxmlformats.org/officeDocument/2006/relationships/hyperlink" Target="https://www.inaturalist.org/observations/383142230" TargetMode="External"/><Relationship Id="rId3561" Type="http://schemas.openxmlformats.org/officeDocument/2006/relationships/hyperlink" Target="https://creativecommons.org/licenses/by-nc/4.0/" TargetMode="External"/><Relationship Id="rId3562" Type="http://schemas.openxmlformats.org/officeDocument/2006/relationships/hyperlink" Target="https://www.inaturalist.org/observations/383142188" TargetMode="External"/><Relationship Id="rId3563" Type="http://schemas.openxmlformats.org/officeDocument/2006/relationships/hyperlink" Target="https://creativecommons.org/licenses/by-nc/4.0/" TargetMode="External"/><Relationship Id="rId3564" Type="http://schemas.openxmlformats.org/officeDocument/2006/relationships/hyperlink" Target="https://www.inaturalist.org/observations/383142085" TargetMode="External"/><Relationship Id="rId3565" Type="http://schemas.openxmlformats.org/officeDocument/2006/relationships/hyperlink" Target="https://creativecommons.org/licenses/by-nc/4.0/" TargetMode="External"/><Relationship Id="rId3566" Type="http://schemas.openxmlformats.org/officeDocument/2006/relationships/hyperlink" Target="https://www.inaturalist.org/observations/383141951" TargetMode="External"/><Relationship Id="rId3567" Type="http://schemas.openxmlformats.org/officeDocument/2006/relationships/hyperlink" Target="https://creativecommons.org/licenses/by-nc/4.0/" TargetMode="External"/><Relationship Id="rId3568" Type="http://schemas.openxmlformats.org/officeDocument/2006/relationships/hyperlink" Target="https://www.inaturalist.org/observations/383141896" TargetMode="External"/><Relationship Id="rId3569" Type="http://schemas.openxmlformats.org/officeDocument/2006/relationships/hyperlink" Target="https://creativecommons.org/licenses/by-nc/4.0/" TargetMode="External"/><Relationship Id="rId3570" Type="http://schemas.openxmlformats.org/officeDocument/2006/relationships/hyperlink" Target="https://www.inaturalist.org/observations/383141701" TargetMode="External"/><Relationship Id="rId3571" Type="http://schemas.openxmlformats.org/officeDocument/2006/relationships/hyperlink" Target="https://creativecommons.org/licenses/by-nc/4.0/" TargetMode="External"/><Relationship Id="rId3572" Type="http://schemas.openxmlformats.org/officeDocument/2006/relationships/hyperlink" Target="https://www.inaturalist.org/observations/383141615" TargetMode="External"/><Relationship Id="rId3573" Type="http://schemas.openxmlformats.org/officeDocument/2006/relationships/hyperlink" Target="https://creativecommons.org/licenses/by-nc/4.0/" TargetMode="External"/><Relationship Id="rId3574" Type="http://schemas.openxmlformats.org/officeDocument/2006/relationships/hyperlink" Target="https://www.inaturalist.org/observations/383141577" TargetMode="External"/><Relationship Id="rId3575" Type="http://schemas.openxmlformats.org/officeDocument/2006/relationships/hyperlink" Target="https://creativecommons.org/licenses/by-nc/4.0/" TargetMode="External"/><Relationship Id="rId3576" Type="http://schemas.openxmlformats.org/officeDocument/2006/relationships/hyperlink" Target="https://www.inaturalist.org/observations/383141405" TargetMode="External"/><Relationship Id="rId3577" Type="http://schemas.openxmlformats.org/officeDocument/2006/relationships/hyperlink" Target="https://creativecommons.org/licenses/by-nc/4.0/" TargetMode="External"/><Relationship Id="rId3578" Type="http://schemas.openxmlformats.org/officeDocument/2006/relationships/hyperlink" Target="https://www.inaturalist.org/observations/383141135" TargetMode="External"/><Relationship Id="rId3579" Type="http://schemas.openxmlformats.org/officeDocument/2006/relationships/hyperlink" Target="https://creativecommons.org/licenses/by-nc/4.0/" TargetMode="External"/><Relationship Id="rId3580" Type="http://schemas.openxmlformats.org/officeDocument/2006/relationships/hyperlink" Target="https://www.inaturalist.org/observations/383141125" TargetMode="External"/><Relationship Id="rId3581" Type="http://schemas.openxmlformats.org/officeDocument/2006/relationships/hyperlink" Target="https://creativecommons.org/licenses/by-nc/4.0/" TargetMode="External"/><Relationship Id="rId3582" Type="http://schemas.openxmlformats.org/officeDocument/2006/relationships/hyperlink" Target="https://www.inaturalist.org/observations/383141099" TargetMode="External"/><Relationship Id="rId3583" Type="http://schemas.openxmlformats.org/officeDocument/2006/relationships/hyperlink" Target="https://creativecommons.org/licenses/by-nc/4.0/" TargetMode="External"/><Relationship Id="rId3584" Type="http://schemas.openxmlformats.org/officeDocument/2006/relationships/hyperlink" Target="https://www.inaturalist.org/observations/383140945" TargetMode="External"/><Relationship Id="rId3585" Type="http://schemas.openxmlformats.org/officeDocument/2006/relationships/hyperlink" Target="https://creativecommons.org/licenses/by-nc/4.0/" TargetMode="External"/><Relationship Id="rId3586" Type="http://schemas.openxmlformats.org/officeDocument/2006/relationships/hyperlink" Target="https://www.inaturalist.org/observations/383140919" TargetMode="External"/><Relationship Id="rId3587" Type="http://schemas.openxmlformats.org/officeDocument/2006/relationships/hyperlink" Target="https://creativecommons.org/licenses/by-nc/4.0/" TargetMode="External"/><Relationship Id="rId3588" Type="http://schemas.openxmlformats.org/officeDocument/2006/relationships/hyperlink" Target="https://www.inaturalist.org/observations/383140908" TargetMode="External"/><Relationship Id="rId3589" Type="http://schemas.openxmlformats.org/officeDocument/2006/relationships/hyperlink" Target="https://creativecommons.org/licenses/by-nc/4.0/" TargetMode="External"/><Relationship Id="rId3590" Type="http://schemas.openxmlformats.org/officeDocument/2006/relationships/hyperlink" Target="https://www.inaturalist.org/observations/383140823" TargetMode="External"/><Relationship Id="rId3591" Type="http://schemas.openxmlformats.org/officeDocument/2006/relationships/hyperlink" Target="https://creativecommons.org/licenses/by-nc/4.0/" TargetMode="External"/><Relationship Id="rId3592" Type="http://schemas.openxmlformats.org/officeDocument/2006/relationships/hyperlink" Target="https://www.inaturalist.org/observations/383140820" TargetMode="External"/><Relationship Id="rId3593" Type="http://schemas.openxmlformats.org/officeDocument/2006/relationships/hyperlink" Target="https://creativecommons.org/licenses/by-nc/4.0/" TargetMode="External"/><Relationship Id="rId3594" Type="http://schemas.openxmlformats.org/officeDocument/2006/relationships/hyperlink" Target="https://www.inaturalist.org/observations/383140642" TargetMode="External"/><Relationship Id="rId3595" Type="http://schemas.openxmlformats.org/officeDocument/2006/relationships/hyperlink" Target="https://creativecommons.org/licenses/by-nc/4.0/" TargetMode="External"/><Relationship Id="rId3596" Type="http://schemas.openxmlformats.org/officeDocument/2006/relationships/hyperlink" Target="https://www.inaturalist.org/observations/383140529" TargetMode="External"/><Relationship Id="rId3597" Type="http://schemas.openxmlformats.org/officeDocument/2006/relationships/hyperlink" Target="https://creativecommons.org/licenses/by-nc/4.0/" TargetMode="External"/><Relationship Id="rId3598" Type="http://schemas.openxmlformats.org/officeDocument/2006/relationships/hyperlink" Target="https://www.inaturalist.org/observations/383140410" TargetMode="External"/><Relationship Id="rId3599" Type="http://schemas.openxmlformats.org/officeDocument/2006/relationships/hyperlink" Target="https://creativecommons.org/licenses/by-nc/4.0/" TargetMode="External"/><Relationship Id="rId3600" Type="http://schemas.openxmlformats.org/officeDocument/2006/relationships/hyperlink" Target="https://www.inaturalist.org/observations/383140304" TargetMode="External"/><Relationship Id="rId3601" Type="http://schemas.openxmlformats.org/officeDocument/2006/relationships/hyperlink" Target="https://creativecommons.org/licenses/by-nc/4.0/" TargetMode="External"/><Relationship Id="rId3602" Type="http://schemas.openxmlformats.org/officeDocument/2006/relationships/hyperlink" Target="https://www.inaturalist.org/observations/383140171" TargetMode="External"/><Relationship Id="rId3603" Type="http://schemas.openxmlformats.org/officeDocument/2006/relationships/hyperlink" Target="https://creativecommons.org/licenses/by-nc/4.0/" TargetMode="External"/><Relationship Id="rId3604" Type="http://schemas.openxmlformats.org/officeDocument/2006/relationships/hyperlink" Target="https://www.inaturalist.org/observations/383140089" TargetMode="External"/><Relationship Id="rId3605" Type="http://schemas.openxmlformats.org/officeDocument/2006/relationships/hyperlink" Target="https://creativecommons.org/licenses/by-nc/4.0/" TargetMode="External"/><Relationship Id="rId3606" Type="http://schemas.openxmlformats.org/officeDocument/2006/relationships/hyperlink" Target="https://www.inaturalist.org/observations/383140080" TargetMode="External"/><Relationship Id="rId3607" Type="http://schemas.openxmlformats.org/officeDocument/2006/relationships/hyperlink" Target="https://creativecommons.org/licenses/by-nc/4.0/" TargetMode="External"/><Relationship Id="rId3608" Type="http://schemas.openxmlformats.org/officeDocument/2006/relationships/hyperlink" Target="https://www.inaturalist.org/observations/383140023" TargetMode="External"/><Relationship Id="rId3609" Type="http://schemas.openxmlformats.org/officeDocument/2006/relationships/hyperlink" Target="https://creativecommons.org/licenses/by-nc/4.0/" TargetMode="External"/><Relationship Id="rId3610" Type="http://schemas.openxmlformats.org/officeDocument/2006/relationships/hyperlink" Target="https://www.inaturalist.org/observations/383139986" TargetMode="External"/><Relationship Id="rId3611" Type="http://schemas.openxmlformats.org/officeDocument/2006/relationships/hyperlink" Target="https://creativecommons.org/licenses/by-nc/4.0/" TargetMode="External"/><Relationship Id="rId3612" Type="http://schemas.openxmlformats.org/officeDocument/2006/relationships/hyperlink" Target="https://www.inaturalist.org/observations/383139939" TargetMode="External"/><Relationship Id="rId3613" Type="http://schemas.openxmlformats.org/officeDocument/2006/relationships/hyperlink" Target="https://creativecommons.org/licenses/by-nc/4.0/" TargetMode="External"/><Relationship Id="rId3614" Type="http://schemas.openxmlformats.org/officeDocument/2006/relationships/hyperlink" Target="https://www.inaturalist.org/observations/383139851" TargetMode="External"/><Relationship Id="rId3615" Type="http://schemas.openxmlformats.org/officeDocument/2006/relationships/hyperlink" Target="https://creativecommons.org/licenses/by-nc/4.0/" TargetMode="External"/><Relationship Id="rId3616" Type="http://schemas.openxmlformats.org/officeDocument/2006/relationships/hyperlink" Target="https://www.inaturalist.org/observations/383139843" TargetMode="External"/><Relationship Id="rId3617" Type="http://schemas.openxmlformats.org/officeDocument/2006/relationships/hyperlink" Target="https://creativecommons.org/licenses/by-nc/4.0/" TargetMode="External"/><Relationship Id="rId3618" Type="http://schemas.openxmlformats.org/officeDocument/2006/relationships/hyperlink" Target="https://www.inaturalist.org/observations/383139740" TargetMode="External"/><Relationship Id="rId3619" Type="http://schemas.openxmlformats.org/officeDocument/2006/relationships/hyperlink" Target="https://creativecommons.org/licenses/by-nc/4.0/" TargetMode="External"/><Relationship Id="rId3620" Type="http://schemas.openxmlformats.org/officeDocument/2006/relationships/hyperlink" Target="https://www.inaturalist.org/observations/383139733" TargetMode="External"/><Relationship Id="rId3621" Type="http://schemas.openxmlformats.org/officeDocument/2006/relationships/hyperlink" Target="https://creativecommons.org/licenses/by-nc/4.0/" TargetMode="External"/><Relationship Id="rId3622" Type="http://schemas.openxmlformats.org/officeDocument/2006/relationships/hyperlink" Target="https://www.inaturalist.org/observations/383139688" TargetMode="External"/><Relationship Id="rId3623" Type="http://schemas.openxmlformats.org/officeDocument/2006/relationships/hyperlink" Target="https://creativecommons.org/licenses/by-nc/4.0/" TargetMode="External"/><Relationship Id="rId3624" Type="http://schemas.openxmlformats.org/officeDocument/2006/relationships/hyperlink" Target="https://www.inaturalist.org/observations/383139436" TargetMode="External"/><Relationship Id="rId3625" Type="http://schemas.openxmlformats.org/officeDocument/2006/relationships/hyperlink" Target="https://creativecommons.org/licenses/by-nc/4.0/" TargetMode="External"/><Relationship Id="rId3626" Type="http://schemas.openxmlformats.org/officeDocument/2006/relationships/hyperlink" Target="https://www.inaturalist.org/observations/383139425" TargetMode="External"/><Relationship Id="rId3627" Type="http://schemas.openxmlformats.org/officeDocument/2006/relationships/hyperlink" Target="https://creativecommons.org/licenses/by-nc/4.0/" TargetMode="External"/><Relationship Id="rId3628" Type="http://schemas.openxmlformats.org/officeDocument/2006/relationships/hyperlink" Target="https://www.inaturalist.org/observations/383139421" TargetMode="External"/><Relationship Id="rId3629" Type="http://schemas.openxmlformats.org/officeDocument/2006/relationships/hyperlink" Target="https://creativecommons.org/licenses/by-nc/4.0/" TargetMode="External"/><Relationship Id="rId3630" Type="http://schemas.openxmlformats.org/officeDocument/2006/relationships/hyperlink" Target="https://www.inaturalist.org/observations/383139372" TargetMode="External"/><Relationship Id="rId3631" Type="http://schemas.openxmlformats.org/officeDocument/2006/relationships/hyperlink" Target="https://creativecommons.org/licenses/by-nc/4.0/" TargetMode="External"/><Relationship Id="rId3632" Type="http://schemas.openxmlformats.org/officeDocument/2006/relationships/hyperlink" Target="https://www.inaturalist.org/observations/383139227" TargetMode="External"/><Relationship Id="rId3633" Type="http://schemas.openxmlformats.org/officeDocument/2006/relationships/hyperlink" Target="https://creativecommons.org/licenses/by-nc/4.0/" TargetMode="External"/><Relationship Id="rId3634" Type="http://schemas.openxmlformats.org/officeDocument/2006/relationships/hyperlink" Target="https://www.inaturalist.org/observations/383139200" TargetMode="External"/><Relationship Id="rId3635" Type="http://schemas.openxmlformats.org/officeDocument/2006/relationships/hyperlink" Target="https://creativecommons.org/licenses/by-nc/4.0/" TargetMode="External"/><Relationship Id="rId3636" Type="http://schemas.openxmlformats.org/officeDocument/2006/relationships/hyperlink" Target="https://www.inaturalist.org/observations/383139197" TargetMode="External"/><Relationship Id="rId3637" Type="http://schemas.openxmlformats.org/officeDocument/2006/relationships/hyperlink" Target="https://creativecommons.org/licenses/by-nc/4.0/" TargetMode="External"/><Relationship Id="rId3638" Type="http://schemas.openxmlformats.org/officeDocument/2006/relationships/hyperlink" Target="https://www.inaturalist.org/observations/383139186" TargetMode="External"/><Relationship Id="rId3639" Type="http://schemas.openxmlformats.org/officeDocument/2006/relationships/hyperlink" Target="https://creativecommons.org/licenses/by-nc/4.0/" TargetMode="External"/><Relationship Id="rId3640" Type="http://schemas.openxmlformats.org/officeDocument/2006/relationships/hyperlink" Target="https://www.inaturalist.org/observations/383139183" TargetMode="External"/><Relationship Id="rId3641" Type="http://schemas.openxmlformats.org/officeDocument/2006/relationships/hyperlink" Target="https://creativecommons.org/licenses/by-nc/4.0/" TargetMode="External"/><Relationship Id="rId3642" Type="http://schemas.openxmlformats.org/officeDocument/2006/relationships/hyperlink" Target="https://www.inaturalist.org/observations/383182669" TargetMode="External"/><Relationship Id="rId3643" Type="http://schemas.openxmlformats.org/officeDocument/2006/relationships/hyperlink" Target="https://creativecommons.org/licenses/by-nc/4.0/" TargetMode="External"/><Relationship Id="rId3644" Type="http://schemas.openxmlformats.org/officeDocument/2006/relationships/hyperlink" Target="https://www.inaturalist.org/observations/383182478" TargetMode="External"/><Relationship Id="rId3645" Type="http://schemas.openxmlformats.org/officeDocument/2006/relationships/hyperlink" Target="https://creativecommons.org/licenses/by-nc/4.0/" TargetMode="External"/><Relationship Id="rId3646" Type="http://schemas.openxmlformats.org/officeDocument/2006/relationships/hyperlink" Target="https://www.inaturalist.org/observations/383182454" TargetMode="External"/><Relationship Id="rId3647" Type="http://schemas.openxmlformats.org/officeDocument/2006/relationships/hyperlink" Target="https://creativecommons.org/licenses/by-nc/4.0/" TargetMode="External"/><Relationship Id="rId3648" Type="http://schemas.openxmlformats.org/officeDocument/2006/relationships/hyperlink" Target="https://www.inaturalist.org/observations/383182112" TargetMode="External"/><Relationship Id="rId3649" Type="http://schemas.openxmlformats.org/officeDocument/2006/relationships/hyperlink" Target="https://creativecommons.org/licenses/by-nc/4.0/" TargetMode="External"/><Relationship Id="rId3650" Type="http://schemas.openxmlformats.org/officeDocument/2006/relationships/hyperlink" Target="https://www.inaturalist.org/observations/383181266" TargetMode="External"/><Relationship Id="rId3651" Type="http://schemas.openxmlformats.org/officeDocument/2006/relationships/hyperlink" Target="https://creativecommons.org/licenses/by-nc/4.0/" TargetMode="External"/><Relationship Id="rId3652" Type="http://schemas.openxmlformats.org/officeDocument/2006/relationships/hyperlink" Target="https://www.inaturalist.org/observations/383181170" TargetMode="External"/><Relationship Id="rId3653" Type="http://schemas.openxmlformats.org/officeDocument/2006/relationships/hyperlink" Target="https://creativecommons.org/licenses/by-nc/4.0/" TargetMode="External"/><Relationship Id="rId3654" Type="http://schemas.openxmlformats.org/officeDocument/2006/relationships/hyperlink" Target="https://www.inaturalist.org/observations/383181160" TargetMode="External"/><Relationship Id="rId3655" Type="http://schemas.openxmlformats.org/officeDocument/2006/relationships/hyperlink" Target="https://creativecommons.org/licenses/by-nc/4.0/" TargetMode="External"/><Relationship Id="rId3656" Type="http://schemas.openxmlformats.org/officeDocument/2006/relationships/hyperlink" Target="https://www.inaturalist.org/observations/383180816" TargetMode="External"/><Relationship Id="rId3657" Type="http://schemas.openxmlformats.org/officeDocument/2006/relationships/hyperlink" Target="https://creativecommons.org/licenses/by-nc/4.0/" TargetMode="External"/><Relationship Id="rId3658" Type="http://schemas.openxmlformats.org/officeDocument/2006/relationships/hyperlink" Target="https://www.inaturalist.org/observations/383180448" TargetMode="External"/><Relationship Id="rId3659" Type="http://schemas.openxmlformats.org/officeDocument/2006/relationships/hyperlink" Target="https://creativecommons.org/licenses/by-nc/4.0/" TargetMode="External"/><Relationship Id="rId3660" Type="http://schemas.openxmlformats.org/officeDocument/2006/relationships/hyperlink" Target="https://www.inaturalist.org/observations/383180148" TargetMode="External"/><Relationship Id="rId3661" Type="http://schemas.openxmlformats.org/officeDocument/2006/relationships/hyperlink" Target="https://creativecommons.org/licenses/by-nc/4.0/" TargetMode="External"/><Relationship Id="rId3662" Type="http://schemas.openxmlformats.org/officeDocument/2006/relationships/hyperlink" Target="https://www.inaturalist.org/observations/383180002" TargetMode="External"/><Relationship Id="rId3663" Type="http://schemas.openxmlformats.org/officeDocument/2006/relationships/hyperlink" Target="https://creativecommons.org/licenses/by-nc/4.0/" TargetMode="External"/><Relationship Id="rId3664" Type="http://schemas.openxmlformats.org/officeDocument/2006/relationships/hyperlink" Target="https://www.inaturalist.org/observations/383179878" TargetMode="External"/><Relationship Id="rId3665" Type="http://schemas.openxmlformats.org/officeDocument/2006/relationships/hyperlink" Target="https://creativecommons.org/licenses/by-nc/4.0/" TargetMode="External"/><Relationship Id="rId3666" Type="http://schemas.openxmlformats.org/officeDocument/2006/relationships/hyperlink" Target="https://www.inaturalist.org/observations/383179752" TargetMode="External"/><Relationship Id="rId3667" Type="http://schemas.openxmlformats.org/officeDocument/2006/relationships/hyperlink" Target="https://creativecommons.org/licenses/by-nc/4.0/" TargetMode="External"/><Relationship Id="rId3668" Type="http://schemas.openxmlformats.org/officeDocument/2006/relationships/hyperlink" Target="https://www.inaturalist.org/observations/383179387" TargetMode="External"/><Relationship Id="rId3669" Type="http://schemas.openxmlformats.org/officeDocument/2006/relationships/hyperlink" Target="https://creativecommons.org/licenses/by-nc/4.0/" TargetMode="External"/><Relationship Id="rId3670" Type="http://schemas.openxmlformats.org/officeDocument/2006/relationships/hyperlink" Target="https://www.inaturalist.org/observations/383179385" TargetMode="External"/><Relationship Id="rId3671" Type="http://schemas.openxmlformats.org/officeDocument/2006/relationships/hyperlink" Target="https://creativecommons.org/licenses/by-nc/4.0/" TargetMode="External"/><Relationship Id="rId3672" Type="http://schemas.openxmlformats.org/officeDocument/2006/relationships/hyperlink" Target="https://www.inaturalist.org/observations/383179313" TargetMode="External"/><Relationship Id="rId3673" Type="http://schemas.openxmlformats.org/officeDocument/2006/relationships/hyperlink" Target="https://creativecommons.org/licenses/by-nc/4.0/" TargetMode="External"/><Relationship Id="rId3674" Type="http://schemas.openxmlformats.org/officeDocument/2006/relationships/hyperlink" Target="https://www.inaturalist.org/observations/383179307" TargetMode="External"/><Relationship Id="rId3675" Type="http://schemas.openxmlformats.org/officeDocument/2006/relationships/hyperlink" Target="https://creativecommons.org/licenses/by-nc/4.0/" TargetMode="External"/><Relationship Id="rId3676" Type="http://schemas.openxmlformats.org/officeDocument/2006/relationships/hyperlink" Target="https://www.inaturalist.org/observations/383179304" TargetMode="External"/><Relationship Id="rId3677" Type="http://schemas.openxmlformats.org/officeDocument/2006/relationships/hyperlink" Target="https://creativecommons.org/licenses/by-nc/4.0/" TargetMode="External"/><Relationship Id="rId3678" Type="http://schemas.openxmlformats.org/officeDocument/2006/relationships/hyperlink" Target="https://www.inaturalist.org/observations/383179183" TargetMode="External"/><Relationship Id="rId3679" Type="http://schemas.openxmlformats.org/officeDocument/2006/relationships/hyperlink" Target="https://creativecommons.org/licenses/by-nc/4.0/" TargetMode="External"/><Relationship Id="rId3680" Type="http://schemas.openxmlformats.org/officeDocument/2006/relationships/hyperlink" Target="https://www.inaturalist.org/observations/383179118" TargetMode="External"/><Relationship Id="rId3681" Type="http://schemas.openxmlformats.org/officeDocument/2006/relationships/hyperlink" Target="https://creativecommons.org/licenses/by-nc/4.0/" TargetMode="External"/><Relationship Id="rId3682" Type="http://schemas.openxmlformats.org/officeDocument/2006/relationships/hyperlink" Target="https://www.inaturalist.org/observations/383179094" TargetMode="External"/><Relationship Id="rId3683" Type="http://schemas.openxmlformats.org/officeDocument/2006/relationships/hyperlink" Target="https://creativecommons.org/licenses/by-nc/4.0/" TargetMode="External"/><Relationship Id="rId3684" Type="http://schemas.openxmlformats.org/officeDocument/2006/relationships/hyperlink" Target="https://www.inaturalist.org/observations/383179075" TargetMode="External"/><Relationship Id="rId3685" Type="http://schemas.openxmlformats.org/officeDocument/2006/relationships/hyperlink" Target="https://creativecommons.org/licenses/by-nc/4.0/" TargetMode="External"/><Relationship Id="rId3686" Type="http://schemas.openxmlformats.org/officeDocument/2006/relationships/hyperlink" Target="https://www.inaturalist.org/observations/383179039" TargetMode="External"/><Relationship Id="rId3687" Type="http://schemas.openxmlformats.org/officeDocument/2006/relationships/hyperlink" Target="https://creativecommons.org/licenses/by-nc/4.0/" TargetMode="External"/><Relationship Id="rId3688" Type="http://schemas.openxmlformats.org/officeDocument/2006/relationships/hyperlink" Target="https://www.inaturalist.org/observations/383178910" TargetMode="External"/><Relationship Id="rId3689" Type="http://schemas.openxmlformats.org/officeDocument/2006/relationships/hyperlink" Target="https://creativecommons.org/licenses/by-nc/4.0/" TargetMode="External"/><Relationship Id="rId3690" Type="http://schemas.openxmlformats.org/officeDocument/2006/relationships/hyperlink" Target="https://www.inaturalist.org/observations/383178772" TargetMode="External"/><Relationship Id="rId3691" Type="http://schemas.openxmlformats.org/officeDocument/2006/relationships/hyperlink" Target="https://creativecommons.org/licenses/by-nc/4.0/" TargetMode="External"/><Relationship Id="rId3692" Type="http://schemas.openxmlformats.org/officeDocument/2006/relationships/hyperlink" Target="https://www.inaturalist.org/observations/383178731" TargetMode="External"/><Relationship Id="rId3693" Type="http://schemas.openxmlformats.org/officeDocument/2006/relationships/hyperlink" Target="https://creativecommons.org/licenses/by-nc/4.0/" TargetMode="External"/><Relationship Id="rId3694" Type="http://schemas.openxmlformats.org/officeDocument/2006/relationships/hyperlink" Target="https://www.inaturalist.org/observations/383178594" TargetMode="External"/><Relationship Id="rId3695" Type="http://schemas.openxmlformats.org/officeDocument/2006/relationships/hyperlink" Target="https://creativecommons.org/licenses/by-nc/4.0/" TargetMode="External"/><Relationship Id="rId3696" Type="http://schemas.openxmlformats.org/officeDocument/2006/relationships/hyperlink" Target="https://www.inaturalist.org/observations/383178353" TargetMode="External"/><Relationship Id="rId3697" Type="http://schemas.openxmlformats.org/officeDocument/2006/relationships/hyperlink" Target="https://creativecommons.org/licenses/by-nc/4.0/" TargetMode="External"/><Relationship Id="rId3698" Type="http://schemas.openxmlformats.org/officeDocument/2006/relationships/hyperlink" Target="https://www.inaturalist.org/observations/383178341" TargetMode="External"/><Relationship Id="rId3699" Type="http://schemas.openxmlformats.org/officeDocument/2006/relationships/hyperlink" Target="https://creativecommons.org/licenses/by-nc/4.0/" TargetMode="External"/><Relationship Id="rId3700" Type="http://schemas.openxmlformats.org/officeDocument/2006/relationships/hyperlink" Target="https://www.inaturalist.org/observations/383178313" TargetMode="External"/><Relationship Id="rId3701" Type="http://schemas.openxmlformats.org/officeDocument/2006/relationships/hyperlink" Target="https://creativecommons.org/licenses/by-nc/4.0/" TargetMode="External"/><Relationship Id="rId3702" Type="http://schemas.openxmlformats.org/officeDocument/2006/relationships/hyperlink" Target="https://www.inaturalist.org/observations/383178207" TargetMode="External"/><Relationship Id="rId3703" Type="http://schemas.openxmlformats.org/officeDocument/2006/relationships/hyperlink" Target="https://creativecommons.org/licenses/by-nc/4.0/" TargetMode="External"/><Relationship Id="rId3704" Type="http://schemas.openxmlformats.org/officeDocument/2006/relationships/hyperlink" Target="https://www.inaturalist.org/observations/383178197" TargetMode="External"/><Relationship Id="rId3705" Type="http://schemas.openxmlformats.org/officeDocument/2006/relationships/hyperlink" Target="https://creativecommons.org/licenses/by-nc/4.0/" TargetMode="External"/><Relationship Id="rId3706" Type="http://schemas.openxmlformats.org/officeDocument/2006/relationships/hyperlink" Target="https://www.inaturalist.org/observations/383178109" TargetMode="External"/><Relationship Id="rId3707" Type="http://schemas.openxmlformats.org/officeDocument/2006/relationships/hyperlink" Target="https://creativecommons.org/licenses/by-nc/4.0/" TargetMode="External"/><Relationship Id="rId3708" Type="http://schemas.openxmlformats.org/officeDocument/2006/relationships/hyperlink" Target="https://www.inaturalist.org/observations/383178080" TargetMode="External"/><Relationship Id="rId3709" Type="http://schemas.openxmlformats.org/officeDocument/2006/relationships/hyperlink" Target="https://creativecommons.org/licenses/by-nc/4.0/" TargetMode="External"/><Relationship Id="rId3710" Type="http://schemas.openxmlformats.org/officeDocument/2006/relationships/hyperlink" Target="https://www.inaturalist.org/observations/383177935" TargetMode="External"/><Relationship Id="rId3711" Type="http://schemas.openxmlformats.org/officeDocument/2006/relationships/hyperlink" Target="https://creativecommons.org/licenses/by-nc/4.0/" TargetMode="External"/><Relationship Id="rId3712" Type="http://schemas.openxmlformats.org/officeDocument/2006/relationships/hyperlink" Target="https://www.inaturalist.org/observations/383177796" TargetMode="External"/><Relationship Id="rId3713" Type="http://schemas.openxmlformats.org/officeDocument/2006/relationships/hyperlink" Target="https://creativecommons.org/licenses/by-nc/4.0/" TargetMode="External"/><Relationship Id="rId3714" Type="http://schemas.openxmlformats.org/officeDocument/2006/relationships/hyperlink" Target="https://www.inaturalist.org/observations/383177588" TargetMode="External"/><Relationship Id="rId3715" Type="http://schemas.openxmlformats.org/officeDocument/2006/relationships/hyperlink" Target="https://creativecommons.org/licenses/by-nc/4.0/" TargetMode="External"/><Relationship Id="rId3716" Type="http://schemas.openxmlformats.org/officeDocument/2006/relationships/hyperlink" Target="https://www.inaturalist.org/observations/383177371" TargetMode="External"/><Relationship Id="rId3717" Type="http://schemas.openxmlformats.org/officeDocument/2006/relationships/hyperlink" Target="https://creativecommons.org/licenses/by-nc/4.0/" TargetMode="External"/><Relationship Id="rId3718" Type="http://schemas.openxmlformats.org/officeDocument/2006/relationships/hyperlink" Target="https://www.inaturalist.org/observations/383177068" TargetMode="External"/><Relationship Id="rId3719" Type="http://schemas.openxmlformats.org/officeDocument/2006/relationships/hyperlink" Target="https://creativecommons.org/licenses/by-nc/4.0/" TargetMode="External"/><Relationship Id="rId3720" Type="http://schemas.openxmlformats.org/officeDocument/2006/relationships/hyperlink" Target="https://www.inaturalist.org/observations/383177035" TargetMode="External"/><Relationship Id="rId3721" Type="http://schemas.openxmlformats.org/officeDocument/2006/relationships/hyperlink" Target="https://creativecommons.org/licenses/by-nc/4.0/" TargetMode="External"/><Relationship Id="rId3722" Type="http://schemas.openxmlformats.org/officeDocument/2006/relationships/hyperlink" Target="https://www.inaturalist.org/observations/383176742" TargetMode="External"/><Relationship Id="rId3723" Type="http://schemas.openxmlformats.org/officeDocument/2006/relationships/hyperlink" Target="https://creativecommons.org/licenses/by-nc/4.0/" TargetMode="External"/><Relationship Id="rId3724" Type="http://schemas.openxmlformats.org/officeDocument/2006/relationships/hyperlink" Target="https://www.inaturalist.org/observations/383176527" TargetMode="External"/><Relationship Id="rId3725" Type="http://schemas.openxmlformats.org/officeDocument/2006/relationships/hyperlink" Target="https://creativecommons.org/licenses/by-nc/4.0/" TargetMode="External"/><Relationship Id="rId3726" Type="http://schemas.openxmlformats.org/officeDocument/2006/relationships/hyperlink" Target="https://www.inaturalist.org/observations/383176395" TargetMode="External"/><Relationship Id="rId3727" Type="http://schemas.openxmlformats.org/officeDocument/2006/relationships/hyperlink" Target="https://creativecommons.org/licenses/by-nc/4.0/" TargetMode="External"/><Relationship Id="rId3728" Type="http://schemas.openxmlformats.org/officeDocument/2006/relationships/hyperlink" Target="https://www.inaturalist.org/observations/383176374" TargetMode="External"/><Relationship Id="rId3729" Type="http://schemas.openxmlformats.org/officeDocument/2006/relationships/hyperlink" Target="https://creativecommons.org/licenses/by-nc/4.0/" TargetMode="External"/><Relationship Id="rId3730" Type="http://schemas.openxmlformats.org/officeDocument/2006/relationships/hyperlink" Target="https://www.inaturalist.org/observations/383176335" TargetMode="External"/><Relationship Id="rId3731" Type="http://schemas.openxmlformats.org/officeDocument/2006/relationships/hyperlink" Target="https://creativecommons.org/licenses/by-nc/4.0/" TargetMode="External"/><Relationship Id="rId3732" Type="http://schemas.openxmlformats.org/officeDocument/2006/relationships/hyperlink" Target="https://www.inaturalist.org/observations/383176204" TargetMode="External"/><Relationship Id="rId3733" Type="http://schemas.openxmlformats.org/officeDocument/2006/relationships/hyperlink" Target="https://creativecommons.org/licenses/by-nc/4.0/" TargetMode="External"/><Relationship Id="rId3734" Type="http://schemas.openxmlformats.org/officeDocument/2006/relationships/hyperlink" Target="https://www.inaturalist.org/observations/383176159" TargetMode="External"/><Relationship Id="rId3735" Type="http://schemas.openxmlformats.org/officeDocument/2006/relationships/hyperlink" Target="https://creativecommons.org/licenses/by-nc/4.0/" TargetMode="External"/><Relationship Id="rId3736" Type="http://schemas.openxmlformats.org/officeDocument/2006/relationships/hyperlink" Target="https://www.inaturalist.org/observations/383176148" TargetMode="External"/><Relationship Id="rId3737" Type="http://schemas.openxmlformats.org/officeDocument/2006/relationships/hyperlink" Target="https://creativecommons.org/licenses/by-nc/4.0/" TargetMode="External"/><Relationship Id="rId3738" Type="http://schemas.openxmlformats.org/officeDocument/2006/relationships/hyperlink" Target="https://www.inaturalist.org/observations/383175840" TargetMode="External"/><Relationship Id="rId3739" Type="http://schemas.openxmlformats.org/officeDocument/2006/relationships/hyperlink" Target="https://creativecommons.org/licenses/by-nc/4.0/" TargetMode="External"/><Relationship Id="rId3740" Type="http://schemas.openxmlformats.org/officeDocument/2006/relationships/hyperlink" Target="https://www.inaturalist.org/observations/383175670" TargetMode="External"/><Relationship Id="rId3741" Type="http://schemas.openxmlformats.org/officeDocument/2006/relationships/hyperlink" Target="https://creativecommons.org/licenses/by-nc/4.0/" TargetMode="External"/><Relationship Id="rId3742" Type="http://schemas.openxmlformats.org/officeDocument/2006/relationships/hyperlink" Target="https://www.inaturalist.org/observations/383175322" TargetMode="External"/><Relationship Id="rId3743" Type="http://schemas.openxmlformats.org/officeDocument/2006/relationships/hyperlink" Target="https://creativecommons.org/licenses/by-nc/4.0/" TargetMode="External"/><Relationship Id="rId3744" Type="http://schemas.openxmlformats.org/officeDocument/2006/relationships/hyperlink" Target="https://www.inaturalist.org/observations/383175303" TargetMode="External"/><Relationship Id="rId3745" Type="http://schemas.openxmlformats.org/officeDocument/2006/relationships/hyperlink" Target="https://creativecommons.org/licenses/by-nc/4.0/" TargetMode="External"/><Relationship Id="rId3746" Type="http://schemas.openxmlformats.org/officeDocument/2006/relationships/hyperlink" Target="https://www.inaturalist.org/observations/383175284" TargetMode="External"/><Relationship Id="rId3747" Type="http://schemas.openxmlformats.org/officeDocument/2006/relationships/hyperlink" Target="https://creativecommons.org/licenses/by-nc/4.0/" TargetMode="External"/><Relationship Id="rId3748" Type="http://schemas.openxmlformats.org/officeDocument/2006/relationships/hyperlink" Target="https://www.inaturalist.org/observations/383175250" TargetMode="External"/><Relationship Id="rId3749" Type="http://schemas.openxmlformats.org/officeDocument/2006/relationships/hyperlink" Target="https://creativecommons.org/licenses/by-nc/4.0/" TargetMode="External"/><Relationship Id="rId3750" Type="http://schemas.openxmlformats.org/officeDocument/2006/relationships/hyperlink" Target="https://www.inaturalist.org/observations/383175236" TargetMode="External"/><Relationship Id="rId3751" Type="http://schemas.openxmlformats.org/officeDocument/2006/relationships/hyperlink" Target="https://creativecommons.org/licenses/by-nc/4.0/" TargetMode="External"/><Relationship Id="rId3752" Type="http://schemas.openxmlformats.org/officeDocument/2006/relationships/hyperlink" Target="https://www.inaturalist.org/observations/383175199" TargetMode="External"/><Relationship Id="rId3753" Type="http://schemas.openxmlformats.org/officeDocument/2006/relationships/hyperlink" Target="https://creativecommons.org/licenses/by-nc/4.0/" TargetMode="External"/><Relationship Id="rId3754" Type="http://schemas.openxmlformats.org/officeDocument/2006/relationships/hyperlink" Target="https://www.inaturalist.org/observations/383175022" TargetMode="External"/><Relationship Id="rId3755" Type="http://schemas.openxmlformats.org/officeDocument/2006/relationships/hyperlink" Target="https://creativecommons.org/licenses/by-nc/4.0/" TargetMode="External"/><Relationship Id="rId3756" Type="http://schemas.openxmlformats.org/officeDocument/2006/relationships/hyperlink" Target="https://www.inaturalist.org/observations/383174996" TargetMode="External"/><Relationship Id="rId3757" Type="http://schemas.openxmlformats.org/officeDocument/2006/relationships/hyperlink" Target="https://creativecommons.org/licenses/by-nc/4.0/" TargetMode="External"/><Relationship Id="rId3758" Type="http://schemas.openxmlformats.org/officeDocument/2006/relationships/hyperlink" Target="https://www.inaturalist.org/observations/383174922" TargetMode="External"/><Relationship Id="rId3759" Type="http://schemas.openxmlformats.org/officeDocument/2006/relationships/hyperlink" Target="https://creativecommons.org/licenses/by-nc/4.0/" TargetMode="External"/><Relationship Id="rId3760" Type="http://schemas.openxmlformats.org/officeDocument/2006/relationships/hyperlink" Target="https://www.inaturalist.org/observations/383174877" TargetMode="External"/><Relationship Id="rId3761" Type="http://schemas.openxmlformats.org/officeDocument/2006/relationships/hyperlink" Target="https://creativecommons.org/licenses/by-nc/4.0/" TargetMode="External"/><Relationship Id="rId3762" Type="http://schemas.openxmlformats.org/officeDocument/2006/relationships/hyperlink" Target="https://www.inaturalist.org/observations/383174803" TargetMode="External"/><Relationship Id="rId3763" Type="http://schemas.openxmlformats.org/officeDocument/2006/relationships/hyperlink" Target="https://creativecommons.org/licenses/by-nc/4.0/" TargetMode="External"/><Relationship Id="rId3764" Type="http://schemas.openxmlformats.org/officeDocument/2006/relationships/hyperlink" Target="https://www.inaturalist.org/observations/383174749" TargetMode="External"/><Relationship Id="rId3765" Type="http://schemas.openxmlformats.org/officeDocument/2006/relationships/hyperlink" Target="https://creativecommons.org/licenses/by-nc/4.0/" TargetMode="External"/><Relationship Id="rId3766" Type="http://schemas.openxmlformats.org/officeDocument/2006/relationships/hyperlink" Target="https://www.inaturalist.org/observations/383174562" TargetMode="External"/><Relationship Id="rId3767" Type="http://schemas.openxmlformats.org/officeDocument/2006/relationships/hyperlink" Target="https://creativecommons.org/licenses/by-nc/4.0/" TargetMode="External"/><Relationship Id="rId3768" Type="http://schemas.openxmlformats.org/officeDocument/2006/relationships/hyperlink" Target="https://www.inaturalist.org/observations/383174542" TargetMode="External"/><Relationship Id="rId3769" Type="http://schemas.openxmlformats.org/officeDocument/2006/relationships/hyperlink" Target="https://creativecommons.org/licenses/by-nc/4.0/" TargetMode="External"/><Relationship Id="rId3770" Type="http://schemas.openxmlformats.org/officeDocument/2006/relationships/hyperlink" Target="https://www.inaturalist.org/observations/383174513" TargetMode="External"/><Relationship Id="rId3771" Type="http://schemas.openxmlformats.org/officeDocument/2006/relationships/hyperlink" Target="https://creativecommons.org/licenses/by-nc/4.0/" TargetMode="External"/><Relationship Id="rId3772" Type="http://schemas.openxmlformats.org/officeDocument/2006/relationships/hyperlink" Target="https://www.inaturalist.org/observations/383174415" TargetMode="External"/><Relationship Id="rId3773" Type="http://schemas.openxmlformats.org/officeDocument/2006/relationships/hyperlink" Target="https://creativecommons.org/licenses/by-nc/4.0/" TargetMode="External"/><Relationship Id="rId3774" Type="http://schemas.openxmlformats.org/officeDocument/2006/relationships/hyperlink" Target="https://www.inaturalist.org/observations/383174323" TargetMode="External"/><Relationship Id="rId3775" Type="http://schemas.openxmlformats.org/officeDocument/2006/relationships/hyperlink" Target="https://creativecommons.org/licenses/by-nc/4.0/" TargetMode="External"/><Relationship Id="rId3776" Type="http://schemas.openxmlformats.org/officeDocument/2006/relationships/hyperlink" Target="https://www.inaturalist.org/observations/383174250" TargetMode="External"/><Relationship Id="rId3777" Type="http://schemas.openxmlformats.org/officeDocument/2006/relationships/hyperlink" Target="https://creativecommons.org/licenses/by-nc/4.0/" TargetMode="External"/><Relationship Id="rId3778" Type="http://schemas.openxmlformats.org/officeDocument/2006/relationships/hyperlink" Target="https://www.inaturalist.org/observations/383174231" TargetMode="External"/><Relationship Id="rId3779" Type="http://schemas.openxmlformats.org/officeDocument/2006/relationships/hyperlink" Target="https://creativecommons.org/licenses/by-nc/4.0/" TargetMode="External"/><Relationship Id="rId3780" Type="http://schemas.openxmlformats.org/officeDocument/2006/relationships/hyperlink" Target="https://www.inaturalist.org/observations/383174204" TargetMode="External"/><Relationship Id="rId3781" Type="http://schemas.openxmlformats.org/officeDocument/2006/relationships/hyperlink" Target="https://creativecommons.org/licenses/by-nc/4.0/" TargetMode="External"/><Relationship Id="rId3782" Type="http://schemas.openxmlformats.org/officeDocument/2006/relationships/hyperlink" Target="https://www.inaturalist.org/observations/383174180" TargetMode="External"/><Relationship Id="rId3783" Type="http://schemas.openxmlformats.org/officeDocument/2006/relationships/hyperlink" Target="https://creativecommons.org/licenses/by-nc/4.0/" TargetMode="External"/><Relationship Id="rId3784" Type="http://schemas.openxmlformats.org/officeDocument/2006/relationships/hyperlink" Target="https://www.inaturalist.org/observations/383174164" TargetMode="External"/><Relationship Id="rId3785" Type="http://schemas.openxmlformats.org/officeDocument/2006/relationships/hyperlink" Target="https://creativecommons.org/licenses/by-nc/4.0/" TargetMode="External"/><Relationship Id="rId3786" Type="http://schemas.openxmlformats.org/officeDocument/2006/relationships/hyperlink" Target="https://www.inaturalist.org/observations/383174094" TargetMode="External"/><Relationship Id="rId3787" Type="http://schemas.openxmlformats.org/officeDocument/2006/relationships/hyperlink" Target="https://creativecommons.org/licenses/by-nc/4.0/" TargetMode="External"/><Relationship Id="rId3788" Type="http://schemas.openxmlformats.org/officeDocument/2006/relationships/hyperlink" Target="https://www.inaturalist.org/observations/383173918" TargetMode="External"/><Relationship Id="rId3789" Type="http://schemas.openxmlformats.org/officeDocument/2006/relationships/hyperlink" Target="https://creativecommons.org/licenses/by-nc/4.0/" TargetMode="External"/><Relationship Id="rId3790" Type="http://schemas.openxmlformats.org/officeDocument/2006/relationships/hyperlink" Target="https://www.inaturalist.org/observations/383173873" TargetMode="External"/><Relationship Id="rId3791" Type="http://schemas.openxmlformats.org/officeDocument/2006/relationships/hyperlink" Target="https://creativecommons.org/licenses/by-nc/4.0/" TargetMode="External"/><Relationship Id="rId3792" Type="http://schemas.openxmlformats.org/officeDocument/2006/relationships/hyperlink" Target="https://www.inaturalist.org/observations/383173825" TargetMode="External"/><Relationship Id="rId3793" Type="http://schemas.openxmlformats.org/officeDocument/2006/relationships/hyperlink" Target="https://creativecommons.org/licenses/by-nc/4.0/" TargetMode="External"/><Relationship Id="rId3794" Type="http://schemas.openxmlformats.org/officeDocument/2006/relationships/hyperlink" Target="https://www.inaturalist.org/observations/383173474" TargetMode="External"/><Relationship Id="rId3795" Type="http://schemas.openxmlformats.org/officeDocument/2006/relationships/hyperlink" Target="https://creativecommons.org/licenses/by-nc/4.0/" TargetMode="External"/><Relationship Id="rId3796" Type="http://schemas.openxmlformats.org/officeDocument/2006/relationships/hyperlink" Target="https://www.inaturalist.org/observations/383173467" TargetMode="External"/><Relationship Id="rId3797" Type="http://schemas.openxmlformats.org/officeDocument/2006/relationships/hyperlink" Target="https://creativecommons.org/licenses/by-nc/4.0/" TargetMode="External"/><Relationship Id="rId3798" Type="http://schemas.openxmlformats.org/officeDocument/2006/relationships/hyperlink" Target="https://www.inaturalist.org/observations/383173466" TargetMode="External"/><Relationship Id="rId3799" Type="http://schemas.openxmlformats.org/officeDocument/2006/relationships/hyperlink" Target="https://creativecommons.org/licenses/by-nc/4.0/" TargetMode="External"/><Relationship Id="rId3800" Type="http://schemas.openxmlformats.org/officeDocument/2006/relationships/hyperlink" Target="https://www.inaturalist.org/observations/383173422" TargetMode="External"/><Relationship Id="rId3801" Type="http://schemas.openxmlformats.org/officeDocument/2006/relationships/hyperlink" Target="https://creativecommons.org/licenses/by-nc/4.0/" TargetMode="External"/><Relationship Id="rId3802" Type="http://schemas.openxmlformats.org/officeDocument/2006/relationships/hyperlink" Target="https://www.inaturalist.org/observations/383173413" TargetMode="External"/><Relationship Id="rId3803" Type="http://schemas.openxmlformats.org/officeDocument/2006/relationships/hyperlink" Target="https://creativecommons.org/licenses/by-nc/4.0/" TargetMode="External"/><Relationship Id="rId3804" Type="http://schemas.openxmlformats.org/officeDocument/2006/relationships/hyperlink" Target="https://www.inaturalist.org/observations/383173301" TargetMode="External"/><Relationship Id="rId3805" Type="http://schemas.openxmlformats.org/officeDocument/2006/relationships/hyperlink" Target="https://creativecommons.org/licenses/by-nc/4.0/" TargetMode="External"/><Relationship Id="rId3806" Type="http://schemas.openxmlformats.org/officeDocument/2006/relationships/hyperlink" Target="https://www.inaturalist.org/observations/383173196" TargetMode="External"/><Relationship Id="rId3807" Type="http://schemas.openxmlformats.org/officeDocument/2006/relationships/hyperlink" Target="https://creativecommons.org/licenses/by-nc/4.0/" TargetMode="External"/><Relationship Id="rId3808" Type="http://schemas.openxmlformats.org/officeDocument/2006/relationships/hyperlink" Target="https://www.inaturalist.org/observations/383173134" TargetMode="External"/><Relationship Id="rId3809" Type="http://schemas.openxmlformats.org/officeDocument/2006/relationships/hyperlink" Target="https://creativecommons.org/licenses/by-nc/4.0/" TargetMode="External"/><Relationship Id="rId3810" Type="http://schemas.openxmlformats.org/officeDocument/2006/relationships/hyperlink" Target="https://www.inaturalist.org/observations/383173128" TargetMode="External"/><Relationship Id="rId3811" Type="http://schemas.openxmlformats.org/officeDocument/2006/relationships/hyperlink" Target="https://creativecommons.org/licenses/by-nc/4.0/" TargetMode="External"/><Relationship Id="rId3812" Type="http://schemas.openxmlformats.org/officeDocument/2006/relationships/hyperlink" Target="https://www.inaturalist.org/observations/383173116" TargetMode="External"/><Relationship Id="rId3813" Type="http://schemas.openxmlformats.org/officeDocument/2006/relationships/hyperlink" Target="https://creativecommons.org/licenses/by-nc/4.0/" TargetMode="External"/><Relationship Id="rId3814" Type="http://schemas.openxmlformats.org/officeDocument/2006/relationships/hyperlink" Target="https://www.inaturalist.org/observations/383173079" TargetMode="External"/><Relationship Id="rId3815" Type="http://schemas.openxmlformats.org/officeDocument/2006/relationships/hyperlink" Target="https://creativecommons.org/licenses/by-nc/4.0/" TargetMode="External"/><Relationship Id="rId3816" Type="http://schemas.openxmlformats.org/officeDocument/2006/relationships/hyperlink" Target="https://www.inaturalist.org/observations/383172969" TargetMode="External"/><Relationship Id="rId3817" Type="http://schemas.openxmlformats.org/officeDocument/2006/relationships/hyperlink" Target="https://creativecommons.org/licenses/by-nc/4.0/" TargetMode="External"/><Relationship Id="rId3818" Type="http://schemas.openxmlformats.org/officeDocument/2006/relationships/hyperlink" Target="https://www.inaturalist.org/observations/383172966" TargetMode="External"/><Relationship Id="rId3819" Type="http://schemas.openxmlformats.org/officeDocument/2006/relationships/hyperlink" Target="https://creativecommons.org/licenses/by-nc/4.0/" TargetMode="External"/><Relationship Id="rId3820" Type="http://schemas.openxmlformats.org/officeDocument/2006/relationships/hyperlink" Target="https://www.inaturalist.org/observations/383172913" TargetMode="External"/><Relationship Id="rId3821" Type="http://schemas.openxmlformats.org/officeDocument/2006/relationships/hyperlink" Target="https://creativecommons.org/licenses/by-nc/4.0/" TargetMode="External"/><Relationship Id="rId3822" Type="http://schemas.openxmlformats.org/officeDocument/2006/relationships/hyperlink" Target="https://www.inaturalist.org/observations/383172630" TargetMode="External"/><Relationship Id="rId3823" Type="http://schemas.openxmlformats.org/officeDocument/2006/relationships/hyperlink" Target="https://creativecommons.org/licenses/by-nc/4.0/" TargetMode="External"/><Relationship Id="rId3824" Type="http://schemas.openxmlformats.org/officeDocument/2006/relationships/hyperlink" Target="https://www.inaturalist.org/observations/383172625" TargetMode="External"/><Relationship Id="rId3825" Type="http://schemas.openxmlformats.org/officeDocument/2006/relationships/hyperlink" Target="https://creativecommons.org/licenses/by-nc/4.0/" TargetMode="External"/><Relationship Id="rId3826" Type="http://schemas.openxmlformats.org/officeDocument/2006/relationships/hyperlink" Target="https://www.inaturalist.org/observations/383172623" TargetMode="External"/><Relationship Id="rId3827" Type="http://schemas.openxmlformats.org/officeDocument/2006/relationships/hyperlink" Target="https://creativecommons.org/licenses/by-nc/4.0/" TargetMode="External"/><Relationship Id="rId3828" Type="http://schemas.openxmlformats.org/officeDocument/2006/relationships/hyperlink" Target="https://www.inaturalist.org/observations/383172435" TargetMode="External"/><Relationship Id="rId3829" Type="http://schemas.openxmlformats.org/officeDocument/2006/relationships/hyperlink" Target="https://creativecommons.org/licenses/by-nc/4.0/" TargetMode="External"/><Relationship Id="rId3830" Type="http://schemas.openxmlformats.org/officeDocument/2006/relationships/hyperlink" Target="https://www.inaturalist.org/observations/383172374" TargetMode="External"/><Relationship Id="rId3831" Type="http://schemas.openxmlformats.org/officeDocument/2006/relationships/hyperlink" Target="https://creativecommons.org/licenses/by-nc/4.0/" TargetMode="External"/><Relationship Id="rId3832" Type="http://schemas.openxmlformats.org/officeDocument/2006/relationships/hyperlink" Target="https://www.inaturalist.org/observations/383172357" TargetMode="External"/><Relationship Id="rId3833" Type="http://schemas.openxmlformats.org/officeDocument/2006/relationships/hyperlink" Target="https://creativecommons.org/licenses/by-nc/4.0/" TargetMode="External"/><Relationship Id="rId3834" Type="http://schemas.openxmlformats.org/officeDocument/2006/relationships/hyperlink" Target="https://www.inaturalist.org/observations/383172326" TargetMode="External"/><Relationship Id="rId3835" Type="http://schemas.openxmlformats.org/officeDocument/2006/relationships/hyperlink" Target="https://creativecommons.org/licenses/by-nc/4.0/" TargetMode="External"/><Relationship Id="rId3836" Type="http://schemas.openxmlformats.org/officeDocument/2006/relationships/hyperlink" Target="https://www.inaturalist.org/observations/383172084" TargetMode="External"/><Relationship Id="rId3837" Type="http://schemas.openxmlformats.org/officeDocument/2006/relationships/hyperlink" Target="https://creativecommons.org/licenses/by-nc/4.0/" TargetMode="External"/><Relationship Id="rId3838" Type="http://schemas.openxmlformats.org/officeDocument/2006/relationships/hyperlink" Target="https://www.inaturalist.org/observations/383171845" TargetMode="External"/><Relationship Id="rId3839" Type="http://schemas.openxmlformats.org/officeDocument/2006/relationships/hyperlink" Target="https://creativecommons.org/licenses/by-nc/4.0/" TargetMode="External"/><Relationship Id="rId3840" Type="http://schemas.openxmlformats.org/officeDocument/2006/relationships/hyperlink" Target="https://www.inaturalist.org/observations/383171716" TargetMode="External"/><Relationship Id="rId3841" Type="http://schemas.openxmlformats.org/officeDocument/2006/relationships/hyperlink" Target="https://creativecommons.org/licenses/by-nc/4.0/" TargetMode="External"/><Relationship Id="rId3842" Type="http://schemas.openxmlformats.org/officeDocument/2006/relationships/hyperlink" Target="https://www.inaturalist.org/observations/383171303" TargetMode="External"/><Relationship Id="rId3843" Type="http://schemas.openxmlformats.org/officeDocument/2006/relationships/hyperlink" Target="https://creativecommons.org/licenses/by-nc/4.0/" TargetMode="External"/><Relationship Id="rId3844" Type="http://schemas.openxmlformats.org/officeDocument/2006/relationships/hyperlink" Target="https://www.inaturalist.org/observations/383170857" TargetMode="External"/><Relationship Id="rId3845" Type="http://schemas.openxmlformats.org/officeDocument/2006/relationships/hyperlink" Target="https://creativecommons.org/licenses/by-nc/4.0/" TargetMode="External"/><Relationship Id="rId3846" Type="http://schemas.openxmlformats.org/officeDocument/2006/relationships/hyperlink" Target="https://www.inaturalist.org/observations/383170809" TargetMode="External"/><Relationship Id="rId3847" Type="http://schemas.openxmlformats.org/officeDocument/2006/relationships/hyperlink" Target="https://creativecommons.org/licenses/by-nc/4.0/" TargetMode="External"/><Relationship Id="rId3848" Type="http://schemas.openxmlformats.org/officeDocument/2006/relationships/hyperlink" Target="https://www.inaturalist.org/observations/383170802" TargetMode="External"/><Relationship Id="rId3849" Type="http://schemas.openxmlformats.org/officeDocument/2006/relationships/hyperlink" Target="https://creativecommons.org/licenses/by-nc/4.0/" TargetMode="External"/><Relationship Id="rId3850" Type="http://schemas.openxmlformats.org/officeDocument/2006/relationships/hyperlink" Target="https://www.inaturalist.org/observations/383170697" TargetMode="External"/><Relationship Id="rId3851" Type="http://schemas.openxmlformats.org/officeDocument/2006/relationships/hyperlink" Target="https://creativecommons.org/licenses/by-nc/4.0/" TargetMode="External"/><Relationship Id="rId3852" Type="http://schemas.openxmlformats.org/officeDocument/2006/relationships/hyperlink" Target="https://www.inaturalist.org/observations/383170645" TargetMode="External"/><Relationship Id="rId3853" Type="http://schemas.openxmlformats.org/officeDocument/2006/relationships/hyperlink" Target="https://creativecommons.org/licenses/by-nc/4.0/" TargetMode="External"/><Relationship Id="rId3854" Type="http://schemas.openxmlformats.org/officeDocument/2006/relationships/hyperlink" Target="https://www.inaturalist.org/observations/383170494" TargetMode="External"/><Relationship Id="rId3855" Type="http://schemas.openxmlformats.org/officeDocument/2006/relationships/hyperlink" Target="https://creativecommons.org/licenses/by-nc/4.0/" TargetMode="External"/><Relationship Id="rId3856" Type="http://schemas.openxmlformats.org/officeDocument/2006/relationships/hyperlink" Target="https://www.inaturalist.org/observations/383170486" TargetMode="External"/><Relationship Id="rId3857" Type="http://schemas.openxmlformats.org/officeDocument/2006/relationships/hyperlink" Target="https://creativecommons.org/licenses/by-nc/4.0/" TargetMode="External"/><Relationship Id="rId3858" Type="http://schemas.openxmlformats.org/officeDocument/2006/relationships/hyperlink" Target="https://www.inaturalist.org/observations/383170411" TargetMode="External"/><Relationship Id="rId3859" Type="http://schemas.openxmlformats.org/officeDocument/2006/relationships/hyperlink" Target="https://creativecommons.org/licenses/by-nc/4.0/" TargetMode="External"/><Relationship Id="rId3860" Type="http://schemas.openxmlformats.org/officeDocument/2006/relationships/hyperlink" Target="https://www.inaturalist.org/observations/383170380" TargetMode="External"/><Relationship Id="rId3861" Type="http://schemas.openxmlformats.org/officeDocument/2006/relationships/hyperlink" Target="https://creativecommons.org/licenses/by-nc/4.0/" TargetMode="External"/><Relationship Id="rId3862" Type="http://schemas.openxmlformats.org/officeDocument/2006/relationships/hyperlink" Target="https://www.inaturalist.org/observations/383170317" TargetMode="External"/><Relationship Id="rId3863" Type="http://schemas.openxmlformats.org/officeDocument/2006/relationships/hyperlink" Target="https://creativecommons.org/licenses/by-nc/4.0/" TargetMode="External"/><Relationship Id="rId3864" Type="http://schemas.openxmlformats.org/officeDocument/2006/relationships/hyperlink" Target="https://www.inaturalist.org/observations/383170037" TargetMode="External"/><Relationship Id="rId3865" Type="http://schemas.openxmlformats.org/officeDocument/2006/relationships/hyperlink" Target="https://creativecommons.org/licenses/by-nc/4.0/" TargetMode="External"/><Relationship Id="rId3866" Type="http://schemas.openxmlformats.org/officeDocument/2006/relationships/hyperlink" Target="https://www.inaturalist.org/observations/383170015" TargetMode="External"/><Relationship Id="rId3867" Type="http://schemas.openxmlformats.org/officeDocument/2006/relationships/hyperlink" Target="https://creativecommons.org/licenses/by-nc/4.0/" TargetMode="External"/><Relationship Id="rId3868" Type="http://schemas.openxmlformats.org/officeDocument/2006/relationships/hyperlink" Target="https://www.inaturalist.org/observations/383169893" TargetMode="External"/><Relationship Id="rId3869" Type="http://schemas.openxmlformats.org/officeDocument/2006/relationships/hyperlink" Target="https://creativecommons.org/licenses/by-nc/4.0/" TargetMode="External"/><Relationship Id="rId3870" Type="http://schemas.openxmlformats.org/officeDocument/2006/relationships/hyperlink" Target="https://www.inaturalist.org/observations/383169824" TargetMode="External"/><Relationship Id="rId3871" Type="http://schemas.openxmlformats.org/officeDocument/2006/relationships/hyperlink" Target="https://creativecommons.org/licenses/by-nc/4.0/" TargetMode="External"/><Relationship Id="rId3872" Type="http://schemas.openxmlformats.org/officeDocument/2006/relationships/hyperlink" Target="https://www.inaturalist.org/observations/383169390" TargetMode="External"/><Relationship Id="rId3873" Type="http://schemas.openxmlformats.org/officeDocument/2006/relationships/hyperlink" Target="https://creativecommons.org/licenses/by-nc/4.0/" TargetMode="External"/><Relationship Id="rId3874" Type="http://schemas.openxmlformats.org/officeDocument/2006/relationships/hyperlink" Target="https://www.inaturalist.org/observations/383168908" TargetMode="External"/><Relationship Id="rId3875" Type="http://schemas.openxmlformats.org/officeDocument/2006/relationships/hyperlink" Target="https://creativecommons.org/licenses/by-nc/4.0/" TargetMode="External"/><Relationship Id="rId3876" Type="http://schemas.openxmlformats.org/officeDocument/2006/relationships/hyperlink" Target="https://www.inaturalist.org/observations/383168867" TargetMode="External"/><Relationship Id="rId3877" Type="http://schemas.openxmlformats.org/officeDocument/2006/relationships/hyperlink" Target="https://creativecommons.org/licenses/by-nc/4.0/" TargetMode="External"/><Relationship Id="rId3878" Type="http://schemas.openxmlformats.org/officeDocument/2006/relationships/hyperlink" Target="https://www.inaturalist.org/observations/383168847" TargetMode="External"/><Relationship Id="rId3879" Type="http://schemas.openxmlformats.org/officeDocument/2006/relationships/hyperlink" Target="https://creativecommons.org/licenses/by-nc/4.0/" TargetMode="External"/><Relationship Id="rId3880" Type="http://schemas.openxmlformats.org/officeDocument/2006/relationships/hyperlink" Target="https://www.inaturalist.org/observations/383168825" TargetMode="External"/><Relationship Id="rId3881" Type="http://schemas.openxmlformats.org/officeDocument/2006/relationships/hyperlink" Target="https://creativecommons.org/licenses/by-nc/4.0/" TargetMode="External"/><Relationship Id="rId3882" Type="http://schemas.openxmlformats.org/officeDocument/2006/relationships/hyperlink" Target="https://www.inaturalist.org/observations/383168817" TargetMode="External"/><Relationship Id="rId3883" Type="http://schemas.openxmlformats.org/officeDocument/2006/relationships/hyperlink" Target="https://creativecommons.org/licenses/by-nc/4.0/" TargetMode="External"/><Relationship Id="rId3884" Type="http://schemas.openxmlformats.org/officeDocument/2006/relationships/hyperlink" Target="https://www.inaturalist.org/observations/383168731" TargetMode="External"/><Relationship Id="rId3885" Type="http://schemas.openxmlformats.org/officeDocument/2006/relationships/hyperlink" Target="https://creativecommons.org/licenses/by-nc/4.0/" TargetMode="External"/><Relationship Id="rId3886" Type="http://schemas.openxmlformats.org/officeDocument/2006/relationships/hyperlink" Target="https://www.inaturalist.org/observations/383168713" TargetMode="External"/><Relationship Id="rId3887" Type="http://schemas.openxmlformats.org/officeDocument/2006/relationships/hyperlink" Target="https://creativecommons.org/licenses/by-nc/4.0/" TargetMode="External"/><Relationship Id="rId3888" Type="http://schemas.openxmlformats.org/officeDocument/2006/relationships/hyperlink" Target="https://www.inaturalist.org/observations/383168706" TargetMode="External"/><Relationship Id="rId3889" Type="http://schemas.openxmlformats.org/officeDocument/2006/relationships/hyperlink" Target="https://creativecommons.org/licenses/by-nc/4.0/" TargetMode="External"/><Relationship Id="rId3890" Type="http://schemas.openxmlformats.org/officeDocument/2006/relationships/hyperlink" Target="https://www.inaturalist.org/observations/383168538" TargetMode="External"/><Relationship Id="rId3891" Type="http://schemas.openxmlformats.org/officeDocument/2006/relationships/hyperlink" Target="https://creativecommons.org/licenses/by-nc/4.0/" TargetMode="External"/><Relationship Id="rId3892" Type="http://schemas.openxmlformats.org/officeDocument/2006/relationships/hyperlink" Target="https://www.inaturalist.org/observations/383168479" TargetMode="External"/><Relationship Id="rId3893" Type="http://schemas.openxmlformats.org/officeDocument/2006/relationships/hyperlink" Target="https://creativecommons.org/licenses/by-nc/4.0/" TargetMode="External"/><Relationship Id="rId3894" Type="http://schemas.openxmlformats.org/officeDocument/2006/relationships/hyperlink" Target="https://www.inaturalist.org/observations/383168420" TargetMode="External"/><Relationship Id="rId3895" Type="http://schemas.openxmlformats.org/officeDocument/2006/relationships/hyperlink" Target="https://creativecommons.org/licenses/by-nc/4.0/" TargetMode="External"/><Relationship Id="rId3896" Type="http://schemas.openxmlformats.org/officeDocument/2006/relationships/hyperlink" Target="https://www.inaturalist.org/observations/383168213" TargetMode="External"/><Relationship Id="rId3897" Type="http://schemas.openxmlformats.org/officeDocument/2006/relationships/hyperlink" Target="https://creativecommons.org/licenses/by-nc/4.0/" TargetMode="External"/><Relationship Id="rId3898" Type="http://schemas.openxmlformats.org/officeDocument/2006/relationships/hyperlink" Target="https://www.inaturalist.org/observations/383168154" TargetMode="External"/><Relationship Id="rId3899" Type="http://schemas.openxmlformats.org/officeDocument/2006/relationships/hyperlink" Target="https://creativecommons.org/licenses/by-nc/4.0/" TargetMode="External"/><Relationship Id="rId3900" Type="http://schemas.openxmlformats.org/officeDocument/2006/relationships/hyperlink" Target="https://www.inaturalist.org/observations/383168138" TargetMode="External"/><Relationship Id="rId3901" Type="http://schemas.openxmlformats.org/officeDocument/2006/relationships/hyperlink" Target="https://creativecommons.org/licenses/by-nc/4.0/" TargetMode="External"/><Relationship Id="rId3902" Type="http://schemas.openxmlformats.org/officeDocument/2006/relationships/hyperlink" Target="https://www.inaturalist.org/observations/383168008" TargetMode="External"/><Relationship Id="rId3903" Type="http://schemas.openxmlformats.org/officeDocument/2006/relationships/hyperlink" Target="https://creativecommons.org/licenses/by-nc/4.0/" TargetMode="External"/><Relationship Id="rId3904" Type="http://schemas.openxmlformats.org/officeDocument/2006/relationships/hyperlink" Target="https://www.inaturalist.org/observations/383167910" TargetMode="External"/><Relationship Id="rId3905" Type="http://schemas.openxmlformats.org/officeDocument/2006/relationships/hyperlink" Target="https://creativecommons.org/licenses/by-nc/4.0/" TargetMode="External"/><Relationship Id="rId3906" Type="http://schemas.openxmlformats.org/officeDocument/2006/relationships/hyperlink" Target="https://www.inaturalist.org/observations/383167838" TargetMode="External"/><Relationship Id="rId3907" Type="http://schemas.openxmlformats.org/officeDocument/2006/relationships/hyperlink" Target="https://creativecommons.org/licenses/by-nc/4.0/" TargetMode="External"/><Relationship Id="rId3908" Type="http://schemas.openxmlformats.org/officeDocument/2006/relationships/hyperlink" Target="https://www.inaturalist.org/observations/383167682" TargetMode="External"/><Relationship Id="rId3909" Type="http://schemas.openxmlformats.org/officeDocument/2006/relationships/hyperlink" Target="https://creativecommons.org/licenses/by-nc/4.0/" TargetMode="External"/><Relationship Id="rId3910" Type="http://schemas.openxmlformats.org/officeDocument/2006/relationships/hyperlink" Target="https://www.inaturalist.org/observations/383167634" TargetMode="External"/><Relationship Id="rId3911" Type="http://schemas.openxmlformats.org/officeDocument/2006/relationships/hyperlink" Target="https://creativecommons.org/licenses/by-nc/4.0/" TargetMode="External"/><Relationship Id="rId3912" Type="http://schemas.openxmlformats.org/officeDocument/2006/relationships/hyperlink" Target="https://www.inaturalist.org/observations/383167594" TargetMode="External"/><Relationship Id="rId3913" Type="http://schemas.openxmlformats.org/officeDocument/2006/relationships/hyperlink" Target="https://creativecommons.org/licenses/by-nc/4.0/" TargetMode="External"/><Relationship Id="rId3914" Type="http://schemas.openxmlformats.org/officeDocument/2006/relationships/hyperlink" Target="https://www.inaturalist.org/observations/383167587" TargetMode="External"/><Relationship Id="rId3915" Type="http://schemas.openxmlformats.org/officeDocument/2006/relationships/hyperlink" Target="https://creativecommons.org/licenses/by-nc/4.0/" TargetMode="External"/><Relationship Id="rId3916" Type="http://schemas.openxmlformats.org/officeDocument/2006/relationships/hyperlink" Target="https://www.inaturalist.org/observations/383167560" TargetMode="External"/><Relationship Id="rId3917" Type="http://schemas.openxmlformats.org/officeDocument/2006/relationships/hyperlink" Target="https://creativecommons.org/licenses/by-nc/4.0/" TargetMode="External"/><Relationship Id="rId3918" Type="http://schemas.openxmlformats.org/officeDocument/2006/relationships/hyperlink" Target="https://www.inaturalist.org/observations/383167556" TargetMode="External"/><Relationship Id="rId3919" Type="http://schemas.openxmlformats.org/officeDocument/2006/relationships/hyperlink" Target="https://creativecommons.org/licenses/by-nc/4.0/" TargetMode="External"/><Relationship Id="rId3920" Type="http://schemas.openxmlformats.org/officeDocument/2006/relationships/hyperlink" Target="https://www.inaturalist.org/observations/383167545" TargetMode="External"/><Relationship Id="rId3921" Type="http://schemas.openxmlformats.org/officeDocument/2006/relationships/hyperlink" Target="https://creativecommons.org/licenses/by-nc/4.0/" TargetMode="External"/><Relationship Id="rId3922" Type="http://schemas.openxmlformats.org/officeDocument/2006/relationships/hyperlink" Target="https://www.inaturalist.org/observations/383167543" TargetMode="External"/><Relationship Id="rId3923" Type="http://schemas.openxmlformats.org/officeDocument/2006/relationships/hyperlink" Target="https://creativecommons.org/licenses/by-nc/4.0/" TargetMode="External"/><Relationship Id="rId3924" Type="http://schemas.openxmlformats.org/officeDocument/2006/relationships/hyperlink" Target="https://www.inaturalist.org/observations/383167205" TargetMode="External"/><Relationship Id="rId3925" Type="http://schemas.openxmlformats.org/officeDocument/2006/relationships/hyperlink" Target="https://creativecommons.org/licenses/by-nc/4.0/" TargetMode="External"/><Relationship Id="rId3926" Type="http://schemas.openxmlformats.org/officeDocument/2006/relationships/hyperlink" Target="https://www.inaturalist.org/observations/383166956" TargetMode="External"/><Relationship Id="rId3927" Type="http://schemas.openxmlformats.org/officeDocument/2006/relationships/hyperlink" Target="https://creativecommons.org/licenses/by-nc/4.0/" TargetMode="External"/><Relationship Id="rId3928" Type="http://schemas.openxmlformats.org/officeDocument/2006/relationships/hyperlink" Target="https://www.inaturalist.org/observations/383166943" TargetMode="External"/><Relationship Id="rId3929" Type="http://schemas.openxmlformats.org/officeDocument/2006/relationships/hyperlink" Target="https://creativecommons.org/licenses/by-nc/4.0/" TargetMode="External"/><Relationship Id="rId3930" Type="http://schemas.openxmlformats.org/officeDocument/2006/relationships/hyperlink" Target="https://www.inaturalist.org/observations/383166884" TargetMode="External"/><Relationship Id="rId3931" Type="http://schemas.openxmlformats.org/officeDocument/2006/relationships/hyperlink" Target="https://creativecommons.org/licenses/by-nc/4.0/" TargetMode="External"/><Relationship Id="rId3932" Type="http://schemas.openxmlformats.org/officeDocument/2006/relationships/hyperlink" Target="https://www.inaturalist.org/observations/383166794" TargetMode="External"/><Relationship Id="rId3933" Type="http://schemas.openxmlformats.org/officeDocument/2006/relationships/hyperlink" Target="https://creativecommons.org/licenses/by-nc/4.0/" TargetMode="External"/><Relationship Id="rId3934" Type="http://schemas.openxmlformats.org/officeDocument/2006/relationships/hyperlink" Target="https://www.inaturalist.org/observations/383166503" TargetMode="External"/><Relationship Id="rId3935" Type="http://schemas.openxmlformats.org/officeDocument/2006/relationships/hyperlink" Target="https://creativecommons.org/licenses/by-nc/4.0/" TargetMode="External"/><Relationship Id="rId3936" Type="http://schemas.openxmlformats.org/officeDocument/2006/relationships/hyperlink" Target="https://www.inaturalist.org/observations/383166500" TargetMode="External"/><Relationship Id="rId3937" Type="http://schemas.openxmlformats.org/officeDocument/2006/relationships/hyperlink" Target="https://creativecommons.org/licenses/by-nc/4.0/" TargetMode="External"/><Relationship Id="rId3938" Type="http://schemas.openxmlformats.org/officeDocument/2006/relationships/hyperlink" Target="https://www.inaturalist.org/observations/383166465" TargetMode="External"/><Relationship Id="rId3939" Type="http://schemas.openxmlformats.org/officeDocument/2006/relationships/hyperlink" Target="https://creativecommons.org/licenses/by-nc/4.0/" TargetMode="External"/><Relationship Id="rId3940" Type="http://schemas.openxmlformats.org/officeDocument/2006/relationships/hyperlink" Target="https://www.inaturalist.org/observations/383166463" TargetMode="External"/><Relationship Id="rId3941" Type="http://schemas.openxmlformats.org/officeDocument/2006/relationships/hyperlink" Target="https://creativecommons.org/licenses/by-nc/4.0/" TargetMode="External"/><Relationship Id="rId3942" Type="http://schemas.openxmlformats.org/officeDocument/2006/relationships/hyperlink" Target="https://www.inaturalist.org/observations/383166412" TargetMode="External"/><Relationship Id="rId3943" Type="http://schemas.openxmlformats.org/officeDocument/2006/relationships/hyperlink" Target="https://creativecommons.org/licenses/by-nc/4.0/" TargetMode="External"/><Relationship Id="rId3944" Type="http://schemas.openxmlformats.org/officeDocument/2006/relationships/hyperlink" Target="https://www.inaturalist.org/observations/383166337" TargetMode="External"/><Relationship Id="rId3945" Type="http://schemas.openxmlformats.org/officeDocument/2006/relationships/hyperlink" Target="https://creativecommons.org/licenses/by-nc/4.0/" TargetMode="External"/><Relationship Id="rId3946" Type="http://schemas.openxmlformats.org/officeDocument/2006/relationships/hyperlink" Target="https://www.inaturalist.org/observations/383165978" TargetMode="External"/><Relationship Id="rId3947" Type="http://schemas.openxmlformats.org/officeDocument/2006/relationships/hyperlink" Target="https://creativecommons.org/licenses/by-nc/4.0/" TargetMode="External"/><Relationship Id="rId3948" Type="http://schemas.openxmlformats.org/officeDocument/2006/relationships/hyperlink" Target="https://www.inaturalist.org/observations/383165858" TargetMode="External"/><Relationship Id="rId3949" Type="http://schemas.openxmlformats.org/officeDocument/2006/relationships/hyperlink" Target="https://creativecommons.org/licenses/by-nc/4.0/" TargetMode="External"/><Relationship Id="rId3950" Type="http://schemas.openxmlformats.org/officeDocument/2006/relationships/hyperlink" Target="https://www.inaturalist.org/observations/383165820" TargetMode="External"/><Relationship Id="rId3951" Type="http://schemas.openxmlformats.org/officeDocument/2006/relationships/hyperlink" Target="https://creativecommons.org/licenses/by-nc/4.0/" TargetMode="External"/><Relationship Id="rId3952" Type="http://schemas.openxmlformats.org/officeDocument/2006/relationships/hyperlink" Target="https://www.inaturalist.org/observations/383165773" TargetMode="External"/><Relationship Id="rId3953" Type="http://schemas.openxmlformats.org/officeDocument/2006/relationships/hyperlink" Target="https://creativecommons.org/licenses/by-nc/4.0/" TargetMode="External"/><Relationship Id="rId3954" Type="http://schemas.openxmlformats.org/officeDocument/2006/relationships/hyperlink" Target="https://www.inaturalist.org/observations/383165755" TargetMode="External"/><Relationship Id="rId3955" Type="http://schemas.openxmlformats.org/officeDocument/2006/relationships/hyperlink" Target="https://creativecommons.org/licenses/by-nc/4.0/" TargetMode="External"/><Relationship Id="rId3956" Type="http://schemas.openxmlformats.org/officeDocument/2006/relationships/hyperlink" Target="https://www.inaturalist.org/observations/383165493" TargetMode="External"/><Relationship Id="rId3957" Type="http://schemas.openxmlformats.org/officeDocument/2006/relationships/hyperlink" Target="https://creativecommons.org/licenses/by-nc/4.0/" TargetMode="External"/><Relationship Id="rId3958" Type="http://schemas.openxmlformats.org/officeDocument/2006/relationships/hyperlink" Target="https://www.inaturalist.org/observations/383165403" TargetMode="External"/><Relationship Id="rId3959" Type="http://schemas.openxmlformats.org/officeDocument/2006/relationships/hyperlink" Target="https://creativecommons.org/licenses/by-nc/4.0/" TargetMode="External"/><Relationship Id="rId3960" Type="http://schemas.openxmlformats.org/officeDocument/2006/relationships/hyperlink" Target="https://www.inaturalist.org/observations/383165299" TargetMode="External"/><Relationship Id="rId3961" Type="http://schemas.openxmlformats.org/officeDocument/2006/relationships/hyperlink" Target="https://creativecommons.org/licenses/by-nc/4.0/" TargetMode="External"/><Relationship Id="rId3962" Type="http://schemas.openxmlformats.org/officeDocument/2006/relationships/hyperlink" Target="https://www.inaturalist.org/observations/383165207" TargetMode="External"/><Relationship Id="rId3963" Type="http://schemas.openxmlformats.org/officeDocument/2006/relationships/hyperlink" Target="https://creativecommons.org/licenses/by-nc/4.0/" TargetMode="External"/><Relationship Id="rId3964" Type="http://schemas.openxmlformats.org/officeDocument/2006/relationships/hyperlink" Target="https://www.inaturalist.org/observations/383165172" TargetMode="External"/><Relationship Id="rId3965" Type="http://schemas.openxmlformats.org/officeDocument/2006/relationships/hyperlink" Target="https://creativecommons.org/licenses/by-nc/4.0/" TargetMode="External"/><Relationship Id="rId3966" Type="http://schemas.openxmlformats.org/officeDocument/2006/relationships/hyperlink" Target="https://www.inaturalist.org/observations/383165167" TargetMode="External"/><Relationship Id="rId3967" Type="http://schemas.openxmlformats.org/officeDocument/2006/relationships/hyperlink" Target="https://creativecommons.org/licenses/by-nc/4.0/" TargetMode="External"/><Relationship Id="rId3968" Type="http://schemas.openxmlformats.org/officeDocument/2006/relationships/hyperlink" Target="https://www.inaturalist.org/observations/383164826" TargetMode="External"/><Relationship Id="rId3969" Type="http://schemas.openxmlformats.org/officeDocument/2006/relationships/hyperlink" Target="https://creativecommons.org/licenses/by-nc/4.0/" TargetMode="External"/><Relationship Id="rId3970" Type="http://schemas.openxmlformats.org/officeDocument/2006/relationships/hyperlink" Target="https://www.inaturalist.org/observations/383164656" TargetMode="External"/><Relationship Id="rId3971" Type="http://schemas.openxmlformats.org/officeDocument/2006/relationships/hyperlink" Target="https://creativecommons.org/licenses/by-nc/4.0/" TargetMode="External"/><Relationship Id="rId3972" Type="http://schemas.openxmlformats.org/officeDocument/2006/relationships/hyperlink" Target="https://www.inaturalist.org/observations/383164539" TargetMode="External"/><Relationship Id="rId3973" Type="http://schemas.openxmlformats.org/officeDocument/2006/relationships/hyperlink" Target="https://creativecommons.org/licenses/by-nc/4.0/" TargetMode="External"/><Relationship Id="rId3974" Type="http://schemas.openxmlformats.org/officeDocument/2006/relationships/hyperlink" Target="https://www.inaturalist.org/observations/383164534" TargetMode="External"/><Relationship Id="rId3975" Type="http://schemas.openxmlformats.org/officeDocument/2006/relationships/hyperlink" Target="https://creativecommons.org/licenses/by-nc/4.0/" TargetMode="External"/><Relationship Id="rId3976" Type="http://schemas.openxmlformats.org/officeDocument/2006/relationships/hyperlink" Target="https://www.inaturalist.org/observations/383164475" TargetMode="External"/><Relationship Id="rId3977" Type="http://schemas.openxmlformats.org/officeDocument/2006/relationships/hyperlink" Target="https://creativecommons.org/licenses/by-nc/4.0/" TargetMode="External"/><Relationship Id="rId3978" Type="http://schemas.openxmlformats.org/officeDocument/2006/relationships/hyperlink" Target="https://www.inaturalist.org/observations/383164361" TargetMode="External"/><Relationship Id="rId3979" Type="http://schemas.openxmlformats.org/officeDocument/2006/relationships/hyperlink" Target="https://creativecommons.org/licenses/by-nc/4.0/" TargetMode="External"/><Relationship Id="rId3980" Type="http://schemas.openxmlformats.org/officeDocument/2006/relationships/hyperlink" Target="https://www.inaturalist.org/observations/383164128" TargetMode="External"/><Relationship Id="rId3981" Type="http://schemas.openxmlformats.org/officeDocument/2006/relationships/hyperlink" Target="https://creativecommons.org/licenses/by-nc/4.0/" TargetMode="External"/><Relationship Id="rId3982" Type="http://schemas.openxmlformats.org/officeDocument/2006/relationships/hyperlink" Target="https://www.inaturalist.org/observations/383164112" TargetMode="External"/><Relationship Id="rId3983" Type="http://schemas.openxmlformats.org/officeDocument/2006/relationships/hyperlink" Target="https://creativecommons.org/licenses/by-nc/4.0/" TargetMode="External"/><Relationship Id="rId3984" Type="http://schemas.openxmlformats.org/officeDocument/2006/relationships/hyperlink" Target="https://www.inaturalist.org/observations/383164104" TargetMode="External"/><Relationship Id="rId3985" Type="http://schemas.openxmlformats.org/officeDocument/2006/relationships/hyperlink" Target="https://creativecommons.org/licenses/by-nc/4.0/" TargetMode="External"/><Relationship Id="rId3986" Type="http://schemas.openxmlformats.org/officeDocument/2006/relationships/hyperlink" Target="https://www.inaturalist.org/observations/383164022" TargetMode="External"/><Relationship Id="rId3987" Type="http://schemas.openxmlformats.org/officeDocument/2006/relationships/hyperlink" Target="https://creativecommons.org/licenses/by-nc/4.0/" TargetMode="External"/><Relationship Id="rId3988" Type="http://schemas.openxmlformats.org/officeDocument/2006/relationships/hyperlink" Target="https://www.inaturalist.org/observations/383163892" TargetMode="External"/><Relationship Id="rId3989" Type="http://schemas.openxmlformats.org/officeDocument/2006/relationships/hyperlink" Target="https://creativecommons.org/licenses/by-nc/4.0/" TargetMode="External"/><Relationship Id="rId3990" Type="http://schemas.openxmlformats.org/officeDocument/2006/relationships/hyperlink" Target="https://www.inaturalist.org/observations/383163879" TargetMode="External"/><Relationship Id="rId3991" Type="http://schemas.openxmlformats.org/officeDocument/2006/relationships/hyperlink" Target="https://creativecommons.org/licenses/by-nc/4.0/" TargetMode="External"/><Relationship Id="rId3992" Type="http://schemas.openxmlformats.org/officeDocument/2006/relationships/hyperlink" Target="https://www.inaturalist.org/observations/383163830" TargetMode="External"/><Relationship Id="rId3993" Type="http://schemas.openxmlformats.org/officeDocument/2006/relationships/hyperlink" Target="https://creativecommons.org/licenses/by-nc/4.0/" TargetMode="External"/><Relationship Id="rId3994" Type="http://schemas.openxmlformats.org/officeDocument/2006/relationships/hyperlink" Target="https://www.inaturalist.org/observations/383163736" TargetMode="External"/><Relationship Id="rId3995" Type="http://schemas.openxmlformats.org/officeDocument/2006/relationships/hyperlink" Target="https://creativecommons.org/licenses/by-nc/4.0/" TargetMode="External"/><Relationship Id="rId3996" Type="http://schemas.openxmlformats.org/officeDocument/2006/relationships/hyperlink" Target="https://www.inaturalist.org/observations/383163657" TargetMode="External"/><Relationship Id="rId3997" Type="http://schemas.openxmlformats.org/officeDocument/2006/relationships/hyperlink" Target="https://creativecommons.org/licenses/by-nc/4.0/" TargetMode="External"/><Relationship Id="rId3998" Type="http://schemas.openxmlformats.org/officeDocument/2006/relationships/hyperlink" Target="https://www.inaturalist.org/observations/383163590" TargetMode="External"/><Relationship Id="rId3999" Type="http://schemas.openxmlformats.org/officeDocument/2006/relationships/hyperlink" Target="https://creativecommons.org/licenses/by-nc/4.0/" TargetMode="External"/><Relationship Id="rId4000" Type="http://schemas.openxmlformats.org/officeDocument/2006/relationships/hyperlink" Target="https://www.inaturalist.org/observations/383163467" TargetMode="External"/><Relationship Id="rId4001" Type="http://schemas.openxmlformats.org/officeDocument/2006/relationships/hyperlink" Target="https://creativecommons.org/licenses/by-nc/4.0/" TargetMode="External"/><Relationship Id="rId4002" Type="http://schemas.openxmlformats.org/officeDocument/2006/relationships/hyperlink" Target="https://www.inaturalist.org/observations/383163362" TargetMode="External"/><Relationship Id="rId4003" Type="http://schemas.openxmlformats.org/officeDocument/2006/relationships/hyperlink" Target="https://creativecommons.org/licenses/by-nc/4.0/" TargetMode="External"/><Relationship Id="rId4004" Type="http://schemas.openxmlformats.org/officeDocument/2006/relationships/hyperlink" Target="https://www.inaturalist.org/observations/383163114" TargetMode="External"/><Relationship Id="rId4005" Type="http://schemas.openxmlformats.org/officeDocument/2006/relationships/hyperlink" Target="https://creativecommons.org/licenses/by-nc/4.0/" TargetMode="External"/><Relationship Id="rId4006" Type="http://schemas.openxmlformats.org/officeDocument/2006/relationships/hyperlink" Target="https://www.inaturalist.org/observations/383163001" TargetMode="External"/><Relationship Id="rId4007" Type="http://schemas.openxmlformats.org/officeDocument/2006/relationships/hyperlink" Target="https://creativecommons.org/licenses/by-nc/4.0/" TargetMode="External"/><Relationship Id="rId4008" Type="http://schemas.openxmlformats.org/officeDocument/2006/relationships/hyperlink" Target="https://www.inaturalist.org/observations/383162984" TargetMode="External"/><Relationship Id="rId4009" Type="http://schemas.openxmlformats.org/officeDocument/2006/relationships/hyperlink" Target="https://creativecommons.org/licenses/by-nc/4.0/" TargetMode="External"/><Relationship Id="rId4010" Type="http://schemas.openxmlformats.org/officeDocument/2006/relationships/hyperlink" Target="https://www.inaturalist.org/observations/383162939" TargetMode="External"/><Relationship Id="rId4011" Type="http://schemas.openxmlformats.org/officeDocument/2006/relationships/hyperlink" Target="https://creativecommons.org/licenses/by-nc/4.0/" TargetMode="External"/><Relationship Id="rId4012" Type="http://schemas.openxmlformats.org/officeDocument/2006/relationships/hyperlink" Target="https://www.inaturalist.org/observations/383162867" TargetMode="External"/><Relationship Id="rId4013" Type="http://schemas.openxmlformats.org/officeDocument/2006/relationships/hyperlink" Target="https://creativecommons.org/licenses/by-nc/4.0/" TargetMode="External"/><Relationship Id="rId4014" Type="http://schemas.openxmlformats.org/officeDocument/2006/relationships/hyperlink" Target="https://www.inaturalist.org/observations/383162775" TargetMode="External"/><Relationship Id="rId4015" Type="http://schemas.openxmlformats.org/officeDocument/2006/relationships/hyperlink" Target="https://creativecommons.org/licenses/by-nc/4.0/" TargetMode="External"/><Relationship Id="rId4016" Type="http://schemas.openxmlformats.org/officeDocument/2006/relationships/hyperlink" Target="https://www.inaturalist.org/observations/383162639" TargetMode="External"/><Relationship Id="rId4017" Type="http://schemas.openxmlformats.org/officeDocument/2006/relationships/hyperlink" Target="https://creativecommons.org/licenses/by-nc/4.0/" TargetMode="External"/><Relationship Id="rId4018" Type="http://schemas.openxmlformats.org/officeDocument/2006/relationships/hyperlink" Target="https://www.inaturalist.org/observations/383162592" TargetMode="External"/><Relationship Id="rId4019" Type="http://schemas.openxmlformats.org/officeDocument/2006/relationships/hyperlink" Target="https://creativecommons.org/licenses/by-nc/4.0/" TargetMode="External"/><Relationship Id="rId4020" Type="http://schemas.openxmlformats.org/officeDocument/2006/relationships/hyperlink" Target="https://www.inaturalist.org/observations/383162505" TargetMode="External"/><Relationship Id="rId4021" Type="http://schemas.openxmlformats.org/officeDocument/2006/relationships/hyperlink" Target="https://creativecommons.org/licenses/by-nc/4.0/" TargetMode="External"/><Relationship Id="rId4022" Type="http://schemas.openxmlformats.org/officeDocument/2006/relationships/hyperlink" Target="https://www.inaturalist.org/observations/383162435" TargetMode="External"/><Relationship Id="rId4023" Type="http://schemas.openxmlformats.org/officeDocument/2006/relationships/hyperlink" Target="https://creativecommons.org/licenses/by-nc/4.0/" TargetMode="External"/><Relationship Id="rId4024" Type="http://schemas.openxmlformats.org/officeDocument/2006/relationships/hyperlink" Target="https://www.inaturalist.org/observations/383162402" TargetMode="External"/><Relationship Id="rId4025" Type="http://schemas.openxmlformats.org/officeDocument/2006/relationships/hyperlink" Target="https://creativecommons.org/licenses/by-nc/4.0/" TargetMode="External"/><Relationship Id="rId4026" Type="http://schemas.openxmlformats.org/officeDocument/2006/relationships/hyperlink" Target="https://www.inaturalist.org/observations/383162391" TargetMode="External"/><Relationship Id="rId4027" Type="http://schemas.openxmlformats.org/officeDocument/2006/relationships/hyperlink" Target="https://creativecommons.org/licenses/by-nc/4.0/" TargetMode="External"/><Relationship Id="rId4028" Type="http://schemas.openxmlformats.org/officeDocument/2006/relationships/hyperlink" Target="https://www.inaturalist.org/observations/383162244" TargetMode="External"/><Relationship Id="rId4029" Type="http://schemas.openxmlformats.org/officeDocument/2006/relationships/hyperlink" Target="https://creativecommons.org/licenses/by-nc/4.0/" TargetMode="External"/><Relationship Id="rId4030" Type="http://schemas.openxmlformats.org/officeDocument/2006/relationships/hyperlink" Target="https://www.inaturalist.org/observations/383162226" TargetMode="External"/><Relationship Id="rId4031" Type="http://schemas.openxmlformats.org/officeDocument/2006/relationships/hyperlink" Target="https://creativecommons.org/licenses/by-nc/4.0/" TargetMode="External"/><Relationship Id="rId4032" Type="http://schemas.openxmlformats.org/officeDocument/2006/relationships/hyperlink" Target="https://www.inaturalist.org/observations/383162033" TargetMode="External"/><Relationship Id="rId4033" Type="http://schemas.openxmlformats.org/officeDocument/2006/relationships/hyperlink" Target="https://creativecommons.org/licenses/by-nc/4.0/" TargetMode="External"/><Relationship Id="rId4034" Type="http://schemas.openxmlformats.org/officeDocument/2006/relationships/hyperlink" Target="https://www.inaturalist.org/observations/383161950" TargetMode="External"/><Relationship Id="rId4035" Type="http://schemas.openxmlformats.org/officeDocument/2006/relationships/hyperlink" Target="https://creativecommons.org/licenses/by-nc/4.0/" TargetMode="External"/><Relationship Id="rId4036" Type="http://schemas.openxmlformats.org/officeDocument/2006/relationships/hyperlink" Target="https://www.inaturalist.org/observations/383161938" TargetMode="External"/><Relationship Id="rId4037" Type="http://schemas.openxmlformats.org/officeDocument/2006/relationships/hyperlink" Target="https://creativecommons.org/licenses/by-nc/4.0/" TargetMode="External"/><Relationship Id="rId4038" Type="http://schemas.openxmlformats.org/officeDocument/2006/relationships/hyperlink" Target="https://www.inaturalist.org/observations/383161602" TargetMode="External"/><Relationship Id="rId4039" Type="http://schemas.openxmlformats.org/officeDocument/2006/relationships/hyperlink" Target="https://creativecommons.org/licenses/by-nc/4.0/" TargetMode="External"/><Relationship Id="rId4040" Type="http://schemas.openxmlformats.org/officeDocument/2006/relationships/hyperlink" Target="https://www.inaturalist.org/observations/383161559" TargetMode="External"/><Relationship Id="rId4041" Type="http://schemas.openxmlformats.org/officeDocument/2006/relationships/hyperlink" Target="https://creativecommons.org/licenses/by-nc/4.0/" TargetMode="External"/><Relationship Id="rId4042" Type="http://schemas.openxmlformats.org/officeDocument/2006/relationships/hyperlink" Target="https://www.inaturalist.org/observations/383161454" TargetMode="External"/><Relationship Id="rId4043" Type="http://schemas.openxmlformats.org/officeDocument/2006/relationships/hyperlink" Target="https://creativecommons.org/licenses/by-nc/4.0/" TargetMode="External"/><Relationship Id="rId4044" Type="http://schemas.openxmlformats.org/officeDocument/2006/relationships/hyperlink" Target="https://www.inaturalist.org/observations/383161449" TargetMode="External"/><Relationship Id="rId4045" Type="http://schemas.openxmlformats.org/officeDocument/2006/relationships/hyperlink" Target="https://creativecommons.org/licenses/by-nc/4.0/" TargetMode="External"/><Relationship Id="rId4046" Type="http://schemas.openxmlformats.org/officeDocument/2006/relationships/hyperlink" Target="https://www.inaturalist.org/observations/383161333" TargetMode="External"/><Relationship Id="rId4047" Type="http://schemas.openxmlformats.org/officeDocument/2006/relationships/hyperlink" Target="https://creativecommons.org/licenses/by-nc/4.0/" TargetMode="External"/><Relationship Id="rId4048" Type="http://schemas.openxmlformats.org/officeDocument/2006/relationships/hyperlink" Target="https://www.inaturalist.org/observations/383161319" TargetMode="External"/><Relationship Id="rId4049" Type="http://schemas.openxmlformats.org/officeDocument/2006/relationships/hyperlink" Target="https://creativecommons.org/licenses/by-nc/4.0/" TargetMode="External"/><Relationship Id="rId4050" Type="http://schemas.openxmlformats.org/officeDocument/2006/relationships/hyperlink" Target="https://www.inaturalist.org/observations/383161232" TargetMode="External"/><Relationship Id="rId4051" Type="http://schemas.openxmlformats.org/officeDocument/2006/relationships/hyperlink" Target="https://creativecommons.org/licenses/by-nc/4.0/" TargetMode="External"/><Relationship Id="rId4052" Type="http://schemas.openxmlformats.org/officeDocument/2006/relationships/hyperlink" Target="https://www.inaturalist.org/observations/383161177" TargetMode="External"/><Relationship Id="rId4053" Type="http://schemas.openxmlformats.org/officeDocument/2006/relationships/hyperlink" Target="https://creativecommons.org/licenses/by-nc/4.0/" TargetMode="External"/><Relationship Id="rId4054" Type="http://schemas.openxmlformats.org/officeDocument/2006/relationships/hyperlink" Target="https://www.inaturalist.org/observations/383161125" TargetMode="External"/><Relationship Id="rId4055" Type="http://schemas.openxmlformats.org/officeDocument/2006/relationships/hyperlink" Target="https://creativecommons.org/licenses/by-nc/4.0/" TargetMode="External"/><Relationship Id="rId4056" Type="http://schemas.openxmlformats.org/officeDocument/2006/relationships/hyperlink" Target="https://www.inaturalist.org/observations/383161095" TargetMode="External"/><Relationship Id="rId4057" Type="http://schemas.openxmlformats.org/officeDocument/2006/relationships/hyperlink" Target="https://creativecommons.org/licenses/by-nc/4.0/" TargetMode="External"/><Relationship Id="rId4058" Type="http://schemas.openxmlformats.org/officeDocument/2006/relationships/hyperlink" Target="https://www.inaturalist.org/observations/383161088" TargetMode="External"/><Relationship Id="rId4059" Type="http://schemas.openxmlformats.org/officeDocument/2006/relationships/hyperlink" Target="https://creativecommons.org/licenses/by-nc/4.0/" TargetMode="External"/><Relationship Id="rId4060" Type="http://schemas.openxmlformats.org/officeDocument/2006/relationships/hyperlink" Target="https://www.inaturalist.org/observations/383161083" TargetMode="External"/><Relationship Id="rId4061" Type="http://schemas.openxmlformats.org/officeDocument/2006/relationships/hyperlink" Target="https://creativecommons.org/licenses/by-nc/4.0/" TargetMode="External"/><Relationship Id="rId4062" Type="http://schemas.openxmlformats.org/officeDocument/2006/relationships/hyperlink" Target="https://www.inaturalist.org/observations/383161023" TargetMode="External"/><Relationship Id="rId4063" Type="http://schemas.openxmlformats.org/officeDocument/2006/relationships/hyperlink" Target="https://creativecommons.org/licenses/by-nc/4.0/" TargetMode="External"/><Relationship Id="rId4064" Type="http://schemas.openxmlformats.org/officeDocument/2006/relationships/hyperlink" Target="https://www.inaturalist.org/observations/383161009" TargetMode="External"/><Relationship Id="rId4065" Type="http://schemas.openxmlformats.org/officeDocument/2006/relationships/hyperlink" Target="https://creativecommons.org/licenses/by-nc/4.0/" TargetMode="External"/><Relationship Id="rId4066" Type="http://schemas.openxmlformats.org/officeDocument/2006/relationships/hyperlink" Target="https://www.inaturalist.org/observations/383160821" TargetMode="External"/><Relationship Id="rId4067" Type="http://schemas.openxmlformats.org/officeDocument/2006/relationships/hyperlink" Target="https://creativecommons.org/licenses/by-nc/4.0/" TargetMode="External"/><Relationship Id="rId4068" Type="http://schemas.openxmlformats.org/officeDocument/2006/relationships/hyperlink" Target="https://www.inaturalist.org/observations/383160654" TargetMode="External"/><Relationship Id="rId4069" Type="http://schemas.openxmlformats.org/officeDocument/2006/relationships/hyperlink" Target="https://creativecommons.org/licenses/by-nc/4.0/" TargetMode="External"/><Relationship Id="rId4070" Type="http://schemas.openxmlformats.org/officeDocument/2006/relationships/hyperlink" Target="https://www.inaturalist.org/observations/383160637" TargetMode="External"/><Relationship Id="rId4071" Type="http://schemas.openxmlformats.org/officeDocument/2006/relationships/hyperlink" Target="https://creativecommons.org/licenses/by-nc/4.0/" TargetMode="External"/><Relationship Id="rId4072" Type="http://schemas.openxmlformats.org/officeDocument/2006/relationships/hyperlink" Target="https://www.inaturalist.org/observations/383160541" TargetMode="External"/><Relationship Id="rId4073" Type="http://schemas.openxmlformats.org/officeDocument/2006/relationships/hyperlink" Target="https://creativecommons.org/licenses/by-nc/4.0/" TargetMode="External"/><Relationship Id="rId4074" Type="http://schemas.openxmlformats.org/officeDocument/2006/relationships/hyperlink" Target="https://www.inaturalist.org/observations/383160534" TargetMode="External"/><Relationship Id="rId4075" Type="http://schemas.openxmlformats.org/officeDocument/2006/relationships/hyperlink" Target="https://creativecommons.org/licenses/by-nc/4.0/" TargetMode="External"/><Relationship Id="rId4076" Type="http://schemas.openxmlformats.org/officeDocument/2006/relationships/hyperlink" Target="https://www.inaturalist.org/observations/383160501" TargetMode="External"/><Relationship Id="rId4077" Type="http://schemas.openxmlformats.org/officeDocument/2006/relationships/hyperlink" Target="https://creativecommons.org/licenses/by-nc/4.0/" TargetMode="External"/><Relationship Id="rId4078" Type="http://schemas.openxmlformats.org/officeDocument/2006/relationships/hyperlink" Target="https://www.inaturalist.org/observations/383160493" TargetMode="External"/><Relationship Id="rId4079" Type="http://schemas.openxmlformats.org/officeDocument/2006/relationships/hyperlink" Target="https://creativecommons.org/licenses/by-nc/4.0/" TargetMode="External"/><Relationship Id="rId4080" Type="http://schemas.openxmlformats.org/officeDocument/2006/relationships/hyperlink" Target="https://www.inaturalist.org/observations/383160491" TargetMode="External"/><Relationship Id="rId4081" Type="http://schemas.openxmlformats.org/officeDocument/2006/relationships/hyperlink" Target="https://creativecommons.org/licenses/by-nc/4.0/" TargetMode="External"/><Relationship Id="rId4082" Type="http://schemas.openxmlformats.org/officeDocument/2006/relationships/hyperlink" Target="https://www.inaturalist.org/observations/383160374" TargetMode="External"/><Relationship Id="rId4083" Type="http://schemas.openxmlformats.org/officeDocument/2006/relationships/hyperlink" Target="https://creativecommons.org/licenses/by-nc/4.0/" TargetMode="External"/><Relationship Id="rId4084" Type="http://schemas.openxmlformats.org/officeDocument/2006/relationships/hyperlink" Target="https://www.inaturalist.org/observations/383160151" TargetMode="External"/><Relationship Id="rId4085" Type="http://schemas.openxmlformats.org/officeDocument/2006/relationships/hyperlink" Target="https://creativecommons.org/licenses/by-nc/4.0/" TargetMode="External"/><Relationship Id="rId4086" Type="http://schemas.openxmlformats.org/officeDocument/2006/relationships/hyperlink" Target="https://www.inaturalist.org/observations/383159658" TargetMode="External"/><Relationship Id="rId4087" Type="http://schemas.openxmlformats.org/officeDocument/2006/relationships/hyperlink" Target="https://creativecommons.org/licenses/by-nc/4.0/" TargetMode="External"/><Relationship Id="rId4088" Type="http://schemas.openxmlformats.org/officeDocument/2006/relationships/hyperlink" Target="https://www.inaturalist.org/observations/383159583" TargetMode="External"/><Relationship Id="rId4089" Type="http://schemas.openxmlformats.org/officeDocument/2006/relationships/hyperlink" Target="https://creativecommons.org/licenses/by-nc/4.0/" TargetMode="External"/><Relationship Id="rId4090" Type="http://schemas.openxmlformats.org/officeDocument/2006/relationships/hyperlink" Target="https://www.inaturalist.org/observations/383159569" TargetMode="External"/><Relationship Id="rId4091" Type="http://schemas.openxmlformats.org/officeDocument/2006/relationships/hyperlink" Target="https://creativecommons.org/licenses/by-nc/4.0/" TargetMode="External"/><Relationship Id="rId4092" Type="http://schemas.openxmlformats.org/officeDocument/2006/relationships/hyperlink" Target="https://www.inaturalist.org/observations/383159288" TargetMode="External"/><Relationship Id="rId4093" Type="http://schemas.openxmlformats.org/officeDocument/2006/relationships/hyperlink" Target="https://creativecommons.org/licenses/by-nc/4.0/" TargetMode="External"/><Relationship Id="rId4094" Type="http://schemas.openxmlformats.org/officeDocument/2006/relationships/hyperlink" Target="https://www.inaturalist.org/observations/383159135" TargetMode="External"/><Relationship Id="rId4095" Type="http://schemas.openxmlformats.org/officeDocument/2006/relationships/hyperlink" Target="https://creativecommons.org/licenses/by-nc/4.0/" TargetMode="External"/><Relationship Id="rId4096" Type="http://schemas.openxmlformats.org/officeDocument/2006/relationships/hyperlink" Target="https://www.inaturalist.org/observations/383159108" TargetMode="External"/><Relationship Id="rId4097" Type="http://schemas.openxmlformats.org/officeDocument/2006/relationships/hyperlink" Target="https://creativecommons.org/licenses/by-nc/4.0/" TargetMode="External"/><Relationship Id="rId4098" Type="http://schemas.openxmlformats.org/officeDocument/2006/relationships/hyperlink" Target="https://www.inaturalist.org/observations/383159093" TargetMode="External"/><Relationship Id="rId4099" Type="http://schemas.openxmlformats.org/officeDocument/2006/relationships/hyperlink" Target="https://creativecommons.org/licenses/by-nc/4.0/" TargetMode="External"/><Relationship Id="rId4100" Type="http://schemas.openxmlformats.org/officeDocument/2006/relationships/hyperlink" Target="https://www.inaturalist.org/observations/383159081" TargetMode="External"/><Relationship Id="rId4101" Type="http://schemas.openxmlformats.org/officeDocument/2006/relationships/hyperlink" Target="https://creativecommons.org/licenses/by-nc/4.0/" TargetMode="External"/><Relationship Id="rId4102" Type="http://schemas.openxmlformats.org/officeDocument/2006/relationships/hyperlink" Target="https://www.inaturalist.org/observations/383159064" TargetMode="External"/><Relationship Id="rId4103" Type="http://schemas.openxmlformats.org/officeDocument/2006/relationships/hyperlink" Target="https://creativecommons.org/licenses/by-nc/4.0/" TargetMode="External"/><Relationship Id="rId4104" Type="http://schemas.openxmlformats.org/officeDocument/2006/relationships/hyperlink" Target="https://www.inaturalist.org/observations/383159045" TargetMode="External"/><Relationship Id="rId4105" Type="http://schemas.openxmlformats.org/officeDocument/2006/relationships/hyperlink" Target="https://creativecommons.org/licenses/by-nc/4.0/" TargetMode="External"/><Relationship Id="rId4106" Type="http://schemas.openxmlformats.org/officeDocument/2006/relationships/hyperlink" Target="https://www.inaturalist.org/observations/383158991" TargetMode="External"/><Relationship Id="rId4107" Type="http://schemas.openxmlformats.org/officeDocument/2006/relationships/hyperlink" Target="https://creativecommons.org/licenses/by-nc/4.0/" TargetMode="External"/><Relationship Id="rId4108" Type="http://schemas.openxmlformats.org/officeDocument/2006/relationships/hyperlink" Target="https://www.inaturalist.org/observations/383158911" TargetMode="External"/><Relationship Id="rId4109" Type="http://schemas.openxmlformats.org/officeDocument/2006/relationships/hyperlink" Target="https://creativecommons.org/licenses/by-nc/4.0/" TargetMode="External"/><Relationship Id="rId4110" Type="http://schemas.openxmlformats.org/officeDocument/2006/relationships/hyperlink" Target="https://www.inaturalist.org/observations/383158910" TargetMode="External"/><Relationship Id="rId4111" Type="http://schemas.openxmlformats.org/officeDocument/2006/relationships/hyperlink" Target="https://creativecommons.org/licenses/by-nc/4.0/" TargetMode="External"/><Relationship Id="rId4112" Type="http://schemas.openxmlformats.org/officeDocument/2006/relationships/hyperlink" Target="https://www.inaturalist.org/observations/383158901" TargetMode="External"/><Relationship Id="rId4113" Type="http://schemas.openxmlformats.org/officeDocument/2006/relationships/hyperlink" Target="https://creativecommons.org/licenses/by-nc/4.0/" TargetMode="External"/><Relationship Id="rId4114" Type="http://schemas.openxmlformats.org/officeDocument/2006/relationships/hyperlink" Target="https://www.inaturalist.org/observations/383158888" TargetMode="External"/><Relationship Id="rId4115" Type="http://schemas.openxmlformats.org/officeDocument/2006/relationships/hyperlink" Target="https://creativecommons.org/licenses/by-nc/4.0/" TargetMode="External"/><Relationship Id="rId4116" Type="http://schemas.openxmlformats.org/officeDocument/2006/relationships/hyperlink" Target="https://www.inaturalist.org/observations/383158870" TargetMode="External"/><Relationship Id="rId4117" Type="http://schemas.openxmlformats.org/officeDocument/2006/relationships/hyperlink" Target="https://creativecommons.org/licenses/by-nc/4.0/" TargetMode="External"/><Relationship Id="rId4118" Type="http://schemas.openxmlformats.org/officeDocument/2006/relationships/hyperlink" Target="https://www.inaturalist.org/observations/383158854" TargetMode="External"/><Relationship Id="rId4119" Type="http://schemas.openxmlformats.org/officeDocument/2006/relationships/hyperlink" Target="https://creativecommons.org/licenses/by-nc/4.0/" TargetMode="External"/><Relationship Id="rId4120" Type="http://schemas.openxmlformats.org/officeDocument/2006/relationships/hyperlink" Target="https://www.inaturalist.org/observations/383158847" TargetMode="External"/><Relationship Id="rId4121" Type="http://schemas.openxmlformats.org/officeDocument/2006/relationships/hyperlink" Target="https://creativecommons.org/licenses/by-nc/4.0/" TargetMode="External"/><Relationship Id="rId4122" Type="http://schemas.openxmlformats.org/officeDocument/2006/relationships/hyperlink" Target="https://www.inaturalist.org/observations/383158843" TargetMode="External"/><Relationship Id="rId4123" Type="http://schemas.openxmlformats.org/officeDocument/2006/relationships/hyperlink" Target="https://creativecommons.org/licenses/by-nc/4.0/" TargetMode="External"/><Relationship Id="rId4124" Type="http://schemas.openxmlformats.org/officeDocument/2006/relationships/hyperlink" Target="https://www.inaturalist.org/observations/383158828" TargetMode="External"/><Relationship Id="rId4125" Type="http://schemas.openxmlformats.org/officeDocument/2006/relationships/hyperlink" Target="https://creativecommons.org/licenses/by-nc/4.0/" TargetMode="External"/><Relationship Id="rId4126" Type="http://schemas.openxmlformats.org/officeDocument/2006/relationships/hyperlink" Target="https://www.inaturalist.org/observations/383158767" TargetMode="External"/><Relationship Id="rId4127" Type="http://schemas.openxmlformats.org/officeDocument/2006/relationships/hyperlink" Target="https://creativecommons.org/licenses/by-nc/4.0/" TargetMode="External"/><Relationship Id="rId4128" Type="http://schemas.openxmlformats.org/officeDocument/2006/relationships/hyperlink" Target="https://www.inaturalist.org/observations/383158721" TargetMode="External"/><Relationship Id="rId4129" Type="http://schemas.openxmlformats.org/officeDocument/2006/relationships/hyperlink" Target="https://creativecommons.org/licenses/by-nc/4.0/" TargetMode="External"/><Relationship Id="rId4130" Type="http://schemas.openxmlformats.org/officeDocument/2006/relationships/hyperlink" Target="https://www.inaturalist.org/observations/383158684" TargetMode="External"/><Relationship Id="rId4131" Type="http://schemas.openxmlformats.org/officeDocument/2006/relationships/hyperlink" Target="https://creativecommons.org/licenses/by-nc/4.0/" TargetMode="External"/><Relationship Id="rId4132" Type="http://schemas.openxmlformats.org/officeDocument/2006/relationships/hyperlink" Target="https://www.inaturalist.org/observations/383158629" TargetMode="External"/><Relationship Id="rId4133" Type="http://schemas.openxmlformats.org/officeDocument/2006/relationships/hyperlink" Target="https://creativecommons.org/licenses/by-nc/4.0/" TargetMode="External"/><Relationship Id="rId4134" Type="http://schemas.openxmlformats.org/officeDocument/2006/relationships/hyperlink" Target="https://www.inaturalist.org/observations/383158625" TargetMode="External"/><Relationship Id="rId4135" Type="http://schemas.openxmlformats.org/officeDocument/2006/relationships/hyperlink" Target="https://creativecommons.org/licenses/by-nc/4.0/" TargetMode="External"/><Relationship Id="rId4136" Type="http://schemas.openxmlformats.org/officeDocument/2006/relationships/hyperlink" Target="https://www.inaturalist.org/observations/383158474" TargetMode="External"/><Relationship Id="rId4137" Type="http://schemas.openxmlformats.org/officeDocument/2006/relationships/hyperlink" Target="https://creativecommons.org/licenses/by-nc/4.0/" TargetMode="External"/><Relationship Id="rId4138" Type="http://schemas.openxmlformats.org/officeDocument/2006/relationships/hyperlink" Target="https://www.inaturalist.org/observations/383158470" TargetMode="External"/><Relationship Id="rId4139" Type="http://schemas.openxmlformats.org/officeDocument/2006/relationships/hyperlink" Target="https://creativecommons.org/licenses/by-nc/4.0/" TargetMode="External"/><Relationship Id="rId4140" Type="http://schemas.openxmlformats.org/officeDocument/2006/relationships/hyperlink" Target="https://www.inaturalist.org/observations/383158407" TargetMode="External"/><Relationship Id="rId4141" Type="http://schemas.openxmlformats.org/officeDocument/2006/relationships/hyperlink" Target="https://creativecommons.org/licenses/by-nc/4.0/" TargetMode="External"/><Relationship Id="rId4142" Type="http://schemas.openxmlformats.org/officeDocument/2006/relationships/hyperlink" Target="https://www.inaturalist.org/observations/383158334" TargetMode="External"/><Relationship Id="rId4143" Type="http://schemas.openxmlformats.org/officeDocument/2006/relationships/hyperlink" Target="https://creativecommons.org/licenses/by-nc/4.0/" TargetMode="External"/><Relationship Id="rId4144" Type="http://schemas.openxmlformats.org/officeDocument/2006/relationships/hyperlink" Target="https://www.inaturalist.org/observations/383158326" TargetMode="External"/><Relationship Id="rId4145" Type="http://schemas.openxmlformats.org/officeDocument/2006/relationships/hyperlink" Target="https://creativecommons.org/licenses/by-nc/4.0/" TargetMode="External"/><Relationship Id="rId4146" Type="http://schemas.openxmlformats.org/officeDocument/2006/relationships/hyperlink" Target="https://www.inaturalist.org/observations/383158275" TargetMode="External"/><Relationship Id="rId4147" Type="http://schemas.openxmlformats.org/officeDocument/2006/relationships/hyperlink" Target="https://creativecommons.org/licenses/by-nc/4.0/" TargetMode="External"/><Relationship Id="rId4148" Type="http://schemas.openxmlformats.org/officeDocument/2006/relationships/hyperlink" Target="https://www.inaturalist.org/observations/383158199" TargetMode="External"/><Relationship Id="rId4149" Type="http://schemas.openxmlformats.org/officeDocument/2006/relationships/hyperlink" Target="https://creativecommons.org/licenses/by-nc/4.0/" TargetMode="External"/><Relationship Id="rId4150" Type="http://schemas.openxmlformats.org/officeDocument/2006/relationships/hyperlink" Target="https://www.inaturalist.org/observations/383158198" TargetMode="External"/><Relationship Id="rId4151" Type="http://schemas.openxmlformats.org/officeDocument/2006/relationships/hyperlink" Target="https://creativecommons.org/licenses/by-nc/4.0/" TargetMode="External"/><Relationship Id="rId4152" Type="http://schemas.openxmlformats.org/officeDocument/2006/relationships/hyperlink" Target="https://www.inaturalist.org/observations/383158181" TargetMode="External"/><Relationship Id="rId4153" Type="http://schemas.openxmlformats.org/officeDocument/2006/relationships/hyperlink" Target="https://creativecommons.org/licenses/by-nc/4.0/" TargetMode="External"/><Relationship Id="rId4154" Type="http://schemas.openxmlformats.org/officeDocument/2006/relationships/hyperlink" Target="https://www.inaturalist.org/observations/383158176" TargetMode="External"/><Relationship Id="rId4155" Type="http://schemas.openxmlformats.org/officeDocument/2006/relationships/hyperlink" Target="https://creativecommons.org/licenses/by-nc/4.0/" TargetMode="External"/><Relationship Id="rId4156" Type="http://schemas.openxmlformats.org/officeDocument/2006/relationships/hyperlink" Target="https://www.inaturalist.org/observations/383158070" TargetMode="External"/><Relationship Id="rId4157" Type="http://schemas.openxmlformats.org/officeDocument/2006/relationships/hyperlink" Target="https://creativecommons.org/licenses/by-nc/4.0/" TargetMode="External"/><Relationship Id="rId4158" Type="http://schemas.openxmlformats.org/officeDocument/2006/relationships/hyperlink" Target="https://www.inaturalist.org/observations/383158064" TargetMode="External"/><Relationship Id="rId4159" Type="http://schemas.openxmlformats.org/officeDocument/2006/relationships/hyperlink" Target="https://creativecommons.org/licenses/by-nc/4.0/" TargetMode="External"/><Relationship Id="rId4160" Type="http://schemas.openxmlformats.org/officeDocument/2006/relationships/hyperlink" Target="https://www.inaturalist.org/observations/383157969" TargetMode="External"/><Relationship Id="rId4161" Type="http://schemas.openxmlformats.org/officeDocument/2006/relationships/hyperlink" Target="https://creativecommons.org/licenses/by-nc/4.0/" TargetMode="External"/><Relationship Id="rId4162" Type="http://schemas.openxmlformats.org/officeDocument/2006/relationships/hyperlink" Target="https://www.inaturalist.org/observations/383157887" TargetMode="External"/><Relationship Id="rId4163" Type="http://schemas.openxmlformats.org/officeDocument/2006/relationships/hyperlink" Target="https://creativecommons.org/licenses/by-nc/4.0/" TargetMode="External"/><Relationship Id="rId4164" Type="http://schemas.openxmlformats.org/officeDocument/2006/relationships/hyperlink" Target="https://www.inaturalist.org/observations/383157871" TargetMode="External"/><Relationship Id="rId4165" Type="http://schemas.openxmlformats.org/officeDocument/2006/relationships/hyperlink" Target="https://creativecommons.org/licenses/by-nc/4.0/" TargetMode="External"/><Relationship Id="rId4166" Type="http://schemas.openxmlformats.org/officeDocument/2006/relationships/hyperlink" Target="https://www.inaturalist.org/observations/383157585" TargetMode="External"/><Relationship Id="rId4167" Type="http://schemas.openxmlformats.org/officeDocument/2006/relationships/hyperlink" Target="https://creativecommons.org/licenses/by-nc/4.0/" TargetMode="External"/><Relationship Id="rId4168" Type="http://schemas.openxmlformats.org/officeDocument/2006/relationships/hyperlink" Target="https://www.inaturalist.org/observations/383157533" TargetMode="External"/><Relationship Id="rId4169" Type="http://schemas.openxmlformats.org/officeDocument/2006/relationships/hyperlink" Target="https://creativecommons.org/licenses/by-nc/4.0/" TargetMode="External"/><Relationship Id="rId4170" Type="http://schemas.openxmlformats.org/officeDocument/2006/relationships/hyperlink" Target="https://www.inaturalist.org/observations/383157521" TargetMode="External"/><Relationship Id="rId4171" Type="http://schemas.openxmlformats.org/officeDocument/2006/relationships/hyperlink" Target="https://creativecommons.org/licenses/by-nc/4.0/" TargetMode="External"/><Relationship Id="rId4172" Type="http://schemas.openxmlformats.org/officeDocument/2006/relationships/hyperlink" Target="https://www.inaturalist.org/observations/383157326" TargetMode="External"/><Relationship Id="rId4173" Type="http://schemas.openxmlformats.org/officeDocument/2006/relationships/hyperlink" Target="https://creativecommons.org/licenses/by-nc/4.0/" TargetMode="External"/><Relationship Id="rId4174" Type="http://schemas.openxmlformats.org/officeDocument/2006/relationships/hyperlink" Target="https://www.inaturalist.org/observations/383157188" TargetMode="External"/><Relationship Id="rId4175" Type="http://schemas.openxmlformats.org/officeDocument/2006/relationships/hyperlink" Target="https://creativecommons.org/licenses/by-nc/4.0/" TargetMode="External"/><Relationship Id="rId4176" Type="http://schemas.openxmlformats.org/officeDocument/2006/relationships/hyperlink" Target="https://www.inaturalist.org/observations/383156963" TargetMode="External"/><Relationship Id="rId4177" Type="http://schemas.openxmlformats.org/officeDocument/2006/relationships/hyperlink" Target="https://creativecommons.org/licenses/by-nc/4.0/" TargetMode="External"/><Relationship Id="rId4178" Type="http://schemas.openxmlformats.org/officeDocument/2006/relationships/hyperlink" Target="https://www.inaturalist.org/observations/383156777" TargetMode="External"/><Relationship Id="rId4179" Type="http://schemas.openxmlformats.org/officeDocument/2006/relationships/hyperlink" Target="https://creativecommons.org/licenses/by-nc/4.0/" TargetMode="External"/><Relationship Id="rId4180" Type="http://schemas.openxmlformats.org/officeDocument/2006/relationships/hyperlink" Target="https://www.inaturalist.org/observations/383156703" TargetMode="External"/><Relationship Id="rId4181" Type="http://schemas.openxmlformats.org/officeDocument/2006/relationships/hyperlink" Target="https://creativecommons.org/licenses/by-nc/4.0/" TargetMode="External"/><Relationship Id="rId4182" Type="http://schemas.openxmlformats.org/officeDocument/2006/relationships/hyperlink" Target="https://www.inaturalist.org/observations/383156663" TargetMode="External"/><Relationship Id="rId4183" Type="http://schemas.openxmlformats.org/officeDocument/2006/relationships/hyperlink" Target="https://creativecommons.org/licenses/by-nc/4.0/" TargetMode="External"/><Relationship Id="rId4184" Type="http://schemas.openxmlformats.org/officeDocument/2006/relationships/hyperlink" Target="https://www.inaturalist.org/observations/383156623" TargetMode="External"/><Relationship Id="rId4185" Type="http://schemas.openxmlformats.org/officeDocument/2006/relationships/hyperlink" Target="https://creativecommons.org/licenses/by-nc/4.0/" TargetMode="External"/><Relationship Id="rId4186" Type="http://schemas.openxmlformats.org/officeDocument/2006/relationships/hyperlink" Target="https://www.inaturalist.org/observations/383156593" TargetMode="External"/><Relationship Id="rId4187" Type="http://schemas.openxmlformats.org/officeDocument/2006/relationships/hyperlink" Target="https://creativecommons.org/licenses/by-nc/4.0/" TargetMode="External"/><Relationship Id="rId4188" Type="http://schemas.openxmlformats.org/officeDocument/2006/relationships/hyperlink" Target="https://www.inaturalist.org/observations/383156554" TargetMode="External"/><Relationship Id="rId4189" Type="http://schemas.openxmlformats.org/officeDocument/2006/relationships/hyperlink" Target="https://creativecommons.org/licenses/by-nc/4.0/" TargetMode="External"/><Relationship Id="rId4190" Type="http://schemas.openxmlformats.org/officeDocument/2006/relationships/hyperlink" Target="https://www.inaturalist.org/observations/383156379" TargetMode="External"/><Relationship Id="rId4191" Type="http://schemas.openxmlformats.org/officeDocument/2006/relationships/hyperlink" Target="https://creativecommons.org/licenses/by-nc/4.0/" TargetMode="External"/><Relationship Id="rId4192" Type="http://schemas.openxmlformats.org/officeDocument/2006/relationships/hyperlink" Target="https://www.inaturalist.org/observations/383156365" TargetMode="External"/><Relationship Id="rId4193" Type="http://schemas.openxmlformats.org/officeDocument/2006/relationships/hyperlink" Target="https://creativecommons.org/licenses/by-nc/4.0/" TargetMode="External"/><Relationship Id="rId4194" Type="http://schemas.openxmlformats.org/officeDocument/2006/relationships/hyperlink" Target="https://www.inaturalist.org/observations/383156340" TargetMode="External"/><Relationship Id="rId4195" Type="http://schemas.openxmlformats.org/officeDocument/2006/relationships/hyperlink" Target="https://creativecommons.org/licenses/by-nc/4.0/" TargetMode="External"/><Relationship Id="rId4196" Type="http://schemas.openxmlformats.org/officeDocument/2006/relationships/hyperlink" Target="https://www.inaturalist.org/observations/383156313" TargetMode="External"/><Relationship Id="rId4197" Type="http://schemas.openxmlformats.org/officeDocument/2006/relationships/hyperlink" Target="https://creativecommons.org/licenses/by-nc/4.0/" TargetMode="External"/><Relationship Id="rId4198" Type="http://schemas.openxmlformats.org/officeDocument/2006/relationships/hyperlink" Target="https://www.inaturalist.org/observations/383156264" TargetMode="External"/><Relationship Id="rId4199" Type="http://schemas.openxmlformats.org/officeDocument/2006/relationships/hyperlink" Target="https://creativecommons.org/licenses/by-nc/4.0/" TargetMode="External"/><Relationship Id="rId4200" Type="http://schemas.openxmlformats.org/officeDocument/2006/relationships/hyperlink" Target="https://www.inaturalist.org/observations/383156204" TargetMode="External"/><Relationship Id="rId4201" Type="http://schemas.openxmlformats.org/officeDocument/2006/relationships/hyperlink" Target="https://creativecommons.org/licenses/by-nc/4.0/" TargetMode="External"/><Relationship Id="rId4202" Type="http://schemas.openxmlformats.org/officeDocument/2006/relationships/hyperlink" Target="https://www.inaturalist.org/observations/383156195" TargetMode="External"/><Relationship Id="rId4203" Type="http://schemas.openxmlformats.org/officeDocument/2006/relationships/hyperlink" Target="https://creativecommons.org/licenses/by-nc/4.0/" TargetMode="External"/><Relationship Id="rId4204" Type="http://schemas.openxmlformats.org/officeDocument/2006/relationships/hyperlink" Target="https://www.inaturalist.org/observations/383156086" TargetMode="External"/><Relationship Id="rId4205" Type="http://schemas.openxmlformats.org/officeDocument/2006/relationships/hyperlink" Target="https://creativecommons.org/licenses/by-nc/4.0/" TargetMode="External"/><Relationship Id="rId4206" Type="http://schemas.openxmlformats.org/officeDocument/2006/relationships/hyperlink" Target="https://www.inaturalist.org/observations/383156068" TargetMode="External"/><Relationship Id="rId4207" Type="http://schemas.openxmlformats.org/officeDocument/2006/relationships/hyperlink" Target="https://creativecommons.org/licenses/by-nc/4.0/" TargetMode="External"/><Relationship Id="rId4208" Type="http://schemas.openxmlformats.org/officeDocument/2006/relationships/hyperlink" Target="https://www.inaturalist.org/observations/383156066" TargetMode="External"/><Relationship Id="rId4209" Type="http://schemas.openxmlformats.org/officeDocument/2006/relationships/hyperlink" Target="https://creativecommons.org/licenses/by-nc/4.0/" TargetMode="External"/><Relationship Id="rId4210" Type="http://schemas.openxmlformats.org/officeDocument/2006/relationships/hyperlink" Target="https://www.inaturalist.org/observations/383156043" TargetMode="External"/><Relationship Id="rId4211" Type="http://schemas.openxmlformats.org/officeDocument/2006/relationships/hyperlink" Target="https://creativecommons.org/licenses/by-nc/4.0/" TargetMode="External"/><Relationship Id="rId4212" Type="http://schemas.openxmlformats.org/officeDocument/2006/relationships/hyperlink" Target="https://www.inaturalist.org/observations/383156008" TargetMode="External"/><Relationship Id="rId4213" Type="http://schemas.openxmlformats.org/officeDocument/2006/relationships/hyperlink" Target="https://creativecommons.org/licenses/by-nc/4.0/" TargetMode="External"/><Relationship Id="rId4214" Type="http://schemas.openxmlformats.org/officeDocument/2006/relationships/hyperlink" Target="https://www.inaturalist.org/observations/383155921" TargetMode="External"/><Relationship Id="rId4215" Type="http://schemas.openxmlformats.org/officeDocument/2006/relationships/hyperlink" Target="https://creativecommons.org/licenses/by-nc/4.0/" TargetMode="External"/><Relationship Id="rId4216" Type="http://schemas.openxmlformats.org/officeDocument/2006/relationships/hyperlink" Target="https://www.inaturalist.org/observations/383155892" TargetMode="External"/><Relationship Id="rId4217" Type="http://schemas.openxmlformats.org/officeDocument/2006/relationships/hyperlink" Target="https://creativecommons.org/licenses/by-nc/4.0/" TargetMode="External"/><Relationship Id="rId4218" Type="http://schemas.openxmlformats.org/officeDocument/2006/relationships/hyperlink" Target="https://www.inaturalist.org/observations/383155830" TargetMode="External"/><Relationship Id="rId4219" Type="http://schemas.openxmlformats.org/officeDocument/2006/relationships/hyperlink" Target="https://creativecommons.org/licenses/by-nc/4.0/" TargetMode="External"/><Relationship Id="rId4220" Type="http://schemas.openxmlformats.org/officeDocument/2006/relationships/hyperlink" Target="https://www.inaturalist.org/observations/383155730" TargetMode="External"/><Relationship Id="rId4221" Type="http://schemas.openxmlformats.org/officeDocument/2006/relationships/hyperlink" Target="https://creativecommons.org/licenses/by-nc/4.0/" TargetMode="External"/><Relationship Id="rId4222" Type="http://schemas.openxmlformats.org/officeDocument/2006/relationships/hyperlink" Target="https://www.inaturalist.org/observations/383155701" TargetMode="External"/><Relationship Id="rId4223" Type="http://schemas.openxmlformats.org/officeDocument/2006/relationships/hyperlink" Target="https://creativecommons.org/licenses/by-nc/4.0/" TargetMode="External"/><Relationship Id="rId4224" Type="http://schemas.openxmlformats.org/officeDocument/2006/relationships/hyperlink" Target="https://www.inaturalist.org/observations/383155641" TargetMode="External"/><Relationship Id="rId4225" Type="http://schemas.openxmlformats.org/officeDocument/2006/relationships/hyperlink" Target="https://creativecommons.org/licenses/by-nc/4.0/" TargetMode="External"/><Relationship Id="rId4226" Type="http://schemas.openxmlformats.org/officeDocument/2006/relationships/hyperlink" Target="https://www.inaturalist.org/observations/383155597" TargetMode="External"/><Relationship Id="rId4227" Type="http://schemas.openxmlformats.org/officeDocument/2006/relationships/hyperlink" Target="https://creativecommons.org/licenses/by-nc/4.0/" TargetMode="External"/><Relationship Id="rId4228" Type="http://schemas.openxmlformats.org/officeDocument/2006/relationships/hyperlink" Target="https://www.inaturalist.org/observations/383155553" TargetMode="External"/><Relationship Id="rId4229" Type="http://schemas.openxmlformats.org/officeDocument/2006/relationships/hyperlink" Target="https://creativecommons.org/licenses/by-nc/4.0/" TargetMode="External"/><Relationship Id="rId4230" Type="http://schemas.openxmlformats.org/officeDocument/2006/relationships/hyperlink" Target="https://www.inaturalist.org/observations/383155546" TargetMode="External"/><Relationship Id="rId4231" Type="http://schemas.openxmlformats.org/officeDocument/2006/relationships/hyperlink" Target="https://creativecommons.org/licenses/by-nc/4.0/" TargetMode="External"/><Relationship Id="rId4232" Type="http://schemas.openxmlformats.org/officeDocument/2006/relationships/hyperlink" Target="https://www.inaturalist.org/observations/383155508" TargetMode="External"/><Relationship Id="rId4233" Type="http://schemas.openxmlformats.org/officeDocument/2006/relationships/hyperlink" Target="https://creativecommons.org/licenses/by-nc/4.0/" TargetMode="External"/><Relationship Id="rId4234" Type="http://schemas.openxmlformats.org/officeDocument/2006/relationships/hyperlink" Target="https://www.inaturalist.org/observations/383155494" TargetMode="External"/><Relationship Id="rId4235" Type="http://schemas.openxmlformats.org/officeDocument/2006/relationships/hyperlink" Target="https://creativecommons.org/licenses/by-nc/4.0/" TargetMode="External"/><Relationship Id="rId4236" Type="http://schemas.openxmlformats.org/officeDocument/2006/relationships/hyperlink" Target="https://www.inaturalist.org/observations/383155481" TargetMode="External"/><Relationship Id="rId4237" Type="http://schemas.openxmlformats.org/officeDocument/2006/relationships/hyperlink" Target="https://creativecommons.org/licenses/by-nc/4.0/" TargetMode="External"/><Relationship Id="rId4238" Type="http://schemas.openxmlformats.org/officeDocument/2006/relationships/hyperlink" Target="https://www.inaturalist.org/observations/383155446" TargetMode="External"/><Relationship Id="rId4239" Type="http://schemas.openxmlformats.org/officeDocument/2006/relationships/hyperlink" Target="https://creativecommons.org/licenses/by-nc/4.0/" TargetMode="External"/><Relationship Id="rId4240" Type="http://schemas.openxmlformats.org/officeDocument/2006/relationships/hyperlink" Target="https://www.inaturalist.org/observations/383155217" TargetMode="External"/><Relationship Id="rId4241" Type="http://schemas.openxmlformats.org/officeDocument/2006/relationships/hyperlink" Target="https://creativecommons.org/licenses/by-nc/4.0/" TargetMode="External"/><Relationship Id="rId4242" Type="http://schemas.openxmlformats.org/officeDocument/2006/relationships/hyperlink" Target="https://www.inaturalist.org/observations/383183329" TargetMode="External"/><Relationship Id="rId4243" Type="http://schemas.openxmlformats.org/officeDocument/2006/relationships/hyperlink" Target="https://creativecommons.org/licenses/by-nc/4.0/" TargetMode="External"/><Relationship Id="rId4244" Type="http://schemas.openxmlformats.org/officeDocument/2006/relationships/hyperlink" Target="https://www.inaturalist.org/observations/383181945" TargetMode="External"/><Relationship Id="rId4245" Type="http://schemas.openxmlformats.org/officeDocument/2006/relationships/hyperlink" Target="https://creativecommons.org/licenses/by-nc/4.0/" TargetMode="External"/><Relationship Id="rId4246" Type="http://schemas.openxmlformats.org/officeDocument/2006/relationships/hyperlink" Target="https://www.inaturalist.org/observations/383181398" TargetMode="External"/><Relationship Id="rId4247" Type="http://schemas.openxmlformats.org/officeDocument/2006/relationships/hyperlink" Target="https://creativecommons.org/licenses/by-nc/4.0/" TargetMode="External"/><Relationship Id="rId4248" Type="http://schemas.openxmlformats.org/officeDocument/2006/relationships/hyperlink" Target="https://www.inaturalist.org/observations/383180574" TargetMode="External"/><Relationship Id="rId4249" Type="http://schemas.openxmlformats.org/officeDocument/2006/relationships/hyperlink" Target="https://creativecommons.org/licenses/by-nc/4.0/" TargetMode="External"/><Relationship Id="rId4250" Type="http://schemas.openxmlformats.org/officeDocument/2006/relationships/hyperlink" Target="https://www.inaturalist.org/observations/383180009" TargetMode="External"/><Relationship Id="rId4251" Type="http://schemas.openxmlformats.org/officeDocument/2006/relationships/hyperlink" Target="https://creativecommons.org/licenses/by-nc/4.0/" TargetMode="External"/><Relationship Id="rId4252" Type="http://schemas.openxmlformats.org/officeDocument/2006/relationships/hyperlink" Target="https://www.inaturalist.org/observations/383179963" TargetMode="External"/><Relationship Id="rId4253" Type="http://schemas.openxmlformats.org/officeDocument/2006/relationships/hyperlink" Target="https://creativecommons.org/licenses/by-nc/4.0/" TargetMode="External"/><Relationship Id="rId4254" Type="http://schemas.openxmlformats.org/officeDocument/2006/relationships/hyperlink" Target="https://www.inaturalist.org/observations/383178624" TargetMode="External"/><Relationship Id="rId4255" Type="http://schemas.openxmlformats.org/officeDocument/2006/relationships/hyperlink" Target="https://creativecommons.org/licenses/by-nc/4.0/" TargetMode="External"/><Relationship Id="rId4256" Type="http://schemas.openxmlformats.org/officeDocument/2006/relationships/hyperlink" Target="https://www.inaturalist.org/observations/383176864" TargetMode="External"/><Relationship Id="rId4257" Type="http://schemas.openxmlformats.org/officeDocument/2006/relationships/hyperlink" Target="https://creativecommons.org/licenses/by-nc/4.0/" TargetMode="External"/><Relationship Id="rId4258" Type="http://schemas.openxmlformats.org/officeDocument/2006/relationships/hyperlink" Target="https://www.inaturalist.org/observations/383174873" TargetMode="External"/><Relationship Id="rId4259" Type="http://schemas.openxmlformats.org/officeDocument/2006/relationships/hyperlink" Target="https://creativecommons.org/licenses/by-nc/4.0/" TargetMode="External"/><Relationship Id="rId4260" Type="http://schemas.openxmlformats.org/officeDocument/2006/relationships/hyperlink" Target="https://www.inaturalist.org/observations/383172554" TargetMode="External"/><Relationship Id="rId4261" Type="http://schemas.openxmlformats.org/officeDocument/2006/relationships/hyperlink" Target="https://creativecommons.org/licenses/by-nc/4.0/" TargetMode="External"/><Relationship Id="rId4262" Type="http://schemas.openxmlformats.org/officeDocument/2006/relationships/hyperlink" Target="https://www.inaturalist.org/observations/383170233" TargetMode="External"/><Relationship Id="rId4263" Type="http://schemas.openxmlformats.org/officeDocument/2006/relationships/hyperlink" Target="https://creativecommons.org/licenses/by-nc/4.0/" TargetMode="External"/><Relationship Id="rId4264" Type="http://schemas.openxmlformats.org/officeDocument/2006/relationships/hyperlink" Target="https://www.inaturalist.org/observations/383169667" TargetMode="External"/><Relationship Id="rId4265" Type="http://schemas.openxmlformats.org/officeDocument/2006/relationships/hyperlink" Target="https://creativecommons.org/licenses/by-nc/4.0/" TargetMode="External"/><Relationship Id="rId4266" Type="http://schemas.openxmlformats.org/officeDocument/2006/relationships/hyperlink" Target="https://www.inaturalist.org/observations/383169398" TargetMode="External"/><Relationship Id="rId4267" Type="http://schemas.openxmlformats.org/officeDocument/2006/relationships/hyperlink" Target="https://creativecommons.org/licenses/by-nc/4.0/" TargetMode="External"/><Relationship Id="rId4268" Type="http://schemas.openxmlformats.org/officeDocument/2006/relationships/hyperlink" Target="https://www.inaturalist.org/observations/383168746" TargetMode="External"/><Relationship Id="rId4269" Type="http://schemas.openxmlformats.org/officeDocument/2006/relationships/hyperlink" Target="https://creativecommons.org/licenses/by-nc/4.0/" TargetMode="External"/><Relationship Id="rId4270" Type="http://schemas.openxmlformats.org/officeDocument/2006/relationships/hyperlink" Target="https://www.inaturalist.org/observations/383167993" TargetMode="External"/><Relationship Id="rId4271" Type="http://schemas.openxmlformats.org/officeDocument/2006/relationships/hyperlink" Target="https://creativecommons.org/licenses/by-nc/4.0/" TargetMode="External"/><Relationship Id="rId4272" Type="http://schemas.openxmlformats.org/officeDocument/2006/relationships/hyperlink" Target="https://www.inaturalist.org/observations/383165694" TargetMode="External"/><Relationship Id="rId4273" Type="http://schemas.openxmlformats.org/officeDocument/2006/relationships/hyperlink" Target="https://creativecommons.org/licenses/by-nc/4.0/" TargetMode="External"/><Relationship Id="rId4274" Type="http://schemas.openxmlformats.org/officeDocument/2006/relationships/hyperlink" Target="https://www.inaturalist.org/observations/383165332" TargetMode="External"/><Relationship Id="rId4275" Type="http://schemas.openxmlformats.org/officeDocument/2006/relationships/hyperlink" Target="https://creativecommons.org/licenses/by-nc/4.0/" TargetMode="External"/><Relationship Id="rId4276" Type="http://schemas.openxmlformats.org/officeDocument/2006/relationships/hyperlink" Target="https://www.inaturalist.org/observations/383165283" TargetMode="External"/><Relationship Id="rId4277" Type="http://schemas.openxmlformats.org/officeDocument/2006/relationships/hyperlink" Target="https://creativecommons.org/licenses/by-nc/4.0/" TargetMode="External"/><Relationship Id="rId4278" Type="http://schemas.openxmlformats.org/officeDocument/2006/relationships/hyperlink" Target="https://www.inaturalist.org/observations/383163747" TargetMode="External"/><Relationship Id="rId4279" Type="http://schemas.openxmlformats.org/officeDocument/2006/relationships/hyperlink" Target="https://creativecommons.org/licenses/by-nc/4.0/" TargetMode="External"/><Relationship Id="rId4280" Type="http://schemas.openxmlformats.org/officeDocument/2006/relationships/hyperlink" Target="https://www.inaturalist.org/observations/383163184" TargetMode="External"/><Relationship Id="rId4281" Type="http://schemas.openxmlformats.org/officeDocument/2006/relationships/hyperlink" Target="https://creativecommons.org/licenses/by-nc/4.0/" TargetMode="External"/><Relationship Id="rId4282" Type="http://schemas.openxmlformats.org/officeDocument/2006/relationships/hyperlink" Target="https://www.inaturalist.org/observations/383162386" TargetMode="External"/><Relationship Id="rId4283" Type="http://schemas.openxmlformats.org/officeDocument/2006/relationships/hyperlink" Target="https://creativecommons.org/licenses/by-nc/4.0/" TargetMode="External"/><Relationship Id="rId4284" Type="http://schemas.openxmlformats.org/officeDocument/2006/relationships/hyperlink" Target="https://www.inaturalist.org/observations/383162299" TargetMode="External"/><Relationship Id="rId4285" Type="http://schemas.openxmlformats.org/officeDocument/2006/relationships/hyperlink" Target="https://creativecommons.org/licenses/by-nc/4.0/" TargetMode="External"/><Relationship Id="rId4286" Type="http://schemas.openxmlformats.org/officeDocument/2006/relationships/hyperlink" Target="https://www.inaturalist.org/observations/383161936" TargetMode="External"/><Relationship Id="rId4287" Type="http://schemas.openxmlformats.org/officeDocument/2006/relationships/hyperlink" Target="https://creativecommons.org/licenses/by-nc/4.0/" TargetMode="External"/><Relationship Id="rId4288" Type="http://schemas.openxmlformats.org/officeDocument/2006/relationships/hyperlink" Target="https://www.inaturalist.org/observations/383158388" TargetMode="External"/><Relationship Id="rId4289" Type="http://schemas.openxmlformats.org/officeDocument/2006/relationships/hyperlink" Target="https://creativecommons.org/licenses/by-nc/4.0/" TargetMode="External"/><Relationship Id="rId4290" Type="http://schemas.openxmlformats.org/officeDocument/2006/relationships/hyperlink" Target="https://www.inaturalist.org/observations/383157954" TargetMode="External"/><Relationship Id="rId4291" Type="http://schemas.openxmlformats.org/officeDocument/2006/relationships/hyperlink" Target="https://creativecommons.org/licenses/by-nc/4.0/" TargetMode="External"/><Relationship Id="rId4292" Type="http://schemas.openxmlformats.org/officeDocument/2006/relationships/hyperlink" Target="https://www.inaturalist.org/observations/383154095" TargetMode="External"/><Relationship Id="rId4293" Type="http://schemas.openxmlformats.org/officeDocument/2006/relationships/hyperlink" Target="https://creativecommons.org/licenses/by-nc/4.0/" TargetMode="External"/><Relationship Id="rId4294" Type="http://schemas.openxmlformats.org/officeDocument/2006/relationships/hyperlink" Target="https://www.inaturalist.org/observations/383152953" TargetMode="External"/><Relationship Id="rId4295" Type="http://schemas.openxmlformats.org/officeDocument/2006/relationships/hyperlink" Target="https://creativecommons.org/licenses/by-nc/4.0/" TargetMode="External"/><Relationship Id="rId4296" Type="http://schemas.openxmlformats.org/officeDocument/2006/relationships/hyperlink" Target="https://www.inaturalist.org/observations/383152811" TargetMode="External"/><Relationship Id="rId4297" Type="http://schemas.openxmlformats.org/officeDocument/2006/relationships/hyperlink" Target="https://creativecommons.org/licenses/by-nc/4.0/" TargetMode="External"/><Relationship Id="rId4298" Type="http://schemas.openxmlformats.org/officeDocument/2006/relationships/hyperlink" Target="https://www.inaturalist.org/observations/383152630" TargetMode="External"/><Relationship Id="rId4299" Type="http://schemas.openxmlformats.org/officeDocument/2006/relationships/hyperlink" Target="https://creativecommons.org/licenses/by-nc/4.0/" TargetMode="External"/><Relationship Id="rId4300" Type="http://schemas.openxmlformats.org/officeDocument/2006/relationships/hyperlink" Target="https://www.inaturalist.org/observations/383152012" TargetMode="External"/><Relationship Id="rId4301" Type="http://schemas.openxmlformats.org/officeDocument/2006/relationships/hyperlink" Target="https://creativecommons.org/licenses/by-nc/4.0/" TargetMode="External"/><Relationship Id="rId4302" Type="http://schemas.openxmlformats.org/officeDocument/2006/relationships/hyperlink" Target="https://www.inaturalist.org/observations/383151943" TargetMode="External"/><Relationship Id="rId4303" Type="http://schemas.openxmlformats.org/officeDocument/2006/relationships/hyperlink" Target="https://creativecommons.org/licenses/by-nc/4.0/" TargetMode="External"/><Relationship Id="rId4304" Type="http://schemas.openxmlformats.org/officeDocument/2006/relationships/hyperlink" Target="https://www.inaturalist.org/observations/383148579" TargetMode="External"/><Relationship Id="rId4305" Type="http://schemas.openxmlformats.org/officeDocument/2006/relationships/hyperlink" Target="https://creativecommons.org/licenses/by-nc/4.0/" TargetMode="External"/><Relationship Id="rId4306" Type="http://schemas.openxmlformats.org/officeDocument/2006/relationships/hyperlink" Target="https://www.inaturalist.org/observations/383148216" TargetMode="External"/><Relationship Id="rId4307" Type="http://schemas.openxmlformats.org/officeDocument/2006/relationships/hyperlink" Target="https://creativecommons.org/licenses/by-nc/4.0/" TargetMode="External"/><Relationship Id="rId4308" Type="http://schemas.openxmlformats.org/officeDocument/2006/relationships/hyperlink" Target="https://www.inaturalist.org/observations/383146774" TargetMode="External"/><Relationship Id="rId4309" Type="http://schemas.openxmlformats.org/officeDocument/2006/relationships/hyperlink" Target="https://creativecommons.org/licenses/by-nc/4.0/" TargetMode="External"/><Relationship Id="rId4310" Type="http://schemas.openxmlformats.org/officeDocument/2006/relationships/hyperlink" Target="https://www.inaturalist.org/observations/383146444" TargetMode="External"/><Relationship Id="rId4311" Type="http://schemas.openxmlformats.org/officeDocument/2006/relationships/hyperlink" Target="https://creativecommons.org/licenses/by-nc/4.0/" TargetMode="External"/><Relationship Id="rId4312" Type="http://schemas.openxmlformats.org/officeDocument/2006/relationships/hyperlink" Target="https://www.inaturalist.org/observations/383145126" TargetMode="External"/><Relationship Id="rId4313" Type="http://schemas.openxmlformats.org/officeDocument/2006/relationships/hyperlink" Target="https://creativecommons.org/licenses/by-nc/4.0/" TargetMode="External"/><Relationship Id="rId4314" Type="http://schemas.openxmlformats.org/officeDocument/2006/relationships/hyperlink" Target="https://www.inaturalist.org/observations/383144728" TargetMode="External"/><Relationship Id="rId4315" Type="http://schemas.openxmlformats.org/officeDocument/2006/relationships/hyperlink" Target="https://creativecommons.org/licenses/by-nc/4.0/" TargetMode="External"/><Relationship Id="rId4316" Type="http://schemas.openxmlformats.org/officeDocument/2006/relationships/hyperlink" Target="https://www.inaturalist.org/observations/383143757" TargetMode="External"/><Relationship Id="rId4317" Type="http://schemas.openxmlformats.org/officeDocument/2006/relationships/hyperlink" Target="https://creativecommons.org/licenses/by-nc/4.0/" TargetMode="External"/><Relationship Id="rId4318" Type="http://schemas.openxmlformats.org/officeDocument/2006/relationships/hyperlink" Target="https://www.inaturalist.org/observations/383143691" TargetMode="External"/><Relationship Id="rId4319" Type="http://schemas.openxmlformats.org/officeDocument/2006/relationships/hyperlink" Target="https://creativecommons.org/licenses/by-nc/4.0/" TargetMode="External"/><Relationship Id="rId4320" Type="http://schemas.openxmlformats.org/officeDocument/2006/relationships/hyperlink" Target="https://www.inaturalist.org/observations/383142549" TargetMode="External"/><Relationship Id="rId4321" Type="http://schemas.openxmlformats.org/officeDocument/2006/relationships/hyperlink" Target="https://creativecommons.org/licenses/by-nc/4.0/" TargetMode="External"/><Relationship Id="rId4322" Type="http://schemas.openxmlformats.org/officeDocument/2006/relationships/hyperlink" Target="https://www.inaturalist.org/observations/383138115" TargetMode="External"/><Relationship Id="rId4323" Type="http://schemas.openxmlformats.org/officeDocument/2006/relationships/hyperlink" Target="https://creativecommons.org/licenses/by-nc/4.0/" TargetMode="External"/><Relationship Id="rId4324" Type="http://schemas.openxmlformats.org/officeDocument/2006/relationships/hyperlink" Target="https://www.inaturalist.org/observations/383138106" TargetMode="External"/><Relationship Id="rId4325" Type="http://schemas.openxmlformats.org/officeDocument/2006/relationships/hyperlink" Target="https://creativecommons.org/licenses/by-nc/4.0/" TargetMode="External"/><Relationship Id="rId4326" Type="http://schemas.openxmlformats.org/officeDocument/2006/relationships/hyperlink" Target="https://www.inaturalist.org/observations/383138041" TargetMode="External"/><Relationship Id="rId4327" Type="http://schemas.openxmlformats.org/officeDocument/2006/relationships/hyperlink" Target="https://creativecommons.org/licenses/by-nc/4.0/" TargetMode="External"/><Relationship Id="rId4328" Type="http://schemas.openxmlformats.org/officeDocument/2006/relationships/hyperlink" Target="https://www.inaturalist.org/observations/383137997" TargetMode="External"/><Relationship Id="rId4329" Type="http://schemas.openxmlformats.org/officeDocument/2006/relationships/hyperlink" Target="https://creativecommons.org/licenses/by-nc/4.0/" TargetMode="External"/><Relationship Id="rId4330" Type="http://schemas.openxmlformats.org/officeDocument/2006/relationships/hyperlink" Target="https://www.inaturalist.org/observations/383137242" TargetMode="External"/><Relationship Id="rId4331" Type="http://schemas.openxmlformats.org/officeDocument/2006/relationships/hyperlink" Target="https://creativecommons.org/licenses/by-nc/4.0/" TargetMode="External"/><Relationship Id="rId4332" Type="http://schemas.openxmlformats.org/officeDocument/2006/relationships/hyperlink" Target="https://www.inaturalist.org/observations/383136831" TargetMode="External"/><Relationship Id="rId4333" Type="http://schemas.openxmlformats.org/officeDocument/2006/relationships/hyperlink" Target="https://creativecommons.org/licenses/by-nc/4.0/" TargetMode="External"/><Relationship Id="rId4334" Type="http://schemas.openxmlformats.org/officeDocument/2006/relationships/hyperlink" Target="https://www.inaturalist.org/observations/383135858" TargetMode="External"/><Relationship Id="rId4335" Type="http://schemas.openxmlformats.org/officeDocument/2006/relationships/hyperlink" Target="https://creativecommons.org/licenses/by-nc/4.0/" TargetMode="External"/><Relationship Id="rId4336" Type="http://schemas.openxmlformats.org/officeDocument/2006/relationships/hyperlink" Target="https://www.inaturalist.org/observations/383134668" TargetMode="External"/><Relationship Id="rId4337" Type="http://schemas.openxmlformats.org/officeDocument/2006/relationships/hyperlink" Target="https://creativecommons.org/licenses/by-nc/4.0/" TargetMode="External"/><Relationship Id="rId4338" Type="http://schemas.openxmlformats.org/officeDocument/2006/relationships/hyperlink" Target="https://www.inaturalist.org/observations/383132747" TargetMode="External"/><Relationship Id="rId4339" Type="http://schemas.openxmlformats.org/officeDocument/2006/relationships/hyperlink" Target="https://creativecommons.org/licenses/by-nc/4.0/" TargetMode="External"/><Relationship Id="rId4340" Type="http://schemas.openxmlformats.org/officeDocument/2006/relationships/hyperlink" Target="https://www.inaturalist.org/observations/383131755" TargetMode="External"/><Relationship Id="rId4341" Type="http://schemas.openxmlformats.org/officeDocument/2006/relationships/hyperlink" Target="https://creativecommons.org/licenses/by-nc/4.0/" TargetMode="External"/><Relationship Id="rId4342" Type="http://schemas.openxmlformats.org/officeDocument/2006/relationships/hyperlink" Target="https://www.inaturalist.org/observations/383129891" TargetMode="External"/><Relationship Id="rId4343" Type="http://schemas.openxmlformats.org/officeDocument/2006/relationships/hyperlink" Target="https://creativecommons.org/licenses/by-nc/4.0/" TargetMode="External"/><Relationship Id="rId4344" Type="http://schemas.openxmlformats.org/officeDocument/2006/relationships/hyperlink" Target="https://www.inaturalist.org/observations/383128914" TargetMode="External"/><Relationship Id="rId4345" Type="http://schemas.openxmlformats.org/officeDocument/2006/relationships/hyperlink" Target="https://creativecommons.org/licenses/by-nc/4.0/" TargetMode="External"/><Relationship Id="rId4346" Type="http://schemas.openxmlformats.org/officeDocument/2006/relationships/hyperlink" Target="https://www.inaturalist.org/observations/383126122" TargetMode="External"/><Relationship Id="rId4347" Type="http://schemas.openxmlformats.org/officeDocument/2006/relationships/hyperlink" Target="https://creativecommons.org/licenses/by-nc/4.0/" TargetMode="External"/><Relationship Id="rId4348" Type="http://schemas.openxmlformats.org/officeDocument/2006/relationships/hyperlink" Target="https://www.inaturalist.org/observations/383125503" TargetMode="External"/><Relationship Id="rId4349" Type="http://schemas.openxmlformats.org/officeDocument/2006/relationships/hyperlink" Target="https://creativecommons.org/licenses/by-nc/4.0/" TargetMode="External"/><Relationship Id="rId4350" Type="http://schemas.openxmlformats.org/officeDocument/2006/relationships/hyperlink" Target="https://www.inaturalist.org/observations/383124590" TargetMode="External"/><Relationship Id="rId4351" Type="http://schemas.openxmlformats.org/officeDocument/2006/relationships/hyperlink" Target="https://creativecommons.org/licenses/by-nc/4.0/" TargetMode="External"/><Relationship Id="rId4352" Type="http://schemas.openxmlformats.org/officeDocument/2006/relationships/hyperlink" Target="https://www.inaturalist.org/observations/383123415" TargetMode="External"/><Relationship Id="rId4353" Type="http://schemas.openxmlformats.org/officeDocument/2006/relationships/hyperlink" Target="https://creativecommons.org/licenses/by-nc/4.0/" TargetMode="External"/><Relationship Id="rId4354" Type="http://schemas.openxmlformats.org/officeDocument/2006/relationships/hyperlink" Target="https://www.inaturalist.org/observations/383122106" TargetMode="External"/><Relationship Id="rId4355" Type="http://schemas.openxmlformats.org/officeDocument/2006/relationships/hyperlink" Target="https://creativecommons.org/licenses/by-nc/4.0/" TargetMode="External"/><Relationship Id="rId4356" Type="http://schemas.openxmlformats.org/officeDocument/2006/relationships/hyperlink" Target="https://www.inaturalist.org/observations/383120292" TargetMode="External"/><Relationship Id="rId4357" Type="http://schemas.openxmlformats.org/officeDocument/2006/relationships/hyperlink" Target="https://creativecommons.org/licenses/by-nc/4.0/" TargetMode="External"/><Relationship Id="rId4358" Type="http://schemas.openxmlformats.org/officeDocument/2006/relationships/hyperlink" Target="https://www.inaturalist.org/observations/383120082" TargetMode="External"/><Relationship Id="rId4359" Type="http://schemas.openxmlformats.org/officeDocument/2006/relationships/hyperlink" Target="https://creativecommons.org/licenses/by-nc/4.0/" TargetMode="External"/><Relationship Id="rId4360" Type="http://schemas.openxmlformats.org/officeDocument/2006/relationships/hyperlink" Target="https://www.inaturalist.org/observations/383119607" TargetMode="External"/><Relationship Id="rId4361" Type="http://schemas.openxmlformats.org/officeDocument/2006/relationships/hyperlink" Target="https://creativecommons.org/licenses/by-nc/4.0/" TargetMode="External"/><Relationship Id="rId4362" Type="http://schemas.openxmlformats.org/officeDocument/2006/relationships/hyperlink" Target="https://www.inaturalist.org/observations/383119564" TargetMode="External"/><Relationship Id="rId4363" Type="http://schemas.openxmlformats.org/officeDocument/2006/relationships/hyperlink" Target="https://creativecommons.org/licenses/by-nc/4.0/" TargetMode="External"/><Relationship Id="rId4364" Type="http://schemas.openxmlformats.org/officeDocument/2006/relationships/hyperlink" Target="https://www.inaturalist.org/observations/383118711" TargetMode="External"/><Relationship Id="rId4365" Type="http://schemas.openxmlformats.org/officeDocument/2006/relationships/hyperlink" Target="https://creativecommons.org/licenses/by-nc/4.0/" TargetMode="External"/><Relationship Id="rId4366" Type="http://schemas.openxmlformats.org/officeDocument/2006/relationships/hyperlink" Target="https://www.inaturalist.org/observations/383117950" TargetMode="External"/><Relationship Id="rId4367" Type="http://schemas.openxmlformats.org/officeDocument/2006/relationships/hyperlink" Target="https://creativecommons.org/licenses/by-nc/4.0/" TargetMode="External"/><Relationship Id="rId4368" Type="http://schemas.openxmlformats.org/officeDocument/2006/relationships/hyperlink" Target="https://www.inaturalist.org/observations/383117946" TargetMode="External"/><Relationship Id="rId4369" Type="http://schemas.openxmlformats.org/officeDocument/2006/relationships/hyperlink" Target="https://creativecommons.org/licenses/by-nc/4.0/" TargetMode="External"/><Relationship Id="rId4370" Type="http://schemas.openxmlformats.org/officeDocument/2006/relationships/hyperlink" Target="https://www.inaturalist.org/observations/383117258" TargetMode="External"/><Relationship Id="rId4371" Type="http://schemas.openxmlformats.org/officeDocument/2006/relationships/hyperlink" Target="https://creativecommons.org/licenses/by-nc/4.0/" TargetMode="External"/><Relationship Id="rId4372" Type="http://schemas.openxmlformats.org/officeDocument/2006/relationships/hyperlink" Target="https://www.inaturalist.org/observations/383116105" TargetMode="External"/><Relationship Id="rId4373" Type="http://schemas.openxmlformats.org/officeDocument/2006/relationships/hyperlink" Target="https://creativecommons.org/licenses/by-nc/4.0/" TargetMode="External"/><Relationship Id="rId4374" Type="http://schemas.openxmlformats.org/officeDocument/2006/relationships/hyperlink" Target="https://www.inaturalist.org/observations/383115198" TargetMode="External"/><Relationship Id="rId4375" Type="http://schemas.openxmlformats.org/officeDocument/2006/relationships/hyperlink" Target="https://creativecommons.org/licenses/by-nc/4.0/" TargetMode="External"/><Relationship Id="rId4376" Type="http://schemas.openxmlformats.org/officeDocument/2006/relationships/hyperlink" Target="https://www.inaturalist.org/observations/383112936" TargetMode="External"/><Relationship Id="rId4377" Type="http://schemas.openxmlformats.org/officeDocument/2006/relationships/hyperlink" Target="https://creativecommons.org/licenses/by-nc/4.0/" TargetMode="External"/><Relationship Id="rId4378" Type="http://schemas.openxmlformats.org/officeDocument/2006/relationships/hyperlink" Target="https://www.inaturalist.org/observations/383112320" TargetMode="External"/><Relationship Id="rId4379" Type="http://schemas.openxmlformats.org/officeDocument/2006/relationships/hyperlink" Target="https://creativecommons.org/licenses/by-nc/4.0/" TargetMode="External"/><Relationship Id="rId4380" Type="http://schemas.openxmlformats.org/officeDocument/2006/relationships/hyperlink" Target="https://www.inaturalist.org/observations/383112119" TargetMode="External"/><Relationship Id="rId4381" Type="http://schemas.openxmlformats.org/officeDocument/2006/relationships/hyperlink" Target="https://creativecommons.org/licenses/by-nc/4.0/" TargetMode="External"/><Relationship Id="rId4382" Type="http://schemas.openxmlformats.org/officeDocument/2006/relationships/hyperlink" Target="https://www.inaturalist.org/observations/383112069" TargetMode="External"/><Relationship Id="rId4383" Type="http://schemas.openxmlformats.org/officeDocument/2006/relationships/hyperlink" Target="https://creativecommons.org/licenses/by-nc/4.0/" TargetMode="External"/><Relationship Id="rId4384" Type="http://schemas.openxmlformats.org/officeDocument/2006/relationships/hyperlink" Target="https://www.inaturalist.org/observations/383109191" TargetMode="External"/><Relationship Id="rId4385" Type="http://schemas.openxmlformats.org/officeDocument/2006/relationships/hyperlink" Target="https://creativecommons.org/licenses/by-nc/4.0/" TargetMode="External"/><Relationship Id="rId4386" Type="http://schemas.openxmlformats.org/officeDocument/2006/relationships/hyperlink" Target="https://www.inaturalist.org/observations/383107346" TargetMode="External"/><Relationship Id="rId4387" Type="http://schemas.openxmlformats.org/officeDocument/2006/relationships/hyperlink" Target="https://creativecommons.org/licenses/by-nc/4.0/" TargetMode="External"/><Relationship Id="rId4388" Type="http://schemas.openxmlformats.org/officeDocument/2006/relationships/hyperlink" Target="https://www.inaturalist.org/observations/383106459" TargetMode="External"/><Relationship Id="rId4389" Type="http://schemas.openxmlformats.org/officeDocument/2006/relationships/hyperlink" Target="https://creativecommons.org/licenses/by-nc/4.0/" TargetMode="External"/><Relationship Id="rId4390" Type="http://schemas.openxmlformats.org/officeDocument/2006/relationships/hyperlink" Target="https://www.inaturalist.org/observations/383106437" TargetMode="External"/><Relationship Id="rId4391" Type="http://schemas.openxmlformats.org/officeDocument/2006/relationships/hyperlink" Target="https://creativecommons.org/licenses/by-nc/4.0/" TargetMode="External"/><Relationship Id="rId4392" Type="http://schemas.openxmlformats.org/officeDocument/2006/relationships/hyperlink" Target="https://www.inaturalist.org/observations/383106207" TargetMode="External"/><Relationship Id="rId4393" Type="http://schemas.openxmlformats.org/officeDocument/2006/relationships/hyperlink" Target="https://creativecommons.org/licenses/by-nc/4.0/" TargetMode="External"/><Relationship Id="rId4394" Type="http://schemas.openxmlformats.org/officeDocument/2006/relationships/hyperlink" Target="https://www.inaturalist.org/observations/383106004" TargetMode="External"/><Relationship Id="rId4395" Type="http://schemas.openxmlformats.org/officeDocument/2006/relationships/hyperlink" Target="https://creativecommons.org/licenses/by-nc/4.0/" TargetMode="External"/><Relationship Id="rId4396" Type="http://schemas.openxmlformats.org/officeDocument/2006/relationships/hyperlink" Target="https://www.inaturalist.org/observations/383105514" TargetMode="External"/><Relationship Id="rId4397" Type="http://schemas.openxmlformats.org/officeDocument/2006/relationships/hyperlink" Target="https://creativecommons.org/licenses/by-nc/4.0/" TargetMode="External"/><Relationship Id="rId4398" Type="http://schemas.openxmlformats.org/officeDocument/2006/relationships/hyperlink" Target="https://www.inaturalist.org/observations/383104157" TargetMode="External"/><Relationship Id="rId4399" Type="http://schemas.openxmlformats.org/officeDocument/2006/relationships/hyperlink" Target="https://creativecommons.org/licenses/by-nc/4.0/" TargetMode="External"/><Relationship Id="rId4400" Type="http://schemas.openxmlformats.org/officeDocument/2006/relationships/hyperlink" Target="https://www.inaturalist.org/observations/383102177" TargetMode="External"/><Relationship Id="rId4401" Type="http://schemas.openxmlformats.org/officeDocument/2006/relationships/hyperlink" Target="https://creativecommons.org/licenses/by-nc/4.0/" TargetMode="External"/><Relationship Id="rId4402" Type="http://schemas.openxmlformats.org/officeDocument/2006/relationships/hyperlink" Target="https://www.inaturalist.org/observations/383101715" TargetMode="External"/><Relationship Id="rId4403" Type="http://schemas.openxmlformats.org/officeDocument/2006/relationships/hyperlink" Target="https://creativecommons.org/licenses/by-nc/4.0/" TargetMode="External"/><Relationship Id="rId4404" Type="http://schemas.openxmlformats.org/officeDocument/2006/relationships/hyperlink" Target="https://www.inaturalist.org/observations/383101492" TargetMode="External"/><Relationship Id="rId4405" Type="http://schemas.openxmlformats.org/officeDocument/2006/relationships/hyperlink" Target="https://creativecommons.org/licenses/by-nc/4.0/" TargetMode="External"/><Relationship Id="rId4406" Type="http://schemas.openxmlformats.org/officeDocument/2006/relationships/hyperlink" Target="https://www.inaturalist.org/observations/383101319" TargetMode="External"/><Relationship Id="rId4407" Type="http://schemas.openxmlformats.org/officeDocument/2006/relationships/hyperlink" Target="https://creativecommons.org/licenses/by-nc/4.0/" TargetMode="External"/><Relationship Id="rId4408" Type="http://schemas.openxmlformats.org/officeDocument/2006/relationships/hyperlink" Target="https://www.inaturalist.org/observations/383099664" TargetMode="External"/><Relationship Id="rId4409" Type="http://schemas.openxmlformats.org/officeDocument/2006/relationships/hyperlink" Target="https://creativecommons.org/licenses/by-nc/4.0/" TargetMode="External"/><Relationship Id="rId4410" Type="http://schemas.openxmlformats.org/officeDocument/2006/relationships/hyperlink" Target="https://www.inaturalist.org/observations/383098349" TargetMode="External"/><Relationship Id="rId4411" Type="http://schemas.openxmlformats.org/officeDocument/2006/relationships/hyperlink" Target="https://creativecommons.org/licenses/by-nc/4.0/" TargetMode="External"/><Relationship Id="rId4412" Type="http://schemas.openxmlformats.org/officeDocument/2006/relationships/hyperlink" Target="https://www.inaturalist.org/observations/383095922" TargetMode="External"/><Relationship Id="rId4413" Type="http://schemas.openxmlformats.org/officeDocument/2006/relationships/hyperlink" Target="https://creativecommons.org/licenses/by-nc/4.0/" TargetMode="External"/><Relationship Id="rId4414" Type="http://schemas.openxmlformats.org/officeDocument/2006/relationships/hyperlink" Target="https://www.inaturalist.org/observations/383095549" TargetMode="External"/><Relationship Id="rId4415" Type="http://schemas.openxmlformats.org/officeDocument/2006/relationships/hyperlink" Target="https://creativecommons.org/licenses/by-nc/4.0/" TargetMode="External"/><Relationship Id="rId4416" Type="http://schemas.openxmlformats.org/officeDocument/2006/relationships/hyperlink" Target="https://www.inaturalist.org/observations/383093829" TargetMode="External"/><Relationship Id="rId4417" Type="http://schemas.openxmlformats.org/officeDocument/2006/relationships/hyperlink" Target="https://creativecommons.org/licenses/by-nc/4.0/" TargetMode="External"/><Relationship Id="rId4418" Type="http://schemas.openxmlformats.org/officeDocument/2006/relationships/hyperlink" Target="https://www.inaturalist.org/observations/383093084" TargetMode="External"/><Relationship Id="rId4419" Type="http://schemas.openxmlformats.org/officeDocument/2006/relationships/hyperlink" Target="https://creativecommons.org/licenses/by-nc/4.0/" TargetMode="External"/><Relationship Id="rId4420" Type="http://schemas.openxmlformats.org/officeDocument/2006/relationships/hyperlink" Target="https://www.inaturalist.org/observations/383090817" TargetMode="External"/><Relationship Id="rId4421" Type="http://schemas.openxmlformats.org/officeDocument/2006/relationships/hyperlink" Target="https://creativecommons.org/licenses/by-nc/4.0/" TargetMode="External"/><Relationship Id="rId4422" Type="http://schemas.openxmlformats.org/officeDocument/2006/relationships/hyperlink" Target="https://www.inaturalist.org/observations/383090175" TargetMode="External"/><Relationship Id="rId4423" Type="http://schemas.openxmlformats.org/officeDocument/2006/relationships/hyperlink" Target="https://creativecommons.org/licenses/by-nc/4.0/" TargetMode="External"/><Relationship Id="rId4424" Type="http://schemas.openxmlformats.org/officeDocument/2006/relationships/hyperlink" Target="https://www.inaturalist.org/observations/383090034" TargetMode="External"/><Relationship Id="rId4425" Type="http://schemas.openxmlformats.org/officeDocument/2006/relationships/hyperlink" Target="https://creativecommons.org/licenses/by-nc/4.0/" TargetMode="External"/><Relationship Id="rId4426" Type="http://schemas.openxmlformats.org/officeDocument/2006/relationships/hyperlink" Target="https://www.inaturalist.org/observations/383089320" TargetMode="External"/><Relationship Id="rId4427" Type="http://schemas.openxmlformats.org/officeDocument/2006/relationships/hyperlink" Target="https://creativecommons.org/licenses/by-nc/4.0/" TargetMode="External"/><Relationship Id="rId4428" Type="http://schemas.openxmlformats.org/officeDocument/2006/relationships/hyperlink" Target="https://www.inaturalist.org/observations/383088958" TargetMode="External"/><Relationship Id="rId4429" Type="http://schemas.openxmlformats.org/officeDocument/2006/relationships/hyperlink" Target="https://creativecommons.org/licenses/by-nc/4.0/" TargetMode="External"/><Relationship Id="rId4430" Type="http://schemas.openxmlformats.org/officeDocument/2006/relationships/hyperlink" Target="https://www.inaturalist.org/observations/383087293" TargetMode="External"/><Relationship Id="rId4431" Type="http://schemas.openxmlformats.org/officeDocument/2006/relationships/hyperlink" Target="https://creativecommons.org/licenses/by-nc/4.0/" TargetMode="External"/><Relationship Id="rId4432" Type="http://schemas.openxmlformats.org/officeDocument/2006/relationships/hyperlink" Target="https://www.inaturalist.org/observations/383086329" TargetMode="External"/><Relationship Id="rId4433" Type="http://schemas.openxmlformats.org/officeDocument/2006/relationships/hyperlink" Target="https://creativecommons.org/licenses/by-nc/4.0/" TargetMode="External"/><Relationship Id="rId4434" Type="http://schemas.openxmlformats.org/officeDocument/2006/relationships/hyperlink" Target="https://www.inaturalist.org/observations/383083933" TargetMode="External"/><Relationship Id="rId4435" Type="http://schemas.openxmlformats.org/officeDocument/2006/relationships/hyperlink" Target="https://creativecommons.org/licenses/by-nc/4.0/" TargetMode="External"/><Relationship Id="rId4436" Type="http://schemas.openxmlformats.org/officeDocument/2006/relationships/hyperlink" Target="https://www.inaturalist.org/observations/383083850" TargetMode="External"/><Relationship Id="rId4437" Type="http://schemas.openxmlformats.org/officeDocument/2006/relationships/hyperlink" Target="https://creativecommons.org/licenses/by-nc/4.0/" TargetMode="External"/><Relationship Id="rId4438" Type="http://schemas.openxmlformats.org/officeDocument/2006/relationships/hyperlink" Target="https://www.inaturalist.org/observations/383083762" TargetMode="External"/><Relationship Id="rId4439" Type="http://schemas.openxmlformats.org/officeDocument/2006/relationships/hyperlink" Target="https://creativecommons.org/licenses/by-nc/4.0/" TargetMode="External"/><Relationship Id="rId4440" Type="http://schemas.openxmlformats.org/officeDocument/2006/relationships/hyperlink" Target="https://www.inaturalist.org/observations/383083570" TargetMode="External"/><Relationship Id="rId4441" Type="http://schemas.openxmlformats.org/officeDocument/2006/relationships/hyperlink" Target="https://creativecommons.org/licenses/by-nc/4.0/" TargetMode="External"/><Relationship Id="rId4442" Type="http://schemas.openxmlformats.org/officeDocument/2006/relationships/hyperlink" Target="https://www.inaturalist.org/observations/383083418" TargetMode="External"/><Relationship Id="rId4443" Type="http://schemas.openxmlformats.org/officeDocument/2006/relationships/hyperlink" Target="https://creativecommons.org/licenses/by-nc/4.0/" TargetMode="External"/><Relationship Id="rId4444" Type="http://schemas.openxmlformats.org/officeDocument/2006/relationships/hyperlink" Target="https://www.inaturalist.org/observations/383082938" TargetMode="External"/><Relationship Id="rId4445" Type="http://schemas.openxmlformats.org/officeDocument/2006/relationships/hyperlink" Target="https://creativecommons.org/licenses/by-nc/4.0/" TargetMode="External"/><Relationship Id="rId4446" Type="http://schemas.openxmlformats.org/officeDocument/2006/relationships/hyperlink" Target="https://www.inaturalist.org/observations/383080511" TargetMode="External"/><Relationship Id="rId4447" Type="http://schemas.openxmlformats.org/officeDocument/2006/relationships/hyperlink" Target="https://creativecommons.org/licenses/by-nc/4.0/" TargetMode="External"/><Relationship Id="rId4448" Type="http://schemas.openxmlformats.org/officeDocument/2006/relationships/hyperlink" Target="https://www.inaturalist.org/observations/383079450" TargetMode="External"/><Relationship Id="rId4449" Type="http://schemas.openxmlformats.org/officeDocument/2006/relationships/hyperlink" Target="https://creativecommons.org/licenses/by-nc/4.0/" TargetMode="External"/><Relationship Id="rId4450" Type="http://schemas.openxmlformats.org/officeDocument/2006/relationships/hyperlink" Target="https://www.inaturalist.org/observations/383078792" TargetMode="External"/><Relationship Id="rId4451" Type="http://schemas.openxmlformats.org/officeDocument/2006/relationships/hyperlink" Target="https://creativecommons.org/licenses/by-nc/4.0/" TargetMode="External"/><Relationship Id="rId4452" Type="http://schemas.openxmlformats.org/officeDocument/2006/relationships/hyperlink" Target="https://www.inaturalist.org/observations/383078693" TargetMode="External"/><Relationship Id="rId4453" Type="http://schemas.openxmlformats.org/officeDocument/2006/relationships/hyperlink" Target="https://creativecommons.org/licenses/by-nc/4.0/" TargetMode="External"/><Relationship Id="rId4454" Type="http://schemas.openxmlformats.org/officeDocument/2006/relationships/hyperlink" Target="https://www.inaturalist.org/observations/383078432" TargetMode="External"/><Relationship Id="rId4455" Type="http://schemas.openxmlformats.org/officeDocument/2006/relationships/hyperlink" Target="https://creativecommons.org/licenses/by-nc/4.0/" TargetMode="External"/><Relationship Id="rId4456" Type="http://schemas.openxmlformats.org/officeDocument/2006/relationships/hyperlink" Target="https://www.inaturalist.org/observations/383078057" TargetMode="External"/><Relationship Id="rId4457" Type="http://schemas.openxmlformats.org/officeDocument/2006/relationships/hyperlink" Target="https://creativecommons.org/licenses/by-nc/4.0/" TargetMode="External"/><Relationship Id="rId4458" Type="http://schemas.openxmlformats.org/officeDocument/2006/relationships/hyperlink" Target="https://www.inaturalist.org/observations/383077399" TargetMode="External"/><Relationship Id="rId4459" Type="http://schemas.openxmlformats.org/officeDocument/2006/relationships/hyperlink" Target="https://creativecommons.org/licenses/by-nc/4.0/" TargetMode="External"/><Relationship Id="rId4460" Type="http://schemas.openxmlformats.org/officeDocument/2006/relationships/hyperlink" Target="https://www.inaturalist.org/observations/383076649" TargetMode="External"/><Relationship Id="rId4461" Type="http://schemas.openxmlformats.org/officeDocument/2006/relationships/hyperlink" Target="https://creativecommons.org/licenses/by-nc/4.0/" TargetMode="External"/><Relationship Id="rId4462" Type="http://schemas.openxmlformats.org/officeDocument/2006/relationships/hyperlink" Target="https://www.inaturalist.org/observations/383076415" TargetMode="External"/><Relationship Id="rId4463" Type="http://schemas.openxmlformats.org/officeDocument/2006/relationships/hyperlink" Target="https://creativecommons.org/licenses/by-nc/4.0/" TargetMode="External"/><Relationship Id="rId4464" Type="http://schemas.openxmlformats.org/officeDocument/2006/relationships/hyperlink" Target="https://www.inaturalist.org/observations/383075125" TargetMode="External"/><Relationship Id="rId4465" Type="http://schemas.openxmlformats.org/officeDocument/2006/relationships/hyperlink" Target="https://creativecommons.org/licenses/by-nc/4.0/" TargetMode="External"/><Relationship Id="rId4466" Type="http://schemas.openxmlformats.org/officeDocument/2006/relationships/hyperlink" Target="https://www.inaturalist.org/observations/383071406" TargetMode="External"/><Relationship Id="rId4467" Type="http://schemas.openxmlformats.org/officeDocument/2006/relationships/hyperlink" Target="https://creativecommons.org/licenses/by-nc/4.0/" TargetMode="External"/><Relationship Id="rId4468" Type="http://schemas.openxmlformats.org/officeDocument/2006/relationships/hyperlink" Target="https://www.inaturalist.org/observations/383070563" TargetMode="External"/><Relationship Id="rId4469" Type="http://schemas.openxmlformats.org/officeDocument/2006/relationships/hyperlink" Target="https://creativecommons.org/licenses/by-nc/4.0/" TargetMode="External"/><Relationship Id="rId4470" Type="http://schemas.openxmlformats.org/officeDocument/2006/relationships/hyperlink" Target="https://www.inaturalist.org/observations/383070484" TargetMode="External"/><Relationship Id="rId4471" Type="http://schemas.openxmlformats.org/officeDocument/2006/relationships/hyperlink" Target="https://creativecommons.org/licenses/by-nc/4.0/" TargetMode="External"/><Relationship Id="rId4472" Type="http://schemas.openxmlformats.org/officeDocument/2006/relationships/hyperlink" Target="https://www.inaturalist.org/observations/383070258" TargetMode="External"/><Relationship Id="rId4473" Type="http://schemas.openxmlformats.org/officeDocument/2006/relationships/hyperlink" Target="https://creativecommons.org/licenses/by-nc/4.0/" TargetMode="External"/><Relationship Id="rId4474" Type="http://schemas.openxmlformats.org/officeDocument/2006/relationships/hyperlink" Target="https://www.inaturalist.org/observations/383069893" TargetMode="External"/><Relationship Id="rId4475" Type="http://schemas.openxmlformats.org/officeDocument/2006/relationships/hyperlink" Target="https://creativecommons.org/licenses/by-nc/4.0/" TargetMode="External"/><Relationship Id="rId4476" Type="http://schemas.openxmlformats.org/officeDocument/2006/relationships/hyperlink" Target="https://www.inaturalist.org/observations/383068772" TargetMode="External"/><Relationship Id="rId4477" Type="http://schemas.openxmlformats.org/officeDocument/2006/relationships/hyperlink" Target="https://creativecommons.org/licenses/by-nc/4.0/" TargetMode="External"/><Relationship Id="rId4478" Type="http://schemas.openxmlformats.org/officeDocument/2006/relationships/hyperlink" Target="https://www.inaturalist.org/observations/383067294" TargetMode="External"/><Relationship Id="rId4479" Type="http://schemas.openxmlformats.org/officeDocument/2006/relationships/hyperlink" Target="https://creativecommons.org/licenses/by-nc/4.0/" TargetMode="External"/><Relationship Id="rId4480" Type="http://schemas.openxmlformats.org/officeDocument/2006/relationships/hyperlink" Target="https://www.inaturalist.org/observations/383066271" TargetMode="External"/><Relationship Id="rId4481" Type="http://schemas.openxmlformats.org/officeDocument/2006/relationships/hyperlink" Target="https://creativecommons.org/licenses/by-nc/4.0/" TargetMode="External"/><Relationship Id="rId4482" Type="http://schemas.openxmlformats.org/officeDocument/2006/relationships/hyperlink" Target="https://www.inaturalist.org/observations/383065123" TargetMode="External"/><Relationship Id="rId4483" Type="http://schemas.openxmlformats.org/officeDocument/2006/relationships/hyperlink" Target="https://creativecommons.org/licenses/by-nc/4.0/" TargetMode="External"/><Relationship Id="rId4484" Type="http://schemas.openxmlformats.org/officeDocument/2006/relationships/hyperlink" Target="https://www.inaturalist.org/observations/383064619" TargetMode="External"/><Relationship Id="rId4485" Type="http://schemas.openxmlformats.org/officeDocument/2006/relationships/hyperlink" Target="https://creativecommons.org/licenses/by-nc/4.0/" TargetMode="External"/><Relationship Id="rId4486" Type="http://schemas.openxmlformats.org/officeDocument/2006/relationships/hyperlink" Target="https://www.inaturalist.org/observations/383064450" TargetMode="External"/><Relationship Id="rId4487" Type="http://schemas.openxmlformats.org/officeDocument/2006/relationships/hyperlink" Target="https://creativecommons.org/licenses/by-nc/4.0/" TargetMode="External"/><Relationship Id="rId4488" Type="http://schemas.openxmlformats.org/officeDocument/2006/relationships/hyperlink" Target="https://www.inaturalist.org/observations/383063793" TargetMode="External"/><Relationship Id="rId4489" Type="http://schemas.openxmlformats.org/officeDocument/2006/relationships/hyperlink" Target="https://creativecommons.org/licenses/by-nc/4.0/" TargetMode="External"/><Relationship Id="rId4490" Type="http://schemas.openxmlformats.org/officeDocument/2006/relationships/hyperlink" Target="https://www.inaturalist.org/observations/383060282" TargetMode="External"/><Relationship Id="rId4491" Type="http://schemas.openxmlformats.org/officeDocument/2006/relationships/hyperlink" Target="https://creativecommons.org/licenses/by-nc/4.0/" TargetMode="External"/><Relationship Id="rId4492" Type="http://schemas.openxmlformats.org/officeDocument/2006/relationships/hyperlink" Target="https://www.inaturalist.org/observations/383058902" TargetMode="External"/><Relationship Id="rId4493" Type="http://schemas.openxmlformats.org/officeDocument/2006/relationships/hyperlink" Target="https://creativecommons.org/licenses/by-nc/4.0/" TargetMode="External"/><Relationship Id="rId4494" Type="http://schemas.openxmlformats.org/officeDocument/2006/relationships/hyperlink" Target="https://www.inaturalist.org/observations/383058413" TargetMode="External"/><Relationship Id="rId4495" Type="http://schemas.openxmlformats.org/officeDocument/2006/relationships/hyperlink" Target="https://creativecommons.org/licenses/by-nc/4.0/" TargetMode="External"/><Relationship Id="rId4496" Type="http://schemas.openxmlformats.org/officeDocument/2006/relationships/hyperlink" Target="https://www.inaturalist.org/observations/383057937" TargetMode="External"/><Relationship Id="rId4497" Type="http://schemas.openxmlformats.org/officeDocument/2006/relationships/hyperlink" Target="https://creativecommons.org/licenses/by-nc/4.0/" TargetMode="External"/><Relationship Id="rId4498" Type="http://schemas.openxmlformats.org/officeDocument/2006/relationships/hyperlink" Target="https://www.inaturalist.org/observations/383053820" TargetMode="External"/><Relationship Id="rId4499" Type="http://schemas.openxmlformats.org/officeDocument/2006/relationships/hyperlink" Target="https://creativecommons.org/licenses/by-nc/4.0/" TargetMode="External"/><Relationship Id="rId4500" Type="http://schemas.openxmlformats.org/officeDocument/2006/relationships/hyperlink" Target="https://www.inaturalist.org/observations/383052433" TargetMode="External"/><Relationship Id="rId4501" Type="http://schemas.openxmlformats.org/officeDocument/2006/relationships/hyperlink" Target="https://creativecommons.org/licenses/by-nc/4.0/" TargetMode="External"/><Relationship Id="rId4502" Type="http://schemas.openxmlformats.org/officeDocument/2006/relationships/hyperlink" Target="https://www.inaturalist.org/observations/383052034" TargetMode="External"/><Relationship Id="rId4503" Type="http://schemas.openxmlformats.org/officeDocument/2006/relationships/hyperlink" Target="https://creativecommons.org/licenses/by-nc/4.0/" TargetMode="External"/><Relationship Id="rId4504" Type="http://schemas.openxmlformats.org/officeDocument/2006/relationships/hyperlink" Target="https://www.inaturalist.org/observations/383051555" TargetMode="External"/><Relationship Id="rId4505" Type="http://schemas.openxmlformats.org/officeDocument/2006/relationships/hyperlink" Target="https://creativecommons.org/licenses/by-nc/4.0/" TargetMode="External"/><Relationship Id="rId4506" Type="http://schemas.openxmlformats.org/officeDocument/2006/relationships/hyperlink" Target="https://www.inaturalist.org/observations/383050205" TargetMode="External"/><Relationship Id="rId4507" Type="http://schemas.openxmlformats.org/officeDocument/2006/relationships/hyperlink" Target="https://creativecommons.org/licenses/by-nc/4.0/" TargetMode="External"/><Relationship Id="rId4508" Type="http://schemas.openxmlformats.org/officeDocument/2006/relationships/hyperlink" Target="https://www.inaturalist.org/observations/383047723" TargetMode="External"/><Relationship Id="rId4509" Type="http://schemas.openxmlformats.org/officeDocument/2006/relationships/hyperlink" Target="https://creativecommons.org/licenses/by-nc/4.0/" TargetMode="External"/><Relationship Id="rId4510" Type="http://schemas.openxmlformats.org/officeDocument/2006/relationships/hyperlink" Target="https://www.inaturalist.org/observations/383046016" TargetMode="External"/><Relationship Id="rId4511" Type="http://schemas.openxmlformats.org/officeDocument/2006/relationships/hyperlink" Target="https://creativecommons.org/licenses/by-nc/4.0/" TargetMode="External"/><Relationship Id="rId4512" Type="http://schemas.openxmlformats.org/officeDocument/2006/relationships/hyperlink" Target="https://www.inaturalist.org/observations/383045762" TargetMode="External"/><Relationship Id="rId4513" Type="http://schemas.openxmlformats.org/officeDocument/2006/relationships/hyperlink" Target="https://creativecommons.org/licenses/by-nc/4.0/" TargetMode="External"/><Relationship Id="rId4514" Type="http://schemas.openxmlformats.org/officeDocument/2006/relationships/hyperlink" Target="https://www.inaturalist.org/observations/383043286" TargetMode="External"/><Relationship Id="rId4515" Type="http://schemas.openxmlformats.org/officeDocument/2006/relationships/hyperlink" Target="https://creativecommons.org/licenses/by-nc/4.0/" TargetMode="External"/><Relationship Id="rId4516" Type="http://schemas.openxmlformats.org/officeDocument/2006/relationships/hyperlink" Target="https://www.inaturalist.org/observations/383041404" TargetMode="External"/><Relationship Id="rId4517" Type="http://schemas.openxmlformats.org/officeDocument/2006/relationships/hyperlink" Target="https://creativecommons.org/licenses/by-nc/4.0/" TargetMode="External"/><Relationship Id="rId4518" Type="http://schemas.openxmlformats.org/officeDocument/2006/relationships/hyperlink" Target="https://www.inaturalist.org/observations/383039344" TargetMode="External"/><Relationship Id="rId4519" Type="http://schemas.openxmlformats.org/officeDocument/2006/relationships/hyperlink" Target="https://creativecommons.org/licenses/by-nc/4.0/" TargetMode="External"/><Relationship Id="rId4520" Type="http://schemas.openxmlformats.org/officeDocument/2006/relationships/hyperlink" Target="https://www.inaturalist.org/observations/383039193" TargetMode="External"/><Relationship Id="rId4521" Type="http://schemas.openxmlformats.org/officeDocument/2006/relationships/hyperlink" Target="https://creativecommons.org/licenses/by-nc/4.0/" TargetMode="External"/><Relationship Id="rId4522" Type="http://schemas.openxmlformats.org/officeDocument/2006/relationships/hyperlink" Target="https://www.inaturalist.org/observations/383039191" TargetMode="External"/><Relationship Id="rId4523" Type="http://schemas.openxmlformats.org/officeDocument/2006/relationships/hyperlink" Target="https://creativecommons.org/licenses/by-nc/4.0/" TargetMode="External"/><Relationship Id="rId4524" Type="http://schemas.openxmlformats.org/officeDocument/2006/relationships/hyperlink" Target="https://www.inaturalist.org/observations/383036307" TargetMode="External"/><Relationship Id="rId4525" Type="http://schemas.openxmlformats.org/officeDocument/2006/relationships/hyperlink" Target="https://creativecommons.org/licenses/by-nc/4.0/" TargetMode="External"/><Relationship Id="rId4526" Type="http://schemas.openxmlformats.org/officeDocument/2006/relationships/hyperlink" Target="https://www.inaturalist.org/observations/383036194" TargetMode="External"/><Relationship Id="rId4527" Type="http://schemas.openxmlformats.org/officeDocument/2006/relationships/hyperlink" Target="https://creativecommons.org/licenses/by-nc/4.0/" TargetMode="External"/><Relationship Id="rId4528" Type="http://schemas.openxmlformats.org/officeDocument/2006/relationships/hyperlink" Target="https://www.inaturalist.org/observations/383036078" TargetMode="External"/><Relationship Id="rId4529" Type="http://schemas.openxmlformats.org/officeDocument/2006/relationships/hyperlink" Target="https://creativecommons.org/licenses/by-nc/4.0/" TargetMode="External"/><Relationship Id="rId4530" Type="http://schemas.openxmlformats.org/officeDocument/2006/relationships/hyperlink" Target="https://www.inaturalist.org/observations/383035772" TargetMode="External"/><Relationship Id="rId4531" Type="http://schemas.openxmlformats.org/officeDocument/2006/relationships/hyperlink" Target="https://creativecommons.org/licenses/by-nc/4.0/" TargetMode="External"/><Relationship Id="rId4532" Type="http://schemas.openxmlformats.org/officeDocument/2006/relationships/hyperlink" Target="https://www.inaturalist.org/observations/383035646" TargetMode="External"/><Relationship Id="rId4533" Type="http://schemas.openxmlformats.org/officeDocument/2006/relationships/hyperlink" Target="https://creativecommons.org/licenses/by-nc/4.0/" TargetMode="External"/><Relationship Id="rId4534" Type="http://schemas.openxmlformats.org/officeDocument/2006/relationships/hyperlink" Target="https://www.inaturalist.org/observations/383035589" TargetMode="External"/><Relationship Id="rId4535" Type="http://schemas.openxmlformats.org/officeDocument/2006/relationships/hyperlink" Target="https://creativecommons.org/licenses/by-nc/4.0/" TargetMode="External"/><Relationship Id="rId4536" Type="http://schemas.openxmlformats.org/officeDocument/2006/relationships/hyperlink" Target="https://www.inaturalist.org/observations/383035452" TargetMode="External"/><Relationship Id="rId4537" Type="http://schemas.openxmlformats.org/officeDocument/2006/relationships/hyperlink" Target="https://creativecommons.org/licenses/by-nc/4.0/" TargetMode="External"/><Relationship Id="rId4538" Type="http://schemas.openxmlformats.org/officeDocument/2006/relationships/hyperlink" Target="https://www.inaturalist.org/observations/383034994" TargetMode="External"/><Relationship Id="rId4539" Type="http://schemas.openxmlformats.org/officeDocument/2006/relationships/hyperlink" Target="https://creativecommons.org/licenses/by-nc/4.0/" TargetMode="External"/><Relationship Id="rId4540" Type="http://schemas.openxmlformats.org/officeDocument/2006/relationships/hyperlink" Target="https://www.inaturalist.org/observations/383032981" TargetMode="External"/><Relationship Id="rId4541" Type="http://schemas.openxmlformats.org/officeDocument/2006/relationships/hyperlink" Target="https://creativecommons.org/licenses/by-nc/4.0/" TargetMode="External"/><Relationship Id="rId4542" Type="http://schemas.openxmlformats.org/officeDocument/2006/relationships/hyperlink" Target="https://www.inaturalist.org/observations/383032726" TargetMode="External"/><Relationship Id="rId4543" Type="http://schemas.openxmlformats.org/officeDocument/2006/relationships/hyperlink" Target="https://creativecommons.org/licenses/by-nc/4.0/" TargetMode="External"/><Relationship Id="rId4544" Type="http://schemas.openxmlformats.org/officeDocument/2006/relationships/hyperlink" Target="https://www.inaturalist.org/observations/383032633" TargetMode="External"/><Relationship Id="rId4545" Type="http://schemas.openxmlformats.org/officeDocument/2006/relationships/hyperlink" Target="https://creativecommons.org/licenses/by-nc/4.0/" TargetMode="External"/><Relationship Id="rId4546" Type="http://schemas.openxmlformats.org/officeDocument/2006/relationships/hyperlink" Target="https://www.inaturalist.org/observations/383031912" TargetMode="External"/><Relationship Id="rId4547" Type="http://schemas.openxmlformats.org/officeDocument/2006/relationships/hyperlink" Target="https://creativecommons.org/licenses/by-nc/4.0/" TargetMode="External"/><Relationship Id="rId4548" Type="http://schemas.openxmlformats.org/officeDocument/2006/relationships/hyperlink" Target="https://www.inaturalist.org/observations/383030295" TargetMode="External"/><Relationship Id="rId4549" Type="http://schemas.openxmlformats.org/officeDocument/2006/relationships/hyperlink" Target="https://creativecommons.org/licenses/by-nc/4.0/" TargetMode="External"/><Relationship Id="rId4550" Type="http://schemas.openxmlformats.org/officeDocument/2006/relationships/hyperlink" Target="https://www.inaturalist.org/observations/383030169" TargetMode="External"/><Relationship Id="rId4551" Type="http://schemas.openxmlformats.org/officeDocument/2006/relationships/hyperlink" Target="https://creativecommons.org/licenses/by-nc/4.0/" TargetMode="External"/><Relationship Id="rId4552" Type="http://schemas.openxmlformats.org/officeDocument/2006/relationships/hyperlink" Target="https://www.inaturalist.org/observations/383029013" TargetMode="External"/><Relationship Id="rId4553" Type="http://schemas.openxmlformats.org/officeDocument/2006/relationships/hyperlink" Target="https://creativecommons.org/licenses/by-nc/4.0/" TargetMode="External"/><Relationship Id="rId4554" Type="http://schemas.openxmlformats.org/officeDocument/2006/relationships/hyperlink" Target="https://www.inaturalist.org/observations/383028304" TargetMode="External"/><Relationship Id="rId4555" Type="http://schemas.openxmlformats.org/officeDocument/2006/relationships/hyperlink" Target="https://creativecommons.org/licenses/by-nc/4.0/" TargetMode="External"/><Relationship Id="rId4556" Type="http://schemas.openxmlformats.org/officeDocument/2006/relationships/hyperlink" Target="https://www.inaturalist.org/observations/383027411" TargetMode="External"/><Relationship Id="rId4557" Type="http://schemas.openxmlformats.org/officeDocument/2006/relationships/hyperlink" Target="https://creativecommons.org/licenses/by-nc/4.0/" TargetMode="External"/><Relationship Id="rId4558" Type="http://schemas.openxmlformats.org/officeDocument/2006/relationships/hyperlink" Target="https://www.inaturalist.org/observations/383021855" TargetMode="External"/><Relationship Id="rId4559" Type="http://schemas.openxmlformats.org/officeDocument/2006/relationships/hyperlink" Target="https://creativecommons.org/licenses/by-nc/4.0/" TargetMode="External"/><Relationship Id="rId4560" Type="http://schemas.openxmlformats.org/officeDocument/2006/relationships/hyperlink" Target="https://www.inaturalist.org/observations/383021804" TargetMode="External"/><Relationship Id="rId4561" Type="http://schemas.openxmlformats.org/officeDocument/2006/relationships/hyperlink" Target="https://creativecommons.org/licenses/by-nc/4.0/" TargetMode="External"/><Relationship Id="rId4562" Type="http://schemas.openxmlformats.org/officeDocument/2006/relationships/hyperlink" Target="https://www.inaturalist.org/observations/383021747" TargetMode="External"/><Relationship Id="rId4563" Type="http://schemas.openxmlformats.org/officeDocument/2006/relationships/hyperlink" Target="https://creativecommons.org/licenses/by-nc/4.0/" TargetMode="External"/><Relationship Id="rId4564" Type="http://schemas.openxmlformats.org/officeDocument/2006/relationships/hyperlink" Target="https://www.inaturalist.org/observations/383021198" TargetMode="External"/><Relationship Id="rId4565" Type="http://schemas.openxmlformats.org/officeDocument/2006/relationships/hyperlink" Target="https://creativecommons.org/licenses/by-nc/4.0/" TargetMode="External"/><Relationship Id="rId4566" Type="http://schemas.openxmlformats.org/officeDocument/2006/relationships/hyperlink" Target="https://www.inaturalist.org/observations/383018335" TargetMode="External"/><Relationship Id="rId4567" Type="http://schemas.openxmlformats.org/officeDocument/2006/relationships/hyperlink" Target="https://creativecommons.org/licenses/by-nc/4.0/" TargetMode="External"/><Relationship Id="rId4568" Type="http://schemas.openxmlformats.org/officeDocument/2006/relationships/hyperlink" Target="https://www.inaturalist.org/observations/383018022" TargetMode="External"/><Relationship Id="rId4569" Type="http://schemas.openxmlformats.org/officeDocument/2006/relationships/hyperlink" Target="https://creativecommons.org/licenses/by-nc/4.0/" TargetMode="External"/><Relationship Id="rId4570" Type="http://schemas.openxmlformats.org/officeDocument/2006/relationships/hyperlink" Target="https://www.inaturalist.org/observations/383017369" TargetMode="External"/><Relationship Id="rId4571" Type="http://schemas.openxmlformats.org/officeDocument/2006/relationships/hyperlink" Target="https://creativecommons.org/licenses/by-nc/4.0/" TargetMode="External"/><Relationship Id="rId4572" Type="http://schemas.openxmlformats.org/officeDocument/2006/relationships/hyperlink" Target="https://www.inaturalist.org/observations/383014925" TargetMode="External"/><Relationship Id="rId4573" Type="http://schemas.openxmlformats.org/officeDocument/2006/relationships/hyperlink" Target="https://creativecommons.org/licenses/by-nc/4.0/" TargetMode="External"/><Relationship Id="rId4574" Type="http://schemas.openxmlformats.org/officeDocument/2006/relationships/hyperlink" Target="https://www.inaturalist.org/observations/383014570" TargetMode="External"/><Relationship Id="rId4575" Type="http://schemas.openxmlformats.org/officeDocument/2006/relationships/hyperlink" Target="https://creativecommons.org/licenses/by-nc/4.0/" TargetMode="External"/><Relationship Id="rId4576" Type="http://schemas.openxmlformats.org/officeDocument/2006/relationships/hyperlink" Target="https://www.inaturalist.org/observations/383012943" TargetMode="External"/><Relationship Id="rId4577" Type="http://schemas.openxmlformats.org/officeDocument/2006/relationships/hyperlink" Target="https://creativecommons.org/licenses/by-nc/4.0/" TargetMode="External"/><Relationship Id="rId4578" Type="http://schemas.openxmlformats.org/officeDocument/2006/relationships/hyperlink" Target="https://www.inaturalist.org/observations/383012879" TargetMode="External"/><Relationship Id="rId4579" Type="http://schemas.openxmlformats.org/officeDocument/2006/relationships/hyperlink" Target="https://creativecommons.org/licenses/by-nc/4.0/" TargetMode="External"/><Relationship Id="rId4580" Type="http://schemas.openxmlformats.org/officeDocument/2006/relationships/hyperlink" Target="https://www.inaturalist.org/observations/383012872" TargetMode="External"/><Relationship Id="rId4581" Type="http://schemas.openxmlformats.org/officeDocument/2006/relationships/hyperlink" Target="https://creativecommons.org/licenses/by-nc/4.0/" TargetMode="External"/><Relationship Id="rId4582" Type="http://schemas.openxmlformats.org/officeDocument/2006/relationships/hyperlink" Target="https://www.inaturalist.org/observations/383010385" TargetMode="External"/><Relationship Id="rId4583" Type="http://schemas.openxmlformats.org/officeDocument/2006/relationships/hyperlink" Target="https://creativecommons.org/licenses/by-nc/4.0/" TargetMode="External"/><Relationship Id="rId4584" Type="http://schemas.openxmlformats.org/officeDocument/2006/relationships/hyperlink" Target="https://www.inaturalist.org/observations/383009429" TargetMode="External"/><Relationship Id="rId4585" Type="http://schemas.openxmlformats.org/officeDocument/2006/relationships/hyperlink" Target="https://creativecommons.org/licenses/by-nc/4.0/" TargetMode="External"/><Relationship Id="rId4586" Type="http://schemas.openxmlformats.org/officeDocument/2006/relationships/hyperlink" Target="https://www.inaturalist.org/observations/383009064" TargetMode="External"/><Relationship Id="rId4587" Type="http://schemas.openxmlformats.org/officeDocument/2006/relationships/hyperlink" Target="https://creativecommons.org/licenses/by-nc/4.0/" TargetMode="External"/><Relationship Id="rId4588" Type="http://schemas.openxmlformats.org/officeDocument/2006/relationships/hyperlink" Target="https://www.inaturalist.org/observations/383005672" TargetMode="External"/><Relationship Id="rId4589" Type="http://schemas.openxmlformats.org/officeDocument/2006/relationships/hyperlink" Target="https://creativecommons.org/licenses/by-nc/4.0/" TargetMode="External"/><Relationship Id="rId4590" Type="http://schemas.openxmlformats.org/officeDocument/2006/relationships/hyperlink" Target="https://www.inaturalist.org/observations/383005393" TargetMode="External"/><Relationship Id="rId4591" Type="http://schemas.openxmlformats.org/officeDocument/2006/relationships/hyperlink" Target="https://creativecommons.org/licenses/by-nc/4.0/" TargetMode="External"/><Relationship Id="rId4592" Type="http://schemas.openxmlformats.org/officeDocument/2006/relationships/hyperlink" Target="https://www.inaturalist.org/observations/383003650" TargetMode="External"/><Relationship Id="rId4593" Type="http://schemas.openxmlformats.org/officeDocument/2006/relationships/hyperlink" Target="https://creativecommons.org/licenses/by-nc/4.0/" TargetMode="External"/><Relationship Id="rId4594" Type="http://schemas.openxmlformats.org/officeDocument/2006/relationships/hyperlink" Target="https://www.inaturalist.org/observations/383002650" TargetMode="External"/><Relationship Id="rId4595" Type="http://schemas.openxmlformats.org/officeDocument/2006/relationships/hyperlink" Target="https://creativecommons.org/licenses/by-nc/4.0/" TargetMode="External"/><Relationship Id="rId4596" Type="http://schemas.openxmlformats.org/officeDocument/2006/relationships/hyperlink" Target="https://www.inaturalist.org/observations/383002072" TargetMode="External"/><Relationship Id="rId4597" Type="http://schemas.openxmlformats.org/officeDocument/2006/relationships/hyperlink" Target="https://creativecommons.org/licenses/by-nc/4.0/" TargetMode="External"/><Relationship Id="rId4598" Type="http://schemas.openxmlformats.org/officeDocument/2006/relationships/hyperlink" Target="https://www.inaturalist.org/observations/382995048" TargetMode="External"/><Relationship Id="rId4599" Type="http://schemas.openxmlformats.org/officeDocument/2006/relationships/hyperlink" Target="https://creativecommons.org/licenses/by-nc/4.0/" TargetMode="External"/><Relationship Id="rId4600" Type="http://schemas.openxmlformats.org/officeDocument/2006/relationships/hyperlink" Target="https://www.inaturalist.org/observations/382993175" TargetMode="External"/><Relationship Id="rId4601" Type="http://schemas.openxmlformats.org/officeDocument/2006/relationships/hyperlink" Target="https://creativecommons.org/licenses/by-nc/4.0/" TargetMode="External"/><Relationship Id="rId4602" Type="http://schemas.openxmlformats.org/officeDocument/2006/relationships/hyperlink" Target="https://www.inaturalist.org/observations/382991492" TargetMode="External"/><Relationship Id="rId4603" Type="http://schemas.openxmlformats.org/officeDocument/2006/relationships/hyperlink" Target="https://creativecommons.org/licenses/by-nc/4.0/" TargetMode="External"/><Relationship Id="rId4604" Type="http://schemas.openxmlformats.org/officeDocument/2006/relationships/hyperlink" Target="https://www.inaturalist.org/observations/382991082" TargetMode="External"/><Relationship Id="rId4605" Type="http://schemas.openxmlformats.org/officeDocument/2006/relationships/hyperlink" Target="https://creativecommons.org/licenses/by-nc/4.0/" TargetMode="External"/><Relationship Id="rId4606" Type="http://schemas.openxmlformats.org/officeDocument/2006/relationships/hyperlink" Target="https://www.inaturalist.org/observations/382990000" TargetMode="External"/><Relationship Id="rId4607" Type="http://schemas.openxmlformats.org/officeDocument/2006/relationships/hyperlink" Target="https://creativecommons.org/licenses/by-nc/4.0/" TargetMode="External"/><Relationship Id="rId4608" Type="http://schemas.openxmlformats.org/officeDocument/2006/relationships/hyperlink" Target="https://www.inaturalist.org/observations/382988743" TargetMode="External"/><Relationship Id="rId4609" Type="http://schemas.openxmlformats.org/officeDocument/2006/relationships/hyperlink" Target="https://creativecommons.org/licenses/by-nc/4.0/" TargetMode="External"/><Relationship Id="rId4610" Type="http://schemas.openxmlformats.org/officeDocument/2006/relationships/hyperlink" Target="https://www.inaturalist.org/observations/382986772" TargetMode="External"/><Relationship Id="rId4611" Type="http://schemas.openxmlformats.org/officeDocument/2006/relationships/hyperlink" Target="https://creativecommons.org/licenses/by-nc/4.0/" TargetMode="External"/><Relationship Id="rId4612" Type="http://schemas.openxmlformats.org/officeDocument/2006/relationships/hyperlink" Target="https://www.inaturalist.org/observations/382986569" TargetMode="External"/><Relationship Id="rId4613" Type="http://schemas.openxmlformats.org/officeDocument/2006/relationships/hyperlink" Target="https://creativecommons.org/licenses/by-nc/4.0/" TargetMode="External"/><Relationship Id="rId4614" Type="http://schemas.openxmlformats.org/officeDocument/2006/relationships/hyperlink" Target="https://www.inaturalist.org/observations/382985413" TargetMode="External"/><Relationship Id="rId4615" Type="http://schemas.openxmlformats.org/officeDocument/2006/relationships/hyperlink" Target="https://creativecommons.org/licenses/by-nc/4.0/" TargetMode="External"/><Relationship Id="rId4616" Type="http://schemas.openxmlformats.org/officeDocument/2006/relationships/hyperlink" Target="https://www.inaturalist.org/observations/382980447" TargetMode="External"/><Relationship Id="rId4617" Type="http://schemas.openxmlformats.org/officeDocument/2006/relationships/hyperlink" Target="https://creativecommons.org/licenses/by-nc/4.0/" TargetMode="External"/><Relationship Id="rId4618" Type="http://schemas.openxmlformats.org/officeDocument/2006/relationships/hyperlink" Target="https://www.inaturalist.org/observations/382979300" TargetMode="External"/><Relationship Id="rId4619" Type="http://schemas.openxmlformats.org/officeDocument/2006/relationships/hyperlink" Target="https://creativecommons.org/licenses/by-nc/4.0/" TargetMode="External"/><Relationship Id="rId4620" Type="http://schemas.openxmlformats.org/officeDocument/2006/relationships/hyperlink" Target="https://www.inaturalist.org/observations/382978953" TargetMode="External"/><Relationship Id="rId4621" Type="http://schemas.openxmlformats.org/officeDocument/2006/relationships/hyperlink" Target="https://creativecommons.org/licenses/by-nc/4.0/" TargetMode="External"/><Relationship Id="rId4622" Type="http://schemas.openxmlformats.org/officeDocument/2006/relationships/hyperlink" Target="https://www.inaturalist.org/observations/382978219" TargetMode="External"/><Relationship Id="rId4623" Type="http://schemas.openxmlformats.org/officeDocument/2006/relationships/hyperlink" Target="https://creativecommons.org/licenses/by-nc/4.0/" TargetMode="External"/><Relationship Id="rId4624" Type="http://schemas.openxmlformats.org/officeDocument/2006/relationships/hyperlink" Target="https://www.inaturalist.org/observations/382977281" TargetMode="External"/><Relationship Id="rId4625" Type="http://schemas.openxmlformats.org/officeDocument/2006/relationships/hyperlink" Target="https://creativecommons.org/licenses/by-nc/4.0/" TargetMode="External"/><Relationship Id="rId4626" Type="http://schemas.openxmlformats.org/officeDocument/2006/relationships/hyperlink" Target="https://www.inaturalist.org/observations/382977276" TargetMode="External"/><Relationship Id="rId4627" Type="http://schemas.openxmlformats.org/officeDocument/2006/relationships/hyperlink" Target="https://creativecommons.org/licenses/by-nc/4.0/" TargetMode="External"/><Relationship Id="rId4628" Type="http://schemas.openxmlformats.org/officeDocument/2006/relationships/hyperlink" Target="https://www.inaturalist.org/observations/382977272" TargetMode="External"/><Relationship Id="rId4629" Type="http://schemas.openxmlformats.org/officeDocument/2006/relationships/hyperlink" Target="https://creativecommons.org/licenses/by-nc/4.0/" TargetMode="External"/><Relationship Id="rId4630" Type="http://schemas.openxmlformats.org/officeDocument/2006/relationships/hyperlink" Target="https://www.inaturalist.org/observations/382976501" TargetMode="External"/><Relationship Id="rId4631" Type="http://schemas.openxmlformats.org/officeDocument/2006/relationships/hyperlink" Target="https://creativecommons.org/licenses/by-nc/4.0/" TargetMode="External"/><Relationship Id="rId4632" Type="http://schemas.openxmlformats.org/officeDocument/2006/relationships/hyperlink" Target="https://www.inaturalist.org/observations/382974511" TargetMode="External"/><Relationship Id="rId4633" Type="http://schemas.openxmlformats.org/officeDocument/2006/relationships/hyperlink" Target="https://creativecommons.org/licenses/by-nc/4.0/" TargetMode="External"/><Relationship Id="rId4634" Type="http://schemas.openxmlformats.org/officeDocument/2006/relationships/hyperlink" Target="https://www.inaturalist.org/observations/382973709" TargetMode="External"/><Relationship Id="rId4635" Type="http://schemas.openxmlformats.org/officeDocument/2006/relationships/hyperlink" Target="https://creativecommons.org/licenses/by-nc/4.0/" TargetMode="External"/><Relationship Id="rId4636" Type="http://schemas.openxmlformats.org/officeDocument/2006/relationships/hyperlink" Target="https://www.inaturalist.org/observations/382969359" TargetMode="External"/><Relationship Id="rId4637" Type="http://schemas.openxmlformats.org/officeDocument/2006/relationships/hyperlink" Target="https://creativecommons.org/licenses/by-nc/4.0/" TargetMode="External"/><Relationship Id="rId4638" Type="http://schemas.openxmlformats.org/officeDocument/2006/relationships/hyperlink" Target="https://www.inaturalist.org/observations/382965122" TargetMode="External"/><Relationship Id="rId4639" Type="http://schemas.openxmlformats.org/officeDocument/2006/relationships/hyperlink" Target="https://creativecommons.org/licenses/by-nc/4.0/" TargetMode="External"/><Relationship Id="rId4640" Type="http://schemas.openxmlformats.org/officeDocument/2006/relationships/hyperlink" Target="https://www.inaturalist.org/observations/382963555" TargetMode="External"/><Relationship Id="rId4641" Type="http://schemas.openxmlformats.org/officeDocument/2006/relationships/hyperlink" Target="https://creativecommons.org/licenses/by-nc/4.0/" TargetMode="External"/><Relationship Id="rId4642" Type="http://schemas.openxmlformats.org/officeDocument/2006/relationships/hyperlink" Target="https://www.inaturalist.org/observations/382960621" TargetMode="External"/><Relationship Id="rId4643" Type="http://schemas.openxmlformats.org/officeDocument/2006/relationships/hyperlink" Target="https://creativecommons.org/licenses/by-nc/4.0/" TargetMode="External"/><Relationship Id="rId4644" Type="http://schemas.openxmlformats.org/officeDocument/2006/relationships/hyperlink" Target="https://www.inaturalist.org/observations/382959011" TargetMode="External"/><Relationship Id="rId4645" Type="http://schemas.openxmlformats.org/officeDocument/2006/relationships/hyperlink" Target="https://creativecommons.org/licenses/by-nc/4.0/" TargetMode="External"/><Relationship Id="rId4646" Type="http://schemas.openxmlformats.org/officeDocument/2006/relationships/hyperlink" Target="https://www.inaturalist.org/observations/382957418" TargetMode="External"/><Relationship Id="rId4647" Type="http://schemas.openxmlformats.org/officeDocument/2006/relationships/hyperlink" Target="https://creativecommons.org/licenses/by-nc/4.0/" TargetMode="External"/><Relationship Id="rId4648" Type="http://schemas.openxmlformats.org/officeDocument/2006/relationships/hyperlink" Target="https://www.inaturalist.org/observations/382957341" TargetMode="External"/><Relationship Id="rId4649" Type="http://schemas.openxmlformats.org/officeDocument/2006/relationships/hyperlink" Target="https://creativecommons.org/licenses/by-nc/4.0/" TargetMode="External"/><Relationship Id="rId4650" Type="http://schemas.openxmlformats.org/officeDocument/2006/relationships/hyperlink" Target="https://www.inaturalist.org/observations/382956570" TargetMode="External"/><Relationship Id="rId4651" Type="http://schemas.openxmlformats.org/officeDocument/2006/relationships/hyperlink" Target="https://creativecommons.org/licenses/by-nc/4.0/" TargetMode="External"/><Relationship Id="rId4652" Type="http://schemas.openxmlformats.org/officeDocument/2006/relationships/hyperlink" Target="https://www.inaturalist.org/observations/382955971" TargetMode="External"/><Relationship Id="rId4653" Type="http://schemas.openxmlformats.org/officeDocument/2006/relationships/hyperlink" Target="https://creativecommons.org/licenses/by-nc/4.0/" TargetMode="External"/><Relationship Id="rId4654" Type="http://schemas.openxmlformats.org/officeDocument/2006/relationships/hyperlink" Target="https://www.inaturalist.org/observations/382952047" TargetMode="External"/><Relationship Id="rId4655" Type="http://schemas.openxmlformats.org/officeDocument/2006/relationships/hyperlink" Target="https://creativecommons.org/licenses/by-nc/4.0/" TargetMode="External"/><Relationship Id="rId4656" Type="http://schemas.openxmlformats.org/officeDocument/2006/relationships/hyperlink" Target="https://www.inaturalist.org/observations/382949600" TargetMode="External"/><Relationship Id="rId4657" Type="http://schemas.openxmlformats.org/officeDocument/2006/relationships/hyperlink" Target="https://creativecommons.org/licenses/by-nc/4.0/" TargetMode="External"/><Relationship Id="rId4658" Type="http://schemas.openxmlformats.org/officeDocument/2006/relationships/hyperlink" Target="https://www.inaturalist.org/observations/382948788" TargetMode="External"/><Relationship Id="rId4659" Type="http://schemas.openxmlformats.org/officeDocument/2006/relationships/hyperlink" Target="https://creativecommons.org/licenses/by-nc/4.0/" TargetMode="External"/><Relationship Id="rId4660" Type="http://schemas.openxmlformats.org/officeDocument/2006/relationships/hyperlink" Target="https://www.inaturalist.org/observations/382946918" TargetMode="External"/><Relationship Id="rId4661" Type="http://schemas.openxmlformats.org/officeDocument/2006/relationships/hyperlink" Target="https://creativecommons.org/licenses/by-nc/4.0/" TargetMode="External"/><Relationship Id="rId4662" Type="http://schemas.openxmlformats.org/officeDocument/2006/relationships/hyperlink" Target="https://www.inaturalist.org/observations/382946289" TargetMode="External"/><Relationship Id="rId4663" Type="http://schemas.openxmlformats.org/officeDocument/2006/relationships/hyperlink" Target="https://creativecommons.org/licenses/by-nc/4.0/" TargetMode="External"/><Relationship Id="rId4664" Type="http://schemas.openxmlformats.org/officeDocument/2006/relationships/hyperlink" Target="https://www.inaturalist.org/observations/382946025" TargetMode="External"/><Relationship Id="rId4665" Type="http://schemas.openxmlformats.org/officeDocument/2006/relationships/hyperlink" Target="https://creativecommons.org/licenses/by-nc/4.0/" TargetMode="External"/><Relationship Id="rId4666" Type="http://schemas.openxmlformats.org/officeDocument/2006/relationships/hyperlink" Target="https://www.inaturalist.org/observations/382942749" TargetMode="External"/><Relationship Id="rId4667" Type="http://schemas.openxmlformats.org/officeDocument/2006/relationships/hyperlink" Target="https://creativecommons.org/licenses/by-nc/4.0/" TargetMode="External"/><Relationship Id="rId4668" Type="http://schemas.openxmlformats.org/officeDocument/2006/relationships/hyperlink" Target="https://www.inaturalist.org/observations/382937767" TargetMode="External"/><Relationship Id="rId4669" Type="http://schemas.openxmlformats.org/officeDocument/2006/relationships/hyperlink" Target="https://creativecommons.org/licenses/by-nc/4.0/" TargetMode="External"/><Relationship Id="rId4670" Type="http://schemas.openxmlformats.org/officeDocument/2006/relationships/hyperlink" Target="https://www.inaturalist.org/observations/382937597" TargetMode="External"/><Relationship Id="rId4671" Type="http://schemas.openxmlformats.org/officeDocument/2006/relationships/hyperlink" Target="https://creativecommons.org/licenses/by-nc/4.0/" TargetMode="External"/><Relationship Id="rId4672" Type="http://schemas.openxmlformats.org/officeDocument/2006/relationships/hyperlink" Target="https://www.inaturalist.org/observations/382932200" TargetMode="External"/><Relationship Id="rId4673" Type="http://schemas.openxmlformats.org/officeDocument/2006/relationships/hyperlink" Target="https://creativecommons.org/licenses/by-nc/4.0/" TargetMode="External"/><Relationship Id="rId4674" Type="http://schemas.openxmlformats.org/officeDocument/2006/relationships/hyperlink" Target="https://www.inaturalist.org/observations/382931865" TargetMode="External"/><Relationship Id="rId4675" Type="http://schemas.openxmlformats.org/officeDocument/2006/relationships/hyperlink" Target="https://creativecommons.org/licenses/by-nc/4.0/" TargetMode="External"/><Relationship Id="rId4676" Type="http://schemas.openxmlformats.org/officeDocument/2006/relationships/hyperlink" Target="https://www.inaturalist.org/observations/382930385" TargetMode="External"/><Relationship Id="rId4677" Type="http://schemas.openxmlformats.org/officeDocument/2006/relationships/hyperlink" Target="https://creativecommons.org/licenses/by-nc/4.0/" TargetMode="External"/><Relationship Id="rId4678" Type="http://schemas.openxmlformats.org/officeDocument/2006/relationships/hyperlink" Target="https://www.inaturalist.org/observations/382927627" TargetMode="External"/><Relationship Id="rId4679" Type="http://schemas.openxmlformats.org/officeDocument/2006/relationships/hyperlink" Target="https://creativecommons.org/licenses/by-nc/4.0/" TargetMode="External"/><Relationship Id="rId4680" Type="http://schemas.openxmlformats.org/officeDocument/2006/relationships/hyperlink" Target="https://www.inaturalist.org/observations/382926588" TargetMode="External"/><Relationship Id="rId4681" Type="http://schemas.openxmlformats.org/officeDocument/2006/relationships/hyperlink" Target="https://creativecommons.org/licenses/by-nc/4.0/" TargetMode="External"/><Relationship Id="rId4682" Type="http://schemas.openxmlformats.org/officeDocument/2006/relationships/hyperlink" Target="https://www.inaturalist.org/observations/382925160" TargetMode="External"/><Relationship Id="rId4683" Type="http://schemas.openxmlformats.org/officeDocument/2006/relationships/hyperlink" Target="https://creativecommons.org/licenses/by-nc/4.0/" TargetMode="External"/><Relationship Id="rId4684" Type="http://schemas.openxmlformats.org/officeDocument/2006/relationships/hyperlink" Target="https://www.inaturalist.org/observations/382924968" TargetMode="External"/><Relationship Id="rId4685" Type="http://schemas.openxmlformats.org/officeDocument/2006/relationships/hyperlink" Target="https://creativecommons.org/licenses/by-nc/4.0/" TargetMode="External"/><Relationship Id="rId4686" Type="http://schemas.openxmlformats.org/officeDocument/2006/relationships/hyperlink" Target="https://www.inaturalist.org/observations/382924499" TargetMode="External"/><Relationship Id="rId4687" Type="http://schemas.openxmlformats.org/officeDocument/2006/relationships/hyperlink" Target="https://creativecommons.org/licenses/by-nc/4.0/" TargetMode="External"/><Relationship Id="rId4688" Type="http://schemas.openxmlformats.org/officeDocument/2006/relationships/hyperlink" Target="https://www.inaturalist.org/observations/382924308" TargetMode="External"/><Relationship Id="rId4689" Type="http://schemas.openxmlformats.org/officeDocument/2006/relationships/hyperlink" Target="https://creativecommons.org/licenses/by-nc/4.0/" TargetMode="External"/><Relationship Id="rId4690" Type="http://schemas.openxmlformats.org/officeDocument/2006/relationships/hyperlink" Target="https://www.inaturalist.org/observations/382924012" TargetMode="External"/><Relationship Id="rId4691" Type="http://schemas.openxmlformats.org/officeDocument/2006/relationships/hyperlink" Target="https://creativecommons.org/licenses/by-nc/4.0/" TargetMode="External"/><Relationship Id="rId4692" Type="http://schemas.openxmlformats.org/officeDocument/2006/relationships/hyperlink" Target="https://www.inaturalist.org/observations/382923901" TargetMode="External"/><Relationship Id="rId4693" Type="http://schemas.openxmlformats.org/officeDocument/2006/relationships/hyperlink" Target="https://creativecommons.org/licenses/by-nc/4.0/" TargetMode="External"/><Relationship Id="rId4694" Type="http://schemas.openxmlformats.org/officeDocument/2006/relationships/hyperlink" Target="https://www.inaturalist.org/observations/382923855" TargetMode="External"/><Relationship Id="rId4695" Type="http://schemas.openxmlformats.org/officeDocument/2006/relationships/hyperlink" Target="https://creativecommons.org/licenses/by-nc/4.0/" TargetMode="External"/><Relationship Id="rId4696" Type="http://schemas.openxmlformats.org/officeDocument/2006/relationships/hyperlink" Target="https://www.inaturalist.org/observations/382923027" TargetMode="External"/><Relationship Id="rId4697" Type="http://schemas.openxmlformats.org/officeDocument/2006/relationships/hyperlink" Target="https://creativecommons.org/licenses/by-nc/4.0/" TargetMode="External"/><Relationship Id="rId4698" Type="http://schemas.openxmlformats.org/officeDocument/2006/relationships/hyperlink" Target="https://www.inaturalist.org/observations/382922034" TargetMode="External"/><Relationship Id="rId4699" Type="http://schemas.openxmlformats.org/officeDocument/2006/relationships/hyperlink" Target="https://creativecommons.org/licenses/by-nc/4.0/" TargetMode="External"/><Relationship Id="rId4700" Type="http://schemas.openxmlformats.org/officeDocument/2006/relationships/hyperlink" Target="https://www.inaturalist.org/observations/382919554" TargetMode="External"/><Relationship Id="rId4701" Type="http://schemas.openxmlformats.org/officeDocument/2006/relationships/hyperlink" Target="https://creativecommons.org/licenses/by-nc/4.0/" TargetMode="External"/><Relationship Id="rId4702" Type="http://schemas.openxmlformats.org/officeDocument/2006/relationships/hyperlink" Target="https://www.inaturalist.org/observations/382918462" TargetMode="External"/><Relationship Id="rId4703" Type="http://schemas.openxmlformats.org/officeDocument/2006/relationships/hyperlink" Target="https://creativecommons.org/licenses/by-nc/4.0/" TargetMode="External"/><Relationship Id="rId4704" Type="http://schemas.openxmlformats.org/officeDocument/2006/relationships/hyperlink" Target="https://www.inaturalist.org/observations/382917325" TargetMode="External"/><Relationship Id="rId4705" Type="http://schemas.openxmlformats.org/officeDocument/2006/relationships/hyperlink" Target="https://creativecommons.org/licenses/by-nc/4.0/" TargetMode="External"/><Relationship Id="rId4706" Type="http://schemas.openxmlformats.org/officeDocument/2006/relationships/hyperlink" Target="https://www.inaturalist.org/observations/382910113" TargetMode="External"/><Relationship Id="rId4707" Type="http://schemas.openxmlformats.org/officeDocument/2006/relationships/hyperlink" Target="https://creativecommons.org/licenses/by-nc/4.0/" TargetMode="External"/><Relationship Id="rId4708" Type="http://schemas.openxmlformats.org/officeDocument/2006/relationships/hyperlink" Target="https://www.inaturalist.org/observations/382908130" TargetMode="External"/><Relationship Id="rId4709" Type="http://schemas.openxmlformats.org/officeDocument/2006/relationships/hyperlink" Target="https://creativecommons.org/licenses/by-nc/4.0/" TargetMode="External"/><Relationship Id="rId4710" Type="http://schemas.openxmlformats.org/officeDocument/2006/relationships/hyperlink" Target="https://www.inaturalist.org/observations/382908122" TargetMode="External"/><Relationship Id="rId4711" Type="http://schemas.openxmlformats.org/officeDocument/2006/relationships/hyperlink" Target="https://creativecommons.org/licenses/by-nc/4.0/" TargetMode="External"/><Relationship Id="rId4712" Type="http://schemas.openxmlformats.org/officeDocument/2006/relationships/hyperlink" Target="https://www.inaturalist.org/observations/382908080" TargetMode="External"/><Relationship Id="rId4713" Type="http://schemas.openxmlformats.org/officeDocument/2006/relationships/hyperlink" Target="https://creativecommons.org/licenses/by-nc/4.0/" TargetMode="External"/><Relationship Id="rId4714" Type="http://schemas.openxmlformats.org/officeDocument/2006/relationships/hyperlink" Target="https://www.inaturalist.org/observations/382908027" TargetMode="External"/><Relationship Id="rId4715" Type="http://schemas.openxmlformats.org/officeDocument/2006/relationships/hyperlink" Target="https://creativecommons.org/licenses/by-nc/4.0/" TargetMode="External"/><Relationship Id="rId4716" Type="http://schemas.openxmlformats.org/officeDocument/2006/relationships/hyperlink" Target="https://www.inaturalist.org/observations/382907922" TargetMode="External"/><Relationship Id="rId4717" Type="http://schemas.openxmlformats.org/officeDocument/2006/relationships/hyperlink" Target="https://creativecommons.org/licenses/by-nc/4.0/" TargetMode="External"/><Relationship Id="rId4718" Type="http://schemas.openxmlformats.org/officeDocument/2006/relationships/hyperlink" Target="https://www.inaturalist.org/observations/382907893" TargetMode="External"/><Relationship Id="rId4719" Type="http://schemas.openxmlformats.org/officeDocument/2006/relationships/hyperlink" Target="https://creativecommons.org/licenses/by-nc/4.0/" TargetMode="External"/><Relationship Id="rId4720" Type="http://schemas.openxmlformats.org/officeDocument/2006/relationships/hyperlink" Target="https://www.inaturalist.org/observations/382907867" TargetMode="External"/><Relationship Id="rId4721" Type="http://schemas.openxmlformats.org/officeDocument/2006/relationships/hyperlink" Target="https://creativecommons.org/licenses/by-nc/4.0/" TargetMode="External"/><Relationship Id="rId4722" Type="http://schemas.openxmlformats.org/officeDocument/2006/relationships/hyperlink" Target="https://www.inaturalist.org/observations/382907835" TargetMode="External"/><Relationship Id="rId4723" Type="http://schemas.openxmlformats.org/officeDocument/2006/relationships/hyperlink" Target="https://creativecommons.org/licenses/by-nc/4.0/" TargetMode="External"/><Relationship Id="rId4724" Type="http://schemas.openxmlformats.org/officeDocument/2006/relationships/hyperlink" Target="https://www.inaturalist.org/observations/382907732" TargetMode="External"/><Relationship Id="rId4725" Type="http://schemas.openxmlformats.org/officeDocument/2006/relationships/hyperlink" Target="https://creativecommons.org/licenses/by-nc/4.0/" TargetMode="External"/><Relationship Id="rId4726" Type="http://schemas.openxmlformats.org/officeDocument/2006/relationships/hyperlink" Target="https://www.inaturalist.org/observations/382907692" TargetMode="External"/><Relationship Id="rId4727" Type="http://schemas.openxmlformats.org/officeDocument/2006/relationships/hyperlink" Target="https://creativecommons.org/licenses/by-nc/4.0/" TargetMode="External"/><Relationship Id="rId4728" Type="http://schemas.openxmlformats.org/officeDocument/2006/relationships/hyperlink" Target="https://www.inaturalist.org/observations/382907648" TargetMode="External"/><Relationship Id="rId4729" Type="http://schemas.openxmlformats.org/officeDocument/2006/relationships/hyperlink" Target="https://creativecommons.org/licenses/by-nc/4.0/" TargetMode="External"/><Relationship Id="rId4730" Type="http://schemas.openxmlformats.org/officeDocument/2006/relationships/hyperlink" Target="https://www.inaturalist.org/observations/382907646" TargetMode="External"/><Relationship Id="rId4731" Type="http://schemas.openxmlformats.org/officeDocument/2006/relationships/hyperlink" Target="https://creativecommons.org/licenses/by-nc/4.0/" TargetMode="External"/><Relationship Id="rId4732" Type="http://schemas.openxmlformats.org/officeDocument/2006/relationships/hyperlink" Target="https://www.inaturalist.org/observations/382906586" TargetMode="External"/><Relationship Id="rId4733" Type="http://schemas.openxmlformats.org/officeDocument/2006/relationships/hyperlink" Target="https://creativecommons.org/licenses/by-nc/4.0/" TargetMode="External"/><Relationship Id="rId4734" Type="http://schemas.openxmlformats.org/officeDocument/2006/relationships/hyperlink" Target="https://www.inaturalist.org/observations/382906138" TargetMode="External"/><Relationship Id="rId4735" Type="http://schemas.openxmlformats.org/officeDocument/2006/relationships/hyperlink" Target="https://creativecommons.org/licenses/by-nc/4.0/" TargetMode="External"/><Relationship Id="rId4736" Type="http://schemas.openxmlformats.org/officeDocument/2006/relationships/hyperlink" Target="https://www.inaturalist.org/observations/382904756" TargetMode="External"/><Relationship Id="rId4737" Type="http://schemas.openxmlformats.org/officeDocument/2006/relationships/hyperlink" Target="https://creativecommons.org/licenses/by-nc/4.0/" TargetMode="External"/><Relationship Id="rId4738" Type="http://schemas.openxmlformats.org/officeDocument/2006/relationships/hyperlink" Target="https://www.inaturalist.org/observations/382904235" TargetMode="External"/><Relationship Id="rId4739" Type="http://schemas.openxmlformats.org/officeDocument/2006/relationships/hyperlink" Target="https://creativecommons.org/licenses/by-nc/4.0/" TargetMode="External"/><Relationship Id="rId4740" Type="http://schemas.openxmlformats.org/officeDocument/2006/relationships/hyperlink" Target="https://www.inaturalist.org/observations/382901569" TargetMode="External"/><Relationship Id="rId4741" Type="http://schemas.openxmlformats.org/officeDocument/2006/relationships/hyperlink" Target="https://creativecommons.org/licenses/by-nc/4.0/" TargetMode="External"/><Relationship Id="rId4742" Type="http://schemas.openxmlformats.org/officeDocument/2006/relationships/hyperlink" Target="https://www.inaturalist.org/observations/382901309" TargetMode="External"/><Relationship Id="rId4743" Type="http://schemas.openxmlformats.org/officeDocument/2006/relationships/hyperlink" Target="https://creativecommons.org/licenses/by-nc/4.0/" TargetMode="External"/><Relationship Id="rId4744" Type="http://schemas.openxmlformats.org/officeDocument/2006/relationships/hyperlink" Target="https://www.inaturalist.org/observations/382899481" TargetMode="External"/><Relationship Id="rId4745" Type="http://schemas.openxmlformats.org/officeDocument/2006/relationships/hyperlink" Target="https://creativecommons.org/licenses/by-nc/4.0/" TargetMode="External"/><Relationship Id="rId4746" Type="http://schemas.openxmlformats.org/officeDocument/2006/relationships/hyperlink" Target="https://www.inaturalist.org/observations/382899361" TargetMode="External"/><Relationship Id="rId4747" Type="http://schemas.openxmlformats.org/officeDocument/2006/relationships/hyperlink" Target="https://creativecommons.org/licenses/by-nc/4.0/" TargetMode="External"/><Relationship Id="rId4748" Type="http://schemas.openxmlformats.org/officeDocument/2006/relationships/hyperlink" Target="https://www.inaturalist.org/observations/382899087" TargetMode="External"/><Relationship Id="rId4749" Type="http://schemas.openxmlformats.org/officeDocument/2006/relationships/hyperlink" Target="https://creativecommons.org/licenses/by-nc/4.0/" TargetMode="External"/><Relationship Id="rId4750" Type="http://schemas.openxmlformats.org/officeDocument/2006/relationships/hyperlink" Target="https://www.inaturalist.org/observations/382897409" TargetMode="External"/><Relationship Id="rId4751" Type="http://schemas.openxmlformats.org/officeDocument/2006/relationships/hyperlink" Target="https://creativecommons.org/licenses/by-nc/4.0/" TargetMode="External"/><Relationship Id="rId4752" Type="http://schemas.openxmlformats.org/officeDocument/2006/relationships/hyperlink" Target="https://www.inaturalist.org/observations/382896905" TargetMode="External"/><Relationship Id="rId4753" Type="http://schemas.openxmlformats.org/officeDocument/2006/relationships/hyperlink" Target="https://creativecommons.org/licenses/by-nc/4.0/" TargetMode="External"/><Relationship Id="rId4754" Type="http://schemas.openxmlformats.org/officeDocument/2006/relationships/hyperlink" Target="https://www.inaturalist.org/observations/382893641" TargetMode="External"/><Relationship Id="rId4755" Type="http://schemas.openxmlformats.org/officeDocument/2006/relationships/hyperlink" Target="https://creativecommons.org/licenses/by-nc/4.0/" TargetMode="External"/><Relationship Id="rId4756" Type="http://schemas.openxmlformats.org/officeDocument/2006/relationships/hyperlink" Target="https://www.inaturalist.org/observations/382893468" TargetMode="External"/><Relationship Id="rId4757" Type="http://schemas.openxmlformats.org/officeDocument/2006/relationships/hyperlink" Target="https://creativecommons.org/licenses/by-nc/4.0/" TargetMode="External"/><Relationship Id="rId4758" Type="http://schemas.openxmlformats.org/officeDocument/2006/relationships/hyperlink" Target="https://www.inaturalist.org/observations/382893429" TargetMode="External"/><Relationship Id="rId4759" Type="http://schemas.openxmlformats.org/officeDocument/2006/relationships/hyperlink" Target="https://creativecommons.org/licenses/by-nc/4.0/" TargetMode="External"/><Relationship Id="rId4760" Type="http://schemas.openxmlformats.org/officeDocument/2006/relationships/hyperlink" Target="https://www.inaturalist.org/observations/382893366" TargetMode="External"/><Relationship Id="rId4761" Type="http://schemas.openxmlformats.org/officeDocument/2006/relationships/hyperlink" Target="https://creativecommons.org/licenses/by-nc/4.0/" TargetMode="External"/><Relationship Id="rId4762" Type="http://schemas.openxmlformats.org/officeDocument/2006/relationships/hyperlink" Target="https://www.inaturalist.org/observations/382893287" TargetMode="External"/><Relationship Id="rId4763" Type="http://schemas.openxmlformats.org/officeDocument/2006/relationships/hyperlink" Target="https://creativecommons.org/licenses/by-nc/4.0/" TargetMode="External"/><Relationship Id="rId4764" Type="http://schemas.openxmlformats.org/officeDocument/2006/relationships/hyperlink" Target="https://www.inaturalist.org/observations/382893256" TargetMode="External"/><Relationship Id="rId4765" Type="http://schemas.openxmlformats.org/officeDocument/2006/relationships/hyperlink" Target="https://creativecommons.org/licenses/by-nc/4.0/" TargetMode="External"/><Relationship Id="rId4766" Type="http://schemas.openxmlformats.org/officeDocument/2006/relationships/hyperlink" Target="https://www.inaturalist.org/observations/382893233" TargetMode="External"/><Relationship Id="rId4767" Type="http://schemas.openxmlformats.org/officeDocument/2006/relationships/hyperlink" Target="https://creativecommons.org/licenses/by-nc/4.0/" TargetMode="External"/><Relationship Id="rId4768" Type="http://schemas.openxmlformats.org/officeDocument/2006/relationships/hyperlink" Target="https://www.inaturalist.org/observations/382893202" TargetMode="External"/><Relationship Id="rId4769" Type="http://schemas.openxmlformats.org/officeDocument/2006/relationships/hyperlink" Target="https://creativecommons.org/licenses/by-nc/4.0/" TargetMode="External"/><Relationship Id="rId4770" Type="http://schemas.openxmlformats.org/officeDocument/2006/relationships/hyperlink" Target="https://www.inaturalist.org/observations/382893181" TargetMode="External"/><Relationship Id="rId4771" Type="http://schemas.openxmlformats.org/officeDocument/2006/relationships/hyperlink" Target="https://creativecommons.org/licenses/by-nc/4.0/" TargetMode="External"/><Relationship Id="rId4772" Type="http://schemas.openxmlformats.org/officeDocument/2006/relationships/hyperlink" Target="https://www.inaturalist.org/observations/382893178" TargetMode="External"/><Relationship Id="rId4773" Type="http://schemas.openxmlformats.org/officeDocument/2006/relationships/hyperlink" Target="https://creativecommons.org/licenses/by-nc/4.0/" TargetMode="External"/><Relationship Id="rId4774" Type="http://schemas.openxmlformats.org/officeDocument/2006/relationships/hyperlink" Target="https://www.inaturalist.org/observations/382893115" TargetMode="External"/><Relationship Id="rId4775" Type="http://schemas.openxmlformats.org/officeDocument/2006/relationships/hyperlink" Target="https://creativecommons.org/licenses/by-nc/4.0/" TargetMode="External"/><Relationship Id="rId4776" Type="http://schemas.openxmlformats.org/officeDocument/2006/relationships/hyperlink" Target="https://www.inaturalist.org/observations/382892618" TargetMode="External"/><Relationship Id="rId4777" Type="http://schemas.openxmlformats.org/officeDocument/2006/relationships/hyperlink" Target="https://creativecommons.org/licenses/by-nc/4.0/" TargetMode="External"/><Relationship Id="rId4778" Type="http://schemas.openxmlformats.org/officeDocument/2006/relationships/hyperlink" Target="https://www.inaturalist.org/observations/382891594" TargetMode="External"/><Relationship Id="rId4779" Type="http://schemas.openxmlformats.org/officeDocument/2006/relationships/hyperlink" Target="https://creativecommons.org/licenses/by-nc/4.0/" TargetMode="External"/><Relationship Id="rId4780" Type="http://schemas.openxmlformats.org/officeDocument/2006/relationships/hyperlink" Target="https://www.inaturalist.org/observations/382889412" TargetMode="External"/><Relationship Id="rId4781" Type="http://schemas.openxmlformats.org/officeDocument/2006/relationships/hyperlink" Target="https://creativecommons.org/licenses/by-nc/4.0/" TargetMode="External"/><Relationship Id="rId4782" Type="http://schemas.openxmlformats.org/officeDocument/2006/relationships/hyperlink" Target="https://www.inaturalist.org/observations/382887335" TargetMode="External"/><Relationship Id="rId4783" Type="http://schemas.openxmlformats.org/officeDocument/2006/relationships/hyperlink" Target="https://creativecommons.org/licenses/by-nc/4.0/" TargetMode="External"/><Relationship Id="rId4784" Type="http://schemas.openxmlformats.org/officeDocument/2006/relationships/hyperlink" Target="https://www.inaturalist.org/observations/382887314" TargetMode="External"/><Relationship Id="rId4785" Type="http://schemas.openxmlformats.org/officeDocument/2006/relationships/hyperlink" Target="https://creativecommons.org/licenses/by-nc/4.0/" TargetMode="External"/><Relationship Id="rId4786" Type="http://schemas.openxmlformats.org/officeDocument/2006/relationships/hyperlink" Target="https://www.inaturalist.org/observations/382887271" TargetMode="External"/><Relationship Id="rId4787" Type="http://schemas.openxmlformats.org/officeDocument/2006/relationships/hyperlink" Target="https://creativecommons.org/licenses/by-nc/4.0/" TargetMode="External"/><Relationship Id="rId4788" Type="http://schemas.openxmlformats.org/officeDocument/2006/relationships/hyperlink" Target="https://www.inaturalist.org/observations/382887202" TargetMode="External"/><Relationship Id="rId4789" Type="http://schemas.openxmlformats.org/officeDocument/2006/relationships/hyperlink" Target="https://creativecommons.org/licenses/by-nc/4.0/" TargetMode="External"/><Relationship Id="rId4790" Type="http://schemas.openxmlformats.org/officeDocument/2006/relationships/hyperlink" Target="https://www.inaturalist.org/observations/382887170" TargetMode="External"/><Relationship Id="rId4791" Type="http://schemas.openxmlformats.org/officeDocument/2006/relationships/hyperlink" Target="https://creativecommons.org/licenses/by-nc/4.0/" TargetMode="External"/><Relationship Id="rId4792" Type="http://schemas.openxmlformats.org/officeDocument/2006/relationships/hyperlink" Target="https://www.inaturalist.org/observations/382887111" TargetMode="External"/><Relationship Id="rId4793" Type="http://schemas.openxmlformats.org/officeDocument/2006/relationships/hyperlink" Target="https://creativecommons.org/licenses/by-nc/4.0/" TargetMode="External"/><Relationship Id="rId4794" Type="http://schemas.openxmlformats.org/officeDocument/2006/relationships/hyperlink" Target="https://www.inaturalist.org/observations/382887071" TargetMode="External"/><Relationship Id="rId4795" Type="http://schemas.openxmlformats.org/officeDocument/2006/relationships/hyperlink" Target="https://creativecommons.org/licenses/by-nc/4.0/" TargetMode="External"/><Relationship Id="rId4796" Type="http://schemas.openxmlformats.org/officeDocument/2006/relationships/hyperlink" Target="https://www.inaturalist.org/observations/382887053" TargetMode="External"/><Relationship Id="rId4797" Type="http://schemas.openxmlformats.org/officeDocument/2006/relationships/hyperlink" Target="https://creativecommons.org/licenses/by-nc/4.0/" TargetMode="External"/><Relationship Id="rId4798" Type="http://schemas.openxmlformats.org/officeDocument/2006/relationships/hyperlink" Target="https://www.inaturalist.org/observations/382886994" TargetMode="External"/><Relationship Id="rId4799" Type="http://schemas.openxmlformats.org/officeDocument/2006/relationships/hyperlink" Target="https://creativecommons.org/licenses/by-nc/4.0/" TargetMode="External"/><Relationship Id="rId4800" Type="http://schemas.openxmlformats.org/officeDocument/2006/relationships/hyperlink" Target="https://www.inaturalist.org/observations/382886909" TargetMode="External"/><Relationship Id="rId4801" Type="http://schemas.openxmlformats.org/officeDocument/2006/relationships/hyperlink" Target="https://creativecommons.org/licenses/by-nc/4.0/" TargetMode="External"/><Relationship Id="rId4802" Type="http://schemas.openxmlformats.org/officeDocument/2006/relationships/hyperlink" Target="https://www.inaturalist.org/observations/382883218" TargetMode="External"/><Relationship Id="rId4803" Type="http://schemas.openxmlformats.org/officeDocument/2006/relationships/hyperlink" Target="https://creativecommons.org/licenses/by-nc/4.0/" TargetMode="External"/><Relationship Id="rId4804" Type="http://schemas.openxmlformats.org/officeDocument/2006/relationships/hyperlink" Target="https://www.inaturalist.org/observations/382882366" TargetMode="External"/><Relationship Id="rId4805" Type="http://schemas.openxmlformats.org/officeDocument/2006/relationships/hyperlink" Target="https://creativecommons.org/licenses/by-nc/4.0/" TargetMode="External"/><Relationship Id="rId4806" Type="http://schemas.openxmlformats.org/officeDocument/2006/relationships/hyperlink" Target="https://www.inaturalist.org/observations/382881127" TargetMode="External"/><Relationship Id="rId4807" Type="http://schemas.openxmlformats.org/officeDocument/2006/relationships/hyperlink" Target="https://creativecommons.org/licenses/by-nc/4.0/" TargetMode="External"/><Relationship Id="rId4808" Type="http://schemas.openxmlformats.org/officeDocument/2006/relationships/hyperlink" Target="https://www.inaturalist.org/observations/382878566" TargetMode="External"/><Relationship Id="rId4809" Type="http://schemas.openxmlformats.org/officeDocument/2006/relationships/hyperlink" Target="https://creativecommons.org/licenses/by-nc/4.0/" TargetMode="External"/><Relationship Id="rId4810" Type="http://schemas.openxmlformats.org/officeDocument/2006/relationships/hyperlink" Target="https://www.inaturalist.org/observations/382878308" TargetMode="External"/><Relationship Id="rId4811" Type="http://schemas.openxmlformats.org/officeDocument/2006/relationships/hyperlink" Target="https://creativecommons.org/licenses/by-nc/4.0/" TargetMode="External"/><Relationship Id="rId4812" Type="http://schemas.openxmlformats.org/officeDocument/2006/relationships/hyperlink" Target="https://www.inaturalist.org/observations/382878172" TargetMode="External"/><Relationship Id="rId4813" Type="http://schemas.openxmlformats.org/officeDocument/2006/relationships/hyperlink" Target="https://creativecommons.org/licenses/by-nc/4.0/" TargetMode="External"/><Relationship Id="rId4814" Type="http://schemas.openxmlformats.org/officeDocument/2006/relationships/hyperlink" Target="https://www.inaturalist.org/observations/382878161" TargetMode="External"/><Relationship Id="rId4815" Type="http://schemas.openxmlformats.org/officeDocument/2006/relationships/hyperlink" Target="https://creativecommons.org/licenses/by-nc/4.0/" TargetMode="External"/><Relationship Id="rId4816" Type="http://schemas.openxmlformats.org/officeDocument/2006/relationships/hyperlink" Target="https://www.inaturalist.org/observations/382878160" TargetMode="External"/><Relationship Id="rId4817" Type="http://schemas.openxmlformats.org/officeDocument/2006/relationships/hyperlink" Target="https://creativecommons.org/licenses/by-nc/4.0/" TargetMode="External"/><Relationship Id="rId4818" Type="http://schemas.openxmlformats.org/officeDocument/2006/relationships/hyperlink" Target="https://www.inaturalist.org/observations/382878147" TargetMode="External"/><Relationship Id="rId4819" Type="http://schemas.openxmlformats.org/officeDocument/2006/relationships/hyperlink" Target="https://creativecommons.org/licenses/by-nc/4.0/" TargetMode="External"/><Relationship Id="rId4820" Type="http://schemas.openxmlformats.org/officeDocument/2006/relationships/hyperlink" Target="https://www.inaturalist.org/observations/382878146" TargetMode="External"/><Relationship Id="rId4821" Type="http://schemas.openxmlformats.org/officeDocument/2006/relationships/hyperlink" Target="https://creativecommons.org/licenses/by-nc/4.0/" TargetMode="External"/><Relationship Id="rId4822" Type="http://schemas.openxmlformats.org/officeDocument/2006/relationships/hyperlink" Target="https://www.inaturalist.org/observations/382878117" TargetMode="External"/><Relationship Id="rId4823" Type="http://schemas.openxmlformats.org/officeDocument/2006/relationships/hyperlink" Target="https://creativecommons.org/licenses/by-nc/4.0/" TargetMode="External"/><Relationship Id="rId4824" Type="http://schemas.openxmlformats.org/officeDocument/2006/relationships/hyperlink" Target="https://www.inaturalist.org/observations/382877672" TargetMode="External"/><Relationship Id="rId4825" Type="http://schemas.openxmlformats.org/officeDocument/2006/relationships/hyperlink" Target="https://creativecommons.org/licenses/by-nc/4.0/" TargetMode="External"/><Relationship Id="rId4826" Type="http://schemas.openxmlformats.org/officeDocument/2006/relationships/hyperlink" Target="https://www.inaturalist.org/observations/382877504" TargetMode="External"/><Relationship Id="rId4827" Type="http://schemas.openxmlformats.org/officeDocument/2006/relationships/hyperlink" Target="https://creativecommons.org/licenses/by-nc/4.0/" TargetMode="External"/><Relationship Id="rId4828" Type="http://schemas.openxmlformats.org/officeDocument/2006/relationships/hyperlink" Target="https://www.inaturalist.org/observations/382876965" TargetMode="External"/><Relationship Id="rId4829" Type="http://schemas.openxmlformats.org/officeDocument/2006/relationships/hyperlink" Target="https://creativecommons.org/licenses/by-nc/4.0/" TargetMode="External"/><Relationship Id="rId4830" Type="http://schemas.openxmlformats.org/officeDocument/2006/relationships/hyperlink" Target="https://www.inaturalist.org/observations/382876716" TargetMode="External"/><Relationship Id="rId4831" Type="http://schemas.openxmlformats.org/officeDocument/2006/relationships/hyperlink" Target="https://creativecommons.org/licenses/by-nc/4.0/" TargetMode="External"/><Relationship Id="rId4832" Type="http://schemas.openxmlformats.org/officeDocument/2006/relationships/hyperlink" Target="https://www.inaturalist.org/observations/382876422" TargetMode="External"/><Relationship Id="rId4833" Type="http://schemas.openxmlformats.org/officeDocument/2006/relationships/hyperlink" Target="https://creativecommons.org/licenses/by-nc/4.0/" TargetMode="External"/><Relationship Id="rId4834" Type="http://schemas.openxmlformats.org/officeDocument/2006/relationships/hyperlink" Target="https://www.inaturalist.org/observations/382875452" TargetMode="External"/><Relationship Id="rId4835" Type="http://schemas.openxmlformats.org/officeDocument/2006/relationships/hyperlink" Target="https://creativecommons.org/licenses/by-nc/4.0/" TargetMode="External"/><Relationship Id="rId4836" Type="http://schemas.openxmlformats.org/officeDocument/2006/relationships/hyperlink" Target="https://www.inaturalist.org/observations/382874797" TargetMode="External"/><Relationship Id="rId4837" Type="http://schemas.openxmlformats.org/officeDocument/2006/relationships/hyperlink" Target="https://creativecommons.org/licenses/by-nc/4.0/" TargetMode="External"/><Relationship Id="rId4838" Type="http://schemas.openxmlformats.org/officeDocument/2006/relationships/hyperlink" Target="https://www.inaturalist.org/observations/382873577" TargetMode="External"/><Relationship Id="rId4839" Type="http://schemas.openxmlformats.org/officeDocument/2006/relationships/hyperlink" Target="https://creativecommons.org/licenses/by-nc/4.0/" TargetMode="External"/><Relationship Id="rId4840" Type="http://schemas.openxmlformats.org/officeDocument/2006/relationships/hyperlink" Target="https://www.inaturalist.org/observations/382872007" TargetMode="External"/><Relationship Id="rId4841" Type="http://schemas.openxmlformats.org/officeDocument/2006/relationships/hyperlink" Target="https://creativecommons.org/licenses/by-nc/4.0/" TargetMode="External"/><Relationship Id="rId4842" Type="http://schemas.openxmlformats.org/officeDocument/2006/relationships/hyperlink" Target="https://www.inaturalist.org/observations/383184669" TargetMode="External"/><Relationship Id="rId4843" Type="http://schemas.openxmlformats.org/officeDocument/2006/relationships/hyperlink" Target="https://creativecommons.org/licenses/by-nc/4.0/" TargetMode="External"/><Relationship Id="rId4844" Type="http://schemas.openxmlformats.org/officeDocument/2006/relationships/hyperlink" Target="https://www.inaturalist.org/observations/383183780" TargetMode="External"/><Relationship Id="rId4845" Type="http://schemas.openxmlformats.org/officeDocument/2006/relationships/hyperlink" Target="https://creativecommons.org/licenses/by-nc/4.0/" TargetMode="External"/><Relationship Id="rId4846" Type="http://schemas.openxmlformats.org/officeDocument/2006/relationships/hyperlink" Target="https://www.inaturalist.org/observations/383183717" TargetMode="External"/><Relationship Id="rId4847" Type="http://schemas.openxmlformats.org/officeDocument/2006/relationships/hyperlink" Target="https://creativecommons.org/licenses/by-nc/4.0/" TargetMode="External"/><Relationship Id="rId4848" Type="http://schemas.openxmlformats.org/officeDocument/2006/relationships/hyperlink" Target="https://www.inaturalist.org/observations/383183532" TargetMode="External"/><Relationship Id="rId4849" Type="http://schemas.openxmlformats.org/officeDocument/2006/relationships/hyperlink" Target="https://creativecommons.org/licenses/by-nc/4.0/" TargetMode="External"/><Relationship Id="rId4850" Type="http://schemas.openxmlformats.org/officeDocument/2006/relationships/hyperlink" Target="https://www.inaturalist.org/observations/383183055" TargetMode="External"/><Relationship Id="rId4851" Type="http://schemas.openxmlformats.org/officeDocument/2006/relationships/hyperlink" Target="https://creativecommons.org/licenses/by-nc/4.0/" TargetMode="External"/><Relationship Id="rId4852" Type="http://schemas.openxmlformats.org/officeDocument/2006/relationships/hyperlink" Target="https://www.inaturalist.org/observations/383182654" TargetMode="External"/><Relationship Id="rId4853" Type="http://schemas.openxmlformats.org/officeDocument/2006/relationships/hyperlink" Target="https://creativecommons.org/licenses/by-nc/4.0/" TargetMode="External"/><Relationship Id="rId4854" Type="http://schemas.openxmlformats.org/officeDocument/2006/relationships/hyperlink" Target="https://www.inaturalist.org/observations/383182585" TargetMode="External"/><Relationship Id="rId4855" Type="http://schemas.openxmlformats.org/officeDocument/2006/relationships/hyperlink" Target="https://creativecommons.org/licenses/by-nc/4.0/" TargetMode="External"/><Relationship Id="rId4856" Type="http://schemas.openxmlformats.org/officeDocument/2006/relationships/hyperlink" Target="https://www.inaturalist.org/observations/383182378" TargetMode="External"/><Relationship Id="rId4857" Type="http://schemas.openxmlformats.org/officeDocument/2006/relationships/hyperlink" Target="https://creativecommons.org/licenses/by-nc/4.0/" TargetMode="External"/><Relationship Id="rId4858" Type="http://schemas.openxmlformats.org/officeDocument/2006/relationships/hyperlink" Target="https://www.inaturalist.org/observations/383182041" TargetMode="External"/><Relationship Id="rId4859" Type="http://schemas.openxmlformats.org/officeDocument/2006/relationships/hyperlink" Target="https://creativecommons.org/licenses/by-nc/4.0/" TargetMode="External"/><Relationship Id="rId4860" Type="http://schemas.openxmlformats.org/officeDocument/2006/relationships/hyperlink" Target="https://www.inaturalist.org/observations/383181730" TargetMode="External"/><Relationship Id="rId4861" Type="http://schemas.openxmlformats.org/officeDocument/2006/relationships/hyperlink" Target="https://creativecommons.org/licenses/by-nc/4.0/" TargetMode="External"/><Relationship Id="rId4862" Type="http://schemas.openxmlformats.org/officeDocument/2006/relationships/hyperlink" Target="https://www.inaturalist.org/observations/383180026" TargetMode="External"/><Relationship Id="rId4863" Type="http://schemas.openxmlformats.org/officeDocument/2006/relationships/hyperlink" Target="https://creativecommons.org/licenses/by-nc/4.0/" TargetMode="External"/><Relationship Id="rId4864" Type="http://schemas.openxmlformats.org/officeDocument/2006/relationships/hyperlink" Target="https://www.inaturalist.org/observations/383179675" TargetMode="External"/><Relationship Id="rId4865" Type="http://schemas.openxmlformats.org/officeDocument/2006/relationships/hyperlink" Target="https://creativecommons.org/licenses/by-nc/4.0/" TargetMode="External"/><Relationship Id="rId4866" Type="http://schemas.openxmlformats.org/officeDocument/2006/relationships/hyperlink" Target="https://www.inaturalist.org/observations/383179485" TargetMode="External"/><Relationship Id="rId4867" Type="http://schemas.openxmlformats.org/officeDocument/2006/relationships/hyperlink" Target="https://creativecommons.org/licenses/by-nc/4.0/" TargetMode="External"/><Relationship Id="rId4868" Type="http://schemas.openxmlformats.org/officeDocument/2006/relationships/hyperlink" Target="https://www.inaturalist.org/observations/383178619" TargetMode="External"/><Relationship Id="rId4869" Type="http://schemas.openxmlformats.org/officeDocument/2006/relationships/hyperlink" Target="https://creativecommons.org/licenses/by-nc/4.0/" TargetMode="External"/><Relationship Id="rId4870" Type="http://schemas.openxmlformats.org/officeDocument/2006/relationships/hyperlink" Target="https://www.inaturalist.org/observations/383176938" TargetMode="External"/><Relationship Id="rId4871" Type="http://schemas.openxmlformats.org/officeDocument/2006/relationships/hyperlink" Target="https://creativecommons.org/licenses/by-nc/4.0/" TargetMode="External"/><Relationship Id="rId4872" Type="http://schemas.openxmlformats.org/officeDocument/2006/relationships/hyperlink" Target="https://www.inaturalist.org/observations/383176904" TargetMode="External"/><Relationship Id="rId4873" Type="http://schemas.openxmlformats.org/officeDocument/2006/relationships/hyperlink" Target="https://creativecommons.org/licenses/by-nc/4.0/" TargetMode="External"/><Relationship Id="rId4874" Type="http://schemas.openxmlformats.org/officeDocument/2006/relationships/hyperlink" Target="https://www.inaturalist.org/observations/383176853" TargetMode="External"/><Relationship Id="rId4875" Type="http://schemas.openxmlformats.org/officeDocument/2006/relationships/hyperlink" Target="https://creativecommons.org/licenses/by-nc/4.0/" TargetMode="External"/><Relationship Id="rId4876" Type="http://schemas.openxmlformats.org/officeDocument/2006/relationships/hyperlink" Target="https://www.inaturalist.org/observations/383176809" TargetMode="External"/><Relationship Id="rId4877" Type="http://schemas.openxmlformats.org/officeDocument/2006/relationships/hyperlink" Target="https://creativecommons.org/licenses/by-nc/4.0/" TargetMode="External"/><Relationship Id="rId4878" Type="http://schemas.openxmlformats.org/officeDocument/2006/relationships/hyperlink" Target="https://www.inaturalist.org/observations/383175611" TargetMode="External"/><Relationship Id="rId4879" Type="http://schemas.openxmlformats.org/officeDocument/2006/relationships/hyperlink" Target="https://creativecommons.org/licenses/by-nc/4.0/" TargetMode="External"/><Relationship Id="rId4880" Type="http://schemas.openxmlformats.org/officeDocument/2006/relationships/hyperlink" Target="https://www.inaturalist.org/observations/383175586" TargetMode="External"/><Relationship Id="rId4881" Type="http://schemas.openxmlformats.org/officeDocument/2006/relationships/hyperlink" Target="https://creativecommons.org/licenses/by-nc/4.0/" TargetMode="External"/><Relationship Id="rId4882" Type="http://schemas.openxmlformats.org/officeDocument/2006/relationships/hyperlink" Target="https://www.inaturalist.org/observations/383175521" TargetMode="External"/><Relationship Id="rId4883" Type="http://schemas.openxmlformats.org/officeDocument/2006/relationships/hyperlink" Target="https://creativecommons.org/licenses/by-nc/4.0/" TargetMode="External"/><Relationship Id="rId4884" Type="http://schemas.openxmlformats.org/officeDocument/2006/relationships/hyperlink" Target="https://www.inaturalist.org/observations/383175475" TargetMode="External"/><Relationship Id="rId4885" Type="http://schemas.openxmlformats.org/officeDocument/2006/relationships/hyperlink" Target="https://creativecommons.org/licenses/by-nc/4.0/" TargetMode="External"/><Relationship Id="rId4886" Type="http://schemas.openxmlformats.org/officeDocument/2006/relationships/hyperlink" Target="https://www.inaturalist.org/observations/383175423" TargetMode="External"/><Relationship Id="rId4887" Type="http://schemas.openxmlformats.org/officeDocument/2006/relationships/hyperlink" Target="https://creativecommons.org/licenses/by-nc/4.0/" TargetMode="External"/><Relationship Id="rId4888" Type="http://schemas.openxmlformats.org/officeDocument/2006/relationships/hyperlink" Target="https://www.inaturalist.org/observations/383174565" TargetMode="External"/><Relationship Id="rId4889" Type="http://schemas.openxmlformats.org/officeDocument/2006/relationships/hyperlink" Target="https://creativecommons.org/licenses/by-nc/4.0/" TargetMode="External"/><Relationship Id="rId4890" Type="http://schemas.openxmlformats.org/officeDocument/2006/relationships/hyperlink" Target="https://www.inaturalist.org/observations/383172016" TargetMode="External"/><Relationship Id="rId4891" Type="http://schemas.openxmlformats.org/officeDocument/2006/relationships/hyperlink" Target="https://creativecommons.org/licenses/by-nc/4.0/" TargetMode="External"/><Relationship Id="rId4892" Type="http://schemas.openxmlformats.org/officeDocument/2006/relationships/hyperlink" Target="https://www.inaturalist.org/observations/383171707" TargetMode="External"/><Relationship Id="rId4893" Type="http://schemas.openxmlformats.org/officeDocument/2006/relationships/hyperlink" Target="https://creativecommons.org/licenses/by-nc/4.0/" TargetMode="External"/><Relationship Id="rId4894" Type="http://schemas.openxmlformats.org/officeDocument/2006/relationships/hyperlink" Target="https://www.inaturalist.org/observations/383169619" TargetMode="External"/><Relationship Id="rId4895" Type="http://schemas.openxmlformats.org/officeDocument/2006/relationships/hyperlink" Target="https://creativecommons.org/licenses/by-nc/4.0/" TargetMode="External"/><Relationship Id="rId4896" Type="http://schemas.openxmlformats.org/officeDocument/2006/relationships/hyperlink" Target="https://www.inaturalist.org/observations/383169300" TargetMode="External"/><Relationship Id="rId4897" Type="http://schemas.openxmlformats.org/officeDocument/2006/relationships/hyperlink" Target="https://creativecommons.org/licenses/by-nc/4.0/" TargetMode="External"/><Relationship Id="rId4898" Type="http://schemas.openxmlformats.org/officeDocument/2006/relationships/hyperlink" Target="https://www.inaturalist.org/observations/383168047" TargetMode="External"/><Relationship Id="rId4899" Type="http://schemas.openxmlformats.org/officeDocument/2006/relationships/hyperlink" Target="https://creativecommons.org/licenses/by-nc/4.0/" TargetMode="External"/><Relationship Id="rId4900" Type="http://schemas.openxmlformats.org/officeDocument/2006/relationships/hyperlink" Target="https://www.inaturalist.org/observations/383167200" TargetMode="External"/><Relationship Id="rId4901" Type="http://schemas.openxmlformats.org/officeDocument/2006/relationships/hyperlink" Target="https://creativecommons.org/licenses/by-nc/4.0/" TargetMode="External"/><Relationship Id="rId4902" Type="http://schemas.openxmlformats.org/officeDocument/2006/relationships/hyperlink" Target="https://www.inaturalist.org/observations/383167121" TargetMode="External"/><Relationship Id="rId4903" Type="http://schemas.openxmlformats.org/officeDocument/2006/relationships/hyperlink" Target="https://creativecommons.org/licenses/by-nc/4.0/" TargetMode="External"/><Relationship Id="rId4904" Type="http://schemas.openxmlformats.org/officeDocument/2006/relationships/hyperlink" Target="https://www.inaturalist.org/observations/383167007" TargetMode="External"/><Relationship Id="rId4905" Type="http://schemas.openxmlformats.org/officeDocument/2006/relationships/hyperlink" Target="https://creativecommons.org/licenses/by-nc/4.0/" TargetMode="External"/><Relationship Id="rId4906" Type="http://schemas.openxmlformats.org/officeDocument/2006/relationships/hyperlink" Target="https://www.inaturalist.org/observations/383164363" TargetMode="External"/><Relationship Id="rId4907" Type="http://schemas.openxmlformats.org/officeDocument/2006/relationships/hyperlink" Target="https://creativecommons.org/licenses/by-nc/4.0/" TargetMode="External"/><Relationship Id="rId4908" Type="http://schemas.openxmlformats.org/officeDocument/2006/relationships/hyperlink" Target="https://www.inaturalist.org/observations/383163617" TargetMode="External"/><Relationship Id="rId4909" Type="http://schemas.openxmlformats.org/officeDocument/2006/relationships/hyperlink" Target="https://creativecommons.org/licenses/by-nc/4.0/" TargetMode="External"/><Relationship Id="rId4910" Type="http://schemas.openxmlformats.org/officeDocument/2006/relationships/hyperlink" Target="https://www.inaturalist.org/observations/383163616" TargetMode="External"/><Relationship Id="rId4911" Type="http://schemas.openxmlformats.org/officeDocument/2006/relationships/hyperlink" Target="https://creativecommons.org/licenses/by-nc/4.0/" TargetMode="External"/><Relationship Id="rId4912" Type="http://schemas.openxmlformats.org/officeDocument/2006/relationships/hyperlink" Target="https://www.inaturalist.org/observations/383162873" TargetMode="External"/><Relationship Id="rId4913" Type="http://schemas.openxmlformats.org/officeDocument/2006/relationships/hyperlink" Target="https://creativecommons.org/licenses/by-nc/4.0/" TargetMode="External"/><Relationship Id="rId4914" Type="http://schemas.openxmlformats.org/officeDocument/2006/relationships/hyperlink" Target="https://www.inaturalist.org/observations/383162187" TargetMode="External"/><Relationship Id="rId4915" Type="http://schemas.openxmlformats.org/officeDocument/2006/relationships/hyperlink" Target="https://creativecommons.org/licenses/by-nc/4.0/" TargetMode="External"/><Relationship Id="rId4916" Type="http://schemas.openxmlformats.org/officeDocument/2006/relationships/hyperlink" Target="https://www.inaturalist.org/observations/383161675" TargetMode="External"/><Relationship Id="rId4917" Type="http://schemas.openxmlformats.org/officeDocument/2006/relationships/hyperlink" Target="https://creativecommons.org/licenses/by-nc/4.0/" TargetMode="External"/><Relationship Id="rId4918" Type="http://schemas.openxmlformats.org/officeDocument/2006/relationships/hyperlink" Target="https://www.inaturalist.org/observations/383161660" TargetMode="External"/><Relationship Id="rId4919" Type="http://schemas.openxmlformats.org/officeDocument/2006/relationships/hyperlink" Target="https://creativecommons.org/licenses/by-nc/4.0/" TargetMode="External"/><Relationship Id="rId4920" Type="http://schemas.openxmlformats.org/officeDocument/2006/relationships/hyperlink" Target="https://www.inaturalist.org/observations/383159957" TargetMode="External"/><Relationship Id="rId4921" Type="http://schemas.openxmlformats.org/officeDocument/2006/relationships/hyperlink" Target="https://creativecommons.org/licenses/by-nc/4.0/" TargetMode="External"/><Relationship Id="rId4922" Type="http://schemas.openxmlformats.org/officeDocument/2006/relationships/hyperlink" Target="https://www.inaturalist.org/observations/383159655" TargetMode="External"/><Relationship Id="rId4923" Type="http://schemas.openxmlformats.org/officeDocument/2006/relationships/hyperlink" Target="https://creativecommons.org/licenses/by-nc/4.0/" TargetMode="External"/><Relationship Id="rId4924" Type="http://schemas.openxmlformats.org/officeDocument/2006/relationships/hyperlink" Target="https://www.inaturalist.org/observations/383159187" TargetMode="External"/><Relationship Id="rId4925" Type="http://schemas.openxmlformats.org/officeDocument/2006/relationships/hyperlink" Target="https://creativecommons.org/licenses/by-nc/4.0/" TargetMode="External"/><Relationship Id="rId4926" Type="http://schemas.openxmlformats.org/officeDocument/2006/relationships/hyperlink" Target="https://www.inaturalist.org/observations/383159140" TargetMode="External"/><Relationship Id="rId4927" Type="http://schemas.openxmlformats.org/officeDocument/2006/relationships/hyperlink" Target="https://creativecommons.org/licenses/by-nc/4.0/" TargetMode="External"/><Relationship Id="rId4928" Type="http://schemas.openxmlformats.org/officeDocument/2006/relationships/hyperlink" Target="https://www.inaturalist.org/observations/383159128" TargetMode="External"/><Relationship Id="rId4929" Type="http://schemas.openxmlformats.org/officeDocument/2006/relationships/hyperlink" Target="https://creativecommons.org/licenses/by-nc/4.0/" TargetMode="External"/><Relationship Id="rId4930" Type="http://schemas.openxmlformats.org/officeDocument/2006/relationships/hyperlink" Target="https://www.inaturalist.org/observations/383159119" TargetMode="External"/><Relationship Id="rId4931" Type="http://schemas.openxmlformats.org/officeDocument/2006/relationships/hyperlink" Target="https://creativecommons.org/licenses/by-nc/4.0/" TargetMode="External"/><Relationship Id="rId4932" Type="http://schemas.openxmlformats.org/officeDocument/2006/relationships/hyperlink" Target="https://www.inaturalist.org/observations/383157555" TargetMode="External"/><Relationship Id="rId4933" Type="http://schemas.openxmlformats.org/officeDocument/2006/relationships/hyperlink" Target="https://creativecommons.org/licenses/by-nc/4.0/" TargetMode="External"/><Relationship Id="rId4934" Type="http://schemas.openxmlformats.org/officeDocument/2006/relationships/hyperlink" Target="https://www.inaturalist.org/observations/383157409" TargetMode="External"/><Relationship Id="rId4935" Type="http://schemas.openxmlformats.org/officeDocument/2006/relationships/hyperlink" Target="https://creativecommons.org/licenses/by-nc/4.0/" TargetMode="External"/><Relationship Id="rId4936" Type="http://schemas.openxmlformats.org/officeDocument/2006/relationships/hyperlink" Target="https://www.inaturalist.org/observations/383156679" TargetMode="External"/><Relationship Id="rId4937" Type="http://schemas.openxmlformats.org/officeDocument/2006/relationships/hyperlink" Target="https://creativecommons.org/licenses/by-nc/4.0/" TargetMode="External"/><Relationship Id="rId4938" Type="http://schemas.openxmlformats.org/officeDocument/2006/relationships/hyperlink" Target="https://www.inaturalist.org/observations/383155635" TargetMode="External"/><Relationship Id="rId4939" Type="http://schemas.openxmlformats.org/officeDocument/2006/relationships/hyperlink" Target="https://creativecommons.org/licenses/by-nc/4.0/" TargetMode="External"/><Relationship Id="rId4940" Type="http://schemas.openxmlformats.org/officeDocument/2006/relationships/hyperlink" Target="https://www.inaturalist.org/observations/383155589" TargetMode="External"/><Relationship Id="rId4941" Type="http://schemas.openxmlformats.org/officeDocument/2006/relationships/hyperlink" Target="https://creativecommons.org/licenses/by-nc/4.0/" TargetMode="External"/><Relationship Id="rId4942" Type="http://schemas.openxmlformats.org/officeDocument/2006/relationships/hyperlink" Target="https://www.inaturalist.org/observations/383154893" TargetMode="External"/><Relationship Id="rId4943" Type="http://schemas.openxmlformats.org/officeDocument/2006/relationships/hyperlink" Target="https://creativecommons.org/licenses/by-nc/4.0/" TargetMode="External"/><Relationship Id="rId4944" Type="http://schemas.openxmlformats.org/officeDocument/2006/relationships/hyperlink" Target="https://www.inaturalist.org/observations/383154857" TargetMode="External"/><Relationship Id="rId4945" Type="http://schemas.openxmlformats.org/officeDocument/2006/relationships/hyperlink" Target="https://creativecommons.org/licenses/by-nc/4.0/" TargetMode="External"/><Relationship Id="rId4946" Type="http://schemas.openxmlformats.org/officeDocument/2006/relationships/hyperlink" Target="https://www.inaturalist.org/observations/383153161" TargetMode="External"/><Relationship Id="rId4947" Type="http://schemas.openxmlformats.org/officeDocument/2006/relationships/hyperlink" Target="https://creativecommons.org/licenses/by-nc/4.0/" TargetMode="External"/><Relationship Id="rId4948" Type="http://schemas.openxmlformats.org/officeDocument/2006/relationships/hyperlink" Target="https://www.inaturalist.org/observations/383152062" TargetMode="External"/><Relationship Id="rId4949" Type="http://schemas.openxmlformats.org/officeDocument/2006/relationships/hyperlink" Target="https://creativecommons.org/licenses/by-nc/4.0/" TargetMode="External"/><Relationship Id="rId4950" Type="http://schemas.openxmlformats.org/officeDocument/2006/relationships/hyperlink" Target="https://www.inaturalist.org/observations/383148828" TargetMode="External"/><Relationship Id="rId4951" Type="http://schemas.openxmlformats.org/officeDocument/2006/relationships/hyperlink" Target="https://creativecommons.org/licenses/by-nc/4.0/" TargetMode="External"/><Relationship Id="rId4952" Type="http://schemas.openxmlformats.org/officeDocument/2006/relationships/hyperlink" Target="https://www.inaturalist.org/observations/383145270" TargetMode="External"/><Relationship Id="rId4953" Type="http://schemas.openxmlformats.org/officeDocument/2006/relationships/hyperlink" Target="https://creativecommons.org/licenses/by-nc/4.0/" TargetMode="External"/><Relationship Id="rId4954" Type="http://schemas.openxmlformats.org/officeDocument/2006/relationships/hyperlink" Target="https://www.inaturalist.org/observations/383143926" TargetMode="External"/><Relationship Id="rId4955" Type="http://schemas.openxmlformats.org/officeDocument/2006/relationships/hyperlink" Target="https://creativecommons.org/licenses/by-nc/4.0/" TargetMode="External"/><Relationship Id="rId4956" Type="http://schemas.openxmlformats.org/officeDocument/2006/relationships/hyperlink" Target="https://www.inaturalist.org/observations/383143490" TargetMode="External"/><Relationship Id="rId4957" Type="http://schemas.openxmlformats.org/officeDocument/2006/relationships/hyperlink" Target="https://creativecommons.org/licenses/by-nc/4.0/" TargetMode="External"/><Relationship Id="rId4958" Type="http://schemas.openxmlformats.org/officeDocument/2006/relationships/hyperlink" Target="https://www.inaturalist.org/observations/383143348" TargetMode="External"/><Relationship Id="rId4959" Type="http://schemas.openxmlformats.org/officeDocument/2006/relationships/hyperlink" Target="https://creativecommons.org/licenses/by-nc/4.0/" TargetMode="External"/><Relationship Id="rId4960" Type="http://schemas.openxmlformats.org/officeDocument/2006/relationships/hyperlink" Target="https://www.inaturalist.org/observations/383142545" TargetMode="External"/><Relationship Id="rId4961" Type="http://schemas.openxmlformats.org/officeDocument/2006/relationships/hyperlink" Target="https://creativecommons.org/licenses/by-nc/4.0/" TargetMode="External"/><Relationship Id="rId4962" Type="http://schemas.openxmlformats.org/officeDocument/2006/relationships/hyperlink" Target="https://www.inaturalist.org/observations/383141664" TargetMode="External"/><Relationship Id="rId4963" Type="http://schemas.openxmlformats.org/officeDocument/2006/relationships/hyperlink" Target="https://creativecommons.org/licenses/by-nc/4.0/" TargetMode="External"/><Relationship Id="rId4964" Type="http://schemas.openxmlformats.org/officeDocument/2006/relationships/hyperlink" Target="https://www.inaturalist.org/observations/383141576" TargetMode="External"/><Relationship Id="rId4965" Type="http://schemas.openxmlformats.org/officeDocument/2006/relationships/hyperlink" Target="https://creativecommons.org/licenses/by-nc/4.0/" TargetMode="External"/><Relationship Id="rId4966" Type="http://schemas.openxmlformats.org/officeDocument/2006/relationships/hyperlink" Target="https://www.inaturalist.org/observations/383141520" TargetMode="External"/><Relationship Id="rId4967" Type="http://schemas.openxmlformats.org/officeDocument/2006/relationships/hyperlink" Target="https://creativecommons.org/licenses/by-nc/4.0/" TargetMode="External"/><Relationship Id="rId4968" Type="http://schemas.openxmlformats.org/officeDocument/2006/relationships/hyperlink" Target="https://www.inaturalist.org/observations/383141366" TargetMode="External"/><Relationship Id="rId4969" Type="http://schemas.openxmlformats.org/officeDocument/2006/relationships/hyperlink" Target="https://creativecommons.org/licenses/by-nc/4.0/" TargetMode="External"/><Relationship Id="rId4970" Type="http://schemas.openxmlformats.org/officeDocument/2006/relationships/hyperlink" Target="https://www.inaturalist.org/observations/383141033" TargetMode="External"/><Relationship Id="rId4971" Type="http://schemas.openxmlformats.org/officeDocument/2006/relationships/hyperlink" Target="https://creativecommons.org/licenses/by-nc/4.0/" TargetMode="External"/><Relationship Id="rId4972" Type="http://schemas.openxmlformats.org/officeDocument/2006/relationships/hyperlink" Target="https://www.inaturalist.org/observations/383141028" TargetMode="External"/><Relationship Id="rId4973" Type="http://schemas.openxmlformats.org/officeDocument/2006/relationships/hyperlink" Target="https://creativecommons.org/licenses/by-nc/4.0/" TargetMode="External"/><Relationship Id="rId4974" Type="http://schemas.openxmlformats.org/officeDocument/2006/relationships/hyperlink" Target="https://www.inaturalist.org/observations/383140933" TargetMode="External"/><Relationship Id="rId4975" Type="http://schemas.openxmlformats.org/officeDocument/2006/relationships/hyperlink" Target="https://creativecommons.org/licenses/by-nc/4.0/" TargetMode="External"/><Relationship Id="rId4976" Type="http://schemas.openxmlformats.org/officeDocument/2006/relationships/hyperlink" Target="https://www.inaturalist.org/observations/383140085" TargetMode="External"/><Relationship Id="rId4977" Type="http://schemas.openxmlformats.org/officeDocument/2006/relationships/hyperlink" Target="https://creativecommons.org/licenses/by-nc/4.0/" TargetMode="External"/><Relationship Id="rId4978" Type="http://schemas.openxmlformats.org/officeDocument/2006/relationships/hyperlink" Target="https://www.inaturalist.org/observations/383139873" TargetMode="External"/><Relationship Id="rId4979" Type="http://schemas.openxmlformats.org/officeDocument/2006/relationships/hyperlink" Target="https://creativecommons.org/licenses/by-nc/4.0/" TargetMode="External"/><Relationship Id="rId4980" Type="http://schemas.openxmlformats.org/officeDocument/2006/relationships/hyperlink" Target="https://www.inaturalist.org/observations/383139829" TargetMode="External"/><Relationship Id="rId4981" Type="http://schemas.openxmlformats.org/officeDocument/2006/relationships/hyperlink" Target="https://creativecommons.org/licenses/by-nc/4.0/" TargetMode="External"/><Relationship Id="rId4982" Type="http://schemas.openxmlformats.org/officeDocument/2006/relationships/hyperlink" Target="https://www.inaturalist.org/observations/383139758" TargetMode="External"/><Relationship Id="rId4983" Type="http://schemas.openxmlformats.org/officeDocument/2006/relationships/hyperlink" Target="https://creativecommons.org/licenses/by-nc/4.0/" TargetMode="External"/><Relationship Id="rId4984" Type="http://schemas.openxmlformats.org/officeDocument/2006/relationships/hyperlink" Target="https://www.inaturalist.org/observations/383138909" TargetMode="External"/><Relationship Id="rId4985" Type="http://schemas.openxmlformats.org/officeDocument/2006/relationships/hyperlink" Target="https://creativecommons.org/licenses/by-nc/4.0/" TargetMode="External"/><Relationship Id="rId4986" Type="http://schemas.openxmlformats.org/officeDocument/2006/relationships/hyperlink" Target="https://www.inaturalist.org/observations/383138868" TargetMode="External"/><Relationship Id="rId4987" Type="http://schemas.openxmlformats.org/officeDocument/2006/relationships/hyperlink" Target="https://creativecommons.org/licenses/by-nc/4.0/" TargetMode="External"/><Relationship Id="rId4988" Type="http://schemas.openxmlformats.org/officeDocument/2006/relationships/hyperlink" Target="https://www.inaturalist.org/observations/383138834" TargetMode="External"/><Relationship Id="rId4989" Type="http://schemas.openxmlformats.org/officeDocument/2006/relationships/hyperlink" Target="https://creativecommons.org/licenses/by-nc/4.0/" TargetMode="External"/><Relationship Id="rId4990" Type="http://schemas.openxmlformats.org/officeDocument/2006/relationships/hyperlink" Target="https://www.inaturalist.org/observations/383137461" TargetMode="External"/><Relationship Id="rId4991" Type="http://schemas.openxmlformats.org/officeDocument/2006/relationships/hyperlink" Target="https://creativecommons.org/licenses/by-nc/4.0/" TargetMode="External"/><Relationship Id="rId4992" Type="http://schemas.openxmlformats.org/officeDocument/2006/relationships/hyperlink" Target="https://www.inaturalist.org/observations/383137291" TargetMode="External"/><Relationship Id="rId4993" Type="http://schemas.openxmlformats.org/officeDocument/2006/relationships/hyperlink" Target="https://creativecommons.org/licenses/by-nc/4.0/" TargetMode="External"/><Relationship Id="rId4994" Type="http://schemas.openxmlformats.org/officeDocument/2006/relationships/hyperlink" Target="https://www.inaturalist.org/observations/383137179" TargetMode="External"/><Relationship Id="rId4995" Type="http://schemas.openxmlformats.org/officeDocument/2006/relationships/hyperlink" Target="https://creativecommons.org/licenses/by-nc/4.0/" TargetMode="External"/><Relationship Id="rId4996" Type="http://schemas.openxmlformats.org/officeDocument/2006/relationships/hyperlink" Target="https://www.inaturalist.org/observations/383136987" TargetMode="External"/><Relationship Id="rId4997" Type="http://schemas.openxmlformats.org/officeDocument/2006/relationships/hyperlink" Target="https://creativecommons.org/licenses/by-nc/4.0/" TargetMode="External"/><Relationship Id="rId4998" Type="http://schemas.openxmlformats.org/officeDocument/2006/relationships/hyperlink" Target="https://www.inaturalist.org/observations/383136499" TargetMode="External"/><Relationship Id="rId4999" Type="http://schemas.openxmlformats.org/officeDocument/2006/relationships/hyperlink" Target="https://creativecommons.org/licenses/by-nc/4.0/" TargetMode="External"/><Relationship Id="rId5000" Type="http://schemas.openxmlformats.org/officeDocument/2006/relationships/hyperlink" Target="https://www.inaturalist.org/observations/383136330" TargetMode="External"/><Relationship Id="rId5001" Type="http://schemas.openxmlformats.org/officeDocument/2006/relationships/hyperlink" Target="https://creativecommons.org/licenses/by-nc/4.0/" TargetMode="External"/><Relationship Id="rId5002" Type="http://schemas.openxmlformats.org/officeDocument/2006/relationships/hyperlink" Target="https://www.inaturalist.org/observations/383135849" TargetMode="External"/><Relationship Id="rId5003" Type="http://schemas.openxmlformats.org/officeDocument/2006/relationships/hyperlink" Target="https://creativecommons.org/licenses/by-nc/4.0/" TargetMode="External"/><Relationship Id="rId5004" Type="http://schemas.openxmlformats.org/officeDocument/2006/relationships/hyperlink" Target="https://www.inaturalist.org/observations/383135768" TargetMode="External"/><Relationship Id="rId5005" Type="http://schemas.openxmlformats.org/officeDocument/2006/relationships/hyperlink" Target="https://creativecommons.org/licenses/by-nc/4.0/" TargetMode="External"/><Relationship Id="rId5006" Type="http://schemas.openxmlformats.org/officeDocument/2006/relationships/hyperlink" Target="https://www.inaturalist.org/observations/383135510" TargetMode="External"/><Relationship Id="rId5007" Type="http://schemas.openxmlformats.org/officeDocument/2006/relationships/hyperlink" Target="https://creativecommons.org/licenses/by-nc/4.0/" TargetMode="External"/><Relationship Id="rId5008" Type="http://schemas.openxmlformats.org/officeDocument/2006/relationships/hyperlink" Target="https://www.inaturalist.org/observations/383134974" TargetMode="External"/><Relationship Id="rId5009" Type="http://schemas.openxmlformats.org/officeDocument/2006/relationships/hyperlink" Target="https://creativecommons.org/licenses/by-nc/4.0/" TargetMode="External"/><Relationship Id="rId5010" Type="http://schemas.openxmlformats.org/officeDocument/2006/relationships/hyperlink" Target="https://www.inaturalist.org/observations/383134810" TargetMode="External"/><Relationship Id="rId5011" Type="http://schemas.openxmlformats.org/officeDocument/2006/relationships/hyperlink" Target="https://creativecommons.org/licenses/by-nc/4.0/" TargetMode="External"/><Relationship Id="rId5012" Type="http://schemas.openxmlformats.org/officeDocument/2006/relationships/hyperlink" Target="https://www.inaturalist.org/observations/383134317" TargetMode="External"/><Relationship Id="rId5013" Type="http://schemas.openxmlformats.org/officeDocument/2006/relationships/hyperlink" Target="https://creativecommons.org/licenses/by-nc/4.0/" TargetMode="External"/><Relationship Id="rId5014" Type="http://schemas.openxmlformats.org/officeDocument/2006/relationships/hyperlink" Target="https://www.inaturalist.org/observations/383134123" TargetMode="External"/><Relationship Id="rId5015" Type="http://schemas.openxmlformats.org/officeDocument/2006/relationships/hyperlink" Target="https://creativecommons.org/licenses/by-nc/4.0/" TargetMode="External"/><Relationship Id="rId5016" Type="http://schemas.openxmlformats.org/officeDocument/2006/relationships/hyperlink" Target="https://www.inaturalist.org/observations/383133616" TargetMode="External"/><Relationship Id="rId5017" Type="http://schemas.openxmlformats.org/officeDocument/2006/relationships/hyperlink" Target="https://creativecommons.org/licenses/by-nc/4.0/" TargetMode="External"/><Relationship Id="rId5018" Type="http://schemas.openxmlformats.org/officeDocument/2006/relationships/hyperlink" Target="https://www.inaturalist.org/observations/383132955" TargetMode="External"/><Relationship Id="rId5019" Type="http://schemas.openxmlformats.org/officeDocument/2006/relationships/hyperlink" Target="https://creativecommons.org/licenses/by-nc/4.0/" TargetMode="External"/><Relationship Id="rId5020" Type="http://schemas.openxmlformats.org/officeDocument/2006/relationships/hyperlink" Target="https://www.inaturalist.org/observations/383132471" TargetMode="External"/><Relationship Id="rId5021" Type="http://schemas.openxmlformats.org/officeDocument/2006/relationships/hyperlink" Target="https://creativecommons.org/licenses/by-nc/4.0/" TargetMode="External"/><Relationship Id="rId5022" Type="http://schemas.openxmlformats.org/officeDocument/2006/relationships/hyperlink" Target="https://www.inaturalist.org/observations/383132212" TargetMode="External"/><Relationship Id="rId5023" Type="http://schemas.openxmlformats.org/officeDocument/2006/relationships/hyperlink" Target="https://creativecommons.org/licenses/by-nc/4.0/" TargetMode="External"/><Relationship Id="rId5024" Type="http://schemas.openxmlformats.org/officeDocument/2006/relationships/hyperlink" Target="https://www.inaturalist.org/observations/383131869" TargetMode="External"/><Relationship Id="rId5025" Type="http://schemas.openxmlformats.org/officeDocument/2006/relationships/hyperlink" Target="https://creativecommons.org/licenses/by-nc/4.0/" TargetMode="External"/><Relationship Id="rId5026" Type="http://schemas.openxmlformats.org/officeDocument/2006/relationships/hyperlink" Target="https://www.inaturalist.org/observations/383131804" TargetMode="External"/><Relationship Id="rId5027" Type="http://schemas.openxmlformats.org/officeDocument/2006/relationships/hyperlink" Target="https://creativecommons.org/licenses/by-nc/4.0/" TargetMode="External"/><Relationship Id="rId5028" Type="http://schemas.openxmlformats.org/officeDocument/2006/relationships/hyperlink" Target="https://www.inaturalist.org/observations/383130430" TargetMode="External"/><Relationship Id="rId5029" Type="http://schemas.openxmlformats.org/officeDocument/2006/relationships/hyperlink" Target="https://creativecommons.org/licenses/by-nc/4.0/" TargetMode="External"/><Relationship Id="rId5030" Type="http://schemas.openxmlformats.org/officeDocument/2006/relationships/hyperlink" Target="https://www.inaturalist.org/observations/383130075" TargetMode="External"/><Relationship Id="rId5031" Type="http://schemas.openxmlformats.org/officeDocument/2006/relationships/hyperlink" Target="https://creativecommons.org/licenses/by-nc/4.0/" TargetMode="External"/><Relationship Id="rId5032" Type="http://schemas.openxmlformats.org/officeDocument/2006/relationships/hyperlink" Target="https://www.inaturalist.org/observations/383129133" TargetMode="External"/><Relationship Id="rId5033" Type="http://schemas.openxmlformats.org/officeDocument/2006/relationships/hyperlink" Target="https://creativecommons.org/licenses/by-nc/4.0/" TargetMode="External"/><Relationship Id="rId5034" Type="http://schemas.openxmlformats.org/officeDocument/2006/relationships/hyperlink" Target="https://www.inaturalist.org/observations/383129092" TargetMode="External"/><Relationship Id="rId5035" Type="http://schemas.openxmlformats.org/officeDocument/2006/relationships/hyperlink" Target="https://creativecommons.org/licenses/by-nc/4.0/" TargetMode="External"/><Relationship Id="rId5036" Type="http://schemas.openxmlformats.org/officeDocument/2006/relationships/hyperlink" Target="https://www.inaturalist.org/observations/383126401" TargetMode="External"/><Relationship Id="rId5037" Type="http://schemas.openxmlformats.org/officeDocument/2006/relationships/hyperlink" Target="https://creativecommons.org/licenses/by-nc/4.0/" TargetMode="External"/><Relationship Id="rId5038" Type="http://schemas.openxmlformats.org/officeDocument/2006/relationships/hyperlink" Target="https://www.inaturalist.org/observations/383120108" TargetMode="External"/><Relationship Id="rId5039" Type="http://schemas.openxmlformats.org/officeDocument/2006/relationships/hyperlink" Target="https://creativecommons.org/licenses/by-nc/4.0/" TargetMode="External"/><Relationship Id="rId5040" Type="http://schemas.openxmlformats.org/officeDocument/2006/relationships/hyperlink" Target="https://www.inaturalist.org/observations/383119041" TargetMode="External"/><Relationship Id="rId5041" Type="http://schemas.openxmlformats.org/officeDocument/2006/relationships/hyperlink" Target="https://creativecommons.org/licenses/by-nc/4.0/" TargetMode="External"/><Relationship Id="rId5042" Type="http://schemas.openxmlformats.org/officeDocument/2006/relationships/hyperlink" Target="https://www.inaturalist.org/observations/400559600" TargetMode="External"/><Relationship Id="rId5043" Type="http://schemas.openxmlformats.org/officeDocument/2006/relationships/hyperlink" Target="https://creativecommons.org/licenses/by-nc/4.0/" TargetMode="External"/><Relationship Id="rId5044" Type="http://schemas.openxmlformats.org/officeDocument/2006/relationships/hyperlink" Target="https://www.inaturalist.org/observations/400557588" TargetMode="External"/><Relationship Id="rId5045" Type="http://schemas.openxmlformats.org/officeDocument/2006/relationships/hyperlink" Target="https://creativecommons.org/licenses/by-nc/4.0/" TargetMode="External"/><Relationship Id="rId5046" Type="http://schemas.openxmlformats.org/officeDocument/2006/relationships/hyperlink" Target="https://www.inaturalist.org/observations/400551344" TargetMode="External"/><Relationship Id="rId5047" Type="http://schemas.openxmlformats.org/officeDocument/2006/relationships/hyperlink" Target="https://creativecommons.org/licenses/by-nc/4.0/" TargetMode="External"/><Relationship Id="rId5048" Type="http://schemas.openxmlformats.org/officeDocument/2006/relationships/hyperlink" Target="https://www.inaturalist.org/observations/400550954" TargetMode="External"/><Relationship Id="rId5049" Type="http://schemas.openxmlformats.org/officeDocument/2006/relationships/hyperlink" Target="https://creativecommons.org/licenses/by-nc/4.0/" TargetMode="External"/><Relationship Id="rId5050" Type="http://schemas.openxmlformats.org/officeDocument/2006/relationships/hyperlink" Target="https://www.inaturalist.org/observations/400541437" TargetMode="External"/><Relationship Id="rId5051" Type="http://schemas.openxmlformats.org/officeDocument/2006/relationships/hyperlink" Target="https://creativecommons.org/licenses/by-nc/4.0/" TargetMode="External"/><Relationship Id="rId5052" Type="http://schemas.openxmlformats.org/officeDocument/2006/relationships/hyperlink" Target="https://www.inaturalist.org/observations/400538823" TargetMode="External"/><Relationship Id="rId5053" Type="http://schemas.openxmlformats.org/officeDocument/2006/relationships/hyperlink" Target="https://creativecommons.org/licenses/by-nc/4.0/" TargetMode="External"/><Relationship Id="rId5054" Type="http://schemas.openxmlformats.org/officeDocument/2006/relationships/hyperlink" Target="https://www.inaturalist.org/observations/400523045" TargetMode="External"/><Relationship Id="rId5055" Type="http://schemas.openxmlformats.org/officeDocument/2006/relationships/hyperlink" Target="https://creativecommons.org/licenses/by-nc/4.0/" TargetMode="External"/><Relationship Id="rId5056" Type="http://schemas.openxmlformats.org/officeDocument/2006/relationships/hyperlink" Target="https://www.inaturalist.org/observations/400514821" TargetMode="External"/><Relationship Id="rId5057" Type="http://schemas.openxmlformats.org/officeDocument/2006/relationships/hyperlink" Target="https://creativecommons.org/licenses/by-nc/4.0/" TargetMode="External"/><Relationship Id="rId5058" Type="http://schemas.openxmlformats.org/officeDocument/2006/relationships/hyperlink" Target="https://www.inaturalist.org/observations/400479243" TargetMode="External"/><Relationship Id="rId5059" Type="http://schemas.openxmlformats.org/officeDocument/2006/relationships/hyperlink" Target="https://creativecommons.org/licenses/by-nc/4.0/" TargetMode="External"/><Relationship Id="rId5060" Type="http://schemas.openxmlformats.org/officeDocument/2006/relationships/hyperlink" Target="https://www.inaturalist.org/observations/400469471" TargetMode="External"/><Relationship Id="rId5061" Type="http://schemas.openxmlformats.org/officeDocument/2006/relationships/hyperlink" Target="https://creativecommons.org/licenses/by-nc/4.0/" TargetMode="External"/><Relationship Id="rId5062" Type="http://schemas.openxmlformats.org/officeDocument/2006/relationships/hyperlink" Target="https://www.inaturalist.org/observations/400456510" TargetMode="External"/><Relationship Id="rId5063" Type="http://schemas.openxmlformats.org/officeDocument/2006/relationships/hyperlink" Target="https://creativecommons.org/licenses/by-nc/4.0/" TargetMode="External"/><Relationship Id="rId5064" Type="http://schemas.openxmlformats.org/officeDocument/2006/relationships/hyperlink" Target="https://www.inaturalist.org/observations/400455865" TargetMode="External"/><Relationship Id="rId5065" Type="http://schemas.openxmlformats.org/officeDocument/2006/relationships/hyperlink" Target="https://creativecommons.org/licenses/by-nc/4.0/" TargetMode="External"/><Relationship Id="rId5066" Type="http://schemas.openxmlformats.org/officeDocument/2006/relationships/hyperlink" Target="https://www.inaturalist.org/observations/400441773" TargetMode="External"/><Relationship Id="rId5067" Type="http://schemas.openxmlformats.org/officeDocument/2006/relationships/hyperlink" Target="https://creativecommons.org/licenses/by-nc/4.0/" TargetMode="External"/><Relationship Id="rId5068" Type="http://schemas.openxmlformats.org/officeDocument/2006/relationships/hyperlink" Target="https://www.inaturalist.org/observations/400414568" TargetMode="External"/><Relationship Id="rId5069" Type="http://schemas.openxmlformats.org/officeDocument/2006/relationships/hyperlink" Target="https://creativecommons.org/licenses/by-nc/4.0/" TargetMode="External"/><Relationship Id="rId5070" Type="http://schemas.openxmlformats.org/officeDocument/2006/relationships/hyperlink" Target="https://www.inaturalist.org/observations/400398800" TargetMode="External"/><Relationship Id="rId5071" Type="http://schemas.openxmlformats.org/officeDocument/2006/relationships/hyperlink" Target="https://creativecommons.org/licenses/by-nc/4.0/" TargetMode="External"/><Relationship Id="rId5072" Type="http://schemas.openxmlformats.org/officeDocument/2006/relationships/hyperlink" Target="https://www.inaturalist.org/observations/400385218" TargetMode="External"/><Relationship Id="rId5073" Type="http://schemas.openxmlformats.org/officeDocument/2006/relationships/hyperlink" Target="https://creativecommons.org/licenses/by-nc/4.0/" TargetMode="External"/><Relationship Id="rId5074" Type="http://schemas.openxmlformats.org/officeDocument/2006/relationships/hyperlink" Target="https://www.inaturalist.org/observations/400381453" TargetMode="External"/><Relationship Id="rId5075" Type="http://schemas.openxmlformats.org/officeDocument/2006/relationships/hyperlink" Target="https://creativecommons.org/licenses/by-nc/4.0/" TargetMode="External"/><Relationship Id="rId5076" Type="http://schemas.openxmlformats.org/officeDocument/2006/relationships/hyperlink" Target="https://www.inaturalist.org/observations/400380377" TargetMode="External"/><Relationship Id="rId5077" Type="http://schemas.openxmlformats.org/officeDocument/2006/relationships/hyperlink" Target="https://creativecommons.org/licenses/by-nc/4.0/" TargetMode="External"/><Relationship Id="rId5078" Type="http://schemas.openxmlformats.org/officeDocument/2006/relationships/hyperlink" Target="https://www.inaturalist.org/observations/400379671" TargetMode="External"/><Relationship Id="rId5079" Type="http://schemas.openxmlformats.org/officeDocument/2006/relationships/hyperlink" Target="https://creativecommons.org/licenses/by-nc/4.0/" TargetMode="External"/><Relationship Id="rId5080" Type="http://schemas.openxmlformats.org/officeDocument/2006/relationships/hyperlink" Target="https://www.inaturalist.org/observations/400351885" TargetMode="External"/><Relationship Id="rId5081" Type="http://schemas.openxmlformats.org/officeDocument/2006/relationships/hyperlink" Target="https://creativecommons.org/licenses/by-nc/4.0/" TargetMode="External"/><Relationship Id="rId5082" Type="http://schemas.openxmlformats.org/officeDocument/2006/relationships/hyperlink" Target="https://www.inaturalist.org/observations/400347363" TargetMode="External"/><Relationship Id="rId5083" Type="http://schemas.openxmlformats.org/officeDocument/2006/relationships/hyperlink" Target="https://creativecommons.org/licenses/by-nc/4.0/" TargetMode="External"/><Relationship Id="rId5084" Type="http://schemas.openxmlformats.org/officeDocument/2006/relationships/hyperlink" Target="https://www.inaturalist.org/observations/400343731" TargetMode="External"/><Relationship Id="rId5085" Type="http://schemas.openxmlformats.org/officeDocument/2006/relationships/hyperlink" Target="https://creativecommons.org/licenses/by-nc/4.0/" TargetMode="External"/><Relationship Id="rId5086" Type="http://schemas.openxmlformats.org/officeDocument/2006/relationships/hyperlink" Target="https://www.inaturalist.org/observations/400343033" TargetMode="External"/><Relationship Id="rId5087" Type="http://schemas.openxmlformats.org/officeDocument/2006/relationships/hyperlink" Target="https://creativecommons.org/licenses/by-nc/4.0/" TargetMode="External"/><Relationship Id="rId5088" Type="http://schemas.openxmlformats.org/officeDocument/2006/relationships/hyperlink" Target="https://www.inaturalist.org/observations/400312691" TargetMode="External"/><Relationship Id="rId5089" Type="http://schemas.openxmlformats.org/officeDocument/2006/relationships/hyperlink" Target="https://creativecommons.org/licenses/by-nc/4.0/" TargetMode="External"/><Relationship Id="rId5090" Type="http://schemas.openxmlformats.org/officeDocument/2006/relationships/hyperlink" Target="https://www.inaturalist.org/observations/400310664" TargetMode="External"/><Relationship Id="rId5091" Type="http://schemas.openxmlformats.org/officeDocument/2006/relationships/hyperlink" Target="https://creativecommons.org/licenses/by-nc/4.0/" TargetMode="External"/><Relationship Id="rId5092" Type="http://schemas.openxmlformats.org/officeDocument/2006/relationships/hyperlink" Target="https://www.inaturalist.org/observations/400302978" TargetMode="External"/><Relationship Id="rId5093" Type="http://schemas.openxmlformats.org/officeDocument/2006/relationships/hyperlink" Target="https://creativecommons.org/licenses/by-nc/4.0/" TargetMode="External"/><Relationship Id="rId5094" Type="http://schemas.openxmlformats.org/officeDocument/2006/relationships/hyperlink" Target="https://www.inaturalist.org/observations/400301070" TargetMode="External"/><Relationship Id="rId5095" Type="http://schemas.openxmlformats.org/officeDocument/2006/relationships/hyperlink" Target="https://creativecommons.org/licenses/by-nc/4.0/" TargetMode="External"/><Relationship Id="rId5096" Type="http://schemas.openxmlformats.org/officeDocument/2006/relationships/hyperlink" Target="https://www.inaturalist.org/observations/400291893" TargetMode="External"/><Relationship Id="rId5097" Type="http://schemas.openxmlformats.org/officeDocument/2006/relationships/hyperlink" Target="https://creativecommons.org/licenses/by-nc/4.0/" TargetMode="External"/><Relationship Id="rId5098" Type="http://schemas.openxmlformats.org/officeDocument/2006/relationships/hyperlink" Target="https://www.inaturalist.org/observations/400273508" TargetMode="External"/><Relationship Id="rId5099" Type="http://schemas.openxmlformats.org/officeDocument/2006/relationships/hyperlink" Target="https://creativecommons.org/licenses/by-nc/4.0/" TargetMode="External"/><Relationship Id="rId5100" Type="http://schemas.openxmlformats.org/officeDocument/2006/relationships/hyperlink" Target="https://www.inaturalist.org/observations/400251819" TargetMode="External"/><Relationship Id="rId5101" Type="http://schemas.openxmlformats.org/officeDocument/2006/relationships/hyperlink" Target="https://creativecommons.org/licenses/by-nc/4.0/" TargetMode="External"/><Relationship Id="rId5102" Type="http://schemas.openxmlformats.org/officeDocument/2006/relationships/hyperlink" Target="https://www.inaturalist.org/observations/400235162" TargetMode="External"/><Relationship Id="rId5103" Type="http://schemas.openxmlformats.org/officeDocument/2006/relationships/hyperlink" Target="https://creativecommons.org/licenses/by-nc/4.0/" TargetMode="External"/><Relationship Id="rId5104" Type="http://schemas.openxmlformats.org/officeDocument/2006/relationships/hyperlink" Target="https://www.inaturalist.org/observations/400231782" TargetMode="External"/><Relationship Id="rId5105" Type="http://schemas.openxmlformats.org/officeDocument/2006/relationships/hyperlink" Target="https://creativecommons.org/licenses/by-nc/4.0/" TargetMode="External"/><Relationship Id="rId5106" Type="http://schemas.openxmlformats.org/officeDocument/2006/relationships/hyperlink" Target="https://www.inaturalist.org/observations/400203139" TargetMode="External"/><Relationship Id="rId5107" Type="http://schemas.openxmlformats.org/officeDocument/2006/relationships/hyperlink" Target="https://creativecommons.org/licenses/by-nc/4.0/" TargetMode="External"/><Relationship Id="rId5108" Type="http://schemas.openxmlformats.org/officeDocument/2006/relationships/hyperlink" Target="https://www.inaturalist.org/observations/400161510" TargetMode="External"/><Relationship Id="rId5109" Type="http://schemas.openxmlformats.org/officeDocument/2006/relationships/hyperlink" Target="https://creativecommons.org/licenses/by-nc/4.0/" TargetMode="External"/><Relationship Id="rId5110" Type="http://schemas.openxmlformats.org/officeDocument/2006/relationships/hyperlink" Target="https://www.inaturalist.org/observations/400141949" TargetMode="External"/><Relationship Id="rId5111" Type="http://schemas.openxmlformats.org/officeDocument/2006/relationships/hyperlink" Target="https://creativecommons.org/licenses/by-nc/4.0/" TargetMode="External"/><Relationship Id="rId5112" Type="http://schemas.openxmlformats.org/officeDocument/2006/relationships/hyperlink" Target="https://www.inaturalist.org/observations/400138986" TargetMode="External"/><Relationship Id="rId5113" Type="http://schemas.openxmlformats.org/officeDocument/2006/relationships/hyperlink" Target="https://creativecommons.org/licenses/by-nc/4.0/" TargetMode="External"/><Relationship Id="rId5114" Type="http://schemas.openxmlformats.org/officeDocument/2006/relationships/hyperlink" Target="https://www.inaturalist.org/observations/400134891" TargetMode="External"/><Relationship Id="rId5115" Type="http://schemas.openxmlformats.org/officeDocument/2006/relationships/hyperlink" Target="https://creativecommons.org/licenses/by-nc/4.0/" TargetMode="External"/><Relationship Id="rId5116" Type="http://schemas.openxmlformats.org/officeDocument/2006/relationships/hyperlink" Target="https://www.inaturalist.org/observations/400130332" TargetMode="External"/><Relationship Id="rId5117" Type="http://schemas.openxmlformats.org/officeDocument/2006/relationships/hyperlink" Target="https://creativecommons.org/licenses/by-nc/4.0/" TargetMode="External"/><Relationship Id="rId5118" Type="http://schemas.openxmlformats.org/officeDocument/2006/relationships/hyperlink" Target="https://www.inaturalist.org/observations/400125029" TargetMode="External"/><Relationship Id="rId5119" Type="http://schemas.openxmlformats.org/officeDocument/2006/relationships/hyperlink" Target="https://creativecommons.org/licenses/by-nc/4.0/" TargetMode="External"/><Relationship Id="rId5120" Type="http://schemas.openxmlformats.org/officeDocument/2006/relationships/hyperlink" Target="https://www.inaturalist.org/observations/400091125" TargetMode="External"/><Relationship Id="rId5121" Type="http://schemas.openxmlformats.org/officeDocument/2006/relationships/hyperlink" Target="https://creativecommons.org/licenses/by-nc/4.0/" TargetMode="External"/><Relationship Id="rId5122" Type="http://schemas.openxmlformats.org/officeDocument/2006/relationships/hyperlink" Target="https://www.inaturalist.org/observations/400049740" TargetMode="External"/><Relationship Id="rId5123" Type="http://schemas.openxmlformats.org/officeDocument/2006/relationships/hyperlink" Target="https://creativecommons.org/licenses/by-nc/4.0/" TargetMode="External"/><Relationship Id="rId5124" Type="http://schemas.openxmlformats.org/officeDocument/2006/relationships/hyperlink" Target="https://www.inaturalist.org/observations/400040537" TargetMode="External"/><Relationship Id="rId5125" Type="http://schemas.openxmlformats.org/officeDocument/2006/relationships/hyperlink" Target="https://creativecommons.org/licenses/by-nc/4.0/" TargetMode="External"/><Relationship Id="rId5126" Type="http://schemas.openxmlformats.org/officeDocument/2006/relationships/hyperlink" Target="https://www.inaturalist.org/observations/400032018" TargetMode="External"/><Relationship Id="rId5127" Type="http://schemas.openxmlformats.org/officeDocument/2006/relationships/hyperlink" Target="https://creativecommons.org/licenses/by-nc/4.0/" TargetMode="External"/><Relationship Id="rId5128" Type="http://schemas.openxmlformats.org/officeDocument/2006/relationships/hyperlink" Target="https://www.inaturalist.org/observations/400028344" TargetMode="External"/><Relationship Id="rId5129" Type="http://schemas.openxmlformats.org/officeDocument/2006/relationships/hyperlink" Target="https://creativecommons.org/licenses/by-nc/4.0/" TargetMode="External"/><Relationship Id="rId5130" Type="http://schemas.openxmlformats.org/officeDocument/2006/relationships/hyperlink" Target="https://www.inaturalist.org/observations/400026301" TargetMode="External"/><Relationship Id="rId5131" Type="http://schemas.openxmlformats.org/officeDocument/2006/relationships/hyperlink" Target="https://creativecommons.org/licenses/by-nc/4.0/" TargetMode="External"/><Relationship Id="rId5132" Type="http://schemas.openxmlformats.org/officeDocument/2006/relationships/hyperlink" Target="https://www.inaturalist.org/observations/400018234" TargetMode="External"/><Relationship Id="rId5133" Type="http://schemas.openxmlformats.org/officeDocument/2006/relationships/hyperlink" Target="https://creativecommons.org/licenses/by-nc/4.0/" TargetMode="External"/><Relationship Id="rId5134" Type="http://schemas.openxmlformats.org/officeDocument/2006/relationships/hyperlink" Target="https://www.inaturalist.org/observations/400005826" TargetMode="External"/><Relationship Id="rId5135" Type="http://schemas.openxmlformats.org/officeDocument/2006/relationships/hyperlink" Target="https://creativecommons.org/licenses/by-nc/4.0/" TargetMode="External"/><Relationship Id="rId5136" Type="http://schemas.openxmlformats.org/officeDocument/2006/relationships/hyperlink" Target="https://www.inaturalist.org/observations/400003371" TargetMode="External"/><Relationship Id="rId5137" Type="http://schemas.openxmlformats.org/officeDocument/2006/relationships/hyperlink" Target="https://creativecommons.org/licenses/by-nc/4.0/" TargetMode="External"/><Relationship Id="rId5138" Type="http://schemas.openxmlformats.org/officeDocument/2006/relationships/hyperlink" Target="https://www.inaturalist.org/observations/399990177" TargetMode="External"/><Relationship Id="rId5139" Type="http://schemas.openxmlformats.org/officeDocument/2006/relationships/hyperlink" Target="https://creativecommons.org/licenses/by-nc/4.0/" TargetMode="External"/><Relationship Id="rId5140" Type="http://schemas.openxmlformats.org/officeDocument/2006/relationships/hyperlink" Target="https://www.inaturalist.org/observations/399979193" TargetMode="External"/><Relationship Id="rId5141" Type="http://schemas.openxmlformats.org/officeDocument/2006/relationships/hyperlink" Target="https://creativecommons.org/licenses/by-nc/4.0/" TargetMode="External"/><Relationship Id="rId5142" Type="http://schemas.openxmlformats.org/officeDocument/2006/relationships/hyperlink" Target="https://www.inaturalist.org/observations/399957762" TargetMode="External"/><Relationship Id="rId5143" Type="http://schemas.openxmlformats.org/officeDocument/2006/relationships/hyperlink" Target="https://creativecommons.org/licenses/by-nc/4.0/" TargetMode="External"/><Relationship Id="rId5144" Type="http://schemas.openxmlformats.org/officeDocument/2006/relationships/hyperlink" Target="https://www.inaturalist.org/observations/399943090" TargetMode="External"/><Relationship Id="rId5145" Type="http://schemas.openxmlformats.org/officeDocument/2006/relationships/hyperlink" Target="https://creativecommons.org/licenses/by-nc/4.0/" TargetMode="External"/><Relationship Id="rId5146" Type="http://schemas.openxmlformats.org/officeDocument/2006/relationships/hyperlink" Target="https://www.inaturalist.org/observations/399933288" TargetMode="External"/><Relationship Id="rId5147" Type="http://schemas.openxmlformats.org/officeDocument/2006/relationships/hyperlink" Target="https://creativecommons.org/licenses/by-nc/4.0/" TargetMode="External"/><Relationship Id="rId5148" Type="http://schemas.openxmlformats.org/officeDocument/2006/relationships/hyperlink" Target="https://www.inaturalist.org/observations/399875055" TargetMode="External"/><Relationship Id="rId5149" Type="http://schemas.openxmlformats.org/officeDocument/2006/relationships/hyperlink" Target="https://creativecommons.org/licenses/by-nc/4.0/" TargetMode="External"/><Relationship Id="rId5150" Type="http://schemas.openxmlformats.org/officeDocument/2006/relationships/hyperlink" Target="https://www.inaturalist.org/observations/399849833" TargetMode="External"/><Relationship Id="rId5151" Type="http://schemas.openxmlformats.org/officeDocument/2006/relationships/hyperlink" Target="https://creativecommons.org/licenses/by-nc/4.0/" TargetMode="External"/><Relationship Id="rId5152" Type="http://schemas.openxmlformats.org/officeDocument/2006/relationships/hyperlink" Target="https://www.inaturalist.org/observations/399840842" TargetMode="External"/><Relationship Id="rId5153" Type="http://schemas.openxmlformats.org/officeDocument/2006/relationships/hyperlink" Target="https://creativecommons.org/licenses/by-nc/4.0/" TargetMode="External"/><Relationship Id="rId5154" Type="http://schemas.openxmlformats.org/officeDocument/2006/relationships/hyperlink" Target="https://www.inaturalist.org/observations/399807402" TargetMode="External"/><Relationship Id="rId5155" Type="http://schemas.openxmlformats.org/officeDocument/2006/relationships/hyperlink" Target="https://creativecommons.org/licenses/by-nc/4.0/" TargetMode="External"/><Relationship Id="rId5156" Type="http://schemas.openxmlformats.org/officeDocument/2006/relationships/hyperlink" Target="https://www.inaturalist.org/observations/399776855" TargetMode="External"/><Relationship Id="rId5157" Type="http://schemas.openxmlformats.org/officeDocument/2006/relationships/hyperlink" Target="https://creativecommons.org/licenses/by-nc/4.0/" TargetMode="External"/><Relationship Id="rId5158" Type="http://schemas.openxmlformats.org/officeDocument/2006/relationships/hyperlink" Target="https://www.inaturalist.org/observations/399771029" TargetMode="External"/><Relationship Id="rId5159" Type="http://schemas.openxmlformats.org/officeDocument/2006/relationships/hyperlink" Target="https://creativecommons.org/licenses/by-nc/4.0/" TargetMode="External"/><Relationship Id="rId5160" Type="http://schemas.openxmlformats.org/officeDocument/2006/relationships/hyperlink" Target="https://www.inaturalist.org/observations/399746004" TargetMode="External"/><Relationship Id="rId5161" Type="http://schemas.openxmlformats.org/officeDocument/2006/relationships/hyperlink" Target="https://creativecommons.org/licenses/by-nc/4.0/" TargetMode="External"/><Relationship Id="rId5162" Type="http://schemas.openxmlformats.org/officeDocument/2006/relationships/hyperlink" Target="https://www.inaturalist.org/observations/399725418" TargetMode="External"/><Relationship Id="rId5163" Type="http://schemas.openxmlformats.org/officeDocument/2006/relationships/hyperlink" Target="https://creativecommons.org/licenses/by-nc/4.0/" TargetMode="External"/><Relationship Id="rId5164" Type="http://schemas.openxmlformats.org/officeDocument/2006/relationships/hyperlink" Target="https://www.inaturalist.org/observations/399713141" TargetMode="External"/><Relationship Id="rId5165" Type="http://schemas.openxmlformats.org/officeDocument/2006/relationships/hyperlink" Target="https://creativecommons.org/licenses/by-nc/4.0/" TargetMode="External"/><Relationship Id="rId5166" Type="http://schemas.openxmlformats.org/officeDocument/2006/relationships/hyperlink" Target="https://www.inaturalist.org/observations/399701245" TargetMode="External"/><Relationship Id="rId5167" Type="http://schemas.openxmlformats.org/officeDocument/2006/relationships/hyperlink" Target="https://creativecommons.org/licenses/by-nc/4.0/" TargetMode="External"/><Relationship Id="rId5168" Type="http://schemas.openxmlformats.org/officeDocument/2006/relationships/hyperlink" Target="https://www.inaturalist.org/observations/399700234" TargetMode="External"/><Relationship Id="rId5169" Type="http://schemas.openxmlformats.org/officeDocument/2006/relationships/hyperlink" Target="https://creativecommons.org/licenses/by-nc/4.0/" TargetMode="External"/><Relationship Id="rId5170" Type="http://schemas.openxmlformats.org/officeDocument/2006/relationships/hyperlink" Target="https://www.inaturalist.org/observations/399695778" TargetMode="External"/><Relationship Id="rId5171" Type="http://schemas.openxmlformats.org/officeDocument/2006/relationships/hyperlink" Target="https://creativecommons.org/licenses/by-nc/4.0/" TargetMode="External"/><Relationship Id="rId5172" Type="http://schemas.openxmlformats.org/officeDocument/2006/relationships/hyperlink" Target="https://www.inaturalist.org/observations/399654065" TargetMode="External"/><Relationship Id="rId5173" Type="http://schemas.openxmlformats.org/officeDocument/2006/relationships/hyperlink" Target="https://creativecommons.org/licenses/by-nc/4.0/" TargetMode="External"/><Relationship Id="rId5174" Type="http://schemas.openxmlformats.org/officeDocument/2006/relationships/hyperlink" Target="https://www.inaturalist.org/observations/399557208" TargetMode="External"/><Relationship Id="rId5175" Type="http://schemas.openxmlformats.org/officeDocument/2006/relationships/hyperlink" Target="https://creativecommons.org/licenses/by-nc/4.0/" TargetMode="External"/><Relationship Id="rId5176" Type="http://schemas.openxmlformats.org/officeDocument/2006/relationships/hyperlink" Target="https://www.inaturalist.org/observations/399540091" TargetMode="External"/><Relationship Id="rId5177" Type="http://schemas.openxmlformats.org/officeDocument/2006/relationships/hyperlink" Target="https://creativecommons.org/licenses/by-nc/4.0/" TargetMode="External"/><Relationship Id="rId5178" Type="http://schemas.openxmlformats.org/officeDocument/2006/relationships/hyperlink" Target="https://www.inaturalist.org/observations/399521553" TargetMode="External"/><Relationship Id="rId5179" Type="http://schemas.openxmlformats.org/officeDocument/2006/relationships/hyperlink" Target="https://creativecommons.org/licenses/by-nc/4.0/" TargetMode="External"/><Relationship Id="rId5180" Type="http://schemas.openxmlformats.org/officeDocument/2006/relationships/hyperlink" Target="https://www.inaturalist.org/observations/399511318" TargetMode="External"/><Relationship Id="rId5181" Type="http://schemas.openxmlformats.org/officeDocument/2006/relationships/hyperlink" Target="https://creativecommons.org/licenses/by-nc/4.0/" TargetMode="External"/><Relationship Id="rId5182" Type="http://schemas.openxmlformats.org/officeDocument/2006/relationships/hyperlink" Target="https://www.inaturalist.org/observations/399487106" TargetMode="External"/><Relationship Id="rId5183" Type="http://schemas.openxmlformats.org/officeDocument/2006/relationships/hyperlink" Target="https://creativecommons.org/licenses/by-nc/4.0/" TargetMode="External"/><Relationship Id="rId5184" Type="http://schemas.openxmlformats.org/officeDocument/2006/relationships/hyperlink" Target="https://www.inaturalist.org/observations/399479223" TargetMode="External"/><Relationship Id="rId5185" Type="http://schemas.openxmlformats.org/officeDocument/2006/relationships/hyperlink" Target="https://creativecommons.org/licenses/by-nc/4.0/" TargetMode="External"/><Relationship Id="rId5186" Type="http://schemas.openxmlformats.org/officeDocument/2006/relationships/hyperlink" Target="https://www.inaturalist.org/observations/399463657" TargetMode="External"/><Relationship Id="rId5187" Type="http://schemas.openxmlformats.org/officeDocument/2006/relationships/hyperlink" Target="https://creativecommons.org/licenses/by-nc/4.0/" TargetMode="External"/><Relationship Id="rId5188" Type="http://schemas.openxmlformats.org/officeDocument/2006/relationships/hyperlink" Target="https://www.inaturalist.org/observations/399426259" TargetMode="External"/><Relationship Id="rId5189" Type="http://schemas.openxmlformats.org/officeDocument/2006/relationships/hyperlink" Target="https://creativecommons.org/licenses/by-nc/4.0/" TargetMode="External"/><Relationship Id="rId5190" Type="http://schemas.openxmlformats.org/officeDocument/2006/relationships/hyperlink" Target="https://www.inaturalist.org/observations/399400020" TargetMode="External"/><Relationship Id="rId5191" Type="http://schemas.openxmlformats.org/officeDocument/2006/relationships/hyperlink" Target="https://creativecommons.org/licenses/by-nc/4.0/" TargetMode="External"/><Relationship Id="rId5192" Type="http://schemas.openxmlformats.org/officeDocument/2006/relationships/hyperlink" Target="https://www.inaturalist.org/observations/399389821" TargetMode="External"/><Relationship Id="rId5193" Type="http://schemas.openxmlformats.org/officeDocument/2006/relationships/hyperlink" Target="https://creativecommons.org/licenses/by-nc/4.0/" TargetMode="External"/><Relationship Id="rId5194" Type="http://schemas.openxmlformats.org/officeDocument/2006/relationships/hyperlink" Target="https://www.inaturalist.org/observations/399312248" TargetMode="External"/><Relationship Id="rId5195" Type="http://schemas.openxmlformats.org/officeDocument/2006/relationships/hyperlink" Target="https://creativecommons.org/licenses/by-nc/4.0/" TargetMode="External"/><Relationship Id="rId5196" Type="http://schemas.openxmlformats.org/officeDocument/2006/relationships/hyperlink" Target="https://www.inaturalist.org/observations/399279191" TargetMode="External"/><Relationship Id="rId5197" Type="http://schemas.openxmlformats.org/officeDocument/2006/relationships/hyperlink" Target="https://creativecommons.org/licenses/by-nc/4.0/" TargetMode="External"/><Relationship Id="rId5198" Type="http://schemas.openxmlformats.org/officeDocument/2006/relationships/hyperlink" Target="https://www.inaturalist.org/observations/399274004" TargetMode="External"/><Relationship Id="rId5199" Type="http://schemas.openxmlformats.org/officeDocument/2006/relationships/hyperlink" Target="https://creativecommons.org/licenses/by-nc/4.0/" TargetMode="External"/><Relationship Id="rId5200" Type="http://schemas.openxmlformats.org/officeDocument/2006/relationships/hyperlink" Target="https://www.inaturalist.org/observations/399273937" TargetMode="External"/><Relationship Id="rId5201" Type="http://schemas.openxmlformats.org/officeDocument/2006/relationships/hyperlink" Target="https://creativecommons.org/licenses/by-nc/4.0/" TargetMode="External"/><Relationship Id="rId5202" Type="http://schemas.openxmlformats.org/officeDocument/2006/relationships/hyperlink" Target="https://www.inaturalist.org/observations/399205764" TargetMode="External"/><Relationship Id="rId5203" Type="http://schemas.openxmlformats.org/officeDocument/2006/relationships/hyperlink" Target="https://creativecommons.org/licenses/by-nc/4.0/" TargetMode="External"/><Relationship Id="rId5204" Type="http://schemas.openxmlformats.org/officeDocument/2006/relationships/hyperlink" Target="https://www.inaturalist.org/observations/399203542" TargetMode="External"/><Relationship Id="rId5205" Type="http://schemas.openxmlformats.org/officeDocument/2006/relationships/hyperlink" Target="https://creativecommons.org/licenses/by-nc/4.0/" TargetMode="External"/><Relationship Id="rId5206" Type="http://schemas.openxmlformats.org/officeDocument/2006/relationships/hyperlink" Target="https://www.inaturalist.org/observations/399176732" TargetMode="External"/><Relationship Id="rId5207" Type="http://schemas.openxmlformats.org/officeDocument/2006/relationships/hyperlink" Target="https://creativecommons.org/licenses/by-nc/4.0/" TargetMode="External"/><Relationship Id="rId5208" Type="http://schemas.openxmlformats.org/officeDocument/2006/relationships/hyperlink" Target="https://www.inaturalist.org/observations/399176527" TargetMode="External"/><Relationship Id="rId5209" Type="http://schemas.openxmlformats.org/officeDocument/2006/relationships/hyperlink" Target="https://creativecommons.org/licenses/by-nc/4.0/" TargetMode="External"/><Relationship Id="rId5210" Type="http://schemas.openxmlformats.org/officeDocument/2006/relationships/hyperlink" Target="https://www.inaturalist.org/observations/399159087" TargetMode="External"/><Relationship Id="rId5211" Type="http://schemas.openxmlformats.org/officeDocument/2006/relationships/hyperlink" Target="https://creativecommons.org/licenses/by-nc/4.0/" TargetMode="External"/><Relationship Id="rId5212" Type="http://schemas.openxmlformats.org/officeDocument/2006/relationships/hyperlink" Target="https://www.inaturalist.org/observations/399158580" TargetMode="External"/><Relationship Id="rId5213" Type="http://schemas.openxmlformats.org/officeDocument/2006/relationships/hyperlink" Target="https://creativecommons.org/licenses/by-nc/4.0/" TargetMode="External"/><Relationship Id="rId5214" Type="http://schemas.openxmlformats.org/officeDocument/2006/relationships/hyperlink" Target="https://www.inaturalist.org/observations/399147244" TargetMode="External"/><Relationship Id="rId5215" Type="http://schemas.openxmlformats.org/officeDocument/2006/relationships/hyperlink" Target="https://creativecommons.org/licenses/by-nc/4.0/" TargetMode="External"/><Relationship Id="rId5216" Type="http://schemas.openxmlformats.org/officeDocument/2006/relationships/hyperlink" Target="https://www.inaturalist.org/observations/399147243" TargetMode="External"/><Relationship Id="rId5217" Type="http://schemas.openxmlformats.org/officeDocument/2006/relationships/hyperlink" Target="https://creativecommons.org/licenses/by-nc/4.0/" TargetMode="External"/><Relationship Id="rId5218" Type="http://schemas.openxmlformats.org/officeDocument/2006/relationships/hyperlink" Target="https://www.inaturalist.org/observations/399147237" TargetMode="External"/><Relationship Id="rId5219" Type="http://schemas.openxmlformats.org/officeDocument/2006/relationships/hyperlink" Target="https://creativecommons.org/licenses/by-nc/4.0/" TargetMode="External"/><Relationship Id="rId5220" Type="http://schemas.openxmlformats.org/officeDocument/2006/relationships/hyperlink" Target="https://www.inaturalist.org/observations/399147225" TargetMode="External"/><Relationship Id="rId5221" Type="http://schemas.openxmlformats.org/officeDocument/2006/relationships/hyperlink" Target="https://creativecommons.org/licenses/by-nc/4.0/" TargetMode="External"/><Relationship Id="rId5222" Type="http://schemas.openxmlformats.org/officeDocument/2006/relationships/hyperlink" Target="https://www.inaturalist.org/observations/399147214" TargetMode="External"/><Relationship Id="rId5223" Type="http://schemas.openxmlformats.org/officeDocument/2006/relationships/hyperlink" Target="https://creativecommons.org/licenses/by-nc/4.0/" TargetMode="External"/><Relationship Id="rId5224" Type="http://schemas.openxmlformats.org/officeDocument/2006/relationships/hyperlink" Target="https://www.inaturalist.org/observations/399139978" TargetMode="External"/><Relationship Id="rId5225" Type="http://schemas.openxmlformats.org/officeDocument/2006/relationships/hyperlink" Target="https://creativecommons.org/licenses/by-nc/4.0/" TargetMode="External"/><Relationship Id="rId5226" Type="http://schemas.openxmlformats.org/officeDocument/2006/relationships/hyperlink" Target="https://www.inaturalist.org/observations/399059119" TargetMode="External"/><Relationship Id="rId5227" Type="http://schemas.openxmlformats.org/officeDocument/2006/relationships/hyperlink" Target="https://creativecommons.org/licenses/by-nc/4.0/" TargetMode="External"/><Relationship Id="rId5228" Type="http://schemas.openxmlformats.org/officeDocument/2006/relationships/hyperlink" Target="https://www.inaturalist.org/observations/398927191" TargetMode="External"/><Relationship Id="rId5229" Type="http://schemas.openxmlformats.org/officeDocument/2006/relationships/hyperlink" Target="https://creativecommons.org/licenses/by-nc/4.0/" TargetMode="External"/><Relationship Id="rId5230" Type="http://schemas.openxmlformats.org/officeDocument/2006/relationships/hyperlink" Target="https://www.inaturalist.org/observations/398927189" TargetMode="External"/><Relationship Id="rId5231" Type="http://schemas.openxmlformats.org/officeDocument/2006/relationships/hyperlink" Target="https://creativecommons.org/licenses/by-nc/4.0/" TargetMode="External"/><Relationship Id="rId5232" Type="http://schemas.openxmlformats.org/officeDocument/2006/relationships/hyperlink" Target="https://www.inaturalist.org/observations/398923900" TargetMode="External"/><Relationship Id="rId5233" Type="http://schemas.openxmlformats.org/officeDocument/2006/relationships/hyperlink" Target="https://creativecommons.org/licenses/by-nc/4.0/" TargetMode="External"/><Relationship Id="rId5234" Type="http://schemas.openxmlformats.org/officeDocument/2006/relationships/hyperlink" Target="https://www.inaturalist.org/observations/398866772" TargetMode="External"/><Relationship Id="rId5235" Type="http://schemas.openxmlformats.org/officeDocument/2006/relationships/hyperlink" Target="https://creativecommons.org/licenses/by-nc/4.0/" TargetMode="External"/><Relationship Id="rId5236" Type="http://schemas.openxmlformats.org/officeDocument/2006/relationships/hyperlink" Target="https://www.inaturalist.org/observations/398866737" TargetMode="External"/><Relationship Id="rId5237" Type="http://schemas.openxmlformats.org/officeDocument/2006/relationships/hyperlink" Target="https://creativecommons.org/licenses/by-nc/4.0/" TargetMode="External"/><Relationship Id="rId5238" Type="http://schemas.openxmlformats.org/officeDocument/2006/relationships/hyperlink" Target="https://www.inaturalist.org/observations/398859644" TargetMode="External"/><Relationship Id="rId5239" Type="http://schemas.openxmlformats.org/officeDocument/2006/relationships/hyperlink" Target="https://creativecommons.org/licenses/by-nc/4.0/" TargetMode="External"/><Relationship Id="rId5240" Type="http://schemas.openxmlformats.org/officeDocument/2006/relationships/hyperlink" Target="https://www.inaturalist.org/observations/398859030" TargetMode="External"/><Relationship Id="rId5241" Type="http://schemas.openxmlformats.org/officeDocument/2006/relationships/hyperlink" Target="https://creativecommons.org/licenses/by-nc/4.0/" TargetMode="External"/><Relationship Id="rId5242" Type="http://schemas.openxmlformats.org/officeDocument/2006/relationships/hyperlink" Target="https://www.inaturalist.org/observations/398858963" TargetMode="External"/><Relationship Id="rId5243" Type="http://schemas.openxmlformats.org/officeDocument/2006/relationships/hyperlink" Target="https://creativecommons.org/licenses/by-nc/4.0/" TargetMode="External"/><Relationship Id="rId5244" Type="http://schemas.openxmlformats.org/officeDocument/2006/relationships/hyperlink" Target="https://www.inaturalist.org/observations/398809508" TargetMode="External"/><Relationship Id="rId5245" Type="http://schemas.openxmlformats.org/officeDocument/2006/relationships/hyperlink" Target="https://creativecommons.org/licenses/by-nc/4.0/" TargetMode="External"/><Relationship Id="rId5246" Type="http://schemas.openxmlformats.org/officeDocument/2006/relationships/hyperlink" Target="https://www.inaturalist.org/observations/398766233" TargetMode="External"/><Relationship Id="rId5247" Type="http://schemas.openxmlformats.org/officeDocument/2006/relationships/hyperlink" Target="https://creativecommons.org/licenses/by-nc/4.0/" TargetMode="External"/><Relationship Id="rId5248" Type="http://schemas.openxmlformats.org/officeDocument/2006/relationships/hyperlink" Target="https://www.inaturalist.org/observations/398762946" TargetMode="External"/><Relationship Id="rId5249" Type="http://schemas.openxmlformats.org/officeDocument/2006/relationships/hyperlink" Target="https://creativecommons.org/licenses/by-nc/4.0/" TargetMode="External"/><Relationship Id="rId5250" Type="http://schemas.openxmlformats.org/officeDocument/2006/relationships/hyperlink" Target="https://www.inaturalist.org/observations/398751912" TargetMode="External"/><Relationship Id="rId5251" Type="http://schemas.openxmlformats.org/officeDocument/2006/relationships/hyperlink" Target="https://creativecommons.org/licenses/by-nc/4.0/" TargetMode="External"/><Relationship Id="rId5252" Type="http://schemas.openxmlformats.org/officeDocument/2006/relationships/hyperlink" Target="https://www.inaturalist.org/observations/398728455" TargetMode="External"/><Relationship Id="rId5253" Type="http://schemas.openxmlformats.org/officeDocument/2006/relationships/hyperlink" Target="https://creativecommons.org/licenses/by-nc/4.0/" TargetMode="External"/><Relationship Id="rId5254" Type="http://schemas.openxmlformats.org/officeDocument/2006/relationships/hyperlink" Target="https://www.inaturalist.org/observations/398647409" TargetMode="External"/><Relationship Id="rId5255" Type="http://schemas.openxmlformats.org/officeDocument/2006/relationships/hyperlink" Target="https://creativecommons.org/licenses/by-nc/4.0/" TargetMode="External"/><Relationship Id="rId5256" Type="http://schemas.openxmlformats.org/officeDocument/2006/relationships/hyperlink" Target="https://www.inaturalist.org/observations/398641007" TargetMode="External"/><Relationship Id="rId5257" Type="http://schemas.openxmlformats.org/officeDocument/2006/relationships/hyperlink" Target="https://creativecommons.org/licenses/by-nc/4.0/" TargetMode="External"/><Relationship Id="rId5258" Type="http://schemas.openxmlformats.org/officeDocument/2006/relationships/hyperlink" Target="https://www.inaturalist.org/observations/398622717" TargetMode="External"/><Relationship Id="rId5259" Type="http://schemas.openxmlformats.org/officeDocument/2006/relationships/hyperlink" Target="https://creativecommons.org/licenses/by-nc/4.0/" TargetMode="External"/><Relationship Id="rId5260" Type="http://schemas.openxmlformats.org/officeDocument/2006/relationships/hyperlink" Target="https://www.inaturalist.org/observations/398568379" TargetMode="External"/><Relationship Id="rId5261" Type="http://schemas.openxmlformats.org/officeDocument/2006/relationships/hyperlink" Target="https://creativecommons.org/licenses/by-nc/4.0/" TargetMode="External"/><Relationship Id="rId5262" Type="http://schemas.openxmlformats.org/officeDocument/2006/relationships/hyperlink" Target="https://www.inaturalist.org/observations/398375206" TargetMode="External"/><Relationship Id="rId5263" Type="http://schemas.openxmlformats.org/officeDocument/2006/relationships/hyperlink" Target="https://creativecommons.org/licenses/by-nc/4.0/" TargetMode="External"/><Relationship Id="rId5264" Type="http://schemas.openxmlformats.org/officeDocument/2006/relationships/hyperlink" Target="https://www.inaturalist.org/observations/398366738" TargetMode="External"/><Relationship Id="rId5265" Type="http://schemas.openxmlformats.org/officeDocument/2006/relationships/hyperlink" Target="https://creativecommons.org/licenses/by-nc/4.0/" TargetMode="External"/><Relationship Id="rId5266" Type="http://schemas.openxmlformats.org/officeDocument/2006/relationships/hyperlink" Target="https://www.inaturalist.org/observations/398290093" TargetMode="External"/><Relationship Id="rId5267" Type="http://schemas.openxmlformats.org/officeDocument/2006/relationships/hyperlink" Target="https://creativecommons.org/licenses/by-nc/4.0/" TargetMode="External"/><Relationship Id="rId5268" Type="http://schemas.openxmlformats.org/officeDocument/2006/relationships/hyperlink" Target="https://www.inaturalist.org/observations/398284306" TargetMode="External"/><Relationship Id="rId5269" Type="http://schemas.openxmlformats.org/officeDocument/2006/relationships/hyperlink" Target="https://creativecommons.org/licenses/by-nc/4.0/" TargetMode="External"/><Relationship Id="rId5270" Type="http://schemas.openxmlformats.org/officeDocument/2006/relationships/hyperlink" Target="https://www.inaturalist.org/observations/398186183" TargetMode="External"/><Relationship Id="rId5271" Type="http://schemas.openxmlformats.org/officeDocument/2006/relationships/hyperlink" Target="https://creativecommons.org/licenses/by-nc/4.0/" TargetMode="External"/><Relationship Id="rId5272" Type="http://schemas.openxmlformats.org/officeDocument/2006/relationships/hyperlink" Target="https://www.inaturalist.org/observations/398185594" TargetMode="External"/><Relationship Id="rId5273" Type="http://schemas.openxmlformats.org/officeDocument/2006/relationships/hyperlink" Target="https://creativecommons.org/licenses/by-nc/4.0/" TargetMode="External"/><Relationship Id="rId5274" Type="http://schemas.openxmlformats.org/officeDocument/2006/relationships/hyperlink" Target="https://www.inaturalist.org/observations/398140578" TargetMode="External"/><Relationship Id="rId5275" Type="http://schemas.openxmlformats.org/officeDocument/2006/relationships/hyperlink" Target="https://creativecommons.org/licenses/by-nc/4.0/" TargetMode="External"/><Relationship Id="rId5276" Type="http://schemas.openxmlformats.org/officeDocument/2006/relationships/hyperlink" Target="https://www.inaturalist.org/observations/398087671" TargetMode="External"/><Relationship Id="rId5277" Type="http://schemas.openxmlformats.org/officeDocument/2006/relationships/hyperlink" Target="https://creativecommons.org/licenses/by-nc/4.0/" TargetMode="External"/><Relationship Id="rId5278" Type="http://schemas.openxmlformats.org/officeDocument/2006/relationships/hyperlink" Target="https://www.inaturalist.org/observations/398049881" TargetMode="External"/><Relationship Id="rId5279" Type="http://schemas.openxmlformats.org/officeDocument/2006/relationships/hyperlink" Target="https://creativecommons.org/licenses/by-nc/4.0/" TargetMode="External"/><Relationship Id="rId5280" Type="http://schemas.openxmlformats.org/officeDocument/2006/relationships/hyperlink" Target="https://www.inaturalist.org/observations/398008728" TargetMode="External"/><Relationship Id="rId5281" Type="http://schemas.openxmlformats.org/officeDocument/2006/relationships/hyperlink" Target="https://creativecommons.org/licenses/by-nc/4.0/" TargetMode="External"/><Relationship Id="rId5282" Type="http://schemas.openxmlformats.org/officeDocument/2006/relationships/hyperlink" Target="https://www.inaturalist.org/observations/398008657" TargetMode="External"/><Relationship Id="rId5283" Type="http://schemas.openxmlformats.org/officeDocument/2006/relationships/hyperlink" Target="https://creativecommons.org/licenses/by-nc/4.0/" TargetMode="External"/><Relationship Id="rId5284" Type="http://schemas.openxmlformats.org/officeDocument/2006/relationships/hyperlink" Target="https://www.inaturalist.org/observations/397991396" TargetMode="External"/><Relationship Id="rId5285" Type="http://schemas.openxmlformats.org/officeDocument/2006/relationships/hyperlink" Target="https://creativecommons.org/licenses/by-nc/4.0/" TargetMode="External"/><Relationship Id="rId5286" Type="http://schemas.openxmlformats.org/officeDocument/2006/relationships/hyperlink" Target="https://www.inaturalist.org/observations/397892803" TargetMode="External"/><Relationship Id="rId5287" Type="http://schemas.openxmlformats.org/officeDocument/2006/relationships/hyperlink" Target="https://creativecommons.org/licenses/by-nc/4.0/" TargetMode="External"/><Relationship Id="rId5288" Type="http://schemas.openxmlformats.org/officeDocument/2006/relationships/hyperlink" Target="https://www.inaturalist.org/observations/397800834" TargetMode="External"/><Relationship Id="rId5289" Type="http://schemas.openxmlformats.org/officeDocument/2006/relationships/hyperlink" Target="https://creativecommons.org/licenses/by-nc/4.0/" TargetMode="External"/><Relationship Id="rId5290" Type="http://schemas.openxmlformats.org/officeDocument/2006/relationships/hyperlink" Target="https://www.inaturalist.org/observations/397659887" TargetMode="External"/><Relationship Id="rId5291" Type="http://schemas.openxmlformats.org/officeDocument/2006/relationships/hyperlink" Target="https://creativecommons.org/licenses/by-nc/4.0/" TargetMode="External"/><Relationship Id="rId5292" Type="http://schemas.openxmlformats.org/officeDocument/2006/relationships/hyperlink" Target="https://www.inaturalist.org/observations/397645105" TargetMode="External"/><Relationship Id="rId5293" Type="http://schemas.openxmlformats.org/officeDocument/2006/relationships/hyperlink" Target="https://creativecommons.org/licenses/by-nc/4.0/" TargetMode="External"/><Relationship Id="rId5294" Type="http://schemas.openxmlformats.org/officeDocument/2006/relationships/hyperlink" Target="https://www.inaturalist.org/observations/397637762" TargetMode="External"/><Relationship Id="rId5295" Type="http://schemas.openxmlformats.org/officeDocument/2006/relationships/hyperlink" Target="https://creativecommons.org/licenses/by-nc/4.0/" TargetMode="External"/><Relationship Id="rId5296" Type="http://schemas.openxmlformats.org/officeDocument/2006/relationships/hyperlink" Target="https://www.inaturalist.org/observations/397511971" TargetMode="External"/><Relationship Id="rId5297" Type="http://schemas.openxmlformats.org/officeDocument/2006/relationships/hyperlink" Target="https://creativecommons.org/licenses/by-nc/4.0/" TargetMode="External"/><Relationship Id="rId5298" Type="http://schemas.openxmlformats.org/officeDocument/2006/relationships/hyperlink" Target="https://www.inaturalist.org/observations/397468272" TargetMode="External"/><Relationship Id="rId5299" Type="http://schemas.openxmlformats.org/officeDocument/2006/relationships/hyperlink" Target="https://creativecommons.org/licenses/by-nc/4.0/" TargetMode="External"/><Relationship Id="rId5300" Type="http://schemas.openxmlformats.org/officeDocument/2006/relationships/hyperlink" Target="https://www.inaturalist.org/observations/397370441" TargetMode="External"/><Relationship Id="rId5301" Type="http://schemas.openxmlformats.org/officeDocument/2006/relationships/hyperlink" Target="https://creativecommons.org/licenses/by-nc/4.0/" TargetMode="External"/><Relationship Id="rId5302" Type="http://schemas.openxmlformats.org/officeDocument/2006/relationships/hyperlink" Target="https://www.inaturalist.org/observations/397343161" TargetMode="External"/><Relationship Id="rId5303" Type="http://schemas.openxmlformats.org/officeDocument/2006/relationships/hyperlink" Target="https://creativecommons.org/licenses/by-nc/4.0/" TargetMode="External"/><Relationship Id="rId5304" Type="http://schemas.openxmlformats.org/officeDocument/2006/relationships/hyperlink" Target="https://www.inaturalist.org/observations/397328363" TargetMode="External"/><Relationship Id="rId5305" Type="http://schemas.openxmlformats.org/officeDocument/2006/relationships/hyperlink" Target="https://creativecommons.org/licenses/by-nc/4.0/" TargetMode="External"/><Relationship Id="rId5306" Type="http://schemas.openxmlformats.org/officeDocument/2006/relationships/hyperlink" Target="https://www.inaturalist.org/observations/397304355" TargetMode="External"/><Relationship Id="rId5307" Type="http://schemas.openxmlformats.org/officeDocument/2006/relationships/hyperlink" Target="https://creativecommons.org/licenses/by-nc/4.0/" TargetMode="External"/><Relationship Id="rId5308" Type="http://schemas.openxmlformats.org/officeDocument/2006/relationships/hyperlink" Target="https://www.inaturalist.org/observations/397272857" TargetMode="External"/><Relationship Id="rId5309" Type="http://schemas.openxmlformats.org/officeDocument/2006/relationships/hyperlink" Target="https://creativecommons.org/licenses/by-nc/4.0/" TargetMode="External"/><Relationship Id="rId5310" Type="http://schemas.openxmlformats.org/officeDocument/2006/relationships/hyperlink" Target="https://www.inaturalist.org/observations/397220747" TargetMode="External"/><Relationship Id="rId5311" Type="http://schemas.openxmlformats.org/officeDocument/2006/relationships/hyperlink" Target="https://creativecommons.org/licenses/by-nc/4.0/" TargetMode="External"/><Relationship Id="rId5312" Type="http://schemas.openxmlformats.org/officeDocument/2006/relationships/hyperlink" Target="https://www.inaturalist.org/observations/397119068" TargetMode="External"/><Relationship Id="rId5313" Type="http://schemas.openxmlformats.org/officeDocument/2006/relationships/hyperlink" Target="https://creativecommons.org/licenses/by-nc/4.0/" TargetMode="External"/><Relationship Id="rId5314" Type="http://schemas.openxmlformats.org/officeDocument/2006/relationships/hyperlink" Target="https://www.inaturalist.org/observations/397092403" TargetMode="External"/><Relationship Id="rId5315" Type="http://schemas.openxmlformats.org/officeDocument/2006/relationships/hyperlink" Target="https://creativecommons.org/licenses/by-nc/4.0/" TargetMode="External"/><Relationship Id="rId5316" Type="http://schemas.openxmlformats.org/officeDocument/2006/relationships/hyperlink" Target="https://www.inaturalist.org/observations/397020732" TargetMode="External"/><Relationship Id="rId5317" Type="http://schemas.openxmlformats.org/officeDocument/2006/relationships/hyperlink" Target="https://creativecommons.org/licenses/by-nc/4.0/" TargetMode="External"/><Relationship Id="rId5318" Type="http://schemas.openxmlformats.org/officeDocument/2006/relationships/hyperlink" Target="https://www.inaturalist.org/observations/396968764" TargetMode="External"/><Relationship Id="rId5319" Type="http://schemas.openxmlformats.org/officeDocument/2006/relationships/hyperlink" Target="https://creativecommons.org/licenses/by-nc/4.0/" TargetMode="External"/><Relationship Id="rId5320" Type="http://schemas.openxmlformats.org/officeDocument/2006/relationships/hyperlink" Target="https://www.inaturalist.org/observations/396926281" TargetMode="External"/><Relationship Id="rId5321" Type="http://schemas.openxmlformats.org/officeDocument/2006/relationships/hyperlink" Target="https://creativecommons.org/licenses/by-nc/4.0/" TargetMode="External"/><Relationship Id="rId5322" Type="http://schemas.openxmlformats.org/officeDocument/2006/relationships/hyperlink" Target="https://www.inaturalist.org/observations/396915518" TargetMode="External"/><Relationship Id="rId5323" Type="http://schemas.openxmlformats.org/officeDocument/2006/relationships/hyperlink" Target="https://creativecommons.org/licenses/by-nc/4.0/" TargetMode="External"/><Relationship Id="rId5324" Type="http://schemas.openxmlformats.org/officeDocument/2006/relationships/hyperlink" Target="https://www.inaturalist.org/observations/396913139" TargetMode="External"/><Relationship Id="rId5325" Type="http://schemas.openxmlformats.org/officeDocument/2006/relationships/hyperlink" Target="https://creativecommons.org/licenses/by-nc/4.0/" TargetMode="External"/><Relationship Id="rId5326" Type="http://schemas.openxmlformats.org/officeDocument/2006/relationships/hyperlink" Target="https://www.inaturalist.org/observations/396912286" TargetMode="External"/><Relationship Id="rId5327" Type="http://schemas.openxmlformats.org/officeDocument/2006/relationships/hyperlink" Target="https://creativecommons.org/licenses/by-nc/4.0/" TargetMode="External"/><Relationship Id="rId5328" Type="http://schemas.openxmlformats.org/officeDocument/2006/relationships/hyperlink" Target="https://www.inaturalist.org/observations/396752059" TargetMode="External"/><Relationship Id="rId5329" Type="http://schemas.openxmlformats.org/officeDocument/2006/relationships/hyperlink" Target="https://creativecommons.org/licenses/by-nc/4.0/" TargetMode="External"/><Relationship Id="rId5330" Type="http://schemas.openxmlformats.org/officeDocument/2006/relationships/hyperlink" Target="https://www.inaturalist.org/observations/396688776" TargetMode="External"/><Relationship Id="rId5331" Type="http://schemas.openxmlformats.org/officeDocument/2006/relationships/hyperlink" Target="https://creativecommons.org/licenses/by-nc/4.0/" TargetMode="External"/><Relationship Id="rId5332" Type="http://schemas.openxmlformats.org/officeDocument/2006/relationships/hyperlink" Target="https://www.inaturalist.org/observations/396679017" TargetMode="External"/><Relationship Id="rId5333" Type="http://schemas.openxmlformats.org/officeDocument/2006/relationships/hyperlink" Target="https://creativecommons.org/licenses/by-nc/4.0/" TargetMode="External"/><Relationship Id="rId5334" Type="http://schemas.openxmlformats.org/officeDocument/2006/relationships/hyperlink" Target="https://www.inaturalist.org/observations/396623122" TargetMode="External"/><Relationship Id="rId5335" Type="http://schemas.openxmlformats.org/officeDocument/2006/relationships/hyperlink" Target="https://creativecommons.org/licenses/by-nc/4.0/" TargetMode="External"/><Relationship Id="rId5336" Type="http://schemas.openxmlformats.org/officeDocument/2006/relationships/hyperlink" Target="https://www.inaturalist.org/observations/396606769" TargetMode="External"/><Relationship Id="rId5337" Type="http://schemas.openxmlformats.org/officeDocument/2006/relationships/hyperlink" Target="https://creativecommons.org/licenses/by-nc/4.0/" TargetMode="External"/><Relationship Id="rId5338" Type="http://schemas.openxmlformats.org/officeDocument/2006/relationships/hyperlink" Target="https://www.inaturalist.org/observations/396563538" TargetMode="External"/><Relationship Id="rId5339" Type="http://schemas.openxmlformats.org/officeDocument/2006/relationships/hyperlink" Target="https://creativecommons.org/licenses/by-nc/4.0/" TargetMode="External"/><Relationship Id="rId5340" Type="http://schemas.openxmlformats.org/officeDocument/2006/relationships/hyperlink" Target="https://www.inaturalist.org/observations/396491946" TargetMode="External"/><Relationship Id="rId5341" Type="http://schemas.openxmlformats.org/officeDocument/2006/relationships/hyperlink" Target="https://creativecommons.org/licenses/by-nc/4.0/" TargetMode="External"/><Relationship Id="rId5342" Type="http://schemas.openxmlformats.org/officeDocument/2006/relationships/hyperlink" Target="https://www.inaturalist.org/observations/396363937" TargetMode="External"/><Relationship Id="rId5343" Type="http://schemas.openxmlformats.org/officeDocument/2006/relationships/hyperlink" Target="https://creativecommons.org/licenses/by-nc/4.0/" TargetMode="External"/><Relationship Id="rId5344" Type="http://schemas.openxmlformats.org/officeDocument/2006/relationships/hyperlink" Target="https://www.inaturalist.org/observations/396294105" TargetMode="External"/><Relationship Id="rId5345" Type="http://schemas.openxmlformats.org/officeDocument/2006/relationships/hyperlink" Target="https://creativecommons.org/licenses/by-nc/4.0/" TargetMode="External"/><Relationship Id="rId5346" Type="http://schemas.openxmlformats.org/officeDocument/2006/relationships/hyperlink" Target="https://www.inaturalist.org/observations/396044484" TargetMode="External"/><Relationship Id="rId5347" Type="http://schemas.openxmlformats.org/officeDocument/2006/relationships/hyperlink" Target="https://creativecommons.org/licenses/by-nc/4.0/" TargetMode="External"/><Relationship Id="rId5348" Type="http://schemas.openxmlformats.org/officeDocument/2006/relationships/hyperlink" Target="https://www.inaturalist.org/observations/396022571" TargetMode="External"/><Relationship Id="rId5349" Type="http://schemas.openxmlformats.org/officeDocument/2006/relationships/hyperlink" Target="https://creativecommons.org/licenses/by-nc/4.0/" TargetMode="External"/><Relationship Id="rId5350" Type="http://schemas.openxmlformats.org/officeDocument/2006/relationships/hyperlink" Target="https://www.inaturalist.org/observations/396011071" TargetMode="External"/><Relationship Id="rId5351" Type="http://schemas.openxmlformats.org/officeDocument/2006/relationships/hyperlink" Target="https://creativecommons.org/licenses/by-nc/4.0/" TargetMode="External"/><Relationship Id="rId5352" Type="http://schemas.openxmlformats.org/officeDocument/2006/relationships/hyperlink" Target="https://www.inaturalist.org/observations/395924821" TargetMode="External"/><Relationship Id="rId5353" Type="http://schemas.openxmlformats.org/officeDocument/2006/relationships/hyperlink" Target="https://creativecommons.org/licenses/by-nc/4.0/" TargetMode="External"/><Relationship Id="rId5354" Type="http://schemas.openxmlformats.org/officeDocument/2006/relationships/hyperlink" Target="https://www.inaturalist.org/observations/395726686" TargetMode="External"/><Relationship Id="rId5355" Type="http://schemas.openxmlformats.org/officeDocument/2006/relationships/hyperlink" Target="https://creativecommons.org/licenses/by-nc/4.0/" TargetMode="External"/><Relationship Id="rId5356" Type="http://schemas.openxmlformats.org/officeDocument/2006/relationships/hyperlink" Target="https://www.inaturalist.org/observations/395715095" TargetMode="External"/><Relationship Id="rId5357" Type="http://schemas.openxmlformats.org/officeDocument/2006/relationships/hyperlink" Target="https://creativecommons.org/licenses/by-nc/4.0/" TargetMode="External"/><Relationship Id="rId5358" Type="http://schemas.openxmlformats.org/officeDocument/2006/relationships/hyperlink" Target="https://www.inaturalist.org/observations/395548161" TargetMode="External"/><Relationship Id="rId5359" Type="http://schemas.openxmlformats.org/officeDocument/2006/relationships/hyperlink" Target="https://creativecommons.org/licenses/by-nc/4.0/" TargetMode="External"/><Relationship Id="rId5360" Type="http://schemas.openxmlformats.org/officeDocument/2006/relationships/hyperlink" Target="https://www.inaturalist.org/observations/395293751" TargetMode="External"/><Relationship Id="rId5361" Type="http://schemas.openxmlformats.org/officeDocument/2006/relationships/hyperlink" Target="https://creativecommons.org/licenses/by-nc/4.0/" TargetMode="External"/><Relationship Id="rId5362" Type="http://schemas.openxmlformats.org/officeDocument/2006/relationships/hyperlink" Target="https://www.inaturalist.org/observations/395151592" TargetMode="External"/><Relationship Id="rId5363" Type="http://schemas.openxmlformats.org/officeDocument/2006/relationships/hyperlink" Target="https://creativecommons.org/licenses/by-nc/4.0/" TargetMode="External"/><Relationship Id="rId5364" Type="http://schemas.openxmlformats.org/officeDocument/2006/relationships/hyperlink" Target="https://www.inaturalist.org/observations/395146688" TargetMode="External"/><Relationship Id="rId5365" Type="http://schemas.openxmlformats.org/officeDocument/2006/relationships/hyperlink" Target="https://creativecommons.org/licenses/by-nc/4.0/" TargetMode="External"/><Relationship Id="rId5366" Type="http://schemas.openxmlformats.org/officeDocument/2006/relationships/hyperlink" Target="https://www.inaturalist.org/observations/394960084" TargetMode="External"/><Relationship Id="rId5367" Type="http://schemas.openxmlformats.org/officeDocument/2006/relationships/hyperlink" Target="https://creativecommons.org/licenses/by-nc/4.0/" TargetMode="External"/><Relationship Id="rId5368" Type="http://schemas.openxmlformats.org/officeDocument/2006/relationships/hyperlink" Target="https://www.inaturalist.org/observations/394857097" TargetMode="External"/><Relationship Id="rId5369" Type="http://schemas.openxmlformats.org/officeDocument/2006/relationships/hyperlink" Target="https://creativecommons.org/licenses/by-nc/4.0/" TargetMode="External"/><Relationship Id="rId5370" Type="http://schemas.openxmlformats.org/officeDocument/2006/relationships/hyperlink" Target="https://www.inaturalist.org/observations/394829650" TargetMode="External"/><Relationship Id="rId5371" Type="http://schemas.openxmlformats.org/officeDocument/2006/relationships/hyperlink" Target="https://creativecommons.org/licenses/by-nc/4.0/" TargetMode="External"/><Relationship Id="rId5372" Type="http://schemas.openxmlformats.org/officeDocument/2006/relationships/hyperlink" Target="https://www.inaturalist.org/observations/394741561" TargetMode="External"/><Relationship Id="rId5373" Type="http://schemas.openxmlformats.org/officeDocument/2006/relationships/hyperlink" Target="https://creativecommons.org/licenses/by-nc/4.0/" TargetMode="External"/><Relationship Id="rId5374" Type="http://schemas.openxmlformats.org/officeDocument/2006/relationships/hyperlink" Target="https://www.inaturalist.org/observations/394607371" TargetMode="External"/><Relationship Id="rId5375" Type="http://schemas.openxmlformats.org/officeDocument/2006/relationships/hyperlink" Target="https://creativecommons.org/licenses/by-nc/4.0/" TargetMode="External"/><Relationship Id="rId5376" Type="http://schemas.openxmlformats.org/officeDocument/2006/relationships/hyperlink" Target="https://www.inaturalist.org/observations/394228205" TargetMode="External"/><Relationship Id="rId5377" Type="http://schemas.openxmlformats.org/officeDocument/2006/relationships/hyperlink" Target="https://creativecommons.org/licenses/by-nc/4.0/" TargetMode="External"/><Relationship Id="rId5378" Type="http://schemas.openxmlformats.org/officeDocument/2006/relationships/hyperlink" Target="https://www.inaturalist.org/observations/394227980" TargetMode="External"/><Relationship Id="rId5379" Type="http://schemas.openxmlformats.org/officeDocument/2006/relationships/hyperlink" Target="https://creativecommons.org/licenses/by-nc/4.0/" TargetMode="External"/><Relationship Id="rId5380" Type="http://schemas.openxmlformats.org/officeDocument/2006/relationships/hyperlink" Target="https://www.inaturalist.org/observations/394107720" TargetMode="External"/><Relationship Id="rId5381" Type="http://schemas.openxmlformats.org/officeDocument/2006/relationships/hyperlink" Target="https://creativecommons.org/licenses/by-nc/4.0/" TargetMode="External"/><Relationship Id="rId5382" Type="http://schemas.openxmlformats.org/officeDocument/2006/relationships/hyperlink" Target="https://www.inaturalist.org/observations/393999724" TargetMode="External"/><Relationship Id="rId5383" Type="http://schemas.openxmlformats.org/officeDocument/2006/relationships/hyperlink" Target="https://creativecommons.org/licenses/by-nc/4.0/" TargetMode="External"/><Relationship Id="rId5384" Type="http://schemas.openxmlformats.org/officeDocument/2006/relationships/hyperlink" Target="https://www.inaturalist.org/observations/393698741" TargetMode="External"/><Relationship Id="rId5385" Type="http://schemas.openxmlformats.org/officeDocument/2006/relationships/hyperlink" Target="https://creativecommons.org/licenses/by-nc/4.0/" TargetMode="External"/><Relationship Id="rId5386" Type="http://schemas.openxmlformats.org/officeDocument/2006/relationships/hyperlink" Target="https://www.inaturalist.org/observations/393554598" TargetMode="External"/><Relationship Id="rId5387" Type="http://schemas.openxmlformats.org/officeDocument/2006/relationships/hyperlink" Target="https://creativecommons.org/licenses/by-nc/4.0/" TargetMode="External"/><Relationship Id="rId5388" Type="http://schemas.openxmlformats.org/officeDocument/2006/relationships/hyperlink" Target="https://www.inaturalist.org/observations/393319532" TargetMode="External"/><Relationship Id="rId5389" Type="http://schemas.openxmlformats.org/officeDocument/2006/relationships/hyperlink" Target="https://creativecommons.org/licenses/by-nc/4.0/" TargetMode="External"/><Relationship Id="rId5390" Type="http://schemas.openxmlformats.org/officeDocument/2006/relationships/hyperlink" Target="https://www.inaturalist.org/observations/393207242" TargetMode="External"/><Relationship Id="rId5391" Type="http://schemas.openxmlformats.org/officeDocument/2006/relationships/hyperlink" Target="https://creativecommons.org/licenses/by-nc/4.0/" TargetMode="External"/><Relationship Id="rId5392" Type="http://schemas.openxmlformats.org/officeDocument/2006/relationships/hyperlink" Target="https://www.inaturalist.org/observations/393191331" TargetMode="External"/><Relationship Id="rId5393" Type="http://schemas.openxmlformats.org/officeDocument/2006/relationships/hyperlink" Target="https://creativecommons.org/licenses/by-nc/4.0/" TargetMode="External"/><Relationship Id="rId5394" Type="http://schemas.openxmlformats.org/officeDocument/2006/relationships/hyperlink" Target="https://www.inaturalist.org/observations/392846538" TargetMode="External"/><Relationship Id="rId5395" Type="http://schemas.openxmlformats.org/officeDocument/2006/relationships/hyperlink" Target="https://creativecommons.org/licenses/by-nc/4.0/" TargetMode="External"/><Relationship Id="rId5396" Type="http://schemas.openxmlformats.org/officeDocument/2006/relationships/hyperlink" Target="https://www.inaturalist.org/observations/392637352" TargetMode="External"/><Relationship Id="rId5397" Type="http://schemas.openxmlformats.org/officeDocument/2006/relationships/hyperlink" Target="https://creativecommons.org/licenses/by-nc/4.0/" TargetMode="External"/><Relationship Id="rId5398" Type="http://schemas.openxmlformats.org/officeDocument/2006/relationships/hyperlink" Target="https://www.inaturalist.org/observations/392627957" TargetMode="External"/><Relationship Id="rId5399" Type="http://schemas.openxmlformats.org/officeDocument/2006/relationships/hyperlink" Target="https://creativecommons.org/licenses/by-nc/4.0/" TargetMode="External"/><Relationship Id="rId5400" Type="http://schemas.openxmlformats.org/officeDocument/2006/relationships/hyperlink" Target="https://www.inaturalist.org/observations/392489532" TargetMode="External"/><Relationship Id="rId5401" Type="http://schemas.openxmlformats.org/officeDocument/2006/relationships/hyperlink" Target="https://creativecommons.org/licenses/by-nc/4.0/" TargetMode="External"/><Relationship Id="rId5402" Type="http://schemas.openxmlformats.org/officeDocument/2006/relationships/hyperlink" Target="https://www.inaturalist.org/observations/392486249" TargetMode="External"/><Relationship Id="rId5403" Type="http://schemas.openxmlformats.org/officeDocument/2006/relationships/hyperlink" Target="https://creativecommons.org/licenses/by-nc/4.0/" TargetMode="External"/><Relationship Id="rId5404" Type="http://schemas.openxmlformats.org/officeDocument/2006/relationships/hyperlink" Target="https://www.inaturalist.org/observations/392479902" TargetMode="External"/><Relationship Id="rId5405" Type="http://schemas.openxmlformats.org/officeDocument/2006/relationships/hyperlink" Target="https://creativecommons.org/licenses/by-nc/4.0/" TargetMode="External"/><Relationship Id="rId5406" Type="http://schemas.openxmlformats.org/officeDocument/2006/relationships/hyperlink" Target="https://www.inaturalist.org/observations/392379058" TargetMode="External"/><Relationship Id="rId5407" Type="http://schemas.openxmlformats.org/officeDocument/2006/relationships/hyperlink" Target="https://creativecommons.org/licenses/by-nc/4.0/" TargetMode="External"/><Relationship Id="rId5408" Type="http://schemas.openxmlformats.org/officeDocument/2006/relationships/hyperlink" Target="https://www.inaturalist.org/observations/400585812" TargetMode="External"/><Relationship Id="rId5409" Type="http://schemas.openxmlformats.org/officeDocument/2006/relationships/hyperlink" Target="https://creativecommons.org/licenses/by-nc/4.0/" TargetMode="External"/><Relationship Id="rId5410" Type="http://schemas.openxmlformats.org/officeDocument/2006/relationships/hyperlink" Target="https://www.inaturalist.org/observations/400581867" TargetMode="External"/><Relationship Id="rId5411" Type="http://schemas.openxmlformats.org/officeDocument/2006/relationships/hyperlink" Target="https://creativecommons.org/licenses/by-nc/4.0/" TargetMode="External"/><Relationship Id="rId5412" Type="http://schemas.openxmlformats.org/officeDocument/2006/relationships/hyperlink" Target="https://www.inaturalist.org/observations/400581422" TargetMode="External"/><Relationship Id="rId5413" Type="http://schemas.openxmlformats.org/officeDocument/2006/relationships/hyperlink" Target="https://creativecommons.org/licenses/by-nc/4.0/" TargetMode="External"/><Relationship Id="rId5414" Type="http://schemas.openxmlformats.org/officeDocument/2006/relationships/hyperlink" Target="https://www.inaturalist.org/observations/400581379" TargetMode="External"/><Relationship Id="rId5415" Type="http://schemas.openxmlformats.org/officeDocument/2006/relationships/hyperlink" Target="https://creativecommons.org/licenses/by-nc/4.0/" TargetMode="External"/><Relationship Id="rId5416" Type="http://schemas.openxmlformats.org/officeDocument/2006/relationships/hyperlink" Target="https://www.inaturalist.org/observations/400581080" TargetMode="External"/><Relationship Id="rId5417" Type="http://schemas.openxmlformats.org/officeDocument/2006/relationships/hyperlink" Target="https://creativecommons.org/licenses/by-nc/4.0/" TargetMode="External"/><Relationship Id="rId5418" Type="http://schemas.openxmlformats.org/officeDocument/2006/relationships/hyperlink" Target="https://www.inaturalist.org/observations/400580071" TargetMode="External"/><Relationship Id="rId5419" Type="http://schemas.openxmlformats.org/officeDocument/2006/relationships/hyperlink" Target="https://creativecommons.org/licenses/by-nc/4.0/" TargetMode="External"/><Relationship Id="rId5420" Type="http://schemas.openxmlformats.org/officeDocument/2006/relationships/hyperlink" Target="https://www.inaturalist.org/observations/400579177" TargetMode="External"/><Relationship Id="rId5421" Type="http://schemas.openxmlformats.org/officeDocument/2006/relationships/hyperlink" Target="https://creativecommons.org/licenses/by-nc/4.0/" TargetMode="External"/><Relationship Id="rId5422" Type="http://schemas.openxmlformats.org/officeDocument/2006/relationships/hyperlink" Target="https://www.inaturalist.org/observations/400578407" TargetMode="External"/><Relationship Id="rId5423" Type="http://schemas.openxmlformats.org/officeDocument/2006/relationships/hyperlink" Target="https://creativecommons.org/licenses/by-nc/4.0/" TargetMode="External"/><Relationship Id="rId5424" Type="http://schemas.openxmlformats.org/officeDocument/2006/relationships/hyperlink" Target="https://www.inaturalist.org/observations/400577317" TargetMode="External"/><Relationship Id="rId5425" Type="http://schemas.openxmlformats.org/officeDocument/2006/relationships/hyperlink" Target="https://creativecommons.org/licenses/by-nc/4.0/" TargetMode="External"/><Relationship Id="rId5426" Type="http://schemas.openxmlformats.org/officeDocument/2006/relationships/hyperlink" Target="https://www.inaturalist.org/observations/400576769" TargetMode="External"/><Relationship Id="rId5427" Type="http://schemas.openxmlformats.org/officeDocument/2006/relationships/hyperlink" Target="https://creativecommons.org/licenses/by-nc/4.0/" TargetMode="External"/><Relationship Id="rId5428" Type="http://schemas.openxmlformats.org/officeDocument/2006/relationships/hyperlink" Target="https://www.inaturalist.org/observations/400576321" TargetMode="External"/><Relationship Id="rId5429" Type="http://schemas.openxmlformats.org/officeDocument/2006/relationships/hyperlink" Target="https://creativecommons.org/licenses/by-nc/4.0/" TargetMode="External"/><Relationship Id="rId5430" Type="http://schemas.openxmlformats.org/officeDocument/2006/relationships/hyperlink" Target="https://www.inaturalist.org/observations/400576161" TargetMode="External"/><Relationship Id="rId5431" Type="http://schemas.openxmlformats.org/officeDocument/2006/relationships/hyperlink" Target="https://creativecommons.org/licenses/by-nc/4.0/" TargetMode="External"/><Relationship Id="rId5432" Type="http://schemas.openxmlformats.org/officeDocument/2006/relationships/hyperlink" Target="https://www.inaturalist.org/observations/400576058" TargetMode="External"/><Relationship Id="rId5433" Type="http://schemas.openxmlformats.org/officeDocument/2006/relationships/hyperlink" Target="https://creativecommons.org/licenses/by-nc/4.0/" TargetMode="External"/><Relationship Id="rId5434" Type="http://schemas.openxmlformats.org/officeDocument/2006/relationships/hyperlink" Target="https://www.inaturalist.org/observations/400575520" TargetMode="External"/><Relationship Id="rId5435" Type="http://schemas.openxmlformats.org/officeDocument/2006/relationships/hyperlink" Target="https://creativecommons.org/licenses/by-nc/4.0/" TargetMode="External"/><Relationship Id="rId5436" Type="http://schemas.openxmlformats.org/officeDocument/2006/relationships/hyperlink" Target="https://www.inaturalist.org/observations/400574077" TargetMode="External"/><Relationship Id="rId5437" Type="http://schemas.openxmlformats.org/officeDocument/2006/relationships/hyperlink" Target="https://creativecommons.org/licenses/by-nc/4.0/" TargetMode="External"/><Relationship Id="rId5438" Type="http://schemas.openxmlformats.org/officeDocument/2006/relationships/hyperlink" Target="https://www.inaturalist.org/observations/400573178" TargetMode="External"/><Relationship Id="rId5439" Type="http://schemas.openxmlformats.org/officeDocument/2006/relationships/hyperlink" Target="https://creativecommons.org/licenses/by-nc/4.0/" TargetMode="External"/><Relationship Id="rId5440" Type="http://schemas.openxmlformats.org/officeDocument/2006/relationships/hyperlink" Target="https://www.inaturalist.org/observations/400571140" TargetMode="External"/><Relationship Id="rId5441" Type="http://schemas.openxmlformats.org/officeDocument/2006/relationships/hyperlink" Target="https://creativecommons.org/licenses/by-nc/4.0/" TargetMode="External"/><Relationship Id="rId5442" Type="http://schemas.openxmlformats.org/officeDocument/2006/relationships/hyperlink" Target="https://www.inaturalist.org/observations/400568268" TargetMode="External"/><Relationship Id="rId5443" Type="http://schemas.openxmlformats.org/officeDocument/2006/relationships/hyperlink" Target="https://creativecommons.org/licenses/by-nc/4.0/" TargetMode="External"/><Relationship Id="rId5444" Type="http://schemas.openxmlformats.org/officeDocument/2006/relationships/hyperlink" Target="https://www.inaturalist.org/observations/400568236" TargetMode="External"/><Relationship Id="rId5445" Type="http://schemas.openxmlformats.org/officeDocument/2006/relationships/hyperlink" Target="https://creativecommons.org/licenses/by-nc/4.0/" TargetMode="External"/><Relationship Id="rId5446" Type="http://schemas.openxmlformats.org/officeDocument/2006/relationships/hyperlink" Target="https://www.inaturalist.org/observations/400567703" TargetMode="External"/><Relationship Id="rId5447" Type="http://schemas.openxmlformats.org/officeDocument/2006/relationships/hyperlink" Target="https://creativecommons.org/licenses/by-nc/4.0/" TargetMode="External"/><Relationship Id="rId5448" Type="http://schemas.openxmlformats.org/officeDocument/2006/relationships/hyperlink" Target="https://www.inaturalist.org/observations/400567637" TargetMode="External"/><Relationship Id="rId5449" Type="http://schemas.openxmlformats.org/officeDocument/2006/relationships/hyperlink" Target="https://creativecommons.org/licenses/by-nc/4.0/" TargetMode="External"/><Relationship Id="rId5450" Type="http://schemas.openxmlformats.org/officeDocument/2006/relationships/hyperlink" Target="https://www.inaturalist.org/observations/400566521" TargetMode="External"/><Relationship Id="rId5451" Type="http://schemas.openxmlformats.org/officeDocument/2006/relationships/hyperlink" Target="https://creativecommons.org/licenses/by-nc/4.0/" TargetMode="External"/><Relationship Id="rId5452" Type="http://schemas.openxmlformats.org/officeDocument/2006/relationships/hyperlink" Target="https://www.inaturalist.org/observations/400566509" TargetMode="External"/><Relationship Id="rId5453" Type="http://schemas.openxmlformats.org/officeDocument/2006/relationships/hyperlink" Target="https://creativecommons.org/licenses/by-nc/4.0/" TargetMode="External"/><Relationship Id="rId5454" Type="http://schemas.openxmlformats.org/officeDocument/2006/relationships/hyperlink" Target="https://www.inaturalist.org/observations/400564723" TargetMode="External"/><Relationship Id="rId5455" Type="http://schemas.openxmlformats.org/officeDocument/2006/relationships/hyperlink" Target="https://creativecommons.org/licenses/by-nc/4.0/" TargetMode="External"/><Relationship Id="rId5456" Type="http://schemas.openxmlformats.org/officeDocument/2006/relationships/hyperlink" Target="https://www.inaturalist.org/observations/400563330" TargetMode="External"/><Relationship Id="rId5457" Type="http://schemas.openxmlformats.org/officeDocument/2006/relationships/hyperlink" Target="https://creativecommons.org/licenses/by-nc/4.0/" TargetMode="External"/><Relationship Id="rId5458" Type="http://schemas.openxmlformats.org/officeDocument/2006/relationships/hyperlink" Target="https://www.inaturalist.org/observations/400562853" TargetMode="External"/><Relationship Id="rId5459" Type="http://schemas.openxmlformats.org/officeDocument/2006/relationships/hyperlink" Target="https://creativecommons.org/licenses/by-nc/4.0/" TargetMode="External"/><Relationship Id="rId5460" Type="http://schemas.openxmlformats.org/officeDocument/2006/relationships/hyperlink" Target="https://www.inaturalist.org/observations/400562355" TargetMode="External"/><Relationship Id="rId5461" Type="http://schemas.openxmlformats.org/officeDocument/2006/relationships/hyperlink" Target="https://creativecommons.org/licenses/by-nc/4.0/" TargetMode="External"/><Relationship Id="rId5462" Type="http://schemas.openxmlformats.org/officeDocument/2006/relationships/hyperlink" Target="https://www.inaturalist.org/observations/400562284" TargetMode="External"/><Relationship Id="rId5463" Type="http://schemas.openxmlformats.org/officeDocument/2006/relationships/hyperlink" Target="https://creativecommons.org/licenses/by-nc/4.0/" TargetMode="External"/><Relationship Id="rId5464" Type="http://schemas.openxmlformats.org/officeDocument/2006/relationships/hyperlink" Target="https://www.inaturalist.org/observations/400561625" TargetMode="External"/><Relationship Id="rId5465" Type="http://schemas.openxmlformats.org/officeDocument/2006/relationships/hyperlink" Target="https://creativecommons.org/licenses/by-nc/4.0/" TargetMode="External"/><Relationship Id="rId5466" Type="http://schemas.openxmlformats.org/officeDocument/2006/relationships/hyperlink" Target="https://www.inaturalist.org/observations/400559076" TargetMode="External"/><Relationship Id="rId5467" Type="http://schemas.openxmlformats.org/officeDocument/2006/relationships/hyperlink" Target="https://creativecommons.org/licenses/by-nc/4.0/" TargetMode="External"/><Relationship Id="rId5468" Type="http://schemas.openxmlformats.org/officeDocument/2006/relationships/hyperlink" Target="https://www.inaturalist.org/observations/400558566" TargetMode="External"/><Relationship Id="rId5469" Type="http://schemas.openxmlformats.org/officeDocument/2006/relationships/hyperlink" Target="https://creativecommons.org/licenses/by-nc/4.0/" TargetMode="External"/><Relationship Id="rId5470" Type="http://schemas.openxmlformats.org/officeDocument/2006/relationships/hyperlink" Target="https://www.inaturalist.org/observations/400558044" TargetMode="External"/><Relationship Id="rId5471" Type="http://schemas.openxmlformats.org/officeDocument/2006/relationships/hyperlink" Target="https://creativecommons.org/licenses/by-nc/4.0/" TargetMode="External"/><Relationship Id="rId5472" Type="http://schemas.openxmlformats.org/officeDocument/2006/relationships/hyperlink" Target="https://www.inaturalist.org/observations/400557583" TargetMode="External"/><Relationship Id="rId5473" Type="http://schemas.openxmlformats.org/officeDocument/2006/relationships/hyperlink" Target="https://creativecommons.org/licenses/by-nc/4.0/" TargetMode="External"/><Relationship Id="rId5474" Type="http://schemas.openxmlformats.org/officeDocument/2006/relationships/hyperlink" Target="https://www.inaturalist.org/observations/400554621" TargetMode="External"/><Relationship Id="rId5475" Type="http://schemas.openxmlformats.org/officeDocument/2006/relationships/hyperlink" Target="https://creativecommons.org/licenses/by-nc/4.0/" TargetMode="External"/><Relationship Id="rId5476" Type="http://schemas.openxmlformats.org/officeDocument/2006/relationships/hyperlink" Target="https://www.inaturalist.org/observations/400554078" TargetMode="External"/><Relationship Id="rId5477" Type="http://schemas.openxmlformats.org/officeDocument/2006/relationships/hyperlink" Target="https://creativecommons.org/licenses/by-nc/4.0/" TargetMode="External"/><Relationship Id="rId5478" Type="http://schemas.openxmlformats.org/officeDocument/2006/relationships/hyperlink" Target="https://www.inaturalist.org/observations/400553335" TargetMode="External"/><Relationship Id="rId5479" Type="http://schemas.openxmlformats.org/officeDocument/2006/relationships/hyperlink" Target="https://creativecommons.org/licenses/by-nc/4.0/" TargetMode="External"/><Relationship Id="rId5480" Type="http://schemas.openxmlformats.org/officeDocument/2006/relationships/hyperlink" Target="https://www.inaturalist.org/observations/400553054" TargetMode="External"/><Relationship Id="rId5481" Type="http://schemas.openxmlformats.org/officeDocument/2006/relationships/hyperlink" Target="https://creativecommons.org/licenses/by-nc/4.0/" TargetMode="External"/><Relationship Id="rId5482" Type="http://schemas.openxmlformats.org/officeDocument/2006/relationships/hyperlink" Target="https://www.inaturalist.org/observations/400552507" TargetMode="External"/><Relationship Id="rId5483" Type="http://schemas.openxmlformats.org/officeDocument/2006/relationships/hyperlink" Target="https://creativecommons.org/licenses/by-nc/4.0/" TargetMode="External"/><Relationship Id="rId5484" Type="http://schemas.openxmlformats.org/officeDocument/2006/relationships/hyperlink" Target="https://www.inaturalist.org/observations/400550948" TargetMode="External"/><Relationship Id="rId5485" Type="http://schemas.openxmlformats.org/officeDocument/2006/relationships/hyperlink" Target="https://creativecommons.org/licenses/by-nc/4.0/" TargetMode="External"/><Relationship Id="rId5486" Type="http://schemas.openxmlformats.org/officeDocument/2006/relationships/hyperlink" Target="https://www.inaturalist.org/observations/400549988" TargetMode="External"/><Relationship Id="rId5487" Type="http://schemas.openxmlformats.org/officeDocument/2006/relationships/hyperlink" Target="https://creativecommons.org/licenses/by-nc/4.0/" TargetMode="External"/><Relationship Id="rId5488" Type="http://schemas.openxmlformats.org/officeDocument/2006/relationships/hyperlink" Target="https://www.inaturalist.org/observations/400549658" TargetMode="External"/><Relationship Id="rId5489" Type="http://schemas.openxmlformats.org/officeDocument/2006/relationships/hyperlink" Target="https://creativecommons.org/licenses/by-nc/4.0/" TargetMode="External"/><Relationship Id="rId5490" Type="http://schemas.openxmlformats.org/officeDocument/2006/relationships/hyperlink" Target="https://www.inaturalist.org/observations/400545071" TargetMode="External"/><Relationship Id="rId5491" Type="http://schemas.openxmlformats.org/officeDocument/2006/relationships/hyperlink" Target="https://creativecommons.org/licenses/by-nc/4.0/" TargetMode="External"/><Relationship Id="rId5492" Type="http://schemas.openxmlformats.org/officeDocument/2006/relationships/hyperlink" Target="https://www.inaturalist.org/observations/400540475" TargetMode="External"/><Relationship Id="rId5493" Type="http://schemas.openxmlformats.org/officeDocument/2006/relationships/hyperlink" Target="https://creativecommons.org/licenses/by-nc/4.0/" TargetMode="External"/><Relationship Id="rId5494" Type="http://schemas.openxmlformats.org/officeDocument/2006/relationships/hyperlink" Target="https://www.inaturalist.org/observations/400539636" TargetMode="External"/><Relationship Id="rId5495" Type="http://schemas.openxmlformats.org/officeDocument/2006/relationships/hyperlink" Target="https://creativecommons.org/licenses/by-nc/4.0/" TargetMode="External"/><Relationship Id="rId5496" Type="http://schemas.openxmlformats.org/officeDocument/2006/relationships/hyperlink" Target="https://www.inaturalist.org/observations/400539243" TargetMode="External"/><Relationship Id="rId5497" Type="http://schemas.openxmlformats.org/officeDocument/2006/relationships/hyperlink" Target="https://creativecommons.org/licenses/by-nc/4.0/" TargetMode="External"/><Relationship Id="rId5498" Type="http://schemas.openxmlformats.org/officeDocument/2006/relationships/hyperlink" Target="https://www.inaturalist.org/observations/400538821" TargetMode="External"/><Relationship Id="rId5499" Type="http://schemas.openxmlformats.org/officeDocument/2006/relationships/hyperlink" Target="https://creativecommons.org/licenses/by-nc/4.0/" TargetMode="External"/><Relationship Id="rId5500" Type="http://schemas.openxmlformats.org/officeDocument/2006/relationships/hyperlink" Target="https://www.inaturalist.org/observations/400538154" TargetMode="External"/><Relationship Id="rId5501" Type="http://schemas.openxmlformats.org/officeDocument/2006/relationships/hyperlink" Target="https://creativecommons.org/licenses/by-nc/4.0/" TargetMode="External"/><Relationship Id="rId5502" Type="http://schemas.openxmlformats.org/officeDocument/2006/relationships/hyperlink" Target="https://www.inaturalist.org/observations/400537859" TargetMode="External"/><Relationship Id="rId5503" Type="http://schemas.openxmlformats.org/officeDocument/2006/relationships/hyperlink" Target="https://creativecommons.org/licenses/by-nc/4.0/" TargetMode="External"/><Relationship Id="rId5504" Type="http://schemas.openxmlformats.org/officeDocument/2006/relationships/hyperlink" Target="https://www.inaturalist.org/observations/400527078" TargetMode="External"/><Relationship Id="rId5505" Type="http://schemas.openxmlformats.org/officeDocument/2006/relationships/hyperlink" Target="https://creativecommons.org/licenses/by-nc/4.0/" TargetMode="External"/><Relationship Id="rId5506" Type="http://schemas.openxmlformats.org/officeDocument/2006/relationships/hyperlink" Target="https://www.inaturalist.org/observations/400524882" TargetMode="External"/><Relationship Id="rId5507" Type="http://schemas.openxmlformats.org/officeDocument/2006/relationships/hyperlink" Target="https://creativecommons.org/licenses/by-nc/4.0/" TargetMode="External"/><Relationship Id="rId5508" Type="http://schemas.openxmlformats.org/officeDocument/2006/relationships/hyperlink" Target="https://www.inaturalist.org/observations/400523659" TargetMode="External"/><Relationship Id="rId5509" Type="http://schemas.openxmlformats.org/officeDocument/2006/relationships/hyperlink" Target="https://creativecommons.org/licenses/by-nc/4.0/" TargetMode="External"/><Relationship Id="rId5510" Type="http://schemas.openxmlformats.org/officeDocument/2006/relationships/hyperlink" Target="https://www.inaturalist.org/observations/400522849" TargetMode="External"/><Relationship Id="rId5511" Type="http://schemas.openxmlformats.org/officeDocument/2006/relationships/hyperlink" Target="https://creativecommons.org/licenses/by-nc/4.0/" TargetMode="External"/><Relationship Id="rId5512" Type="http://schemas.openxmlformats.org/officeDocument/2006/relationships/hyperlink" Target="https://www.inaturalist.org/observations/400521674" TargetMode="External"/><Relationship Id="rId5513" Type="http://schemas.openxmlformats.org/officeDocument/2006/relationships/hyperlink" Target="https://creativecommons.org/licenses/by-nc/4.0/" TargetMode="External"/><Relationship Id="rId5514" Type="http://schemas.openxmlformats.org/officeDocument/2006/relationships/hyperlink" Target="https://www.inaturalist.org/observations/400517972" TargetMode="External"/><Relationship Id="rId5515" Type="http://schemas.openxmlformats.org/officeDocument/2006/relationships/hyperlink" Target="https://creativecommons.org/licenses/by-nc/4.0/" TargetMode="External"/><Relationship Id="rId5516" Type="http://schemas.openxmlformats.org/officeDocument/2006/relationships/hyperlink" Target="https://www.inaturalist.org/observations/400517701" TargetMode="External"/><Relationship Id="rId5517" Type="http://schemas.openxmlformats.org/officeDocument/2006/relationships/hyperlink" Target="https://creativecommons.org/licenses/by-nc/4.0/" TargetMode="External"/><Relationship Id="rId5518" Type="http://schemas.openxmlformats.org/officeDocument/2006/relationships/hyperlink" Target="https://www.inaturalist.org/observations/400516987" TargetMode="External"/><Relationship Id="rId5519" Type="http://schemas.openxmlformats.org/officeDocument/2006/relationships/hyperlink" Target="https://creativecommons.org/licenses/by-nc/4.0/" TargetMode="External"/><Relationship Id="rId5520" Type="http://schemas.openxmlformats.org/officeDocument/2006/relationships/hyperlink" Target="https://www.inaturalist.org/observations/400515951" TargetMode="External"/><Relationship Id="rId5521" Type="http://schemas.openxmlformats.org/officeDocument/2006/relationships/hyperlink" Target="https://creativecommons.org/licenses/by-nc/4.0/" TargetMode="External"/><Relationship Id="rId5522" Type="http://schemas.openxmlformats.org/officeDocument/2006/relationships/hyperlink" Target="https://www.inaturalist.org/observations/400515482" TargetMode="External"/><Relationship Id="rId5523" Type="http://schemas.openxmlformats.org/officeDocument/2006/relationships/hyperlink" Target="https://creativecommons.org/licenses/by-nc/4.0/" TargetMode="External"/><Relationship Id="rId5524" Type="http://schemas.openxmlformats.org/officeDocument/2006/relationships/hyperlink" Target="https://www.inaturalist.org/observations/400515335" TargetMode="External"/><Relationship Id="rId5525" Type="http://schemas.openxmlformats.org/officeDocument/2006/relationships/hyperlink" Target="https://creativecommons.org/licenses/by-nc/4.0/" TargetMode="External"/><Relationship Id="rId5526" Type="http://schemas.openxmlformats.org/officeDocument/2006/relationships/hyperlink" Target="https://www.inaturalist.org/observations/400513892" TargetMode="External"/><Relationship Id="rId5527" Type="http://schemas.openxmlformats.org/officeDocument/2006/relationships/hyperlink" Target="https://creativecommons.org/licenses/by-nc/4.0/" TargetMode="External"/><Relationship Id="rId5528" Type="http://schemas.openxmlformats.org/officeDocument/2006/relationships/hyperlink" Target="https://www.inaturalist.org/observations/400513800" TargetMode="External"/><Relationship Id="rId5529" Type="http://schemas.openxmlformats.org/officeDocument/2006/relationships/hyperlink" Target="https://creativecommons.org/licenses/by-nc/4.0/" TargetMode="External"/><Relationship Id="rId5530" Type="http://schemas.openxmlformats.org/officeDocument/2006/relationships/hyperlink" Target="https://www.inaturalist.org/observations/400513495" TargetMode="External"/><Relationship Id="rId5531" Type="http://schemas.openxmlformats.org/officeDocument/2006/relationships/hyperlink" Target="https://creativecommons.org/licenses/by-nc/4.0/" TargetMode="External"/><Relationship Id="rId5532" Type="http://schemas.openxmlformats.org/officeDocument/2006/relationships/hyperlink" Target="https://www.inaturalist.org/observations/400512851" TargetMode="External"/><Relationship Id="rId5533" Type="http://schemas.openxmlformats.org/officeDocument/2006/relationships/hyperlink" Target="https://creativecommons.org/licenses/by-nc/4.0/" TargetMode="External"/><Relationship Id="rId5534" Type="http://schemas.openxmlformats.org/officeDocument/2006/relationships/hyperlink" Target="https://www.inaturalist.org/observations/400510761" TargetMode="External"/><Relationship Id="rId5535" Type="http://schemas.openxmlformats.org/officeDocument/2006/relationships/hyperlink" Target="https://creativecommons.org/licenses/by-nc/4.0/" TargetMode="External"/><Relationship Id="rId5536" Type="http://schemas.openxmlformats.org/officeDocument/2006/relationships/hyperlink" Target="https://www.inaturalist.org/observations/400509905" TargetMode="External"/><Relationship Id="rId5537" Type="http://schemas.openxmlformats.org/officeDocument/2006/relationships/hyperlink" Target="https://creativecommons.org/licenses/by-nc/4.0/" TargetMode="External"/><Relationship Id="rId5538" Type="http://schemas.openxmlformats.org/officeDocument/2006/relationships/hyperlink" Target="https://www.inaturalist.org/observations/400509837" TargetMode="External"/><Relationship Id="rId5539" Type="http://schemas.openxmlformats.org/officeDocument/2006/relationships/hyperlink" Target="https://creativecommons.org/licenses/by-nc/4.0/" TargetMode="External"/><Relationship Id="rId5540" Type="http://schemas.openxmlformats.org/officeDocument/2006/relationships/hyperlink" Target="https://www.inaturalist.org/observations/400508565" TargetMode="External"/><Relationship Id="rId5541" Type="http://schemas.openxmlformats.org/officeDocument/2006/relationships/hyperlink" Target="https://creativecommons.org/licenses/by-nc/4.0/" TargetMode="External"/><Relationship Id="rId5542" Type="http://schemas.openxmlformats.org/officeDocument/2006/relationships/hyperlink" Target="https://www.inaturalist.org/observations/400508234" TargetMode="External"/><Relationship Id="rId5543" Type="http://schemas.openxmlformats.org/officeDocument/2006/relationships/hyperlink" Target="https://creativecommons.org/licenses/by-nc/4.0/" TargetMode="External"/><Relationship Id="rId5544" Type="http://schemas.openxmlformats.org/officeDocument/2006/relationships/hyperlink" Target="https://www.inaturalist.org/observations/400507842" TargetMode="External"/><Relationship Id="rId5545" Type="http://schemas.openxmlformats.org/officeDocument/2006/relationships/hyperlink" Target="https://creativecommons.org/licenses/by-nc/4.0/" TargetMode="External"/><Relationship Id="rId5546" Type="http://schemas.openxmlformats.org/officeDocument/2006/relationships/hyperlink" Target="https://www.inaturalist.org/observations/400507392" TargetMode="External"/><Relationship Id="rId5547" Type="http://schemas.openxmlformats.org/officeDocument/2006/relationships/hyperlink" Target="https://creativecommons.org/licenses/by-nc/4.0/" TargetMode="External"/><Relationship Id="rId5548" Type="http://schemas.openxmlformats.org/officeDocument/2006/relationships/hyperlink" Target="https://www.inaturalist.org/observations/400506577" TargetMode="External"/><Relationship Id="rId5549" Type="http://schemas.openxmlformats.org/officeDocument/2006/relationships/hyperlink" Target="https://creativecommons.org/licenses/by-nc/4.0/" TargetMode="External"/><Relationship Id="rId5550" Type="http://schemas.openxmlformats.org/officeDocument/2006/relationships/hyperlink" Target="https://www.inaturalist.org/observations/400505805" TargetMode="External"/><Relationship Id="rId5551" Type="http://schemas.openxmlformats.org/officeDocument/2006/relationships/hyperlink" Target="https://creativecommons.org/licenses/by-nc/4.0/" TargetMode="External"/><Relationship Id="rId5552" Type="http://schemas.openxmlformats.org/officeDocument/2006/relationships/hyperlink" Target="https://www.inaturalist.org/observations/400505711" TargetMode="External"/><Relationship Id="rId5553" Type="http://schemas.openxmlformats.org/officeDocument/2006/relationships/hyperlink" Target="https://creativecommons.org/licenses/by-nc/4.0/" TargetMode="External"/><Relationship Id="rId5554" Type="http://schemas.openxmlformats.org/officeDocument/2006/relationships/hyperlink" Target="https://www.inaturalist.org/observations/400505108" TargetMode="External"/><Relationship Id="rId5555" Type="http://schemas.openxmlformats.org/officeDocument/2006/relationships/hyperlink" Target="https://creativecommons.org/licenses/by-nc/4.0/" TargetMode="External"/><Relationship Id="rId5556" Type="http://schemas.openxmlformats.org/officeDocument/2006/relationships/hyperlink" Target="https://www.inaturalist.org/observations/400503889" TargetMode="External"/><Relationship Id="rId5557" Type="http://schemas.openxmlformats.org/officeDocument/2006/relationships/hyperlink" Target="https://creativecommons.org/licenses/by-nc/4.0/" TargetMode="External"/><Relationship Id="rId5558" Type="http://schemas.openxmlformats.org/officeDocument/2006/relationships/hyperlink" Target="https://www.inaturalist.org/observations/400503780" TargetMode="External"/><Relationship Id="rId5559" Type="http://schemas.openxmlformats.org/officeDocument/2006/relationships/hyperlink" Target="https://creativecommons.org/licenses/by-nc/4.0/" TargetMode="External"/><Relationship Id="rId5560" Type="http://schemas.openxmlformats.org/officeDocument/2006/relationships/hyperlink" Target="https://www.inaturalist.org/observations/400503296" TargetMode="External"/><Relationship Id="rId5561" Type="http://schemas.openxmlformats.org/officeDocument/2006/relationships/hyperlink" Target="https://creativecommons.org/licenses/by-nc/4.0/" TargetMode="External"/><Relationship Id="rId5562" Type="http://schemas.openxmlformats.org/officeDocument/2006/relationships/hyperlink" Target="https://www.inaturalist.org/observations/400502002" TargetMode="External"/><Relationship Id="rId5563" Type="http://schemas.openxmlformats.org/officeDocument/2006/relationships/hyperlink" Target="https://creativecommons.org/licenses/by-nc/4.0/" TargetMode="External"/><Relationship Id="rId5564" Type="http://schemas.openxmlformats.org/officeDocument/2006/relationships/hyperlink" Target="https://www.inaturalist.org/observations/400501065" TargetMode="External"/><Relationship Id="rId5565" Type="http://schemas.openxmlformats.org/officeDocument/2006/relationships/hyperlink" Target="https://creativecommons.org/licenses/by-nc/4.0/" TargetMode="External"/><Relationship Id="rId5566" Type="http://schemas.openxmlformats.org/officeDocument/2006/relationships/hyperlink" Target="https://www.inaturalist.org/observations/400499349" TargetMode="External"/><Relationship Id="rId5567" Type="http://schemas.openxmlformats.org/officeDocument/2006/relationships/hyperlink" Target="https://creativecommons.org/licenses/by-nc/4.0/" TargetMode="External"/><Relationship Id="rId5568" Type="http://schemas.openxmlformats.org/officeDocument/2006/relationships/hyperlink" Target="https://www.inaturalist.org/observations/400496719" TargetMode="External"/><Relationship Id="rId5569" Type="http://schemas.openxmlformats.org/officeDocument/2006/relationships/hyperlink" Target="https://creativecommons.org/licenses/by-nc/4.0/" TargetMode="External"/><Relationship Id="rId5570" Type="http://schemas.openxmlformats.org/officeDocument/2006/relationships/hyperlink" Target="https://www.inaturalist.org/observations/400496694" TargetMode="External"/><Relationship Id="rId5571" Type="http://schemas.openxmlformats.org/officeDocument/2006/relationships/hyperlink" Target="https://creativecommons.org/licenses/by-nc/4.0/" TargetMode="External"/><Relationship Id="rId5572" Type="http://schemas.openxmlformats.org/officeDocument/2006/relationships/hyperlink" Target="https://www.inaturalist.org/observations/400496681" TargetMode="External"/><Relationship Id="rId5573" Type="http://schemas.openxmlformats.org/officeDocument/2006/relationships/hyperlink" Target="https://creativecommons.org/licenses/by-nc/4.0/" TargetMode="External"/><Relationship Id="rId5574" Type="http://schemas.openxmlformats.org/officeDocument/2006/relationships/hyperlink" Target="https://www.inaturalist.org/observations/400495553" TargetMode="External"/><Relationship Id="rId5575" Type="http://schemas.openxmlformats.org/officeDocument/2006/relationships/hyperlink" Target="https://creativecommons.org/licenses/by-nc/4.0/" TargetMode="External"/><Relationship Id="rId5576" Type="http://schemas.openxmlformats.org/officeDocument/2006/relationships/hyperlink" Target="https://www.inaturalist.org/observations/400494667" TargetMode="External"/><Relationship Id="rId5577" Type="http://schemas.openxmlformats.org/officeDocument/2006/relationships/hyperlink" Target="https://creativecommons.org/licenses/by-nc/4.0/" TargetMode="External"/><Relationship Id="rId5578" Type="http://schemas.openxmlformats.org/officeDocument/2006/relationships/hyperlink" Target="https://www.inaturalist.org/observations/400493854" TargetMode="External"/><Relationship Id="rId5579" Type="http://schemas.openxmlformats.org/officeDocument/2006/relationships/hyperlink" Target="https://creativecommons.org/licenses/by-nc/4.0/" TargetMode="External"/><Relationship Id="rId5580" Type="http://schemas.openxmlformats.org/officeDocument/2006/relationships/hyperlink" Target="https://www.inaturalist.org/observations/400492746" TargetMode="External"/><Relationship Id="rId5581" Type="http://schemas.openxmlformats.org/officeDocument/2006/relationships/hyperlink" Target="https://creativecommons.org/licenses/by-nc/4.0/" TargetMode="External"/><Relationship Id="rId5582" Type="http://schemas.openxmlformats.org/officeDocument/2006/relationships/hyperlink" Target="https://www.inaturalist.org/observations/400492625" TargetMode="External"/><Relationship Id="rId5583" Type="http://schemas.openxmlformats.org/officeDocument/2006/relationships/hyperlink" Target="https://creativecommons.org/licenses/by-nc/4.0/" TargetMode="External"/><Relationship Id="rId5584" Type="http://schemas.openxmlformats.org/officeDocument/2006/relationships/hyperlink" Target="https://www.inaturalist.org/observations/400492443" TargetMode="External"/><Relationship Id="rId5585" Type="http://schemas.openxmlformats.org/officeDocument/2006/relationships/hyperlink" Target="https://creativecommons.org/licenses/by-nc/4.0/" TargetMode="External"/><Relationship Id="rId5586" Type="http://schemas.openxmlformats.org/officeDocument/2006/relationships/hyperlink" Target="https://www.inaturalist.org/observations/400490878" TargetMode="External"/><Relationship Id="rId5587" Type="http://schemas.openxmlformats.org/officeDocument/2006/relationships/hyperlink" Target="https://creativecommons.org/licenses/by-nc/4.0/" TargetMode="External"/><Relationship Id="rId5588" Type="http://schemas.openxmlformats.org/officeDocument/2006/relationships/hyperlink" Target="https://www.inaturalist.org/observations/400490413" TargetMode="External"/><Relationship Id="rId5589" Type="http://schemas.openxmlformats.org/officeDocument/2006/relationships/hyperlink" Target="https://creativecommons.org/licenses/by-nc/4.0/" TargetMode="External"/><Relationship Id="rId5590" Type="http://schemas.openxmlformats.org/officeDocument/2006/relationships/hyperlink" Target="https://www.inaturalist.org/observations/400486959" TargetMode="External"/><Relationship Id="rId5591" Type="http://schemas.openxmlformats.org/officeDocument/2006/relationships/hyperlink" Target="https://creativecommons.org/licenses/by-nc/4.0/" TargetMode="External"/><Relationship Id="rId5592" Type="http://schemas.openxmlformats.org/officeDocument/2006/relationships/hyperlink" Target="https://www.inaturalist.org/observations/400486446" TargetMode="External"/><Relationship Id="rId5593" Type="http://schemas.openxmlformats.org/officeDocument/2006/relationships/hyperlink" Target="https://creativecommons.org/licenses/by-nc/4.0/" TargetMode="External"/><Relationship Id="rId5594" Type="http://schemas.openxmlformats.org/officeDocument/2006/relationships/hyperlink" Target="https://www.inaturalist.org/observations/400486308" TargetMode="External"/><Relationship Id="rId5595" Type="http://schemas.openxmlformats.org/officeDocument/2006/relationships/hyperlink" Target="https://creativecommons.org/licenses/by-nc/4.0/" TargetMode="External"/><Relationship Id="rId5596" Type="http://schemas.openxmlformats.org/officeDocument/2006/relationships/hyperlink" Target="https://www.inaturalist.org/observations/400485161" TargetMode="External"/><Relationship Id="rId5597" Type="http://schemas.openxmlformats.org/officeDocument/2006/relationships/hyperlink" Target="https://creativecommons.org/licenses/by-nc/4.0/" TargetMode="External"/><Relationship Id="rId5598" Type="http://schemas.openxmlformats.org/officeDocument/2006/relationships/hyperlink" Target="https://www.inaturalist.org/observations/400484959" TargetMode="External"/><Relationship Id="rId5599" Type="http://schemas.openxmlformats.org/officeDocument/2006/relationships/hyperlink" Target="https://creativecommons.org/licenses/by-nc/4.0/" TargetMode="External"/><Relationship Id="rId5600" Type="http://schemas.openxmlformats.org/officeDocument/2006/relationships/hyperlink" Target="https://www.inaturalist.org/observations/400484814" TargetMode="External"/><Relationship Id="rId5601" Type="http://schemas.openxmlformats.org/officeDocument/2006/relationships/hyperlink" Target="https://creativecommons.org/licenses/by-nc/4.0/" TargetMode="External"/><Relationship Id="rId5602" Type="http://schemas.openxmlformats.org/officeDocument/2006/relationships/hyperlink" Target="https://www.inaturalist.org/observations/400484305" TargetMode="External"/><Relationship Id="rId5603" Type="http://schemas.openxmlformats.org/officeDocument/2006/relationships/hyperlink" Target="https://creativecommons.org/licenses/by-nc/4.0/" TargetMode="External"/><Relationship Id="rId5604" Type="http://schemas.openxmlformats.org/officeDocument/2006/relationships/hyperlink" Target="https://www.inaturalist.org/observations/400477479" TargetMode="External"/><Relationship Id="rId5605" Type="http://schemas.openxmlformats.org/officeDocument/2006/relationships/hyperlink" Target="https://creativecommons.org/licenses/by-nc/4.0/" TargetMode="External"/><Relationship Id="rId5606" Type="http://schemas.openxmlformats.org/officeDocument/2006/relationships/hyperlink" Target="https://www.inaturalist.org/observations/400477309" TargetMode="External"/><Relationship Id="rId5607" Type="http://schemas.openxmlformats.org/officeDocument/2006/relationships/hyperlink" Target="https://creativecommons.org/licenses/by-nc/4.0/" TargetMode="External"/><Relationship Id="rId5608" Type="http://schemas.openxmlformats.org/officeDocument/2006/relationships/hyperlink" Target="https://www.inaturalist.org/observations/400475493" TargetMode="External"/><Relationship Id="rId5609" Type="http://schemas.openxmlformats.org/officeDocument/2006/relationships/hyperlink" Target="https://creativecommons.org/licenses/by-nc/4.0/" TargetMode="External"/><Relationship Id="rId5610" Type="http://schemas.openxmlformats.org/officeDocument/2006/relationships/hyperlink" Target="https://www.inaturalist.org/observations/400475308" TargetMode="External"/><Relationship Id="rId5611" Type="http://schemas.openxmlformats.org/officeDocument/2006/relationships/hyperlink" Target="https://creativecommons.org/licenses/by-nc/4.0/" TargetMode="External"/><Relationship Id="rId5612" Type="http://schemas.openxmlformats.org/officeDocument/2006/relationships/hyperlink" Target="https://www.inaturalist.org/observations/400474308" TargetMode="External"/><Relationship Id="rId5613" Type="http://schemas.openxmlformats.org/officeDocument/2006/relationships/hyperlink" Target="https://creativecommons.org/licenses/by-nc/4.0/" TargetMode="External"/><Relationship Id="rId5614" Type="http://schemas.openxmlformats.org/officeDocument/2006/relationships/hyperlink" Target="https://www.inaturalist.org/observations/400473593" TargetMode="External"/><Relationship Id="rId5615" Type="http://schemas.openxmlformats.org/officeDocument/2006/relationships/hyperlink" Target="https://creativecommons.org/licenses/by-nc/4.0/" TargetMode="External"/><Relationship Id="rId5616" Type="http://schemas.openxmlformats.org/officeDocument/2006/relationships/hyperlink" Target="https://www.inaturalist.org/observations/400472669" TargetMode="External"/><Relationship Id="rId5617" Type="http://schemas.openxmlformats.org/officeDocument/2006/relationships/hyperlink" Target="https://creativecommons.org/licenses/by-nc/4.0/" TargetMode="External"/><Relationship Id="rId5618" Type="http://schemas.openxmlformats.org/officeDocument/2006/relationships/hyperlink" Target="https://www.inaturalist.org/observations/400471248" TargetMode="External"/><Relationship Id="rId5619" Type="http://schemas.openxmlformats.org/officeDocument/2006/relationships/hyperlink" Target="https://creativecommons.org/licenses/by-nc/4.0/" TargetMode="External"/><Relationship Id="rId5620" Type="http://schemas.openxmlformats.org/officeDocument/2006/relationships/hyperlink" Target="https://www.inaturalist.org/observations/400469907" TargetMode="External"/><Relationship Id="rId5621" Type="http://schemas.openxmlformats.org/officeDocument/2006/relationships/hyperlink" Target="https://creativecommons.org/licenses/by-nc/4.0/" TargetMode="External"/><Relationship Id="rId5622" Type="http://schemas.openxmlformats.org/officeDocument/2006/relationships/hyperlink" Target="https://www.inaturalist.org/observations/400469847" TargetMode="External"/><Relationship Id="rId5623" Type="http://schemas.openxmlformats.org/officeDocument/2006/relationships/hyperlink" Target="https://creativecommons.org/licenses/by-nc/4.0/" TargetMode="External"/><Relationship Id="rId5624" Type="http://schemas.openxmlformats.org/officeDocument/2006/relationships/hyperlink" Target="https://www.inaturalist.org/observations/400469753" TargetMode="External"/><Relationship Id="rId5625" Type="http://schemas.openxmlformats.org/officeDocument/2006/relationships/hyperlink" Target="https://creativecommons.org/licenses/by-nc/4.0/" TargetMode="External"/><Relationship Id="rId5626" Type="http://schemas.openxmlformats.org/officeDocument/2006/relationships/hyperlink" Target="https://www.inaturalist.org/observations/400469649" TargetMode="External"/><Relationship Id="rId5627" Type="http://schemas.openxmlformats.org/officeDocument/2006/relationships/hyperlink" Target="https://creativecommons.org/licenses/by-nc/4.0/" TargetMode="External"/><Relationship Id="rId5628" Type="http://schemas.openxmlformats.org/officeDocument/2006/relationships/hyperlink" Target="https://www.inaturalist.org/observations/400469567" TargetMode="External"/><Relationship Id="rId5629" Type="http://schemas.openxmlformats.org/officeDocument/2006/relationships/hyperlink" Target="https://creativecommons.org/licenses/by-nc/4.0/" TargetMode="External"/><Relationship Id="rId5630" Type="http://schemas.openxmlformats.org/officeDocument/2006/relationships/hyperlink" Target="https://www.inaturalist.org/observations/400469185" TargetMode="External"/><Relationship Id="rId5631" Type="http://schemas.openxmlformats.org/officeDocument/2006/relationships/hyperlink" Target="https://creativecommons.org/licenses/by-nc/4.0/" TargetMode="External"/><Relationship Id="rId5632" Type="http://schemas.openxmlformats.org/officeDocument/2006/relationships/hyperlink" Target="https://www.inaturalist.org/observations/400465088" TargetMode="External"/><Relationship Id="rId5633" Type="http://schemas.openxmlformats.org/officeDocument/2006/relationships/hyperlink" Target="https://creativecommons.org/licenses/by-nc/4.0/" TargetMode="External"/><Relationship Id="rId5634" Type="http://schemas.openxmlformats.org/officeDocument/2006/relationships/hyperlink" Target="https://www.inaturalist.org/observations/400464152" TargetMode="External"/><Relationship Id="rId5635" Type="http://schemas.openxmlformats.org/officeDocument/2006/relationships/hyperlink" Target="https://creativecommons.org/licenses/by-nc/4.0/" TargetMode="External"/><Relationship Id="rId5636" Type="http://schemas.openxmlformats.org/officeDocument/2006/relationships/hyperlink" Target="https://www.inaturalist.org/observations/400463925" TargetMode="External"/><Relationship Id="rId5637" Type="http://schemas.openxmlformats.org/officeDocument/2006/relationships/hyperlink" Target="https://creativecommons.org/licenses/by-nc/4.0/" TargetMode="External"/><Relationship Id="rId5638" Type="http://schemas.openxmlformats.org/officeDocument/2006/relationships/hyperlink" Target="https://www.inaturalist.org/observations/400463213" TargetMode="External"/><Relationship Id="rId5639" Type="http://schemas.openxmlformats.org/officeDocument/2006/relationships/hyperlink" Target="https://creativecommons.org/licenses/by-nc/4.0/" TargetMode="External"/><Relationship Id="rId5640" Type="http://schemas.openxmlformats.org/officeDocument/2006/relationships/hyperlink" Target="https://www.inaturalist.org/observations/400463143" TargetMode="External"/><Relationship Id="rId5641" Type="http://schemas.openxmlformats.org/officeDocument/2006/relationships/hyperlink" Target="https://creativecommons.org/licenses/by-nc/4.0/" TargetMode="External"/><Relationship Id="rId5642" Type="http://schemas.openxmlformats.org/officeDocument/2006/relationships/hyperlink" Target="https://www.inaturalist.org/observations/400463108" TargetMode="External"/><Relationship Id="rId5643" Type="http://schemas.openxmlformats.org/officeDocument/2006/relationships/hyperlink" Target="https://creativecommons.org/licenses/by-nc/4.0/" TargetMode="External"/><Relationship Id="rId5644" Type="http://schemas.openxmlformats.org/officeDocument/2006/relationships/hyperlink" Target="https://www.inaturalist.org/observations/400463007" TargetMode="External"/><Relationship Id="rId5645" Type="http://schemas.openxmlformats.org/officeDocument/2006/relationships/hyperlink" Target="https://creativecommons.org/licenses/by-nc/4.0/" TargetMode="External"/><Relationship Id="rId5646" Type="http://schemas.openxmlformats.org/officeDocument/2006/relationships/hyperlink" Target="https://www.inaturalist.org/observations/400462575" TargetMode="External"/><Relationship Id="rId5647" Type="http://schemas.openxmlformats.org/officeDocument/2006/relationships/hyperlink" Target="https://creativecommons.org/licenses/by-nc/4.0/" TargetMode="External"/><Relationship Id="rId5648" Type="http://schemas.openxmlformats.org/officeDocument/2006/relationships/hyperlink" Target="https://www.inaturalist.org/observations/400462042" TargetMode="External"/><Relationship Id="rId5649" Type="http://schemas.openxmlformats.org/officeDocument/2006/relationships/hyperlink" Target="https://creativecommons.org/licenses/by-nc/4.0/" TargetMode="External"/><Relationship Id="rId5650" Type="http://schemas.openxmlformats.org/officeDocument/2006/relationships/hyperlink" Target="https://www.inaturalist.org/observations/400461112" TargetMode="External"/><Relationship Id="rId5651" Type="http://schemas.openxmlformats.org/officeDocument/2006/relationships/hyperlink" Target="https://creativecommons.org/licenses/by-nc/4.0/" TargetMode="External"/><Relationship Id="rId5652" Type="http://schemas.openxmlformats.org/officeDocument/2006/relationships/hyperlink" Target="https://www.inaturalist.org/observations/400460742" TargetMode="External"/><Relationship Id="rId5653" Type="http://schemas.openxmlformats.org/officeDocument/2006/relationships/hyperlink" Target="https://creativecommons.org/licenses/by-nc/4.0/" TargetMode="External"/><Relationship Id="rId5654" Type="http://schemas.openxmlformats.org/officeDocument/2006/relationships/hyperlink" Target="https://www.inaturalist.org/observations/400460652" TargetMode="External"/><Relationship Id="rId5655" Type="http://schemas.openxmlformats.org/officeDocument/2006/relationships/hyperlink" Target="https://creativecommons.org/licenses/by-nc/4.0/" TargetMode="External"/><Relationship Id="rId5656" Type="http://schemas.openxmlformats.org/officeDocument/2006/relationships/hyperlink" Target="https://www.inaturalist.org/observations/400460587" TargetMode="External"/><Relationship Id="rId5657" Type="http://schemas.openxmlformats.org/officeDocument/2006/relationships/hyperlink" Target="https://creativecommons.org/licenses/by-nc/4.0/" TargetMode="External"/><Relationship Id="rId5658" Type="http://schemas.openxmlformats.org/officeDocument/2006/relationships/hyperlink" Target="https://www.inaturalist.org/observations/400460052" TargetMode="External"/><Relationship Id="rId5659" Type="http://schemas.openxmlformats.org/officeDocument/2006/relationships/hyperlink" Target="https://creativecommons.org/licenses/by-nc/4.0/" TargetMode="External"/><Relationship Id="rId5660" Type="http://schemas.openxmlformats.org/officeDocument/2006/relationships/hyperlink" Target="https://www.inaturalist.org/observations/400459866" TargetMode="External"/><Relationship Id="rId5661" Type="http://schemas.openxmlformats.org/officeDocument/2006/relationships/hyperlink" Target="https://creativecommons.org/licenses/by-nc/4.0/" TargetMode="External"/><Relationship Id="rId5662" Type="http://schemas.openxmlformats.org/officeDocument/2006/relationships/hyperlink" Target="https://www.inaturalist.org/observations/400456484" TargetMode="External"/><Relationship Id="rId5663" Type="http://schemas.openxmlformats.org/officeDocument/2006/relationships/hyperlink" Target="https://creativecommons.org/licenses/by-nc/4.0/" TargetMode="External"/><Relationship Id="rId5664" Type="http://schemas.openxmlformats.org/officeDocument/2006/relationships/hyperlink" Target="https://www.inaturalist.org/observations/400456207" TargetMode="External"/><Relationship Id="rId5665" Type="http://schemas.openxmlformats.org/officeDocument/2006/relationships/hyperlink" Target="https://creativecommons.org/licenses/by-nc/4.0/" TargetMode="External"/><Relationship Id="rId5666" Type="http://schemas.openxmlformats.org/officeDocument/2006/relationships/hyperlink" Target="https://www.inaturalist.org/observations/400455516" TargetMode="External"/><Relationship Id="rId5667" Type="http://schemas.openxmlformats.org/officeDocument/2006/relationships/hyperlink" Target="https://creativecommons.org/licenses/by-nc/4.0/" TargetMode="External"/><Relationship Id="rId5668" Type="http://schemas.openxmlformats.org/officeDocument/2006/relationships/hyperlink" Target="https://www.inaturalist.org/observations/400455352" TargetMode="External"/><Relationship Id="rId5669" Type="http://schemas.openxmlformats.org/officeDocument/2006/relationships/hyperlink" Target="https://creativecommons.org/licenses/by-nc/4.0/" TargetMode="External"/><Relationship Id="rId5670" Type="http://schemas.openxmlformats.org/officeDocument/2006/relationships/hyperlink" Target="https://www.inaturalist.org/observations/400454870" TargetMode="External"/><Relationship Id="rId5671" Type="http://schemas.openxmlformats.org/officeDocument/2006/relationships/hyperlink" Target="https://creativecommons.org/licenses/by-nc/4.0/" TargetMode="External"/><Relationship Id="rId5672" Type="http://schemas.openxmlformats.org/officeDocument/2006/relationships/hyperlink" Target="https://www.inaturalist.org/observations/400453437" TargetMode="External"/><Relationship Id="rId5673" Type="http://schemas.openxmlformats.org/officeDocument/2006/relationships/hyperlink" Target="https://creativecommons.org/licenses/by-nc/4.0/" TargetMode="External"/><Relationship Id="rId5674" Type="http://schemas.openxmlformats.org/officeDocument/2006/relationships/hyperlink" Target="https://www.inaturalist.org/observations/400451125" TargetMode="External"/><Relationship Id="rId5675" Type="http://schemas.openxmlformats.org/officeDocument/2006/relationships/hyperlink" Target="https://creativecommons.org/licenses/by-nc/4.0/" TargetMode="External"/><Relationship Id="rId5676" Type="http://schemas.openxmlformats.org/officeDocument/2006/relationships/hyperlink" Target="https://www.inaturalist.org/observations/400451101" TargetMode="External"/><Relationship Id="rId5677" Type="http://schemas.openxmlformats.org/officeDocument/2006/relationships/hyperlink" Target="https://creativecommons.org/licenses/by-nc/4.0/" TargetMode="External"/><Relationship Id="rId5678" Type="http://schemas.openxmlformats.org/officeDocument/2006/relationships/hyperlink" Target="https://www.inaturalist.org/observations/400451054" TargetMode="External"/><Relationship Id="rId5679" Type="http://schemas.openxmlformats.org/officeDocument/2006/relationships/hyperlink" Target="https://creativecommons.org/licenses/by-nc/4.0/" TargetMode="External"/><Relationship Id="rId5680" Type="http://schemas.openxmlformats.org/officeDocument/2006/relationships/hyperlink" Target="https://www.inaturalist.org/observations/400450898" TargetMode="External"/><Relationship Id="rId5681" Type="http://schemas.openxmlformats.org/officeDocument/2006/relationships/hyperlink" Target="https://creativecommons.org/licenses/by-nc/4.0/" TargetMode="External"/><Relationship Id="rId5682" Type="http://schemas.openxmlformats.org/officeDocument/2006/relationships/hyperlink" Target="https://www.inaturalist.org/observations/400448788" TargetMode="External"/><Relationship Id="rId5683" Type="http://schemas.openxmlformats.org/officeDocument/2006/relationships/hyperlink" Target="https://creativecommons.org/licenses/by-nc/4.0/" TargetMode="External"/><Relationship Id="rId5684" Type="http://schemas.openxmlformats.org/officeDocument/2006/relationships/hyperlink" Target="https://www.inaturalist.org/observations/400448597" TargetMode="External"/><Relationship Id="rId5685" Type="http://schemas.openxmlformats.org/officeDocument/2006/relationships/hyperlink" Target="https://creativecommons.org/licenses/by-nc/4.0/" TargetMode="External"/><Relationship Id="rId5686" Type="http://schemas.openxmlformats.org/officeDocument/2006/relationships/hyperlink" Target="https://www.inaturalist.org/observations/400446797" TargetMode="External"/><Relationship Id="rId5687" Type="http://schemas.openxmlformats.org/officeDocument/2006/relationships/hyperlink" Target="https://creativecommons.org/licenses/by-nc/4.0/" TargetMode="External"/><Relationship Id="rId5688" Type="http://schemas.openxmlformats.org/officeDocument/2006/relationships/hyperlink" Target="https://www.inaturalist.org/observations/400445840" TargetMode="External"/><Relationship Id="rId5689" Type="http://schemas.openxmlformats.org/officeDocument/2006/relationships/hyperlink" Target="https://creativecommons.org/licenses/by-nc/4.0/" TargetMode="External"/><Relationship Id="rId5690" Type="http://schemas.openxmlformats.org/officeDocument/2006/relationships/hyperlink" Target="https://www.inaturalist.org/observations/400444034" TargetMode="External"/><Relationship Id="rId5691" Type="http://schemas.openxmlformats.org/officeDocument/2006/relationships/hyperlink" Target="https://creativecommons.org/licenses/by-nc/4.0/" TargetMode="External"/><Relationship Id="rId5692" Type="http://schemas.openxmlformats.org/officeDocument/2006/relationships/hyperlink" Target="https://www.inaturalist.org/observations/400443566" TargetMode="External"/><Relationship Id="rId5693" Type="http://schemas.openxmlformats.org/officeDocument/2006/relationships/hyperlink" Target="https://creativecommons.org/licenses/by-nc/4.0/" TargetMode="External"/><Relationship Id="rId5694" Type="http://schemas.openxmlformats.org/officeDocument/2006/relationships/hyperlink" Target="https://www.inaturalist.org/observations/400443208" TargetMode="External"/><Relationship Id="rId5695" Type="http://schemas.openxmlformats.org/officeDocument/2006/relationships/hyperlink" Target="https://creativecommons.org/licenses/by-nc/4.0/" TargetMode="External"/><Relationship Id="rId5696" Type="http://schemas.openxmlformats.org/officeDocument/2006/relationships/hyperlink" Target="https://www.inaturalist.org/observations/400442663" TargetMode="External"/><Relationship Id="rId5697" Type="http://schemas.openxmlformats.org/officeDocument/2006/relationships/hyperlink" Target="https://creativecommons.org/licenses/by-nc/4.0/" TargetMode="External"/><Relationship Id="rId5698" Type="http://schemas.openxmlformats.org/officeDocument/2006/relationships/hyperlink" Target="https://www.inaturalist.org/observations/400442105" TargetMode="External"/><Relationship Id="rId5699" Type="http://schemas.openxmlformats.org/officeDocument/2006/relationships/hyperlink" Target="https://creativecommons.org/licenses/by-nc/4.0/" TargetMode="External"/><Relationship Id="rId5700" Type="http://schemas.openxmlformats.org/officeDocument/2006/relationships/hyperlink" Target="https://www.inaturalist.org/observations/400442023" TargetMode="External"/><Relationship Id="rId5701" Type="http://schemas.openxmlformats.org/officeDocument/2006/relationships/hyperlink" Target="https://creativecommons.org/licenses/by-nc/4.0/" TargetMode="External"/><Relationship Id="rId5702" Type="http://schemas.openxmlformats.org/officeDocument/2006/relationships/hyperlink" Target="https://www.inaturalist.org/observations/400441558" TargetMode="External"/><Relationship Id="rId5703" Type="http://schemas.openxmlformats.org/officeDocument/2006/relationships/hyperlink" Target="https://creativecommons.org/licenses/by-nc/4.0/" TargetMode="External"/><Relationship Id="rId5704" Type="http://schemas.openxmlformats.org/officeDocument/2006/relationships/hyperlink" Target="https://www.inaturalist.org/observations/400441284" TargetMode="External"/><Relationship Id="rId5705" Type="http://schemas.openxmlformats.org/officeDocument/2006/relationships/hyperlink" Target="https://creativecommons.org/licenses/by-nc/4.0/" TargetMode="External"/><Relationship Id="rId5706" Type="http://schemas.openxmlformats.org/officeDocument/2006/relationships/hyperlink" Target="https://www.inaturalist.org/observations/400440252" TargetMode="External"/><Relationship Id="rId5707" Type="http://schemas.openxmlformats.org/officeDocument/2006/relationships/hyperlink" Target="https://creativecommons.org/licenses/by-nc/4.0/" TargetMode="External"/><Relationship Id="rId5708" Type="http://schemas.openxmlformats.org/officeDocument/2006/relationships/hyperlink" Target="https://www.inaturalist.org/observations/400440045" TargetMode="External"/><Relationship Id="rId5709" Type="http://schemas.openxmlformats.org/officeDocument/2006/relationships/hyperlink" Target="https://creativecommons.org/licenses/by-nc/4.0/" TargetMode="External"/><Relationship Id="rId5710" Type="http://schemas.openxmlformats.org/officeDocument/2006/relationships/hyperlink" Target="https://www.inaturalist.org/observations/400439928" TargetMode="External"/><Relationship Id="rId5711" Type="http://schemas.openxmlformats.org/officeDocument/2006/relationships/hyperlink" Target="https://creativecommons.org/licenses/by-nc/4.0/" TargetMode="External"/><Relationship Id="rId5712" Type="http://schemas.openxmlformats.org/officeDocument/2006/relationships/hyperlink" Target="https://www.inaturalist.org/observations/400439198" TargetMode="External"/><Relationship Id="rId5713" Type="http://schemas.openxmlformats.org/officeDocument/2006/relationships/hyperlink" Target="https://creativecommons.org/licenses/by-nc/4.0/" TargetMode="External"/><Relationship Id="rId5714" Type="http://schemas.openxmlformats.org/officeDocument/2006/relationships/hyperlink" Target="https://www.inaturalist.org/observations/400437950" TargetMode="External"/><Relationship Id="rId5715" Type="http://schemas.openxmlformats.org/officeDocument/2006/relationships/hyperlink" Target="https://creativecommons.org/licenses/by-nc/4.0/" TargetMode="External"/><Relationship Id="rId5716" Type="http://schemas.openxmlformats.org/officeDocument/2006/relationships/hyperlink" Target="https://www.inaturalist.org/observations/400435739" TargetMode="External"/><Relationship Id="rId5717" Type="http://schemas.openxmlformats.org/officeDocument/2006/relationships/hyperlink" Target="https://creativecommons.org/licenses/by-nc/4.0/" TargetMode="External"/><Relationship Id="rId5718" Type="http://schemas.openxmlformats.org/officeDocument/2006/relationships/hyperlink" Target="https://www.inaturalist.org/observations/400432924" TargetMode="External"/><Relationship Id="rId5719" Type="http://schemas.openxmlformats.org/officeDocument/2006/relationships/hyperlink" Target="https://creativecommons.org/licenses/by-nc/4.0/" TargetMode="External"/><Relationship Id="rId5720" Type="http://schemas.openxmlformats.org/officeDocument/2006/relationships/hyperlink" Target="https://www.inaturalist.org/observations/400432679" TargetMode="External"/><Relationship Id="rId5721" Type="http://schemas.openxmlformats.org/officeDocument/2006/relationships/hyperlink" Target="https://creativecommons.org/licenses/by-nc/4.0/" TargetMode="External"/><Relationship Id="rId5722" Type="http://schemas.openxmlformats.org/officeDocument/2006/relationships/hyperlink" Target="https://www.inaturalist.org/observations/400431910" TargetMode="External"/><Relationship Id="rId5723" Type="http://schemas.openxmlformats.org/officeDocument/2006/relationships/hyperlink" Target="https://creativecommons.org/licenses/by-nc/4.0/" TargetMode="External"/><Relationship Id="rId5724" Type="http://schemas.openxmlformats.org/officeDocument/2006/relationships/hyperlink" Target="https://www.inaturalist.org/observations/400431761" TargetMode="External"/><Relationship Id="rId5725" Type="http://schemas.openxmlformats.org/officeDocument/2006/relationships/hyperlink" Target="https://creativecommons.org/licenses/by-nc/4.0/" TargetMode="External"/><Relationship Id="rId5726" Type="http://schemas.openxmlformats.org/officeDocument/2006/relationships/hyperlink" Target="https://www.inaturalist.org/observations/400429441" TargetMode="External"/><Relationship Id="rId5727" Type="http://schemas.openxmlformats.org/officeDocument/2006/relationships/hyperlink" Target="https://creativecommons.org/licenses/by-nc/4.0/" TargetMode="External"/><Relationship Id="rId5728" Type="http://schemas.openxmlformats.org/officeDocument/2006/relationships/hyperlink" Target="https://www.inaturalist.org/observations/400428022" TargetMode="External"/><Relationship Id="rId5729" Type="http://schemas.openxmlformats.org/officeDocument/2006/relationships/hyperlink" Target="https://creativecommons.org/licenses/by-nc/4.0/" TargetMode="External"/><Relationship Id="rId5730" Type="http://schemas.openxmlformats.org/officeDocument/2006/relationships/hyperlink" Target="https://www.inaturalist.org/observations/400426430" TargetMode="External"/><Relationship Id="rId5731" Type="http://schemas.openxmlformats.org/officeDocument/2006/relationships/hyperlink" Target="https://creativecommons.org/licenses/by-nc/4.0/" TargetMode="External"/><Relationship Id="rId5732" Type="http://schemas.openxmlformats.org/officeDocument/2006/relationships/hyperlink" Target="https://www.inaturalist.org/observations/400426397" TargetMode="External"/><Relationship Id="rId5733" Type="http://schemas.openxmlformats.org/officeDocument/2006/relationships/hyperlink" Target="https://creativecommons.org/licenses/by-nc/4.0/" TargetMode="External"/><Relationship Id="rId5734" Type="http://schemas.openxmlformats.org/officeDocument/2006/relationships/hyperlink" Target="https://www.inaturalist.org/observations/400425287" TargetMode="External"/><Relationship Id="rId5735" Type="http://schemas.openxmlformats.org/officeDocument/2006/relationships/hyperlink" Target="https://creativecommons.org/licenses/by-nc/4.0/" TargetMode="External"/><Relationship Id="rId5736" Type="http://schemas.openxmlformats.org/officeDocument/2006/relationships/hyperlink" Target="https://www.inaturalist.org/observations/400425170" TargetMode="External"/><Relationship Id="rId5737" Type="http://schemas.openxmlformats.org/officeDocument/2006/relationships/hyperlink" Target="https://creativecommons.org/licenses/by-nc/4.0/" TargetMode="External"/><Relationship Id="rId5738" Type="http://schemas.openxmlformats.org/officeDocument/2006/relationships/hyperlink" Target="https://www.inaturalist.org/observations/400425141" TargetMode="External"/><Relationship Id="rId5739" Type="http://schemas.openxmlformats.org/officeDocument/2006/relationships/hyperlink" Target="https://creativecommons.org/licenses/by-nc/4.0/" TargetMode="External"/><Relationship Id="rId5740" Type="http://schemas.openxmlformats.org/officeDocument/2006/relationships/hyperlink" Target="https://www.inaturalist.org/observations/400422580" TargetMode="External"/><Relationship Id="rId5741" Type="http://schemas.openxmlformats.org/officeDocument/2006/relationships/hyperlink" Target="https://creativecommons.org/licenses/by-nc/4.0/" TargetMode="External"/><Relationship Id="rId5742" Type="http://schemas.openxmlformats.org/officeDocument/2006/relationships/hyperlink" Target="https://www.inaturalist.org/observations/400422571" TargetMode="External"/><Relationship Id="rId5743" Type="http://schemas.openxmlformats.org/officeDocument/2006/relationships/hyperlink" Target="https://creativecommons.org/licenses/by-nc/4.0/" TargetMode="External"/><Relationship Id="rId5744" Type="http://schemas.openxmlformats.org/officeDocument/2006/relationships/hyperlink" Target="https://www.inaturalist.org/observations/400420728" TargetMode="External"/><Relationship Id="rId5745" Type="http://schemas.openxmlformats.org/officeDocument/2006/relationships/hyperlink" Target="https://creativecommons.org/licenses/by-nc/4.0/" TargetMode="External"/><Relationship Id="rId5746" Type="http://schemas.openxmlformats.org/officeDocument/2006/relationships/hyperlink" Target="https://www.inaturalist.org/observations/400420023" TargetMode="External"/><Relationship Id="rId5747" Type="http://schemas.openxmlformats.org/officeDocument/2006/relationships/hyperlink" Target="https://creativecommons.org/licenses/by-nc/4.0/" TargetMode="External"/><Relationship Id="rId5748" Type="http://schemas.openxmlformats.org/officeDocument/2006/relationships/hyperlink" Target="https://www.inaturalist.org/observations/400419776" TargetMode="External"/><Relationship Id="rId5749" Type="http://schemas.openxmlformats.org/officeDocument/2006/relationships/hyperlink" Target="https://creativecommons.org/licenses/by-nc/4.0/" TargetMode="External"/><Relationship Id="rId5750" Type="http://schemas.openxmlformats.org/officeDocument/2006/relationships/hyperlink" Target="https://www.inaturalist.org/observations/400418242" TargetMode="External"/><Relationship Id="rId5751" Type="http://schemas.openxmlformats.org/officeDocument/2006/relationships/hyperlink" Target="https://creativecommons.org/licenses/by-nc/4.0/" TargetMode="External"/><Relationship Id="rId5752" Type="http://schemas.openxmlformats.org/officeDocument/2006/relationships/hyperlink" Target="https://www.inaturalist.org/observations/400417998" TargetMode="External"/><Relationship Id="rId5753" Type="http://schemas.openxmlformats.org/officeDocument/2006/relationships/hyperlink" Target="https://creativecommons.org/licenses/by-nc/4.0/" TargetMode="External"/><Relationship Id="rId5754" Type="http://schemas.openxmlformats.org/officeDocument/2006/relationships/hyperlink" Target="https://www.inaturalist.org/observations/400417609" TargetMode="External"/><Relationship Id="rId5755" Type="http://schemas.openxmlformats.org/officeDocument/2006/relationships/hyperlink" Target="https://creativecommons.org/licenses/by-nc/4.0/" TargetMode="External"/><Relationship Id="rId5756" Type="http://schemas.openxmlformats.org/officeDocument/2006/relationships/hyperlink" Target="https://www.inaturalist.org/observations/400416710" TargetMode="External"/><Relationship Id="rId5757" Type="http://schemas.openxmlformats.org/officeDocument/2006/relationships/hyperlink" Target="https://creativecommons.org/licenses/by-nc/4.0/" TargetMode="External"/><Relationship Id="rId5758" Type="http://schemas.openxmlformats.org/officeDocument/2006/relationships/hyperlink" Target="https://www.inaturalist.org/observations/400413522" TargetMode="External"/><Relationship Id="rId5759" Type="http://schemas.openxmlformats.org/officeDocument/2006/relationships/hyperlink" Target="https://creativecommons.org/licenses/by-nc/4.0/" TargetMode="External"/><Relationship Id="rId5760" Type="http://schemas.openxmlformats.org/officeDocument/2006/relationships/hyperlink" Target="https://www.inaturalist.org/observations/400410141" TargetMode="External"/><Relationship Id="rId5761" Type="http://schemas.openxmlformats.org/officeDocument/2006/relationships/hyperlink" Target="https://creativecommons.org/licenses/by-nc/4.0/" TargetMode="External"/><Relationship Id="rId5762" Type="http://schemas.openxmlformats.org/officeDocument/2006/relationships/hyperlink" Target="https://www.inaturalist.org/observations/400409965" TargetMode="External"/><Relationship Id="rId5763" Type="http://schemas.openxmlformats.org/officeDocument/2006/relationships/hyperlink" Target="https://creativecommons.org/licenses/by-nc/4.0/" TargetMode="External"/><Relationship Id="rId5764" Type="http://schemas.openxmlformats.org/officeDocument/2006/relationships/hyperlink" Target="https://www.inaturalist.org/observations/400404742" TargetMode="External"/><Relationship Id="rId5765" Type="http://schemas.openxmlformats.org/officeDocument/2006/relationships/hyperlink" Target="https://creativecommons.org/licenses/by-nc/4.0/" TargetMode="External"/><Relationship Id="rId5766" Type="http://schemas.openxmlformats.org/officeDocument/2006/relationships/hyperlink" Target="https://www.inaturalist.org/observations/400404630" TargetMode="External"/><Relationship Id="rId5767" Type="http://schemas.openxmlformats.org/officeDocument/2006/relationships/hyperlink" Target="https://creativecommons.org/licenses/by-nc/4.0/" TargetMode="External"/><Relationship Id="rId5768" Type="http://schemas.openxmlformats.org/officeDocument/2006/relationships/hyperlink" Target="https://www.inaturalist.org/observations/400404210" TargetMode="External"/><Relationship Id="rId5769" Type="http://schemas.openxmlformats.org/officeDocument/2006/relationships/hyperlink" Target="https://creativecommons.org/licenses/by-nc/4.0/" TargetMode="External"/><Relationship Id="rId5770" Type="http://schemas.openxmlformats.org/officeDocument/2006/relationships/hyperlink" Target="https://www.inaturalist.org/observations/400403478" TargetMode="External"/><Relationship Id="rId5771" Type="http://schemas.openxmlformats.org/officeDocument/2006/relationships/hyperlink" Target="https://creativecommons.org/licenses/by-nc/4.0/" TargetMode="External"/><Relationship Id="rId5772" Type="http://schemas.openxmlformats.org/officeDocument/2006/relationships/hyperlink" Target="https://www.inaturalist.org/observations/400401644" TargetMode="External"/><Relationship Id="rId5773" Type="http://schemas.openxmlformats.org/officeDocument/2006/relationships/hyperlink" Target="https://creativecommons.org/licenses/by-nc/4.0/" TargetMode="External"/><Relationship Id="rId5774" Type="http://schemas.openxmlformats.org/officeDocument/2006/relationships/hyperlink" Target="https://www.inaturalist.org/observations/400401143" TargetMode="External"/><Relationship Id="rId5775" Type="http://schemas.openxmlformats.org/officeDocument/2006/relationships/hyperlink" Target="https://creativecommons.org/licenses/by-nc/4.0/" TargetMode="External"/><Relationship Id="rId5776" Type="http://schemas.openxmlformats.org/officeDocument/2006/relationships/hyperlink" Target="https://www.inaturalist.org/observations/400400915" TargetMode="External"/><Relationship Id="rId5777" Type="http://schemas.openxmlformats.org/officeDocument/2006/relationships/hyperlink" Target="https://creativecommons.org/licenses/by-nc/4.0/" TargetMode="External"/><Relationship Id="rId5778" Type="http://schemas.openxmlformats.org/officeDocument/2006/relationships/hyperlink" Target="https://www.inaturalist.org/observations/400400673" TargetMode="External"/><Relationship Id="rId5779" Type="http://schemas.openxmlformats.org/officeDocument/2006/relationships/hyperlink" Target="https://creativecommons.org/licenses/by-nc/4.0/" TargetMode="External"/><Relationship Id="rId5780" Type="http://schemas.openxmlformats.org/officeDocument/2006/relationships/hyperlink" Target="https://www.inaturalist.org/observations/400400658" TargetMode="External"/><Relationship Id="rId5781" Type="http://schemas.openxmlformats.org/officeDocument/2006/relationships/hyperlink" Target="https://creativecommons.org/licenses/by-nc/4.0/" TargetMode="External"/><Relationship Id="rId5782" Type="http://schemas.openxmlformats.org/officeDocument/2006/relationships/hyperlink" Target="https://www.inaturalist.org/observations/400400574" TargetMode="External"/><Relationship Id="rId5783" Type="http://schemas.openxmlformats.org/officeDocument/2006/relationships/hyperlink" Target="https://creativecommons.org/licenses/by-nc/4.0/" TargetMode="External"/><Relationship Id="rId5784" Type="http://schemas.openxmlformats.org/officeDocument/2006/relationships/hyperlink" Target="https://www.inaturalist.org/observations/400400568" TargetMode="External"/><Relationship Id="rId5785" Type="http://schemas.openxmlformats.org/officeDocument/2006/relationships/hyperlink" Target="https://creativecommons.org/licenses/by-nc/4.0/" TargetMode="External"/><Relationship Id="rId5786" Type="http://schemas.openxmlformats.org/officeDocument/2006/relationships/hyperlink" Target="https://www.inaturalist.org/observations/400400566" TargetMode="External"/><Relationship Id="rId5787" Type="http://schemas.openxmlformats.org/officeDocument/2006/relationships/hyperlink" Target="https://creativecommons.org/licenses/by-nc/4.0/" TargetMode="External"/><Relationship Id="rId5788" Type="http://schemas.openxmlformats.org/officeDocument/2006/relationships/hyperlink" Target="https://www.inaturalist.org/observations/400400310" TargetMode="External"/><Relationship Id="rId5789" Type="http://schemas.openxmlformats.org/officeDocument/2006/relationships/hyperlink" Target="https://creativecommons.org/licenses/by-nc/4.0/" TargetMode="External"/><Relationship Id="rId5790" Type="http://schemas.openxmlformats.org/officeDocument/2006/relationships/hyperlink" Target="https://www.inaturalist.org/observations/400398651" TargetMode="External"/><Relationship Id="rId5791" Type="http://schemas.openxmlformats.org/officeDocument/2006/relationships/hyperlink" Target="https://creativecommons.org/licenses/by-nc/4.0/" TargetMode="External"/><Relationship Id="rId5792" Type="http://schemas.openxmlformats.org/officeDocument/2006/relationships/hyperlink" Target="https://www.inaturalist.org/observations/400396830" TargetMode="External"/><Relationship Id="rId5793" Type="http://schemas.openxmlformats.org/officeDocument/2006/relationships/hyperlink" Target="https://creativecommons.org/licenses/by-nc/4.0/" TargetMode="External"/><Relationship Id="rId5794" Type="http://schemas.openxmlformats.org/officeDocument/2006/relationships/hyperlink" Target="https://www.inaturalist.org/observations/400394333" TargetMode="External"/><Relationship Id="rId5795" Type="http://schemas.openxmlformats.org/officeDocument/2006/relationships/hyperlink" Target="https://creativecommons.org/licenses/by-nc/4.0/" TargetMode="External"/><Relationship Id="rId5796" Type="http://schemas.openxmlformats.org/officeDocument/2006/relationships/hyperlink" Target="https://www.inaturalist.org/observations/400392916" TargetMode="External"/><Relationship Id="rId5797" Type="http://schemas.openxmlformats.org/officeDocument/2006/relationships/hyperlink" Target="https://creativecommons.org/licenses/by-nc/4.0/" TargetMode="External"/><Relationship Id="rId5798" Type="http://schemas.openxmlformats.org/officeDocument/2006/relationships/hyperlink" Target="https://www.inaturalist.org/observations/400392284" TargetMode="External"/><Relationship Id="rId5799" Type="http://schemas.openxmlformats.org/officeDocument/2006/relationships/hyperlink" Target="https://creativecommons.org/licenses/by-nc/4.0/" TargetMode="External"/><Relationship Id="rId5800" Type="http://schemas.openxmlformats.org/officeDocument/2006/relationships/hyperlink" Target="https://www.inaturalist.org/observations/400392201" TargetMode="External"/><Relationship Id="rId5801" Type="http://schemas.openxmlformats.org/officeDocument/2006/relationships/hyperlink" Target="https://creativecommons.org/licenses/by-nc/4.0/" TargetMode="External"/><Relationship Id="rId5802" Type="http://schemas.openxmlformats.org/officeDocument/2006/relationships/hyperlink" Target="https://www.inaturalist.org/observations/400391969" TargetMode="External"/><Relationship Id="rId5803" Type="http://schemas.openxmlformats.org/officeDocument/2006/relationships/hyperlink" Target="https://creativecommons.org/licenses/by-nc/4.0/" TargetMode="External"/><Relationship Id="rId5804" Type="http://schemas.openxmlformats.org/officeDocument/2006/relationships/hyperlink" Target="https://www.inaturalist.org/observations/400391582" TargetMode="External"/><Relationship Id="rId5805" Type="http://schemas.openxmlformats.org/officeDocument/2006/relationships/hyperlink" Target="https://creativecommons.org/licenses/by-nc/4.0/" TargetMode="External"/><Relationship Id="rId5806" Type="http://schemas.openxmlformats.org/officeDocument/2006/relationships/hyperlink" Target="https://www.inaturalist.org/observations/400391182" TargetMode="External"/><Relationship Id="rId5807" Type="http://schemas.openxmlformats.org/officeDocument/2006/relationships/hyperlink" Target="https://creativecommons.org/licenses/by-nc/4.0/" TargetMode="External"/><Relationship Id="rId5808" Type="http://schemas.openxmlformats.org/officeDocument/2006/relationships/hyperlink" Target="https://www.inaturalist.org/observations/400390786" TargetMode="External"/><Relationship Id="rId5809" Type="http://schemas.openxmlformats.org/officeDocument/2006/relationships/hyperlink" Target="https://creativecommons.org/licenses/by-nc/4.0/" TargetMode="External"/><Relationship Id="rId5810" Type="http://schemas.openxmlformats.org/officeDocument/2006/relationships/hyperlink" Target="https://www.inaturalist.org/observations/400390257" TargetMode="External"/><Relationship Id="rId5811" Type="http://schemas.openxmlformats.org/officeDocument/2006/relationships/hyperlink" Target="https://creativecommons.org/licenses/by-nc/4.0/" TargetMode="External"/><Relationship Id="rId5812" Type="http://schemas.openxmlformats.org/officeDocument/2006/relationships/hyperlink" Target="https://www.inaturalist.org/observations/400389291" TargetMode="External"/><Relationship Id="rId5813" Type="http://schemas.openxmlformats.org/officeDocument/2006/relationships/hyperlink" Target="https://creativecommons.org/licenses/by-nc/4.0/" TargetMode="External"/><Relationship Id="rId5814" Type="http://schemas.openxmlformats.org/officeDocument/2006/relationships/hyperlink" Target="https://www.inaturalist.org/observations/400388487" TargetMode="External"/><Relationship Id="rId5815" Type="http://schemas.openxmlformats.org/officeDocument/2006/relationships/hyperlink" Target="https://creativecommons.org/licenses/by-nc/4.0/" TargetMode="External"/><Relationship Id="rId5816" Type="http://schemas.openxmlformats.org/officeDocument/2006/relationships/hyperlink" Target="https://www.inaturalist.org/observations/400388420" TargetMode="External"/><Relationship Id="rId5817" Type="http://schemas.openxmlformats.org/officeDocument/2006/relationships/hyperlink" Target="https://creativecommons.org/licenses/by-nc/4.0/" TargetMode="External"/><Relationship Id="rId5818" Type="http://schemas.openxmlformats.org/officeDocument/2006/relationships/hyperlink" Target="https://www.inaturalist.org/observations/400387201" TargetMode="External"/><Relationship Id="rId5819" Type="http://schemas.openxmlformats.org/officeDocument/2006/relationships/hyperlink" Target="https://creativecommons.org/licenses/by-nc/4.0/" TargetMode="External"/><Relationship Id="rId5820" Type="http://schemas.openxmlformats.org/officeDocument/2006/relationships/hyperlink" Target="https://www.inaturalist.org/observations/400386634" TargetMode="External"/><Relationship Id="rId5821" Type="http://schemas.openxmlformats.org/officeDocument/2006/relationships/hyperlink" Target="https://creativecommons.org/licenses/by-nc/4.0/" TargetMode="External"/><Relationship Id="rId5822" Type="http://schemas.openxmlformats.org/officeDocument/2006/relationships/hyperlink" Target="https://www.inaturalist.org/observations/400386563" TargetMode="External"/><Relationship Id="rId5823" Type="http://schemas.openxmlformats.org/officeDocument/2006/relationships/hyperlink" Target="https://creativecommons.org/licenses/by-nc/4.0/" TargetMode="External"/><Relationship Id="rId5824" Type="http://schemas.openxmlformats.org/officeDocument/2006/relationships/hyperlink" Target="https://www.inaturalist.org/observations/400385904" TargetMode="External"/><Relationship Id="rId5825" Type="http://schemas.openxmlformats.org/officeDocument/2006/relationships/hyperlink" Target="https://creativecommons.org/licenses/by-nc/4.0/" TargetMode="External"/><Relationship Id="rId5826" Type="http://schemas.openxmlformats.org/officeDocument/2006/relationships/hyperlink" Target="https://www.inaturalist.org/observations/400385765" TargetMode="External"/><Relationship Id="rId5827" Type="http://schemas.openxmlformats.org/officeDocument/2006/relationships/hyperlink" Target="https://creativecommons.org/licenses/by-nc/4.0/" TargetMode="External"/><Relationship Id="rId5828" Type="http://schemas.openxmlformats.org/officeDocument/2006/relationships/hyperlink" Target="https://www.inaturalist.org/observations/400382756" TargetMode="External"/><Relationship Id="rId5829" Type="http://schemas.openxmlformats.org/officeDocument/2006/relationships/hyperlink" Target="https://creativecommons.org/licenses/by-nc/4.0/" TargetMode="External"/><Relationship Id="rId5830" Type="http://schemas.openxmlformats.org/officeDocument/2006/relationships/hyperlink" Target="https://www.inaturalist.org/observations/400381349" TargetMode="External"/><Relationship Id="rId5831" Type="http://schemas.openxmlformats.org/officeDocument/2006/relationships/hyperlink" Target="https://creativecommons.org/licenses/by-nc/4.0/" TargetMode="External"/><Relationship Id="rId5832" Type="http://schemas.openxmlformats.org/officeDocument/2006/relationships/hyperlink" Target="https://www.inaturalist.org/observations/400381278" TargetMode="External"/><Relationship Id="rId5833" Type="http://schemas.openxmlformats.org/officeDocument/2006/relationships/hyperlink" Target="https://creativecommons.org/licenses/by-nc/4.0/" TargetMode="External"/><Relationship Id="rId5834" Type="http://schemas.openxmlformats.org/officeDocument/2006/relationships/hyperlink" Target="https://www.inaturalist.org/observations/400379412" TargetMode="External"/><Relationship Id="rId5835" Type="http://schemas.openxmlformats.org/officeDocument/2006/relationships/hyperlink" Target="https://creativecommons.org/licenses/by-nc/4.0/" TargetMode="External"/><Relationship Id="rId5836" Type="http://schemas.openxmlformats.org/officeDocument/2006/relationships/hyperlink" Target="https://www.inaturalist.org/observations/400378742" TargetMode="External"/><Relationship Id="rId5837" Type="http://schemas.openxmlformats.org/officeDocument/2006/relationships/hyperlink" Target="https://creativecommons.org/licenses/by-nc/4.0/" TargetMode="External"/><Relationship Id="rId5838" Type="http://schemas.openxmlformats.org/officeDocument/2006/relationships/hyperlink" Target="https://www.inaturalist.org/observations/400377019" TargetMode="External"/><Relationship Id="rId5839" Type="http://schemas.openxmlformats.org/officeDocument/2006/relationships/hyperlink" Target="https://creativecommons.org/licenses/by-nc/4.0/" TargetMode="External"/><Relationship Id="rId5840" Type="http://schemas.openxmlformats.org/officeDocument/2006/relationships/hyperlink" Target="https://www.inaturalist.org/observations/400375769" TargetMode="External"/><Relationship Id="rId5841" Type="http://schemas.openxmlformats.org/officeDocument/2006/relationships/hyperlink" Target="https://creativecommons.org/licenses/by-nc/4.0/" TargetMode="External"/><Relationship Id="rId5842" Type="http://schemas.openxmlformats.org/officeDocument/2006/relationships/hyperlink" Target="https://www.inaturalist.org/observations/400375102" TargetMode="External"/><Relationship Id="rId5843" Type="http://schemas.openxmlformats.org/officeDocument/2006/relationships/hyperlink" Target="https://creativecommons.org/licenses/by-nc/4.0/" TargetMode="External"/><Relationship Id="rId5844" Type="http://schemas.openxmlformats.org/officeDocument/2006/relationships/hyperlink" Target="https://www.inaturalist.org/observations/400374778" TargetMode="External"/><Relationship Id="rId5845" Type="http://schemas.openxmlformats.org/officeDocument/2006/relationships/hyperlink" Target="https://creativecommons.org/licenses/by-nc/4.0/" TargetMode="External"/><Relationship Id="rId5846" Type="http://schemas.openxmlformats.org/officeDocument/2006/relationships/hyperlink" Target="https://www.inaturalist.org/observations/400374767" TargetMode="External"/><Relationship Id="rId5847" Type="http://schemas.openxmlformats.org/officeDocument/2006/relationships/hyperlink" Target="https://creativecommons.org/licenses/by-nc/4.0/" TargetMode="External"/><Relationship Id="rId5848" Type="http://schemas.openxmlformats.org/officeDocument/2006/relationships/hyperlink" Target="https://www.inaturalist.org/observations/400374589" TargetMode="External"/><Relationship Id="rId5849" Type="http://schemas.openxmlformats.org/officeDocument/2006/relationships/hyperlink" Target="https://creativecommons.org/licenses/by-nc/4.0/" TargetMode="External"/><Relationship Id="rId5850" Type="http://schemas.openxmlformats.org/officeDocument/2006/relationships/hyperlink" Target="https://www.inaturalist.org/observations/400373123" TargetMode="External"/><Relationship Id="rId5851" Type="http://schemas.openxmlformats.org/officeDocument/2006/relationships/hyperlink" Target="https://creativecommons.org/licenses/by-nc/4.0/" TargetMode="External"/><Relationship Id="rId5852" Type="http://schemas.openxmlformats.org/officeDocument/2006/relationships/hyperlink" Target="https://www.inaturalist.org/observations/400373093" TargetMode="External"/><Relationship Id="rId5853" Type="http://schemas.openxmlformats.org/officeDocument/2006/relationships/hyperlink" Target="https://creativecommons.org/licenses/by-nc/4.0/" TargetMode="External"/><Relationship Id="rId5854" Type="http://schemas.openxmlformats.org/officeDocument/2006/relationships/hyperlink" Target="https://www.inaturalist.org/observations/400371018" TargetMode="External"/><Relationship Id="rId5855" Type="http://schemas.openxmlformats.org/officeDocument/2006/relationships/hyperlink" Target="https://creativecommons.org/licenses/by-nc/4.0/" TargetMode="External"/><Relationship Id="rId5856" Type="http://schemas.openxmlformats.org/officeDocument/2006/relationships/hyperlink" Target="https://www.inaturalist.org/observations/400370701" TargetMode="External"/><Relationship Id="rId5857" Type="http://schemas.openxmlformats.org/officeDocument/2006/relationships/hyperlink" Target="https://creativecommons.org/licenses/by-nc/4.0/" TargetMode="External"/><Relationship Id="rId5858" Type="http://schemas.openxmlformats.org/officeDocument/2006/relationships/hyperlink" Target="https://www.inaturalist.org/observations/400369696" TargetMode="External"/><Relationship Id="rId5859" Type="http://schemas.openxmlformats.org/officeDocument/2006/relationships/hyperlink" Target="https://creativecommons.org/licenses/by-nc/4.0/" TargetMode="External"/><Relationship Id="rId5860" Type="http://schemas.openxmlformats.org/officeDocument/2006/relationships/hyperlink" Target="https://www.inaturalist.org/observations/400369481" TargetMode="External"/><Relationship Id="rId5861" Type="http://schemas.openxmlformats.org/officeDocument/2006/relationships/hyperlink" Target="https://creativecommons.org/licenses/by-nc/4.0/" TargetMode="External"/><Relationship Id="rId5862" Type="http://schemas.openxmlformats.org/officeDocument/2006/relationships/hyperlink" Target="https://www.inaturalist.org/observations/400369354" TargetMode="External"/><Relationship Id="rId5863" Type="http://schemas.openxmlformats.org/officeDocument/2006/relationships/hyperlink" Target="https://creativecommons.org/licenses/by-nc/4.0/" TargetMode="External"/><Relationship Id="rId5864" Type="http://schemas.openxmlformats.org/officeDocument/2006/relationships/hyperlink" Target="https://www.inaturalist.org/observations/400369107" TargetMode="External"/><Relationship Id="rId5865" Type="http://schemas.openxmlformats.org/officeDocument/2006/relationships/hyperlink" Target="https://creativecommons.org/licenses/by-nc/4.0/" TargetMode="External"/><Relationship Id="rId5866" Type="http://schemas.openxmlformats.org/officeDocument/2006/relationships/hyperlink" Target="https://www.inaturalist.org/observations/400368205" TargetMode="External"/><Relationship Id="rId5867" Type="http://schemas.openxmlformats.org/officeDocument/2006/relationships/hyperlink" Target="https://creativecommons.org/licenses/by-nc/4.0/" TargetMode="External"/><Relationship Id="rId5868" Type="http://schemas.openxmlformats.org/officeDocument/2006/relationships/hyperlink" Target="https://www.inaturalist.org/observations/400368145" TargetMode="External"/><Relationship Id="rId5869" Type="http://schemas.openxmlformats.org/officeDocument/2006/relationships/hyperlink" Target="https://creativecommons.org/licenses/by-nc/4.0/" TargetMode="External"/><Relationship Id="rId5870" Type="http://schemas.openxmlformats.org/officeDocument/2006/relationships/hyperlink" Target="https://www.inaturalist.org/observations/400367905" TargetMode="External"/><Relationship Id="rId5871" Type="http://schemas.openxmlformats.org/officeDocument/2006/relationships/hyperlink" Target="https://creativecommons.org/licenses/by-nc/4.0/" TargetMode="External"/><Relationship Id="rId5872" Type="http://schemas.openxmlformats.org/officeDocument/2006/relationships/hyperlink" Target="https://www.inaturalist.org/observations/400366883" TargetMode="External"/><Relationship Id="rId5873" Type="http://schemas.openxmlformats.org/officeDocument/2006/relationships/hyperlink" Target="https://creativecommons.org/licenses/by-nc/4.0/" TargetMode="External"/><Relationship Id="rId5874" Type="http://schemas.openxmlformats.org/officeDocument/2006/relationships/hyperlink" Target="https://www.inaturalist.org/observations/400363096" TargetMode="External"/><Relationship Id="rId5875" Type="http://schemas.openxmlformats.org/officeDocument/2006/relationships/hyperlink" Target="https://creativecommons.org/licenses/by-nc/4.0/" TargetMode="External"/><Relationship Id="rId5876" Type="http://schemas.openxmlformats.org/officeDocument/2006/relationships/hyperlink" Target="https://www.inaturalist.org/observations/400363081" TargetMode="External"/><Relationship Id="rId5877" Type="http://schemas.openxmlformats.org/officeDocument/2006/relationships/hyperlink" Target="https://creativecommons.org/licenses/by-nc/4.0/" TargetMode="External"/><Relationship Id="rId5878" Type="http://schemas.openxmlformats.org/officeDocument/2006/relationships/hyperlink" Target="https://www.inaturalist.org/observations/400361766" TargetMode="External"/><Relationship Id="rId5879" Type="http://schemas.openxmlformats.org/officeDocument/2006/relationships/hyperlink" Target="https://creativecommons.org/licenses/by-nc/4.0/" TargetMode="External"/><Relationship Id="rId5880" Type="http://schemas.openxmlformats.org/officeDocument/2006/relationships/hyperlink" Target="https://www.inaturalist.org/observations/40036174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137"/>
  <sheetViews>
    <sheetView showFormulas="false" showGridLines="true" showRowColHeaders="true" showZeros="true" rightToLeft="false" tabSelected="true" showOutlineSymbols="true" defaultGridColor="true" view="normal" topLeftCell="F1861" colorId="64" zoomScale="100" zoomScaleNormal="100" zoomScalePageLayoutView="100" workbookViewId="0">
      <selection pane="topLeft" activeCell="G1888" activeCellId="0" sqref="G188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63"/>
    <col collapsed="false" customWidth="true" hidden="false" outlineLevel="0" max="6" min="2" style="1" width="44"/>
    <col collapsed="false" customWidth="true" hidden="false" outlineLevel="0" max="7" min="7" style="2" width="49.88"/>
    <col collapsed="false" customWidth="true" hidden="false" outlineLevel="0" max="8" min="8" style="1" width="76.48"/>
    <col collapsed="false" customWidth="true" hidden="false" outlineLevel="0" max="9" min="9" style="1" width="44"/>
  </cols>
  <sheetData>
    <row r="1" customFormat="false" ht="15.75" hidden="false" customHeight="false" outlineLevel="0" collapsed="false">
      <c r="B1" s="3"/>
      <c r="C1" s="3"/>
      <c r="D1" s="3"/>
      <c r="E1" s="3"/>
      <c r="F1" s="3"/>
      <c r="G1" s="4"/>
      <c r="H1" s="3"/>
      <c r="I1" s="3"/>
    </row>
    <row r="2" customFormat="false" ht="15.75" hidden="false" customHeight="false" outlineLevel="0" collapsed="false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5" t="s">
        <v>6</v>
      </c>
      <c r="I2" s="5" t="s">
        <v>7</v>
      </c>
    </row>
    <row r="3" customFormat="false" ht="15.75" hidden="false" customHeight="false" outlineLevel="0" collapsed="false">
      <c r="B3" s="7" t="n">
        <v>46210</v>
      </c>
      <c r="C3" s="3" t="s">
        <v>8</v>
      </c>
      <c r="D3" s="3" t="s">
        <v>9</v>
      </c>
      <c r="E3" s="3" t="s">
        <v>10</v>
      </c>
      <c r="F3" s="3" t="s">
        <v>11</v>
      </c>
      <c r="G3" s="8" t="s">
        <v>12</v>
      </c>
      <c r="H3" s="9" t="s">
        <v>13</v>
      </c>
      <c r="I3" s="9" t="s">
        <v>14</v>
      </c>
    </row>
    <row r="4" customFormat="false" ht="15.75" hidden="false" customHeight="false" outlineLevel="0" collapsed="false">
      <c r="B4" s="7" t="n">
        <v>46210</v>
      </c>
      <c r="C4" s="3" t="s">
        <v>15</v>
      </c>
      <c r="D4" s="3" t="s">
        <v>9</v>
      </c>
      <c r="E4" s="3" t="s">
        <v>10</v>
      </c>
      <c r="F4" s="3" t="s">
        <v>11</v>
      </c>
      <c r="G4" s="8" t="s">
        <v>12</v>
      </c>
      <c r="H4" s="9" t="s">
        <v>13</v>
      </c>
      <c r="I4" s="9" t="s">
        <v>14</v>
      </c>
    </row>
    <row r="5" customFormat="false" ht="15.75" hidden="false" customHeight="false" outlineLevel="0" collapsed="false">
      <c r="B5" s="7" t="n">
        <v>46210</v>
      </c>
      <c r="C5" s="3" t="s">
        <v>16</v>
      </c>
      <c r="D5" s="3" t="s">
        <v>9</v>
      </c>
      <c r="E5" s="3" t="s">
        <v>10</v>
      </c>
      <c r="F5" s="3" t="s">
        <v>11</v>
      </c>
      <c r="G5" s="10" t="s">
        <v>17</v>
      </c>
      <c r="H5" s="9" t="s">
        <v>13</v>
      </c>
      <c r="I5" s="9" t="s">
        <v>18</v>
      </c>
    </row>
    <row r="6" customFormat="false" ht="15.75" hidden="false" customHeight="false" outlineLevel="0" collapsed="false">
      <c r="B6" s="7" t="n">
        <v>46210</v>
      </c>
      <c r="C6" s="3" t="s">
        <v>19</v>
      </c>
      <c r="D6" s="3" t="s">
        <v>9</v>
      </c>
      <c r="E6" s="3" t="s">
        <v>10</v>
      </c>
      <c r="F6" s="3" t="s">
        <v>11</v>
      </c>
      <c r="G6" s="10" t="s">
        <v>20</v>
      </c>
      <c r="H6" s="9" t="s">
        <v>13</v>
      </c>
      <c r="I6" s="9" t="s">
        <v>21</v>
      </c>
    </row>
    <row r="7" customFormat="false" ht="15.75" hidden="false" customHeight="false" outlineLevel="0" collapsed="false">
      <c r="B7" s="7" t="n">
        <v>46210</v>
      </c>
      <c r="C7" s="3" t="s">
        <v>22</v>
      </c>
      <c r="D7" s="3" t="s">
        <v>9</v>
      </c>
      <c r="E7" s="3" t="s">
        <v>10</v>
      </c>
      <c r="F7" s="3" t="s">
        <v>11</v>
      </c>
      <c r="G7" s="10" t="s">
        <v>20</v>
      </c>
      <c r="H7" s="9" t="s">
        <v>13</v>
      </c>
      <c r="I7" s="9" t="s">
        <v>23</v>
      </c>
    </row>
    <row r="8" customFormat="false" ht="15.75" hidden="false" customHeight="false" outlineLevel="0" collapsed="false">
      <c r="B8" s="7" t="n">
        <v>46210</v>
      </c>
      <c r="C8" s="3" t="s">
        <v>24</v>
      </c>
      <c r="D8" s="3" t="s">
        <v>9</v>
      </c>
      <c r="E8" s="3" t="s">
        <v>10</v>
      </c>
      <c r="F8" s="3" t="s">
        <v>11</v>
      </c>
      <c r="G8" s="10" t="s">
        <v>20</v>
      </c>
      <c r="H8" s="9" t="s">
        <v>13</v>
      </c>
      <c r="I8" s="9" t="s">
        <v>25</v>
      </c>
    </row>
    <row r="9" customFormat="false" ht="15.75" hidden="false" customHeight="false" outlineLevel="0" collapsed="false">
      <c r="B9" s="7" t="n">
        <v>46210</v>
      </c>
      <c r="C9" s="3" t="s">
        <v>26</v>
      </c>
      <c r="D9" s="3" t="s">
        <v>9</v>
      </c>
      <c r="E9" s="3" t="s">
        <v>10</v>
      </c>
      <c r="F9" s="3" t="s">
        <v>11</v>
      </c>
      <c r="G9" s="10" t="s">
        <v>27</v>
      </c>
      <c r="H9" s="9" t="s">
        <v>13</v>
      </c>
      <c r="I9" s="9" t="s">
        <v>28</v>
      </c>
    </row>
    <row r="10" customFormat="false" ht="15.75" hidden="false" customHeight="false" outlineLevel="0" collapsed="false">
      <c r="B10" s="7" t="n">
        <v>46210</v>
      </c>
      <c r="C10" s="3" t="s">
        <v>29</v>
      </c>
      <c r="D10" s="3" t="s">
        <v>9</v>
      </c>
      <c r="E10" s="3" t="s">
        <v>10</v>
      </c>
      <c r="F10" s="3" t="s">
        <v>11</v>
      </c>
      <c r="G10" s="10" t="s">
        <v>27</v>
      </c>
      <c r="H10" s="9" t="s">
        <v>13</v>
      </c>
      <c r="I10" s="9" t="s">
        <v>30</v>
      </c>
    </row>
    <row r="11" customFormat="false" ht="15.75" hidden="false" customHeight="false" outlineLevel="0" collapsed="false">
      <c r="B11" s="7" t="n">
        <v>46210</v>
      </c>
      <c r="C11" s="3" t="s">
        <v>31</v>
      </c>
      <c r="D11" s="3" t="s">
        <v>9</v>
      </c>
      <c r="E11" s="3" t="s">
        <v>10</v>
      </c>
      <c r="F11" s="3" t="s">
        <v>11</v>
      </c>
      <c r="G11" s="10" t="s">
        <v>32</v>
      </c>
      <c r="H11" s="9" t="s">
        <v>13</v>
      </c>
      <c r="I11" s="9" t="s">
        <v>33</v>
      </c>
    </row>
    <row r="12" customFormat="false" ht="15.75" hidden="false" customHeight="false" outlineLevel="0" collapsed="false">
      <c r="B12" s="7" t="n">
        <v>46210</v>
      </c>
      <c r="C12" s="3" t="s">
        <v>34</v>
      </c>
      <c r="D12" s="3" t="s">
        <v>9</v>
      </c>
      <c r="E12" s="3" t="s">
        <v>10</v>
      </c>
      <c r="F12" s="3" t="s">
        <v>11</v>
      </c>
      <c r="G12" s="10" t="s">
        <v>32</v>
      </c>
      <c r="H12" s="9" t="s">
        <v>13</v>
      </c>
      <c r="I12" s="9" t="s">
        <v>33</v>
      </c>
    </row>
    <row r="13" customFormat="false" ht="15.75" hidden="false" customHeight="false" outlineLevel="0" collapsed="false">
      <c r="B13" s="7" t="n">
        <v>46210</v>
      </c>
      <c r="C13" s="3" t="s">
        <v>35</v>
      </c>
      <c r="D13" s="3" t="s">
        <v>9</v>
      </c>
      <c r="E13" s="3" t="s">
        <v>10</v>
      </c>
      <c r="F13" s="3" t="s">
        <v>11</v>
      </c>
      <c r="G13" s="10" t="s">
        <v>32</v>
      </c>
      <c r="H13" s="9" t="s">
        <v>13</v>
      </c>
      <c r="I13" s="9" t="s">
        <v>33</v>
      </c>
    </row>
    <row r="14" customFormat="false" ht="15.75" hidden="false" customHeight="false" outlineLevel="0" collapsed="false">
      <c r="B14" s="7" t="n">
        <v>46210</v>
      </c>
      <c r="C14" s="3" t="s">
        <v>36</v>
      </c>
      <c r="D14" s="3" t="s">
        <v>9</v>
      </c>
      <c r="E14" s="3" t="s">
        <v>10</v>
      </c>
      <c r="F14" s="3" t="s">
        <v>11</v>
      </c>
      <c r="G14" s="10" t="s">
        <v>27</v>
      </c>
      <c r="H14" s="9" t="s">
        <v>13</v>
      </c>
      <c r="I14" s="9" t="s">
        <v>37</v>
      </c>
    </row>
    <row r="15" customFormat="false" ht="15.75" hidden="false" customHeight="false" outlineLevel="0" collapsed="false">
      <c r="B15" s="7" t="n">
        <v>46210</v>
      </c>
      <c r="C15" s="3" t="s">
        <v>38</v>
      </c>
      <c r="D15" s="3" t="s">
        <v>9</v>
      </c>
      <c r="E15" s="3" t="s">
        <v>10</v>
      </c>
      <c r="F15" s="3" t="s">
        <v>11</v>
      </c>
      <c r="G15" s="10" t="s">
        <v>27</v>
      </c>
      <c r="H15" s="9" t="s">
        <v>13</v>
      </c>
      <c r="I15" s="9" t="s">
        <v>37</v>
      </c>
    </row>
    <row r="16" customFormat="false" ht="15.75" hidden="false" customHeight="false" outlineLevel="0" collapsed="false">
      <c r="B16" s="7" t="n">
        <v>46210</v>
      </c>
      <c r="C16" s="3" t="s">
        <v>39</v>
      </c>
      <c r="D16" s="3" t="s">
        <v>9</v>
      </c>
      <c r="E16" s="3" t="s">
        <v>10</v>
      </c>
      <c r="F16" s="3" t="s">
        <v>11</v>
      </c>
      <c r="G16" s="10" t="s">
        <v>27</v>
      </c>
      <c r="H16" s="9" t="s">
        <v>13</v>
      </c>
      <c r="I16" s="9" t="s">
        <v>37</v>
      </c>
    </row>
    <row r="17" customFormat="false" ht="15.75" hidden="false" customHeight="false" outlineLevel="0" collapsed="false">
      <c r="B17" s="7" t="n">
        <v>46210</v>
      </c>
      <c r="C17" s="3" t="s">
        <v>40</v>
      </c>
      <c r="D17" s="3" t="s">
        <v>9</v>
      </c>
      <c r="E17" s="3" t="s">
        <v>10</v>
      </c>
      <c r="F17" s="3" t="s">
        <v>11</v>
      </c>
      <c r="G17" s="10" t="s">
        <v>41</v>
      </c>
      <c r="H17" s="9" t="s">
        <v>13</v>
      </c>
      <c r="I17" s="9" t="s">
        <v>42</v>
      </c>
    </row>
    <row r="18" customFormat="false" ht="15.75" hidden="false" customHeight="false" outlineLevel="0" collapsed="false">
      <c r="B18" s="7" t="n">
        <v>46210</v>
      </c>
      <c r="C18" s="3" t="s">
        <v>43</v>
      </c>
      <c r="D18" s="3" t="s">
        <v>9</v>
      </c>
      <c r="E18" s="3" t="s">
        <v>10</v>
      </c>
      <c r="F18" s="3" t="s">
        <v>11</v>
      </c>
      <c r="G18" s="10" t="s">
        <v>44</v>
      </c>
      <c r="H18" s="9" t="s">
        <v>13</v>
      </c>
      <c r="I18" s="9" t="s">
        <v>45</v>
      </c>
    </row>
    <row r="19" customFormat="false" ht="15.75" hidden="false" customHeight="false" outlineLevel="0" collapsed="false">
      <c r="B19" s="7" t="n">
        <v>46210</v>
      </c>
      <c r="C19" s="3" t="s">
        <v>46</v>
      </c>
      <c r="D19" s="3" t="s">
        <v>9</v>
      </c>
      <c r="E19" s="3" t="s">
        <v>10</v>
      </c>
      <c r="F19" s="3" t="s">
        <v>11</v>
      </c>
      <c r="G19" s="10" t="s">
        <v>44</v>
      </c>
      <c r="H19" s="9" t="s">
        <v>13</v>
      </c>
      <c r="I19" s="9" t="s">
        <v>45</v>
      </c>
    </row>
    <row r="20" customFormat="false" ht="15.75" hidden="false" customHeight="false" outlineLevel="0" collapsed="false">
      <c r="B20" s="7" t="n">
        <v>46210</v>
      </c>
      <c r="C20" s="3" t="s">
        <v>47</v>
      </c>
      <c r="D20" s="3" t="s">
        <v>9</v>
      </c>
      <c r="E20" s="3" t="s">
        <v>10</v>
      </c>
      <c r="F20" s="3" t="s">
        <v>11</v>
      </c>
      <c r="G20" s="8" t="s">
        <v>48</v>
      </c>
      <c r="H20" s="9" t="s">
        <v>13</v>
      </c>
      <c r="I20" s="9" t="s">
        <v>49</v>
      </c>
    </row>
    <row r="21" customFormat="false" ht="15.75" hidden="false" customHeight="false" outlineLevel="0" collapsed="false">
      <c r="B21" s="7" t="n">
        <v>46210</v>
      </c>
      <c r="C21" s="3" t="s">
        <v>50</v>
      </c>
      <c r="D21" s="3" t="s">
        <v>9</v>
      </c>
      <c r="E21" s="3" t="s">
        <v>10</v>
      </c>
      <c r="F21" s="3" t="s">
        <v>11</v>
      </c>
      <c r="G21" s="10" t="s">
        <v>51</v>
      </c>
      <c r="H21" s="9" t="s">
        <v>13</v>
      </c>
      <c r="I21" s="9" t="s">
        <v>52</v>
      </c>
    </row>
    <row r="22" customFormat="false" ht="15.75" hidden="false" customHeight="false" outlineLevel="0" collapsed="false">
      <c r="B22" s="7" t="n">
        <v>46210</v>
      </c>
      <c r="C22" s="3" t="s">
        <v>53</v>
      </c>
      <c r="D22" s="3" t="s">
        <v>9</v>
      </c>
      <c r="E22" s="3" t="s">
        <v>10</v>
      </c>
      <c r="F22" s="3" t="s">
        <v>11</v>
      </c>
      <c r="G22" s="10" t="s">
        <v>54</v>
      </c>
      <c r="H22" s="9" t="s">
        <v>13</v>
      </c>
      <c r="I22" s="9" t="s">
        <v>55</v>
      </c>
    </row>
    <row r="23" customFormat="false" ht="15.75" hidden="false" customHeight="false" outlineLevel="0" collapsed="false">
      <c r="B23" s="7" t="n">
        <v>46210</v>
      </c>
      <c r="C23" s="3" t="s">
        <v>56</v>
      </c>
      <c r="D23" s="3" t="s">
        <v>9</v>
      </c>
      <c r="E23" s="3" t="s">
        <v>10</v>
      </c>
      <c r="F23" s="3" t="s">
        <v>11</v>
      </c>
      <c r="G23" s="10" t="s">
        <v>57</v>
      </c>
      <c r="H23" s="9" t="s">
        <v>13</v>
      </c>
      <c r="I23" s="9" t="s">
        <v>58</v>
      </c>
    </row>
    <row r="24" customFormat="false" ht="15.75" hidden="false" customHeight="false" outlineLevel="0" collapsed="false">
      <c r="B24" s="7" t="n">
        <v>46210</v>
      </c>
      <c r="C24" s="3" t="s">
        <v>59</v>
      </c>
      <c r="D24" s="3" t="s">
        <v>9</v>
      </c>
      <c r="E24" s="3" t="s">
        <v>10</v>
      </c>
      <c r="F24" s="3" t="s">
        <v>11</v>
      </c>
      <c r="G24" s="10" t="s">
        <v>60</v>
      </c>
      <c r="H24" s="9" t="s">
        <v>13</v>
      </c>
      <c r="I24" s="9" t="s">
        <v>61</v>
      </c>
    </row>
    <row r="25" customFormat="false" ht="15.75" hidden="false" customHeight="false" outlineLevel="0" collapsed="false">
      <c r="B25" s="7" t="n">
        <v>46210</v>
      </c>
      <c r="C25" s="3" t="s">
        <v>62</v>
      </c>
      <c r="D25" s="3" t="s">
        <v>9</v>
      </c>
      <c r="E25" s="3" t="s">
        <v>10</v>
      </c>
      <c r="F25" s="3" t="s">
        <v>11</v>
      </c>
      <c r="G25" s="10" t="s">
        <v>63</v>
      </c>
      <c r="H25" s="9" t="s">
        <v>13</v>
      </c>
      <c r="I25" s="9" t="s">
        <v>64</v>
      </c>
    </row>
    <row r="26" customFormat="false" ht="15.75" hidden="false" customHeight="false" outlineLevel="0" collapsed="false">
      <c r="B26" s="7" t="n">
        <v>46210</v>
      </c>
      <c r="C26" s="3" t="s">
        <v>65</v>
      </c>
      <c r="D26" s="3" t="s">
        <v>9</v>
      </c>
      <c r="E26" s="3" t="s">
        <v>10</v>
      </c>
      <c r="F26" s="3" t="s">
        <v>11</v>
      </c>
      <c r="G26" s="10" t="s">
        <v>63</v>
      </c>
      <c r="H26" s="9" t="s">
        <v>13</v>
      </c>
      <c r="I26" s="9" t="s">
        <v>64</v>
      </c>
    </row>
    <row r="27" customFormat="false" ht="15.75" hidden="false" customHeight="false" outlineLevel="0" collapsed="false">
      <c r="B27" s="7" t="n">
        <v>46210</v>
      </c>
      <c r="C27" s="3" t="s">
        <v>66</v>
      </c>
      <c r="D27" s="3" t="s">
        <v>9</v>
      </c>
      <c r="E27" s="3" t="s">
        <v>10</v>
      </c>
      <c r="F27" s="3" t="s">
        <v>11</v>
      </c>
      <c r="G27" s="10" t="s">
        <v>67</v>
      </c>
      <c r="H27" s="9" t="s">
        <v>13</v>
      </c>
      <c r="I27" s="9" t="s">
        <v>68</v>
      </c>
    </row>
    <row r="28" customFormat="false" ht="15.75" hidden="false" customHeight="false" outlineLevel="0" collapsed="false">
      <c r="B28" s="7" t="n">
        <v>46210</v>
      </c>
      <c r="C28" s="3" t="s">
        <v>69</v>
      </c>
      <c r="D28" s="3" t="s">
        <v>9</v>
      </c>
      <c r="E28" s="3" t="s">
        <v>10</v>
      </c>
      <c r="F28" s="3" t="s">
        <v>11</v>
      </c>
      <c r="G28" s="10" t="s">
        <v>70</v>
      </c>
      <c r="H28" s="9" t="s">
        <v>13</v>
      </c>
      <c r="I28" s="9" t="s">
        <v>71</v>
      </c>
    </row>
    <row r="29" customFormat="false" ht="15.75" hidden="false" customHeight="false" outlineLevel="0" collapsed="false">
      <c r="B29" s="7" t="n">
        <v>46210</v>
      </c>
      <c r="C29" s="3" t="s">
        <v>72</v>
      </c>
      <c r="D29" s="3" t="s">
        <v>9</v>
      </c>
      <c r="E29" s="3" t="s">
        <v>10</v>
      </c>
      <c r="F29" s="3" t="s">
        <v>11</v>
      </c>
      <c r="G29" s="8" t="s">
        <v>73</v>
      </c>
      <c r="H29" s="9" t="s">
        <v>13</v>
      </c>
      <c r="I29" s="9" t="s">
        <v>74</v>
      </c>
    </row>
    <row r="30" customFormat="false" ht="15.75" hidden="false" customHeight="false" outlineLevel="0" collapsed="false">
      <c r="B30" s="7" t="n">
        <v>46210</v>
      </c>
      <c r="C30" s="3" t="s">
        <v>75</v>
      </c>
      <c r="D30" s="3" t="s">
        <v>9</v>
      </c>
      <c r="E30" s="3" t="s">
        <v>10</v>
      </c>
      <c r="F30" s="3" t="s">
        <v>11</v>
      </c>
      <c r="G30" s="8" t="s">
        <v>76</v>
      </c>
      <c r="H30" s="9" t="s">
        <v>13</v>
      </c>
      <c r="I30" s="9" t="s">
        <v>77</v>
      </c>
    </row>
    <row r="31" customFormat="false" ht="15.75" hidden="false" customHeight="false" outlineLevel="0" collapsed="false">
      <c r="B31" s="7" t="n">
        <v>46210</v>
      </c>
      <c r="C31" s="3" t="s">
        <v>78</v>
      </c>
      <c r="D31" s="3" t="s">
        <v>9</v>
      </c>
      <c r="E31" s="3" t="s">
        <v>10</v>
      </c>
      <c r="F31" s="3" t="s">
        <v>11</v>
      </c>
      <c r="G31" s="8" t="s">
        <v>79</v>
      </c>
      <c r="H31" s="9" t="s">
        <v>13</v>
      </c>
      <c r="I31" s="9" t="s">
        <v>80</v>
      </c>
    </row>
    <row r="32" customFormat="false" ht="15.75" hidden="false" customHeight="false" outlineLevel="0" collapsed="false">
      <c r="B32" s="7" t="n">
        <v>46210</v>
      </c>
      <c r="C32" s="3" t="s">
        <v>81</v>
      </c>
      <c r="D32" s="3" t="s">
        <v>9</v>
      </c>
      <c r="E32" s="3" t="s">
        <v>10</v>
      </c>
      <c r="F32" s="3" t="s">
        <v>11</v>
      </c>
      <c r="G32" s="10" t="s">
        <v>82</v>
      </c>
      <c r="H32" s="9" t="s">
        <v>13</v>
      </c>
      <c r="I32" s="9" t="s">
        <v>83</v>
      </c>
    </row>
    <row r="33" customFormat="false" ht="15.75" hidden="false" customHeight="false" outlineLevel="0" collapsed="false">
      <c r="B33" s="7" t="n">
        <v>46210</v>
      </c>
      <c r="C33" s="3" t="s">
        <v>84</v>
      </c>
      <c r="D33" s="3" t="s">
        <v>9</v>
      </c>
      <c r="E33" s="3" t="s">
        <v>10</v>
      </c>
      <c r="F33" s="3" t="s">
        <v>11</v>
      </c>
      <c r="G33" s="8" t="s">
        <v>85</v>
      </c>
      <c r="H33" s="9" t="s">
        <v>13</v>
      </c>
      <c r="I33" s="9" t="s">
        <v>86</v>
      </c>
    </row>
    <row r="34" customFormat="false" ht="15.75" hidden="false" customHeight="false" outlineLevel="0" collapsed="false">
      <c r="B34" s="7" t="n">
        <v>46210</v>
      </c>
      <c r="C34" s="3" t="s">
        <v>87</v>
      </c>
      <c r="D34" s="3" t="s">
        <v>9</v>
      </c>
      <c r="E34" s="3" t="s">
        <v>10</v>
      </c>
      <c r="F34" s="3" t="s">
        <v>11</v>
      </c>
      <c r="G34" s="10" t="s">
        <v>88</v>
      </c>
      <c r="H34" s="9" t="s">
        <v>13</v>
      </c>
      <c r="I34" s="9" t="s">
        <v>89</v>
      </c>
    </row>
    <row r="35" customFormat="false" ht="15.75" hidden="false" customHeight="false" outlineLevel="0" collapsed="false">
      <c r="B35" s="7" t="n">
        <v>46210</v>
      </c>
      <c r="C35" s="3" t="s">
        <v>90</v>
      </c>
      <c r="D35" s="3" t="s">
        <v>9</v>
      </c>
      <c r="E35" s="3" t="s">
        <v>10</v>
      </c>
      <c r="F35" s="3" t="s">
        <v>11</v>
      </c>
      <c r="G35" s="10" t="s">
        <v>91</v>
      </c>
      <c r="H35" s="9" t="s">
        <v>13</v>
      </c>
      <c r="I35" s="9" t="s">
        <v>92</v>
      </c>
    </row>
    <row r="36" customFormat="false" ht="15.75" hidden="false" customHeight="false" outlineLevel="0" collapsed="false">
      <c r="B36" s="7" t="n">
        <v>46210</v>
      </c>
      <c r="C36" s="3" t="s">
        <v>93</v>
      </c>
      <c r="D36" s="3" t="s">
        <v>9</v>
      </c>
      <c r="E36" s="3" t="s">
        <v>10</v>
      </c>
      <c r="F36" s="3" t="s">
        <v>11</v>
      </c>
      <c r="G36" s="10" t="s">
        <v>91</v>
      </c>
      <c r="H36" s="9" t="s">
        <v>13</v>
      </c>
      <c r="I36" s="9" t="s">
        <v>94</v>
      </c>
    </row>
    <row r="37" customFormat="false" ht="15.75" hidden="false" customHeight="false" outlineLevel="0" collapsed="false">
      <c r="B37" s="7" t="n">
        <v>46210</v>
      </c>
      <c r="C37" s="3" t="s">
        <v>95</v>
      </c>
      <c r="D37" s="3" t="s">
        <v>9</v>
      </c>
      <c r="E37" s="3" t="s">
        <v>10</v>
      </c>
      <c r="F37" s="3" t="s">
        <v>11</v>
      </c>
      <c r="G37" s="8" t="s">
        <v>96</v>
      </c>
      <c r="H37" s="9" t="s">
        <v>13</v>
      </c>
      <c r="I37" s="9" t="s">
        <v>97</v>
      </c>
    </row>
    <row r="38" customFormat="false" ht="15.75" hidden="false" customHeight="false" outlineLevel="0" collapsed="false">
      <c r="B38" s="7" t="n">
        <v>46210</v>
      </c>
      <c r="C38" s="3" t="s">
        <v>98</v>
      </c>
      <c r="D38" s="3" t="s">
        <v>9</v>
      </c>
      <c r="E38" s="3" t="s">
        <v>10</v>
      </c>
      <c r="F38" s="3" t="s">
        <v>99</v>
      </c>
      <c r="G38" s="10" t="s">
        <v>100</v>
      </c>
      <c r="H38" s="9" t="s">
        <v>13</v>
      </c>
      <c r="I38" s="9" t="s">
        <v>101</v>
      </c>
    </row>
    <row r="39" customFormat="false" ht="15.75" hidden="false" customHeight="false" outlineLevel="0" collapsed="false">
      <c r="B39" s="7" t="n">
        <v>46210</v>
      </c>
      <c r="C39" s="3" t="s">
        <v>102</v>
      </c>
      <c r="D39" s="3" t="s">
        <v>9</v>
      </c>
      <c r="E39" s="3" t="s">
        <v>10</v>
      </c>
      <c r="F39" s="3" t="s">
        <v>99</v>
      </c>
      <c r="G39" s="10" t="s">
        <v>103</v>
      </c>
      <c r="H39" s="9" t="s">
        <v>13</v>
      </c>
      <c r="I39" s="9" t="s">
        <v>104</v>
      </c>
    </row>
    <row r="40" customFormat="false" ht="15.75" hidden="false" customHeight="false" outlineLevel="0" collapsed="false">
      <c r="B40" s="7" t="n">
        <v>46210</v>
      </c>
      <c r="C40" s="3" t="s">
        <v>105</v>
      </c>
      <c r="D40" s="3" t="s">
        <v>9</v>
      </c>
      <c r="E40" s="3" t="s">
        <v>10</v>
      </c>
      <c r="F40" s="3" t="s">
        <v>99</v>
      </c>
      <c r="G40" s="10" t="s">
        <v>103</v>
      </c>
      <c r="H40" s="9" t="s">
        <v>13</v>
      </c>
      <c r="I40" s="9" t="s">
        <v>104</v>
      </c>
    </row>
    <row r="41" customFormat="false" ht="15.75" hidden="false" customHeight="false" outlineLevel="0" collapsed="false">
      <c r="B41" s="7" t="n">
        <v>46210</v>
      </c>
      <c r="C41" s="3" t="s">
        <v>106</v>
      </c>
      <c r="D41" s="3" t="s">
        <v>9</v>
      </c>
      <c r="E41" s="3" t="s">
        <v>10</v>
      </c>
      <c r="F41" s="3" t="s">
        <v>99</v>
      </c>
      <c r="G41" s="10" t="s">
        <v>103</v>
      </c>
      <c r="H41" s="9" t="s">
        <v>13</v>
      </c>
      <c r="I41" s="9" t="s">
        <v>104</v>
      </c>
    </row>
    <row r="42" customFormat="false" ht="15.75" hidden="false" customHeight="false" outlineLevel="0" collapsed="false">
      <c r="B42" s="7" t="n">
        <v>46210</v>
      </c>
      <c r="C42" s="3" t="s">
        <v>107</v>
      </c>
      <c r="D42" s="3" t="s">
        <v>9</v>
      </c>
      <c r="E42" s="3" t="s">
        <v>10</v>
      </c>
      <c r="F42" s="3" t="s">
        <v>99</v>
      </c>
      <c r="G42" s="10" t="s">
        <v>108</v>
      </c>
      <c r="H42" s="9" t="s">
        <v>13</v>
      </c>
      <c r="I42" s="9" t="s">
        <v>109</v>
      </c>
    </row>
    <row r="43" customFormat="false" ht="15.75" hidden="false" customHeight="false" outlineLevel="0" collapsed="false">
      <c r="B43" s="7" t="n">
        <v>46210</v>
      </c>
      <c r="C43" s="3" t="s">
        <v>110</v>
      </c>
      <c r="D43" s="3" t="s">
        <v>9</v>
      </c>
      <c r="E43" s="3" t="s">
        <v>10</v>
      </c>
      <c r="F43" s="3" t="s">
        <v>99</v>
      </c>
      <c r="G43" s="10" t="s">
        <v>108</v>
      </c>
      <c r="H43" s="9" t="s">
        <v>13</v>
      </c>
      <c r="I43" s="9" t="s">
        <v>109</v>
      </c>
    </row>
    <row r="44" customFormat="false" ht="15.75" hidden="false" customHeight="false" outlineLevel="0" collapsed="false">
      <c r="B44" s="7" t="n">
        <v>46210</v>
      </c>
      <c r="C44" s="3" t="s">
        <v>111</v>
      </c>
      <c r="D44" s="3" t="s">
        <v>9</v>
      </c>
      <c r="E44" s="3" t="s">
        <v>10</v>
      </c>
      <c r="F44" s="3" t="s">
        <v>99</v>
      </c>
      <c r="G44" s="8" t="s">
        <v>112</v>
      </c>
      <c r="H44" s="9" t="s">
        <v>13</v>
      </c>
      <c r="I44" s="9" t="s">
        <v>113</v>
      </c>
    </row>
    <row r="45" customFormat="false" ht="15.75" hidden="false" customHeight="false" outlineLevel="0" collapsed="false">
      <c r="B45" s="7" t="n">
        <v>46210</v>
      </c>
      <c r="C45" s="3" t="s">
        <v>114</v>
      </c>
      <c r="D45" s="3" t="s">
        <v>9</v>
      </c>
      <c r="E45" s="3" t="s">
        <v>10</v>
      </c>
      <c r="F45" s="3" t="s">
        <v>99</v>
      </c>
      <c r="G45" s="8" t="s">
        <v>115</v>
      </c>
      <c r="H45" s="9" t="s">
        <v>13</v>
      </c>
      <c r="I45" s="9" t="s">
        <v>116</v>
      </c>
    </row>
    <row r="46" customFormat="false" ht="15.75" hidden="false" customHeight="false" outlineLevel="0" collapsed="false">
      <c r="B46" s="7" t="n">
        <v>46210</v>
      </c>
      <c r="C46" s="3" t="s">
        <v>117</v>
      </c>
      <c r="D46" s="3" t="s">
        <v>9</v>
      </c>
      <c r="E46" s="3" t="s">
        <v>10</v>
      </c>
      <c r="F46" s="3" t="s">
        <v>99</v>
      </c>
      <c r="G46" s="10" t="s">
        <v>103</v>
      </c>
      <c r="H46" s="9" t="s">
        <v>13</v>
      </c>
      <c r="I46" s="9" t="s">
        <v>118</v>
      </c>
    </row>
    <row r="47" customFormat="false" ht="15.75" hidden="false" customHeight="false" outlineLevel="0" collapsed="false">
      <c r="B47" s="7" t="n">
        <v>46210</v>
      </c>
      <c r="C47" s="3" t="s">
        <v>119</v>
      </c>
      <c r="D47" s="3" t="s">
        <v>9</v>
      </c>
      <c r="E47" s="3" t="s">
        <v>10</v>
      </c>
      <c r="F47" s="3" t="s">
        <v>99</v>
      </c>
      <c r="G47" s="10" t="s">
        <v>120</v>
      </c>
      <c r="H47" s="9" t="s">
        <v>13</v>
      </c>
      <c r="I47" s="9" t="s">
        <v>121</v>
      </c>
    </row>
    <row r="48" customFormat="false" ht="15.75" hidden="false" customHeight="false" outlineLevel="0" collapsed="false">
      <c r="B48" s="7" t="n">
        <v>46210</v>
      </c>
      <c r="C48" s="3" t="s">
        <v>122</v>
      </c>
      <c r="D48" s="3" t="s">
        <v>9</v>
      </c>
      <c r="E48" s="3" t="s">
        <v>10</v>
      </c>
      <c r="F48" s="3" t="s">
        <v>99</v>
      </c>
      <c r="G48" s="10" t="s">
        <v>123</v>
      </c>
      <c r="H48" s="9" t="s">
        <v>13</v>
      </c>
      <c r="I48" s="9" t="s">
        <v>124</v>
      </c>
    </row>
    <row r="49" customFormat="false" ht="15.75" hidden="false" customHeight="false" outlineLevel="0" collapsed="false">
      <c r="B49" s="7" t="n">
        <v>46210</v>
      </c>
      <c r="C49" s="3" t="s">
        <v>125</v>
      </c>
      <c r="D49" s="3" t="s">
        <v>9</v>
      </c>
      <c r="E49" s="3" t="s">
        <v>10</v>
      </c>
      <c r="F49" s="3" t="s">
        <v>99</v>
      </c>
      <c r="G49" s="10" t="s">
        <v>126</v>
      </c>
      <c r="H49" s="9" t="s">
        <v>13</v>
      </c>
      <c r="I49" s="9" t="s">
        <v>127</v>
      </c>
    </row>
    <row r="50" customFormat="false" ht="15.75" hidden="false" customHeight="false" outlineLevel="0" collapsed="false">
      <c r="B50" s="7" t="n">
        <v>46210</v>
      </c>
      <c r="C50" s="3" t="s">
        <v>128</v>
      </c>
      <c r="D50" s="3" t="s">
        <v>9</v>
      </c>
      <c r="E50" s="3" t="s">
        <v>10</v>
      </c>
      <c r="F50" s="3" t="s">
        <v>99</v>
      </c>
      <c r="G50" s="10" t="s">
        <v>126</v>
      </c>
      <c r="H50" s="9" t="s">
        <v>13</v>
      </c>
      <c r="I50" s="9" t="s">
        <v>127</v>
      </c>
    </row>
    <row r="51" customFormat="false" ht="15.75" hidden="false" customHeight="false" outlineLevel="0" collapsed="false">
      <c r="B51" s="7" t="n">
        <v>46210</v>
      </c>
      <c r="C51" s="3" t="s">
        <v>129</v>
      </c>
      <c r="D51" s="3" t="s">
        <v>9</v>
      </c>
      <c r="E51" s="3" t="s">
        <v>10</v>
      </c>
      <c r="F51" s="3" t="s">
        <v>99</v>
      </c>
      <c r="G51" s="10" t="s">
        <v>126</v>
      </c>
      <c r="H51" s="9" t="s">
        <v>13</v>
      </c>
      <c r="I51" s="9" t="s">
        <v>127</v>
      </c>
    </row>
    <row r="52" customFormat="false" ht="15.75" hidden="false" customHeight="false" outlineLevel="0" collapsed="false">
      <c r="B52" s="7" t="n">
        <v>46210</v>
      </c>
      <c r="C52" s="3" t="s">
        <v>130</v>
      </c>
      <c r="D52" s="3" t="s">
        <v>9</v>
      </c>
      <c r="E52" s="3" t="s">
        <v>10</v>
      </c>
      <c r="F52" s="3" t="s">
        <v>99</v>
      </c>
      <c r="G52" s="10" t="s">
        <v>123</v>
      </c>
      <c r="H52" s="9" t="s">
        <v>13</v>
      </c>
      <c r="I52" s="9" t="s">
        <v>131</v>
      </c>
    </row>
    <row r="53" customFormat="false" ht="15.75" hidden="false" customHeight="false" outlineLevel="0" collapsed="false">
      <c r="B53" s="7" t="n">
        <v>46210</v>
      </c>
      <c r="C53" s="3" t="s">
        <v>132</v>
      </c>
      <c r="D53" s="3" t="s">
        <v>9</v>
      </c>
      <c r="E53" s="3" t="s">
        <v>10</v>
      </c>
      <c r="F53" s="3" t="s">
        <v>99</v>
      </c>
      <c r="G53" s="10" t="s">
        <v>133</v>
      </c>
      <c r="H53" s="9" t="s">
        <v>13</v>
      </c>
      <c r="I53" s="9" t="s">
        <v>134</v>
      </c>
    </row>
    <row r="54" customFormat="false" ht="15.75" hidden="false" customHeight="false" outlineLevel="0" collapsed="false">
      <c r="B54" s="7" t="n">
        <v>46210</v>
      </c>
      <c r="C54" s="3" t="s">
        <v>135</v>
      </c>
      <c r="D54" s="3" t="s">
        <v>9</v>
      </c>
      <c r="E54" s="3" t="s">
        <v>10</v>
      </c>
      <c r="F54" s="3" t="s">
        <v>99</v>
      </c>
      <c r="G54" s="10" t="s">
        <v>136</v>
      </c>
      <c r="H54" s="9" t="s">
        <v>13</v>
      </c>
      <c r="I54" s="9" t="s">
        <v>137</v>
      </c>
    </row>
    <row r="55" customFormat="false" ht="15.75" hidden="false" customHeight="false" outlineLevel="0" collapsed="false">
      <c r="B55" s="7" t="n">
        <v>46210</v>
      </c>
      <c r="C55" s="3" t="s">
        <v>138</v>
      </c>
      <c r="D55" s="3" t="s">
        <v>9</v>
      </c>
      <c r="E55" s="3" t="s">
        <v>10</v>
      </c>
      <c r="F55" s="3" t="s">
        <v>99</v>
      </c>
      <c r="G55" s="10" t="s">
        <v>136</v>
      </c>
      <c r="H55" s="9" t="s">
        <v>13</v>
      </c>
      <c r="I55" s="9" t="s">
        <v>137</v>
      </c>
    </row>
    <row r="56" customFormat="false" ht="15.75" hidden="false" customHeight="false" outlineLevel="0" collapsed="false">
      <c r="B56" s="7" t="n">
        <v>46210</v>
      </c>
      <c r="C56" s="3" t="s">
        <v>139</v>
      </c>
      <c r="D56" s="3" t="s">
        <v>9</v>
      </c>
      <c r="E56" s="3" t="s">
        <v>10</v>
      </c>
      <c r="F56" s="3" t="s">
        <v>99</v>
      </c>
      <c r="G56" s="10" t="s">
        <v>136</v>
      </c>
      <c r="H56" s="9" t="s">
        <v>13</v>
      </c>
      <c r="I56" s="9" t="s">
        <v>137</v>
      </c>
    </row>
    <row r="57" customFormat="false" ht="15.75" hidden="false" customHeight="false" outlineLevel="0" collapsed="false">
      <c r="B57" s="7" t="n">
        <v>46210</v>
      </c>
      <c r="C57" s="3" t="s">
        <v>140</v>
      </c>
      <c r="D57" s="3" t="s">
        <v>9</v>
      </c>
      <c r="E57" s="3" t="s">
        <v>10</v>
      </c>
      <c r="F57" s="3" t="s">
        <v>99</v>
      </c>
      <c r="G57" s="8" t="s">
        <v>141</v>
      </c>
      <c r="H57" s="9" t="s">
        <v>13</v>
      </c>
      <c r="I57" s="9" t="s">
        <v>142</v>
      </c>
    </row>
    <row r="58" customFormat="false" ht="15.75" hidden="false" customHeight="false" outlineLevel="0" collapsed="false">
      <c r="B58" s="7" t="n">
        <v>46210</v>
      </c>
      <c r="C58" s="3" t="s">
        <v>143</v>
      </c>
      <c r="D58" s="3" t="s">
        <v>9</v>
      </c>
      <c r="E58" s="3" t="s">
        <v>10</v>
      </c>
      <c r="F58" s="3" t="s">
        <v>99</v>
      </c>
      <c r="G58" s="10" t="s">
        <v>144</v>
      </c>
      <c r="H58" s="9" t="s">
        <v>13</v>
      </c>
      <c r="I58" s="9" t="s">
        <v>145</v>
      </c>
    </row>
    <row r="59" customFormat="false" ht="15.75" hidden="false" customHeight="false" outlineLevel="0" collapsed="false">
      <c r="B59" s="7" t="n">
        <v>46210</v>
      </c>
      <c r="C59" s="3" t="s">
        <v>146</v>
      </c>
      <c r="D59" s="3" t="s">
        <v>9</v>
      </c>
      <c r="E59" s="3" t="s">
        <v>10</v>
      </c>
      <c r="F59" s="3" t="s">
        <v>99</v>
      </c>
      <c r="G59" s="10" t="s">
        <v>144</v>
      </c>
      <c r="H59" s="9" t="s">
        <v>13</v>
      </c>
      <c r="I59" s="9" t="s">
        <v>145</v>
      </c>
    </row>
    <row r="60" customFormat="false" ht="15.75" hidden="false" customHeight="false" outlineLevel="0" collapsed="false">
      <c r="B60" s="7" t="n">
        <v>46210</v>
      </c>
      <c r="C60" s="3" t="s">
        <v>147</v>
      </c>
      <c r="D60" s="3" t="s">
        <v>9</v>
      </c>
      <c r="E60" s="3" t="s">
        <v>10</v>
      </c>
      <c r="F60" s="3" t="s">
        <v>99</v>
      </c>
      <c r="G60" s="10" t="s">
        <v>148</v>
      </c>
      <c r="H60" s="9" t="s">
        <v>13</v>
      </c>
      <c r="I60" s="9" t="s">
        <v>149</v>
      </c>
    </row>
    <row r="61" customFormat="false" ht="15.75" hidden="false" customHeight="false" outlineLevel="0" collapsed="false">
      <c r="B61" s="7" t="n">
        <v>46210</v>
      </c>
      <c r="C61" s="3" t="s">
        <v>150</v>
      </c>
      <c r="D61" s="3" t="s">
        <v>9</v>
      </c>
      <c r="E61" s="3" t="s">
        <v>10</v>
      </c>
      <c r="F61" s="3" t="s">
        <v>99</v>
      </c>
      <c r="G61" s="10" t="s">
        <v>151</v>
      </c>
      <c r="H61" s="9" t="s">
        <v>13</v>
      </c>
      <c r="I61" s="9" t="s">
        <v>152</v>
      </c>
    </row>
    <row r="62" customFormat="false" ht="15.75" hidden="false" customHeight="false" outlineLevel="0" collapsed="false">
      <c r="B62" s="7" t="n">
        <v>46210</v>
      </c>
      <c r="C62" s="3" t="s">
        <v>153</v>
      </c>
      <c r="D62" s="3" t="s">
        <v>9</v>
      </c>
      <c r="E62" s="3" t="s">
        <v>10</v>
      </c>
      <c r="F62" s="3" t="s">
        <v>99</v>
      </c>
      <c r="G62" s="10" t="s">
        <v>154</v>
      </c>
      <c r="H62" s="9" t="s">
        <v>13</v>
      </c>
      <c r="I62" s="9" t="s">
        <v>155</v>
      </c>
    </row>
    <row r="63" customFormat="false" ht="15.75" hidden="false" customHeight="false" outlineLevel="0" collapsed="false">
      <c r="B63" s="7" t="n">
        <v>46210</v>
      </c>
      <c r="C63" s="3" t="s">
        <v>156</v>
      </c>
      <c r="D63" s="3" t="s">
        <v>9</v>
      </c>
      <c r="E63" s="3" t="s">
        <v>10</v>
      </c>
      <c r="F63" s="3" t="s">
        <v>99</v>
      </c>
      <c r="G63" s="8" t="s">
        <v>157</v>
      </c>
      <c r="H63" s="9" t="s">
        <v>13</v>
      </c>
      <c r="I63" s="9" t="s">
        <v>158</v>
      </c>
    </row>
    <row r="64" customFormat="false" ht="15.75" hidden="false" customHeight="false" outlineLevel="0" collapsed="false">
      <c r="B64" s="7" t="n">
        <v>46210</v>
      </c>
      <c r="C64" s="3" t="s">
        <v>159</v>
      </c>
      <c r="D64" s="3" t="s">
        <v>9</v>
      </c>
      <c r="E64" s="3" t="s">
        <v>10</v>
      </c>
      <c r="F64" s="3" t="s">
        <v>99</v>
      </c>
      <c r="G64" s="8" t="s">
        <v>160</v>
      </c>
      <c r="H64" s="9" t="s">
        <v>13</v>
      </c>
      <c r="I64" s="9" t="s">
        <v>161</v>
      </c>
    </row>
    <row r="65" customFormat="false" ht="15.75" hidden="false" customHeight="false" outlineLevel="0" collapsed="false">
      <c r="B65" s="7" t="n">
        <v>46210</v>
      </c>
      <c r="C65" s="3" t="s">
        <v>162</v>
      </c>
      <c r="D65" s="3" t="s">
        <v>9</v>
      </c>
      <c r="E65" s="3" t="s">
        <v>10</v>
      </c>
      <c r="F65" s="3" t="s">
        <v>99</v>
      </c>
      <c r="G65" s="8" t="s">
        <v>163</v>
      </c>
      <c r="H65" s="9" t="s">
        <v>13</v>
      </c>
      <c r="I65" s="9" t="s">
        <v>164</v>
      </c>
    </row>
    <row r="66" customFormat="false" ht="15.75" hidden="false" customHeight="false" outlineLevel="0" collapsed="false">
      <c r="B66" s="7" t="n">
        <v>46210</v>
      </c>
      <c r="C66" s="3" t="s">
        <v>165</v>
      </c>
      <c r="D66" s="3" t="s">
        <v>9</v>
      </c>
      <c r="E66" s="3" t="s">
        <v>10</v>
      </c>
      <c r="F66" s="3" t="s">
        <v>99</v>
      </c>
      <c r="G66" s="10" t="s">
        <v>166</v>
      </c>
      <c r="H66" s="9" t="s">
        <v>13</v>
      </c>
      <c r="I66" s="9" t="s">
        <v>167</v>
      </c>
    </row>
    <row r="67" customFormat="false" ht="15.75" hidden="false" customHeight="false" outlineLevel="0" collapsed="false">
      <c r="B67" s="7" t="n">
        <v>46210</v>
      </c>
      <c r="C67" s="3" t="s">
        <v>168</v>
      </c>
      <c r="D67" s="3" t="s">
        <v>9</v>
      </c>
      <c r="E67" s="3" t="s">
        <v>10</v>
      </c>
      <c r="F67" s="3" t="s">
        <v>99</v>
      </c>
      <c r="G67" s="8" t="s">
        <v>169</v>
      </c>
      <c r="H67" s="9" t="s">
        <v>13</v>
      </c>
      <c r="I67" s="9" t="s">
        <v>170</v>
      </c>
    </row>
    <row r="68" customFormat="false" ht="15.75" hidden="false" customHeight="false" outlineLevel="0" collapsed="false">
      <c r="B68" s="7" t="n">
        <v>46210</v>
      </c>
      <c r="C68" s="3" t="s">
        <v>171</v>
      </c>
      <c r="D68" s="3" t="s">
        <v>9</v>
      </c>
      <c r="E68" s="3" t="s">
        <v>10</v>
      </c>
      <c r="F68" s="3" t="s">
        <v>99</v>
      </c>
      <c r="G68" s="8" t="s">
        <v>172</v>
      </c>
      <c r="H68" s="9" t="s">
        <v>13</v>
      </c>
      <c r="I68" s="9" t="s">
        <v>173</v>
      </c>
    </row>
    <row r="69" customFormat="false" ht="15.75" hidden="false" customHeight="false" outlineLevel="0" collapsed="false">
      <c r="B69" s="7" t="n">
        <v>46210</v>
      </c>
      <c r="C69" s="3" t="s">
        <v>174</v>
      </c>
      <c r="D69" s="3" t="s">
        <v>9</v>
      </c>
      <c r="E69" s="3" t="s">
        <v>10</v>
      </c>
      <c r="F69" s="3" t="s">
        <v>99</v>
      </c>
      <c r="G69" s="10" t="s">
        <v>175</v>
      </c>
      <c r="H69" s="9" t="s">
        <v>13</v>
      </c>
      <c r="I69" s="9" t="s">
        <v>176</v>
      </c>
    </row>
    <row r="70" customFormat="false" ht="15.75" hidden="false" customHeight="false" outlineLevel="0" collapsed="false">
      <c r="B70" s="7" t="n">
        <v>46210</v>
      </c>
      <c r="C70" s="3" t="s">
        <v>177</v>
      </c>
      <c r="D70" s="3" t="s">
        <v>9</v>
      </c>
      <c r="E70" s="3" t="s">
        <v>10</v>
      </c>
      <c r="F70" s="3" t="s">
        <v>99</v>
      </c>
      <c r="G70" s="10" t="s">
        <v>178</v>
      </c>
      <c r="H70" s="9" t="s">
        <v>13</v>
      </c>
      <c r="I70" s="9" t="s">
        <v>179</v>
      </c>
    </row>
    <row r="71" customFormat="false" ht="15.75" hidden="false" customHeight="false" outlineLevel="0" collapsed="false">
      <c r="B71" s="7" t="n">
        <v>46210</v>
      </c>
      <c r="C71" s="3" t="s">
        <v>180</v>
      </c>
      <c r="D71" s="3" t="s">
        <v>9</v>
      </c>
      <c r="E71" s="3" t="s">
        <v>10</v>
      </c>
      <c r="F71" s="3" t="s">
        <v>99</v>
      </c>
      <c r="G71" s="10" t="s">
        <v>181</v>
      </c>
      <c r="H71" s="9" t="s">
        <v>13</v>
      </c>
      <c r="I71" s="9" t="s">
        <v>182</v>
      </c>
    </row>
    <row r="72" customFormat="false" ht="15.75" hidden="false" customHeight="false" outlineLevel="0" collapsed="false">
      <c r="B72" s="7" t="n">
        <v>46210</v>
      </c>
      <c r="C72" s="3" t="s">
        <v>183</v>
      </c>
      <c r="D72" s="3" t="s">
        <v>9</v>
      </c>
      <c r="E72" s="3" t="s">
        <v>10</v>
      </c>
      <c r="F72" s="3" t="s">
        <v>99</v>
      </c>
      <c r="G72" s="10" t="s">
        <v>181</v>
      </c>
      <c r="H72" s="9" t="s">
        <v>13</v>
      </c>
      <c r="I72" s="9" t="s">
        <v>182</v>
      </c>
    </row>
    <row r="73" customFormat="false" ht="15.75" hidden="false" customHeight="false" outlineLevel="0" collapsed="false">
      <c r="B73" s="7" t="n">
        <v>46210</v>
      </c>
      <c r="C73" s="3" t="s">
        <v>184</v>
      </c>
      <c r="D73" s="3" t="s">
        <v>9</v>
      </c>
      <c r="E73" s="3" t="s">
        <v>10</v>
      </c>
      <c r="F73" s="3" t="s">
        <v>185</v>
      </c>
      <c r="G73" s="10" t="s">
        <v>186</v>
      </c>
      <c r="H73" s="9" t="s">
        <v>13</v>
      </c>
      <c r="I73" s="9" t="s">
        <v>187</v>
      </c>
    </row>
    <row r="74" customFormat="false" ht="15.75" hidden="false" customHeight="false" outlineLevel="0" collapsed="false">
      <c r="B74" s="7" t="n">
        <v>46210</v>
      </c>
      <c r="C74" s="3" t="s">
        <v>188</v>
      </c>
      <c r="D74" s="3" t="s">
        <v>9</v>
      </c>
      <c r="E74" s="3" t="s">
        <v>10</v>
      </c>
      <c r="F74" s="3" t="s">
        <v>185</v>
      </c>
      <c r="G74" s="10" t="s">
        <v>189</v>
      </c>
      <c r="H74" s="9" t="s">
        <v>13</v>
      </c>
      <c r="I74" s="9" t="s">
        <v>190</v>
      </c>
    </row>
    <row r="75" customFormat="false" ht="15.75" hidden="false" customHeight="false" outlineLevel="0" collapsed="false">
      <c r="B75" s="7" t="n">
        <v>46210</v>
      </c>
      <c r="C75" s="3" t="s">
        <v>191</v>
      </c>
      <c r="D75" s="3" t="s">
        <v>9</v>
      </c>
      <c r="E75" s="3" t="s">
        <v>10</v>
      </c>
      <c r="F75" s="3" t="s">
        <v>185</v>
      </c>
      <c r="G75" s="10" t="s">
        <v>192</v>
      </c>
      <c r="H75" s="9" t="s">
        <v>13</v>
      </c>
      <c r="I75" s="9" t="s">
        <v>193</v>
      </c>
    </row>
    <row r="76" customFormat="false" ht="15.75" hidden="false" customHeight="false" outlineLevel="0" collapsed="false">
      <c r="B76" s="7" t="n">
        <v>46210</v>
      </c>
      <c r="C76" s="3" t="s">
        <v>194</v>
      </c>
      <c r="D76" s="3" t="s">
        <v>9</v>
      </c>
      <c r="E76" s="3" t="s">
        <v>10</v>
      </c>
      <c r="F76" s="3" t="s">
        <v>185</v>
      </c>
      <c r="G76" s="10" t="s">
        <v>195</v>
      </c>
      <c r="H76" s="9" t="s">
        <v>13</v>
      </c>
      <c r="I76" s="9" t="s">
        <v>196</v>
      </c>
    </row>
    <row r="77" customFormat="false" ht="15.75" hidden="false" customHeight="false" outlineLevel="0" collapsed="false">
      <c r="B77" s="7" t="n">
        <v>46210</v>
      </c>
      <c r="C77" s="3" t="s">
        <v>197</v>
      </c>
      <c r="D77" s="3" t="s">
        <v>9</v>
      </c>
      <c r="E77" s="3" t="s">
        <v>10</v>
      </c>
      <c r="F77" s="3" t="s">
        <v>185</v>
      </c>
      <c r="G77" s="8" t="s">
        <v>198</v>
      </c>
      <c r="H77" s="9" t="s">
        <v>13</v>
      </c>
      <c r="I77" s="9" t="s">
        <v>199</v>
      </c>
    </row>
    <row r="78" customFormat="false" ht="15.75" hidden="false" customHeight="false" outlineLevel="0" collapsed="false">
      <c r="B78" s="7" t="n">
        <v>46210</v>
      </c>
      <c r="C78" s="3" t="s">
        <v>200</v>
      </c>
      <c r="D78" s="3" t="s">
        <v>9</v>
      </c>
      <c r="E78" s="3" t="s">
        <v>10</v>
      </c>
      <c r="F78" s="3" t="s">
        <v>185</v>
      </c>
      <c r="G78" s="10" t="s">
        <v>201</v>
      </c>
      <c r="H78" s="9" t="s">
        <v>13</v>
      </c>
      <c r="I78" s="9" t="s">
        <v>202</v>
      </c>
    </row>
    <row r="79" customFormat="false" ht="15.75" hidden="false" customHeight="false" outlineLevel="0" collapsed="false">
      <c r="B79" s="7" t="n">
        <v>46210</v>
      </c>
      <c r="C79" s="3" t="s">
        <v>203</v>
      </c>
      <c r="D79" s="3" t="s">
        <v>9</v>
      </c>
      <c r="E79" s="3" t="s">
        <v>10</v>
      </c>
      <c r="F79" s="3" t="s">
        <v>185</v>
      </c>
      <c r="G79" s="10" t="s">
        <v>201</v>
      </c>
      <c r="H79" s="9" t="s">
        <v>13</v>
      </c>
      <c r="I79" s="9" t="s">
        <v>202</v>
      </c>
    </row>
    <row r="80" customFormat="false" ht="15.75" hidden="false" customHeight="false" outlineLevel="0" collapsed="false">
      <c r="B80" s="7" t="n">
        <v>46210</v>
      </c>
      <c r="C80" s="3" t="s">
        <v>204</v>
      </c>
      <c r="D80" s="3" t="s">
        <v>9</v>
      </c>
      <c r="E80" s="3" t="s">
        <v>10</v>
      </c>
      <c r="F80" s="3" t="s">
        <v>185</v>
      </c>
      <c r="G80" s="10" t="s">
        <v>201</v>
      </c>
      <c r="H80" s="9" t="s">
        <v>13</v>
      </c>
      <c r="I80" s="9" t="s">
        <v>202</v>
      </c>
    </row>
    <row r="81" customFormat="false" ht="15.75" hidden="false" customHeight="false" outlineLevel="0" collapsed="false">
      <c r="B81" s="7" t="n">
        <v>46210</v>
      </c>
      <c r="C81" s="3" t="s">
        <v>205</v>
      </c>
      <c r="D81" s="3" t="s">
        <v>9</v>
      </c>
      <c r="E81" s="3" t="s">
        <v>10</v>
      </c>
      <c r="F81" s="3" t="s">
        <v>185</v>
      </c>
      <c r="G81" s="10" t="s">
        <v>206</v>
      </c>
      <c r="H81" s="9" t="s">
        <v>13</v>
      </c>
      <c r="I81" s="9" t="s">
        <v>207</v>
      </c>
    </row>
    <row r="82" customFormat="false" ht="15.75" hidden="false" customHeight="false" outlineLevel="0" collapsed="false">
      <c r="B82" s="7" t="n">
        <v>46210</v>
      </c>
      <c r="C82" s="3" t="s">
        <v>208</v>
      </c>
      <c r="D82" s="3" t="s">
        <v>9</v>
      </c>
      <c r="E82" s="3" t="s">
        <v>10</v>
      </c>
      <c r="F82" s="3" t="s">
        <v>185</v>
      </c>
      <c r="G82" s="10" t="s">
        <v>209</v>
      </c>
      <c r="H82" s="9" t="s">
        <v>13</v>
      </c>
      <c r="I82" s="9" t="s">
        <v>210</v>
      </c>
    </row>
    <row r="83" customFormat="false" ht="15.75" hidden="false" customHeight="false" outlineLevel="0" collapsed="false">
      <c r="B83" s="7" t="n">
        <v>46210</v>
      </c>
      <c r="C83" s="3" t="s">
        <v>211</v>
      </c>
      <c r="D83" s="3" t="s">
        <v>9</v>
      </c>
      <c r="E83" s="3" t="s">
        <v>10</v>
      </c>
      <c r="F83" s="3" t="s">
        <v>185</v>
      </c>
      <c r="G83" s="10" t="s">
        <v>212</v>
      </c>
      <c r="H83" s="9" t="s">
        <v>13</v>
      </c>
      <c r="I83" s="9" t="s">
        <v>213</v>
      </c>
    </row>
    <row r="84" customFormat="false" ht="15.75" hidden="false" customHeight="false" outlineLevel="0" collapsed="false">
      <c r="B84" s="7" t="n">
        <v>46210</v>
      </c>
      <c r="C84" s="3" t="s">
        <v>214</v>
      </c>
      <c r="D84" s="3" t="s">
        <v>9</v>
      </c>
      <c r="E84" s="3" t="s">
        <v>10</v>
      </c>
      <c r="F84" s="3" t="s">
        <v>185</v>
      </c>
      <c r="G84" s="10" t="s">
        <v>215</v>
      </c>
      <c r="H84" s="9" t="s">
        <v>13</v>
      </c>
      <c r="I84" s="9" t="s">
        <v>216</v>
      </c>
    </row>
    <row r="85" customFormat="false" ht="15.75" hidden="false" customHeight="false" outlineLevel="0" collapsed="false">
      <c r="B85" s="7" t="n">
        <v>46210</v>
      </c>
      <c r="C85" s="3" t="s">
        <v>217</v>
      </c>
      <c r="D85" s="3" t="s">
        <v>9</v>
      </c>
      <c r="E85" s="3" t="s">
        <v>10</v>
      </c>
      <c r="F85" s="3" t="s">
        <v>185</v>
      </c>
      <c r="G85" s="10" t="s">
        <v>218</v>
      </c>
      <c r="H85" s="9" t="s">
        <v>13</v>
      </c>
      <c r="I85" s="9" t="s">
        <v>219</v>
      </c>
    </row>
    <row r="86" customFormat="false" ht="15.75" hidden="false" customHeight="false" outlineLevel="0" collapsed="false">
      <c r="B86" s="7" t="n">
        <v>46210</v>
      </c>
      <c r="C86" s="3" t="s">
        <v>220</v>
      </c>
      <c r="D86" s="3" t="s">
        <v>9</v>
      </c>
      <c r="E86" s="3" t="s">
        <v>10</v>
      </c>
      <c r="F86" s="3" t="s">
        <v>185</v>
      </c>
      <c r="G86" s="10" t="s">
        <v>221</v>
      </c>
      <c r="H86" s="9" t="s">
        <v>13</v>
      </c>
      <c r="I86" s="9" t="s">
        <v>222</v>
      </c>
    </row>
    <row r="87" customFormat="false" ht="15.75" hidden="false" customHeight="false" outlineLevel="0" collapsed="false">
      <c r="B87" s="7" t="n">
        <v>46210</v>
      </c>
      <c r="C87" s="3" t="s">
        <v>223</v>
      </c>
      <c r="D87" s="3" t="s">
        <v>9</v>
      </c>
      <c r="E87" s="3" t="s">
        <v>10</v>
      </c>
      <c r="F87" s="3" t="s">
        <v>185</v>
      </c>
      <c r="G87" s="8" t="s">
        <v>224</v>
      </c>
      <c r="H87" s="9" t="s">
        <v>13</v>
      </c>
      <c r="I87" s="9" t="s">
        <v>225</v>
      </c>
    </row>
    <row r="88" customFormat="false" ht="15.75" hidden="false" customHeight="false" outlineLevel="0" collapsed="false">
      <c r="B88" s="7" t="n">
        <v>46210</v>
      </c>
      <c r="C88" s="3" t="s">
        <v>226</v>
      </c>
      <c r="D88" s="3" t="s">
        <v>9</v>
      </c>
      <c r="E88" s="3" t="s">
        <v>10</v>
      </c>
      <c r="F88" s="3" t="s">
        <v>185</v>
      </c>
      <c r="G88" s="8" t="s">
        <v>224</v>
      </c>
      <c r="H88" s="9" t="s">
        <v>13</v>
      </c>
      <c r="I88" s="9" t="s">
        <v>227</v>
      </c>
    </row>
    <row r="89" customFormat="false" ht="15.75" hidden="false" customHeight="false" outlineLevel="0" collapsed="false">
      <c r="B89" s="7" t="n">
        <v>46210</v>
      </c>
      <c r="C89" s="3" t="s">
        <v>228</v>
      </c>
      <c r="D89" s="3" t="s">
        <v>9</v>
      </c>
      <c r="E89" s="3" t="s">
        <v>10</v>
      </c>
      <c r="F89" s="3" t="s">
        <v>185</v>
      </c>
      <c r="G89" s="10" t="s">
        <v>229</v>
      </c>
      <c r="H89" s="9" t="s">
        <v>13</v>
      </c>
      <c r="I89" s="9" t="s">
        <v>230</v>
      </c>
    </row>
    <row r="90" customFormat="false" ht="15.75" hidden="false" customHeight="false" outlineLevel="0" collapsed="false">
      <c r="B90" s="7" t="n">
        <v>46210</v>
      </c>
      <c r="C90" s="3" t="s">
        <v>231</v>
      </c>
      <c r="D90" s="3" t="s">
        <v>9</v>
      </c>
      <c r="E90" s="3" t="s">
        <v>10</v>
      </c>
      <c r="F90" s="3" t="s">
        <v>185</v>
      </c>
      <c r="G90" s="10" t="s">
        <v>229</v>
      </c>
      <c r="H90" s="9" t="s">
        <v>13</v>
      </c>
      <c r="I90" s="9" t="s">
        <v>230</v>
      </c>
    </row>
    <row r="91" customFormat="false" ht="15.75" hidden="false" customHeight="false" outlineLevel="0" collapsed="false">
      <c r="B91" s="7" t="n">
        <v>46210</v>
      </c>
      <c r="C91" s="3" t="s">
        <v>232</v>
      </c>
      <c r="D91" s="3" t="s">
        <v>9</v>
      </c>
      <c r="E91" s="3" t="s">
        <v>10</v>
      </c>
      <c r="F91" s="3" t="s">
        <v>185</v>
      </c>
      <c r="G91" s="10" t="s">
        <v>233</v>
      </c>
      <c r="H91" s="9" t="s">
        <v>13</v>
      </c>
      <c r="I91" s="9" t="s">
        <v>234</v>
      </c>
    </row>
    <row r="92" customFormat="false" ht="15.75" hidden="false" customHeight="false" outlineLevel="0" collapsed="false">
      <c r="B92" s="7" t="n">
        <v>46210</v>
      </c>
      <c r="C92" s="3" t="s">
        <v>235</v>
      </c>
      <c r="D92" s="3" t="s">
        <v>9</v>
      </c>
      <c r="E92" s="3" t="s">
        <v>10</v>
      </c>
      <c r="F92" s="3" t="s">
        <v>185</v>
      </c>
      <c r="G92" s="10" t="s">
        <v>236</v>
      </c>
      <c r="H92" s="9" t="s">
        <v>13</v>
      </c>
      <c r="I92" s="9" t="s">
        <v>237</v>
      </c>
    </row>
    <row r="93" customFormat="false" ht="15.75" hidden="false" customHeight="false" outlineLevel="0" collapsed="false">
      <c r="B93" s="7" t="n">
        <v>46210</v>
      </c>
      <c r="C93" s="3" t="s">
        <v>238</v>
      </c>
      <c r="D93" s="3" t="s">
        <v>9</v>
      </c>
      <c r="E93" s="3" t="s">
        <v>10</v>
      </c>
      <c r="F93" s="3" t="s">
        <v>185</v>
      </c>
      <c r="G93" s="8" t="s">
        <v>239</v>
      </c>
      <c r="H93" s="9" t="s">
        <v>13</v>
      </c>
      <c r="I93" s="9" t="s">
        <v>240</v>
      </c>
    </row>
    <row r="94" customFormat="false" ht="15.75" hidden="false" customHeight="false" outlineLevel="0" collapsed="false">
      <c r="B94" s="7" t="n">
        <v>46210</v>
      </c>
      <c r="C94" s="3" t="s">
        <v>241</v>
      </c>
      <c r="D94" s="3" t="s">
        <v>9</v>
      </c>
      <c r="E94" s="3" t="s">
        <v>10</v>
      </c>
      <c r="F94" s="3" t="s">
        <v>185</v>
      </c>
      <c r="G94" s="10" t="s">
        <v>242</v>
      </c>
      <c r="H94" s="9" t="s">
        <v>13</v>
      </c>
      <c r="I94" s="9" t="s">
        <v>243</v>
      </c>
    </row>
    <row r="95" customFormat="false" ht="15.75" hidden="false" customHeight="false" outlineLevel="0" collapsed="false">
      <c r="B95" s="7" t="n">
        <v>46210</v>
      </c>
      <c r="C95" s="3" t="s">
        <v>244</v>
      </c>
      <c r="D95" s="3" t="s">
        <v>9</v>
      </c>
      <c r="E95" s="3" t="s">
        <v>10</v>
      </c>
      <c r="F95" s="3" t="s">
        <v>185</v>
      </c>
      <c r="G95" s="10" t="s">
        <v>242</v>
      </c>
      <c r="H95" s="9" t="s">
        <v>13</v>
      </c>
      <c r="I95" s="9" t="s">
        <v>243</v>
      </c>
    </row>
    <row r="96" customFormat="false" ht="15.75" hidden="false" customHeight="false" outlineLevel="0" collapsed="false">
      <c r="B96" s="7" t="n">
        <v>46237</v>
      </c>
      <c r="C96" s="3" t="s">
        <v>245</v>
      </c>
      <c r="D96" s="3" t="s">
        <v>9</v>
      </c>
      <c r="E96" s="3" t="s">
        <v>10</v>
      </c>
      <c r="F96" s="3" t="s">
        <v>246</v>
      </c>
      <c r="G96" s="10" t="s">
        <v>247</v>
      </c>
      <c r="H96" s="9" t="s">
        <v>13</v>
      </c>
      <c r="I96" s="9" t="s">
        <v>248</v>
      </c>
    </row>
    <row r="97" customFormat="false" ht="15.75" hidden="false" customHeight="false" outlineLevel="0" collapsed="false">
      <c r="B97" s="7" t="n">
        <v>46210</v>
      </c>
      <c r="C97" s="3" t="s">
        <v>249</v>
      </c>
      <c r="D97" s="3" t="s">
        <v>9</v>
      </c>
      <c r="E97" s="3" t="s">
        <v>10</v>
      </c>
      <c r="F97" s="3" t="s">
        <v>185</v>
      </c>
      <c r="G97" s="10" t="s">
        <v>206</v>
      </c>
      <c r="H97" s="9" t="s">
        <v>13</v>
      </c>
      <c r="I97" s="9" t="s">
        <v>250</v>
      </c>
    </row>
    <row r="98" customFormat="false" ht="15.75" hidden="false" customHeight="false" outlineLevel="0" collapsed="false">
      <c r="B98" s="7" t="n">
        <v>46210</v>
      </c>
      <c r="C98" s="3" t="s">
        <v>251</v>
      </c>
      <c r="D98" s="3" t="s">
        <v>9</v>
      </c>
      <c r="E98" s="3" t="s">
        <v>10</v>
      </c>
      <c r="F98" s="3" t="s">
        <v>185</v>
      </c>
      <c r="G98" s="10" t="s">
        <v>252</v>
      </c>
      <c r="H98" s="9" t="s">
        <v>13</v>
      </c>
      <c r="I98" s="9" t="s">
        <v>253</v>
      </c>
    </row>
    <row r="99" customFormat="false" ht="15.75" hidden="false" customHeight="false" outlineLevel="0" collapsed="false">
      <c r="B99" s="7" t="n">
        <v>46210</v>
      </c>
      <c r="C99" s="3" t="s">
        <v>254</v>
      </c>
      <c r="D99" s="3" t="s">
        <v>9</v>
      </c>
      <c r="E99" s="3" t="s">
        <v>10</v>
      </c>
      <c r="F99" s="3" t="s">
        <v>185</v>
      </c>
      <c r="G99" s="10" t="s">
        <v>255</v>
      </c>
      <c r="H99" s="9" t="s">
        <v>13</v>
      </c>
      <c r="I99" s="9" t="s">
        <v>256</v>
      </c>
    </row>
    <row r="100" customFormat="false" ht="15.75" hidden="false" customHeight="false" outlineLevel="0" collapsed="false">
      <c r="B100" s="7" t="n">
        <v>46210</v>
      </c>
      <c r="C100" s="3" t="s">
        <v>257</v>
      </c>
      <c r="D100" s="3" t="s">
        <v>9</v>
      </c>
      <c r="E100" s="3" t="s">
        <v>10</v>
      </c>
      <c r="F100" s="3" t="s">
        <v>185</v>
      </c>
      <c r="G100" s="10" t="s">
        <v>258</v>
      </c>
      <c r="H100" s="9" t="s">
        <v>13</v>
      </c>
      <c r="I100" s="9" t="s">
        <v>259</v>
      </c>
    </row>
    <row r="101" customFormat="false" ht="15.75" hidden="false" customHeight="false" outlineLevel="0" collapsed="false">
      <c r="B101" s="7" t="n">
        <v>46210</v>
      </c>
      <c r="C101" s="3" t="s">
        <v>260</v>
      </c>
      <c r="D101" s="3" t="s">
        <v>9</v>
      </c>
      <c r="E101" s="3" t="s">
        <v>10</v>
      </c>
      <c r="F101" s="3" t="s">
        <v>185</v>
      </c>
      <c r="G101" s="10" t="s">
        <v>261</v>
      </c>
      <c r="H101" s="9" t="s">
        <v>13</v>
      </c>
      <c r="I101" s="9" t="s">
        <v>262</v>
      </c>
    </row>
    <row r="102" customFormat="false" ht="15.75" hidden="false" customHeight="false" outlineLevel="0" collapsed="false">
      <c r="B102" s="7" t="n">
        <v>46210</v>
      </c>
      <c r="C102" s="3" t="s">
        <v>263</v>
      </c>
      <c r="D102" s="3" t="s">
        <v>9</v>
      </c>
      <c r="E102" s="3" t="s">
        <v>10</v>
      </c>
      <c r="F102" s="3" t="s">
        <v>185</v>
      </c>
      <c r="G102" s="8" t="s">
        <v>264</v>
      </c>
      <c r="H102" s="9" t="s">
        <v>13</v>
      </c>
      <c r="I102" s="9" t="s">
        <v>265</v>
      </c>
    </row>
    <row r="103" customFormat="false" ht="15.75" hidden="false" customHeight="false" outlineLevel="0" collapsed="false">
      <c r="B103" s="7" t="n">
        <v>46210</v>
      </c>
      <c r="C103" s="3" t="s">
        <v>266</v>
      </c>
      <c r="D103" s="3" t="s">
        <v>9</v>
      </c>
      <c r="E103" s="3" t="s">
        <v>10</v>
      </c>
      <c r="F103" s="3" t="s">
        <v>185</v>
      </c>
      <c r="G103" s="10" t="s">
        <v>267</v>
      </c>
      <c r="H103" s="9" t="s">
        <v>13</v>
      </c>
      <c r="I103" s="9" t="s">
        <v>268</v>
      </c>
    </row>
    <row r="104" customFormat="false" ht="15.75" hidden="false" customHeight="false" outlineLevel="0" collapsed="false">
      <c r="B104" s="7" t="n">
        <v>46210</v>
      </c>
      <c r="C104" s="3" t="s">
        <v>269</v>
      </c>
      <c r="D104" s="3" t="s">
        <v>9</v>
      </c>
      <c r="E104" s="3" t="s">
        <v>10</v>
      </c>
      <c r="F104" s="3" t="s">
        <v>185</v>
      </c>
      <c r="G104" s="10" t="s">
        <v>267</v>
      </c>
      <c r="H104" s="9" t="s">
        <v>13</v>
      </c>
      <c r="I104" s="9" t="s">
        <v>268</v>
      </c>
    </row>
    <row r="105" customFormat="false" ht="15.75" hidden="false" customHeight="false" outlineLevel="0" collapsed="false">
      <c r="B105" s="7" t="n">
        <v>46210</v>
      </c>
      <c r="C105" s="3" t="s">
        <v>270</v>
      </c>
      <c r="D105" s="3" t="s">
        <v>9</v>
      </c>
      <c r="E105" s="3" t="s">
        <v>10</v>
      </c>
      <c r="F105" s="3" t="s">
        <v>185</v>
      </c>
      <c r="G105" s="8" t="s">
        <v>271</v>
      </c>
      <c r="H105" s="9" t="s">
        <v>13</v>
      </c>
      <c r="I105" s="9" t="s">
        <v>272</v>
      </c>
    </row>
    <row r="106" customFormat="false" ht="15.75" hidden="false" customHeight="false" outlineLevel="0" collapsed="false">
      <c r="B106" s="7" t="n">
        <v>46210</v>
      </c>
      <c r="C106" s="3" t="s">
        <v>273</v>
      </c>
      <c r="D106" s="3" t="s">
        <v>9</v>
      </c>
      <c r="E106" s="3" t="s">
        <v>10</v>
      </c>
      <c r="F106" s="3" t="s">
        <v>185</v>
      </c>
      <c r="G106" s="10" t="s">
        <v>274</v>
      </c>
      <c r="H106" s="9" t="s">
        <v>13</v>
      </c>
      <c r="I106" s="9" t="s">
        <v>275</v>
      </c>
    </row>
    <row r="107" customFormat="false" ht="15.75" hidden="false" customHeight="false" outlineLevel="0" collapsed="false">
      <c r="B107" s="7" t="n">
        <v>46210</v>
      </c>
      <c r="C107" s="3" t="s">
        <v>276</v>
      </c>
      <c r="D107" s="3" t="s">
        <v>9</v>
      </c>
      <c r="E107" s="3" t="s">
        <v>10</v>
      </c>
      <c r="F107" s="3" t="s">
        <v>185</v>
      </c>
      <c r="G107" s="10" t="s">
        <v>274</v>
      </c>
      <c r="H107" s="9" t="s">
        <v>13</v>
      </c>
      <c r="I107" s="9" t="s">
        <v>275</v>
      </c>
    </row>
    <row r="108" customFormat="false" ht="15.75" hidden="false" customHeight="false" outlineLevel="0" collapsed="false">
      <c r="B108" s="7" t="n">
        <v>46211</v>
      </c>
      <c r="C108" s="3" t="s">
        <v>277</v>
      </c>
      <c r="D108" s="3" t="s">
        <v>9</v>
      </c>
      <c r="E108" s="3" t="s">
        <v>278</v>
      </c>
      <c r="F108" s="3" t="s">
        <v>279</v>
      </c>
      <c r="G108" s="10" t="s">
        <v>280</v>
      </c>
      <c r="H108" s="9" t="s">
        <v>13</v>
      </c>
      <c r="I108" s="9" t="s">
        <v>281</v>
      </c>
    </row>
    <row r="109" customFormat="false" ht="15.75" hidden="false" customHeight="false" outlineLevel="0" collapsed="false">
      <c r="B109" s="7" t="n">
        <v>46211</v>
      </c>
      <c r="C109" s="3" t="s">
        <v>282</v>
      </c>
      <c r="D109" s="3" t="s">
        <v>9</v>
      </c>
      <c r="E109" s="3" t="s">
        <v>278</v>
      </c>
      <c r="F109" s="3" t="s">
        <v>279</v>
      </c>
      <c r="G109" s="8" t="s">
        <v>283</v>
      </c>
      <c r="H109" s="9" t="s">
        <v>13</v>
      </c>
      <c r="I109" s="9" t="s">
        <v>284</v>
      </c>
    </row>
    <row r="110" customFormat="false" ht="15.75" hidden="false" customHeight="false" outlineLevel="0" collapsed="false">
      <c r="B110" s="7" t="n">
        <v>46211</v>
      </c>
      <c r="C110" s="3" t="s">
        <v>285</v>
      </c>
      <c r="D110" s="3" t="s">
        <v>9</v>
      </c>
      <c r="E110" s="3" t="s">
        <v>278</v>
      </c>
      <c r="F110" s="3" t="s">
        <v>279</v>
      </c>
      <c r="G110" s="10" t="s">
        <v>286</v>
      </c>
      <c r="H110" s="9" t="s">
        <v>13</v>
      </c>
      <c r="I110" s="9" t="s">
        <v>287</v>
      </c>
    </row>
    <row r="111" customFormat="false" ht="15.75" hidden="false" customHeight="false" outlineLevel="0" collapsed="false">
      <c r="B111" s="7" t="n">
        <v>46211</v>
      </c>
      <c r="C111" s="3" t="s">
        <v>288</v>
      </c>
      <c r="D111" s="3" t="s">
        <v>9</v>
      </c>
      <c r="E111" s="3" t="s">
        <v>278</v>
      </c>
      <c r="F111" s="3" t="s">
        <v>279</v>
      </c>
      <c r="G111" s="10" t="s">
        <v>286</v>
      </c>
      <c r="H111" s="9" t="s">
        <v>13</v>
      </c>
      <c r="I111" s="9" t="s">
        <v>287</v>
      </c>
    </row>
    <row r="112" customFormat="false" ht="15.75" hidden="false" customHeight="false" outlineLevel="0" collapsed="false">
      <c r="B112" s="7" t="n">
        <v>46211</v>
      </c>
      <c r="C112" s="3" t="s">
        <v>289</v>
      </c>
      <c r="D112" s="3" t="s">
        <v>9</v>
      </c>
      <c r="E112" s="3" t="s">
        <v>278</v>
      </c>
      <c r="F112" s="3" t="s">
        <v>279</v>
      </c>
      <c r="G112" s="10" t="s">
        <v>286</v>
      </c>
      <c r="H112" s="9" t="s">
        <v>13</v>
      </c>
      <c r="I112" s="9" t="s">
        <v>290</v>
      </c>
    </row>
    <row r="113" customFormat="false" ht="15.75" hidden="false" customHeight="false" outlineLevel="0" collapsed="false">
      <c r="B113" s="7" t="n">
        <v>46211</v>
      </c>
      <c r="C113" s="3" t="s">
        <v>291</v>
      </c>
      <c r="D113" s="3" t="s">
        <v>9</v>
      </c>
      <c r="E113" s="3" t="s">
        <v>278</v>
      </c>
      <c r="F113" s="3" t="s">
        <v>279</v>
      </c>
      <c r="G113" s="10" t="s">
        <v>286</v>
      </c>
      <c r="H113" s="9" t="s">
        <v>13</v>
      </c>
      <c r="I113" s="9" t="s">
        <v>290</v>
      </c>
    </row>
    <row r="114" customFormat="false" ht="15.75" hidden="false" customHeight="false" outlineLevel="0" collapsed="false">
      <c r="B114" s="7" t="n">
        <v>46211</v>
      </c>
      <c r="C114" s="3" t="s">
        <v>292</v>
      </c>
      <c r="D114" s="3" t="s">
        <v>9</v>
      </c>
      <c r="E114" s="3" t="s">
        <v>278</v>
      </c>
      <c r="F114" s="3" t="s">
        <v>279</v>
      </c>
      <c r="G114" s="10" t="s">
        <v>286</v>
      </c>
      <c r="H114" s="9" t="s">
        <v>13</v>
      </c>
      <c r="I114" s="9" t="s">
        <v>290</v>
      </c>
    </row>
    <row r="115" customFormat="false" ht="15.75" hidden="false" customHeight="false" outlineLevel="0" collapsed="false">
      <c r="B115" s="7" t="n">
        <v>46211</v>
      </c>
      <c r="C115" s="3" t="s">
        <v>293</v>
      </c>
      <c r="D115" s="3" t="s">
        <v>9</v>
      </c>
      <c r="E115" s="3" t="s">
        <v>278</v>
      </c>
      <c r="F115" s="3" t="s">
        <v>279</v>
      </c>
      <c r="G115" s="10" t="s">
        <v>294</v>
      </c>
      <c r="H115" s="9" t="s">
        <v>13</v>
      </c>
      <c r="I115" s="9" t="s">
        <v>295</v>
      </c>
    </row>
    <row r="116" customFormat="false" ht="15.75" hidden="false" customHeight="false" outlineLevel="0" collapsed="false">
      <c r="B116" s="7" t="n">
        <v>46211</v>
      </c>
      <c r="C116" s="3" t="s">
        <v>296</v>
      </c>
      <c r="D116" s="3" t="s">
        <v>9</v>
      </c>
      <c r="E116" s="3" t="s">
        <v>278</v>
      </c>
      <c r="F116" s="3" t="s">
        <v>279</v>
      </c>
      <c r="G116" s="10" t="s">
        <v>286</v>
      </c>
      <c r="H116" s="9" t="s">
        <v>13</v>
      </c>
      <c r="I116" s="9" t="s">
        <v>297</v>
      </c>
    </row>
    <row r="117" customFormat="false" ht="15.75" hidden="false" customHeight="false" outlineLevel="0" collapsed="false">
      <c r="B117" s="7" t="n">
        <v>46211</v>
      </c>
      <c r="C117" s="3" t="s">
        <v>298</v>
      </c>
      <c r="D117" s="3" t="s">
        <v>9</v>
      </c>
      <c r="E117" s="3" t="s">
        <v>278</v>
      </c>
      <c r="F117" s="3" t="s">
        <v>279</v>
      </c>
      <c r="G117" s="10" t="s">
        <v>286</v>
      </c>
      <c r="H117" s="9" t="s">
        <v>13</v>
      </c>
      <c r="I117" s="9" t="s">
        <v>299</v>
      </c>
    </row>
    <row r="118" customFormat="false" ht="15.75" hidden="false" customHeight="false" outlineLevel="0" collapsed="false">
      <c r="B118" s="7" t="n">
        <v>46211</v>
      </c>
      <c r="C118" s="3" t="s">
        <v>300</v>
      </c>
      <c r="D118" s="3" t="s">
        <v>9</v>
      </c>
      <c r="E118" s="3" t="s">
        <v>278</v>
      </c>
      <c r="F118" s="3" t="s">
        <v>279</v>
      </c>
      <c r="G118" s="10" t="s">
        <v>286</v>
      </c>
      <c r="H118" s="9" t="s">
        <v>13</v>
      </c>
      <c r="I118" s="9" t="s">
        <v>299</v>
      </c>
    </row>
    <row r="119" customFormat="false" ht="15.75" hidden="false" customHeight="false" outlineLevel="0" collapsed="false">
      <c r="B119" s="7" t="n">
        <v>46211</v>
      </c>
      <c r="C119" s="3" t="s">
        <v>301</v>
      </c>
      <c r="D119" s="3" t="s">
        <v>9</v>
      </c>
      <c r="E119" s="3" t="s">
        <v>278</v>
      </c>
      <c r="F119" s="3" t="s">
        <v>279</v>
      </c>
      <c r="G119" s="10" t="s">
        <v>286</v>
      </c>
      <c r="H119" s="9" t="s">
        <v>13</v>
      </c>
      <c r="I119" s="9" t="s">
        <v>299</v>
      </c>
    </row>
    <row r="120" customFormat="false" ht="15.75" hidden="false" customHeight="false" outlineLevel="0" collapsed="false">
      <c r="B120" s="7" t="n">
        <v>46211</v>
      </c>
      <c r="C120" s="3" t="s">
        <v>302</v>
      </c>
      <c r="D120" s="3" t="s">
        <v>9</v>
      </c>
      <c r="E120" s="3" t="s">
        <v>278</v>
      </c>
      <c r="F120" s="3" t="s">
        <v>279</v>
      </c>
      <c r="G120" s="10" t="s">
        <v>280</v>
      </c>
      <c r="H120" s="9" t="s">
        <v>13</v>
      </c>
      <c r="I120" s="9" t="s">
        <v>303</v>
      </c>
    </row>
    <row r="121" customFormat="false" ht="15.75" hidden="false" customHeight="false" outlineLevel="0" collapsed="false">
      <c r="B121" s="7" t="n">
        <v>46211</v>
      </c>
      <c r="C121" s="3" t="s">
        <v>304</v>
      </c>
      <c r="D121" s="3" t="s">
        <v>9</v>
      </c>
      <c r="E121" s="3" t="s">
        <v>278</v>
      </c>
      <c r="F121" s="3" t="s">
        <v>279</v>
      </c>
      <c r="G121" s="10" t="s">
        <v>305</v>
      </c>
      <c r="H121" s="9" t="s">
        <v>13</v>
      </c>
      <c r="I121" s="9" t="s">
        <v>306</v>
      </c>
    </row>
    <row r="122" customFormat="false" ht="15.75" hidden="false" customHeight="false" outlineLevel="0" collapsed="false">
      <c r="B122" s="7" t="n">
        <v>46211</v>
      </c>
      <c r="C122" s="3" t="s">
        <v>307</v>
      </c>
      <c r="D122" s="3" t="s">
        <v>9</v>
      </c>
      <c r="E122" s="3" t="s">
        <v>278</v>
      </c>
      <c r="F122" s="3" t="s">
        <v>279</v>
      </c>
      <c r="G122" s="10" t="s">
        <v>305</v>
      </c>
      <c r="H122" s="9" t="s">
        <v>13</v>
      </c>
      <c r="I122" s="9" t="s">
        <v>306</v>
      </c>
    </row>
    <row r="123" customFormat="false" ht="15.75" hidden="false" customHeight="false" outlineLevel="0" collapsed="false">
      <c r="B123" s="7" t="n">
        <v>46211</v>
      </c>
      <c r="C123" s="3" t="s">
        <v>308</v>
      </c>
      <c r="D123" s="3" t="s">
        <v>9</v>
      </c>
      <c r="E123" s="3" t="s">
        <v>278</v>
      </c>
      <c r="F123" s="3" t="s">
        <v>279</v>
      </c>
      <c r="G123" s="10" t="s">
        <v>309</v>
      </c>
      <c r="H123" s="9" t="s">
        <v>13</v>
      </c>
      <c r="I123" s="9" t="s">
        <v>310</v>
      </c>
    </row>
    <row r="124" customFormat="false" ht="15.75" hidden="false" customHeight="false" outlineLevel="0" collapsed="false">
      <c r="B124" s="7" t="n">
        <v>46211</v>
      </c>
      <c r="C124" s="3" t="s">
        <v>311</v>
      </c>
      <c r="D124" s="3" t="s">
        <v>9</v>
      </c>
      <c r="E124" s="3" t="s">
        <v>278</v>
      </c>
      <c r="F124" s="3" t="s">
        <v>279</v>
      </c>
      <c r="G124" s="10" t="s">
        <v>309</v>
      </c>
      <c r="H124" s="9" t="s">
        <v>13</v>
      </c>
      <c r="I124" s="9" t="s">
        <v>310</v>
      </c>
    </row>
    <row r="125" customFormat="false" ht="15.75" hidden="false" customHeight="false" outlineLevel="0" collapsed="false">
      <c r="B125" s="7" t="n">
        <v>46211</v>
      </c>
      <c r="C125" s="3" t="s">
        <v>312</v>
      </c>
      <c r="D125" s="3" t="s">
        <v>9</v>
      </c>
      <c r="E125" s="3" t="s">
        <v>278</v>
      </c>
      <c r="F125" s="3" t="s">
        <v>279</v>
      </c>
      <c r="G125" s="10" t="s">
        <v>309</v>
      </c>
      <c r="H125" s="9" t="s">
        <v>13</v>
      </c>
      <c r="I125" s="9" t="s">
        <v>310</v>
      </c>
    </row>
    <row r="126" customFormat="false" ht="15.75" hidden="false" customHeight="false" outlineLevel="0" collapsed="false">
      <c r="B126" s="7" t="n">
        <v>46211</v>
      </c>
      <c r="C126" s="3" t="s">
        <v>313</v>
      </c>
      <c r="D126" s="3" t="s">
        <v>9</v>
      </c>
      <c r="E126" s="3" t="s">
        <v>278</v>
      </c>
      <c r="F126" s="3" t="s">
        <v>279</v>
      </c>
      <c r="G126" s="10" t="s">
        <v>280</v>
      </c>
      <c r="H126" s="9" t="s">
        <v>13</v>
      </c>
      <c r="I126" s="9" t="s">
        <v>314</v>
      </c>
    </row>
    <row r="127" customFormat="false" ht="15.75" hidden="false" customHeight="false" outlineLevel="0" collapsed="false">
      <c r="B127" s="7" t="n">
        <v>46211</v>
      </c>
      <c r="C127" s="3" t="s">
        <v>315</v>
      </c>
      <c r="D127" s="3" t="s">
        <v>9</v>
      </c>
      <c r="E127" s="3" t="s">
        <v>278</v>
      </c>
      <c r="F127" s="3" t="s">
        <v>279</v>
      </c>
      <c r="G127" s="10" t="s">
        <v>316</v>
      </c>
      <c r="H127" s="9" t="s">
        <v>13</v>
      </c>
      <c r="I127" s="9" t="s">
        <v>317</v>
      </c>
    </row>
    <row r="128" customFormat="false" ht="15.75" hidden="false" customHeight="false" outlineLevel="0" collapsed="false">
      <c r="B128" s="7" t="n">
        <v>46211</v>
      </c>
      <c r="C128" s="3" t="s">
        <v>318</v>
      </c>
      <c r="D128" s="3" t="s">
        <v>9</v>
      </c>
      <c r="E128" s="3" t="s">
        <v>278</v>
      </c>
      <c r="F128" s="3" t="s">
        <v>279</v>
      </c>
      <c r="G128" s="8" t="s">
        <v>319</v>
      </c>
      <c r="H128" s="9" t="s">
        <v>13</v>
      </c>
      <c r="I128" s="9" t="s">
        <v>320</v>
      </c>
    </row>
    <row r="129" customFormat="false" ht="15.75" hidden="false" customHeight="false" outlineLevel="0" collapsed="false">
      <c r="B129" s="7" t="n">
        <v>46211</v>
      </c>
      <c r="C129" s="3" t="s">
        <v>321</v>
      </c>
      <c r="D129" s="3" t="s">
        <v>9</v>
      </c>
      <c r="E129" s="3" t="s">
        <v>278</v>
      </c>
      <c r="F129" s="3" t="s">
        <v>279</v>
      </c>
      <c r="G129" s="10" t="s">
        <v>305</v>
      </c>
      <c r="H129" s="9" t="s">
        <v>13</v>
      </c>
      <c r="I129" s="9" t="s">
        <v>322</v>
      </c>
    </row>
    <row r="130" customFormat="false" ht="15.75" hidden="false" customHeight="false" outlineLevel="0" collapsed="false">
      <c r="B130" s="7" t="n">
        <v>46211</v>
      </c>
      <c r="C130" s="3" t="s">
        <v>323</v>
      </c>
      <c r="D130" s="3" t="s">
        <v>9</v>
      </c>
      <c r="E130" s="3" t="s">
        <v>278</v>
      </c>
      <c r="F130" s="3" t="s">
        <v>279</v>
      </c>
      <c r="G130" s="10" t="s">
        <v>305</v>
      </c>
      <c r="H130" s="9" t="s">
        <v>13</v>
      </c>
      <c r="I130" s="9" t="s">
        <v>322</v>
      </c>
    </row>
    <row r="131" customFormat="false" ht="15.75" hidden="false" customHeight="false" outlineLevel="0" collapsed="false">
      <c r="B131" s="7" t="n">
        <v>46211</v>
      </c>
      <c r="C131" s="3" t="s">
        <v>324</v>
      </c>
      <c r="D131" s="3" t="s">
        <v>9</v>
      </c>
      <c r="E131" s="3" t="s">
        <v>278</v>
      </c>
      <c r="F131" s="3" t="s">
        <v>279</v>
      </c>
      <c r="G131" s="10" t="s">
        <v>286</v>
      </c>
      <c r="H131" s="9" t="s">
        <v>13</v>
      </c>
      <c r="I131" s="9" t="s">
        <v>325</v>
      </c>
    </row>
    <row r="132" customFormat="false" ht="15.75" hidden="false" customHeight="false" outlineLevel="0" collapsed="false">
      <c r="B132" s="7" t="n">
        <v>46211</v>
      </c>
      <c r="C132" s="3" t="s">
        <v>326</v>
      </c>
      <c r="D132" s="3" t="s">
        <v>9</v>
      </c>
      <c r="E132" s="3" t="s">
        <v>278</v>
      </c>
      <c r="F132" s="3" t="s">
        <v>279</v>
      </c>
      <c r="G132" s="10" t="s">
        <v>286</v>
      </c>
      <c r="H132" s="9" t="s">
        <v>13</v>
      </c>
      <c r="I132" s="9" t="s">
        <v>325</v>
      </c>
    </row>
    <row r="133" customFormat="false" ht="15.75" hidden="false" customHeight="false" outlineLevel="0" collapsed="false">
      <c r="B133" s="7" t="n">
        <v>46211</v>
      </c>
      <c r="C133" s="3" t="s">
        <v>327</v>
      </c>
      <c r="D133" s="3" t="s">
        <v>9</v>
      </c>
      <c r="E133" s="3" t="s">
        <v>278</v>
      </c>
      <c r="F133" s="3" t="s">
        <v>279</v>
      </c>
      <c r="G133" s="10" t="s">
        <v>286</v>
      </c>
      <c r="H133" s="9" t="s">
        <v>13</v>
      </c>
      <c r="I133" s="9" t="s">
        <v>328</v>
      </c>
    </row>
    <row r="134" customFormat="false" ht="15.75" hidden="false" customHeight="false" outlineLevel="0" collapsed="false">
      <c r="B134" s="7" t="n">
        <v>46211</v>
      </c>
      <c r="C134" s="3" t="s">
        <v>329</v>
      </c>
      <c r="D134" s="3" t="s">
        <v>9</v>
      </c>
      <c r="E134" s="3" t="s">
        <v>278</v>
      </c>
      <c r="F134" s="3" t="s">
        <v>279</v>
      </c>
      <c r="G134" s="10" t="s">
        <v>286</v>
      </c>
      <c r="H134" s="9" t="s">
        <v>13</v>
      </c>
      <c r="I134" s="9" t="s">
        <v>328</v>
      </c>
    </row>
    <row r="135" customFormat="false" ht="15.75" hidden="false" customHeight="false" outlineLevel="0" collapsed="false">
      <c r="B135" s="7" t="n">
        <v>46211</v>
      </c>
      <c r="C135" s="3" t="s">
        <v>330</v>
      </c>
      <c r="D135" s="3" t="s">
        <v>9</v>
      </c>
      <c r="E135" s="3" t="s">
        <v>278</v>
      </c>
      <c r="F135" s="3" t="s">
        <v>279</v>
      </c>
      <c r="G135" s="10" t="s">
        <v>286</v>
      </c>
      <c r="H135" s="9" t="s">
        <v>13</v>
      </c>
      <c r="I135" s="9" t="s">
        <v>328</v>
      </c>
    </row>
    <row r="136" customFormat="false" ht="15.75" hidden="false" customHeight="false" outlineLevel="0" collapsed="false">
      <c r="B136" s="7" t="n">
        <v>46211</v>
      </c>
      <c r="C136" s="3" t="s">
        <v>331</v>
      </c>
      <c r="D136" s="3" t="s">
        <v>9</v>
      </c>
      <c r="E136" s="3" t="s">
        <v>278</v>
      </c>
      <c r="F136" s="3" t="s">
        <v>279</v>
      </c>
      <c r="G136" s="10" t="s">
        <v>286</v>
      </c>
      <c r="H136" s="9" t="s">
        <v>13</v>
      </c>
      <c r="I136" s="9" t="s">
        <v>332</v>
      </c>
    </row>
    <row r="137" customFormat="false" ht="15.75" hidden="false" customHeight="false" outlineLevel="0" collapsed="false">
      <c r="B137" s="7" t="n">
        <v>46211</v>
      </c>
      <c r="C137" s="3" t="s">
        <v>333</v>
      </c>
      <c r="D137" s="3" t="s">
        <v>9</v>
      </c>
      <c r="E137" s="3" t="s">
        <v>278</v>
      </c>
      <c r="F137" s="3" t="s">
        <v>279</v>
      </c>
      <c r="G137" s="10" t="s">
        <v>286</v>
      </c>
      <c r="H137" s="9" t="s">
        <v>13</v>
      </c>
      <c r="I137" s="9" t="s">
        <v>332</v>
      </c>
    </row>
    <row r="138" customFormat="false" ht="15.75" hidden="false" customHeight="false" outlineLevel="0" collapsed="false">
      <c r="B138" s="7" t="n">
        <v>46211</v>
      </c>
      <c r="C138" s="3" t="s">
        <v>334</v>
      </c>
      <c r="D138" s="3" t="s">
        <v>9</v>
      </c>
      <c r="E138" s="3" t="s">
        <v>278</v>
      </c>
      <c r="F138" s="3" t="s">
        <v>279</v>
      </c>
      <c r="G138" s="10" t="s">
        <v>286</v>
      </c>
      <c r="H138" s="9" t="s">
        <v>13</v>
      </c>
      <c r="I138" s="9" t="s">
        <v>332</v>
      </c>
    </row>
    <row r="139" customFormat="false" ht="15.75" hidden="false" customHeight="false" outlineLevel="0" collapsed="false">
      <c r="B139" s="7" t="n">
        <v>46211</v>
      </c>
      <c r="C139" s="3" t="s">
        <v>335</v>
      </c>
      <c r="D139" s="3" t="s">
        <v>9</v>
      </c>
      <c r="E139" s="3" t="s">
        <v>278</v>
      </c>
      <c r="F139" s="3" t="s">
        <v>279</v>
      </c>
      <c r="G139" s="10" t="s">
        <v>336</v>
      </c>
      <c r="H139" s="9" t="s">
        <v>13</v>
      </c>
      <c r="I139" s="9" t="s">
        <v>337</v>
      </c>
    </row>
    <row r="140" customFormat="false" ht="15.75" hidden="false" customHeight="false" outlineLevel="0" collapsed="false">
      <c r="B140" s="7" t="n">
        <v>46211</v>
      </c>
      <c r="C140" s="3" t="s">
        <v>338</v>
      </c>
      <c r="D140" s="3" t="s">
        <v>9</v>
      </c>
      <c r="E140" s="3" t="s">
        <v>278</v>
      </c>
      <c r="F140" s="3" t="s">
        <v>279</v>
      </c>
      <c r="G140" s="10" t="s">
        <v>280</v>
      </c>
      <c r="H140" s="9" t="s">
        <v>13</v>
      </c>
      <c r="I140" s="9" t="s">
        <v>339</v>
      </c>
    </row>
    <row r="141" customFormat="false" ht="15.75" hidden="false" customHeight="false" outlineLevel="0" collapsed="false">
      <c r="B141" s="7" t="n">
        <v>46211</v>
      </c>
      <c r="C141" s="3" t="s">
        <v>340</v>
      </c>
      <c r="D141" s="3" t="s">
        <v>9</v>
      </c>
      <c r="E141" s="3" t="s">
        <v>278</v>
      </c>
      <c r="F141" s="3" t="s">
        <v>279</v>
      </c>
      <c r="G141" s="10" t="s">
        <v>305</v>
      </c>
      <c r="H141" s="9" t="s">
        <v>13</v>
      </c>
      <c r="I141" s="9" t="s">
        <v>341</v>
      </c>
    </row>
    <row r="142" customFormat="false" ht="15.75" hidden="false" customHeight="false" outlineLevel="0" collapsed="false">
      <c r="B142" s="7" t="n">
        <v>46211</v>
      </c>
      <c r="C142" s="3" t="s">
        <v>342</v>
      </c>
      <c r="D142" s="3" t="s">
        <v>9</v>
      </c>
      <c r="E142" s="3" t="s">
        <v>278</v>
      </c>
      <c r="F142" s="3" t="s">
        <v>279</v>
      </c>
      <c r="G142" s="10" t="s">
        <v>343</v>
      </c>
      <c r="H142" s="9" t="s">
        <v>13</v>
      </c>
      <c r="I142" s="9" t="s">
        <v>344</v>
      </c>
    </row>
    <row r="143" customFormat="false" ht="15.75" hidden="false" customHeight="false" outlineLevel="0" collapsed="false">
      <c r="B143" s="7" t="n">
        <v>46211</v>
      </c>
      <c r="C143" s="3" t="s">
        <v>345</v>
      </c>
      <c r="D143" s="3" t="s">
        <v>9</v>
      </c>
      <c r="E143" s="3" t="s">
        <v>278</v>
      </c>
      <c r="F143" s="3" t="s">
        <v>346</v>
      </c>
      <c r="G143" s="10" t="s">
        <v>347</v>
      </c>
      <c r="H143" s="9" t="s">
        <v>13</v>
      </c>
      <c r="I143" s="9" t="s">
        <v>348</v>
      </c>
    </row>
    <row r="144" customFormat="false" ht="15.75" hidden="false" customHeight="false" outlineLevel="0" collapsed="false">
      <c r="B144" s="7" t="n">
        <v>46211</v>
      </c>
      <c r="C144" s="3" t="s">
        <v>349</v>
      </c>
      <c r="D144" s="3" t="s">
        <v>9</v>
      </c>
      <c r="E144" s="3" t="s">
        <v>278</v>
      </c>
      <c r="F144" s="3" t="s">
        <v>346</v>
      </c>
      <c r="G144" s="10" t="s">
        <v>350</v>
      </c>
      <c r="H144" s="9" t="s">
        <v>13</v>
      </c>
      <c r="I144" s="9" t="s">
        <v>351</v>
      </c>
    </row>
    <row r="145" customFormat="false" ht="15.75" hidden="false" customHeight="false" outlineLevel="0" collapsed="false">
      <c r="B145" s="7" t="n">
        <v>46211</v>
      </c>
      <c r="C145" s="3" t="s">
        <v>352</v>
      </c>
      <c r="D145" s="3" t="s">
        <v>9</v>
      </c>
      <c r="E145" s="3" t="s">
        <v>278</v>
      </c>
      <c r="F145" s="3" t="s">
        <v>346</v>
      </c>
      <c r="G145" s="10" t="s">
        <v>350</v>
      </c>
      <c r="H145" s="9" t="s">
        <v>13</v>
      </c>
      <c r="I145" s="9" t="s">
        <v>351</v>
      </c>
    </row>
    <row r="146" customFormat="false" ht="15.75" hidden="false" customHeight="false" outlineLevel="0" collapsed="false">
      <c r="B146" s="7" t="n">
        <v>46211</v>
      </c>
      <c r="C146" s="3" t="s">
        <v>353</v>
      </c>
      <c r="D146" s="3" t="s">
        <v>9</v>
      </c>
      <c r="E146" s="3" t="s">
        <v>278</v>
      </c>
      <c r="F146" s="3" t="s">
        <v>346</v>
      </c>
      <c r="G146" s="10" t="s">
        <v>354</v>
      </c>
      <c r="H146" s="9" t="s">
        <v>13</v>
      </c>
      <c r="I146" s="9" t="s">
        <v>355</v>
      </c>
    </row>
    <row r="147" customFormat="false" ht="15.75" hidden="false" customHeight="false" outlineLevel="0" collapsed="false">
      <c r="B147" s="7" t="n">
        <v>46211</v>
      </c>
      <c r="C147" s="3" t="s">
        <v>356</v>
      </c>
      <c r="D147" s="3" t="s">
        <v>9</v>
      </c>
      <c r="E147" s="3" t="s">
        <v>278</v>
      </c>
      <c r="F147" s="3" t="s">
        <v>346</v>
      </c>
      <c r="G147" s="10" t="s">
        <v>357</v>
      </c>
      <c r="H147" s="9" t="s">
        <v>13</v>
      </c>
      <c r="I147" s="9" t="s">
        <v>358</v>
      </c>
    </row>
    <row r="148" customFormat="false" ht="15.75" hidden="false" customHeight="false" outlineLevel="0" collapsed="false">
      <c r="B148" s="7" t="n">
        <v>46211</v>
      </c>
      <c r="C148" s="3" t="s">
        <v>359</v>
      </c>
      <c r="D148" s="3" t="s">
        <v>9</v>
      </c>
      <c r="E148" s="3" t="s">
        <v>278</v>
      </c>
      <c r="F148" s="3" t="s">
        <v>346</v>
      </c>
      <c r="G148" s="10" t="s">
        <v>360</v>
      </c>
      <c r="H148" s="9" t="s">
        <v>13</v>
      </c>
      <c r="I148" s="9" t="s">
        <v>361</v>
      </c>
    </row>
    <row r="149" customFormat="false" ht="15.75" hidden="false" customHeight="false" outlineLevel="0" collapsed="false">
      <c r="B149" s="7" t="n">
        <v>46211</v>
      </c>
      <c r="C149" s="3" t="s">
        <v>362</v>
      </c>
      <c r="D149" s="3" t="s">
        <v>9</v>
      </c>
      <c r="E149" s="3" t="s">
        <v>278</v>
      </c>
      <c r="F149" s="3" t="s">
        <v>346</v>
      </c>
      <c r="G149" s="10" t="s">
        <v>363</v>
      </c>
      <c r="H149" s="9" t="s">
        <v>13</v>
      </c>
      <c r="I149" s="9" t="s">
        <v>364</v>
      </c>
    </row>
    <row r="150" customFormat="false" ht="15.75" hidden="false" customHeight="false" outlineLevel="0" collapsed="false">
      <c r="B150" s="7" t="n">
        <v>46211</v>
      </c>
      <c r="C150" s="3" t="s">
        <v>365</v>
      </c>
      <c r="D150" s="3" t="s">
        <v>9</v>
      </c>
      <c r="E150" s="3" t="s">
        <v>278</v>
      </c>
      <c r="F150" s="3" t="s">
        <v>346</v>
      </c>
      <c r="G150" s="10" t="s">
        <v>363</v>
      </c>
      <c r="H150" s="9" t="s">
        <v>13</v>
      </c>
      <c r="I150" s="9" t="s">
        <v>364</v>
      </c>
    </row>
    <row r="151" customFormat="false" ht="15.75" hidden="false" customHeight="false" outlineLevel="0" collapsed="false">
      <c r="B151" s="7" t="n">
        <v>46211</v>
      </c>
      <c r="C151" s="3" t="s">
        <v>366</v>
      </c>
      <c r="D151" s="3" t="s">
        <v>9</v>
      </c>
      <c r="E151" s="3" t="s">
        <v>278</v>
      </c>
      <c r="F151" s="3" t="s">
        <v>346</v>
      </c>
      <c r="G151" s="10" t="s">
        <v>363</v>
      </c>
      <c r="H151" s="9" t="s">
        <v>13</v>
      </c>
      <c r="I151" s="9" t="s">
        <v>364</v>
      </c>
    </row>
    <row r="152" customFormat="false" ht="15.75" hidden="false" customHeight="false" outlineLevel="0" collapsed="false">
      <c r="B152" s="7" t="n">
        <v>46211</v>
      </c>
      <c r="C152" s="3" t="s">
        <v>367</v>
      </c>
      <c r="D152" s="3" t="s">
        <v>9</v>
      </c>
      <c r="E152" s="3" t="s">
        <v>278</v>
      </c>
      <c r="F152" s="3" t="s">
        <v>346</v>
      </c>
      <c r="G152" s="10" t="s">
        <v>363</v>
      </c>
      <c r="H152" s="9" t="s">
        <v>13</v>
      </c>
      <c r="I152" s="9" t="s">
        <v>364</v>
      </c>
    </row>
    <row r="153" customFormat="false" ht="15.75" hidden="false" customHeight="false" outlineLevel="0" collapsed="false">
      <c r="B153" s="7" t="n">
        <v>46211</v>
      </c>
      <c r="C153" s="3" t="s">
        <v>368</v>
      </c>
      <c r="D153" s="3" t="s">
        <v>9</v>
      </c>
      <c r="E153" s="3" t="s">
        <v>278</v>
      </c>
      <c r="F153" s="3" t="s">
        <v>346</v>
      </c>
      <c r="G153" s="10" t="s">
        <v>369</v>
      </c>
      <c r="H153" s="9" t="s">
        <v>13</v>
      </c>
      <c r="I153" s="9" t="s">
        <v>370</v>
      </c>
    </row>
    <row r="154" customFormat="false" ht="15.75" hidden="false" customHeight="false" outlineLevel="0" collapsed="false">
      <c r="B154" s="7" t="n">
        <v>46211</v>
      </c>
      <c r="C154" s="3" t="s">
        <v>371</v>
      </c>
      <c r="D154" s="3" t="s">
        <v>9</v>
      </c>
      <c r="E154" s="3" t="s">
        <v>278</v>
      </c>
      <c r="F154" s="3" t="s">
        <v>346</v>
      </c>
      <c r="G154" s="10" t="s">
        <v>369</v>
      </c>
      <c r="H154" s="9" t="s">
        <v>13</v>
      </c>
      <c r="I154" s="9" t="s">
        <v>372</v>
      </c>
    </row>
    <row r="155" customFormat="false" ht="15.75" hidden="false" customHeight="false" outlineLevel="0" collapsed="false">
      <c r="B155" s="7" t="n">
        <v>46211</v>
      </c>
      <c r="C155" s="3" t="s">
        <v>373</v>
      </c>
      <c r="D155" s="3" t="s">
        <v>9</v>
      </c>
      <c r="E155" s="3" t="s">
        <v>278</v>
      </c>
      <c r="F155" s="3" t="s">
        <v>346</v>
      </c>
      <c r="G155" s="10" t="s">
        <v>369</v>
      </c>
      <c r="H155" s="9" t="s">
        <v>13</v>
      </c>
      <c r="I155" s="9" t="s">
        <v>372</v>
      </c>
    </row>
    <row r="156" customFormat="false" ht="15.75" hidden="false" customHeight="false" outlineLevel="0" collapsed="false">
      <c r="B156" s="7" t="n">
        <v>46211</v>
      </c>
      <c r="C156" s="3" t="s">
        <v>374</v>
      </c>
      <c r="D156" s="3" t="s">
        <v>9</v>
      </c>
      <c r="E156" s="3" t="s">
        <v>278</v>
      </c>
      <c r="F156" s="3" t="s">
        <v>346</v>
      </c>
      <c r="G156" s="10" t="s">
        <v>375</v>
      </c>
      <c r="H156" s="9" t="s">
        <v>13</v>
      </c>
      <c r="I156" s="9" t="s">
        <v>376</v>
      </c>
    </row>
    <row r="157" customFormat="false" ht="15.75" hidden="false" customHeight="false" outlineLevel="0" collapsed="false">
      <c r="B157" s="7" t="n">
        <v>46211</v>
      </c>
      <c r="C157" s="3" t="s">
        <v>377</v>
      </c>
      <c r="D157" s="3" t="s">
        <v>9</v>
      </c>
      <c r="E157" s="3" t="s">
        <v>278</v>
      </c>
      <c r="F157" s="3" t="s">
        <v>346</v>
      </c>
      <c r="G157" s="10" t="s">
        <v>378</v>
      </c>
      <c r="H157" s="9" t="s">
        <v>13</v>
      </c>
      <c r="I157" s="9" t="s">
        <v>379</v>
      </c>
    </row>
    <row r="158" customFormat="false" ht="15.75" hidden="false" customHeight="false" outlineLevel="0" collapsed="false">
      <c r="B158" s="7" t="n">
        <v>46211</v>
      </c>
      <c r="C158" s="3" t="s">
        <v>380</v>
      </c>
      <c r="D158" s="3" t="s">
        <v>9</v>
      </c>
      <c r="E158" s="3" t="s">
        <v>278</v>
      </c>
      <c r="F158" s="3" t="s">
        <v>346</v>
      </c>
      <c r="G158" s="10" t="s">
        <v>378</v>
      </c>
      <c r="H158" s="9" t="s">
        <v>13</v>
      </c>
      <c r="I158" s="9" t="s">
        <v>381</v>
      </c>
    </row>
    <row r="159" customFormat="false" ht="15.75" hidden="false" customHeight="false" outlineLevel="0" collapsed="false">
      <c r="B159" s="7" t="n">
        <v>46211</v>
      </c>
      <c r="C159" s="3" t="s">
        <v>382</v>
      </c>
      <c r="D159" s="3" t="s">
        <v>9</v>
      </c>
      <c r="E159" s="3" t="s">
        <v>278</v>
      </c>
      <c r="F159" s="3" t="s">
        <v>346</v>
      </c>
      <c r="G159" s="10" t="s">
        <v>378</v>
      </c>
      <c r="H159" s="9" t="s">
        <v>13</v>
      </c>
      <c r="I159" s="9" t="s">
        <v>383</v>
      </c>
    </row>
    <row r="160" customFormat="false" ht="15.75" hidden="false" customHeight="false" outlineLevel="0" collapsed="false">
      <c r="B160" s="7" t="n">
        <v>46211</v>
      </c>
      <c r="C160" s="3" t="s">
        <v>384</v>
      </c>
      <c r="D160" s="3" t="s">
        <v>9</v>
      </c>
      <c r="E160" s="3" t="s">
        <v>278</v>
      </c>
      <c r="F160" s="3" t="s">
        <v>346</v>
      </c>
      <c r="G160" s="10" t="s">
        <v>378</v>
      </c>
      <c r="H160" s="9" t="s">
        <v>13</v>
      </c>
      <c r="I160" s="9" t="s">
        <v>383</v>
      </c>
    </row>
    <row r="161" customFormat="false" ht="15.75" hidden="false" customHeight="false" outlineLevel="0" collapsed="false">
      <c r="B161" s="7" t="n">
        <v>46211</v>
      </c>
      <c r="C161" s="3" t="s">
        <v>385</v>
      </c>
      <c r="D161" s="3" t="s">
        <v>9</v>
      </c>
      <c r="E161" s="3" t="s">
        <v>278</v>
      </c>
      <c r="F161" s="3" t="s">
        <v>346</v>
      </c>
      <c r="G161" s="10" t="s">
        <v>378</v>
      </c>
      <c r="H161" s="9" t="s">
        <v>13</v>
      </c>
      <c r="I161" s="9" t="s">
        <v>383</v>
      </c>
    </row>
    <row r="162" customFormat="false" ht="15.75" hidden="false" customHeight="false" outlineLevel="0" collapsed="false">
      <c r="B162" s="7" t="n">
        <v>46211</v>
      </c>
      <c r="C162" s="3" t="s">
        <v>386</v>
      </c>
      <c r="D162" s="3" t="s">
        <v>9</v>
      </c>
      <c r="E162" s="3" t="s">
        <v>278</v>
      </c>
      <c r="F162" s="3" t="s">
        <v>346</v>
      </c>
      <c r="G162" s="10" t="s">
        <v>387</v>
      </c>
      <c r="H162" s="9" t="s">
        <v>13</v>
      </c>
      <c r="I162" s="9" t="s">
        <v>388</v>
      </c>
    </row>
    <row r="163" customFormat="false" ht="15.75" hidden="false" customHeight="false" outlineLevel="0" collapsed="false">
      <c r="B163" s="7" t="n">
        <v>46211</v>
      </c>
      <c r="C163" s="3" t="s">
        <v>389</v>
      </c>
      <c r="D163" s="3" t="s">
        <v>9</v>
      </c>
      <c r="E163" s="3" t="s">
        <v>278</v>
      </c>
      <c r="F163" s="3" t="s">
        <v>346</v>
      </c>
      <c r="G163" s="10" t="s">
        <v>390</v>
      </c>
      <c r="H163" s="9" t="s">
        <v>13</v>
      </c>
      <c r="I163" s="9" t="s">
        <v>391</v>
      </c>
    </row>
    <row r="164" customFormat="false" ht="15.75" hidden="false" customHeight="false" outlineLevel="0" collapsed="false">
      <c r="B164" s="7" t="n">
        <v>46211</v>
      </c>
      <c r="C164" s="3" t="s">
        <v>392</v>
      </c>
      <c r="D164" s="3" t="s">
        <v>9</v>
      </c>
      <c r="E164" s="3" t="s">
        <v>278</v>
      </c>
      <c r="F164" s="3" t="s">
        <v>346</v>
      </c>
      <c r="G164" s="10" t="s">
        <v>393</v>
      </c>
      <c r="H164" s="9" t="s">
        <v>13</v>
      </c>
      <c r="I164" s="9" t="s">
        <v>394</v>
      </c>
    </row>
    <row r="165" customFormat="false" ht="15.75" hidden="false" customHeight="false" outlineLevel="0" collapsed="false">
      <c r="B165" s="7" t="n">
        <v>46211</v>
      </c>
      <c r="C165" s="3" t="s">
        <v>395</v>
      </c>
      <c r="D165" s="3" t="s">
        <v>9</v>
      </c>
      <c r="E165" s="3" t="s">
        <v>278</v>
      </c>
      <c r="F165" s="3" t="s">
        <v>346</v>
      </c>
      <c r="G165" s="10" t="s">
        <v>396</v>
      </c>
      <c r="H165" s="9" t="s">
        <v>13</v>
      </c>
      <c r="I165" s="9" t="s">
        <v>397</v>
      </c>
    </row>
    <row r="166" customFormat="false" ht="15.75" hidden="false" customHeight="false" outlineLevel="0" collapsed="false">
      <c r="B166" s="7" t="n">
        <v>46211</v>
      </c>
      <c r="C166" s="3" t="s">
        <v>398</v>
      </c>
      <c r="D166" s="3" t="s">
        <v>9</v>
      </c>
      <c r="E166" s="3" t="s">
        <v>278</v>
      </c>
      <c r="F166" s="3" t="s">
        <v>346</v>
      </c>
      <c r="G166" s="10" t="s">
        <v>399</v>
      </c>
      <c r="H166" s="9" t="s">
        <v>13</v>
      </c>
      <c r="I166" s="9" t="s">
        <v>400</v>
      </c>
    </row>
    <row r="167" customFormat="false" ht="15.75" hidden="false" customHeight="false" outlineLevel="0" collapsed="false">
      <c r="B167" s="7" t="n">
        <v>46211</v>
      </c>
      <c r="C167" s="3" t="s">
        <v>401</v>
      </c>
      <c r="D167" s="3" t="s">
        <v>9</v>
      </c>
      <c r="E167" s="3" t="s">
        <v>278</v>
      </c>
      <c r="F167" s="3" t="s">
        <v>346</v>
      </c>
      <c r="G167" s="10" t="s">
        <v>399</v>
      </c>
      <c r="H167" s="9" t="s">
        <v>13</v>
      </c>
      <c r="I167" s="9" t="s">
        <v>402</v>
      </c>
    </row>
    <row r="168" customFormat="false" ht="15.75" hidden="false" customHeight="false" outlineLevel="0" collapsed="false">
      <c r="B168" s="7" t="n">
        <v>46211</v>
      </c>
      <c r="C168" s="3" t="s">
        <v>403</v>
      </c>
      <c r="D168" s="3" t="s">
        <v>9</v>
      </c>
      <c r="E168" s="3" t="s">
        <v>278</v>
      </c>
      <c r="F168" s="3" t="s">
        <v>346</v>
      </c>
      <c r="G168" s="10" t="s">
        <v>399</v>
      </c>
      <c r="H168" s="9" t="s">
        <v>13</v>
      </c>
      <c r="I168" s="9" t="s">
        <v>404</v>
      </c>
    </row>
    <row r="169" customFormat="false" ht="15.75" hidden="false" customHeight="false" outlineLevel="0" collapsed="false">
      <c r="B169" s="7" t="n">
        <v>46211</v>
      </c>
      <c r="C169" s="3" t="s">
        <v>405</v>
      </c>
      <c r="D169" s="3" t="s">
        <v>9</v>
      </c>
      <c r="E169" s="3" t="s">
        <v>278</v>
      </c>
      <c r="F169" s="3" t="s">
        <v>346</v>
      </c>
      <c r="G169" s="10" t="s">
        <v>406</v>
      </c>
      <c r="H169" s="9" t="s">
        <v>13</v>
      </c>
      <c r="I169" s="9" t="s">
        <v>407</v>
      </c>
    </row>
    <row r="170" customFormat="false" ht="15.75" hidden="false" customHeight="false" outlineLevel="0" collapsed="false">
      <c r="B170" s="7" t="n">
        <v>46211</v>
      </c>
      <c r="C170" s="3" t="s">
        <v>408</v>
      </c>
      <c r="D170" s="3" t="s">
        <v>9</v>
      </c>
      <c r="E170" s="3" t="s">
        <v>278</v>
      </c>
      <c r="F170" s="3" t="s">
        <v>346</v>
      </c>
      <c r="G170" s="10" t="s">
        <v>406</v>
      </c>
      <c r="H170" s="9" t="s">
        <v>13</v>
      </c>
      <c r="I170" s="9" t="s">
        <v>409</v>
      </c>
    </row>
    <row r="171" customFormat="false" ht="15.75" hidden="false" customHeight="false" outlineLevel="0" collapsed="false">
      <c r="B171" s="7" t="n">
        <v>46211</v>
      </c>
      <c r="C171" s="3" t="s">
        <v>410</v>
      </c>
      <c r="D171" s="3" t="s">
        <v>9</v>
      </c>
      <c r="E171" s="3" t="s">
        <v>278</v>
      </c>
      <c r="F171" s="3" t="s">
        <v>346</v>
      </c>
      <c r="G171" s="10" t="s">
        <v>406</v>
      </c>
      <c r="H171" s="9" t="s">
        <v>13</v>
      </c>
      <c r="I171" s="9" t="s">
        <v>411</v>
      </c>
    </row>
    <row r="172" customFormat="false" ht="15.75" hidden="false" customHeight="false" outlineLevel="0" collapsed="false">
      <c r="B172" s="7" t="n">
        <v>46211</v>
      </c>
      <c r="C172" s="3" t="s">
        <v>412</v>
      </c>
      <c r="D172" s="3" t="s">
        <v>9</v>
      </c>
      <c r="E172" s="3" t="s">
        <v>278</v>
      </c>
      <c r="F172" s="3" t="s">
        <v>346</v>
      </c>
      <c r="G172" s="10" t="s">
        <v>406</v>
      </c>
      <c r="H172" s="9" t="s">
        <v>13</v>
      </c>
      <c r="I172" s="9" t="s">
        <v>413</v>
      </c>
    </row>
    <row r="173" customFormat="false" ht="15.75" hidden="false" customHeight="false" outlineLevel="0" collapsed="false">
      <c r="B173" s="7" t="n">
        <v>46211</v>
      </c>
      <c r="C173" s="3" t="s">
        <v>414</v>
      </c>
      <c r="D173" s="3" t="s">
        <v>9</v>
      </c>
      <c r="E173" s="3" t="s">
        <v>278</v>
      </c>
      <c r="F173" s="3" t="s">
        <v>346</v>
      </c>
      <c r="G173" s="10" t="s">
        <v>406</v>
      </c>
      <c r="H173" s="9" t="s">
        <v>13</v>
      </c>
      <c r="I173" s="9" t="s">
        <v>415</v>
      </c>
    </row>
    <row r="174" customFormat="false" ht="15.75" hidden="false" customHeight="false" outlineLevel="0" collapsed="false">
      <c r="B174" s="7" t="n">
        <v>46211</v>
      </c>
      <c r="C174" s="3" t="s">
        <v>416</v>
      </c>
      <c r="D174" s="3" t="s">
        <v>9</v>
      </c>
      <c r="E174" s="3" t="s">
        <v>278</v>
      </c>
      <c r="F174" s="3" t="s">
        <v>346</v>
      </c>
      <c r="G174" s="10" t="s">
        <v>417</v>
      </c>
      <c r="H174" s="9" t="s">
        <v>13</v>
      </c>
      <c r="I174" s="9" t="s">
        <v>418</v>
      </c>
    </row>
    <row r="175" customFormat="false" ht="15.75" hidden="false" customHeight="false" outlineLevel="0" collapsed="false">
      <c r="B175" s="7" t="n">
        <v>46211</v>
      </c>
      <c r="C175" s="3" t="s">
        <v>419</v>
      </c>
      <c r="D175" s="3" t="s">
        <v>9</v>
      </c>
      <c r="E175" s="3" t="s">
        <v>278</v>
      </c>
      <c r="F175" s="3" t="s">
        <v>346</v>
      </c>
      <c r="G175" s="10" t="s">
        <v>420</v>
      </c>
      <c r="H175" s="9" t="s">
        <v>13</v>
      </c>
      <c r="I175" s="9" t="s">
        <v>421</v>
      </c>
    </row>
    <row r="176" customFormat="false" ht="15.75" hidden="false" customHeight="false" outlineLevel="0" collapsed="false">
      <c r="B176" s="7" t="n">
        <v>46211</v>
      </c>
      <c r="C176" s="3" t="s">
        <v>422</v>
      </c>
      <c r="D176" s="3" t="s">
        <v>9</v>
      </c>
      <c r="E176" s="3" t="s">
        <v>278</v>
      </c>
      <c r="F176" s="3" t="s">
        <v>346</v>
      </c>
      <c r="G176" s="10" t="s">
        <v>420</v>
      </c>
      <c r="H176" s="9" t="s">
        <v>13</v>
      </c>
      <c r="I176" s="9" t="s">
        <v>423</v>
      </c>
    </row>
    <row r="177" customFormat="false" ht="15.75" hidden="false" customHeight="false" outlineLevel="0" collapsed="false">
      <c r="B177" s="7" t="n">
        <v>46211</v>
      </c>
      <c r="C177" s="3" t="s">
        <v>424</v>
      </c>
      <c r="D177" s="3" t="s">
        <v>9</v>
      </c>
      <c r="E177" s="3" t="s">
        <v>278</v>
      </c>
      <c r="F177" s="3" t="s">
        <v>346</v>
      </c>
      <c r="G177" s="10" t="s">
        <v>417</v>
      </c>
      <c r="H177" s="9" t="s">
        <v>13</v>
      </c>
      <c r="I177" s="9" t="s">
        <v>425</v>
      </c>
    </row>
    <row r="178" customFormat="false" ht="15.75" hidden="false" customHeight="false" outlineLevel="0" collapsed="false">
      <c r="B178" s="7" t="n">
        <v>46211</v>
      </c>
      <c r="C178" s="3" t="s">
        <v>426</v>
      </c>
      <c r="D178" s="3" t="s">
        <v>9</v>
      </c>
      <c r="E178" s="3" t="s">
        <v>278</v>
      </c>
      <c r="F178" s="3" t="s">
        <v>427</v>
      </c>
      <c r="G178" s="10" t="s">
        <v>428</v>
      </c>
      <c r="H178" s="9" t="s">
        <v>13</v>
      </c>
      <c r="I178" s="9" t="s">
        <v>429</v>
      </c>
    </row>
    <row r="179" customFormat="false" ht="15.75" hidden="false" customHeight="false" outlineLevel="0" collapsed="false">
      <c r="B179" s="7" t="n">
        <v>46211</v>
      </c>
      <c r="C179" s="3" t="s">
        <v>430</v>
      </c>
      <c r="D179" s="3" t="s">
        <v>9</v>
      </c>
      <c r="E179" s="3" t="s">
        <v>278</v>
      </c>
      <c r="F179" s="3" t="s">
        <v>427</v>
      </c>
      <c r="G179" s="10" t="s">
        <v>428</v>
      </c>
      <c r="H179" s="9" t="s">
        <v>13</v>
      </c>
      <c r="I179" s="9" t="s">
        <v>429</v>
      </c>
    </row>
    <row r="180" customFormat="false" ht="15.75" hidden="false" customHeight="false" outlineLevel="0" collapsed="false">
      <c r="B180" s="7" t="n">
        <v>46211</v>
      </c>
      <c r="C180" s="3" t="s">
        <v>431</v>
      </c>
      <c r="D180" s="3" t="s">
        <v>9</v>
      </c>
      <c r="E180" s="3" t="s">
        <v>278</v>
      </c>
      <c r="F180" s="3" t="s">
        <v>427</v>
      </c>
      <c r="G180" s="10" t="s">
        <v>432</v>
      </c>
      <c r="H180" s="9" t="s">
        <v>13</v>
      </c>
      <c r="I180" s="9" t="s">
        <v>433</v>
      </c>
    </row>
    <row r="181" customFormat="false" ht="15.75" hidden="false" customHeight="false" outlineLevel="0" collapsed="false">
      <c r="B181" s="7" t="n">
        <v>46211</v>
      </c>
      <c r="C181" s="3" t="s">
        <v>434</v>
      </c>
      <c r="D181" s="3" t="s">
        <v>9</v>
      </c>
      <c r="E181" s="3" t="s">
        <v>278</v>
      </c>
      <c r="F181" s="3" t="s">
        <v>427</v>
      </c>
      <c r="G181" s="10" t="s">
        <v>432</v>
      </c>
      <c r="H181" s="9" t="s">
        <v>13</v>
      </c>
      <c r="I181" s="9" t="s">
        <v>433</v>
      </c>
    </row>
    <row r="182" customFormat="false" ht="15.75" hidden="false" customHeight="false" outlineLevel="0" collapsed="false">
      <c r="B182" s="7" t="n">
        <v>46211</v>
      </c>
      <c r="C182" s="3" t="s">
        <v>435</v>
      </c>
      <c r="D182" s="3" t="s">
        <v>9</v>
      </c>
      <c r="E182" s="3" t="s">
        <v>278</v>
      </c>
      <c r="F182" s="3" t="s">
        <v>427</v>
      </c>
      <c r="G182" s="10" t="s">
        <v>436</v>
      </c>
      <c r="H182" s="9" t="s">
        <v>13</v>
      </c>
      <c r="I182" s="9" t="s">
        <v>437</v>
      </c>
    </row>
    <row r="183" customFormat="false" ht="15.75" hidden="false" customHeight="false" outlineLevel="0" collapsed="false">
      <c r="B183" s="7" t="n">
        <v>46211</v>
      </c>
      <c r="C183" s="3" t="s">
        <v>438</v>
      </c>
      <c r="D183" s="3" t="s">
        <v>9</v>
      </c>
      <c r="E183" s="3" t="s">
        <v>278</v>
      </c>
      <c r="F183" s="3" t="s">
        <v>427</v>
      </c>
      <c r="G183" s="10" t="s">
        <v>439</v>
      </c>
      <c r="H183" s="9" t="s">
        <v>13</v>
      </c>
      <c r="I183" s="9" t="s">
        <v>440</v>
      </c>
    </row>
    <row r="184" customFormat="false" ht="15.75" hidden="false" customHeight="false" outlineLevel="0" collapsed="false">
      <c r="B184" s="7" t="n">
        <v>46211</v>
      </c>
      <c r="C184" s="3" t="s">
        <v>441</v>
      </c>
      <c r="D184" s="3" t="s">
        <v>9</v>
      </c>
      <c r="E184" s="3" t="s">
        <v>278</v>
      </c>
      <c r="F184" s="3" t="s">
        <v>427</v>
      </c>
      <c r="G184" s="10" t="s">
        <v>439</v>
      </c>
      <c r="H184" s="9" t="s">
        <v>13</v>
      </c>
      <c r="I184" s="9" t="s">
        <v>440</v>
      </c>
    </row>
    <row r="185" customFormat="false" ht="15.75" hidden="false" customHeight="false" outlineLevel="0" collapsed="false">
      <c r="B185" s="7" t="n">
        <v>46211</v>
      </c>
      <c r="C185" s="3" t="s">
        <v>442</v>
      </c>
      <c r="D185" s="3" t="s">
        <v>9</v>
      </c>
      <c r="E185" s="3" t="s">
        <v>278</v>
      </c>
      <c r="F185" s="3" t="s">
        <v>427</v>
      </c>
      <c r="G185" s="10" t="s">
        <v>439</v>
      </c>
      <c r="H185" s="9" t="s">
        <v>13</v>
      </c>
      <c r="I185" s="9" t="s">
        <v>440</v>
      </c>
    </row>
    <row r="186" customFormat="false" ht="15.75" hidden="false" customHeight="false" outlineLevel="0" collapsed="false">
      <c r="B186" s="7" t="n">
        <v>46211</v>
      </c>
      <c r="C186" s="3" t="s">
        <v>443</v>
      </c>
      <c r="D186" s="3" t="s">
        <v>9</v>
      </c>
      <c r="E186" s="3" t="s">
        <v>278</v>
      </c>
      <c r="F186" s="3" t="s">
        <v>427</v>
      </c>
      <c r="G186" s="10" t="s">
        <v>439</v>
      </c>
      <c r="H186" s="9" t="s">
        <v>13</v>
      </c>
      <c r="I186" s="9" t="s">
        <v>440</v>
      </c>
    </row>
    <row r="187" customFormat="false" ht="15.75" hidden="false" customHeight="false" outlineLevel="0" collapsed="false">
      <c r="B187" s="7" t="n">
        <v>46211</v>
      </c>
      <c r="C187" s="3" t="s">
        <v>444</v>
      </c>
      <c r="D187" s="3" t="s">
        <v>9</v>
      </c>
      <c r="E187" s="3" t="s">
        <v>278</v>
      </c>
      <c r="F187" s="3" t="s">
        <v>427</v>
      </c>
      <c r="G187" s="10" t="s">
        <v>445</v>
      </c>
      <c r="H187" s="9" t="s">
        <v>13</v>
      </c>
      <c r="I187" s="9" t="s">
        <v>446</v>
      </c>
    </row>
    <row r="188" customFormat="false" ht="15.75" hidden="false" customHeight="false" outlineLevel="0" collapsed="false">
      <c r="B188" s="7" t="n">
        <v>46211</v>
      </c>
      <c r="C188" s="3" t="s">
        <v>447</v>
      </c>
      <c r="D188" s="3" t="s">
        <v>9</v>
      </c>
      <c r="E188" s="3" t="s">
        <v>278</v>
      </c>
      <c r="F188" s="3" t="s">
        <v>427</v>
      </c>
      <c r="G188" s="10" t="s">
        <v>448</v>
      </c>
      <c r="H188" s="9" t="s">
        <v>13</v>
      </c>
      <c r="I188" s="9" t="s">
        <v>449</v>
      </c>
    </row>
    <row r="189" customFormat="false" ht="15.75" hidden="false" customHeight="false" outlineLevel="0" collapsed="false">
      <c r="B189" s="7" t="n">
        <v>46211</v>
      </c>
      <c r="C189" s="3" t="s">
        <v>450</v>
      </c>
      <c r="D189" s="3" t="s">
        <v>9</v>
      </c>
      <c r="E189" s="3" t="s">
        <v>278</v>
      </c>
      <c r="F189" s="3" t="s">
        <v>427</v>
      </c>
      <c r="G189" s="10" t="s">
        <v>451</v>
      </c>
      <c r="H189" s="9" t="s">
        <v>13</v>
      </c>
      <c r="I189" s="9" t="s">
        <v>452</v>
      </c>
    </row>
    <row r="190" customFormat="false" ht="15.75" hidden="false" customHeight="false" outlineLevel="0" collapsed="false">
      <c r="B190" s="7" t="n">
        <v>46211</v>
      </c>
      <c r="C190" s="3" t="s">
        <v>453</v>
      </c>
      <c r="D190" s="3" t="s">
        <v>9</v>
      </c>
      <c r="E190" s="3" t="s">
        <v>278</v>
      </c>
      <c r="F190" s="3" t="s">
        <v>427</v>
      </c>
      <c r="G190" s="10" t="s">
        <v>451</v>
      </c>
      <c r="H190" s="9" t="s">
        <v>13</v>
      </c>
      <c r="I190" s="9" t="s">
        <v>452</v>
      </c>
    </row>
    <row r="191" customFormat="false" ht="15.75" hidden="false" customHeight="false" outlineLevel="0" collapsed="false">
      <c r="B191" s="7" t="n">
        <v>46211</v>
      </c>
      <c r="C191" s="3" t="s">
        <v>454</v>
      </c>
      <c r="D191" s="3" t="s">
        <v>9</v>
      </c>
      <c r="E191" s="3" t="s">
        <v>278</v>
      </c>
      <c r="F191" s="3" t="s">
        <v>427</v>
      </c>
      <c r="G191" s="10" t="s">
        <v>451</v>
      </c>
      <c r="H191" s="9" t="s">
        <v>13</v>
      </c>
      <c r="I191" s="9" t="s">
        <v>452</v>
      </c>
    </row>
    <row r="192" customFormat="false" ht="15.75" hidden="false" customHeight="false" outlineLevel="0" collapsed="false">
      <c r="B192" s="7" t="n">
        <v>46211</v>
      </c>
      <c r="C192" s="3" t="s">
        <v>455</v>
      </c>
      <c r="D192" s="3" t="s">
        <v>9</v>
      </c>
      <c r="E192" s="3" t="s">
        <v>278</v>
      </c>
      <c r="F192" s="3" t="s">
        <v>427</v>
      </c>
      <c r="G192" s="10" t="s">
        <v>451</v>
      </c>
      <c r="H192" s="9" t="s">
        <v>13</v>
      </c>
      <c r="I192" s="9" t="s">
        <v>452</v>
      </c>
    </row>
    <row r="193" customFormat="false" ht="15.75" hidden="false" customHeight="false" outlineLevel="0" collapsed="false">
      <c r="B193" s="7" t="n">
        <v>46211</v>
      </c>
      <c r="C193" s="3" t="s">
        <v>456</v>
      </c>
      <c r="D193" s="3" t="s">
        <v>9</v>
      </c>
      <c r="E193" s="3" t="s">
        <v>278</v>
      </c>
      <c r="F193" s="3" t="s">
        <v>427</v>
      </c>
      <c r="G193" s="10" t="s">
        <v>451</v>
      </c>
      <c r="H193" s="9" t="s">
        <v>13</v>
      </c>
      <c r="I193" s="9" t="s">
        <v>452</v>
      </c>
    </row>
    <row r="194" customFormat="false" ht="15.75" hidden="false" customHeight="false" outlineLevel="0" collapsed="false">
      <c r="B194" s="7" t="n">
        <v>46211</v>
      </c>
      <c r="C194" s="3" t="s">
        <v>457</v>
      </c>
      <c r="D194" s="3" t="s">
        <v>9</v>
      </c>
      <c r="E194" s="3" t="s">
        <v>278</v>
      </c>
      <c r="F194" s="3" t="s">
        <v>427</v>
      </c>
      <c r="G194" s="10" t="s">
        <v>451</v>
      </c>
      <c r="H194" s="9" t="s">
        <v>13</v>
      </c>
      <c r="I194" s="9" t="s">
        <v>452</v>
      </c>
    </row>
    <row r="195" customFormat="false" ht="15.75" hidden="false" customHeight="false" outlineLevel="0" collapsed="false">
      <c r="B195" s="7" t="n">
        <v>46211</v>
      </c>
      <c r="C195" s="3" t="s">
        <v>458</v>
      </c>
      <c r="D195" s="3" t="s">
        <v>9</v>
      </c>
      <c r="E195" s="3" t="s">
        <v>278</v>
      </c>
      <c r="F195" s="3" t="s">
        <v>427</v>
      </c>
      <c r="G195" s="10" t="s">
        <v>451</v>
      </c>
      <c r="H195" s="9" t="s">
        <v>13</v>
      </c>
      <c r="I195" s="9" t="s">
        <v>452</v>
      </c>
    </row>
    <row r="196" customFormat="false" ht="15.75" hidden="false" customHeight="false" outlineLevel="0" collapsed="false">
      <c r="B196" s="7" t="n">
        <v>46211</v>
      </c>
      <c r="C196" s="3" t="s">
        <v>459</v>
      </c>
      <c r="D196" s="3" t="s">
        <v>9</v>
      </c>
      <c r="E196" s="3" t="s">
        <v>278</v>
      </c>
      <c r="F196" s="3" t="s">
        <v>427</v>
      </c>
      <c r="G196" s="11" t="s">
        <v>451</v>
      </c>
      <c r="H196" s="9" t="s">
        <v>13</v>
      </c>
      <c r="I196" s="9" t="s">
        <v>452</v>
      </c>
    </row>
    <row r="197" customFormat="false" ht="15.75" hidden="false" customHeight="false" outlineLevel="0" collapsed="false">
      <c r="B197" s="7" t="n">
        <v>46211</v>
      </c>
      <c r="C197" s="3" t="s">
        <v>460</v>
      </c>
      <c r="D197" s="3" t="s">
        <v>9</v>
      </c>
      <c r="E197" s="3" t="s">
        <v>278</v>
      </c>
      <c r="F197" s="3" t="s">
        <v>427</v>
      </c>
      <c r="G197" s="10" t="s">
        <v>451</v>
      </c>
      <c r="H197" s="9" t="s">
        <v>13</v>
      </c>
      <c r="I197" s="9" t="s">
        <v>452</v>
      </c>
    </row>
    <row r="198" customFormat="false" ht="15.75" hidden="false" customHeight="false" outlineLevel="0" collapsed="false">
      <c r="B198" s="7" t="n">
        <v>46211</v>
      </c>
      <c r="C198" s="3" t="s">
        <v>461</v>
      </c>
      <c r="D198" s="3" t="s">
        <v>9</v>
      </c>
      <c r="E198" s="3" t="s">
        <v>278</v>
      </c>
      <c r="F198" s="3" t="s">
        <v>427</v>
      </c>
      <c r="G198" s="10" t="s">
        <v>451</v>
      </c>
      <c r="H198" s="9" t="s">
        <v>13</v>
      </c>
      <c r="I198" s="9" t="s">
        <v>452</v>
      </c>
    </row>
    <row r="199" customFormat="false" ht="15.75" hidden="false" customHeight="false" outlineLevel="0" collapsed="false">
      <c r="B199" s="7" t="n">
        <v>46211</v>
      </c>
      <c r="C199" s="3" t="s">
        <v>462</v>
      </c>
      <c r="D199" s="3" t="s">
        <v>9</v>
      </c>
      <c r="E199" s="3" t="s">
        <v>278</v>
      </c>
      <c r="F199" s="3" t="s">
        <v>427</v>
      </c>
      <c r="G199" s="10" t="s">
        <v>463</v>
      </c>
      <c r="H199" s="9" t="s">
        <v>13</v>
      </c>
      <c r="I199" s="9" t="s">
        <v>464</v>
      </c>
    </row>
    <row r="200" customFormat="false" ht="15.75" hidden="false" customHeight="false" outlineLevel="0" collapsed="false">
      <c r="B200" s="7" t="n">
        <v>46211</v>
      </c>
      <c r="C200" s="3" t="s">
        <v>465</v>
      </c>
      <c r="D200" s="3" t="s">
        <v>9</v>
      </c>
      <c r="E200" s="3" t="s">
        <v>278</v>
      </c>
      <c r="F200" s="3" t="s">
        <v>427</v>
      </c>
      <c r="G200" s="10" t="s">
        <v>463</v>
      </c>
      <c r="H200" s="9" t="s">
        <v>13</v>
      </c>
      <c r="I200" s="9" t="s">
        <v>464</v>
      </c>
    </row>
    <row r="201" customFormat="false" ht="15.75" hidden="false" customHeight="false" outlineLevel="0" collapsed="false">
      <c r="B201" s="7" t="n">
        <v>46211</v>
      </c>
      <c r="C201" s="3" t="s">
        <v>466</v>
      </c>
      <c r="D201" s="3" t="s">
        <v>9</v>
      </c>
      <c r="E201" s="3" t="s">
        <v>278</v>
      </c>
      <c r="F201" s="3" t="s">
        <v>427</v>
      </c>
      <c r="G201" s="10" t="s">
        <v>467</v>
      </c>
      <c r="H201" s="9" t="s">
        <v>13</v>
      </c>
      <c r="I201" s="9" t="s">
        <v>468</v>
      </c>
    </row>
    <row r="202" customFormat="false" ht="15.75" hidden="false" customHeight="false" outlineLevel="0" collapsed="false">
      <c r="B202" s="7" t="n">
        <v>46211</v>
      </c>
      <c r="C202" s="3" t="s">
        <v>469</v>
      </c>
      <c r="D202" s="3" t="s">
        <v>9</v>
      </c>
      <c r="E202" s="3" t="s">
        <v>278</v>
      </c>
      <c r="F202" s="3" t="s">
        <v>427</v>
      </c>
      <c r="G202" s="10" t="s">
        <v>467</v>
      </c>
      <c r="H202" s="9" t="s">
        <v>13</v>
      </c>
      <c r="I202" s="9" t="s">
        <v>470</v>
      </c>
    </row>
    <row r="203" customFormat="false" ht="15.75" hidden="false" customHeight="false" outlineLevel="0" collapsed="false">
      <c r="B203" s="7" t="n">
        <v>46211</v>
      </c>
      <c r="C203" s="3" t="s">
        <v>471</v>
      </c>
      <c r="D203" s="3" t="s">
        <v>9</v>
      </c>
      <c r="E203" s="3" t="s">
        <v>278</v>
      </c>
      <c r="F203" s="3" t="s">
        <v>427</v>
      </c>
      <c r="G203" s="10" t="s">
        <v>472</v>
      </c>
      <c r="H203" s="9" t="s">
        <v>13</v>
      </c>
      <c r="I203" s="9" t="s">
        <v>473</v>
      </c>
    </row>
    <row r="204" customFormat="false" ht="15.75" hidden="false" customHeight="false" outlineLevel="0" collapsed="false">
      <c r="B204" s="7" t="n">
        <v>46211</v>
      </c>
      <c r="C204" s="3" t="s">
        <v>474</v>
      </c>
      <c r="D204" s="3" t="s">
        <v>9</v>
      </c>
      <c r="E204" s="3" t="s">
        <v>278</v>
      </c>
      <c r="F204" s="3" t="s">
        <v>427</v>
      </c>
      <c r="G204" s="10" t="s">
        <v>472</v>
      </c>
      <c r="H204" s="9" t="s">
        <v>13</v>
      </c>
      <c r="I204" s="9" t="s">
        <v>473</v>
      </c>
    </row>
    <row r="205" customFormat="false" ht="15.75" hidden="false" customHeight="false" outlineLevel="0" collapsed="false">
      <c r="B205" s="7" t="n">
        <v>46211</v>
      </c>
      <c r="C205" s="3" t="s">
        <v>475</v>
      </c>
      <c r="D205" s="3" t="s">
        <v>9</v>
      </c>
      <c r="E205" s="3" t="s">
        <v>278</v>
      </c>
      <c r="F205" s="3" t="s">
        <v>427</v>
      </c>
      <c r="G205" s="10" t="s">
        <v>472</v>
      </c>
      <c r="H205" s="9" t="s">
        <v>13</v>
      </c>
      <c r="I205" s="9" t="s">
        <v>473</v>
      </c>
    </row>
    <row r="206" customFormat="false" ht="15.75" hidden="false" customHeight="false" outlineLevel="0" collapsed="false">
      <c r="B206" s="7" t="n">
        <v>46211</v>
      </c>
      <c r="C206" s="3" t="s">
        <v>476</v>
      </c>
      <c r="D206" s="3" t="s">
        <v>9</v>
      </c>
      <c r="E206" s="3" t="s">
        <v>278</v>
      </c>
      <c r="F206" s="3" t="s">
        <v>427</v>
      </c>
      <c r="G206" s="10" t="s">
        <v>477</v>
      </c>
      <c r="H206" s="9" t="s">
        <v>13</v>
      </c>
      <c r="I206" s="9" t="s">
        <v>478</v>
      </c>
    </row>
    <row r="207" customFormat="false" ht="15.75" hidden="false" customHeight="false" outlineLevel="0" collapsed="false">
      <c r="B207" s="7" t="n">
        <v>46211</v>
      </c>
      <c r="C207" s="3" t="s">
        <v>479</v>
      </c>
      <c r="D207" s="3" t="s">
        <v>9</v>
      </c>
      <c r="E207" s="3" t="s">
        <v>278</v>
      </c>
      <c r="F207" s="3" t="s">
        <v>427</v>
      </c>
      <c r="G207" s="10" t="s">
        <v>480</v>
      </c>
      <c r="H207" s="9" t="s">
        <v>13</v>
      </c>
      <c r="I207" s="9" t="s">
        <v>481</v>
      </c>
    </row>
    <row r="208" customFormat="false" ht="15.75" hidden="false" customHeight="false" outlineLevel="0" collapsed="false">
      <c r="B208" s="7" t="n">
        <v>46211</v>
      </c>
      <c r="C208" s="3" t="s">
        <v>482</v>
      </c>
      <c r="D208" s="3" t="s">
        <v>9</v>
      </c>
      <c r="E208" s="3" t="s">
        <v>278</v>
      </c>
      <c r="F208" s="3" t="s">
        <v>427</v>
      </c>
      <c r="G208" s="4" t="s">
        <v>483</v>
      </c>
      <c r="H208" s="9" t="s">
        <v>13</v>
      </c>
      <c r="I208" s="3" t="s">
        <v>484</v>
      </c>
    </row>
    <row r="209" customFormat="false" ht="15.75" hidden="false" customHeight="false" outlineLevel="0" collapsed="false">
      <c r="B209" s="7" t="n">
        <v>46211</v>
      </c>
      <c r="C209" s="3" t="s">
        <v>485</v>
      </c>
      <c r="D209" s="3" t="s">
        <v>9</v>
      </c>
      <c r="E209" s="3" t="s">
        <v>278</v>
      </c>
      <c r="F209" s="3" t="s">
        <v>427</v>
      </c>
      <c r="G209" s="4" t="s">
        <v>483</v>
      </c>
      <c r="H209" s="9" t="s">
        <v>13</v>
      </c>
      <c r="I209" s="3" t="s">
        <v>484</v>
      </c>
    </row>
    <row r="210" customFormat="false" ht="15.75" hidden="false" customHeight="false" outlineLevel="0" collapsed="false">
      <c r="B210" s="7" t="n">
        <v>46211</v>
      </c>
      <c r="C210" s="3" t="s">
        <v>486</v>
      </c>
      <c r="D210" s="3" t="s">
        <v>9</v>
      </c>
      <c r="E210" s="3" t="s">
        <v>278</v>
      </c>
      <c r="F210" s="3" t="s">
        <v>427</v>
      </c>
      <c r="G210" s="4" t="s">
        <v>483</v>
      </c>
      <c r="H210" s="9" t="s">
        <v>13</v>
      </c>
      <c r="I210" s="3" t="s">
        <v>484</v>
      </c>
    </row>
    <row r="211" customFormat="false" ht="15.75" hidden="false" customHeight="false" outlineLevel="0" collapsed="false">
      <c r="B211" s="7" t="n">
        <v>46211</v>
      </c>
      <c r="C211" s="3" t="s">
        <v>487</v>
      </c>
      <c r="D211" s="3" t="s">
        <v>9</v>
      </c>
      <c r="E211" s="3" t="s">
        <v>278</v>
      </c>
      <c r="F211" s="3" t="s">
        <v>427</v>
      </c>
      <c r="G211" s="4" t="s">
        <v>483</v>
      </c>
      <c r="H211" s="9" t="s">
        <v>13</v>
      </c>
      <c r="I211" s="3" t="s">
        <v>484</v>
      </c>
    </row>
    <row r="212" customFormat="false" ht="15.75" hidden="false" customHeight="false" outlineLevel="0" collapsed="false">
      <c r="B212" s="7" t="n">
        <v>46211</v>
      </c>
      <c r="C212" s="3" t="s">
        <v>488</v>
      </c>
      <c r="D212" s="3" t="s">
        <v>9</v>
      </c>
      <c r="E212" s="3" t="s">
        <v>278</v>
      </c>
      <c r="F212" s="3" t="s">
        <v>427</v>
      </c>
      <c r="G212" s="4" t="s">
        <v>483</v>
      </c>
      <c r="H212" s="9" t="s">
        <v>13</v>
      </c>
      <c r="I212" s="3" t="s">
        <v>484</v>
      </c>
    </row>
    <row r="213" customFormat="false" ht="15.75" hidden="false" customHeight="false" outlineLevel="0" collapsed="false">
      <c r="B213" s="7" t="n">
        <v>46211</v>
      </c>
      <c r="C213" s="3" t="s">
        <v>489</v>
      </c>
      <c r="D213" s="3" t="s">
        <v>9</v>
      </c>
      <c r="E213" s="3" t="s">
        <v>490</v>
      </c>
      <c r="F213" s="3" t="s">
        <v>491</v>
      </c>
      <c r="G213" s="10" t="s">
        <v>492</v>
      </c>
      <c r="H213" s="9" t="s">
        <v>13</v>
      </c>
      <c r="I213" s="9" t="s">
        <v>493</v>
      </c>
    </row>
    <row r="214" customFormat="false" ht="15.75" hidden="false" customHeight="false" outlineLevel="0" collapsed="false">
      <c r="B214" s="7" t="n">
        <v>46211</v>
      </c>
      <c r="C214" s="3" t="s">
        <v>494</v>
      </c>
      <c r="D214" s="3" t="s">
        <v>9</v>
      </c>
      <c r="E214" s="3" t="s">
        <v>490</v>
      </c>
      <c r="F214" s="3" t="s">
        <v>491</v>
      </c>
      <c r="G214" s="10" t="s">
        <v>495</v>
      </c>
      <c r="H214" s="9" t="s">
        <v>13</v>
      </c>
      <c r="I214" s="9" t="s">
        <v>496</v>
      </c>
    </row>
    <row r="215" customFormat="false" ht="15.75" hidden="false" customHeight="false" outlineLevel="0" collapsed="false">
      <c r="B215" s="7" t="n">
        <v>46211</v>
      </c>
      <c r="C215" s="3" t="s">
        <v>497</v>
      </c>
      <c r="D215" s="3" t="s">
        <v>9</v>
      </c>
      <c r="E215" s="3" t="s">
        <v>490</v>
      </c>
      <c r="F215" s="3" t="s">
        <v>491</v>
      </c>
      <c r="G215" s="10" t="s">
        <v>498</v>
      </c>
      <c r="H215" s="9" t="s">
        <v>13</v>
      </c>
      <c r="I215" s="9" t="s">
        <v>499</v>
      </c>
    </row>
    <row r="216" customFormat="false" ht="15.75" hidden="false" customHeight="false" outlineLevel="0" collapsed="false">
      <c r="B216" s="7" t="n">
        <v>46211</v>
      </c>
      <c r="C216" s="3" t="s">
        <v>500</v>
      </c>
      <c r="D216" s="3" t="s">
        <v>9</v>
      </c>
      <c r="E216" s="3" t="s">
        <v>490</v>
      </c>
      <c r="F216" s="3" t="s">
        <v>491</v>
      </c>
      <c r="G216" s="10" t="s">
        <v>501</v>
      </c>
      <c r="H216" s="9" t="s">
        <v>13</v>
      </c>
      <c r="I216" s="9" t="s">
        <v>502</v>
      </c>
    </row>
    <row r="217" customFormat="false" ht="15.75" hidden="false" customHeight="false" outlineLevel="0" collapsed="false">
      <c r="B217" s="7" t="n">
        <v>46211</v>
      </c>
      <c r="C217" s="3" t="s">
        <v>503</v>
      </c>
      <c r="D217" s="3" t="s">
        <v>9</v>
      </c>
      <c r="E217" s="3" t="s">
        <v>490</v>
      </c>
      <c r="F217" s="3" t="s">
        <v>491</v>
      </c>
      <c r="G217" s="10" t="s">
        <v>501</v>
      </c>
      <c r="H217" s="9" t="s">
        <v>13</v>
      </c>
      <c r="I217" s="9" t="s">
        <v>502</v>
      </c>
    </row>
    <row r="218" customFormat="false" ht="15.75" hidden="false" customHeight="false" outlineLevel="0" collapsed="false">
      <c r="B218" s="7" t="n">
        <v>46211</v>
      </c>
      <c r="C218" s="3" t="s">
        <v>504</v>
      </c>
      <c r="D218" s="3" t="s">
        <v>9</v>
      </c>
      <c r="E218" s="3" t="s">
        <v>490</v>
      </c>
      <c r="F218" s="3" t="s">
        <v>491</v>
      </c>
      <c r="G218" s="10" t="s">
        <v>505</v>
      </c>
      <c r="H218" s="9" t="s">
        <v>13</v>
      </c>
      <c r="I218" s="9" t="s">
        <v>506</v>
      </c>
    </row>
    <row r="219" customFormat="false" ht="15.75" hidden="false" customHeight="false" outlineLevel="0" collapsed="false">
      <c r="B219" s="7" t="n">
        <v>46211</v>
      </c>
      <c r="C219" s="3" t="s">
        <v>507</v>
      </c>
      <c r="D219" s="3" t="s">
        <v>9</v>
      </c>
      <c r="E219" s="3" t="s">
        <v>490</v>
      </c>
      <c r="F219" s="3" t="s">
        <v>491</v>
      </c>
      <c r="G219" s="10" t="s">
        <v>505</v>
      </c>
      <c r="H219" s="9" t="s">
        <v>13</v>
      </c>
      <c r="I219" s="9" t="s">
        <v>506</v>
      </c>
    </row>
    <row r="220" customFormat="false" ht="15.75" hidden="false" customHeight="false" outlineLevel="0" collapsed="false">
      <c r="B220" s="7" t="n">
        <v>46211</v>
      </c>
      <c r="C220" s="3" t="s">
        <v>508</v>
      </c>
      <c r="D220" s="3" t="s">
        <v>9</v>
      </c>
      <c r="E220" s="3" t="s">
        <v>490</v>
      </c>
      <c r="F220" s="3" t="s">
        <v>491</v>
      </c>
      <c r="G220" s="10" t="s">
        <v>505</v>
      </c>
      <c r="H220" s="9" t="s">
        <v>13</v>
      </c>
      <c r="I220" s="9" t="s">
        <v>506</v>
      </c>
    </row>
    <row r="221" customFormat="false" ht="15.75" hidden="false" customHeight="false" outlineLevel="0" collapsed="false">
      <c r="B221" s="7" t="n">
        <v>46211</v>
      </c>
      <c r="C221" s="3" t="s">
        <v>509</v>
      </c>
      <c r="D221" s="3" t="s">
        <v>9</v>
      </c>
      <c r="E221" s="3" t="s">
        <v>490</v>
      </c>
      <c r="F221" s="3" t="s">
        <v>491</v>
      </c>
      <c r="G221" s="10" t="s">
        <v>510</v>
      </c>
      <c r="H221" s="9" t="s">
        <v>13</v>
      </c>
      <c r="I221" s="9" t="s">
        <v>511</v>
      </c>
    </row>
    <row r="222" customFormat="false" ht="15.75" hidden="false" customHeight="false" outlineLevel="0" collapsed="false">
      <c r="B222" s="7" t="n">
        <v>46211</v>
      </c>
      <c r="C222" s="3" t="s">
        <v>512</v>
      </c>
      <c r="D222" s="3" t="s">
        <v>9</v>
      </c>
      <c r="E222" s="3" t="s">
        <v>490</v>
      </c>
      <c r="F222" s="3" t="s">
        <v>491</v>
      </c>
      <c r="G222" s="10" t="s">
        <v>513</v>
      </c>
      <c r="H222" s="9" t="s">
        <v>13</v>
      </c>
      <c r="I222" s="9" t="s">
        <v>514</v>
      </c>
    </row>
    <row r="223" customFormat="false" ht="15.75" hidden="false" customHeight="false" outlineLevel="0" collapsed="false">
      <c r="B223" s="7" t="n">
        <v>46211</v>
      </c>
      <c r="C223" s="3" t="s">
        <v>515</v>
      </c>
      <c r="D223" s="3" t="s">
        <v>9</v>
      </c>
      <c r="E223" s="3" t="s">
        <v>490</v>
      </c>
      <c r="F223" s="3" t="s">
        <v>491</v>
      </c>
      <c r="G223" s="10" t="s">
        <v>516</v>
      </c>
      <c r="H223" s="9" t="s">
        <v>13</v>
      </c>
      <c r="I223" s="9" t="s">
        <v>517</v>
      </c>
    </row>
    <row r="224" customFormat="false" ht="15.75" hidden="false" customHeight="false" outlineLevel="0" collapsed="false">
      <c r="B224" s="7" t="n">
        <v>46211</v>
      </c>
      <c r="C224" s="3" t="s">
        <v>518</v>
      </c>
      <c r="D224" s="3" t="s">
        <v>9</v>
      </c>
      <c r="E224" s="3" t="s">
        <v>490</v>
      </c>
      <c r="F224" s="3" t="s">
        <v>491</v>
      </c>
      <c r="G224" s="10" t="s">
        <v>516</v>
      </c>
      <c r="H224" s="9" t="s">
        <v>13</v>
      </c>
      <c r="I224" s="9" t="s">
        <v>517</v>
      </c>
    </row>
    <row r="225" customFormat="false" ht="15.75" hidden="false" customHeight="false" outlineLevel="0" collapsed="false">
      <c r="B225" s="7" t="n">
        <v>46211</v>
      </c>
      <c r="C225" s="3" t="s">
        <v>519</v>
      </c>
      <c r="D225" s="3" t="s">
        <v>9</v>
      </c>
      <c r="E225" s="3" t="s">
        <v>490</v>
      </c>
      <c r="F225" s="3" t="s">
        <v>491</v>
      </c>
      <c r="G225" s="10" t="s">
        <v>520</v>
      </c>
      <c r="H225" s="9" t="s">
        <v>13</v>
      </c>
      <c r="I225" s="9" t="s">
        <v>521</v>
      </c>
    </row>
    <row r="226" customFormat="false" ht="15.75" hidden="false" customHeight="false" outlineLevel="0" collapsed="false">
      <c r="B226" s="7" t="n">
        <v>46211</v>
      </c>
      <c r="C226" s="3" t="s">
        <v>522</v>
      </c>
      <c r="D226" s="3" t="s">
        <v>9</v>
      </c>
      <c r="E226" s="3" t="s">
        <v>490</v>
      </c>
      <c r="F226" s="3" t="s">
        <v>491</v>
      </c>
      <c r="G226" s="10" t="s">
        <v>523</v>
      </c>
      <c r="H226" s="9" t="s">
        <v>13</v>
      </c>
      <c r="I226" s="9" t="s">
        <v>524</v>
      </c>
    </row>
    <row r="227" customFormat="false" ht="15.75" hidden="false" customHeight="false" outlineLevel="0" collapsed="false">
      <c r="B227" s="7" t="n">
        <v>46211</v>
      </c>
      <c r="C227" s="3" t="s">
        <v>525</v>
      </c>
      <c r="D227" s="3" t="s">
        <v>9</v>
      </c>
      <c r="E227" s="3" t="s">
        <v>490</v>
      </c>
      <c r="F227" s="3" t="s">
        <v>491</v>
      </c>
      <c r="G227" s="10" t="s">
        <v>523</v>
      </c>
      <c r="H227" s="9" t="s">
        <v>13</v>
      </c>
      <c r="I227" s="9" t="s">
        <v>526</v>
      </c>
    </row>
    <row r="228" customFormat="false" ht="15.75" hidden="false" customHeight="false" outlineLevel="0" collapsed="false">
      <c r="B228" s="7" t="n">
        <v>46211</v>
      </c>
      <c r="C228" s="3" t="s">
        <v>527</v>
      </c>
      <c r="D228" s="3" t="s">
        <v>9</v>
      </c>
      <c r="E228" s="3" t="s">
        <v>490</v>
      </c>
      <c r="F228" s="3" t="s">
        <v>491</v>
      </c>
      <c r="G228" s="10" t="s">
        <v>523</v>
      </c>
      <c r="H228" s="9" t="s">
        <v>13</v>
      </c>
      <c r="I228" s="9" t="s">
        <v>528</v>
      </c>
    </row>
    <row r="229" customFormat="false" ht="15.75" hidden="false" customHeight="false" outlineLevel="0" collapsed="false">
      <c r="B229" s="7" t="n">
        <v>46211</v>
      </c>
      <c r="C229" s="3" t="s">
        <v>529</v>
      </c>
      <c r="D229" s="3" t="s">
        <v>9</v>
      </c>
      <c r="E229" s="3" t="s">
        <v>490</v>
      </c>
      <c r="F229" s="3" t="s">
        <v>491</v>
      </c>
      <c r="G229" s="10" t="s">
        <v>523</v>
      </c>
      <c r="H229" s="9" t="s">
        <v>13</v>
      </c>
      <c r="I229" s="9" t="s">
        <v>530</v>
      </c>
    </row>
    <row r="230" customFormat="false" ht="15.75" hidden="false" customHeight="false" outlineLevel="0" collapsed="false">
      <c r="B230" s="7" t="n">
        <v>46211</v>
      </c>
      <c r="C230" s="3" t="s">
        <v>531</v>
      </c>
      <c r="D230" s="3" t="s">
        <v>9</v>
      </c>
      <c r="E230" s="3" t="s">
        <v>490</v>
      </c>
      <c r="F230" s="3" t="s">
        <v>491</v>
      </c>
      <c r="G230" s="10" t="s">
        <v>523</v>
      </c>
      <c r="H230" s="9" t="s">
        <v>13</v>
      </c>
      <c r="I230" s="9" t="s">
        <v>532</v>
      </c>
    </row>
    <row r="231" customFormat="false" ht="15.75" hidden="false" customHeight="false" outlineLevel="0" collapsed="false">
      <c r="B231" s="7" t="n">
        <v>46211</v>
      </c>
      <c r="C231" s="3" t="s">
        <v>533</v>
      </c>
      <c r="D231" s="3" t="s">
        <v>9</v>
      </c>
      <c r="E231" s="3" t="s">
        <v>490</v>
      </c>
      <c r="F231" s="3" t="s">
        <v>491</v>
      </c>
      <c r="G231" s="10" t="s">
        <v>523</v>
      </c>
      <c r="H231" s="9" t="s">
        <v>13</v>
      </c>
      <c r="I231" s="9" t="s">
        <v>534</v>
      </c>
    </row>
    <row r="232" customFormat="false" ht="15.75" hidden="false" customHeight="false" outlineLevel="0" collapsed="false">
      <c r="B232" s="7" t="n">
        <v>46211</v>
      </c>
      <c r="C232" s="3" t="s">
        <v>535</v>
      </c>
      <c r="D232" s="3" t="s">
        <v>9</v>
      </c>
      <c r="E232" s="3" t="s">
        <v>490</v>
      </c>
      <c r="F232" s="3" t="s">
        <v>491</v>
      </c>
      <c r="G232" s="10" t="s">
        <v>523</v>
      </c>
      <c r="H232" s="9" t="s">
        <v>13</v>
      </c>
      <c r="I232" s="9" t="s">
        <v>536</v>
      </c>
    </row>
    <row r="233" customFormat="false" ht="15.75" hidden="false" customHeight="false" outlineLevel="0" collapsed="false">
      <c r="B233" s="7" t="n">
        <v>46211</v>
      </c>
      <c r="C233" s="3" t="s">
        <v>537</v>
      </c>
      <c r="D233" s="3" t="s">
        <v>9</v>
      </c>
      <c r="E233" s="3" t="s">
        <v>490</v>
      </c>
      <c r="F233" s="3" t="s">
        <v>491</v>
      </c>
      <c r="G233" s="10" t="s">
        <v>523</v>
      </c>
      <c r="H233" s="9" t="s">
        <v>13</v>
      </c>
      <c r="I233" s="9" t="s">
        <v>538</v>
      </c>
    </row>
    <row r="234" customFormat="false" ht="15.75" hidden="false" customHeight="false" outlineLevel="0" collapsed="false">
      <c r="B234" s="7" t="n">
        <v>46211</v>
      </c>
      <c r="C234" s="3" t="s">
        <v>539</v>
      </c>
      <c r="D234" s="3" t="s">
        <v>9</v>
      </c>
      <c r="E234" s="3" t="s">
        <v>490</v>
      </c>
      <c r="F234" s="3" t="s">
        <v>491</v>
      </c>
      <c r="G234" s="10" t="s">
        <v>523</v>
      </c>
      <c r="H234" s="9" t="s">
        <v>13</v>
      </c>
      <c r="I234" s="9" t="s">
        <v>540</v>
      </c>
    </row>
    <row r="235" customFormat="false" ht="15.75" hidden="false" customHeight="false" outlineLevel="0" collapsed="false">
      <c r="B235" s="7" t="n">
        <v>46211</v>
      </c>
      <c r="C235" s="3" t="s">
        <v>541</v>
      </c>
      <c r="D235" s="3" t="s">
        <v>9</v>
      </c>
      <c r="E235" s="3" t="s">
        <v>490</v>
      </c>
      <c r="F235" s="3" t="s">
        <v>491</v>
      </c>
      <c r="G235" s="10" t="s">
        <v>523</v>
      </c>
      <c r="H235" s="9" t="s">
        <v>13</v>
      </c>
      <c r="I235" s="9" t="s">
        <v>542</v>
      </c>
    </row>
    <row r="236" customFormat="false" ht="15.75" hidden="false" customHeight="false" outlineLevel="0" collapsed="false">
      <c r="B236" s="7" t="n">
        <v>46211</v>
      </c>
      <c r="C236" s="3" t="s">
        <v>543</v>
      </c>
      <c r="D236" s="3" t="s">
        <v>9</v>
      </c>
      <c r="E236" s="3" t="s">
        <v>490</v>
      </c>
      <c r="F236" s="3" t="s">
        <v>491</v>
      </c>
      <c r="G236" s="10" t="s">
        <v>523</v>
      </c>
      <c r="H236" s="9" t="s">
        <v>13</v>
      </c>
      <c r="I236" s="9" t="s">
        <v>544</v>
      </c>
    </row>
    <row r="237" customFormat="false" ht="15.75" hidden="false" customHeight="false" outlineLevel="0" collapsed="false">
      <c r="B237" s="7" t="n">
        <v>46211</v>
      </c>
      <c r="C237" s="3" t="s">
        <v>545</v>
      </c>
      <c r="D237" s="3" t="s">
        <v>9</v>
      </c>
      <c r="E237" s="3" t="s">
        <v>490</v>
      </c>
      <c r="F237" s="3" t="s">
        <v>491</v>
      </c>
      <c r="G237" s="10" t="s">
        <v>546</v>
      </c>
      <c r="H237" s="9" t="s">
        <v>13</v>
      </c>
      <c r="I237" s="9" t="s">
        <v>547</v>
      </c>
    </row>
    <row r="238" customFormat="false" ht="15.75" hidden="false" customHeight="false" outlineLevel="0" collapsed="false">
      <c r="B238" s="7" t="n">
        <v>46211</v>
      </c>
      <c r="C238" s="3" t="s">
        <v>548</v>
      </c>
      <c r="D238" s="3" t="s">
        <v>9</v>
      </c>
      <c r="E238" s="3" t="s">
        <v>490</v>
      </c>
      <c r="F238" s="3" t="s">
        <v>491</v>
      </c>
      <c r="G238" s="10" t="s">
        <v>546</v>
      </c>
      <c r="H238" s="9" t="s">
        <v>13</v>
      </c>
      <c r="I238" s="9" t="s">
        <v>549</v>
      </c>
    </row>
    <row r="239" customFormat="false" ht="15.75" hidden="false" customHeight="false" outlineLevel="0" collapsed="false">
      <c r="B239" s="7" t="n">
        <v>46211</v>
      </c>
      <c r="C239" s="3" t="s">
        <v>550</v>
      </c>
      <c r="D239" s="3" t="s">
        <v>9</v>
      </c>
      <c r="E239" s="3" t="s">
        <v>490</v>
      </c>
      <c r="F239" s="3" t="s">
        <v>491</v>
      </c>
      <c r="G239" s="10" t="s">
        <v>546</v>
      </c>
      <c r="H239" s="9" t="s">
        <v>13</v>
      </c>
      <c r="I239" s="9" t="s">
        <v>551</v>
      </c>
    </row>
    <row r="240" customFormat="false" ht="15.75" hidden="false" customHeight="false" outlineLevel="0" collapsed="false">
      <c r="B240" s="7" t="n">
        <v>46211</v>
      </c>
      <c r="C240" s="3" t="s">
        <v>552</v>
      </c>
      <c r="D240" s="3" t="s">
        <v>9</v>
      </c>
      <c r="E240" s="3" t="s">
        <v>490</v>
      </c>
      <c r="F240" s="3" t="s">
        <v>491</v>
      </c>
      <c r="G240" s="10" t="s">
        <v>546</v>
      </c>
      <c r="H240" s="9" t="s">
        <v>13</v>
      </c>
      <c r="I240" s="9" t="s">
        <v>553</v>
      </c>
    </row>
    <row r="241" customFormat="false" ht="15.75" hidden="false" customHeight="false" outlineLevel="0" collapsed="false">
      <c r="B241" s="7" t="n">
        <v>46211</v>
      </c>
      <c r="C241" s="3" t="s">
        <v>554</v>
      </c>
      <c r="D241" s="3" t="s">
        <v>9</v>
      </c>
      <c r="E241" s="3" t="s">
        <v>490</v>
      </c>
      <c r="F241" s="3" t="s">
        <v>491</v>
      </c>
      <c r="G241" s="10" t="s">
        <v>546</v>
      </c>
      <c r="H241" s="9" t="s">
        <v>13</v>
      </c>
      <c r="I241" s="9" t="s">
        <v>555</v>
      </c>
    </row>
    <row r="242" customFormat="false" ht="15.75" hidden="false" customHeight="false" outlineLevel="0" collapsed="false">
      <c r="B242" s="7" t="n">
        <v>46211</v>
      </c>
      <c r="C242" s="3" t="s">
        <v>556</v>
      </c>
      <c r="D242" s="3" t="s">
        <v>9</v>
      </c>
      <c r="E242" s="3" t="s">
        <v>490</v>
      </c>
      <c r="F242" s="3" t="s">
        <v>491</v>
      </c>
      <c r="G242" s="10" t="s">
        <v>546</v>
      </c>
      <c r="H242" s="9" t="s">
        <v>13</v>
      </c>
      <c r="I242" s="9" t="s">
        <v>557</v>
      </c>
    </row>
    <row r="243" customFormat="false" ht="15.75" hidden="false" customHeight="false" outlineLevel="0" collapsed="false">
      <c r="B243" s="7" t="n">
        <v>46211</v>
      </c>
      <c r="C243" s="3" t="s">
        <v>558</v>
      </c>
      <c r="D243" s="3" t="s">
        <v>9</v>
      </c>
      <c r="E243" s="3" t="s">
        <v>490</v>
      </c>
      <c r="F243" s="3" t="s">
        <v>491</v>
      </c>
      <c r="G243" s="10" t="s">
        <v>546</v>
      </c>
      <c r="H243" s="9" t="s">
        <v>13</v>
      </c>
      <c r="I243" s="9" t="s">
        <v>559</v>
      </c>
    </row>
    <row r="244" customFormat="false" ht="15.75" hidden="false" customHeight="false" outlineLevel="0" collapsed="false">
      <c r="B244" s="7" t="n">
        <v>46211</v>
      </c>
      <c r="C244" s="3" t="s">
        <v>560</v>
      </c>
      <c r="D244" s="3" t="s">
        <v>9</v>
      </c>
      <c r="E244" s="3" t="s">
        <v>490</v>
      </c>
      <c r="F244" s="3" t="s">
        <v>491</v>
      </c>
      <c r="G244" s="10" t="s">
        <v>546</v>
      </c>
      <c r="H244" s="9" t="s">
        <v>13</v>
      </c>
      <c r="I244" s="9" t="s">
        <v>561</v>
      </c>
    </row>
    <row r="245" customFormat="false" ht="15.75" hidden="false" customHeight="false" outlineLevel="0" collapsed="false">
      <c r="B245" s="7" t="n">
        <v>46211</v>
      </c>
      <c r="C245" s="3" t="s">
        <v>562</v>
      </c>
      <c r="D245" s="3" t="s">
        <v>9</v>
      </c>
      <c r="E245" s="3" t="s">
        <v>490</v>
      </c>
      <c r="F245" s="3" t="s">
        <v>491</v>
      </c>
      <c r="G245" s="10" t="s">
        <v>546</v>
      </c>
      <c r="H245" s="9" t="s">
        <v>13</v>
      </c>
      <c r="I245" s="9" t="s">
        <v>563</v>
      </c>
    </row>
    <row r="246" customFormat="false" ht="15.75" hidden="false" customHeight="false" outlineLevel="0" collapsed="false">
      <c r="B246" s="7" t="n">
        <v>46211</v>
      </c>
      <c r="C246" s="3" t="s">
        <v>564</v>
      </c>
      <c r="D246" s="3" t="s">
        <v>9</v>
      </c>
      <c r="E246" s="3" t="s">
        <v>490</v>
      </c>
      <c r="F246" s="3" t="s">
        <v>491</v>
      </c>
      <c r="G246" s="10" t="s">
        <v>565</v>
      </c>
      <c r="H246" s="9" t="s">
        <v>13</v>
      </c>
      <c r="I246" s="9" t="s">
        <v>566</v>
      </c>
    </row>
    <row r="247" customFormat="false" ht="15.75" hidden="false" customHeight="false" outlineLevel="0" collapsed="false">
      <c r="B247" s="7" t="n">
        <v>46211</v>
      </c>
      <c r="C247" s="3" t="s">
        <v>567</v>
      </c>
      <c r="D247" s="3" t="s">
        <v>9</v>
      </c>
      <c r="E247" s="3" t="s">
        <v>490</v>
      </c>
      <c r="F247" s="3" t="s">
        <v>491</v>
      </c>
      <c r="G247" s="10" t="s">
        <v>565</v>
      </c>
      <c r="H247" s="9" t="s">
        <v>13</v>
      </c>
      <c r="I247" s="9" t="s">
        <v>566</v>
      </c>
    </row>
    <row r="248" customFormat="false" ht="15.75" hidden="false" customHeight="false" outlineLevel="0" collapsed="false">
      <c r="B248" s="7" t="n">
        <v>46211</v>
      </c>
      <c r="C248" s="3" t="s">
        <v>568</v>
      </c>
      <c r="D248" s="3" t="s">
        <v>9</v>
      </c>
      <c r="E248" s="3" t="s">
        <v>490</v>
      </c>
      <c r="F248" s="3" t="s">
        <v>569</v>
      </c>
      <c r="G248" s="10" t="s">
        <v>570</v>
      </c>
      <c r="H248" s="9" t="s">
        <v>13</v>
      </c>
      <c r="I248" s="9" t="s">
        <v>571</v>
      </c>
    </row>
    <row r="249" customFormat="false" ht="15.75" hidden="false" customHeight="false" outlineLevel="0" collapsed="false">
      <c r="B249" s="7" t="n">
        <v>46211</v>
      </c>
      <c r="C249" s="3" t="s">
        <v>572</v>
      </c>
      <c r="D249" s="3" t="s">
        <v>9</v>
      </c>
      <c r="E249" s="3" t="s">
        <v>490</v>
      </c>
      <c r="F249" s="3" t="s">
        <v>569</v>
      </c>
      <c r="G249" s="10" t="s">
        <v>570</v>
      </c>
      <c r="H249" s="9" t="s">
        <v>13</v>
      </c>
      <c r="I249" s="9" t="s">
        <v>571</v>
      </c>
    </row>
    <row r="250" customFormat="false" ht="15.75" hidden="false" customHeight="false" outlineLevel="0" collapsed="false">
      <c r="B250" s="7" t="n">
        <v>46211</v>
      </c>
      <c r="C250" s="3" t="s">
        <v>573</v>
      </c>
      <c r="D250" s="3" t="s">
        <v>9</v>
      </c>
      <c r="E250" s="3" t="s">
        <v>490</v>
      </c>
      <c r="F250" s="3" t="s">
        <v>569</v>
      </c>
      <c r="G250" s="10" t="s">
        <v>570</v>
      </c>
      <c r="H250" s="9" t="s">
        <v>13</v>
      </c>
      <c r="I250" s="9" t="s">
        <v>571</v>
      </c>
    </row>
    <row r="251" customFormat="false" ht="15.75" hidden="false" customHeight="false" outlineLevel="0" collapsed="false">
      <c r="B251" s="7" t="n">
        <v>46211</v>
      </c>
      <c r="C251" s="3" t="s">
        <v>574</v>
      </c>
      <c r="D251" s="3" t="s">
        <v>9</v>
      </c>
      <c r="E251" s="3" t="s">
        <v>490</v>
      </c>
      <c r="F251" s="3" t="s">
        <v>569</v>
      </c>
      <c r="G251" s="10" t="s">
        <v>570</v>
      </c>
      <c r="H251" s="9" t="s">
        <v>13</v>
      </c>
      <c r="I251" s="9" t="s">
        <v>571</v>
      </c>
    </row>
    <row r="252" customFormat="false" ht="15.75" hidden="false" customHeight="false" outlineLevel="0" collapsed="false">
      <c r="B252" s="7" t="n">
        <v>46211</v>
      </c>
      <c r="C252" s="3" t="s">
        <v>575</v>
      </c>
      <c r="D252" s="3" t="s">
        <v>9</v>
      </c>
      <c r="E252" s="3" t="s">
        <v>490</v>
      </c>
      <c r="F252" s="3" t="s">
        <v>569</v>
      </c>
      <c r="G252" s="10" t="s">
        <v>576</v>
      </c>
      <c r="H252" s="9" t="s">
        <v>13</v>
      </c>
      <c r="I252" s="9" t="s">
        <v>577</v>
      </c>
    </row>
    <row r="253" customFormat="false" ht="15.75" hidden="false" customHeight="false" outlineLevel="0" collapsed="false">
      <c r="B253" s="7" t="n">
        <v>46211</v>
      </c>
      <c r="C253" s="3" t="s">
        <v>578</v>
      </c>
      <c r="D253" s="3" t="s">
        <v>9</v>
      </c>
      <c r="E253" s="3" t="s">
        <v>490</v>
      </c>
      <c r="F253" s="3" t="s">
        <v>569</v>
      </c>
      <c r="G253" s="10" t="s">
        <v>576</v>
      </c>
      <c r="H253" s="9" t="s">
        <v>13</v>
      </c>
      <c r="I253" s="9" t="s">
        <v>577</v>
      </c>
    </row>
    <row r="254" customFormat="false" ht="15.75" hidden="false" customHeight="false" outlineLevel="0" collapsed="false">
      <c r="B254" s="7" t="n">
        <v>46211</v>
      </c>
      <c r="C254" s="3" t="s">
        <v>579</v>
      </c>
      <c r="D254" s="3" t="s">
        <v>9</v>
      </c>
      <c r="E254" s="3" t="s">
        <v>490</v>
      </c>
      <c r="F254" s="3" t="s">
        <v>569</v>
      </c>
      <c r="G254" s="10" t="s">
        <v>576</v>
      </c>
      <c r="H254" s="9" t="s">
        <v>13</v>
      </c>
      <c r="I254" s="9" t="s">
        <v>577</v>
      </c>
    </row>
    <row r="255" customFormat="false" ht="15.75" hidden="false" customHeight="false" outlineLevel="0" collapsed="false">
      <c r="B255" s="7" t="n">
        <v>46211</v>
      </c>
      <c r="C255" s="3" t="s">
        <v>580</v>
      </c>
      <c r="D255" s="3" t="s">
        <v>9</v>
      </c>
      <c r="E255" s="3" t="s">
        <v>490</v>
      </c>
      <c r="F255" s="3" t="s">
        <v>569</v>
      </c>
      <c r="G255" s="10" t="s">
        <v>576</v>
      </c>
      <c r="H255" s="9" t="s">
        <v>13</v>
      </c>
      <c r="I255" s="9" t="s">
        <v>577</v>
      </c>
    </row>
    <row r="256" customFormat="false" ht="15.75" hidden="false" customHeight="false" outlineLevel="0" collapsed="false">
      <c r="B256" s="7" t="n">
        <v>46211</v>
      </c>
      <c r="C256" s="3" t="s">
        <v>581</v>
      </c>
      <c r="D256" s="3" t="s">
        <v>9</v>
      </c>
      <c r="E256" s="3" t="s">
        <v>490</v>
      </c>
      <c r="F256" s="3" t="s">
        <v>569</v>
      </c>
      <c r="G256" s="8" t="s">
        <v>582</v>
      </c>
      <c r="H256" s="9" t="s">
        <v>13</v>
      </c>
      <c r="I256" s="9" t="s">
        <v>583</v>
      </c>
    </row>
    <row r="257" customFormat="false" ht="15.75" hidden="false" customHeight="false" outlineLevel="0" collapsed="false">
      <c r="B257" s="7" t="n">
        <v>46211</v>
      </c>
      <c r="C257" s="3" t="s">
        <v>584</v>
      </c>
      <c r="D257" s="3" t="s">
        <v>9</v>
      </c>
      <c r="E257" s="3" t="s">
        <v>490</v>
      </c>
      <c r="F257" s="3" t="s">
        <v>569</v>
      </c>
      <c r="G257" s="10" t="s">
        <v>585</v>
      </c>
      <c r="H257" s="9" t="s">
        <v>13</v>
      </c>
      <c r="I257" s="9" t="s">
        <v>586</v>
      </c>
    </row>
    <row r="258" customFormat="false" ht="15.75" hidden="false" customHeight="false" outlineLevel="0" collapsed="false">
      <c r="B258" s="7" t="n">
        <v>46211</v>
      </c>
      <c r="C258" s="3" t="s">
        <v>587</v>
      </c>
      <c r="D258" s="3" t="s">
        <v>9</v>
      </c>
      <c r="E258" s="3" t="s">
        <v>490</v>
      </c>
      <c r="F258" s="3" t="s">
        <v>569</v>
      </c>
      <c r="G258" s="10" t="s">
        <v>585</v>
      </c>
      <c r="H258" s="9" t="s">
        <v>13</v>
      </c>
      <c r="I258" s="9" t="s">
        <v>588</v>
      </c>
    </row>
    <row r="259" customFormat="false" ht="15.75" hidden="false" customHeight="false" outlineLevel="0" collapsed="false">
      <c r="B259" s="7" t="n">
        <v>46211</v>
      </c>
      <c r="C259" s="3" t="s">
        <v>589</v>
      </c>
      <c r="D259" s="3" t="s">
        <v>9</v>
      </c>
      <c r="E259" s="3" t="s">
        <v>490</v>
      </c>
      <c r="F259" s="3" t="s">
        <v>569</v>
      </c>
      <c r="G259" s="10" t="s">
        <v>585</v>
      </c>
      <c r="H259" s="9" t="s">
        <v>13</v>
      </c>
      <c r="I259" s="9" t="s">
        <v>588</v>
      </c>
    </row>
    <row r="260" customFormat="false" ht="15.75" hidden="false" customHeight="false" outlineLevel="0" collapsed="false">
      <c r="B260" s="7" t="n">
        <v>46211</v>
      </c>
      <c r="C260" s="3" t="s">
        <v>590</v>
      </c>
      <c r="D260" s="3" t="s">
        <v>9</v>
      </c>
      <c r="E260" s="3" t="s">
        <v>490</v>
      </c>
      <c r="F260" s="3" t="s">
        <v>569</v>
      </c>
      <c r="G260" s="10" t="s">
        <v>585</v>
      </c>
      <c r="H260" s="9" t="s">
        <v>13</v>
      </c>
      <c r="I260" s="9" t="s">
        <v>588</v>
      </c>
    </row>
    <row r="261" customFormat="false" ht="15.75" hidden="false" customHeight="false" outlineLevel="0" collapsed="false">
      <c r="B261" s="7" t="n">
        <v>46211</v>
      </c>
      <c r="C261" s="3" t="s">
        <v>591</v>
      </c>
      <c r="D261" s="3" t="s">
        <v>9</v>
      </c>
      <c r="E261" s="3" t="s">
        <v>490</v>
      </c>
      <c r="F261" s="3" t="s">
        <v>569</v>
      </c>
      <c r="G261" s="10" t="s">
        <v>585</v>
      </c>
      <c r="H261" s="9" t="s">
        <v>13</v>
      </c>
      <c r="I261" s="9" t="s">
        <v>588</v>
      </c>
    </row>
    <row r="262" customFormat="false" ht="15.75" hidden="false" customHeight="false" outlineLevel="0" collapsed="false">
      <c r="B262" s="7" t="n">
        <v>46211</v>
      </c>
      <c r="C262" s="3" t="s">
        <v>592</v>
      </c>
      <c r="D262" s="3" t="s">
        <v>9</v>
      </c>
      <c r="E262" s="3" t="s">
        <v>490</v>
      </c>
      <c r="F262" s="3" t="s">
        <v>569</v>
      </c>
      <c r="G262" s="10" t="s">
        <v>585</v>
      </c>
      <c r="H262" s="9" t="s">
        <v>13</v>
      </c>
      <c r="I262" s="9" t="s">
        <v>588</v>
      </c>
    </row>
    <row r="263" customFormat="false" ht="15.75" hidden="false" customHeight="false" outlineLevel="0" collapsed="false">
      <c r="B263" s="7" t="n">
        <v>46211</v>
      </c>
      <c r="C263" s="3" t="s">
        <v>593</v>
      </c>
      <c r="D263" s="3" t="s">
        <v>9</v>
      </c>
      <c r="E263" s="3" t="s">
        <v>490</v>
      </c>
      <c r="F263" s="3" t="s">
        <v>569</v>
      </c>
      <c r="G263" s="10" t="s">
        <v>594</v>
      </c>
      <c r="H263" s="9" t="s">
        <v>13</v>
      </c>
      <c r="I263" s="9" t="s">
        <v>595</v>
      </c>
    </row>
    <row r="264" customFormat="false" ht="15.75" hidden="false" customHeight="false" outlineLevel="0" collapsed="false">
      <c r="B264" s="7" t="n">
        <v>46211</v>
      </c>
      <c r="C264" s="3" t="s">
        <v>596</v>
      </c>
      <c r="D264" s="3" t="s">
        <v>9</v>
      </c>
      <c r="E264" s="3" t="s">
        <v>490</v>
      </c>
      <c r="F264" s="3" t="s">
        <v>569</v>
      </c>
      <c r="G264" s="10" t="s">
        <v>594</v>
      </c>
      <c r="H264" s="9" t="s">
        <v>13</v>
      </c>
      <c r="I264" s="9" t="s">
        <v>595</v>
      </c>
    </row>
    <row r="265" customFormat="false" ht="15.75" hidden="false" customHeight="false" outlineLevel="0" collapsed="false">
      <c r="B265" s="7" t="n">
        <v>46211</v>
      </c>
      <c r="C265" s="3" t="s">
        <v>597</v>
      </c>
      <c r="D265" s="3" t="s">
        <v>9</v>
      </c>
      <c r="E265" s="3" t="s">
        <v>490</v>
      </c>
      <c r="F265" s="3" t="s">
        <v>569</v>
      </c>
      <c r="G265" s="10" t="s">
        <v>594</v>
      </c>
      <c r="H265" s="9" t="s">
        <v>13</v>
      </c>
      <c r="I265" s="9" t="s">
        <v>595</v>
      </c>
    </row>
    <row r="266" customFormat="false" ht="15.75" hidden="false" customHeight="false" outlineLevel="0" collapsed="false">
      <c r="B266" s="7" t="n">
        <v>46211</v>
      </c>
      <c r="C266" s="3" t="s">
        <v>598</v>
      </c>
      <c r="D266" s="3" t="s">
        <v>9</v>
      </c>
      <c r="E266" s="3" t="s">
        <v>490</v>
      </c>
      <c r="F266" s="3" t="s">
        <v>569</v>
      </c>
      <c r="G266" s="10" t="s">
        <v>594</v>
      </c>
      <c r="H266" s="9" t="s">
        <v>13</v>
      </c>
      <c r="I266" s="9" t="s">
        <v>595</v>
      </c>
    </row>
    <row r="267" customFormat="false" ht="15.75" hidden="false" customHeight="false" outlineLevel="0" collapsed="false">
      <c r="B267" s="7" t="n">
        <v>46211</v>
      </c>
      <c r="C267" s="3" t="s">
        <v>599</v>
      </c>
      <c r="D267" s="3" t="s">
        <v>9</v>
      </c>
      <c r="E267" s="3" t="s">
        <v>490</v>
      </c>
      <c r="F267" s="3" t="s">
        <v>569</v>
      </c>
      <c r="G267" s="10" t="s">
        <v>594</v>
      </c>
      <c r="H267" s="9" t="s">
        <v>13</v>
      </c>
      <c r="I267" s="9" t="s">
        <v>600</v>
      </c>
    </row>
    <row r="268" customFormat="false" ht="15.75" hidden="false" customHeight="false" outlineLevel="0" collapsed="false">
      <c r="B268" s="7" t="n">
        <v>46211</v>
      </c>
      <c r="C268" s="3" t="s">
        <v>601</v>
      </c>
      <c r="D268" s="3" t="s">
        <v>9</v>
      </c>
      <c r="E268" s="3" t="s">
        <v>490</v>
      </c>
      <c r="F268" s="3" t="s">
        <v>569</v>
      </c>
      <c r="G268" s="10" t="s">
        <v>594</v>
      </c>
      <c r="H268" s="9" t="s">
        <v>13</v>
      </c>
      <c r="I268" s="9" t="s">
        <v>600</v>
      </c>
    </row>
    <row r="269" customFormat="false" ht="15.75" hidden="false" customHeight="false" outlineLevel="0" collapsed="false">
      <c r="B269" s="7" t="n">
        <v>46211</v>
      </c>
      <c r="C269" s="3" t="s">
        <v>602</v>
      </c>
      <c r="D269" s="3" t="s">
        <v>9</v>
      </c>
      <c r="E269" s="3" t="s">
        <v>490</v>
      </c>
      <c r="F269" s="3" t="s">
        <v>569</v>
      </c>
      <c r="G269" s="10" t="s">
        <v>594</v>
      </c>
      <c r="H269" s="9" t="s">
        <v>13</v>
      </c>
      <c r="I269" s="9" t="s">
        <v>603</v>
      </c>
    </row>
    <row r="270" customFormat="false" ht="15.75" hidden="false" customHeight="false" outlineLevel="0" collapsed="false">
      <c r="B270" s="7" t="n">
        <v>46211</v>
      </c>
      <c r="C270" s="3" t="s">
        <v>604</v>
      </c>
      <c r="D270" s="3" t="s">
        <v>9</v>
      </c>
      <c r="E270" s="3" t="s">
        <v>490</v>
      </c>
      <c r="F270" s="3" t="s">
        <v>569</v>
      </c>
      <c r="G270" s="10" t="s">
        <v>605</v>
      </c>
      <c r="H270" s="9" t="s">
        <v>13</v>
      </c>
      <c r="I270" s="9" t="s">
        <v>606</v>
      </c>
    </row>
    <row r="271" customFormat="false" ht="15.75" hidden="false" customHeight="false" outlineLevel="0" collapsed="false">
      <c r="B271" s="7" t="n">
        <v>46211</v>
      </c>
      <c r="C271" s="3" t="s">
        <v>607</v>
      </c>
      <c r="D271" s="3" t="s">
        <v>9</v>
      </c>
      <c r="E271" s="3" t="s">
        <v>490</v>
      </c>
      <c r="F271" s="3" t="s">
        <v>569</v>
      </c>
      <c r="G271" s="10" t="s">
        <v>605</v>
      </c>
      <c r="H271" s="9" t="s">
        <v>13</v>
      </c>
      <c r="I271" s="9" t="s">
        <v>608</v>
      </c>
    </row>
    <row r="272" customFormat="false" ht="15.75" hidden="false" customHeight="false" outlineLevel="0" collapsed="false">
      <c r="B272" s="7" t="n">
        <v>46211</v>
      </c>
      <c r="C272" s="3" t="s">
        <v>609</v>
      </c>
      <c r="D272" s="3" t="s">
        <v>9</v>
      </c>
      <c r="E272" s="3" t="s">
        <v>490</v>
      </c>
      <c r="F272" s="3" t="s">
        <v>569</v>
      </c>
      <c r="G272" s="10" t="s">
        <v>605</v>
      </c>
      <c r="H272" s="9" t="s">
        <v>13</v>
      </c>
      <c r="I272" s="9" t="s">
        <v>610</v>
      </c>
    </row>
    <row r="273" customFormat="false" ht="15.75" hidden="false" customHeight="false" outlineLevel="0" collapsed="false">
      <c r="B273" s="7" t="n">
        <v>46211</v>
      </c>
      <c r="C273" s="3" t="s">
        <v>611</v>
      </c>
      <c r="D273" s="3" t="s">
        <v>9</v>
      </c>
      <c r="E273" s="3" t="s">
        <v>490</v>
      </c>
      <c r="F273" s="3" t="s">
        <v>569</v>
      </c>
      <c r="G273" s="10" t="s">
        <v>612</v>
      </c>
      <c r="H273" s="9" t="s">
        <v>13</v>
      </c>
      <c r="I273" s="9" t="s">
        <v>613</v>
      </c>
    </row>
    <row r="274" customFormat="false" ht="15.75" hidden="false" customHeight="false" outlineLevel="0" collapsed="false">
      <c r="B274" s="7" t="n">
        <v>46211</v>
      </c>
      <c r="C274" s="3" t="s">
        <v>614</v>
      </c>
      <c r="D274" s="3" t="s">
        <v>9</v>
      </c>
      <c r="E274" s="3" t="s">
        <v>490</v>
      </c>
      <c r="F274" s="3" t="s">
        <v>569</v>
      </c>
      <c r="G274" s="8" t="s">
        <v>612</v>
      </c>
      <c r="H274" s="9" t="s">
        <v>13</v>
      </c>
      <c r="I274" s="9" t="s">
        <v>615</v>
      </c>
    </row>
    <row r="275" customFormat="false" ht="15.75" hidden="false" customHeight="false" outlineLevel="0" collapsed="false">
      <c r="B275" s="7" t="n">
        <v>46211</v>
      </c>
      <c r="C275" s="3" t="s">
        <v>616</v>
      </c>
      <c r="D275" s="3" t="s">
        <v>9</v>
      </c>
      <c r="E275" s="3" t="s">
        <v>490</v>
      </c>
      <c r="F275" s="3" t="s">
        <v>569</v>
      </c>
      <c r="G275" s="8" t="s">
        <v>612</v>
      </c>
      <c r="H275" s="9" t="s">
        <v>13</v>
      </c>
      <c r="I275" s="9" t="s">
        <v>615</v>
      </c>
    </row>
    <row r="276" customFormat="false" ht="15.75" hidden="false" customHeight="false" outlineLevel="0" collapsed="false">
      <c r="B276" s="7" t="n">
        <v>46211</v>
      </c>
      <c r="C276" s="3" t="s">
        <v>617</v>
      </c>
      <c r="D276" s="3" t="s">
        <v>9</v>
      </c>
      <c r="E276" s="3" t="s">
        <v>490</v>
      </c>
      <c r="F276" s="3" t="s">
        <v>569</v>
      </c>
      <c r="G276" s="10" t="s">
        <v>618</v>
      </c>
      <c r="H276" s="9" t="s">
        <v>13</v>
      </c>
      <c r="I276" s="9" t="s">
        <v>619</v>
      </c>
    </row>
    <row r="277" customFormat="false" ht="15.75" hidden="false" customHeight="false" outlineLevel="0" collapsed="false">
      <c r="B277" s="7" t="n">
        <v>46211</v>
      </c>
      <c r="C277" s="3" t="s">
        <v>620</v>
      </c>
      <c r="D277" s="3" t="s">
        <v>9</v>
      </c>
      <c r="E277" s="3" t="s">
        <v>490</v>
      </c>
      <c r="F277" s="3" t="s">
        <v>569</v>
      </c>
      <c r="G277" s="10" t="s">
        <v>618</v>
      </c>
      <c r="H277" s="9" t="s">
        <v>13</v>
      </c>
      <c r="I277" s="9" t="s">
        <v>621</v>
      </c>
    </row>
    <row r="278" customFormat="false" ht="15.75" hidden="false" customHeight="false" outlineLevel="0" collapsed="false">
      <c r="B278" s="7" t="n">
        <v>46211</v>
      </c>
      <c r="C278" s="3" t="s">
        <v>622</v>
      </c>
      <c r="D278" s="3" t="s">
        <v>9</v>
      </c>
      <c r="E278" s="3" t="s">
        <v>490</v>
      </c>
      <c r="F278" s="3" t="s">
        <v>569</v>
      </c>
      <c r="G278" s="10" t="s">
        <v>618</v>
      </c>
      <c r="H278" s="9" t="s">
        <v>13</v>
      </c>
      <c r="I278" s="9" t="s">
        <v>623</v>
      </c>
    </row>
    <row r="279" customFormat="false" ht="15.75" hidden="false" customHeight="false" outlineLevel="0" collapsed="false">
      <c r="B279" s="7" t="n">
        <v>46211</v>
      </c>
      <c r="C279" s="3" t="s">
        <v>624</v>
      </c>
      <c r="D279" s="3" t="s">
        <v>9</v>
      </c>
      <c r="E279" s="3" t="s">
        <v>490</v>
      </c>
      <c r="F279" s="3" t="s">
        <v>569</v>
      </c>
      <c r="G279" s="10" t="s">
        <v>618</v>
      </c>
      <c r="H279" s="9" t="s">
        <v>13</v>
      </c>
      <c r="I279" s="9" t="s">
        <v>623</v>
      </c>
    </row>
    <row r="280" customFormat="false" ht="15.75" hidden="false" customHeight="false" outlineLevel="0" collapsed="false">
      <c r="B280" s="7" t="n">
        <v>46211</v>
      </c>
      <c r="C280" s="3" t="s">
        <v>625</v>
      </c>
      <c r="D280" s="3" t="s">
        <v>9</v>
      </c>
      <c r="E280" s="3" t="s">
        <v>490</v>
      </c>
      <c r="F280" s="3" t="s">
        <v>569</v>
      </c>
      <c r="G280" s="10" t="s">
        <v>626</v>
      </c>
      <c r="H280" s="9" t="s">
        <v>13</v>
      </c>
      <c r="I280" s="9" t="s">
        <v>627</v>
      </c>
    </row>
    <row r="281" customFormat="false" ht="15.75" hidden="false" customHeight="false" outlineLevel="0" collapsed="false">
      <c r="B281" s="7" t="n">
        <v>46211</v>
      </c>
      <c r="C281" s="3" t="s">
        <v>628</v>
      </c>
      <c r="D281" s="3" t="s">
        <v>9</v>
      </c>
      <c r="E281" s="3" t="s">
        <v>490</v>
      </c>
      <c r="F281" s="3" t="s">
        <v>569</v>
      </c>
      <c r="G281" s="10" t="s">
        <v>629</v>
      </c>
      <c r="H281" s="9" t="s">
        <v>13</v>
      </c>
      <c r="I281" s="9" t="s">
        <v>630</v>
      </c>
    </row>
    <row r="282" customFormat="false" ht="15.75" hidden="false" customHeight="false" outlineLevel="0" collapsed="false">
      <c r="B282" s="7" t="n">
        <v>46211</v>
      </c>
      <c r="C282" s="3" t="s">
        <v>631</v>
      </c>
      <c r="D282" s="3" t="s">
        <v>9</v>
      </c>
      <c r="E282" s="3" t="s">
        <v>490</v>
      </c>
      <c r="F282" s="3" t="s">
        <v>569</v>
      </c>
      <c r="G282" s="10" t="s">
        <v>629</v>
      </c>
      <c r="H282" s="9" t="s">
        <v>13</v>
      </c>
      <c r="I282" s="9" t="s">
        <v>632</v>
      </c>
    </row>
    <row r="283" customFormat="false" ht="15.75" hidden="false" customHeight="false" outlineLevel="0" collapsed="false">
      <c r="B283" s="7" t="n">
        <v>46212</v>
      </c>
      <c r="C283" s="3" t="s">
        <v>633</v>
      </c>
      <c r="D283" s="3" t="s">
        <v>9</v>
      </c>
      <c r="E283" s="3" t="s">
        <v>490</v>
      </c>
      <c r="F283" s="3" t="s">
        <v>634</v>
      </c>
      <c r="G283" s="10" t="s">
        <v>501</v>
      </c>
      <c r="H283" s="9" t="s">
        <v>13</v>
      </c>
      <c r="I283" s="9" t="s">
        <v>635</v>
      </c>
    </row>
    <row r="284" customFormat="false" ht="15.75" hidden="false" customHeight="false" outlineLevel="0" collapsed="false">
      <c r="B284" s="7" t="n">
        <v>46212</v>
      </c>
      <c r="C284" s="3" t="s">
        <v>636</v>
      </c>
      <c r="D284" s="3" t="s">
        <v>9</v>
      </c>
      <c r="E284" s="3" t="s">
        <v>490</v>
      </c>
      <c r="F284" s="3" t="s">
        <v>634</v>
      </c>
      <c r="G284" s="10" t="s">
        <v>501</v>
      </c>
      <c r="H284" s="9" t="s">
        <v>13</v>
      </c>
      <c r="I284" s="9" t="s">
        <v>635</v>
      </c>
    </row>
    <row r="285" customFormat="false" ht="15.75" hidden="false" customHeight="false" outlineLevel="0" collapsed="false">
      <c r="B285" s="7" t="n">
        <v>46212</v>
      </c>
      <c r="C285" s="3" t="s">
        <v>637</v>
      </c>
      <c r="D285" s="3" t="s">
        <v>9</v>
      </c>
      <c r="E285" s="3" t="s">
        <v>490</v>
      </c>
      <c r="F285" s="3" t="s">
        <v>634</v>
      </c>
      <c r="G285" s="10" t="s">
        <v>501</v>
      </c>
      <c r="H285" s="9" t="s">
        <v>13</v>
      </c>
      <c r="I285" s="9" t="s">
        <v>635</v>
      </c>
    </row>
    <row r="286" customFormat="false" ht="15.75" hidden="false" customHeight="false" outlineLevel="0" collapsed="false">
      <c r="B286" s="7" t="n">
        <v>46212</v>
      </c>
      <c r="C286" s="3" t="s">
        <v>638</v>
      </c>
      <c r="D286" s="3" t="s">
        <v>9</v>
      </c>
      <c r="E286" s="3" t="s">
        <v>490</v>
      </c>
      <c r="F286" s="3" t="s">
        <v>634</v>
      </c>
      <c r="G286" s="10" t="s">
        <v>639</v>
      </c>
      <c r="H286" s="9" t="s">
        <v>13</v>
      </c>
      <c r="I286" s="9" t="s">
        <v>640</v>
      </c>
    </row>
    <row r="287" customFormat="false" ht="15.75" hidden="false" customHeight="false" outlineLevel="0" collapsed="false">
      <c r="B287" s="7" t="n">
        <v>46212</v>
      </c>
      <c r="C287" s="3" t="s">
        <v>641</v>
      </c>
      <c r="D287" s="3" t="s">
        <v>9</v>
      </c>
      <c r="E287" s="3" t="s">
        <v>490</v>
      </c>
      <c r="F287" s="3" t="s">
        <v>634</v>
      </c>
      <c r="G287" s="10" t="s">
        <v>642</v>
      </c>
      <c r="H287" s="9" t="s">
        <v>13</v>
      </c>
      <c r="I287" s="9" t="s">
        <v>643</v>
      </c>
    </row>
    <row r="288" customFormat="false" ht="15.75" hidden="false" customHeight="false" outlineLevel="0" collapsed="false">
      <c r="B288" s="7" t="n">
        <v>46212</v>
      </c>
      <c r="C288" s="3" t="s">
        <v>644</v>
      </c>
      <c r="D288" s="3" t="s">
        <v>9</v>
      </c>
      <c r="E288" s="3" t="s">
        <v>490</v>
      </c>
      <c r="F288" s="3" t="s">
        <v>634</v>
      </c>
      <c r="G288" s="10" t="s">
        <v>516</v>
      </c>
      <c r="H288" s="9" t="s">
        <v>13</v>
      </c>
      <c r="I288" s="9" t="s">
        <v>645</v>
      </c>
    </row>
    <row r="289" customFormat="false" ht="15.75" hidden="false" customHeight="false" outlineLevel="0" collapsed="false">
      <c r="B289" s="7" t="n">
        <v>46212</v>
      </c>
      <c r="C289" s="3" t="s">
        <v>646</v>
      </c>
      <c r="D289" s="3" t="s">
        <v>9</v>
      </c>
      <c r="E289" s="3" t="s">
        <v>490</v>
      </c>
      <c r="F289" s="3" t="s">
        <v>634</v>
      </c>
      <c r="G289" s="10" t="s">
        <v>516</v>
      </c>
      <c r="H289" s="9" t="s">
        <v>13</v>
      </c>
      <c r="I289" s="9" t="s">
        <v>647</v>
      </c>
    </row>
    <row r="290" customFormat="false" ht="15.75" hidden="false" customHeight="false" outlineLevel="0" collapsed="false">
      <c r="B290" s="7" t="n">
        <v>46212</v>
      </c>
      <c r="C290" s="3" t="s">
        <v>648</v>
      </c>
      <c r="D290" s="3" t="s">
        <v>9</v>
      </c>
      <c r="E290" s="3" t="s">
        <v>490</v>
      </c>
      <c r="F290" s="3" t="s">
        <v>634</v>
      </c>
      <c r="G290" s="10" t="s">
        <v>516</v>
      </c>
      <c r="H290" s="9" t="s">
        <v>13</v>
      </c>
      <c r="I290" s="9" t="s">
        <v>647</v>
      </c>
    </row>
    <row r="291" customFormat="false" ht="15.75" hidden="false" customHeight="false" outlineLevel="0" collapsed="false">
      <c r="B291" s="7" t="n">
        <v>46212</v>
      </c>
      <c r="C291" s="3" t="s">
        <v>649</v>
      </c>
      <c r="D291" s="3" t="s">
        <v>9</v>
      </c>
      <c r="E291" s="3" t="s">
        <v>490</v>
      </c>
      <c r="F291" s="3" t="s">
        <v>634</v>
      </c>
      <c r="G291" s="10" t="s">
        <v>516</v>
      </c>
      <c r="H291" s="9" t="s">
        <v>13</v>
      </c>
      <c r="I291" s="9" t="s">
        <v>650</v>
      </c>
    </row>
    <row r="292" customFormat="false" ht="15.75" hidden="false" customHeight="false" outlineLevel="0" collapsed="false">
      <c r="B292" s="7" t="n">
        <v>46212</v>
      </c>
      <c r="C292" s="3" t="s">
        <v>651</v>
      </c>
      <c r="D292" s="3" t="s">
        <v>9</v>
      </c>
      <c r="E292" s="3" t="s">
        <v>490</v>
      </c>
      <c r="F292" s="3" t="s">
        <v>634</v>
      </c>
      <c r="G292" s="10" t="s">
        <v>516</v>
      </c>
      <c r="H292" s="9" t="s">
        <v>13</v>
      </c>
      <c r="I292" s="9" t="s">
        <v>652</v>
      </c>
    </row>
    <row r="293" customFormat="false" ht="15.75" hidden="false" customHeight="false" outlineLevel="0" collapsed="false">
      <c r="B293" s="7" t="n">
        <v>46212</v>
      </c>
      <c r="C293" s="3" t="s">
        <v>653</v>
      </c>
      <c r="D293" s="3" t="s">
        <v>9</v>
      </c>
      <c r="E293" s="3" t="s">
        <v>490</v>
      </c>
      <c r="F293" s="3" t="s">
        <v>634</v>
      </c>
      <c r="G293" s="10" t="s">
        <v>516</v>
      </c>
      <c r="H293" s="9" t="s">
        <v>13</v>
      </c>
      <c r="I293" s="9" t="s">
        <v>654</v>
      </c>
    </row>
    <row r="294" customFormat="false" ht="15.75" hidden="false" customHeight="false" outlineLevel="0" collapsed="false">
      <c r="B294" s="7" t="n">
        <v>46212</v>
      </c>
      <c r="C294" s="3" t="s">
        <v>655</v>
      </c>
      <c r="D294" s="3" t="s">
        <v>9</v>
      </c>
      <c r="E294" s="3" t="s">
        <v>490</v>
      </c>
      <c r="F294" s="3" t="s">
        <v>634</v>
      </c>
      <c r="G294" s="10" t="s">
        <v>656</v>
      </c>
      <c r="H294" s="9" t="s">
        <v>13</v>
      </c>
      <c r="I294" s="9" t="s">
        <v>657</v>
      </c>
    </row>
    <row r="295" customFormat="false" ht="15.75" hidden="false" customHeight="false" outlineLevel="0" collapsed="false">
      <c r="B295" s="7" t="n">
        <v>46212</v>
      </c>
      <c r="C295" s="3" t="s">
        <v>658</v>
      </c>
      <c r="D295" s="3" t="s">
        <v>9</v>
      </c>
      <c r="E295" s="3" t="s">
        <v>490</v>
      </c>
      <c r="F295" s="3" t="s">
        <v>634</v>
      </c>
      <c r="G295" s="10" t="s">
        <v>659</v>
      </c>
      <c r="H295" s="9" t="s">
        <v>13</v>
      </c>
      <c r="I295" s="9" t="s">
        <v>660</v>
      </c>
    </row>
    <row r="296" customFormat="false" ht="15.75" hidden="false" customHeight="false" outlineLevel="0" collapsed="false">
      <c r="B296" s="7" t="n">
        <v>46212</v>
      </c>
      <c r="C296" s="3" t="s">
        <v>661</v>
      </c>
      <c r="D296" s="3" t="s">
        <v>9</v>
      </c>
      <c r="E296" s="3" t="s">
        <v>490</v>
      </c>
      <c r="F296" s="3" t="s">
        <v>634</v>
      </c>
      <c r="G296" s="10" t="s">
        <v>662</v>
      </c>
      <c r="H296" s="9" t="s">
        <v>13</v>
      </c>
      <c r="I296" s="9" t="s">
        <v>663</v>
      </c>
    </row>
    <row r="297" customFormat="false" ht="15.75" hidden="false" customHeight="false" outlineLevel="0" collapsed="false">
      <c r="B297" s="7" t="n">
        <v>46212</v>
      </c>
      <c r="C297" s="3" t="s">
        <v>664</v>
      </c>
      <c r="D297" s="3" t="s">
        <v>9</v>
      </c>
      <c r="E297" s="3" t="s">
        <v>490</v>
      </c>
      <c r="F297" s="3" t="s">
        <v>634</v>
      </c>
      <c r="G297" s="10" t="s">
        <v>662</v>
      </c>
      <c r="H297" s="9" t="s">
        <v>13</v>
      </c>
      <c r="I297" s="9" t="s">
        <v>663</v>
      </c>
    </row>
    <row r="298" customFormat="false" ht="15.75" hidden="false" customHeight="false" outlineLevel="0" collapsed="false">
      <c r="B298" s="7" t="n">
        <v>46212</v>
      </c>
      <c r="C298" s="3" t="s">
        <v>665</v>
      </c>
      <c r="D298" s="3" t="s">
        <v>9</v>
      </c>
      <c r="E298" s="3" t="s">
        <v>490</v>
      </c>
      <c r="F298" s="3" t="s">
        <v>634</v>
      </c>
      <c r="G298" s="8" t="s">
        <v>666</v>
      </c>
      <c r="H298" s="9" t="s">
        <v>13</v>
      </c>
      <c r="I298" s="9" t="s">
        <v>667</v>
      </c>
    </row>
    <row r="299" customFormat="false" ht="15.75" hidden="false" customHeight="false" outlineLevel="0" collapsed="false">
      <c r="B299" s="7" t="n">
        <v>46212</v>
      </c>
      <c r="C299" s="3" t="s">
        <v>668</v>
      </c>
      <c r="D299" s="3" t="s">
        <v>9</v>
      </c>
      <c r="E299" s="3" t="s">
        <v>490</v>
      </c>
      <c r="F299" s="3" t="s">
        <v>634</v>
      </c>
      <c r="G299" s="10" t="s">
        <v>669</v>
      </c>
      <c r="H299" s="9" t="s">
        <v>13</v>
      </c>
      <c r="I299" s="9" t="s">
        <v>670</v>
      </c>
    </row>
    <row r="300" customFormat="false" ht="15.75" hidden="false" customHeight="false" outlineLevel="0" collapsed="false">
      <c r="B300" s="7" t="n">
        <v>46212</v>
      </c>
      <c r="C300" s="3" t="s">
        <v>671</v>
      </c>
      <c r="D300" s="3" t="s">
        <v>9</v>
      </c>
      <c r="E300" s="3" t="s">
        <v>490</v>
      </c>
      <c r="F300" s="3" t="s">
        <v>634</v>
      </c>
      <c r="G300" s="10" t="s">
        <v>492</v>
      </c>
      <c r="H300" s="9" t="s">
        <v>13</v>
      </c>
      <c r="I300" s="9" t="s">
        <v>672</v>
      </c>
    </row>
    <row r="301" customFormat="false" ht="15.75" hidden="false" customHeight="false" outlineLevel="0" collapsed="false">
      <c r="B301" s="7" t="n">
        <v>46212</v>
      </c>
      <c r="C301" s="3" t="s">
        <v>673</v>
      </c>
      <c r="D301" s="3" t="s">
        <v>9</v>
      </c>
      <c r="E301" s="3" t="s">
        <v>490</v>
      </c>
      <c r="F301" s="3" t="s">
        <v>634</v>
      </c>
      <c r="G301" s="10" t="s">
        <v>674</v>
      </c>
      <c r="H301" s="9" t="s">
        <v>13</v>
      </c>
      <c r="I301" s="9" t="s">
        <v>675</v>
      </c>
    </row>
    <row r="302" customFormat="false" ht="15.75" hidden="false" customHeight="false" outlineLevel="0" collapsed="false">
      <c r="B302" s="7" t="n">
        <v>46212</v>
      </c>
      <c r="C302" s="3" t="s">
        <v>676</v>
      </c>
      <c r="D302" s="3" t="s">
        <v>9</v>
      </c>
      <c r="E302" s="3" t="s">
        <v>490</v>
      </c>
      <c r="F302" s="3" t="s">
        <v>634</v>
      </c>
      <c r="G302" s="10" t="s">
        <v>513</v>
      </c>
      <c r="H302" s="9" t="s">
        <v>13</v>
      </c>
      <c r="I302" s="9" t="s">
        <v>677</v>
      </c>
    </row>
    <row r="303" customFormat="false" ht="15.75" hidden="false" customHeight="false" outlineLevel="0" collapsed="false">
      <c r="B303" s="7" t="n">
        <v>46212</v>
      </c>
      <c r="C303" s="3" t="s">
        <v>678</v>
      </c>
      <c r="D303" s="3" t="s">
        <v>9</v>
      </c>
      <c r="E303" s="3" t="s">
        <v>490</v>
      </c>
      <c r="F303" s="3" t="s">
        <v>634</v>
      </c>
      <c r="G303" s="10" t="s">
        <v>679</v>
      </c>
      <c r="H303" s="9" t="s">
        <v>13</v>
      </c>
      <c r="I303" s="9" t="s">
        <v>680</v>
      </c>
    </row>
    <row r="304" customFormat="false" ht="15.75" hidden="false" customHeight="false" outlineLevel="0" collapsed="false">
      <c r="B304" s="7" t="n">
        <v>46212</v>
      </c>
      <c r="C304" s="3" t="s">
        <v>681</v>
      </c>
      <c r="D304" s="3" t="s">
        <v>9</v>
      </c>
      <c r="E304" s="3" t="s">
        <v>490</v>
      </c>
      <c r="F304" s="3" t="s">
        <v>634</v>
      </c>
      <c r="G304" s="10" t="s">
        <v>679</v>
      </c>
      <c r="H304" s="9" t="s">
        <v>13</v>
      </c>
      <c r="I304" s="9" t="s">
        <v>680</v>
      </c>
    </row>
    <row r="305" customFormat="false" ht="15.75" hidden="false" customHeight="false" outlineLevel="0" collapsed="false">
      <c r="B305" s="7" t="n">
        <v>46212</v>
      </c>
      <c r="C305" s="3" t="s">
        <v>682</v>
      </c>
      <c r="D305" s="3" t="s">
        <v>9</v>
      </c>
      <c r="E305" s="3" t="s">
        <v>490</v>
      </c>
      <c r="F305" s="3" t="s">
        <v>634</v>
      </c>
      <c r="G305" s="10" t="s">
        <v>679</v>
      </c>
      <c r="H305" s="9" t="s">
        <v>13</v>
      </c>
      <c r="I305" s="9" t="s">
        <v>680</v>
      </c>
    </row>
    <row r="306" customFormat="false" ht="15.75" hidden="false" customHeight="false" outlineLevel="0" collapsed="false">
      <c r="B306" s="7" t="n">
        <v>46212</v>
      </c>
      <c r="C306" s="3" t="s">
        <v>683</v>
      </c>
      <c r="D306" s="3" t="s">
        <v>9</v>
      </c>
      <c r="E306" s="3" t="s">
        <v>490</v>
      </c>
      <c r="F306" s="3" t="s">
        <v>634</v>
      </c>
      <c r="G306" s="10" t="s">
        <v>684</v>
      </c>
      <c r="H306" s="9" t="s">
        <v>13</v>
      </c>
      <c r="I306" s="9" t="s">
        <v>685</v>
      </c>
    </row>
    <row r="307" customFormat="false" ht="15.75" hidden="false" customHeight="false" outlineLevel="0" collapsed="false">
      <c r="B307" s="7" t="n">
        <v>46212</v>
      </c>
      <c r="C307" s="3" t="s">
        <v>686</v>
      </c>
      <c r="D307" s="3" t="s">
        <v>9</v>
      </c>
      <c r="E307" s="3" t="s">
        <v>490</v>
      </c>
      <c r="F307" s="3" t="s">
        <v>634</v>
      </c>
      <c r="G307" s="10" t="s">
        <v>684</v>
      </c>
      <c r="H307" s="9" t="s">
        <v>13</v>
      </c>
      <c r="I307" s="9" t="s">
        <v>685</v>
      </c>
    </row>
    <row r="308" customFormat="false" ht="15.75" hidden="false" customHeight="false" outlineLevel="0" collapsed="false">
      <c r="B308" s="7" t="n">
        <v>46212</v>
      </c>
      <c r="C308" s="3" t="s">
        <v>687</v>
      </c>
      <c r="D308" s="3" t="s">
        <v>9</v>
      </c>
      <c r="E308" s="3" t="s">
        <v>490</v>
      </c>
      <c r="F308" s="3" t="s">
        <v>634</v>
      </c>
      <c r="G308" s="10" t="s">
        <v>684</v>
      </c>
      <c r="H308" s="9" t="s">
        <v>13</v>
      </c>
      <c r="I308" s="9" t="s">
        <v>688</v>
      </c>
    </row>
    <row r="309" customFormat="false" ht="15.75" hidden="false" customHeight="false" outlineLevel="0" collapsed="false">
      <c r="B309" s="7" t="n">
        <v>46212</v>
      </c>
      <c r="C309" s="3" t="s">
        <v>689</v>
      </c>
      <c r="D309" s="3" t="s">
        <v>9</v>
      </c>
      <c r="E309" s="3" t="s">
        <v>490</v>
      </c>
      <c r="F309" s="3" t="s">
        <v>634</v>
      </c>
      <c r="G309" s="10" t="s">
        <v>684</v>
      </c>
      <c r="H309" s="9" t="s">
        <v>13</v>
      </c>
      <c r="I309" s="9" t="s">
        <v>688</v>
      </c>
    </row>
    <row r="310" customFormat="false" ht="15.75" hidden="false" customHeight="false" outlineLevel="0" collapsed="false">
      <c r="B310" s="7" t="n">
        <v>46212</v>
      </c>
      <c r="C310" s="3" t="s">
        <v>690</v>
      </c>
      <c r="D310" s="3" t="s">
        <v>9</v>
      </c>
      <c r="E310" s="3" t="s">
        <v>490</v>
      </c>
      <c r="F310" s="3" t="s">
        <v>634</v>
      </c>
      <c r="G310" s="8" t="s">
        <v>691</v>
      </c>
      <c r="H310" s="9" t="s">
        <v>13</v>
      </c>
      <c r="I310" s="9" t="s">
        <v>692</v>
      </c>
    </row>
    <row r="311" customFormat="false" ht="15.75" hidden="false" customHeight="false" outlineLevel="0" collapsed="false">
      <c r="B311" s="7" t="n">
        <v>46212</v>
      </c>
      <c r="C311" s="3" t="s">
        <v>693</v>
      </c>
      <c r="D311" s="3" t="s">
        <v>9</v>
      </c>
      <c r="E311" s="3" t="s">
        <v>490</v>
      </c>
      <c r="F311" s="3" t="s">
        <v>634</v>
      </c>
      <c r="G311" s="10" t="s">
        <v>694</v>
      </c>
      <c r="H311" s="9" t="s">
        <v>13</v>
      </c>
      <c r="I311" s="9" t="s">
        <v>695</v>
      </c>
    </row>
    <row r="312" customFormat="false" ht="15.75" hidden="false" customHeight="false" outlineLevel="0" collapsed="false">
      <c r="B312" s="7" t="n">
        <v>46212</v>
      </c>
      <c r="C312" s="3" t="s">
        <v>696</v>
      </c>
      <c r="D312" s="3" t="s">
        <v>9</v>
      </c>
      <c r="E312" s="3" t="s">
        <v>490</v>
      </c>
      <c r="F312" s="3" t="s">
        <v>634</v>
      </c>
      <c r="G312" s="10" t="s">
        <v>694</v>
      </c>
      <c r="H312" s="9" t="s">
        <v>13</v>
      </c>
      <c r="I312" s="9" t="s">
        <v>697</v>
      </c>
    </row>
    <row r="313" customFormat="false" ht="15.75" hidden="false" customHeight="false" outlineLevel="0" collapsed="false">
      <c r="B313" s="7" t="n">
        <v>46212</v>
      </c>
      <c r="C313" s="3" t="s">
        <v>698</v>
      </c>
      <c r="D313" s="3" t="s">
        <v>9</v>
      </c>
      <c r="E313" s="3" t="s">
        <v>490</v>
      </c>
      <c r="F313" s="3" t="s">
        <v>634</v>
      </c>
      <c r="G313" s="10" t="s">
        <v>699</v>
      </c>
      <c r="H313" s="9" t="s">
        <v>13</v>
      </c>
      <c r="I313" s="9" t="s">
        <v>700</v>
      </c>
    </row>
    <row r="314" customFormat="false" ht="15.75" hidden="false" customHeight="false" outlineLevel="0" collapsed="false">
      <c r="B314" s="7" t="n">
        <v>46212</v>
      </c>
      <c r="C314" s="3" t="s">
        <v>701</v>
      </c>
      <c r="D314" s="3" t="s">
        <v>9</v>
      </c>
      <c r="E314" s="3" t="s">
        <v>490</v>
      </c>
      <c r="F314" s="3" t="s">
        <v>634</v>
      </c>
      <c r="G314" s="10" t="s">
        <v>702</v>
      </c>
      <c r="H314" s="9" t="s">
        <v>13</v>
      </c>
      <c r="I314" s="9" t="s">
        <v>703</v>
      </c>
    </row>
    <row r="315" customFormat="false" ht="15.75" hidden="false" customHeight="false" outlineLevel="0" collapsed="false">
      <c r="B315" s="7" t="n">
        <v>46212</v>
      </c>
      <c r="C315" s="3" t="s">
        <v>704</v>
      </c>
      <c r="D315" s="3" t="s">
        <v>9</v>
      </c>
      <c r="E315" s="3" t="s">
        <v>490</v>
      </c>
      <c r="F315" s="3" t="s">
        <v>634</v>
      </c>
      <c r="G315" s="10" t="s">
        <v>702</v>
      </c>
      <c r="H315" s="9" t="s">
        <v>13</v>
      </c>
      <c r="I315" s="9" t="s">
        <v>703</v>
      </c>
    </row>
    <row r="316" customFormat="false" ht="15.75" hidden="false" customHeight="false" outlineLevel="0" collapsed="false">
      <c r="B316" s="7" t="n">
        <v>46212</v>
      </c>
      <c r="C316" s="3" t="s">
        <v>705</v>
      </c>
      <c r="D316" s="3" t="s">
        <v>9</v>
      </c>
      <c r="E316" s="3" t="s">
        <v>490</v>
      </c>
      <c r="F316" s="3" t="s">
        <v>634</v>
      </c>
      <c r="G316" s="10" t="s">
        <v>702</v>
      </c>
      <c r="H316" s="9" t="s">
        <v>13</v>
      </c>
      <c r="I316" s="9" t="s">
        <v>703</v>
      </c>
    </row>
    <row r="317" customFormat="false" ht="15.75" hidden="false" customHeight="false" outlineLevel="0" collapsed="false">
      <c r="B317" s="7" t="n">
        <v>46212</v>
      </c>
      <c r="C317" s="3" t="s">
        <v>706</v>
      </c>
      <c r="D317" s="3" t="s">
        <v>9</v>
      </c>
      <c r="E317" s="3" t="s">
        <v>490</v>
      </c>
      <c r="F317" s="3" t="s">
        <v>634</v>
      </c>
      <c r="G317" s="10" t="s">
        <v>702</v>
      </c>
      <c r="H317" s="9" t="s">
        <v>13</v>
      </c>
      <c r="I317" s="9" t="s">
        <v>703</v>
      </c>
    </row>
    <row r="318" customFormat="false" ht="15.75" hidden="false" customHeight="false" outlineLevel="0" collapsed="false">
      <c r="B318" s="7" t="n">
        <v>46210</v>
      </c>
      <c r="C318" s="3" t="s">
        <v>707</v>
      </c>
      <c r="D318" s="3" t="s">
        <v>9</v>
      </c>
      <c r="E318" s="3" t="s">
        <v>708</v>
      </c>
      <c r="F318" s="3" t="s">
        <v>709</v>
      </c>
      <c r="G318" s="10" t="s">
        <v>710</v>
      </c>
      <c r="H318" s="9" t="s">
        <v>13</v>
      </c>
      <c r="I318" s="9" t="s">
        <v>711</v>
      </c>
    </row>
    <row r="319" customFormat="false" ht="15.75" hidden="false" customHeight="false" outlineLevel="0" collapsed="false">
      <c r="B319" s="7" t="n">
        <v>46210</v>
      </c>
      <c r="C319" s="3" t="s">
        <v>712</v>
      </c>
      <c r="D319" s="3" t="s">
        <v>9</v>
      </c>
      <c r="E319" s="3" t="s">
        <v>708</v>
      </c>
      <c r="F319" s="3" t="s">
        <v>709</v>
      </c>
      <c r="G319" s="8" t="s">
        <v>713</v>
      </c>
      <c r="H319" s="9" t="s">
        <v>13</v>
      </c>
      <c r="I319" s="9" t="s">
        <v>714</v>
      </c>
    </row>
    <row r="320" customFormat="false" ht="15.75" hidden="false" customHeight="false" outlineLevel="0" collapsed="false">
      <c r="B320" s="7" t="n">
        <v>46210</v>
      </c>
      <c r="C320" s="3" t="s">
        <v>715</v>
      </c>
      <c r="D320" s="3" t="s">
        <v>9</v>
      </c>
      <c r="E320" s="3" t="s">
        <v>708</v>
      </c>
      <c r="F320" s="3" t="s">
        <v>709</v>
      </c>
      <c r="G320" s="10" t="s">
        <v>716</v>
      </c>
      <c r="H320" s="9" t="s">
        <v>13</v>
      </c>
      <c r="I320" s="9" t="s">
        <v>717</v>
      </c>
    </row>
    <row r="321" customFormat="false" ht="15.75" hidden="false" customHeight="false" outlineLevel="0" collapsed="false">
      <c r="B321" s="7" t="n">
        <v>46210</v>
      </c>
      <c r="C321" s="3" t="s">
        <v>718</v>
      </c>
      <c r="D321" s="3" t="s">
        <v>9</v>
      </c>
      <c r="E321" s="3" t="s">
        <v>708</v>
      </c>
      <c r="F321" s="3" t="s">
        <v>709</v>
      </c>
      <c r="G321" s="10" t="s">
        <v>716</v>
      </c>
      <c r="H321" s="9" t="s">
        <v>13</v>
      </c>
      <c r="I321" s="9" t="s">
        <v>717</v>
      </c>
    </row>
    <row r="322" customFormat="false" ht="15.75" hidden="false" customHeight="false" outlineLevel="0" collapsed="false">
      <c r="B322" s="7" t="n">
        <v>46210</v>
      </c>
      <c r="C322" s="3" t="s">
        <v>719</v>
      </c>
      <c r="D322" s="3" t="s">
        <v>9</v>
      </c>
      <c r="E322" s="3" t="s">
        <v>708</v>
      </c>
      <c r="F322" s="3" t="s">
        <v>709</v>
      </c>
      <c r="G322" s="8" t="s">
        <v>720</v>
      </c>
      <c r="H322" s="9" t="s">
        <v>13</v>
      </c>
      <c r="I322" s="9" t="s">
        <v>721</v>
      </c>
    </row>
    <row r="323" customFormat="false" ht="15.75" hidden="false" customHeight="false" outlineLevel="0" collapsed="false">
      <c r="B323" s="7" t="n">
        <v>46210</v>
      </c>
      <c r="C323" s="3" t="s">
        <v>722</v>
      </c>
      <c r="D323" s="3" t="s">
        <v>9</v>
      </c>
      <c r="E323" s="3" t="s">
        <v>708</v>
      </c>
      <c r="F323" s="3" t="s">
        <v>709</v>
      </c>
      <c r="G323" s="8" t="s">
        <v>720</v>
      </c>
      <c r="H323" s="9" t="s">
        <v>13</v>
      </c>
      <c r="I323" s="9" t="s">
        <v>721</v>
      </c>
    </row>
    <row r="324" customFormat="false" ht="15.75" hidden="false" customHeight="false" outlineLevel="0" collapsed="false">
      <c r="B324" s="7" t="n">
        <v>46210</v>
      </c>
      <c r="C324" s="3" t="s">
        <v>723</v>
      </c>
      <c r="D324" s="3" t="s">
        <v>9</v>
      </c>
      <c r="E324" s="3" t="s">
        <v>708</v>
      </c>
      <c r="F324" s="3" t="s">
        <v>709</v>
      </c>
      <c r="G324" s="10" t="s">
        <v>724</v>
      </c>
      <c r="H324" s="9" t="s">
        <v>13</v>
      </c>
      <c r="I324" s="9" t="s">
        <v>725</v>
      </c>
    </row>
    <row r="325" customFormat="false" ht="15.75" hidden="false" customHeight="false" outlineLevel="0" collapsed="false">
      <c r="B325" s="7" t="n">
        <v>46210</v>
      </c>
      <c r="C325" s="3" t="s">
        <v>726</v>
      </c>
      <c r="D325" s="3" t="s">
        <v>9</v>
      </c>
      <c r="E325" s="3" t="s">
        <v>708</v>
      </c>
      <c r="F325" s="3" t="s">
        <v>709</v>
      </c>
      <c r="G325" s="10" t="s">
        <v>724</v>
      </c>
      <c r="H325" s="9" t="s">
        <v>13</v>
      </c>
      <c r="I325" s="9" t="s">
        <v>727</v>
      </c>
    </row>
    <row r="326" customFormat="false" ht="15.75" hidden="false" customHeight="false" outlineLevel="0" collapsed="false">
      <c r="B326" s="7" t="n">
        <v>46210</v>
      </c>
      <c r="C326" s="3" t="s">
        <v>728</v>
      </c>
      <c r="D326" s="3" t="s">
        <v>9</v>
      </c>
      <c r="E326" s="3" t="s">
        <v>708</v>
      </c>
      <c r="F326" s="3" t="s">
        <v>709</v>
      </c>
      <c r="G326" s="10" t="s">
        <v>100</v>
      </c>
      <c r="H326" s="9" t="s">
        <v>13</v>
      </c>
      <c r="I326" s="9" t="s">
        <v>729</v>
      </c>
    </row>
    <row r="327" customFormat="false" ht="15.75" hidden="false" customHeight="false" outlineLevel="0" collapsed="false">
      <c r="B327" s="7" t="n">
        <v>46210</v>
      </c>
      <c r="C327" s="3" t="s">
        <v>730</v>
      </c>
      <c r="D327" s="3" t="s">
        <v>9</v>
      </c>
      <c r="E327" s="3" t="s">
        <v>708</v>
      </c>
      <c r="F327" s="3" t="s">
        <v>709</v>
      </c>
      <c r="G327" s="10" t="s">
        <v>724</v>
      </c>
      <c r="H327" s="9" t="s">
        <v>13</v>
      </c>
      <c r="I327" s="9" t="s">
        <v>731</v>
      </c>
    </row>
    <row r="328" customFormat="false" ht="15.75" hidden="false" customHeight="false" outlineLevel="0" collapsed="false">
      <c r="B328" s="7" t="n">
        <v>46210</v>
      </c>
      <c r="C328" s="3" t="s">
        <v>732</v>
      </c>
      <c r="D328" s="3" t="s">
        <v>9</v>
      </c>
      <c r="E328" s="3" t="s">
        <v>708</v>
      </c>
      <c r="F328" s="3" t="s">
        <v>709</v>
      </c>
      <c r="G328" s="10" t="s">
        <v>724</v>
      </c>
      <c r="H328" s="9" t="s">
        <v>13</v>
      </c>
      <c r="I328" s="9" t="s">
        <v>733</v>
      </c>
    </row>
    <row r="329" customFormat="false" ht="15.75" hidden="false" customHeight="false" outlineLevel="0" collapsed="false">
      <c r="B329" s="7" t="n">
        <v>46210</v>
      </c>
      <c r="C329" s="3" t="s">
        <v>734</v>
      </c>
      <c r="D329" s="3" t="s">
        <v>9</v>
      </c>
      <c r="E329" s="3" t="s">
        <v>708</v>
      </c>
      <c r="F329" s="3" t="s">
        <v>709</v>
      </c>
      <c r="G329" s="10" t="s">
        <v>735</v>
      </c>
      <c r="H329" s="9" t="s">
        <v>13</v>
      </c>
      <c r="I329" s="9" t="s">
        <v>736</v>
      </c>
    </row>
    <row r="330" customFormat="false" ht="15.75" hidden="false" customHeight="false" outlineLevel="0" collapsed="false">
      <c r="B330" s="7" t="n">
        <v>46210</v>
      </c>
      <c r="C330" s="3" t="s">
        <v>737</v>
      </c>
      <c r="D330" s="3" t="s">
        <v>9</v>
      </c>
      <c r="E330" s="3" t="s">
        <v>708</v>
      </c>
      <c r="F330" s="3" t="s">
        <v>709</v>
      </c>
      <c r="G330" s="10" t="s">
        <v>738</v>
      </c>
      <c r="H330" s="9" t="s">
        <v>13</v>
      </c>
      <c r="I330" s="9" t="s">
        <v>739</v>
      </c>
    </row>
    <row r="331" customFormat="false" ht="15.75" hidden="false" customHeight="false" outlineLevel="0" collapsed="false">
      <c r="B331" s="7" t="n">
        <v>46210</v>
      </c>
      <c r="C331" s="3" t="s">
        <v>740</v>
      </c>
      <c r="D331" s="3" t="s">
        <v>9</v>
      </c>
      <c r="E331" s="3" t="s">
        <v>708</v>
      </c>
      <c r="F331" s="3" t="s">
        <v>709</v>
      </c>
      <c r="G331" s="10" t="s">
        <v>741</v>
      </c>
      <c r="H331" s="9" t="s">
        <v>13</v>
      </c>
      <c r="I331" s="9" t="s">
        <v>742</v>
      </c>
    </row>
    <row r="332" customFormat="false" ht="15.75" hidden="false" customHeight="false" outlineLevel="0" collapsed="false">
      <c r="B332" s="7" t="n">
        <v>46210</v>
      </c>
      <c r="C332" s="3" t="s">
        <v>743</v>
      </c>
      <c r="D332" s="3" t="s">
        <v>9</v>
      </c>
      <c r="E332" s="3" t="s">
        <v>708</v>
      </c>
      <c r="F332" s="3" t="s">
        <v>709</v>
      </c>
      <c r="G332" s="10" t="s">
        <v>744</v>
      </c>
      <c r="H332" s="9" t="s">
        <v>13</v>
      </c>
      <c r="I332" s="9" t="s">
        <v>745</v>
      </c>
    </row>
    <row r="333" customFormat="false" ht="15.75" hidden="false" customHeight="false" outlineLevel="0" collapsed="false">
      <c r="B333" s="7" t="n">
        <v>46210</v>
      </c>
      <c r="C333" s="3" t="s">
        <v>746</v>
      </c>
      <c r="D333" s="3" t="s">
        <v>9</v>
      </c>
      <c r="E333" s="3" t="s">
        <v>708</v>
      </c>
      <c r="F333" s="3" t="s">
        <v>709</v>
      </c>
      <c r="G333" s="10" t="s">
        <v>747</v>
      </c>
      <c r="H333" s="9" t="s">
        <v>13</v>
      </c>
      <c r="I333" s="9" t="s">
        <v>748</v>
      </c>
    </row>
    <row r="334" customFormat="false" ht="15.75" hidden="false" customHeight="false" outlineLevel="0" collapsed="false">
      <c r="B334" s="7" t="n">
        <v>46210</v>
      </c>
      <c r="C334" s="3" t="s">
        <v>749</v>
      </c>
      <c r="D334" s="3" t="s">
        <v>9</v>
      </c>
      <c r="E334" s="3" t="s">
        <v>708</v>
      </c>
      <c r="F334" s="3" t="s">
        <v>709</v>
      </c>
      <c r="G334" s="10" t="s">
        <v>750</v>
      </c>
      <c r="H334" s="9" t="s">
        <v>13</v>
      </c>
      <c r="I334" s="9" t="s">
        <v>751</v>
      </c>
    </row>
    <row r="335" customFormat="false" ht="15.75" hidden="false" customHeight="false" outlineLevel="0" collapsed="false">
      <c r="B335" s="7" t="n">
        <v>46210</v>
      </c>
      <c r="C335" s="3" t="s">
        <v>752</v>
      </c>
      <c r="D335" s="3" t="s">
        <v>9</v>
      </c>
      <c r="E335" s="3" t="s">
        <v>708</v>
      </c>
      <c r="F335" s="3" t="s">
        <v>709</v>
      </c>
      <c r="G335" s="10" t="s">
        <v>750</v>
      </c>
      <c r="H335" s="9" t="s">
        <v>13</v>
      </c>
      <c r="I335" s="9" t="s">
        <v>751</v>
      </c>
    </row>
    <row r="336" customFormat="false" ht="15.75" hidden="false" customHeight="false" outlineLevel="0" collapsed="false">
      <c r="B336" s="7" t="n">
        <v>46210</v>
      </c>
      <c r="C336" s="3" t="s">
        <v>753</v>
      </c>
      <c r="D336" s="3" t="s">
        <v>9</v>
      </c>
      <c r="E336" s="3" t="s">
        <v>708</v>
      </c>
      <c r="F336" s="3" t="s">
        <v>709</v>
      </c>
      <c r="G336" s="10" t="s">
        <v>754</v>
      </c>
      <c r="H336" s="9" t="s">
        <v>13</v>
      </c>
      <c r="I336" s="9" t="s">
        <v>755</v>
      </c>
    </row>
    <row r="337" customFormat="false" ht="15.75" hidden="false" customHeight="false" outlineLevel="0" collapsed="false">
      <c r="B337" s="7" t="n">
        <v>46210</v>
      </c>
      <c r="C337" s="3" t="s">
        <v>756</v>
      </c>
      <c r="D337" s="3" t="s">
        <v>9</v>
      </c>
      <c r="E337" s="3" t="s">
        <v>708</v>
      </c>
      <c r="F337" s="3" t="s">
        <v>709</v>
      </c>
      <c r="G337" s="10" t="s">
        <v>724</v>
      </c>
      <c r="H337" s="9" t="s">
        <v>13</v>
      </c>
      <c r="I337" s="9" t="s">
        <v>757</v>
      </c>
    </row>
    <row r="338" customFormat="false" ht="15.75" hidden="false" customHeight="false" outlineLevel="0" collapsed="false">
      <c r="B338" s="7" t="n">
        <v>46210</v>
      </c>
      <c r="C338" s="3" t="s">
        <v>758</v>
      </c>
      <c r="D338" s="3" t="s">
        <v>9</v>
      </c>
      <c r="E338" s="3" t="s">
        <v>708</v>
      </c>
      <c r="F338" s="3" t="s">
        <v>709</v>
      </c>
      <c r="G338" s="8" t="s">
        <v>759</v>
      </c>
      <c r="H338" s="9" t="s">
        <v>13</v>
      </c>
      <c r="I338" s="9" t="s">
        <v>760</v>
      </c>
    </row>
    <row r="339" customFormat="false" ht="15.75" hidden="false" customHeight="false" outlineLevel="0" collapsed="false">
      <c r="B339" s="7" t="n">
        <v>46210</v>
      </c>
      <c r="C339" s="3" t="s">
        <v>761</v>
      </c>
      <c r="D339" s="3" t="s">
        <v>9</v>
      </c>
      <c r="E339" s="3" t="s">
        <v>708</v>
      </c>
      <c r="F339" s="3" t="s">
        <v>709</v>
      </c>
      <c r="G339" s="10" t="s">
        <v>762</v>
      </c>
      <c r="H339" s="9" t="s">
        <v>13</v>
      </c>
      <c r="I339" s="9" t="s">
        <v>763</v>
      </c>
    </row>
    <row r="340" customFormat="false" ht="15.75" hidden="false" customHeight="false" outlineLevel="0" collapsed="false">
      <c r="B340" s="7" t="n">
        <v>46210</v>
      </c>
      <c r="C340" s="3" t="s">
        <v>764</v>
      </c>
      <c r="D340" s="3" t="s">
        <v>9</v>
      </c>
      <c r="E340" s="3" t="s">
        <v>708</v>
      </c>
      <c r="F340" s="3" t="s">
        <v>709</v>
      </c>
      <c r="G340" s="10" t="s">
        <v>762</v>
      </c>
      <c r="H340" s="9" t="s">
        <v>13</v>
      </c>
      <c r="I340" s="9" t="s">
        <v>763</v>
      </c>
    </row>
    <row r="341" customFormat="false" ht="15.75" hidden="false" customHeight="false" outlineLevel="0" collapsed="false">
      <c r="B341" s="7" t="n">
        <v>46210</v>
      </c>
      <c r="C341" s="3" t="s">
        <v>765</v>
      </c>
      <c r="D341" s="3" t="s">
        <v>9</v>
      </c>
      <c r="E341" s="3" t="s">
        <v>708</v>
      </c>
      <c r="F341" s="3" t="s">
        <v>709</v>
      </c>
      <c r="G341" s="10" t="s">
        <v>762</v>
      </c>
      <c r="H341" s="9" t="s">
        <v>13</v>
      </c>
      <c r="I341" s="9" t="s">
        <v>763</v>
      </c>
    </row>
    <row r="342" customFormat="false" ht="15.75" hidden="false" customHeight="false" outlineLevel="0" collapsed="false">
      <c r="B342" s="7" t="n">
        <v>46210</v>
      </c>
      <c r="C342" s="3" t="s">
        <v>766</v>
      </c>
      <c r="D342" s="3" t="s">
        <v>9</v>
      </c>
      <c r="E342" s="3" t="s">
        <v>708</v>
      </c>
      <c r="F342" s="3" t="s">
        <v>709</v>
      </c>
      <c r="G342" s="10" t="s">
        <v>767</v>
      </c>
      <c r="H342" s="9" t="s">
        <v>13</v>
      </c>
      <c r="I342" s="9" t="s">
        <v>768</v>
      </c>
    </row>
    <row r="343" customFormat="false" ht="15.75" hidden="false" customHeight="false" outlineLevel="0" collapsed="false">
      <c r="B343" s="7" t="n">
        <v>46210</v>
      </c>
      <c r="C343" s="3" t="s">
        <v>769</v>
      </c>
      <c r="D343" s="3" t="s">
        <v>9</v>
      </c>
      <c r="E343" s="3" t="s">
        <v>708</v>
      </c>
      <c r="F343" s="3" t="s">
        <v>709</v>
      </c>
      <c r="G343" s="10" t="s">
        <v>770</v>
      </c>
      <c r="H343" s="9" t="s">
        <v>13</v>
      </c>
      <c r="I343" s="9" t="s">
        <v>771</v>
      </c>
    </row>
    <row r="344" customFormat="false" ht="15.75" hidden="false" customHeight="false" outlineLevel="0" collapsed="false">
      <c r="B344" s="7" t="n">
        <v>46210</v>
      </c>
      <c r="C344" s="3" t="s">
        <v>772</v>
      </c>
      <c r="D344" s="3" t="s">
        <v>9</v>
      </c>
      <c r="E344" s="3" t="s">
        <v>708</v>
      </c>
      <c r="F344" s="3" t="s">
        <v>709</v>
      </c>
      <c r="G344" s="10" t="s">
        <v>770</v>
      </c>
      <c r="H344" s="9" t="s">
        <v>13</v>
      </c>
      <c r="I344" s="9" t="s">
        <v>771</v>
      </c>
    </row>
    <row r="345" customFormat="false" ht="15.75" hidden="false" customHeight="false" outlineLevel="0" collapsed="false">
      <c r="B345" s="7" t="n">
        <v>46210</v>
      </c>
      <c r="C345" s="3" t="s">
        <v>773</v>
      </c>
      <c r="D345" s="3" t="s">
        <v>9</v>
      </c>
      <c r="E345" s="3" t="s">
        <v>708</v>
      </c>
      <c r="F345" s="3" t="s">
        <v>709</v>
      </c>
      <c r="G345" s="10" t="s">
        <v>767</v>
      </c>
      <c r="H345" s="9" t="s">
        <v>13</v>
      </c>
      <c r="I345" s="9" t="s">
        <v>774</v>
      </c>
    </row>
    <row r="346" customFormat="false" ht="15.75" hidden="false" customHeight="false" outlineLevel="0" collapsed="false">
      <c r="B346" s="7" t="n">
        <v>46210</v>
      </c>
      <c r="C346" s="3" t="s">
        <v>775</v>
      </c>
      <c r="D346" s="3" t="s">
        <v>9</v>
      </c>
      <c r="E346" s="3" t="s">
        <v>708</v>
      </c>
      <c r="F346" s="3" t="s">
        <v>709</v>
      </c>
      <c r="G346" s="10" t="s">
        <v>776</v>
      </c>
      <c r="H346" s="9" t="s">
        <v>13</v>
      </c>
      <c r="I346" s="9" t="s">
        <v>777</v>
      </c>
    </row>
    <row r="347" customFormat="false" ht="15.75" hidden="false" customHeight="false" outlineLevel="0" collapsed="false">
      <c r="B347" s="7" t="n">
        <v>46210</v>
      </c>
      <c r="C347" s="3" t="s">
        <v>778</v>
      </c>
      <c r="D347" s="3" t="s">
        <v>9</v>
      </c>
      <c r="E347" s="3" t="s">
        <v>708</v>
      </c>
      <c r="F347" s="3" t="s">
        <v>709</v>
      </c>
      <c r="G347" s="10" t="s">
        <v>779</v>
      </c>
      <c r="H347" s="9" t="s">
        <v>13</v>
      </c>
      <c r="I347" s="9" t="s">
        <v>780</v>
      </c>
    </row>
    <row r="348" customFormat="false" ht="15.75" hidden="false" customHeight="false" outlineLevel="0" collapsed="false">
      <c r="B348" s="7" t="n">
        <v>46210</v>
      </c>
      <c r="C348" s="3" t="s">
        <v>781</v>
      </c>
      <c r="D348" s="3" t="s">
        <v>9</v>
      </c>
      <c r="E348" s="3" t="s">
        <v>708</v>
      </c>
      <c r="F348" s="3" t="s">
        <v>709</v>
      </c>
      <c r="G348" s="10" t="s">
        <v>782</v>
      </c>
      <c r="H348" s="9" t="s">
        <v>13</v>
      </c>
      <c r="I348" s="9" t="s">
        <v>783</v>
      </c>
    </row>
    <row r="349" customFormat="false" ht="15.75" hidden="false" customHeight="false" outlineLevel="0" collapsed="false">
      <c r="B349" s="7" t="n">
        <v>46210</v>
      </c>
      <c r="C349" s="3" t="s">
        <v>784</v>
      </c>
      <c r="D349" s="3" t="s">
        <v>9</v>
      </c>
      <c r="E349" s="3" t="s">
        <v>708</v>
      </c>
      <c r="F349" s="3" t="s">
        <v>709</v>
      </c>
      <c r="G349" s="10" t="s">
        <v>782</v>
      </c>
      <c r="H349" s="9" t="s">
        <v>13</v>
      </c>
      <c r="I349" s="9" t="s">
        <v>785</v>
      </c>
    </row>
    <row r="350" customFormat="false" ht="15.75" hidden="false" customHeight="false" outlineLevel="0" collapsed="false">
      <c r="B350" s="7" t="n">
        <v>46210</v>
      </c>
      <c r="C350" s="3" t="s">
        <v>786</v>
      </c>
      <c r="D350" s="3" t="s">
        <v>9</v>
      </c>
      <c r="E350" s="3" t="s">
        <v>708</v>
      </c>
      <c r="F350" s="3" t="s">
        <v>709</v>
      </c>
      <c r="G350" s="10" t="s">
        <v>782</v>
      </c>
      <c r="H350" s="9" t="s">
        <v>13</v>
      </c>
      <c r="I350" s="9" t="s">
        <v>787</v>
      </c>
    </row>
    <row r="351" customFormat="false" ht="15.75" hidden="false" customHeight="false" outlineLevel="0" collapsed="false">
      <c r="B351" s="7" t="n">
        <v>46210</v>
      </c>
      <c r="C351" s="3" t="s">
        <v>788</v>
      </c>
      <c r="D351" s="3" t="s">
        <v>9</v>
      </c>
      <c r="E351" s="3" t="s">
        <v>708</v>
      </c>
      <c r="F351" s="3" t="s">
        <v>709</v>
      </c>
      <c r="G351" s="10" t="s">
        <v>789</v>
      </c>
      <c r="H351" s="9" t="s">
        <v>13</v>
      </c>
      <c r="I351" s="9" t="s">
        <v>790</v>
      </c>
    </row>
    <row r="352" customFormat="false" ht="15.75" hidden="false" customHeight="false" outlineLevel="0" collapsed="false">
      <c r="B352" s="7" t="n">
        <v>46210</v>
      </c>
      <c r="C352" s="3" t="s">
        <v>791</v>
      </c>
      <c r="D352" s="3" t="s">
        <v>9</v>
      </c>
      <c r="E352" s="3" t="s">
        <v>708</v>
      </c>
      <c r="F352" s="3" t="s">
        <v>709</v>
      </c>
      <c r="G352" s="10" t="s">
        <v>792</v>
      </c>
      <c r="H352" s="9" t="s">
        <v>13</v>
      </c>
      <c r="I352" s="9" t="s">
        <v>793</v>
      </c>
    </row>
    <row r="353" customFormat="false" ht="15.75" hidden="false" customHeight="false" outlineLevel="0" collapsed="false">
      <c r="B353" s="7" t="n">
        <v>46212</v>
      </c>
      <c r="C353" s="3" t="s">
        <v>794</v>
      </c>
      <c r="D353" s="3" t="s">
        <v>9</v>
      </c>
      <c r="E353" s="3" t="s">
        <v>795</v>
      </c>
      <c r="F353" s="3" t="s">
        <v>796</v>
      </c>
      <c r="G353" s="10" t="s">
        <v>797</v>
      </c>
      <c r="H353" s="9" t="s">
        <v>13</v>
      </c>
      <c r="I353" s="9" t="s">
        <v>798</v>
      </c>
    </row>
    <row r="354" customFormat="false" ht="15.75" hidden="false" customHeight="false" outlineLevel="0" collapsed="false">
      <c r="B354" s="7" t="n">
        <v>46212</v>
      </c>
      <c r="C354" s="3" t="s">
        <v>799</v>
      </c>
      <c r="D354" s="3" t="s">
        <v>9</v>
      </c>
      <c r="E354" s="3" t="s">
        <v>795</v>
      </c>
      <c r="F354" s="3" t="s">
        <v>796</v>
      </c>
      <c r="G354" s="10" t="s">
        <v>800</v>
      </c>
      <c r="H354" s="9" t="s">
        <v>13</v>
      </c>
      <c r="I354" s="9" t="s">
        <v>801</v>
      </c>
    </row>
    <row r="355" customFormat="false" ht="15.75" hidden="false" customHeight="false" outlineLevel="0" collapsed="false">
      <c r="B355" s="7" t="n">
        <v>46212</v>
      </c>
      <c r="C355" s="3" t="s">
        <v>802</v>
      </c>
      <c r="D355" s="3" t="s">
        <v>9</v>
      </c>
      <c r="E355" s="3" t="s">
        <v>795</v>
      </c>
      <c r="F355" s="3" t="s">
        <v>796</v>
      </c>
      <c r="G355" s="10" t="s">
        <v>803</v>
      </c>
      <c r="H355" s="9" t="s">
        <v>13</v>
      </c>
      <c r="I355" s="9" t="s">
        <v>804</v>
      </c>
    </row>
    <row r="356" customFormat="false" ht="15.75" hidden="false" customHeight="false" outlineLevel="0" collapsed="false">
      <c r="B356" s="7" t="n">
        <v>46212</v>
      </c>
      <c r="C356" s="3" t="s">
        <v>805</v>
      </c>
      <c r="D356" s="3" t="s">
        <v>9</v>
      </c>
      <c r="E356" s="3" t="s">
        <v>795</v>
      </c>
      <c r="F356" s="3" t="s">
        <v>796</v>
      </c>
      <c r="G356" s="10" t="s">
        <v>803</v>
      </c>
      <c r="H356" s="9" t="s">
        <v>13</v>
      </c>
      <c r="I356" s="9" t="s">
        <v>806</v>
      </c>
    </row>
    <row r="357" customFormat="false" ht="15.75" hidden="false" customHeight="false" outlineLevel="0" collapsed="false">
      <c r="B357" s="7" t="n">
        <v>46212</v>
      </c>
      <c r="C357" s="3" t="s">
        <v>807</v>
      </c>
      <c r="D357" s="3" t="s">
        <v>9</v>
      </c>
      <c r="E357" s="3" t="s">
        <v>795</v>
      </c>
      <c r="F357" s="3" t="s">
        <v>796</v>
      </c>
      <c r="G357" s="10" t="s">
        <v>808</v>
      </c>
      <c r="H357" s="9" t="s">
        <v>13</v>
      </c>
      <c r="I357" s="9" t="s">
        <v>809</v>
      </c>
    </row>
    <row r="358" customFormat="false" ht="15.75" hidden="false" customHeight="false" outlineLevel="0" collapsed="false">
      <c r="B358" s="7" t="n">
        <v>46212</v>
      </c>
      <c r="C358" s="3" t="s">
        <v>810</v>
      </c>
      <c r="D358" s="3" t="s">
        <v>9</v>
      </c>
      <c r="E358" s="3" t="s">
        <v>795</v>
      </c>
      <c r="F358" s="3" t="s">
        <v>796</v>
      </c>
      <c r="G358" s="10" t="s">
        <v>811</v>
      </c>
      <c r="H358" s="9" t="s">
        <v>13</v>
      </c>
      <c r="I358" s="9" t="s">
        <v>812</v>
      </c>
    </row>
    <row r="359" customFormat="false" ht="15.75" hidden="false" customHeight="false" outlineLevel="0" collapsed="false">
      <c r="B359" s="7" t="n">
        <v>46212</v>
      </c>
      <c r="C359" s="3" t="s">
        <v>813</v>
      </c>
      <c r="D359" s="3" t="s">
        <v>9</v>
      </c>
      <c r="E359" s="3" t="s">
        <v>795</v>
      </c>
      <c r="F359" s="3" t="s">
        <v>796</v>
      </c>
      <c r="G359" s="10" t="s">
        <v>811</v>
      </c>
      <c r="H359" s="9" t="s">
        <v>13</v>
      </c>
      <c r="I359" s="9" t="s">
        <v>812</v>
      </c>
    </row>
    <row r="360" customFormat="false" ht="15.75" hidden="false" customHeight="false" outlineLevel="0" collapsed="false">
      <c r="B360" s="7" t="n">
        <v>46212</v>
      </c>
      <c r="C360" s="3" t="s">
        <v>814</v>
      </c>
      <c r="D360" s="3" t="s">
        <v>9</v>
      </c>
      <c r="E360" s="3" t="s">
        <v>795</v>
      </c>
      <c r="F360" s="3" t="s">
        <v>796</v>
      </c>
      <c r="G360" s="10" t="s">
        <v>811</v>
      </c>
      <c r="H360" s="9" t="s">
        <v>13</v>
      </c>
      <c r="I360" s="9" t="s">
        <v>812</v>
      </c>
    </row>
    <row r="361" customFormat="false" ht="15.75" hidden="false" customHeight="false" outlineLevel="0" collapsed="false">
      <c r="B361" s="7" t="n">
        <v>46212</v>
      </c>
      <c r="C361" s="3" t="s">
        <v>815</v>
      </c>
      <c r="D361" s="3" t="s">
        <v>9</v>
      </c>
      <c r="E361" s="3" t="s">
        <v>795</v>
      </c>
      <c r="F361" s="3" t="s">
        <v>796</v>
      </c>
      <c r="G361" s="10" t="s">
        <v>811</v>
      </c>
      <c r="H361" s="9" t="s">
        <v>13</v>
      </c>
      <c r="I361" s="9" t="s">
        <v>812</v>
      </c>
    </row>
    <row r="362" customFormat="false" ht="15.75" hidden="false" customHeight="false" outlineLevel="0" collapsed="false">
      <c r="B362" s="7" t="n">
        <v>46212</v>
      </c>
      <c r="C362" s="3" t="s">
        <v>816</v>
      </c>
      <c r="D362" s="3" t="s">
        <v>9</v>
      </c>
      <c r="E362" s="3" t="s">
        <v>795</v>
      </c>
      <c r="F362" s="3" t="s">
        <v>796</v>
      </c>
      <c r="G362" s="10" t="s">
        <v>817</v>
      </c>
      <c r="H362" s="9" t="s">
        <v>13</v>
      </c>
      <c r="I362" s="9" t="s">
        <v>818</v>
      </c>
    </row>
    <row r="363" customFormat="false" ht="15.75" hidden="false" customHeight="false" outlineLevel="0" collapsed="false">
      <c r="B363" s="7" t="n">
        <v>46212</v>
      </c>
      <c r="C363" s="3" t="s">
        <v>819</v>
      </c>
      <c r="D363" s="3" t="s">
        <v>9</v>
      </c>
      <c r="E363" s="3" t="s">
        <v>795</v>
      </c>
      <c r="F363" s="3" t="s">
        <v>796</v>
      </c>
      <c r="G363" s="10" t="s">
        <v>817</v>
      </c>
      <c r="H363" s="9" t="s">
        <v>13</v>
      </c>
      <c r="I363" s="9" t="s">
        <v>818</v>
      </c>
    </row>
    <row r="364" customFormat="false" ht="15.75" hidden="false" customHeight="false" outlineLevel="0" collapsed="false">
      <c r="B364" s="7" t="n">
        <v>46212</v>
      </c>
      <c r="C364" s="3" t="s">
        <v>820</v>
      </c>
      <c r="D364" s="3" t="s">
        <v>9</v>
      </c>
      <c r="E364" s="3" t="s">
        <v>795</v>
      </c>
      <c r="F364" s="3" t="s">
        <v>796</v>
      </c>
      <c r="G364" s="10" t="s">
        <v>817</v>
      </c>
      <c r="H364" s="9" t="s">
        <v>13</v>
      </c>
      <c r="I364" s="9" t="s">
        <v>818</v>
      </c>
    </row>
    <row r="365" customFormat="false" ht="15.75" hidden="false" customHeight="false" outlineLevel="0" collapsed="false">
      <c r="B365" s="7" t="n">
        <v>46212</v>
      </c>
      <c r="C365" s="3" t="s">
        <v>821</v>
      </c>
      <c r="D365" s="3" t="s">
        <v>9</v>
      </c>
      <c r="E365" s="3" t="s">
        <v>795</v>
      </c>
      <c r="F365" s="3" t="s">
        <v>796</v>
      </c>
      <c r="G365" s="10" t="s">
        <v>817</v>
      </c>
      <c r="H365" s="9" t="s">
        <v>13</v>
      </c>
      <c r="I365" s="9" t="s">
        <v>818</v>
      </c>
    </row>
    <row r="366" customFormat="false" ht="15.75" hidden="false" customHeight="false" outlineLevel="0" collapsed="false">
      <c r="B366" s="7" t="n">
        <v>46212</v>
      </c>
      <c r="C366" s="3" t="s">
        <v>822</v>
      </c>
      <c r="D366" s="3" t="s">
        <v>9</v>
      </c>
      <c r="E366" s="3" t="s">
        <v>795</v>
      </c>
      <c r="F366" s="3" t="s">
        <v>796</v>
      </c>
      <c r="G366" s="10" t="s">
        <v>823</v>
      </c>
      <c r="H366" s="9" t="s">
        <v>13</v>
      </c>
      <c r="I366" s="9" t="s">
        <v>824</v>
      </c>
    </row>
    <row r="367" customFormat="false" ht="15.75" hidden="false" customHeight="false" outlineLevel="0" collapsed="false">
      <c r="B367" s="7" t="n">
        <v>46237</v>
      </c>
      <c r="C367" s="3" t="s">
        <v>825</v>
      </c>
      <c r="D367" s="3" t="s">
        <v>9</v>
      </c>
      <c r="E367" s="3" t="s">
        <v>10</v>
      </c>
      <c r="F367" s="3" t="s">
        <v>246</v>
      </c>
      <c r="G367" s="10" t="s">
        <v>826</v>
      </c>
      <c r="H367" s="9" t="s">
        <v>13</v>
      </c>
      <c r="I367" s="9" t="s">
        <v>827</v>
      </c>
    </row>
    <row r="368" customFormat="false" ht="15.75" hidden="false" customHeight="false" outlineLevel="0" collapsed="false">
      <c r="B368" s="7" t="n">
        <v>46212</v>
      </c>
      <c r="C368" s="3" t="s">
        <v>828</v>
      </c>
      <c r="D368" s="3" t="s">
        <v>9</v>
      </c>
      <c r="E368" s="3" t="s">
        <v>795</v>
      </c>
      <c r="F368" s="3" t="s">
        <v>796</v>
      </c>
      <c r="G368" s="10" t="s">
        <v>829</v>
      </c>
      <c r="H368" s="9" t="s">
        <v>13</v>
      </c>
      <c r="I368" s="9" t="s">
        <v>830</v>
      </c>
    </row>
    <row r="369" customFormat="false" ht="15.75" hidden="false" customHeight="false" outlineLevel="0" collapsed="false">
      <c r="B369" s="7" t="n">
        <v>46212</v>
      </c>
      <c r="C369" s="3" t="s">
        <v>831</v>
      </c>
      <c r="D369" s="3" t="s">
        <v>9</v>
      </c>
      <c r="E369" s="3" t="s">
        <v>795</v>
      </c>
      <c r="F369" s="3" t="s">
        <v>796</v>
      </c>
      <c r="G369" s="10" t="s">
        <v>829</v>
      </c>
      <c r="H369" s="9" t="s">
        <v>13</v>
      </c>
      <c r="I369" s="9" t="s">
        <v>830</v>
      </c>
    </row>
    <row r="370" customFormat="false" ht="15.75" hidden="false" customHeight="false" outlineLevel="0" collapsed="false">
      <c r="B370" s="7" t="n">
        <v>46212</v>
      </c>
      <c r="C370" s="3" t="s">
        <v>832</v>
      </c>
      <c r="D370" s="3" t="s">
        <v>9</v>
      </c>
      <c r="E370" s="3" t="s">
        <v>795</v>
      </c>
      <c r="F370" s="3" t="s">
        <v>796</v>
      </c>
      <c r="G370" s="10" t="s">
        <v>833</v>
      </c>
      <c r="H370" s="9" t="s">
        <v>13</v>
      </c>
      <c r="I370" s="9" t="s">
        <v>834</v>
      </c>
    </row>
    <row r="371" customFormat="false" ht="15.75" hidden="false" customHeight="false" outlineLevel="0" collapsed="false">
      <c r="B371" s="7" t="n">
        <v>46237</v>
      </c>
      <c r="C371" s="3" t="s">
        <v>835</v>
      </c>
      <c r="D371" s="3" t="s">
        <v>9</v>
      </c>
      <c r="E371" s="3" t="s">
        <v>10</v>
      </c>
      <c r="F371" s="3" t="s">
        <v>246</v>
      </c>
      <c r="G371" s="10" t="s">
        <v>836</v>
      </c>
      <c r="H371" s="9" t="s">
        <v>13</v>
      </c>
      <c r="I371" s="9" t="s">
        <v>837</v>
      </c>
    </row>
    <row r="372" customFormat="false" ht="15.75" hidden="false" customHeight="false" outlineLevel="0" collapsed="false">
      <c r="B372" s="7" t="n">
        <v>46237</v>
      </c>
      <c r="C372" s="3" t="s">
        <v>838</v>
      </c>
      <c r="D372" s="3" t="s">
        <v>9</v>
      </c>
      <c r="E372" s="3" t="s">
        <v>10</v>
      </c>
      <c r="F372" s="3" t="s">
        <v>246</v>
      </c>
      <c r="G372" s="10" t="s">
        <v>839</v>
      </c>
      <c r="H372" s="9" t="s">
        <v>13</v>
      </c>
      <c r="I372" s="3" t="s">
        <v>840</v>
      </c>
    </row>
    <row r="373" customFormat="false" ht="15.75" hidden="false" customHeight="false" outlineLevel="0" collapsed="false">
      <c r="B373" s="7" t="n">
        <v>46237</v>
      </c>
      <c r="C373" s="3" t="s">
        <v>841</v>
      </c>
      <c r="D373" s="3" t="s">
        <v>9</v>
      </c>
      <c r="E373" s="3" t="s">
        <v>10</v>
      </c>
      <c r="F373" s="3" t="s">
        <v>246</v>
      </c>
      <c r="G373" s="10" t="s">
        <v>842</v>
      </c>
      <c r="H373" s="9" t="s">
        <v>13</v>
      </c>
      <c r="I373" s="9" t="s">
        <v>843</v>
      </c>
    </row>
    <row r="374" customFormat="false" ht="15.75" hidden="false" customHeight="false" outlineLevel="0" collapsed="false">
      <c r="B374" s="7" t="n">
        <v>46212</v>
      </c>
      <c r="C374" s="3" t="s">
        <v>844</v>
      </c>
      <c r="D374" s="3" t="s">
        <v>9</v>
      </c>
      <c r="E374" s="3" t="s">
        <v>795</v>
      </c>
      <c r="F374" s="3" t="s">
        <v>796</v>
      </c>
      <c r="G374" s="10" t="s">
        <v>845</v>
      </c>
      <c r="H374" s="9" t="s">
        <v>13</v>
      </c>
      <c r="I374" s="9" t="s">
        <v>846</v>
      </c>
    </row>
    <row r="375" customFormat="false" ht="15.75" hidden="false" customHeight="false" outlineLevel="0" collapsed="false">
      <c r="B375" s="7" t="n">
        <v>46212</v>
      </c>
      <c r="C375" s="3" t="s">
        <v>847</v>
      </c>
      <c r="D375" s="3" t="s">
        <v>9</v>
      </c>
      <c r="E375" s="3" t="s">
        <v>795</v>
      </c>
      <c r="F375" s="3" t="s">
        <v>796</v>
      </c>
      <c r="G375" s="10" t="s">
        <v>848</v>
      </c>
      <c r="H375" s="9" t="s">
        <v>13</v>
      </c>
      <c r="I375" s="9" t="s">
        <v>849</v>
      </c>
    </row>
    <row r="376" customFormat="false" ht="15.75" hidden="false" customHeight="false" outlineLevel="0" collapsed="false">
      <c r="B376" s="7" t="n">
        <v>46212</v>
      </c>
      <c r="C376" s="3" t="s">
        <v>850</v>
      </c>
      <c r="D376" s="3" t="s">
        <v>9</v>
      </c>
      <c r="E376" s="3" t="s">
        <v>795</v>
      </c>
      <c r="F376" s="3" t="s">
        <v>796</v>
      </c>
      <c r="G376" s="10" t="s">
        <v>848</v>
      </c>
      <c r="H376" s="9" t="s">
        <v>13</v>
      </c>
      <c r="I376" s="9" t="s">
        <v>849</v>
      </c>
    </row>
    <row r="377" customFormat="false" ht="15.75" hidden="false" customHeight="false" outlineLevel="0" collapsed="false">
      <c r="B377" s="7" t="n">
        <v>46212</v>
      </c>
      <c r="C377" s="3" t="s">
        <v>851</v>
      </c>
      <c r="D377" s="3" t="s">
        <v>9</v>
      </c>
      <c r="E377" s="3" t="s">
        <v>795</v>
      </c>
      <c r="F377" s="3" t="s">
        <v>796</v>
      </c>
      <c r="G377" s="10" t="s">
        <v>852</v>
      </c>
      <c r="H377" s="9" t="s">
        <v>13</v>
      </c>
      <c r="I377" s="9" t="s">
        <v>853</v>
      </c>
    </row>
    <row r="378" customFormat="false" ht="15.75" hidden="false" customHeight="false" outlineLevel="0" collapsed="false">
      <c r="B378" s="7" t="n">
        <v>46212</v>
      </c>
      <c r="C378" s="3" t="s">
        <v>854</v>
      </c>
      <c r="D378" s="3" t="s">
        <v>9</v>
      </c>
      <c r="E378" s="3" t="s">
        <v>795</v>
      </c>
      <c r="F378" s="3" t="s">
        <v>796</v>
      </c>
      <c r="G378" s="10" t="s">
        <v>855</v>
      </c>
      <c r="H378" s="9" t="s">
        <v>13</v>
      </c>
      <c r="I378" s="9" t="s">
        <v>856</v>
      </c>
    </row>
    <row r="379" customFormat="false" ht="15.75" hidden="false" customHeight="false" outlineLevel="0" collapsed="false">
      <c r="B379" s="7" t="n">
        <v>46212</v>
      </c>
      <c r="C379" s="3" t="s">
        <v>857</v>
      </c>
      <c r="D379" s="3" t="s">
        <v>9</v>
      </c>
      <c r="E379" s="3" t="s">
        <v>795</v>
      </c>
      <c r="F379" s="3" t="s">
        <v>796</v>
      </c>
      <c r="G379" s="10" t="s">
        <v>858</v>
      </c>
      <c r="H379" s="9" t="s">
        <v>13</v>
      </c>
      <c r="I379" s="9" t="s">
        <v>859</v>
      </c>
    </row>
    <row r="380" customFormat="false" ht="15.75" hidden="false" customHeight="false" outlineLevel="0" collapsed="false">
      <c r="B380" s="7" t="n">
        <v>46212</v>
      </c>
      <c r="C380" s="3" t="s">
        <v>860</v>
      </c>
      <c r="D380" s="3" t="s">
        <v>9</v>
      </c>
      <c r="E380" s="3" t="s">
        <v>795</v>
      </c>
      <c r="F380" s="3" t="s">
        <v>796</v>
      </c>
      <c r="G380" s="10" t="s">
        <v>861</v>
      </c>
      <c r="H380" s="9" t="s">
        <v>13</v>
      </c>
      <c r="I380" s="9" t="s">
        <v>862</v>
      </c>
    </row>
    <row r="381" customFormat="false" ht="15.75" hidden="false" customHeight="false" outlineLevel="0" collapsed="false">
      <c r="B381" s="7" t="n">
        <v>46212</v>
      </c>
      <c r="C381" s="3" t="s">
        <v>863</v>
      </c>
      <c r="D381" s="3" t="s">
        <v>9</v>
      </c>
      <c r="E381" s="3" t="s">
        <v>795</v>
      </c>
      <c r="F381" s="3" t="s">
        <v>796</v>
      </c>
      <c r="G381" s="10" t="s">
        <v>864</v>
      </c>
      <c r="H381" s="9" t="s">
        <v>13</v>
      </c>
      <c r="I381" s="9" t="s">
        <v>865</v>
      </c>
    </row>
    <row r="382" customFormat="false" ht="15.75" hidden="false" customHeight="false" outlineLevel="0" collapsed="false">
      <c r="B382" s="7" t="n">
        <v>46212</v>
      </c>
      <c r="C382" s="3" t="s">
        <v>866</v>
      </c>
      <c r="D382" s="3" t="s">
        <v>9</v>
      </c>
      <c r="E382" s="3" t="s">
        <v>795</v>
      </c>
      <c r="F382" s="3" t="s">
        <v>796</v>
      </c>
      <c r="G382" s="10" t="s">
        <v>864</v>
      </c>
      <c r="H382" s="9" t="s">
        <v>13</v>
      </c>
      <c r="I382" s="9" t="s">
        <v>865</v>
      </c>
    </row>
    <row r="383" customFormat="false" ht="15.75" hidden="false" customHeight="false" outlineLevel="0" collapsed="false">
      <c r="B383" s="7" t="n">
        <v>46212</v>
      </c>
      <c r="C383" s="3" t="s">
        <v>867</v>
      </c>
      <c r="D383" s="3" t="s">
        <v>9</v>
      </c>
      <c r="E383" s="3" t="s">
        <v>795</v>
      </c>
      <c r="F383" s="3" t="s">
        <v>796</v>
      </c>
      <c r="G383" s="10" t="s">
        <v>868</v>
      </c>
      <c r="H383" s="9" t="s">
        <v>13</v>
      </c>
      <c r="I383" s="9" t="s">
        <v>869</v>
      </c>
    </row>
    <row r="384" customFormat="false" ht="15.75" hidden="false" customHeight="false" outlineLevel="0" collapsed="false">
      <c r="B384" s="7" t="n">
        <v>46212</v>
      </c>
      <c r="C384" s="3" t="s">
        <v>870</v>
      </c>
      <c r="D384" s="3" t="s">
        <v>9</v>
      </c>
      <c r="E384" s="3" t="s">
        <v>795</v>
      </c>
      <c r="F384" s="3" t="s">
        <v>796</v>
      </c>
      <c r="G384" s="10" t="s">
        <v>871</v>
      </c>
      <c r="H384" s="9" t="s">
        <v>13</v>
      </c>
      <c r="I384" s="9" t="s">
        <v>872</v>
      </c>
    </row>
    <row r="385" customFormat="false" ht="15.75" hidden="false" customHeight="false" outlineLevel="0" collapsed="false">
      <c r="B385" s="7" t="n">
        <v>46237</v>
      </c>
      <c r="C385" s="3" t="s">
        <v>873</v>
      </c>
      <c r="D385" s="3" t="s">
        <v>9</v>
      </c>
      <c r="E385" s="3" t="s">
        <v>10</v>
      </c>
      <c r="F385" s="3" t="s">
        <v>246</v>
      </c>
      <c r="G385" s="10" t="s">
        <v>874</v>
      </c>
      <c r="H385" s="9" t="s">
        <v>13</v>
      </c>
      <c r="I385" s="9" t="s">
        <v>875</v>
      </c>
    </row>
    <row r="386" customFormat="false" ht="15.75" hidden="false" customHeight="false" outlineLevel="0" collapsed="false">
      <c r="B386" s="7" t="n">
        <v>46237</v>
      </c>
      <c r="C386" s="3" t="s">
        <v>876</v>
      </c>
      <c r="D386" s="3" t="s">
        <v>9</v>
      </c>
      <c r="E386" s="3" t="s">
        <v>10</v>
      </c>
      <c r="F386" s="3" t="s">
        <v>246</v>
      </c>
      <c r="G386" s="10" t="s">
        <v>877</v>
      </c>
      <c r="H386" s="9" t="s">
        <v>13</v>
      </c>
      <c r="I386" s="9" t="s">
        <v>878</v>
      </c>
    </row>
    <row r="387" customFormat="false" ht="15.75" hidden="false" customHeight="false" outlineLevel="0" collapsed="false">
      <c r="B387" s="7" t="n">
        <v>46237</v>
      </c>
      <c r="C387" s="3" t="s">
        <v>879</v>
      </c>
      <c r="D387" s="3" t="s">
        <v>9</v>
      </c>
      <c r="E387" s="3" t="s">
        <v>10</v>
      </c>
      <c r="F387" s="3" t="s">
        <v>246</v>
      </c>
      <c r="G387" s="10" t="s">
        <v>880</v>
      </c>
      <c r="H387" s="9" t="s">
        <v>13</v>
      </c>
      <c r="I387" s="9" t="s">
        <v>881</v>
      </c>
    </row>
    <row r="388" customFormat="false" ht="15.75" hidden="false" customHeight="false" outlineLevel="0" collapsed="false">
      <c r="B388" s="7" t="n">
        <v>46212</v>
      </c>
      <c r="C388" s="3" t="s">
        <v>882</v>
      </c>
      <c r="D388" s="3" t="s">
        <v>9</v>
      </c>
      <c r="E388" s="3" t="s">
        <v>883</v>
      </c>
      <c r="F388" s="3" t="s">
        <v>884</v>
      </c>
      <c r="G388" s="10" t="s">
        <v>885</v>
      </c>
      <c r="H388" s="9" t="s">
        <v>13</v>
      </c>
      <c r="I388" s="9" t="s">
        <v>886</v>
      </c>
    </row>
    <row r="389" customFormat="false" ht="15.75" hidden="false" customHeight="false" outlineLevel="0" collapsed="false">
      <c r="B389" s="7" t="n">
        <v>46212</v>
      </c>
      <c r="C389" s="3" t="s">
        <v>887</v>
      </c>
      <c r="D389" s="3" t="s">
        <v>9</v>
      </c>
      <c r="E389" s="3" t="s">
        <v>883</v>
      </c>
      <c r="F389" s="3" t="s">
        <v>884</v>
      </c>
      <c r="G389" s="10" t="s">
        <v>888</v>
      </c>
      <c r="H389" s="9" t="s">
        <v>13</v>
      </c>
      <c r="I389" s="9" t="s">
        <v>889</v>
      </c>
    </row>
    <row r="390" customFormat="false" ht="15.75" hidden="false" customHeight="false" outlineLevel="0" collapsed="false">
      <c r="B390" s="7" t="n">
        <v>46212</v>
      </c>
      <c r="C390" s="3" t="s">
        <v>890</v>
      </c>
      <c r="D390" s="3" t="s">
        <v>9</v>
      </c>
      <c r="E390" s="3" t="s">
        <v>883</v>
      </c>
      <c r="F390" s="3" t="s">
        <v>884</v>
      </c>
      <c r="G390" s="10" t="s">
        <v>888</v>
      </c>
      <c r="H390" s="9" t="s">
        <v>13</v>
      </c>
      <c r="I390" s="9" t="s">
        <v>889</v>
      </c>
    </row>
    <row r="391" customFormat="false" ht="15.75" hidden="false" customHeight="false" outlineLevel="0" collapsed="false">
      <c r="B391" s="7" t="n">
        <v>46212</v>
      </c>
      <c r="C391" s="3" t="s">
        <v>891</v>
      </c>
      <c r="D391" s="3" t="s">
        <v>9</v>
      </c>
      <c r="E391" s="3" t="s">
        <v>883</v>
      </c>
      <c r="F391" s="3" t="s">
        <v>884</v>
      </c>
      <c r="G391" s="8" t="s">
        <v>892</v>
      </c>
      <c r="H391" s="9" t="s">
        <v>13</v>
      </c>
      <c r="I391" s="9" t="s">
        <v>893</v>
      </c>
    </row>
    <row r="392" customFormat="false" ht="15.75" hidden="false" customHeight="false" outlineLevel="0" collapsed="false">
      <c r="B392" s="7" t="n">
        <v>46212</v>
      </c>
      <c r="C392" s="3" t="s">
        <v>894</v>
      </c>
      <c r="D392" s="3" t="s">
        <v>9</v>
      </c>
      <c r="E392" s="3" t="s">
        <v>883</v>
      </c>
      <c r="F392" s="3" t="s">
        <v>884</v>
      </c>
      <c r="G392" s="10" t="s">
        <v>895</v>
      </c>
      <c r="H392" s="9" t="s">
        <v>13</v>
      </c>
      <c r="I392" s="9" t="s">
        <v>896</v>
      </c>
    </row>
    <row r="393" customFormat="false" ht="15.75" hidden="false" customHeight="false" outlineLevel="0" collapsed="false">
      <c r="B393" s="7" t="n">
        <v>46212</v>
      </c>
      <c r="C393" s="3" t="s">
        <v>897</v>
      </c>
      <c r="D393" s="3" t="s">
        <v>9</v>
      </c>
      <c r="E393" s="3" t="s">
        <v>883</v>
      </c>
      <c r="F393" s="3" t="s">
        <v>884</v>
      </c>
      <c r="G393" s="10" t="s">
        <v>898</v>
      </c>
      <c r="H393" s="9" t="s">
        <v>13</v>
      </c>
      <c r="I393" s="9" t="s">
        <v>899</v>
      </c>
    </row>
    <row r="394" customFormat="false" ht="15.75" hidden="false" customHeight="false" outlineLevel="0" collapsed="false">
      <c r="B394" s="7" t="n">
        <v>46212</v>
      </c>
      <c r="C394" s="3" t="s">
        <v>900</v>
      </c>
      <c r="D394" s="3" t="s">
        <v>9</v>
      </c>
      <c r="E394" s="3" t="s">
        <v>883</v>
      </c>
      <c r="F394" s="3" t="s">
        <v>884</v>
      </c>
      <c r="G394" s="10" t="s">
        <v>901</v>
      </c>
      <c r="H394" s="9" t="s">
        <v>13</v>
      </c>
      <c r="I394" s="9" t="s">
        <v>902</v>
      </c>
    </row>
    <row r="395" customFormat="false" ht="15.75" hidden="false" customHeight="false" outlineLevel="0" collapsed="false">
      <c r="B395" s="7" t="n">
        <v>46212</v>
      </c>
      <c r="C395" s="3" t="s">
        <v>903</v>
      </c>
      <c r="D395" s="3" t="s">
        <v>9</v>
      </c>
      <c r="E395" s="3" t="s">
        <v>883</v>
      </c>
      <c r="F395" s="3" t="s">
        <v>884</v>
      </c>
      <c r="G395" s="10" t="s">
        <v>904</v>
      </c>
      <c r="H395" s="9" t="s">
        <v>13</v>
      </c>
      <c r="I395" s="9" t="s">
        <v>905</v>
      </c>
    </row>
    <row r="396" customFormat="false" ht="15.75" hidden="false" customHeight="false" outlineLevel="0" collapsed="false">
      <c r="B396" s="7" t="n">
        <v>46212</v>
      </c>
      <c r="C396" s="3" t="s">
        <v>906</v>
      </c>
      <c r="D396" s="3" t="s">
        <v>9</v>
      </c>
      <c r="E396" s="3" t="s">
        <v>883</v>
      </c>
      <c r="F396" s="3" t="s">
        <v>884</v>
      </c>
      <c r="G396" s="10" t="s">
        <v>907</v>
      </c>
      <c r="H396" s="9" t="s">
        <v>13</v>
      </c>
      <c r="I396" s="9" t="s">
        <v>908</v>
      </c>
    </row>
    <row r="397" customFormat="false" ht="15.75" hidden="false" customHeight="false" outlineLevel="0" collapsed="false">
      <c r="B397" s="7" t="n">
        <v>46212</v>
      </c>
      <c r="C397" s="3" t="s">
        <v>909</v>
      </c>
      <c r="D397" s="3" t="s">
        <v>9</v>
      </c>
      <c r="E397" s="3" t="s">
        <v>883</v>
      </c>
      <c r="F397" s="3" t="s">
        <v>884</v>
      </c>
      <c r="G397" s="10" t="s">
        <v>910</v>
      </c>
      <c r="H397" s="9" t="s">
        <v>13</v>
      </c>
      <c r="I397" s="9" t="s">
        <v>911</v>
      </c>
    </row>
    <row r="398" customFormat="false" ht="15.75" hidden="false" customHeight="false" outlineLevel="0" collapsed="false">
      <c r="B398" s="7" t="n">
        <v>46237</v>
      </c>
      <c r="C398" s="3" t="s">
        <v>912</v>
      </c>
      <c r="D398" s="3" t="s">
        <v>9</v>
      </c>
      <c r="E398" s="3" t="s">
        <v>10</v>
      </c>
      <c r="F398" s="3" t="s">
        <v>246</v>
      </c>
      <c r="G398" s="10" t="s">
        <v>913</v>
      </c>
      <c r="H398" s="9" t="s">
        <v>13</v>
      </c>
      <c r="I398" s="9" t="s">
        <v>914</v>
      </c>
    </row>
    <row r="399" customFormat="false" ht="15.75" hidden="false" customHeight="false" outlineLevel="0" collapsed="false">
      <c r="B399" s="7" t="n">
        <v>46237</v>
      </c>
      <c r="C399" s="3" t="s">
        <v>915</v>
      </c>
      <c r="D399" s="3" t="s">
        <v>9</v>
      </c>
      <c r="E399" s="3" t="s">
        <v>10</v>
      </c>
      <c r="F399" s="3" t="s">
        <v>246</v>
      </c>
      <c r="G399" s="10" t="s">
        <v>913</v>
      </c>
      <c r="H399" s="9" t="s">
        <v>13</v>
      </c>
      <c r="I399" s="9" t="s">
        <v>914</v>
      </c>
    </row>
    <row r="400" customFormat="false" ht="15.75" hidden="false" customHeight="false" outlineLevel="0" collapsed="false">
      <c r="B400" s="7" t="n">
        <v>46237</v>
      </c>
      <c r="C400" s="3" t="s">
        <v>916</v>
      </c>
      <c r="D400" s="3" t="s">
        <v>9</v>
      </c>
      <c r="E400" s="3" t="s">
        <v>10</v>
      </c>
      <c r="F400" s="3" t="s">
        <v>246</v>
      </c>
      <c r="G400" s="10" t="s">
        <v>917</v>
      </c>
      <c r="H400" s="9" t="s">
        <v>13</v>
      </c>
      <c r="I400" s="9" t="s">
        <v>918</v>
      </c>
    </row>
    <row r="401" customFormat="false" ht="15.75" hidden="false" customHeight="false" outlineLevel="0" collapsed="false">
      <c r="B401" s="7" t="n">
        <v>46237</v>
      </c>
      <c r="C401" s="3" t="s">
        <v>919</v>
      </c>
      <c r="D401" s="3" t="s">
        <v>9</v>
      </c>
      <c r="E401" s="3" t="s">
        <v>10</v>
      </c>
      <c r="F401" s="3" t="s">
        <v>246</v>
      </c>
      <c r="G401" s="10" t="s">
        <v>920</v>
      </c>
      <c r="H401" s="9" t="s">
        <v>13</v>
      </c>
      <c r="I401" s="9" t="s">
        <v>921</v>
      </c>
    </row>
    <row r="402" customFormat="false" ht="15.75" hidden="false" customHeight="false" outlineLevel="0" collapsed="false">
      <c r="B402" s="7" t="n">
        <v>46237</v>
      </c>
      <c r="C402" s="3" t="s">
        <v>922</v>
      </c>
      <c r="D402" s="3" t="s">
        <v>9</v>
      </c>
      <c r="E402" s="3" t="s">
        <v>10</v>
      </c>
      <c r="F402" s="3" t="s">
        <v>246</v>
      </c>
      <c r="G402" s="10" t="s">
        <v>923</v>
      </c>
      <c r="H402" s="9" t="s">
        <v>13</v>
      </c>
      <c r="I402" s="9" t="s">
        <v>924</v>
      </c>
    </row>
    <row r="403" customFormat="false" ht="15.75" hidden="false" customHeight="false" outlineLevel="0" collapsed="false">
      <c r="B403" s="7" t="n">
        <v>46237</v>
      </c>
      <c r="C403" s="3" t="s">
        <v>925</v>
      </c>
      <c r="D403" s="3" t="s">
        <v>9</v>
      </c>
      <c r="E403" s="3" t="s">
        <v>10</v>
      </c>
      <c r="F403" s="3" t="s">
        <v>246</v>
      </c>
      <c r="G403" s="10" t="s">
        <v>926</v>
      </c>
      <c r="H403" s="9" t="s">
        <v>13</v>
      </c>
      <c r="I403" s="9" t="s">
        <v>927</v>
      </c>
    </row>
    <row r="404" customFormat="false" ht="15.75" hidden="false" customHeight="false" outlineLevel="0" collapsed="false">
      <c r="B404" s="7" t="n">
        <v>46237</v>
      </c>
      <c r="C404" s="3" t="s">
        <v>928</v>
      </c>
      <c r="D404" s="3" t="s">
        <v>9</v>
      </c>
      <c r="E404" s="3" t="s">
        <v>10</v>
      </c>
      <c r="F404" s="3" t="s">
        <v>246</v>
      </c>
      <c r="G404" s="10" t="s">
        <v>929</v>
      </c>
      <c r="H404" s="9" t="s">
        <v>13</v>
      </c>
      <c r="I404" s="9" t="s">
        <v>930</v>
      </c>
    </row>
    <row r="405" customFormat="false" ht="15.75" hidden="false" customHeight="false" outlineLevel="0" collapsed="false">
      <c r="B405" s="7" t="n">
        <v>46237</v>
      </c>
      <c r="C405" s="3" t="s">
        <v>931</v>
      </c>
      <c r="D405" s="3" t="s">
        <v>9</v>
      </c>
      <c r="E405" s="3" t="s">
        <v>10</v>
      </c>
      <c r="F405" s="3" t="s">
        <v>246</v>
      </c>
      <c r="G405" s="10" t="s">
        <v>929</v>
      </c>
      <c r="H405" s="9" t="s">
        <v>13</v>
      </c>
      <c r="I405" s="9" t="s">
        <v>930</v>
      </c>
    </row>
    <row r="406" customFormat="false" ht="15.75" hidden="false" customHeight="false" outlineLevel="0" collapsed="false">
      <c r="B406" s="7" t="n">
        <v>46237</v>
      </c>
      <c r="C406" s="3" t="s">
        <v>932</v>
      </c>
      <c r="D406" s="3" t="s">
        <v>9</v>
      </c>
      <c r="E406" s="3" t="s">
        <v>10</v>
      </c>
      <c r="F406" s="3" t="s">
        <v>246</v>
      </c>
      <c r="G406" s="10" t="s">
        <v>933</v>
      </c>
      <c r="H406" s="9" t="s">
        <v>13</v>
      </c>
      <c r="I406" s="9" t="s">
        <v>934</v>
      </c>
    </row>
    <row r="407" customFormat="false" ht="15.75" hidden="false" customHeight="false" outlineLevel="0" collapsed="false">
      <c r="B407" s="7" t="n">
        <v>46237</v>
      </c>
      <c r="C407" s="3" t="s">
        <v>935</v>
      </c>
      <c r="D407" s="3" t="s">
        <v>9</v>
      </c>
      <c r="E407" s="3" t="s">
        <v>10</v>
      </c>
      <c r="F407" s="3" t="s">
        <v>246</v>
      </c>
      <c r="G407" s="10" t="s">
        <v>936</v>
      </c>
      <c r="H407" s="9" t="s">
        <v>13</v>
      </c>
      <c r="I407" s="9" t="s">
        <v>937</v>
      </c>
    </row>
    <row r="408" customFormat="false" ht="15.75" hidden="false" customHeight="false" outlineLevel="0" collapsed="false">
      <c r="B408" s="7" t="n">
        <v>46237</v>
      </c>
      <c r="C408" s="3" t="s">
        <v>938</v>
      </c>
      <c r="D408" s="3" t="s">
        <v>9</v>
      </c>
      <c r="E408" s="3" t="s">
        <v>10</v>
      </c>
      <c r="F408" s="3" t="s">
        <v>246</v>
      </c>
      <c r="G408" s="10" t="s">
        <v>936</v>
      </c>
      <c r="H408" s="9" t="s">
        <v>13</v>
      </c>
      <c r="I408" s="9" t="s">
        <v>937</v>
      </c>
    </row>
    <row r="409" customFormat="false" ht="15.75" hidden="false" customHeight="false" outlineLevel="0" collapsed="false">
      <c r="B409" s="7" t="n">
        <v>46237</v>
      </c>
      <c r="C409" s="3" t="s">
        <v>939</v>
      </c>
      <c r="D409" s="3" t="s">
        <v>9</v>
      </c>
      <c r="E409" s="3" t="s">
        <v>10</v>
      </c>
      <c r="F409" s="3" t="s">
        <v>246</v>
      </c>
      <c r="G409" s="8" t="s">
        <v>940</v>
      </c>
      <c r="H409" s="9" t="s">
        <v>13</v>
      </c>
      <c r="I409" s="9" t="s">
        <v>941</v>
      </c>
    </row>
    <row r="410" customFormat="false" ht="15.75" hidden="false" customHeight="false" outlineLevel="0" collapsed="false">
      <c r="B410" s="7" t="n">
        <v>46237</v>
      </c>
      <c r="C410" s="3" t="s">
        <v>942</v>
      </c>
      <c r="D410" s="3" t="s">
        <v>9</v>
      </c>
      <c r="E410" s="3" t="s">
        <v>10</v>
      </c>
      <c r="F410" s="3" t="s">
        <v>246</v>
      </c>
      <c r="G410" s="10" t="s">
        <v>943</v>
      </c>
      <c r="H410" s="9" t="s">
        <v>13</v>
      </c>
      <c r="I410" s="9" t="s">
        <v>944</v>
      </c>
    </row>
    <row r="411" customFormat="false" ht="15.75" hidden="false" customHeight="false" outlineLevel="0" collapsed="false">
      <c r="B411" s="7" t="n">
        <v>46237</v>
      </c>
      <c r="C411" s="3" t="s">
        <v>945</v>
      </c>
      <c r="D411" s="3" t="s">
        <v>9</v>
      </c>
      <c r="E411" s="3" t="s">
        <v>10</v>
      </c>
      <c r="F411" s="3" t="s">
        <v>246</v>
      </c>
      <c r="G411" s="10" t="s">
        <v>946</v>
      </c>
      <c r="H411" s="9" t="s">
        <v>13</v>
      </c>
      <c r="I411" s="9" t="s">
        <v>947</v>
      </c>
    </row>
    <row r="412" customFormat="false" ht="15.75" hidden="false" customHeight="false" outlineLevel="0" collapsed="false">
      <c r="B412" s="7" t="n">
        <v>46237</v>
      </c>
      <c r="C412" s="3" t="s">
        <v>948</v>
      </c>
      <c r="D412" s="3" t="s">
        <v>9</v>
      </c>
      <c r="E412" s="3" t="s">
        <v>10</v>
      </c>
      <c r="F412" s="3" t="s">
        <v>246</v>
      </c>
      <c r="G412" s="10" t="s">
        <v>946</v>
      </c>
      <c r="H412" s="9" t="s">
        <v>13</v>
      </c>
      <c r="I412" s="9" t="s">
        <v>947</v>
      </c>
    </row>
    <row r="413" customFormat="false" ht="15.75" hidden="false" customHeight="false" outlineLevel="0" collapsed="false">
      <c r="B413" s="7" t="n">
        <v>46237</v>
      </c>
      <c r="C413" s="3" t="s">
        <v>949</v>
      </c>
      <c r="D413" s="3" t="s">
        <v>9</v>
      </c>
      <c r="E413" s="3" t="s">
        <v>10</v>
      </c>
      <c r="F413" s="3" t="s">
        <v>246</v>
      </c>
      <c r="G413" s="10" t="s">
        <v>950</v>
      </c>
      <c r="H413" s="9" t="s">
        <v>13</v>
      </c>
      <c r="I413" s="9" t="s">
        <v>951</v>
      </c>
    </row>
    <row r="414" customFormat="false" ht="15.75" hidden="false" customHeight="false" outlineLevel="0" collapsed="false">
      <c r="B414" s="7" t="n">
        <v>46237</v>
      </c>
      <c r="C414" s="3" t="s">
        <v>952</v>
      </c>
      <c r="D414" s="3" t="s">
        <v>9</v>
      </c>
      <c r="E414" s="3" t="s">
        <v>10</v>
      </c>
      <c r="F414" s="3" t="s">
        <v>246</v>
      </c>
      <c r="G414" s="10" t="s">
        <v>953</v>
      </c>
      <c r="H414" s="9" t="s">
        <v>13</v>
      </c>
      <c r="I414" s="9" t="s">
        <v>954</v>
      </c>
    </row>
    <row r="415" customFormat="false" ht="15.75" hidden="false" customHeight="false" outlineLevel="0" collapsed="false">
      <c r="B415" s="7" t="n">
        <v>46237</v>
      </c>
      <c r="C415" s="3" t="s">
        <v>955</v>
      </c>
      <c r="D415" s="3" t="s">
        <v>9</v>
      </c>
      <c r="E415" s="3" t="s">
        <v>10</v>
      </c>
      <c r="F415" s="3" t="s">
        <v>246</v>
      </c>
      <c r="G415" s="10" t="s">
        <v>950</v>
      </c>
      <c r="H415" s="9" t="s">
        <v>13</v>
      </c>
      <c r="I415" s="9" t="s">
        <v>956</v>
      </c>
    </row>
    <row r="416" customFormat="false" ht="15.75" hidden="false" customHeight="false" outlineLevel="0" collapsed="false">
      <c r="B416" s="7" t="n">
        <v>46237</v>
      </c>
      <c r="C416" s="3" t="s">
        <v>957</v>
      </c>
      <c r="D416" s="3" t="s">
        <v>9</v>
      </c>
      <c r="E416" s="3" t="s">
        <v>10</v>
      </c>
      <c r="F416" s="3" t="s">
        <v>246</v>
      </c>
      <c r="G416" s="8" t="s">
        <v>958</v>
      </c>
      <c r="H416" s="9" t="s">
        <v>13</v>
      </c>
      <c r="I416" s="9" t="s">
        <v>959</v>
      </c>
    </row>
    <row r="417" customFormat="false" ht="15.75" hidden="false" customHeight="false" outlineLevel="0" collapsed="false">
      <c r="B417" s="7" t="n">
        <v>46237</v>
      </c>
      <c r="C417" s="3" t="s">
        <v>960</v>
      </c>
      <c r="D417" s="3" t="s">
        <v>9</v>
      </c>
      <c r="E417" s="3" t="s">
        <v>10</v>
      </c>
      <c r="F417" s="3" t="s">
        <v>246</v>
      </c>
      <c r="G417" s="10" t="s">
        <v>961</v>
      </c>
      <c r="H417" s="9" t="s">
        <v>13</v>
      </c>
      <c r="I417" s="9" t="s">
        <v>962</v>
      </c>
    </row>
    <row r="418" customFormat="false" ht="15.75" hidden="false" customHeight="false" outlineLevel="0" collapsed="false">
      <c r="B418" s="7" t="n">
        <v>46237</v>
      </c>
      <c r="C418" s="3" t="s">
        <v>963</v>
      </c>
      <c r="D418" s="3" t="s">
        <v>9</v>
      </c>
      <c r="E418" s="3" t="s">
        <v>10</v>
      </c>
      <c r="F418" s="3" t="s">
        <v>246</v>
      </c>
      <c r="G418" s="10" t="s">
        <v>964</v>
      </c>
      <c r="H418" s="9" t="s">
        <v>13</v>
      </c>
      <c r="I418" s="9" t="s">
        <v>965</v>
      </c>
    </row>
    <row r="419" customFormat="false" ht="15.75" hidden="false" customHeight="false" outlineLevel="0" collapsed="false">
      <c r="B419" s="7" t="n">
        <v>46237</v>
      </c>
      <c r="C419" s="3" t="s">
        <v>966</v>
      </c>
      <c r="D419" s="3" t="s">
        <v>9</v>
      </c>
      <c r="E419" s="3" t="s">
        <v>10</v>
      </c>
      <c r="F419" s="3" t="s">
        <v>246</v>
      </c>
      <c r="G419" s="8" t="s">
        <v>967</v>
      </c>
      <c r="H419" s="9" t="s">
        <v>13</v>
      </c>
      <c r="I419" s="9" t="s">
        <v>968</v>
      </c>
    </row>
    <row r="420" customFormat="false" ht="15.75" hidden="false" customHeight="false" outlineLevel="0" collapsed="false">
      <c r="B420" s="7" t="n">
        <v>46237</v>
      </c>
      <c r="C420" s="3" t="s">
        <v>969</v>
      </c>
      <c r="D420" s="3" t="s">
        <v>9</v>
      </c>
      <c r="E420" s="3" t="s">
        <v>10</v>
      </c>
      <c r="F420" s="3" t="s">
        <v>246</v>
      </c>
      <c r="G420" s="10" t="s">
        <v>970</v>
      </c>
      <c r="H420" s="9" t="s">
        <v>13</v>
      </c>
      <c r="I420" s="9" t="s">
        <v>971</v>
      </c>
    </row>
    <row r="421" customFormat="false" ht="15.75" hidden="false" customHeight="false" outlineLevel="0" collapsed="false">
      <c r="B421" s="7" t="n">
        <v>46237</v>
      </c>
      <c r="C421" s="3" t="s">
        <v>972</v>
      </c>
      <c r="D421" s="3" t="s">
        <v>9</v>
      </c>
      <c r="E421" s="3" t="s">
        <v>10</v>
      </c>
      <c r="F421" s="3" t="s">
        <v>246</v>
      </c>
      <c r="G421" s="10" t="s">
        <v>970</v>
      </c>
      <c r="H421" s="9" t="s">
        <v>13</v>
      </c>
      <c r="I421" s="9" t="s">
        <v>971</v>
      </c>
    </row>
    <row r="422" customFormat="false" ht="15.75" hidden="false" customHeight="false" outlineLevel="0" collapsed="false">
      <c r="B422" s="7" t="n">
        <v>46237</v>
      </c>
      <c r="C422" s="3" t="s">
        <v>973</v>
      </c>
      <c r="D422" s="3" t="s">
        <v>9</v>
      </c>
      <c r="E422" s="3" t="s">
        <v>10</v>
      </c>
      <c r="F422" s="3" t="s">
        <v>246</v>
      </c>
      <c r="G422" s="10" t="s">
        <v>826</v>
      </c>
      <c r="H422" s="9" t="s">
        <v>13</v>
      </c>
      <c r="I422" s="9" t="s">
        <v>974</v>
      </c>
    </row>
    <row r="423" customFormat="false" ht="15.75" hidden="false" customHeight="false" outlineLevel="0" collapsed="false">
      <c r="B423" s="7" t="n">
        <v>46200</v>
      </c>
      <c r="C423" s="3" t="s">
        <v>975</v>
      </c>
      <c r="D423" s="3" t="s">
        <v>976</v>
      </c>
      <c r="E423" s="3" t="s">
        <v>977</v>
      </c>
      <c r="F423" s="3" t="s">
        <v>978</v>
      </c>
      <c r="G423" s="10" t="s">
        <v>979</v>
      </c>
      <c r="H423" s="9" t="s">
        <v>13</v>
      </c>
      <c r="I423" s="9" t="s">
        <v>980</v>
      </c>
    </row>
    <row r="424" customFormat="false" ht="15.75" hidden="false" customHeight="false" outlineLevel="0" collapsed="false">
      <c r="B424" s="7" t="n">
        <v>46200</v>
      </c>
      <c r="C424" s="3" t="s">
        <v>981</v>
      </c>
      <c r="D424" s="3" t="s">
        <v>976</v>
      </c>
      <c r="E424" s="3" t="s">
        <v>977</v>
      </c>
      <c r="F424" s="3" t="s">
        <v>978</v>
      </c>
      <c r="G424" s="10" t="s">
        <v>982</v>
      </c>
      <c r="H424" s="9" t="s">
        <v>13</v>
      </c>
      <c r="I424" s="9" t="s">
        <v>983</v>
      </c>
    </row>
    <row r="425" customFormat="false" ht="15.75" hidden="false" customHeight="false" outlineLevel="0" collapsed="false">
      <c r="B425" s="7" t="n">
        <v>46200</v>
      </c>
      <c r="C425" s="3" t="s">
        <v>984</v>
      </c>
      <c r="D425" s="3" t="s">
        <v>976</v>
      </c>
      <c r="E425" s="3" t="s">
        <v>977</v>
      </c>
      <c r="F425" s="3" t="s">
        <v>978</v>
      </c>
      <c r="G425" s="10" t="s">
        <v>985</v>
      </c>
      <c r="H425" s="9" t="s">
        <v>986</v>
      </c>
      <c r="I425" s="9" t="s">
        <v>987</v>
      </c>
    </row>
    <row r="426" customFormat="false" ht="15.75" hidden="false" customHeight="false" outlineLevel="0" collapsed="false">
      <c r="B426" s="7" t="n">
        <v>46200</v>
      </c>
      <c r="C426" s="3" t="s">
        <v>988</v>
      </c>
      <c r="D426" s="3" t="s">
        <v>976</v>
      </c>
      <c r="E426" s="3" t="s">
        <v>977</v>
      </c>
      <c r="F426" s="3" t="s">
        <v>978</v>
      </c>
      <c r="G426" s="10" t="s">
        <v>989</v>
      </c>
      <c r="H426" s="9" t="s">
        <v>13</v>
      </c>
      <c r="I426" s="9" t="s">
        <v>990</v>
      </c>
    </row>
    <row r="427" customFormat="false" ht="15.75" hidden="false" customHeight="false" outlineLevel="0" collapsed="false">
      <c r="B427" s="7" t="n">
        <v>46200</v>
      </c>
      <c r="C427" s="3" t="s">
        <v>991</v>
      </c>
      <c r="D427" s="3" t="s">
        <v>976</v>
      </c>
      <c r="E427" s="3" t="s">
        <v>977</v>
      </c>
      <c r="F427" s="3" t="s">
        <v>978</v>
      </c>
      <c r="G427" s="10" t="s">
        <v>992</v>
      </c>
      <c r="H427" s="9" t="s">
        <v>986</v>
      </c>
      <c r="I427" s="9" t="s">
        <v>993</v>
      </c>
    </row>
    <row r="428" customFormat="false" ht="15.75" hidden="false" customHeight="false" outlineLevel="0" collapsed="false">
      <c r="B428" s="7" t="n">
        <v>46200</v>
      </c>
      <c r="C428" s="3" t="s">
        <v>994</v>
      </c>
      <c r="D428" s="3" t="s">
        <v>976</v>
      </c>
      <c r="E428" s="3" t="s">
        <v>977</v>
      </c>
      <c r="F428" s="3" t="s">
        <v>978</v>
      </c>
      <c r="G428" s="10" t="s">
        <v>992</v>
      </c>
      <c r="H428" s="9" t="s">
        <v>986</v>
      </c>
      <c r="I428" s="9" t="s">
        <v>995</v>
      </c>
    </row>
    <row r="429" customFormat="false" ht="15.75" hidden="false" customHeight="false" outlineLevel="0" collapsed="false">
      <c r="B429" s="7" t="n">
        <v>46200</v>
      </c>
      <c r="C429" s="3" t="s">
        <v>996</v>
      </c>
      <c r="D429" s="3" t="s">
        <v>976</v>
      </c>
      <c r="E429" s="3" t="s">
        <v>977</v>
      </c>
      <c r="F429" s="3" t="s">
        <v>978</v>
      </c>
      <c r="G429" s="10" t="s">
        <v>992</v>
      </c>
      <c r="H429" s="9" t="s">
        <v>986</v>
      </c>
      <c r="I429" s="9" t="s">
        <v>997</v>
      </c>
    </row>
    <row r="430" customFormat="false" ht="15.75" hidden="false" customHeight="false" outlineLevel="0" collapsed="false">
      <c r="B430" s="7" t="n">
        <v>46200</v>
      </c>
      <c r="C430" s="3" t="s">
        <v>998</v>
      </c>
      <c r="D430" s="3" t="s">
        <v>976</v>
      </c>
      <c r="E430" s="3" t="s">
        <v>977</v>
      </c>
      <c r="F430" s="3" t="s">
        <v>978</v>
      </c>
      <c r="G430" s="10" t="s">
        <v>999</v>
      </c>
      <c r="H430" s="9" t="s">
        <v>13</v>
      </c>
      <c r="I430" s="9" t="s">
        <v>1000</v>
      </c>
    </row>
    <row r="431" customFormat="false" ht="15.75" hidden="false" customHeight="false" outlineLevel="0" collapsed="false">
      <c r="B431" s="7" t="n">
        <v>46200</v>
      </c>
      <c r="C431" s="3" t="s">
        <v>1001</v>
      </c>
      <c r="D431" s="3" t="s">
        <v>976</v>
      </c>
      <c r="E431" s="3" t="s">
        <v>977</v>
      </c>
      <c r="F431" s="3" t="s">
        <v>978</v>
      </c>
      <c r="G431" s="10" t="s">
        <v>1002</v>
      </c>
      <c r="H431" s="9" t="s">
        <v>13</v>
      </c>
      <c r="I431" s="9" t="s">
        <v>1003</v>
      </c>
    </row>
    <row r="432" customFormat="false" ht="15.75" hidden="false" customHeight="false" outlineLevel="0" collapsed="false">
      <c r="B432" s="7" t="n">
        <v>46200</v>
      </c>
      <c r="C432" s="3" t="s">
        <v>1004</v>
      </c>
      <c r="D432" s="3" t="s">
        <v>976</v>
      </c>
      <c r="E432" s="3" t="s">
        <v>977</v>
      </c>
      <c r="F432" s="3" t="s">
        <v>978</v>
      </c>
      <c r="G432" s="8" t="s">
        <v>1005</v>
      </c>
      <c r="H432" s="9" t="s">
        <v>13</v>
      </c>
      <c r="I432" s="9" t="s">
        <v>1006</v>
      </c>
    </row>
    <row r="433" customFormat="false" ht="15.75" hidden="false" customHeight="false" outlineLevel="0" collapsed="false">
      <c r="B433" s="7" t="n">
        <v>46200</v>
      </c>
      <c r="C433" s="3" t="s">
        <v>1007</v>
      </c>
      <c r="D433" s="3" t="s">
        <v>976</v>
      </c>
      <c r="E433" s="3" t="s">
        <v>977</v>
      </c>
      <c r="F433" s="3" t="s">
        <v>978</v>
      </c>
      <c r="G433" s="8" t="s">
        <v>1008</v>
      </c>
      <c r="H433" s="9" t="s">
        <v>13</v>
      </c>
      <c r="I433" s="9" t="s">
        <v>1009</v>
      </c>
    </row>
    <row r="434" customFormat="false" ht="15.75" hidden="false" customHeight="false" outlineLevel="0" collapsed="false">
      <c r="B434" s="7" t="n">
        <v>46200</v>
      </c>
      <c r="C434" s="3" t="s">
        <v>1010</v>
      </c>
      <c r="D434" s="3" t="s">
        <v>976</v>
      </c>
      <c r="E434" s="3" t="s">
        <v>977</v>
      </c>
      <c r="F434" s="3" t="s">
        <v>978</v>
      </c>
      <c r="G434" s="10" t="s">
        <v>1011</v>
      </c>
      <c r="H434" s="9" t="s">
        <v>13</v>
      </c>
      <c r="I434" s="9" t="s">
        <v>1012</v>
      </c>
    </row>
    <row r="435" customFormat="false" ht="15.75" hidden="false" customHeight="false" outlineLevel="0" collapsed="false">
      <c r="B435" s="7" t="n">
        <v>46200</v>
      </c>
      <c r="C435" s="3" t="s">
        <v>1013</v>
      </c>
      <c r="D435" s="3" t="s">
        <v>976</v>
      </c>
      <c r="E435" s="3" t="s">
        <v>977</v>
      </c>
      <c r="F435" s="3" t="s">
        <v>978</v>
      </c>
      <c r="G435" s="10" t="s">
        <v>1014</v>
      </c>
      <c r="H435" s="9" t="s">
        <v>13</v>
      </c>
      <c r="I435" s="9" t="s">
        <v>1015</v>
      </c>
    </row>
    <row r="436" customFormat="false" ht="15.75" hidden="false" customHeight="false" outlineLevel="0" collapsed="false">
      <c r="B436" s="7" t="n">
        <v>46200</v>
      </c>
      <c r="C436" s="3" t="s">
        <v>1016</v>
      </c>
      <c r="D436" s="3" t="s">
        <v>976</v>
      </c>
      <c r="E436" s="3" t="s">
        <v>977</v>
      </c>
      <c r="F436" s="3" t="s">
        <v>978</v>
      </c>
      <c r="G436" s="10" t="s">
        <v>770</v>
      </c>
      <c r="H436" s="9" t="s">
        <v>13</v>
      </c>
      <c r="I436" s="9" t="s">
        <v>1017</v>
      </c>
    </row>
    <row r="437" customFormat="false" ht="15.75" hidden="false" customHeight="false" outlineLevel="0" collapsed="false">
      <c r="B437" s="7" t="n">
        <v>46200</v>
      </c>
      <c r="C437" s="3" t="s">
        <v>1018</v>
      </c>
      <c r="D437" s="3" t="s">
        <v>976</v>
      </c>
      <c r="E437" s="3" t="s">
        <v>977</v>
      </c>
      <c r="F437" s="3" t="s">
        <v>978</v>
      </c>
      <c r="G437" s="10" t="s">
        <v>1014</v>
      </c>
      <c r="H437" s="9" t="s">
        <v>13</v>
      </c>
      <c r="I437" s="9" t="s">
        <v>1019</v>
      </c>
    </row>
    <row r="438" customFormat="false" ht="15.75" hidden="false" customHeight="false" outlineLevel="0" collapsed="false">
      <c r="B438" s="7" t="n">
        <v>46200</v>
      </c>
      <c r="C438" s="3" t="s">
        <v>1020</v>
      </c>
      <c r="D438" s="3" t="s">
        <v>976</v>
      </c>
      <c r="E438" s="3" t="s">
        <v>977</v>
      </c>
      <c r="F438" s="3" t="s">
        <v>978</v>
      </c>
      <c r="G438" s="10" t="s">
        <v>1014</v>
      </c>
      <c r="H438" s="9" t="s">
        <v>13</v>
      </c>
      <c r="I438" s="9" t="s">
        <v>1019</v>
      </c>
    </row>
    <row r="439" customFormat="false" ht="15.75" hidden="false" customHeight="false" outlineLevel="0" collapsed="false">
      <c r="B439" s="7" t="n">
        <v>46200</v>
      </c>
      <c r="C439" s="3" t="s">
        <v>1021</v>
      </c>
      <c r="D439" s="3" t="s">
        <v>976</v>
      </c>
      <c r="E439" s="3" t="s">
        <v>977</v>
      </c>
      <c r="F439" s="3" t="s">
        <v>978</v>
      </c>
      <c r="G439" s="10" t="s">
        <v>1022</v>
      </c>
      <c r="H439" s="9" t="s">
        <v>13</v>
      </c>
      <c r="I439" s="9" t="s">
        <v>1023</v>
      </c>
    </row>
    <row r="440" customFormat="false" ht="15.75" hidden="false" customHeight="false" outlineLevel="0" collapsed="false">
      <c r="B440" s="7" t="n">
        <v>46200</v>
      </c>
      <c r="C440" s="3" t="s">
        <v>1024</v>
      </c>
      <c r="D440" s="3" t="s">
        <v>976</v>
      </c>
      <c r="E440" s="3" t="s">
        <v>977</v>
      </c>
      <c r="F440" s="3" t="s">
        <v>978</v>
      </c>
      <c r="G440" s="10" t="s">
        <v>1025</v>
      </c>
      <c r="H440" s="9" t="s">
        <v>13</v>
      </c>
      <c r="I440" s="9" t="s">
        <v>1026</v>
      </c>
    </row>
    <row r="441" customFormat="false" ht="15.75" hidden="false" customHeight="false" outlineLevel="0" collapsed="false">
      <c r="B441" s="7" t="n">
        <v>46200</v>
      </c>
      <c r="C441" s="3" t="s">
        <v>1027</v>
      </c>
      <c r="D441" s="3" t="s">
        <v>976</v>
      </c>
      <c r="E441" s="3" t="s">
        <v>977</v>
      </c>
      <c r="F441" s="3" t="s">
        <v>978</v>
      </c>
      <c r="G441" s="10" t="s">
        <v>1028</v>
      </c>
      <c r="H441" s="9" t="s">
        <v>13</v>
      </c>
      <c r="I441" s="9" t="s">
        <v>1029</v>
      </c>
    </row>
    <row r="442" customFormat="false" ht="15.75" hidden="false" customHeight="false" outlineLevel="0" collapsed="false">
      <c r="B442" s="7" t="n">
        <v>46200</v>
      </c>
      <c r="C442" s="3" t="s">
        <v>1030</v>
      </c>
      <c r="D442" s="3" t="s">
        <v>976</v>
      </c>
      <c r="E442" s="3" t="s">
        <v>977</v>
      </c>
      <c r="F442" s="3" t="s">
        <v>978</v>
      </c>
      <c r="G442" s="10" t="s">
        <v>770</v>
      </c>
      <c r="H442" s="9" t="s">
        <v>13</v>
      </c>
      <c r="I442" s="9" t="s">
        <v>1031</v>
      </c>
    </row>
    <row r="443" customFormat="false" ht="15.75" hidden="false" customHeight="false" outlineLevel="0" collapsed="false">
      <c r="B443" s="7" t="n">
        <v>46200</v>
      </c>
      <c r="C443" s="3" t="s">
        <v>1032</v>
      </c>
      <c r="D443" s="3" t="s">
        <v>976</v>
      </c>
      <c r="E443" s="3" t="s">
        <v>977</v>
      </c>
      <c r="F443" s="3" t="s">
        <v>978</v>
      </c>
      <c r="G443" s="8" t="s">
        <v>1033</v>
      </c>
      <c r="H443" s="9" t="s">
        <v>13</v>
      </c>
      <c r="I443" s="9" t="s">
        <v>1034</v>
      </c>
    </row>
    <row r="444" customFormat="false" ht="15.75" hidden="false" customHeight="false" outlineLevel="0" collapsed="false">
      <c r="B444" s="7" t="n">
        <v>46200</v>
      </c>
      <c r="C444" s="3" t="s">
        <v>1035</v>
      </c>
      <c r="D444" s="3" t="s">
        <v>976</v>
      </c>
      <c r="E444" s="3" t="s">
        <v>977</v>
      </c>
      <c r="F444" s="3" t="s">
        <v>978</v>
      </c>
      <c r="G444" s="10" t="s">
        <v>576</v>
      </c>
      <c r="H444" s="9" t="s">
        <v>13</v>
      </c>
      <c r="I444" s="9" t="s">
        <v>1036</v>
      </c>
    </row>
    <row r="445" customFormat="false" ht="15.75" hidden="false" customHeight="false" outlineLevel="0" collapsed="false">
      <c r="B445" s="7" t="n">
        <v>46200</v>
      </c>
      <c r="C445" s="3" t="s">
        <v>1037</v>
      </c>
      <c r="D445" s="3" t="s">
        <v>976</v>
      </c>
      <c r="E445" s="3" t="s">
        <v>977</v>
      </c>
      <c r="F445" s="3" t="s">
        <v>978</v>
      </c>
      <c r="G445" s="10" t="s">
        <v>576</v>
      </c>
      <c r="H445" s="9" t="s">
        <v>13</v>
      </c>
      <c r="I445" s="9" t="s">
        <v>1036</v>
      </c>
    </row>
    <row r="446" customFormat="false" ht="15.75" hidden="false" customHeight="false" outlineLevel="0" collapsed="false">
      <c r="B446" s="7" t="n">
        <v>46200</v>
      </c>
      <c r="C446" s="3" t="s">
        <v>1038</v>
      </c>
      <c r="D446" s="3" t="s">
        <v>976</v>
      </c>
      <c r="E446" s="3" t="s">
        <v>977</v>
      </c>
      <c r="F446" s="3" t="s">
        <v>978</v>
      </c>
      <c r="G446" s="10" t="s">
        <v>576</v>
      </c>
      <c r="H446" s="9" t="s">
        <v>13</v>
      </c>
      <c r="I446" s="9" t="s">
        <v>1036</v>
      </c>
    </row>
    <row r="447" customFormat="false" ht="15.75" hidden="false" customHeight="false" outlineLevel="0" collapsed="false">
      <c r="B447" s="7" t="n">
        <v>46200</v>
      </c>
      <c r="C447" s="3" t="s">
        <v>1039</v>
      </c>
      <c r="D447" s="3" t="s">
        <v>976</v>
      </c>
      <c r="E447" s="3" t="s">
        <v>977</v>
      </c>
      <c r="F447" s="3" t="s">
        <v>978</v>
      </c>
      <c r="G447" s="10" t="s">
        <v>576</v>
      </c>
      <c r="H447" s="9" t="s">
        <v>13</v>
      </c>
      <c r="I447" s="9" t="s">
        <v>1036</v>
      </c>
    </row>
    <row r="448" customFormat="false" ht="15.75" hidden="false" customHeight="false" outlineLevel="0" collapsed="false">
      <c r="B448" s="7" t="n">
        <v>46200</v>
      </c>
      <c r="C448" s="3" t="s">
        <v>1040</v>
      </c>
      <c r="D448" s="3" t="s">
        <v>976</v>
      </c>
      <c r="E448" s="3" t="s">
        <v>977</v>
      </c>
      <c r="F448" s="3" t="s">
        <v>978</v>
      </c>
      <c r="G448" s="10" t="s">
        <v>576</v>
      </c>
      <c r="H448" s="9" t="s">
        <v>13</v>
      </c>
      <c r="I448" s="9" t="s">
        <v>1036</v>
      </c>
    </row>
    <row r="449" customFormat="false" ht="15.75" hidden="false" customHeight="false" outlineLevel="0" collapsed="false">
      <c r="B449" s="7" t="n">
        <v>46200</v>
      </c>
      <c r="C449" s="3" t="s">
        <v>1041</v>
      </c>
      <c r="D449" s="3" t="s">
        <v>976</v>
      </c>
      <c r="E449" s="3" t="s">
        <v>977</v>
      </c>
      <c r="F449" s="3" t="s">
        <v>978</v>
      </c>
      <c r="G449" s="10" t="s">
        <v>1042</v>
      </c>
      <c r="H449" s="9" t="s">
        <v>13</v>
      </c>
      <c r="I449" s="9" t="s">
        <v>1043</v>
      </c>
    </row>
    <row r="450" customFormat="false" ht="15.75" hidden="false" customHeight="false" outlineLevel="0" collapsed="false">
      <c r="B450" s="7" t="n">
        <v>46200</v>
      </c>
      <c r="C450" s="3" t="s">
        <v>1044</v>
      </c>
      <c r="D450" s="3" t="s">
        <v>976</v>
      </c>
      <c r="E450" s="3" t="s">
        <v>977</v>
      </c>
      <c r="F450" s="3" t="s">
        <v>978</v>
      </c>
      <c r="G450" s="10" t="s">
        <v>1045</v>
      </c>
      <c r="H450" s="9" t="s">
        <v>13</v>
      </c>
      <c r="I450" s="9" t="s">
        <v>1046</v>
      </c>
    </row>
    <row r="451" customFormat="false" ht="15.75" hidden="false" customHeight="false" outlineLevel="0" collapsed="false">
      <c r="B451" s="7" t="n">
        <v>46200</v>
      </c>
      <c r="C451" s="3" t="s">
        <v>1047</v>
      </c>
      <c r="D451" s="3" t="s">
        <v>976</v>
      </c>
      <c r="E451" s="3" t="s">
        <v>977</v>
      </c>
      <c r="F451" s="3" t="s">
        <v>978</v>
      </c>
      <c r="G451" s="10" t="s">
        <v>1048</v>
      </c>
      <c r="H451" s="9" t="s">
        <v>13</v>
      </c>
      <c r="I451" s="9" t="s">
        <v>1049</v>
      </c>
    </row>
    <row r="452" customFormat="false" ht="15.75" hidden="false" customHeight="false" outlineLevel="0" collapsed="false">
      <c r="B452" s="7" t="n">
        <v>46200</v>
      </c>
      <c r="C452" s="3" t="s">
        <v>1050</v>
      </c>
      <c r="D452" s="3" t="s">
        <v>976</v>
      </c>
      <c r="E452" s="3" t="s">
        <v>977</v>
      </c>
      <c r="F452" s="3" t="s">
        <v>978</v>
      </c>
      <c r="G452" s="8" t="s">
        <v>1051</v>
      </c>
      <c r="H452" s="9" t="s">
        <v>13</v>
      </c>
      <c r="I452" s="9" t="s">
        <v>1052</v>
      </c>
    </row>
    <row r="453" customFormat="false" ht="15.75" hidden="false" customHeight="false" outlineLevel="0" collapsed="false">
      <c r="B453" s="7" t="n">
        <v>46200</v>
      </c>
      <c r="C453" s="3" t="s">
        <v>1053</v>
      </c>
      <c r="D453" s="3" t="s">
        <v>976</v>
      </c>
      <c r="E453" s="3" t="s">
        <v>977</v>
      </c>
      <c r="F453" s="3" t="s">
        <v>978</v>
      </c>
      <c r="G453" s="8" t="s">
        <v>1054</v>
      </c>
      <c r="H453" s="9" t="s">
        <v>13</v>
      </c>
      <c r="I453" s="9" t="s">
        <v>1055</v>
      </c>
    </row>
    <row r="454" customFormat="false" ht="15.75" hidden="false" customHeight="false" outlineLevel="0" collapsed="false">
      <c r="B454" s="7" t="n">
        <v>46200</v>
      </c>
      <c r="C454" s="3" t="s">
        <v>1056</v>
      </c>
      <c r="D454" s="3" t="s">
        <v>976</v>
      </c>
      <c r="E454" s="3" t="s">
        <v>977</v>
      </c>
      <c r="F454" s="3" t="s">
        <v>978</v>
      </c>
      <c r="G454" s="10" t="s">
        <v>1057</v>
      </c>
      <c r="H454" s="9" t="s">
        <v>13</v>
      </c>
      <c r="I454" s="9" t="s">
        <v>1058</v>
      </c>
    </row>
    <row r="455" customFormat="false" ht="15.75" hidden="false" customHeight="false" outlineLevel="0" collapsed="false">
      <c r="B455" s="7" t="n">
        <v>46200</v>
      </c>
      <c r="C455" s="3" t="s">
        <v>1059</v>
      </c>
      <c r="D455" s="3" t="s">
        <v>976</v>
      </c>
      <c r="E455" s="3" t="s">
        <v>977</v>
      </c>
      <c r="F455" s="3" t="s">
        <v>978</v>
      </c>
      <c r="G455" s="10" t="s">
        <v>1060</v>
      </c>
      <c r="H455" s="9" t="s">
        <v>13</v>
      </c>
      <c r="I455" s="9" t="s">
        <v>1061</v>
      </c>
    </row>
    <row r="456" customFormat="false" ht="15.75" hidden="false" customHeight="false" outlineLevel="0" collapsed="false">
      <c r="B456" s="7" t="n">
        <v>46200</v>
      </c>
      <c r="C456" s="3" t="s">
        <v>1062</v>
      </c>
      <c r="D456" s="3" t="s">
        <v>976</v>
      </c>
      <c r="E456" s="3" t="s">
        <v>977</v>
      </c>
      <c r="F456" s="3" t="s">
        <v>978</v>
      </c>
      <c r="G456" s="10" t="s">
        <v>1028</v>
      </c>
      <c r="H456" s="9" t="s">
        <v>13</v>
      </c>
      <c r="I456" s="9" t="s">
        <v>1063</v>
      </c>
    </row>
    <row r="457" customFormat="false" ht="15.75" hidden="false" customHeight="false" outlineLevel="0" collapsed="false">
      <c r="B457" s="7" t="n">
        <v>46200</v>
      </c>
      <c r="C457" s="3" t="s">
        <v>1064</v>
      </c>
      <c r="D457" s="3" t="s">
        <v>976</v>
      </c>
      <c r="E457" s="3" t="s">
        <v>977</v>
      </c>
      <c r="F457" s="3" t="s">
        <v>978</v>
      </c>
      <c r="G457" s="10" t="s">
        <v>1065</v>
      </c>
      <c r="H457" s="9" t="s">
        <v>13</v>
      </c>
      <c r="I457" s="9" t="s">
        <v>1066</v>
      </c>
    </row>
    <row r="458" customFormat="false" ht="15.75" hidden="false" customHeight="false" outlineLevel="0" collapsed="false">
      <c r="B458" s="7" t="n">
        <v>46212</v>
      </c>
      <c r="C458" s="3" t="s">
        <v>1067</v>
      </c>
      <c r="D458" s="3" t="s">
        <v>976</v>
      </c>
      <c r="E458" s="3" t="s">
        <v>977</v>
      </c>
      <c r="F458" s="3" t="s">
        <v>1068</v>
      </c>
      <c r="G458" s="10" t="s">
        <v>1069</v>
      </c>
      <c r="H458" s="9" t="s">
        <v>13</v>
      </c>
      <c r="I458" s="9" t="s">
        <v>1070</v>
      </c>
    </row>
    <row r="459" customFormat="false" ht="15.75" hidden="false" customHeight="false" outlineLevel="0" collapsed="false">
      <c r="B459" s="7" t="n">
        <v>46212</v>
      </c>
      <c r="C459" s="3" t="s">
        <v>1071</v>
      </c>
      <c r="D459" s="3" t="s">
        <v>976</v>
      </c>
      <c r="E459" s="3" t="s">
        <v>977</v>
      </c>
      <c r="F459" s="3" t="s">
        <v>1068</v>
      </c>
      <c r="G459" s="8" t="s">
        <v>1072</v>
      </c>
      <c r="H459" s="9" t="s">
        <v>13</v>
      </c>
      <c r="I459" s="9" t="s">
        <v>1073</v>
      </c>
    </row>
    <row r="460" customFormat="false" ht="15.75" hidden="false" customHeight="false" outlineLevel="0" collapsed="false">
      <c r="B460" s="7" t="n">
        <v>46212</v>
      </c>
      <c r="C460" s="3" t="s">
        <v>1074</v>
      </c>
      <c r="D460" s="3" t="s">
        <v>976</v>
      </c>
      <c r="E460" s="3" t="s">
        <v>977</v>
      </c>
      <c r="F460" s="3" t="s">
        <v>1068</v>
      </c>
      <c r="G460" s="10" t="s">
        <v>1075</v>
      </c>
      <c r="H460" s="9" t="s">
        <v>13</v>
      </c>
      <c r="I460" s="9" t="s">
        <v>1076</v>
      </c>
    </row>
    <row r="461" customFormat="false" ht="15.75" hidden="false" customHeight="false" outlineLevel="0" collapsed="false">
      <c r="B461" s="7" t="n">
        <v>46212</v>
      </c>
      <c r="C461" s="3" t="s">
        <v>1077</v>
      </c>
      <c r="D461" s="3" t="s">
        <v>976</v>
      </c>
      <c r="E461" s="3" t="s">
        <v>977</v>
      </c>
      <c r="F461" s="3" t="s">
        <v>1068</v>
      </c>
      <c r="G461" s="10" t="s">
        <v>1078</v>
      </c>
      <c r="H461" s="9" t="s">
        <v>13</v>
      </c>
      <c r="I461" s="9" t="s">
        <v>1079</v>
      </c>
    </row>
    <row r="462" customFormat="false" ht="15.75" hidden="false" customHeight="false" outlineLevel="0" collapsed="false">
      <c r="B462" s="7" t="n">
        <v>46212</v>
      </c>
      <c r="C462" s="3" t="s">
        <v>1080</v>
      </c>
      <c r="D462" s="3" t="s">
        <v>976</v>
      </c>
      <c r="E462" s="3" t="s">
        <v>977</v>
      </c>
      <c r="F462" s="3" t="s">
        <v>1068</v>
      </c>
      <c r="G462" s="10" t="s">
        <v>1081</v>
      </c>
      <c r="H462" s="9" t="s">
        <v>13</v>
      </c>
      <c r="I462" s="9" t="s">
        <v>1082</v>
      </c>
    </row>
    <row r="463" customFormat="false" ht="15.75" hidden="false" customHeight="false" outlineLevel="0" collapsed="false">
      <c r="B463" s="7" t="n">
        <v>46212</v>
      </c>
      <c r="C463" s="3" t="s">
        <v>1083</v>
      </c>
      <c r="D463" s="3" t="s">
        <v>976</v>
      </c>
      <c r="E463" s="3" t="s">
        <v>977</v>
      </c>
      <c r="F463" s="3" t="s">
        <v>1068</v>
      </c>
      <c r="G463" s="10" t="s">
        <v>1081</v>
      </c>
      <c r="H463" s="9" t="s">
        <v>13</v>
      </c>
      <c r="I463" s="9" t="s">
        <v>1082</v>
      </c>
    </row>
    <row r="464" customFormat="false" ht="15.75" hidden="false" customHeight="false" outlineLevel="0" collapsed="false">
      <c r="B464" s="7" t="n">
        <v>46212</v>
      </c>
      <c r="C464" s="3" t="s">
        <v>1084</v>
      </c>
      <c r="D464" s="3" t="s">
        <v>976</v>
      </c>
      <c r="E464" s="3" t="s">
        <v>977</v>
      </c>
      <c r="F464" s="3" t="s">
        <v>1068</v>
      </c>
      <c r="G464" s="10" t="s">
        <v>1085</v>
      </c>
      <c r="H464" s="9" t="s">
        <v>13</v>
      </c>
      <c r="I464" s="9" t="s">
        <v>1086</v>
      </c>
    </row>
    <row r="465" customFormat="false" ht="15.75" hidden="false" customHeight="false" outlineLevel="0" collapsed="false">
      <c r="B465" s="7" t="n">
        <v>46212</v>
      </c>
      <c r="C465" s="3" t="s">
        <v>1087</v>
      </c>
      <c r="D465" s="3" t="s">
        <v>976</v>
      </c>
      <c r="E465" s="3" t="s">
        <v>977</v>
      </c>
      <c r="F465" s="3" t="s">
        <v>1068</v>
      </c>
      <c r="G465" s="10" t="s">
        <v>1088</v>
      </c>
      <c r="H465" s="9" t="s">
        <v>13</v>
      </c>
      <c r="I465" s="9" t="s">
        <v>1089</v>
      </c>
    </row>
    <row r="466" customFormat="false" ht="15.75" hidden="false" customHeight="false" outlineLevel="0" collapsed="false">
      <c r="B466" s="7" t="n">
        <v>46212</v>
      </c>
      <c r="C466" s="3" t="s">
        <v>1090</v>
      </c>
      <c r="D466" s="3" t="s">
        <v>976</v>
      </c>
      <c r="E466" s="3" t="s">
        <v>977</v>
      </c>
      <c r="F466" s="3" t="s">
        <v>1068</v>
      </c>
      <c r="G466" s="10" t="s">
        <v>1091</v>
      </c>
      <c r="H466" s="9" t="s">
        <v>13</v>
      </c>
      <c r="I466" s="9" t="s">
        <v>1092</v>
      </c>
    </row>
    <row r="467" customFormat="false" ht="15.75" hidden="false" customHeight="false" outlineLevel="0" collapsed="false">
      <c r="B467" s="7" t="n">
        <v>46212</v>
      </c>
      <c r="C467" s="3" t="s">
        <v>1093</v>
      </c>
      <c r="D467" s="3" t="s">
        <v>976</v>
      </c>
      <c r="E467" s="3" t="s">
        <v>977</v>
      </c>
      <c r="F467" s="3" t="s">
        <v>1068</v>
      </c>
      <c r="G467" s="8" t="s">
        <v>1094</v>
      </c>
      <c r="H467" s="9" t="s">
        <v>13</v>
      </c>
      <c r="I467" s="9" t="s">
        <v>1095</v>
      </c>
    </row>
    <row r="468" customFormat="false" ht="15.75" hidden="false" customHeight="false" outlineLevel="0" collapsed="false">
      <c r="B468" s="7" t="n">
        <v>46212</v>
      </c>
      <c r="C468" s="3" t="s">
        <v>1096</v>
      </c>
      <c r="D468" s="3" t="s">
        <v>976</v>
      </c>
      <c r="E468" s="3" t="s">
        <v>977</v>
      </c>
      <c r="F468" s="3" t="s">
        <v>1068</v>
      </c>
      <c r="G468" s="10" t="s">
        <v>1097</v>
      </c>
      <c r="H468" s="9" t="s">
        <v>13</v>
      </c>
      <c r="I468" s="9" t="s">
        <v>1098</v>
      </c>
    </row>
    <row r="469" customFormat="false" ht="15.75" hidden="false" customHeight="false" outlineLevel="0" collapsed="false">
      <c r="B469" s="7" t="n">
        <v>46212</v>
      </c>
      <c r="C469" s="3" t="s">
        <v>1099</v>
      </c>
      <c r="D469" s="3" t="s">
        <v>976</v>
      </c>
      <c r="E469" s="3" t="s">
        <v>977</v>
      </c>
      <c r="F469" s="3" t="s">
        <v>1068</v>
      </c>
      <c r="G469" s="10" t="s">
        <v>1100</v>
      </c>
      <c r="H469" s="9" t="s">
        <v>13</v>
      </c>
      <c r="I469" s="9" t="s">
        <v>1101</v>
      </c>
    </row>
    <row r="470" customFormat="false" ht="15.75" hidden="false" customHeight="false" outlineLevel="0" collapsed="false">
      <c r="B470" s="7" t="n">
        <v>46212</v>
      </c>
      <c r="C470" s="3" t="s">
        <v>1102</v>
      </c>
      <c r="D470" s="3" t="s">
        <v>976</v>
      </c>
      <c r="E470" s="3" t="s">
        <v>977</v>
      </c>
      <c r="F470" s="3" t="s">
        <v>1068</v>
      </c>
      <c r="G470" s="10" t="s">
        <v>1103</v>
      </c>
      <c r="H470" s="9" t="s">
        <v>13</v>
      </c>
      <c r="I470" s="9" t="s">
        <v>1104</v>
      </c>
    </row>
    <row r="471" customFormat="false" ht="15.75" hidden="false" customHeight="false" outlineLevel="0" collapsed="false">
      <c r="B471" s="7" t="n">
        <v>46212</v>
      </c>
      <c r="C471" s="3" t="s">
        <v>1105</v>
      </c>
      <c r="D471" s="3" t="s">
        <v>976</v>
      </c>
      <c r="E471" s="3" t="s">
        <v>977</v>
      </c>
      <c r="F471" s="3" t="s">
        <v>1068</v>
      </c>
      <c r="G471" s="10" t="s">
        <v>1106</v>
      </c>
      <c r="H471" s="9" t="s">
        <v>13</v>
      </c>
      <c r="I471" s="9" t="s">
        <v>1107</v>
      </c>
    </row>
    <row r="472" customFormat="false" ht="15.75" hidden="false" customHeight="false" outlineLevel="0" collapsed="false">
      <c r="B472" s="7" t="n">
        <v>46212</v>
      </c>
      <c r="C472" s="3" t="s">
        <v>1108</v>
      </c>
      <c r="D472" s="3" t="s">
        <v>976</v>
      </c>
      <c r="E472" s="3" t="s">
        <v>977</v>
      </c>
      <c r="F472" s="3" t="s">
        <v>1068</v>
      </c>
      <c r="G472" s="10" t="s">
        <v>1109</v>
      </c>
      <c r="H472" s="9" t="s">
        <v>13</v>
      </c>
      <c r="I472" s="9" t="s">
        <v>1110</v>
      </c>
    </row>
    <row r="473" customFormat="false" ht="15.75" hidden="false" customHeight="false" outlineLevel="0" collapsed="false">
      <c r="B473" s="7" t="n">
        <v>46212</v>
      </c>
      <c r="C473" s="3" t="s">
        <v>1111</v>
      </c>
      <c r="D473" s="3" t="s">
        <v>976</v>
      </c>
      <c r="E473" s="3" t="s">
        <v>977</v>
      </c>
      <c r="F473" s="3" t="s">
        <v>1068</v>
      </c>
      <c r="G473" s="10" t="s">
        <v>1109</v>
      </c>
      <c r="H473" s="9" t="s">
        <v>13</v>
      </c>
      <c r="I473" s="9" t="s">
        <v>1110</v>
      </c>
    </row>
    <row r="474" customFormat="false" ht="15.75" hidden="false" customHeight="false" outlineLevel="0" collapsed="false">
      <c r="B474" s="7" t="n">
        <v>46212</v>
      </c>
      <c r="C474" s="3" t="s">
        <v>1112</v>
      </c>
      <c r="D474" s="3" t="s">
        <v>976</v>
      </c>
      <c r="E474" s="3" t="s">
        <v>977</v>
      </c>
      <c r="F474" s="3" t="s">
        <v>1068</v>
      </c>
      <c r="G474" s="8" t="s">
        <v>1113</v>
      </c>
      <c r="H474" s="9" t="s">
        <v>13</v>
      </c>
      <c r="I474" s="9" t="s">
        <v>1114</v>
      </c>
    </row>
    <row r="475" customFormat="false" ht="15.75" hidden="false" customHeight="false" outlineLevel="0" collapsed="false">
      <c r="B475" s="7" t="n">
        <v>46212</v>
      </c>
      <c r="C475" s="3" t="s">
        <v>1115</v>
      </c>
      <c r="D475" s="3" t="s">
        <v>976</v>
      </c>
      <c r="E475" s="3" t="s">
        <v>977</v>
      </c>
      <c r="F475" s="3" t="s">
        <v>1068</v>
      </c>
      <c r="G475" s="10" t="s">
        <v>1116</v>
      </c>
      <c r="H475" s="9" t="s">
        <v>13</v>
      </c>
      <c r="I475" s="9" t="s">
        <v>1117</v>
      </c>
    </row>
    <row r="476" customFormat="false" ht="15.75" hidden="false" customHeight="false" outlineLevel="0" collapsed="false">
      <c r="B476" s="7" t="n">
        <v>46212</v>
      </c>
      <c r="C476" s="3" t="s">
        <v>1118</v>
      </c>
      <c r="D476" s="3" t="s">
        <v>976</v>
      </c>
      <c r="E476" s="3" t="s">
        <v>977</v>
      </c>
      <c r="F476" s="3" t="s">
        <v>1068</v>
      </c>
      <c r="G476" s="10" t="s">
        <v>1119</v>
      </c>
      <c r="H476" s="9" t="s">
        <v>13</v>
      </c>
      <c r="I476" s="9" t="s">
        <v>1120</v>
      </c>
    </row>
    <row r="477" customFormat="false" ht="15.75" hidden="false" customHeight="false" outlineLevel="0" collapsed="false">
      <c r="B477" s="7" t="n">
        <v>46212</v>
      </c>
      <c r="C477" s="3" t="s">
        <v>1121</v>
      </c>
      <c r="D477" s="3" t="s">
        <v>976</v>
      </c>
      <c r="E477" s="3" t="s">
        <v>977</v>
      </c>
      <c r="F477" s="3" t="s">
        <v>1068</v>
      </c>
      <c r="G477" s="10" t="s">
        <v>1122</v>
      </c>
      <c r="H477" s="9" t="s">
        <v>13</v>
      </c>
      <c r="I477" s="9" t="s">
        <v>1123</v>
      </c>
    </row>
    <row r="478" customFormat="false" ht="15.75" hidden="false" customHeight="false" outlineLevel="0" collapsed="false">
      <c r="B478" s="7" t="n">
        <v>46212</v>
      </c>
      <c r="C478" s="3" t="s">
        <v>1124</v>
      </c>
      <c r="D478" s="3" t="s">
        <v>976</v>
      </c>
      <c r="E478" s="3" t="s">
        <v>977</v>
      </c>
      <c r="F478" s="3" t="s">
        <v>1068</v>
      </c>
      <c r="G478" s="10" t="s">
        <v>1125</v>
      </c>
      <c r="H478" s="9" t="s">
        <v>13</v>
      </c>
      <c r="I478" s="9" t="s">
        <v>1126</v>
      </c>
    </row>
    <row r="479" customFormat="false" ht="15.75" hidden="false" customHeight="false" outlineLevel="0" collapsed="false">
      <c r="B479" s="7" t="n">
        <v>46212</v>
      </c>
      <c r="C479" s="3" t="s">
        <v>1127</v>
      </c>
      <c r="D479" s="3" t="s">
        <v>976</v>
      </c>
      <c r="E479" s="3" t="s">
        <v>977</v>
      </c>
      <c r="F479" s="3" t="s">
        <v>1068</v>
      </c>
      <c r="G479" s="10" t="s">
        <v>1100</v>
      </c>
      <c r="H479" s="9" t="s">
        <v>13</v>
      </c>
      <c r="I479" s="9" t="s">
        <v>1128</v>
      </c>
    </row>
    <row r="480" customFormat="false" ht="15.75" hidden="false" customHeight="false" outlineLevel="0" collapsed="false">
      <c r="B480" s="7" t="n">
        <v>46212</v>
      </c>
      <c r="C480" s="3" t="s">
        <v>1129</v>
      </c>
      <c r="D480" s="3" t="s">
        <v>976</v>
      </c>
      <c r="E480" s="3" t="s">
        <v>977</v>
      </c>
      <c r="F480" s="3" t="s">
        <v>1068</v>
      </c>
      <c r="G480" s="10" t="s">
        <v>1130</v>
      </c>
      <c r="H480" s="9" t="s">
        <v>13</v>
      </c>
      <c r="I480" s="9" t="s">
        <v>1131</v>
      </c>
    </row>
    <row r="481" customFormat="false" ht="15.75" hidden="false" customHeight="false" outlineLevel="0" collapsed="false">
      <c r="B481" s="7" t="n">
        <v>46212</v>
      </c>
      <c r="C481" s="3" t="s">
        <v>1132</v>
      </c>
      <c r="D481" s="3" t="s">
        <v>976</v>
      </c>
      <c r="E481" s="3" t="s">
        <v>977</v>
      </c>
      <c r="F481" s="3" t="s">
        <v>1068</v>
      </c>
      <c r="G481" s="10" t="s">
        <v>1130</v>
      </c>
      <c r="H481" s="9" t="s">
        <v>13</v>
      </c>
      <c r="I481" s="9" t="s">
        <v>1133</v>
      </c>
    </row>
    <row r="482" customFormat="false" ht="15.75" hidden="false" customHeight="false" outlineLevel="0" collapsed="false">
      <c r="B482" s="7" t="n">
        <v>46212</v>
      </c>
      <c r="C482" s="3" t="s">
        <v>1134</v>
      </c>
      <c r="D482" s="3" t="s">
        <v>976</v>
      </c>
      <c r="E482" s="3" t="s">
        <v>977</v>
      </c>
      <c r="F482" s="3" t="s">
        <v>1068</v>
      </c>
      <c r="G482" s="10" t="s">
        <v>1130</v>
      </c>
      <c r="H482" s="9" t="s">
        <v>13</v>
      </c>
      <c r="I482" s="9" t="s">
        <v>1135</v>
      </c>
    </row>
    <row r="483" customFormat="false" ht="15.75" hidden="false" customHeight="false" outlineLevel="0" collapsed="false">
      <c r="B483" s="7" t="n">
        <v>46212</v>
      </c>
      <c r="C483" s="3" t="s">
        <v>1136</v>
      </c>
      <c r="D483" s="3" t="s">
        <v>976</v>
      </c>
      <c r="E483" s="3" t="s">
        <v>977</v>
      </c>
      <c r="F483" s="3" t="s">
        <v>1068</v>
      </c>
      <c r="G483" s="8" t="s">
        <v>1137</v>
      </c>
      <c r="H483" s="9" t="s">
        <v>13</v>
      </c>
      <c r="I483" s="9" t="s">
        <v>1138</v>
      </c>
    </row>
    <row r="484" customFormat="false" ht="15.75" hidden="false" customHeight="false" outlineLevel="0" collapsed="false">
      <c r="B484" s="7" t="n">
        <v>46212</v>
      </c>
      <c r="C484" s="3" t="s">
        <v>1139</v>
      </c>
      <c r="D484" s="3" t="s">
        <v>976</v>
      </c>
      <c r="E484" s="3" t="s">
        <v>977</v>
      </c>
      <c r="F484" s="3" t="s">
        <v>1068</v>
      </c>
      <c r="G484" s="10" t="s">
        <v>1140</v>
      </c>
      <c r="H484" s="9" t="s">
        <v>13</v>
      </c>
      <c r="I484" s="9" t="s">
        <v>1141</v>
      </c>
    </row>
    <row r="485" customFormat="false" ht="15.75" hidden="false" customHeight="false" outlineLevel="0" collapsed="false">
      <c r="B485" s="7" t="n">
        <v>46212</v>
      </c>
      <c r="C485" s="3" t="s">
        <v>1142</v>
      </c>
      <c r="D485" s="3" t="s">
        <v>976</v>
      </c>
      <c r="E485" s="3" t="s">
        <v>977</v>
      </c>
      <c r="F485" s="3" t="s">
        <v>1068</v>
      </c>
      <c r="G485" s="8" t="s">
        <v>1143</v>
      </c>
      <c r="H485" s="9" t="s">
        <v>13</v>
      </c>
      <c r="I485" s="9" t="s">
        <v>1144</v>
      </c>
    </row>
    <row r="486" customFormat="false" ht="15.75" hidden="false" customHeight="false" outlineLevel="0" collapsed="false">
      <c r="B486" s="7" t="n">
        <v>46212</v>
      </c>
      <c r="C486" s="3" t="s">
        <v>1145</v>
      </c>
      <c r="D486" s="3" t="s">
        <v>976</v>
      </c>
      <c r="E486" s="3" t="s">
        <v>977</v>
      </c>
      <c r="F486" s="3" t="s">
        <v>1068</v>
      </c>
      <c r="G486" s="10" t="s">
        <v>1146</v>
      </c>
      <c r="H486" s="9" t="s">
        <v>13</v>
      </c>
      <c r="I486" s="9" t="s">
        <v>1147</v>
      </c>
    </row>
    <row r="487" customFormat="false" ht="15.75" hidden="false" customHeight="false" outlineLevel="0" collapsed="false">
      <c r="B487" s="7" t="n">
        <v>46212</v>
      </c>
      <c r="C487" s="3" t="s">
        <v>1148</v>
      </c>
      <c r="D487" s="3" t="s">
        <v>976</v>
      </c>
      <c r="E487" s="3" t="s">
        <v>977</v>
      </c>
      <c r="F487" s="3" t="s">
        <v>1068</v>
      </c>
      <c r="G487" s="10" t="s">
        <v>1149</v>
      </c>
      <c r="H487" s="9" t="s">
        <v>13</v>
      </c>
      <c r="I487" s="9" t="s">
        <v>1150</v>
      </c>
    </row>
    <row r="488" customFormat="false" ht="15.75" hidden="false" customHeight="false" outlineLevel="0" collapsed="false">
      <c r="B488" s="7" t="n">
        <v>46212</v>
      </c>
      <c r="C488" s="3" t="s">
        <v>1151</v>
      </c>
      <c r="D488" s="3" t="s">
        <v>976</v>
      </c>
      <c r="E488" s="3" t="s">
        <v>977</v>
      </c>
      <c r="F488" s="3" t="s">
        <v>1068</v>
      </c>
      <c r="G488" s="10" t="s">
        <v>1152</v>
      </c>
      <c r="H488" s="9" t="s">
        <v>13</v>
      </c>
      <c r="I488" s="9" t="s">
        <v>1153</v>
      </c>
    </row>
    <row r="489" customFormat="false" ht="15.75" hidden="false" customHeight="false" outlineLevel="0" collapsed="false">
      <c r="B489" s="7" t="n">
        <v>46212</v>
      </c>
      <c r="C489" s="3" t="s">
        <v>1154</v>
      </c>
      <c r="D489" s="3" t="s">
        <v>976</v>
      </c>
      <c r="E489" s="3" t="s">
        <v>977</v>
      </c>
      <c r="F489" s="3" t="s">
        <v>1068</v>
      </c>
      <c r="G489" s="10" t="s">
        <v>1155</v>
      </c>
      <c r="H489" s="9" t="s">
        <v>13</v>
      </c>
      <c r="I489" s="9" t="s">
        <v>1156</v>
      </c>
    </row>
    <row r="490" customFormat="false" ht="15.75" hidden="false" customHeight="false" outlineLevel="0" collapsed="false">
      <c r="B490" s="7" t="n">
        <v>46212</v>
      </c>
      <c r="C490" s="3" t="s">
        <v>1157</v>
      </c>
      <c r="D490" s="3" t="s">
        <v>976</v>
      </c>
      <c r="E490" s="3" t="s">
        <v>977</v>
      </c>
      <c r="F490" s="3" t="s">
        <v>1068</v>
      </c>
      <c r="G490" s="10" t="s">
        <v>1085</v>
      </c>
      <c r="H490" s="9" t="s">
        <v>13</v>
      </c>
      <c r="I490" s="9" t="s">
        <v>1158</v>
      </c>
    </row>
    <row r="491" customFormat="false" ht="15.75" hidden="false" customHeight="false" outlineLevel="0" collapsed="false">
      <c r="B491" s="7" t="n">
        <v>46212</v>
      </c>
      <c r="C491" s="3" t="s">
        <v>1159</v>
      </c>
      <c r="D491" s="3" t="s">
        <v>976</v>
      </c>
      <c r="E491" s="3" t="s">
        <v>977</v>
      </c>
      <c r="F491" s="3" t="s">
        <v>1068</v>
      </c>
      <c r="G491" s="10" t="s">
        <v>1160</v>
      </c>
      <c r="H491" s="9" t="s">
        <v>13</v>
      </c>
      <c r="I491" s="9" t="s">
        <v>1161</v>
      </c>
    </row>
    <row r="492" customFormat="false" ht="15.75" hidden="false" customHeight="false" outlineLevel="0" collapsed="false">
      <c r="B492" s="7" t="n">
        <v>46212</v>
      </c>
      <c r="C492" s="3" t="s">
        <v>1162</v>
      </c>
      <c r="D492" s="3" t="s">
        <v>976</v>
      </c>
      <c r="E492" s="3" t="s">
        <v>977</v>
      </c>
      <c r="F492" s="3" t="s">
        <v>1068</v>
      </c>
      <c r="G492" s="10" t="s">
        <v>1163</v>
      </c>
      <c r="H492" s="9" t="s">
        <v>13</v>
      </c>
      <c r="I492" s="9" t="s">
        <v>1164</v>
      </c>
    </row>
    <row r="493" customFormat="false" ht="15.75" hidden="false" customHeight="false" outlineLevel="0" collapsed="false">
      <c r="B493" s="7" t="n">
        <v>46212</v>
      </c>
      <c r="C493" s="3" t="s">
        <v>1165</v>
      </c>
      <c r="D493" s="3" t="s">
        <v>976</v>
      </c>
      <c r="E493" s="3" t="s">
        <v>977</v>
      </c>
      <c r="F493" s="3" t="s">
        <v>1166</v>
      </c>
      <c r="G493" s="10" t="s">
        <v>1167</v>
      </c>
      <c r="H493" s="9" t="s">
        <v>13</v>
      </c>
      <c r="I493" s="9" t="s">
        <v>1168</v>
      </c>
    </row>
    <row r="494" customFormat="false" ht="15.75" hidden="false" customHeight="false" outlineLevel="0" collapsed="false">
      <c r="B494" s="7" t="n">
        <v>46212</v>
      </c>
      <c r="C494" s="3" t="s">
        <v>1169</v>
      </c>
      <c r="D494" s="3" t="s">
        <v>976</v>
      </c>
      <c r="E494" s="3" t="s">
        <v>977</v>
      </c>
      <c r="F494" s="3" t="s">
        <v>1166</v>
      </c>
      <c r="G494" s="10" t="s">
        <v>1170</v>
      </c>
      <c r="H494" s="9" t="s">
        <v>13</v>
      </c>
      <c r="I494" s="9" t="s">
        <v>1171</v>
      </c>
    </row>
    <row r="495" customFormat="false" ht="15.75" hidden="false" customHeight="false" outlineLevel="0" collapsed="false">
      <c r="B495" s="7" t="n">
        <v>46212</v>
      </c>
      <c r="C495" s="3" t="s">
        <v>1172</v>
      </c>
      <c r="D495" s="3" t="s">
        <v>976</v>
      </c>
      <c r="E495" s="3" t="s">
        <v>977</v>
      </c>
      <c r="F495" s="3" t="s">
        <v>1166</v>
      </c>
      <c r="G495" s="10" t="s">
        <v>1170</v>
      </c>
      <c r="H495" s="9" t="s">
        <v>13</v>
      </c>
      <c r="I495" s="9" t="s">
        <v>1171</v>
      </c>
    </row>
    <row r="496" customFormat="false" ht="15.75" hidden="false" customHeight="false" outlineLevel="0" collapsed="false">
      <c r="B496" s="7" t="n">
        <v>46212</v>
      </c>
      <c r="C496" s="3" t="s">
        <v>1173</v>
      </c>
      <c r="D496" s="3" t="s">
        <v>976</v>
      </c>
      <c r="E496" s="3" t="s">
        <v>977</v>
      </c>
      <c r="F496" s="3" t="s">
        <v>1166</v>
      </c>
      <c r="G496" s="10" t="s">
        <v>770</v>
      </c>
      <c r="H496" s="9" t="s">
        <v>13</v>
      </c>
      <c r="I496" s="9" t="s">
        <v>1174</v>
      </c>
    </row>
    <row r="497" customFormat="false" ht="15.75" hidden="false" customHeight="false" outlineLevel="0" collapsed="false">
      <c r="B497" s="7" t="n">
        <v>46212</v>
      </c>
      <c r="C497" s="3" t="s">
        <v>1175</v>
      </c>
      <c r="D497" s="3" t="s">
        <v>976</v>
      </c>
      <c r="E497" s="3" t="s">
        <v>977</v>
      </c>
      <c r="F497" s="3" t="s">
        <v>1166</v>
      </c>
      <c r="G497" s="10" t="s">
        <v>1176</v>
      </c>
      <c r="H497" s="9" t="s">
        <v>13</v>
      </c>
      <c r="I497" s="9" t="s">
        <v>1177</v>
      </c>
    </row>
    <row r="498" customFormat="false" ht="15.75" hidden="false" customHeight="false" outlineLevel="0" collapsed="false">
      <c r="B498" s="7" t="n">
        <v>46212</v>
      </c>
      <c r="C498" s="3" t="s">
        <v>1178</v>
      </c>
      <c r="D498" s="3" t="s">
        <v>976</v>
      </c>
      <c r="E498" s="3" t="s">
        <v>977</v>
      </c>
      <c r="F498" s="3" t="s">
        <v>1166</v>
      </c>
      <c r="G498" s="10" t="s">
        <v>1179</v>
      </c>
      <c r="H498" s="9" t="s">
        <v>13</v>
      </c>
      <c r="I498" s="9" t="s">
        <v>1180</v>
      </c>
    </row>
    <row r="499" customFormat="false" ht="15.75" hidden="false" customHeight="false" outlineLevel="0" collapsed="false">
      <c r="B499" s="7" t="n">
        <v>46212</v>
      </c>
      <c r="C499" s="3" t="s">
        <v>1181</v>
      </c>
      <c r="D499" s="3" t="s">
        <v>976</v>
      </c>
      <c r="E499" s="3" t="s">
        <v>977</v>
      </c>
      <c r="F499" s="3" t="s">
        <v>1166</v>
      </c>
      <c r="G499" s="10" t="s">
        <v>1182</v>
      </c>
      <c r="H499" s="9" t="s">
        <v>13</v>
      </c>
      <c r="I499" s="9" t="s">
        <v>1183</v>
      </c>
    </row>
    <row r="500" customFormat="false" ht="15.75" hidden="false" customHeight="false" outlineLevel="0" collapsed="false">
      <c r="B500" s="7" t="n">
        <v>46212</v>
      </c>
      <c r="C500" s="3" t="s">
        <v>1184</v>
      </c>
      <c r="D500" s="3" t="s">
        <v>976</v>
      </c>
      <c r="E500" s="3" t="s">
        <v>977</v>
      </c>
      <c r="F500" s="3" t="s">
        <v>1166</v>
      </c>
      <c r="G500" s="10" t="s">
        <v>1185</v>
      </c>
      <c r="H500" s="9" t="s">
        <v>13</v>
      </c>
      <c r="I500" s="9" t="s">
        <v>1186</v>
      </c>
    </row>
    <row r="501" customFormat="false" ht="15.75" hidden="false" customHeight="false" outlineLevel="0" collapsed="false">
      <c r="B501" s="7" t="n">
        <v>46212</v>
      </c>
      <c r="C501" s="3" t="s">
        <v>1187</v>
      </c>
      <c r="D501" s="3" t="s">
        <v>976</v>
      </c>
      <c r="E501" s="3" t="s">
        <v>977</v>
      </c>
      <c r="F501" s="3" t="s">
        <v>1166</v>
      </c>
      <c r="G501" s="10" t="s">
        <v>1188</v>
      </c>
      <c r="H501" s="9" t="s">
        <v>13</v>
      </c>
      <c r="I501" s="9" t="s">
        <v>1189</v>
      </c>
    </row>
    <row r="502" customFormat="false" ht="15.75" hidden="false" customHeight="false" outlineLevel="0" collapsed="false">
      <c r="B502" s="7" t="n">
        <v>46212</v>
      </c>
      <c r="C502" s="3" t="s">
        <v>1190</v>
      </c>
      <c r="D502" s="3" t="s">
        <v>976</v>
      </c>
      <c r="E502" s="3" t="s">
        <v>977</v>
      </c>
      <c r="F502" s="3" t="s">
        <v>1166</v>
      </c>
      <c r="G502" s="10" t="s">
        <v>1188</v>
      </c>
      <c r="H502" s="9" t="s">
        <v>13</v>
      </c>
      <c r="I502" s="9" t="s">
        <v>1189</v>
      </c>
    </row>
    <row r="503" customFormat="false" ht="15.75" hidden="false" customHeight="false" outlineLevel="0" collapsed="false">
      <c r="B503" s="7" t="n">
        <v>46212</v>
      </c>
      <c r="C503" s="3" t="s">
        <v>1191</v>
      </c>
      <c r="D503" s="3" t="s">
        <v>976</v>
      </c>
      <c r="E503" s="3" t="s">
        <v>977</v>
      </c>
      <c r="F503" s="3" t="s">
        <v>1166</v>
      </c>
      <c r="G503" s="10" t="s">
        <v>1192</v>
      </c>
      <c r="H503" s="9" t="s">
        <v>13</v>
      </c>
      <c r="I503" s="9" t="s">
        <v>1193</v>
      </c>
    </row>
    <row r="504" customFormat="false" ht="15.75" hidden="false" customHeight="false" outlineLevel="0" collapsed="false">
      <c r="B504" s="7" t="n">
        <v>46212</v>
      </c>
      <c r="C504" s="3" t="s">
        <v>1194</v>
      </c>
      <c r="D504" s="3" t="s">
        <v>976</v>
      </c>
      <c r="E504" s="3" t="s">
        <v>977</v>
      </c>
      <c r="F504" s="3" t="s">
        <v>1166</v>
      </c>
      <c r="G504" s="10" t="s">
        <v>1185</v>
      </c>
      <c r="H504" s="9" t="s">
        <v>13</v>
      </c>
      <c r="I504" s="9" t="s">
        <v>1195</v>
      </c>
    </row>
    <row r="505" customFormat="false" ht="15.75" hidden="false" customHeight="false" outlineLevel="0" collapsed="false">
      <c r="B505" s="7" t="n">
        <v>46212</v>
      </c>
      <c r="C505" s="3" t="s">
        <v>1196</v>
      </c>
      <c r="D505" s="3" t="s">
        <v>976</v>
      </c>
      <c r="E505" s="3" t="s">
        <v>977</v>
      </c>
      <c r="F505" s="3" t="s">
        <v>1166</v>
      </c>
      <c r="G505" s="10" t="s">
        <v>1185</v>
      </c>
      <c r="H505" s="9" t="s">
        <v>13</v>
      </c>
      <c r="I505" s="9" t="s">
        <v>1195</v>
      </c>
    </row>
    <row r="506" customFormat="false" ht="15.75" hidden="false" customHeight="false" outlineLevel="0" collapsed="false">
      <c r="B506" s="7" t="n">
        <v>46212</v>
      </c>
      <c r="C506" s="3" t="s">
        <v>1197</v>
      </c>
      <c r="D506" s="3" t="s">
        <v>976</v>
      </c>
      <c r="E506" s="3" t="s">
        <v>977</v>
      </c>
      <c r="F506" s="3" t="s">
        <v>1166</v>
      </c>
      <c r="G506" s="10" t="s">
        <v>1198</v>
      </c>
      <c r="H506" s="9" t="s">
        <v>13</v>
      </c>
      <c r="I506" s="9" t="s">
        <v>1199</v>
      </c>
    </row>
    <row r="507" customFormat="false" ht="15.75" hidden="false" customHeight="false" outlineLevel="0" collapsed="false">
      <c r="B507" s="7" t="n">
        <v>46212</v>
      </c>
      <c r="C507" s="3" t="s">
        <v>1200</v>
      </c>
      <c r="D507" s="3" t="s">
        <v>976</v>
      </c>
      <c r="E507" s="3" t="s">
        <v>977</v>
      </c>
      <c r="F507" s="3" t="s">
        <v>1166</v>
      </c>
      <c r="G507" s="10" t="s">
        <v>1201</v>
      </c>
      <c r="H507" s="9" t="s">
        <v>13</v>
      </c>
      <c r="I507" s="9" t="s">
        <v>1202</v>
      </c>
    </row>
    <row r="508" customFormat="false" ht="15.75" hidden="false" customHeight="false" outlineLevel="0" collapsed="false">
      <c r="B508" s="7" t="n">
        <v>46212</v>
      </c>
      <c r="C508" s="3" t="s">
        <v>1203</v>
      </c>
      <c r="D508" s="3" t="s">
        <v>976</v>
      </c>
      <c r="E508" s="3" t="s">
        <v>977</v>
      </c>
      <c r="F508" s="3" t="s">
        <v>1166</v>
      </c>
      <c r="G508" s="8" t="s">
        <v>1204</v>
      </c>
      <c r="H508" s="9" t="s">
        <v>13</v>
      </c>
      <c r="I508" s="9" t="s">
        <v>1205</v>
      </c>
    </row>
    <row r="509" customFormat="false" ht="15.75" hidden="false" customHeight="false" outlineLevel="0" collapsed="false">
      <c r="B509" s="7" t="n">
        <v>46212</v>
      </c>
      <c r="C509" s="3" t="s">
        <v>1206</v>
      </c>
      <c r="D509" s="3" t="s">
        <v>976</v>
      </c>
      <c r="E509" s="3" t="s">
        <v>977</v>
      </c>
      <c r="F509" s="3" t="s">
        <v>1166</v>
      </c>
      <c r="G509" s="10" t="s">
        <v>1207</v>
      </c>
      <c r="H509" s="9" t="s">
        <v>13</v>
      </c>
      <c r="I509" s="9" t="s">
        <v>1208</v>
      </c>
    </row>
    <row r="510" customFormat="false" ht="15.75" hidden="false" customHeight="false" outlineLevel="0" collapsed="false">
      <c r="B510" s="7" t="n">
        <v>46212</v>
      </c>
      <c r="C510" s="3" t="s">
        <v>1209</v>
      </c>
      <c r="D510" s="3" t="s">
        <v>976</v>
      </c>
      <c r="E510" s="3" t="s">
        <v>977</v>
      </c>
      <c r="F510" s="3" t="s">
        <v>1166</v>
      </c>
      <c r="G510" s="10" t="s">
        <v>1210</v>
      </c>
      <c r="H510" s="9" t="s">
        <v>13</v>
      </c>
      <c r="I510" s="9" t="s">
        <v>1211</v>
      </c>
    </row>
    <row r="511" customFormat="false" ht="15.75" hidden="false" customHeight="false" outlineLevel="0" collapsed="false">
      <c r="B511" s="7" t="n">
        <v>46212</v>
      </c>
      <c r="C511" s="3" t="s">
        <v>1212</v>
      </c>
      <c r="D511" s="3" t="s">
        <v>976</v>
      </c>
      <c r="E511" s="3" t="s">
        <v>977</v>
      </c>
      <c r="F511" s="3" t="s">
        <v>1166</v>
      </c>
      <c r="G511" s="10" t="s">
        <v>1213</v>
      </c>
      <c r="H511" s="9" t="s">
        <v>13</v>
      </c>
      <c r="I511" s="9" t="s">
        <v>1214</v>
      </c>
    </row>
    <row r="512" customFormat="false" ht="15.75" hidden="false" customHeight="false" outlineLevel="0" collapsed="false">
      <c r="B512" s="7" t="n">
        <v>46212</v>
      </c>
      <c r="C512" s="3" t="s">
        <v>1215</v>
      </c>
      <c r="D512" s="3" t="s">
        <v>976</v>
      </c>
      <c r="E512" s="3" t="s">
        <v>977</v>
      </c>
      <c r="F512" s="3" t="s">
        <v>1166</v>
      </c>
      <c r="G512" s="10" t="s">
        <v>1216</v>
      </c>
      <c r="H512" s="9" t="s">
        <v>13</v>
      </c>
      <c r="I512" s="9" t="s">
        <v>1217</v>
      </c>
    </row>
    <row r="513" customFormat="false" ht="15.75" hidden="false" customHeight="false" outlineLevel="0" collapsed="false">
      <c r="B513" s="7" t="n">
        <v>46212</v>
      </c>
      <c r="C513" s="3" t="s">
        <v>1218</v>
      </c>
      <c r="D513" s="3" t="s">
        <v>976</v>
      </c>
      <c r="E513" s="3" t="s">
        <v>977</v>
      </c>
      <c r="F513" s="3" t="s">
        <v>1166</v>
      </c>
      <c r="G513" s="10" t="s">
        <v>1219</v>
      </c>
      <c r="H513" s="9" t="s">
        <v>13</v>
      </c>
      <c r="I513" s="9" t="s">
        <v>1220</v>
      </c>
    </row>
    <row r="514" customFormat="false" ht="15.75" hidden="false" customHeight="false" outlineLevel="0" collapsed="false">
      <c r="B514" s="7" t="n">
        <v>46212</v>
      </c>
      <c r="C514" s="3" t="s">
        <v>1221</v>
      </c>
      <c r="D514" s="3" t="s">
        <v>976</v>
      </c>
      <c r="E514" s="3" t="s">
        <v>977</v>
      </c>
      <c r="F514" s="3" t="s">
        <v>1166</v>
      </c>
      <c r="G514" s="10" t="s">
        <v>1222</v>
      </c>
      <c r="H514" s="9" t="s">
        <v>13</v>
      </c>
      <c r="I514" s="9" t="s">
        <v>1223</v>
      </c>
    </row>
    <row r="515" customFormat="false" ht="15.75" hidden="false" customHeight="false" outlineLevel="0" collapsed="false">
      <c r="B515" s="7" t="n">
        <v>46212</v>
      </c>
      <c r="C515" s="3" t="s">
        <v>1224</v>
      </c>
      <c r="D515" s="3" t="s">
        <v>976</v>
      </c>
      <c r="E515" s="3" t="s">
        <v>977</v>
      </c>
      <c r="F515" s="3" t="s">
        <v>1166</v>
      </c>
      <c r="G515" s="10" t="s">
        <v>1225</v>
      </c>
      <c r="H515" s="9" t="s">
        <v>13</v>
      </c>
      <c r="I515" s="9" t="s">
        <v>1226</v>
      </c>
    </row>
    <row r="516" customFormat="false" ht="15.75" hidden="false" customHeight="false" outlineLevel="0" collapsed="false">
      <c r="B516" s="7" t="n">
        <v>46212</v>
      </c>
      <c r="C516" s="3" t="s">
        <v>1227</v>
      </c>
      <c r="D516" s="3" t="s">
        <v>976</v>
      </c>
      <c r="E516" s="3" t="s">
        <v>977</v>
      </c>
      <c r="F516" s="3" t="s">
        <v>1166</v>
      </c>
      <c r="G516" s="10" t="s">
        <v>1228</v>
      </c>
      <c r="H516" s="9" t="s">
        <v>13</v>
      </c>
      <c r="I516" s="9" t="s">
        <v>1229</v>
      </c>
    </row>
    <row r="517" customFormat="false" ht="15.75" hidden="false" customHeight="false" outlineLevel="0" collapsed="false">
      <c r="B517" s="7" t="n">
        <v>46212</v>
      </c>
      <c r="C517" s="3" t="s">
        <v>1230</v>
      </c>
      <c r="D517" s="3" t="s">
        <v>976</v>
      </c>
      <c r="E517" s="3" t="s">
        <v>977</v>
      </c>
      <c r="F517" s="3" t="s">
        <v>1166</v>
      </c>
      <c r="G517" s="10" t="s">
        <v>1228</v>
      </c>
      <c r="H517" s="9" t="s">
        <v>13</v>
      </c>
      <c r="I517" s="9" t="s">
        <v>1231</v>
      </c>
    </row>
    <row r="518" customFormat="false" ht="15.75" hidden="false" customHeight="false" outlineLevel="0" collapsed="false">
      <c r="B518" s="7" t="n">
        <v>46212</v>
      </c>
      <c r="C518" s="3" t="s">
        <v>1232</v>
      </c>
      <c r="D518" s="3" t="s">
        <v>976</v>
      </c>
      <c r="E518" s="3" t="s">
        <v>977</v>
      </c>
      <c r="F518" s="3" t="s">
        <v>1166</v>
      </c>
      <c r="G518" s="10" t="s">
        <v>1233</v>
      </c>
      <c r="H518" s="9" t="s">
        <v>13</v>
      </c>
      <c r="I518" s="9" t="s">
        <v>1234</v>
      </c>
    </row>
    <row r="519" customFormat="false" ht="15.75" hidden="false" customHeight="false" outlineLevel="0" collapsed="false">
      <c r="B519" s="7" t="n">
        <v>46212</v>
      </c>
      <c r="C519" s="3" t="s">
        <v>1235</v>
      </c>
      <c r="D519" s="3" t="s">
        <v>976</v>
      </c>
      <c r="E519" s="3" t="s">
        <v>977</v>
      </c>
      <c r="F519" s="3" t="s">
        <v>1166</v>
      </c>
      <c r="G519" s="10" t="s">
        <v>1236</v>
      </c>
      <c r="H519" s="9" t="s">
        <v>13</v>
      </c>
      <c r="I519" s="9" t="s">
        <v>1237</v>
      </c>
    </row>
    <row r="520" customFormat="false" ht="15.75" hidden="false" customHeight="false" outlineLevel="0" collapsed="false">
      <c r="B520" s="7" t="n">
        <v>46212</v>
      </c>
      <c r="C520" s="3" t="s">
        <v>1238</v>
      </c>
      <c r="D520" s="3" t="s">
        <v>976</v>
      </c>
      <c r="E520" s="3" t="s">
        <v>977</v>
      </c>
      <c r="F520" s="3" t="s">
        <v>1166</v>
      </c>
      <c r="G520" s="10" t="s">
        <v>1239</v>
      </c>
      <c r="H520" s="9" t="s">
        <v>13</v>
      </c>
      <c r="I520" s="9" t="s">
        <v>1240</v>
      </c>
    </row>
    <row r="521" customFormat="false" ht="15.75" hidden="false" customHeight="false" outlineLevel="0" collapsed="false">
      <c r="B521" s="7" t="n">
        <v>46212</v>
      </c>
      <c r="C521" s="3" t="s">
        <v>1241</v>
      </c>
      <c r="D521" s="3" t="s">
        <v>976</v>
      </c>
      <c r="E521" s="3" t="s">
        <v>977</v>
      </c>
      <c r="F521" s="3" t="s">
        <v>1166</v>
      </c>
      <c r="G521" s="10" t="s">
        <v>1242</v>
      </c>
      <c r="H521" s="9" t="s">
        <v>13</v>
      </c>
      <c r="I521" s="9" t="s">
        <v>1243</v>
      </c>
    </row>
    <row r="522" customFormat="false" ht="15.75" hidden="false" customHeight="false" outlineLevel="0" collapsed="false">
      <c r="B522" s="7" t="n">
        <v>46212</v>
      </c>
      <c r="C522" s="3" t="s">
        <v>1244</v>
      </c>
      <c r="D522" s="3" t="s">
        <v>976</v>
      </c>
      <c r="E522" s="3" t="s">
        <v>977</v>
      </c>
      <c r="F522" s="3" t="s">
        <v>1166</v>
      </c>
      <c r="G522" s="10" t="s">
        <v>1242</v>
      </c>
      <c r="H522" s="9" t="s">
        <v>13</v>
      </c>
      <c r="I522" s="9" t="s">
        <v>1243</v>
      </c>
    </row>
    <row r="523" customFormat="false" ht="15.75" hidden="false" customHeight="false" outlineLevel="0" collapsed="false">
      <c r="B523" s="7" t="n">
        <v>46212</v>
      </c>
      <c r="C523" s="3" t="s">
        <v>1245</v>
      </c>
      <c r="D523" s="3" t="s">
        <v>976</v>
      </c>
      <c r="E523" s="3" t="s">
        <v>977</v>
      </c>
      <c r="F523" s="3" t="s">
        <v>1166</v>
      </c>
      <c r="G523" s="10" t="s">
        <v>1246</v>
      </c>
      <c r="H523" s="9" t="s">
        <v>13</v>
      </c>
      <c r="I523" s="9" t="s">
        <v>1247</v>
      </c>
    </row>
    <row r="524" customFormat="false" ht="15.75" hidden="false" customHeight="false" outlineLevel="0" collapsed="false">
      <c r="B524" s="7" t="n">
        <v>46212</v>
      </c>
      <c r="C524" s="3" t="s">
        <v>1248</v>
      </c>
      <c r="D524" s="3" t="s">
        <v>976</v>
      </c>
      <c r="E524" s="3" t="s">
        <v>977</v>
      </c>
      <c r="F524" s="3" t="s">
        <v>1166</v>
      </c>
      <c r="G524" s="10" t="s">
        <v>1246</v>
      </c>
      <c r="H524" s="9" t="s">
        <v>13</v>
      </c>
      <c r="I524" s="9" t="s">
        <v>1247</v>
      </c>
    </row>
    <row r="525" customFormat="false" ht="15.75" hidden="false" customHeight="false" outlineLevel="0" collapsed="false">
      <c r="B525" s="7" t="n">
        <v>46212</v>
      </c>
      <c r="C525" s="3" t="s">
        <v>1249</v>
      </c>
      <c r="D525" s="3" t="s">
        <v>976</v>
      </c>
      <c r="E525" s="3" t="s">
        <v>977</v>
      </c>
      <c r="F525" s="3" t="s">
        <v>1166</v>
      </c>
      <c r="G525" s="10" t="s">
        <v>1250</v>
      </c>
      <c r="H525" s="9" t="s">
        <v>13</v>
      </c>
      <c r="I525" s="9" t="s">
        <v>1251</v>
      </c>
    </row>
    <row r="526" customFormat="false" ht="15.75" hidden="false" customHeight="false" outlineLevel="0" collapsed="false">
      <c r="B526" s="7" t="n">
        <v>46212</v>
      </c>
      <c r="C526" s="3" t="s">
        <v>1252</v>
      </c>
      <c r="D526" s="3" t="s">
        <v>976</v>
      </c>
      <c r="E526" s="3" t="s">
        <v>977</v>
      </c>
      <c r="F526" s="3" t="s">
        <v>1166</v>
      </c>
      <c r="G526" s="10" t="s">
        <v>1176</v>
      </c>
      <c r="H526" s="9" t="s">
        <v>13</v>
      </c>
      <c r="I526" s="9" t="s">
        <v>1253</v>
      </c>
    </row>
    <row r="527" customFormat="false" ht="15.75" hidden="false" customHeight="false" outlineLevel="0" collapsed="false">
      <c r="B527" s="7" t="n">
        <v>46212</v>
      </c>
      <c r="C527" s="3" t="s">
        <v>1254</v>
      </c>
      <c r="D527" s="3" t="s">
        <v>976</v>
      </c>
      <c r="E527" s="3" t="s">
        <v>977</v>
      </c>
      <c r="F527" s="3" t="s">
        <v>1166</v>
      </c>
      <c r="G527" s="10" t="s">
        <v>1255</v>
      </c>
      <c r="H527" s="9" t="s">
        <v>13</v>
      </c>
      <c r="I527" s="9" t="s">
        <v>1256</v>
      </c>
    </row>
    <row r="528" customFormat="false" ht="15.75" hidden="false" customHeight="false" outlineLevel="0" collapsed="false">
      <c r="B528" s="7" t="n">
        <v>46201</v>
      </c>
      <c r="C528" s="3" t="s">
        <v>1257</v>
      </c>
      <c r="D528" s="3" t="s">
        <v>976</v>
      </c>
      <c r="E528" s="3" t="s">
        <v>1258</v>
      </c>
      <c r="F528" s="3" t="s">
        <v>1259</v>
      </c>
      <c r="G528" s="10" t="s">
        <v>1260</v>
      </c>
      <c r="H528" s="9" t="s">
        <v>13</v>
      </c>
      <c r="I528" s="9" t="s">
        <v>1261</v>
      </c>
    </row>
    <row r="529" customFormat="false" ht="15.75" hidden="false" customHeight="false" outlineLevel="0" collapsed="false">
      <c r="B529" s="7" t="n">
        <v>46201</v>
      </c>
      <c r="C529" s="3" t="s">
        <v>1262</v>
      </c>
      <c r="D529" s="3" t="s">
        <v>976</v>
      </c>
      <c r="E529" s="3" t="s">
        <v>1258</v>
      </c>
      <c r="F529" s="3" t="s">
        <v>1259</v>
      </c>
      <c r="G529" s="10" t="s">
        <v>1260</v>
      </c>
      <c r="H529" s="9" t="s">
        <v>13</v>
      </c>
      <c r="I529" s="9" t="s">
        <v>1263</v>
      </c>
    </row>
    <row r="530" customFormat="false" ht="15.75" hidden="false" customHeight="false" outlineLevel="0" collapsed="false">
      <c r="B530" s="7" t="n">
        <v>46201</v>
      </c>
      <c r="C530" s="3" t="s">
        <v>1264</v>
      </c>
      <c r="D530" s="3" t="s">
        <v>976</v>
      </c>
      <c r="E530" s="3" t="s">
        <v>1258</v>
      </c>
      <c r="F530" s="3" t="s">
        <v>1259</v>
      </c>
      <c r="G530" s="10" t="s">
        <v>1265</v>
      </c>
      <c r="H530" s="9" t="s">
        <v>13</v>
      </c>
      <c r="I530" s="9" t="s">
        <v>1266</v>
      </c>
    </row>
    <row r="531" customFormat="false" ht="15.75" hidden="false" customHeight="false" outlineLevel="0" collapsed="false">
      <c r="B531" s="7" t="n">
        <v>46201</v>
      </c>
      <c r="C531" s="3" t="s">
        <v>1267</v>
      </c>
      <c r="D531" s="3" t="s">
        <v>976</v>
      </c>
      <c r="E531" s="3" t="s">
        <v>1258</v>
      </c>
      <c r="F531" s="3" t="s">
        <v>1259</v>
      </c>
      <c r="G531" s="10" t="s">
        <v>1265</v>
      </c>
      <c r="H531" s="9" t="s">
        <v>13</v>
      </c>
      <c r="I531" s="9" t="s">
        <v>1266</v>
      </c>
    </row>
    <row r="532" customFormat="false" ht="15.75" hidden="false" customHeight="false" outlineLevel="0" collapsed="false">
      <c r="B532" s="7" t="n">
        <v>46201</v>
      </c>
      <c r="C532" s="3" t="s">
        <v>1268</v>
      </c>
      <c r="D532" s="3" t="s">
        <v>976</v>
      </c>
      <c r="E532" s="3" t="s">
        <v>1258</v>
      </c>
      <c r="F532" s="3" t="s">
        <v>1259</v>
      </c>
      <c r="G532" s="10" t="s">
        <v>1269</v>
      </c>
      <c r="H532" s="9" t="s">
        <v>13</v>
      </c>
      <c r="I532" s="9" t="s">
        <v>1270</v>
      </c>
    </row>
    <row r="533" customFormat="false" ht="15.75" hidden="false" customHeight="false" outlineLevel="0" collapsed="false">
      <c r="B533" s="7" t="n">
        <v>46201</v>
      </c>
      <c r="C533" s="3" t="s">
        <v>1271</v>
      </c>
      <c r="D533" s="3" t="s">
        <v>976</v>
      </c>
      <c r="E533" s="3" t="s">
        <v>1258</v>
      </c>
      <c r="F533" s="3" t="s">
        <v>1259</v>
      </c>
      <c r="G533" s="10" t="s">
        <v>1272</v>
      </c>
      <c r="H533" s="9" t="s">
        <v>13</v>
      </c>
      <c r="I533" s="9" t="s">
        <v>1273</v>
      </c>
    </row>
    <row r="534" customFormat="false" ht="15.75" hidden="false" customHeight="false" outlineLevel="0" collapsed="false">
      <c r="B534" s="7" t="n">
        <v>46201</v>
      </c>
      <c r="C534" s="3" t="s">
        <v>1274</v>
      </c>
      <c r="D534" s="3" t="s">
        <v>976</v>
      </c>
      <c r="E534" s="3" t="s">
        <v>1258</v>
      </c>
      <c r="F534" s="3" t="s">
        <v>1259</v>
      </c>
      <c r="G534" s="10" t="s">
        <v>1275</v>
      </c>
      <c r="H534" s="9" t="s">
        <v>13</v>
      </c>
      <c r="I534" s="9" t="s">
        <v>1276</v>
      </c>
    </row>
    <row r="535" customFormat="false" ht="15.75" hidden="false" customHeight="false" outlineLevel="0" collapsed="false">
      <c r="B535" s="7" t="n">
        <v>46201</v>
      </c>
      <c r="C535" s="3" t="s">
        <v>1277</v>
      </c>
      <c r="D535" s="3" t="s">
        <v>976</v>
      </c>
      <c r="E535" s="3" t="s">
        <v>1258</v>
      </c>
      <c r="F535" s="3" t="s">
        <v>1259</v>
      </c>
      <c r="G535" s="10" t="s">
        <v>1275</v>
      </c>
      <c r="H535" s="9" t="s">
        <v>13</v>
      </c>
      <c r="I535" s="9" t="s">
        <v>1276</v>
      </c>
    </row>
    <row r="536" customFormat="false" ht="15.75" hidden="false" customHeight="false" outlineLevel="0" collapsed="false">
      <c r="B536" s="7" t="n">
        <v>46201</v>
      </c>
      <c r="C536" s="3" t="s">
        <v>1278</v>
      </c>
      <c r="D536" s="3" t="s">
        <v>976</v>
      </c>
      <c r="E536" s="3" t="s">
        <v>1258</v>
      </c>
      <c r="F536" s="3" t="s">
        <v>1259</v>
      </c>
      <c r="G536" s="10" t="s">
        <v>1279</v>
      </c>
      <c r="H536" s="9" t="s">
        <v>13</v>
      </c>
      <c r="I536" s="9" t="s">
        <v>1280</v>
      </c>
    </row>
    <row r="537" customFormat="false" ht="15.75" hidden="false" customHeight="false" outlineLevel="0" collapsed="false">
      <c r="B537" s="7" t="n">
        <v>46201</v>
      </c>
      <c r="C537" s="3" t="s">
        <v>1281</v>
      </c>
      <c r="D537" s="3" t="s">
        <v>976</v>
      </c>
      <c r="E537" s="3" t="s">
        <v>1258</v>
      </c>
      <c r="F537" s="3" t="s">
        <v>1259</v>
      </c>
      <c r="G537" s="10" t="s">
        <v>1282</v>
      </c>
      <c r="H537" s="9" t="s">
        <v>13</v>
      </c>
      <c r="I537" s="9" t="s">
        <v>1283</v>
      </c>
    </row>
    <row r="538" customFormat="false" ht="15.75" hidden="false" customHeight="false" outlineLevel="0" collapsed="false">
      <c r="B538" s="7" t="n">
        <v>46201</v>
      </c>
      <c r="C538" s="3" t="s">
        <v>1284</v>
      </c>
      <c r="D538" s="3" t="s">
        <v>976</v>
      </c>
      <c r="E538" s="3" t="s">
        <v>1258</v>
      </c>
      <c r="F538" s="3" t="s">
        <v>1259</v>
      </c>
      <c r="G538" s="10" t="s">
        <v>1285</v>
      </c>
      <c r="H538" s="9" t="s">
        <v>13</v>
      </c>
      <c r="I538" s="9" t="s">
        <v>1286</v>
      </c>
    </row>
    <row r="539" customFormat="false" ht="15.75" hidden="false" customHeight="false" outlineLevel="0" collapsed="false">
      <c r="B539" s="7" t="n">
        <v>46201</v>
      </c>
      <c r="C539" s="3" t="s">
        <v>1287</v>
      </c>
      <c r="D539" s="3" t="s">
        <v>976</v>
      </c>
      <c r="E539" s="3" t="s">
        <v>1258</v>
      </c>
      <c r="F539" s="3" t="s">
        <v>1259</v>
      </c>
      <c r="G539" s="10" t="s">
        <v>1288</v>
      </c>
      <c r="H539" s="9" t="s">
        <v>13</v>
      </c>
      <c r="I539" s="9" t="s">
        <v>1289</v>
      </c>
    </row>
    <row r="540" customFormat="false" ht="15.75" hidden="false" customHeight="false" outlineLevel="0" collapsed="false">
      <c r="B540" s="7" t="n">
        <v>46201</v>
      </c>
      <c r="C540" s="3" t="s">
        <v>1290</v>
      </c>
      <c r="D540" s="3" t="s">
        <v>976</v>
      </c>
      <c r="E540" s="3" t="s">
        <v>1258</v>
      </c>
      <c r="F540" s="3" t="s">
        <v>1259</v>
      </c>
      <c r="G540" s="10" t="s">
        <v>1291</v>
      </c>
      <c r="H540" s="9" t="s">
        <v>13</v>
      </c>
      <c r="I540" s="9" t="s">
        <v>1292</v>
      </c>
    </row>
    <row r="541" customFormat="false" ht="15.75" hidden="false" customHeight="false" outlineLevel="0" collapsed="false">
      <c r="B541" s="7" t="n">
        <v>46201</v>
      </c>
      <c r="C541" s="3" t="s">
        <v>1293</v>
      </c>
      <c r="D541" s="3" t="s">
        <v>976</v>
      </c>
      <c r="E541" s="3" t="s">
        <v>1258</v>
      </c>
      <c r="F541" s="3" t="s">
        <v>1259</v>
      </c>
      <c r="G541" s="10" t="s">
        <v>1294</v>
      </c>
      <c r="H541" s="9" t="s">
        <v>13</v>
      </c>
      <c r="I541" s="9" t="s">
        <v>1295</v>
      </c>
    </row>
    <row r="542" customFormat="false" ht="15.75" hidden="false" customHeight="false" outlineLevel="0" collapsed="false">
      <c r="B542" s="7" t="n">
        <v>46201</v>
      </c>
      <c r="C542" s="3" t="s">
        <v>1296</v>
      </c>
      <c r="D542" s="3" t="s">
        <v>976</v>
      </c>
      <c r="E542" s="3" t="s">
        <v>1258</v>
      </c>
      <c r="F542" s="3" t="s">
        <v>1259</v>
      </c>
      <c r="G542" s="10" t="s">
        <v>1297</v>
      </c>
      <c r="H542" s="9" t="s">
        <v>13</v>
      </c>
      <c r="I542" s="9" t="s">
        <v>1298</v>
      </c>
    </row>
    <row r="543" customFormat="false" ht="15.75" hidden="false" customHeight="false" outlineLevel="0" collapsed="false">
      <c r="B543" s="7" t="n">
        <v>46201</v>
      </c>
      <c r="C543" s="3" t="s">
        <v>1299</v>
      </c>
      <c r="D543" s="3" t="s">
        <v>976</v>
      </c>
      <c r="E543" s="3" t="s">
        <v>1258</v>
      </c>
      <c r="F543" s="3" t="s">
        <v>1259</v>
      </c>
      <c r="G543" s="10" t="s">
        <v>1300</v>
      </c>
      <c r="H543" s="9" t="s">
        <v>13</v>
      </c>
      <c r="I543" s="9" t="s">
        <v>1301</v>
      </c>
    </row>
    <row r="544" customFormat="false" ht="15.75" hidden="false" customHeight="false" outlineLevel="0" collapsed="false">
      <c r="B544" s="7" t="n">
        <v>46201</v>
      </c>
      <c r="C544" s="3" t="s">
        <v>1302</v>
      </c>
      <c r="D544" s="3" t="s">
        <v>976</v>
      </c>
      <c r="E544" s="3" t="s">
        <v>1258</v>
      </c>
      <c r="F544" s="3" t="s">
        <v>1259</v>
      </c>
      <c r="G544" s="10" t="s">
        <v>1303</v>
      </c>
      <c r="H544" s="9" t="s">
        <v>13</v>
      </c>
      <c r="I544" s="9" t="s">
        <v>1304</v>
      </c>
    </row>
    <row r="545" customFormat="false" ht="15.75" hidden="false" customHeight="false" outlineLevel="0" collapsed="false">
      <c r="B545" s="7" t="n">
        <v>46201</v>
      </c>
      <c r="C545" s="3" t="s">
        <v>1305</v>
      </c>
      <c r="D545" s="3" t="s">
        <v>976</v>
      </c>
      <c r="E545" s="3" t="s">
        <v>1258</v>
      </c>
      <c r="F545" s="3" t="s">
        <v>1259</v>
      </c>
      <c r="G545" s="10" t="s">
        <v>1306</v>
      </c>
      <c r="H545" s="9" t="s">
        <v>13</v>
      </c>
      <c r="I545" s="9" t="s">
        <v>1307</v>
      </c>
    </row>
    <row r="546" customFormat="false" ht="15.75" hidden="false" customHeight="false" outlineLevel="0" collapsed="false">
      <c r="B546" s="7" t="n">
        <v>46201</v>
      </c>
      <c r="C546" s="3" t="s">
        <v>1308</v>
      </c>
      <c r="D546" s="3" t="s">
        <v>976</v>
      </c>
      <c r="E546" s="3" t="s">
        <v>1258</v>
      </c>
      <c r="F546" s="3" t="s">
        <v>1259</v>
      </c>
      <c r="G546" s="8" t="s">
        <v>1309</v>
      </c>
      <c r="H546" s="9" t="s">
        <v>13</v>
      </c>
      <c r="I546" s="9" t="s">
        <v>1310</v>
      </c>
    </row>
    <row r="547" customFormat="false" ht="15.75" hidden="false" customHeight="false" outlineLevel="0" collapsed="false">
      <c r="B547" s="7" t="n">
        <v>46201</v>
      </c>
      <c r="C547" s="3" t="s">
        <v>1311</v>
      </c>
      <c r="D547" s="3" t="s">
        <v>976</v>
      </c>
      <c r="E547" s="3" t="s">
        <v>1258</v>
      </c>
      <c r="F547" s="3" t="s">
        <v>1259</v>
      </c>
      <c r="G547" s="10" t="s">
        <v>1312</v>
      </c>
      <c r="H547" s="9" t="s">
        <v>13</v>
      </c>
      <c r="I547" s="9" t="s">
        <v>1313</v>
      </c>
    </row>
    <row r="548" customFormat="false" ht="15.75" hidden="false" customHeight="false" outlineLevel="0" collapsed="false">
      <c r="B548" s="7" t="n">
        <v>46201</v>
      </c>
      <c r="C548" s="3" t="s">
        <v>1314</v>
      </c>
      <c r="D548" s="3" t="s">
        <v>976</v>
      </c>
      <c r="E548" s="3" t="s">
        <v>1258</v>
      </c>
      <c r="F548" s="3" t="s">
        <v>1259</v>
      </c>
      <c r="G548" s="10" t="s">
        <v>1219</v>
      </c>
      <c r="H548" s="9" t="s">
        <v>13</v>
      </c>
      <c r="I548" s="9" t="s">
        <v>1315</v>
      </c>
    </row>
    <row r="549" customFormat="false" ht="15.75" hidden="false" customHeight="false" outlineLevel="0" collapsed="false">
      <c r="B549" s="7" t="n">
        <v>46201</v>
      </c>
      <c r="C549" s="3" t="s">
        <v>1316</v>
      </c>
      <c r="D549" s="3" t="s">
        <v>976</v>
      </c>
      <c r="E549" s="3" t="s">
        <v>1258</v>
      </c>
      <c r="F549" s="3" t="s">
        <v>1259</v>
      </c>
      <c r="G549" s="10" t="s">
        <v>1317</v>
      </c>
      <c r="H549" s="9" t="s">
        <v>13</v>
      </c>
      <c r="I549" s="9" t="s">
        <v>1318</v>
      </c>
    </row>
    <row r="550" customFormat="false" ht="15.75" hidden="false" customHeight="false" outlineLevel="0" collapsed="false">
      <c r="B550" s="7" t="n">
        <v>46201</v>
      </c>
      <c r="C550" s="3" t="s">
        <v>1319</v>
      </c>
      <c r="D550" s="3" t="s">
        <v>976</v>
      </c>
      <c r="E550" s="3" t="s">
        <v>1258</v>
      </c>
      <c r="F550" s="3" t="s">
        <v>1259</v>
      </c>
      <c r="G550" s="10" t="s">
        <v>1320</v>
      </c>
      <c r="H550" s="9" t="s">
        <v>13</v>
      </c>
      <c r="I550" s="9" t="s">
        <v>1321</v>
      </c>
    </row>
    <row r="551" customFormat="false" ht="15.75" hidden="false" customHeight="false" outlineLevel="0" collapsed="false">
      <c r="B551" s="7" t="n">
        <v>46201</v>
      </c>
      <c r="C551" s="3" t="s">
        <v>1322</v>
      </c>
      <c r="D551" s="3" t="s">
        <v>976</v>
      </c>
      <c r="E551" s="3" t="s">
        <v>1258</v>
      </c>
      <c r="F551" s="3" t="s">
        <v>1259</v>
      </c>
      <c r="G551" s="10" t="s">
        <v>1323</v>
      </c>
      <c r="H551" s="9" t="s">
        <v>13</v>
      </c>
      <c r="I551" s="9" t="s">
        <v>1324</v>
      </c>
    </row>
    <row r="552" customFormat="false" ht="15.75" hidden="false" customHeight="false" outlineLevel="0" collapsed="false">
      <c r="B552" s="7" t="n">
        <v>46201</v>
      </c>
      <c r="C552" s="3" t="s">
        <v>1325</v>
      </c>
      <c r="D552" s="3" t="s">
        <v>976</v>
      </c>
      <c r="E552" s="3" t="s">
        <v>1258</v>
      </c>
      <c r="F552" s="3" t="s">
        <v>1259</v>
      </c>
      <c r="G552" s="10" t="s">
        <v>1326</v>
      </c>
      <c r="H552" s="9" t="s">
        <v>13</v>
      </c>
      <c r="I552" s="9" t="s">
        <v>1327</v>
      </c>
    </row>
    <row r="553" customFormat="false" ht="15.75" hidden="false" customHeight="false" outlineLevel="0" collapsed="false">
      <c r="B553" s="7" t="n">
        <v>46201</v>
      </c>
      <c r="C553" s="3" t="s">
        <v>1328</v>
      </c>
      <c r="D553" s="3" t="s">
        <v>976</v>
      </c>
      <c r="E553" s="3" t="s">
        <v>1258</v>
      </c>
      <c r="F553" s="3" t="s">
        <v>1259</v>
      </c>
      <c r="G553" s="10" t="s">
        <v>1329</v>
      </c>
      <c r="H553" s="9" t="s">
        <v>13</v>
      </c>
      <c r="I553" s="9" t="s">
        <v>1330</v>
      </c>
    </row>
    <row r="554" customFormat="false" ht="15.75" hidden="false" customHeight="false" outlineLevel="0" collapsed="false">
      <c r="B554" s="7" t="n">
        <v>46201</v>
      </c>
      <c r="C554" s="3" t="s">
        <v>1331</v>
      </c>
      <c r="D554" s="3" t="s">
        <v>976</v>
      </c>
      <c r="E554" s="3" t="s">
        <v>1258</v>
      </c>
      <c r="F554" s="3" t="s">
        <v>1259</v>
      </c>
      <c r="G554" s="8" t="s">
        <v>1332</v>
      </c>
      <c r="H554" s="9" t="s">
        <v>13</v>
      </c>
      <c r="I554" s="9" t="s">
        <v>1333</v>
      </c>
    </row>
    <row r="555" customFormat="false" ht="15.75" hidden="false" customHeight="false" outlineLevel="0" collapsed="false">
      <c r="B555" s="7" t="n">
        <v>46201</v>
      </c>
      <c r="C555" s="3" t="s">
        <v>1334</v>
      </c>
      <c r="D555" s="3" t="s">
        <v>976</v>
      </c>
      <c r="E555" s="3" t="s">
        <v>1258</v>
      </c>
      <c r="F555" s="3" t="s">
        <v>1259</v>
      </c>
      <c r="G555" s="10" t="s">
        <v>1335</v>
      </c>
      <c r="H555" s="9" t="s">
        <v>13</v>
      </c>
      <c r="I555" s="9" t="s">
        <v>1336</v>
      </c>
    </row>
    <row r="556" customFormat="false" ht="15.75" hidden="false" customHeight="false" outlineLevel="0" collapsed="false">
      <c r="B556" s="7" t="n">
        <v>46201</v>
      </c>
      <c r="C556" s="3" t="s">
        <v>1337</v>
      </c>
      <c r="D556" s="3" t="s">
        <v>976</v>
      </c>
      <c r="E556" s="3" t="s">
        <v>1258</v>
      </c>
      <c r="F556" s="3" t="s">
        <v>1259</v>
      </c>
      <c r="G556" s="10" t="s">
        <v>1338</v>
      </c>
      <c r="H556" s="9" t="s">
        <v>13</v>
      </c>
      <c r="I556" s="9" t="s">
        <v>1339</v>
      </c>
    </row>
    <row r="557" customFormat="false" ht="15.75" hidden="false" customHeight="false" outlineLevel="0" collapsed="false">
      <c r="B557" s="7" t="n">
        <v>46201</v>
      </c>
      <c r="C557" s="3" t="s">
        <v>1340</v>
      </c>
      <c r="D557" s="3" t="s">
        <v>976</v>
      </c>
      <c r="E557" s="3" t="s">
        <v>1258</v>
      </c>
      <c r="F557" s="3" t="s">
        <v>1259</v>
      </c>
      <c r="G557" s="10" t="s">
        <v>585</v>
      </c>
      <c r="H557" s="9" t="s">
        <v>13</v>
      </c>
      <c r="I557" s="9" t="s">
        <v>1341</v>
      </c>
    </row>
    <row r="558" customFormat="false" ht="15.75" hidden="false" customHeight="false" outlineLevel="0" collapsed="false">
      <c r="B558" s="7" t="n">
        <v>46201</v>
      </c>
      <c r="C558" s="3" t="s">
        <v>1342</v>
      </c>
      <c r="D558" s="3" t="s">
        <v>976</v>
      </c>
      <c r="E558" s="3" t="s">
        <v>1258</v>
      </c>
      <c r="F558" s="3" t="s">
        <v>1259</v>
      </c>
      <c r="G558" s="10" t="s">
        <v>585</v>
      </c>
      <c r="H558" s="9" t="s">
        <v>13</v>
      </c>
      <c r="I558" s="9" t="s">
        <v>1341</v>
      </c>
    </row>
    <row r="559" customFormat="false" ht="15.75" hidden="false" customHeight="false" outlineLevel="0" collapsed="false">
      <c r="B559" s="7" t="n">
        <v>46201</v>
      </c>
      <c r="C559" s="3" t="s">
        <v>1343</v>
      </c>
      <c r="D559" s="3" t="s">
        <v>976</v>
      </c>
      <c r="E559" s="3" t="s">
        <v>1258</v>
      </c>
      <c r="F559" s="3" t="s">
        <v>1259</v>
      </c>
      <c r="G559" s="10" t="s">
        <v>1344</v>
      </c>
      <c r="H559" s="9" t="s">
        <v>13</v>
      </c>
      <c r="I559" s="9" t="s">
        <v>1345</v>
      </c>
    </row>
    <row r="560" customFormat="false" ht="15.75" hidden="false" customHeight="false" outlineLevel="0" collapsed="false">
      <c r="B560" s="7" t="n">
        <v>46201</v>
      </c>
      <c r="C560" s="3" t="s">
        <v>1346</v>
      </c>
      <c r="D560" s="3" t="s">
        <v>976</v>
      </c>
      <c r="E560" s="3" t="s">
        <v>1258</v>
      </c>
      <c r="F560" s="3" t="s">
        <v>1259</v>
      </c>
      <c r="G560" s="10" t="s">
        <v>1014</v>
      </c>
      <c r="H560" s="9" t="s">
        <v>13</v>
      </c>
      <c r="I560" s="9" t="s">
        <v>1347</v>
      </c>
    </row>
    <row r="561" customFormat="false" ht="15.75" hidden="false" customHeight="false" outlineLevel="0" collapsed="false">
      <c r="B561" s="7" t="n">
        <v>46201</v>
      </c>
      <c r="C561" s="3" t="s">
        <v>1348</v>
      </c>
      <c r="D561" s="3" t="s">
        <v>976</v>
      </c>
      <c r="E561" s="3" t="s">
        <v>1258</v>
      </c>
      <c r="F561" s="3" t="s">
        <v>1259</v>
      </c>
      <c r="G561" s="8" t="s">
        <v>1349</v>
      </c>
      <c r="H561" s="9" t="s">
        <v>13</v>
      </c>
      <c r="I561" s="9" t="s">
        <v>1350</v>
      </c>
    </row>
    <row r="562" customFormat="false" ht="15.75" hidden="false" customHeight="false" outlineLevel="0" collapsed="false">
      <c r="B562" s="7" t="n">
        <v>46201</v>
      </c>
      <c r="C562" s="3" t="s">
        <v>1351</v>
      </c>
      <c r="D562" s="3" t="s">
        <v>976</v>
      </c>
      <c r="E562" s="3" t="s">
        <v>1258</v>
      </c>
      <c r="F562" s="3" t="s">
        <v>1259</v>
      </c>
      <c r="G562" s="8" t="s">
        <v>1349</v>
      </c>
      <c r="H562" s="9" t="s">
        <v>13</v>
      </c>
      <c r="I562" s="9" t="s">
        <v>1352</v>
      </c>
    </row>
    <row r="563" customFormat="false" ht="15.75" hidden="false" customHeight="false" outlineLevel="0" collapsed="false">
      <c r="B563" s="7" t="n">
        <v>46212</v>
      </c>
      <c r="C563" s="3" t="s">
        <v>1353</v>
      </c>
      <c r="D563" s="3" t="s">
        <v>976</v>
      </c>
      <c r="E563" s="3" t="s">
        <v>1258</v>
      </c>
      <c r="F563" s="3" t="s">
        <v>1354</v>
      </c>
      <c r="G563" s="10" t="s">
        <v>1355</v>
      </c>
      <c r="H563" s="9" t="s">
        <v>13</v>
      </c>
      <c r="I563" s="9" t="s">
        <v>1356</v>
      </c>
    </row>
    <row r="564" customFormat="false" ht="15.75" hidden="false" customHeight="false" outlineLevel="0" collapsed="false">
      <c r="B564" s="7" t="n">
        <v>46212</v>
      </c>
      <c r="C564" s="3" t="s">
        <v>1357</v>
      </c>
      <c r="D564" s="3" t="s">
        <v>976</v>
      </c>
      <c r="E564" s="3" t="s">
        <v>1258</v>
      </c>
      <c r="F564" s="3" t="s">
        <v>1354</v>
      </c>
      <c r="G564" s="10" t="s">
        <v>1358</v>
      </c>
      <c r="H564" s="9" t="s">
        <v>13</v>
      </c>
      <c r="I564" s="9" t="s">
        <v>1359</v>
      </c>
    </row>
    <row r="565" customFormat="false" ht="15.75" hidden="false" customHeight="false" outlineLevel="0" collapsed="false">
      <c r="B565" s="7" t="n">
        <v>46212</v>
      </c>
      <c r="C565" s="3" t="s">
        <v>1360</v>
      </c>
      <c r="D565" s="3" t="s">
        <v>976</v>
      </c>
      <c r="E565" s="3" t="s">
        <v>1258</v>
      </c>
      <c r="F565" s="3" t="s">
        <v>1354</v>
      </c>
      <c r="G565" s="8" t="s">
        <v>1361</v>
      </c>
      <c r="H565" s="9" t="s">
        <v>13</v>
      </c>
      <c r="I565" s="9" t="s">
        <v>1362</v>
      </c>
    </row>
    <row r="566" customFormat="false" ht="15.75" hidden="false" customHeight="false" outlineLevel="0" collapsed="false">
      <c r="B566" s="7" t="n">
        <v>46212</v>
      </c>
      <c r="C566" s="3" t="s">
        <v>1363</v>
      </c>
      <c r="D566" s="3" t="s">
        <v>976</v>
      </c>
      <c r="E566" s="3" t="s">
        <v>1258</v>
      </c>
      <c r="F566" s="3" t="s">
        <v>1354</v>
      </c>
      <c r="G566" s="10" t="s">
        <v>1364</v>
      </c>
      <c r="H566" s="9" t="s">
        <v>13</v>
      </c>
      <c r="I566" s="9" t="s">
        <v>1365</v>
      </c>
    </row>
    <row r="567" customFormat="false" ht="15.75" hidden="false" customHeight="false" outlineLevel="0" collapsed="false">
      <c r="B567" s="7" t="n">
        <v>46212</v>
      </c>
      <c r="C567" s="3" t="s">
        <v>1366</v>
      </c>
      <c r="D567" s="3" t="s">
        <v>976</v>
      </c>
      <c r="E567" s="3" t="s">
        <v>1258</v>
      </c>
      <c r="F567" s="3" t="s">
        <v>1354</v>
      </c>
      <c r="G567" s="10" t="s">
        <v>1367</v>
      </c>
      <c r="H567" s="9" t="s">
        <v>13</v>
      </c>
      <c r="I567" s="9" t="s">
        <v>1368</v>
      </c>
    </row>
    <row r="568" customFormat="false" ht="15.75" hidden="false" customHeight="false" outlineLevel="0" collapsed="false">
      <c r="B568" s="7" t="n">
        <v>46212</v>
      </c>
      <c r="C568" s="3" t="s">
        <v>1369</v>
      </c>
      <c r="D568" s="3" t="s">
        <v>976</v>
      </c>
      <c r="E568" s="3" t="s">
        <v>1258</v>
      </c>
      <c r="F568" s="3" t="s">
        <v>1354</v>
      </c>
      <c r="G568" s="10" t="s">
        <v>1370</v>
      </c>
      <c r="H568" s="9" t="s">
        <v>13</v>
      </c>
      <c r="I568" s="9" t="s">
        <v>1371</v>
      </c>
    </row>
    <row r="569" customFormat="false" ht="15.75" hidden="false" customHeight="false" outlineLevel="0" collapsed="false">
      <c r="B569" s="7" t="n">
        <v>46212</v>
      </c>
      <c r="C569" s="3" t="s">
        <v>1372</v>
      </c>
      <c r="D569" s="3" t="s">
        <v>976</v>
      </c>
      <c r="E569" s="3" t="s">
        <v>1258</v>
      </c>
      <c r="F569" s="3" t="s">
        <v>1354</v>
      </c>
      <c r="G569" s="10" t="s">
        <v>1373</v>
      </c>
      <c r="H569" s="9" t="s">
        <v>13</v>
      </c>
      <c r="I569" s="9" t="s">
        <v>1374</v>
      </c>
    </row>
    <row r="570" customFormat="false" ht="15.75" hidden="false" customHeight="false" outlineLevel="0" collapsed="false">
      <c r="B570" s="7" t="n">
        <v>46212</v>
      </c>
      <c r="C570" s="3" t="s">
        <v>1375</v>
      </c>
      <c r="D570" s="3" t="s">
        <v>976</v>
      </c>
      <c r="E570" s="3" t="s">
        <v>1258</v>
      </c>
      <c r="F570" s="3" t="s">
        <v>1354</v>
      </c>
      <c r="G570" s="10" t="s">
        <v>1376</v>
      </c>
      <c r="H570" s="9" t="s">
        <v>13</v>
      </c>
      <c r="I570" s="9" t="s">
        <v>1377</v>
      </c>
    </row>
    <row r="571" customFormat="false" ht="15.75" hidden="false" customHeight="false" outlineLevel="0" collapsed="false">
      <c r="B571" s="7" t="n">
        <v>46212</v>
      </c>
      <c r="C571" s="3" t="s">
        <v>1378</v>
      </c>
      <c r="D571" s="3" t="s">
        <v>976</v>
      </c>
      <c r="E571" s="3" t="s">
        <v>1258</v>
      </c>
      <c r="F571" s="3" t="s">
        <v>1354</v>
      </c>
      <c r="G571" s="10" t="s">
        <v>1379</v>
      </c>
      <c r="H571" s="9" t="s">
        <v>13</v>
      </c>
      <c r="I571" s="9" t="s">
        <v>1380</v>
      </c>
    </row>
    <row r="572" customFormat="false" ht="15.75" hidden="false" customHeight="false" outlineLevel="0" collapsed="false">
      <c r="B572" s="7" t="n">
        <v>46212</v>
      </c>
      <c r="C572" s="3" t="s">
        <v>1381</v>
      </c>
      <c r="D572" s="3" t="s">
        <v>976</v>
      </c>
      <c r="E572" s="3" t="s">
        <v>1258</v>
      </c>
      <c r="F572" s="3" t="s">
        <v>1354</v>
      </c>
      <c r="G572" s="8" t="s">
        <v>1382</v>
      </c>
      <c r="H572" s="9" t="s">
        <v>13</v>
      </c>
      <c r="I572" s="9" t="s">
        <v>1383</v>
      </c>
    </row>
    <row r="573" customFormat="false" ht="15.75" hidden="false" customHeight="false" outlineLevel="0" collapsed="false">
      <c r="B573" s="7" t="n">
        <v>46212</v>
      </c>
      <c r="C573" s="3" t="s">
        <v>1384</v>
      </c>
      <c r="D573" s="3" t="s">
        <v>976</v>
      </c>
      <c r="E573" s="3" t="s">
        <v>1258</v>
      </c>
      <c r="F573" s="3" t="s">
        <v>1354</v>
      </c>
      <c r="G573" s="8" t="s">
        <v>1385</v>
      </c>
      <c r="H573" s="9" t="s">
        <v>13</v>
      </c>
      <c r="I573" s="9" t="s">
        <v>1386</v>
      </c>
    </row>
    <row r="574" customFormat="false" ht="15.75" hidden="false" customHeight="false" outlineLevel="0" collapsed="false">
      <c r="B574" s="7" t="n">
        <v>46212</v>
      </c>
      <c r="C574" s="3" t="s">
        <v>1387</v>
      </c>
      <c r="D574" s="3" t="s">
        <v>976</v>
      </c>
      <c r="E574" s="3" t="s">
        <v>1258</v>
      </c>
      <c r="F574" s="3" t="s">
        <v>1354</v>
      </c>
      <c r="G574" s="8" t="s">
        <v>1388</v>
      </c>
      <c r="H574" s="9" t="s">
        <v>13</v>
      </c>
      <c r="I574" s="9" t="s">
        <v>1389</v>
      </c>
    </row>
    <row r="575" customFormat="false" ht="15.75" hidden="false" customHeight="false" outlineLevel="0" collapsed="false">
      <c r="B575" s="7" t="n">
        <v>46212</v>
      </c>
      <c r="C575" s="3" t="s">
        <v>1390</v>
      </c>
      <c r="D575" s="3" t="s">
        <v>976</v>
      </c>
      <c r="E575" s="3" t="s">
        <v>1258</v>
      </c>
      <c r="F575" s="3" t="s">
        <v>1354</v>
      </c>
      <c r="G575" s="8" t="s">
        <v>1391</v>
      </c>
      <c r="H575" s="9" t="s">
        <v>13</v>
      </c>
      <c r="I575" s="9" t="s">
        <v>1392</v>
      </c>
    </row>
    <row r="576" customFormat="false" ht="15.75" hidden="false" customHeight="false" outlineLevel="0" collapsed="false">
      <c r="B576" s="7" t="n">
        <v>46212</v>
      </c>
      <c r="C576" s="3" t="s">
        <v>1393</v>
      </c>
      <c r="D576" s="3" t="s">
        <v>976</v>
      </c>
      <c r="E576" s="3" t="s">
        <v>1258</v>
      </c>
      <c r="F576" s="3" t="s">
        <v>1354</v>
      </c>
      <c r="G576" s="8" t="s">
        <v>1394</v>
      </c>
      <c r="H576" s="9" t="s">
        <v>13</v>
      </c>
      <c r="I576" s="9" t="s">
        <v>1395</v>
      </c>
    </row>
    <row r="577" customFormat="false" ht="15.75" hidden="false" customHeight="false" outlineLevel="0" collapsed="false">
      <c r="B577" s="7" t="n">
        <v>46212</v>
      </c>
      <c r="C577" s="3" t="s">
        <v>1396</v>
      </c>
      <c r="D577" s="3" t="s">
        <v>976</v>
      </c>
      <c r="E577" s="3" t="s">
        <v>1258</v>
      </c>
      <c r="F577" s="3" t="s">
        <v>1354</v>
      </c>
      <c r="G577" s="8" t="s">
        <v>1397</v>
      </c>
      <c r="H577" s="9" t="s">
        <v>13</v>
      </c>
      <c r="I577" s="9" t="s">
        <v>1398</v>
      </c>
    </row>
    <row r="578" customFormat="false" ht="15.75" hidden="false" customHeight="false" outlineLevel="0" collapsed="false">
      <c r="B578" s="7" t="n">
        <v>46212</v>
      </c>
      <c r="C578" s="3" t="s">
        <v>1399</v>
      </c>
      <c r="D578" s="3" t="s">
        <v>976</v>
      </c>
      <c r="E578" s="3" t="s">
        <v>1258</v>
      </c>
      <c r="F578" s="3" t="s">
        <v>1354</v>
      </c>
      <c r="G578" s="8" t="s">
        <v>1400</v>
      </c>
      <c r="H578" s="9" t="s">
        <v>13</v>
      </c>
      <c r="I578" s="9" t="s">
        <v>1401</v>
      </c>
    </row>
    <row r="579" customFormat="false" ht="15.75" hidden="false" customHeight="false" outlineLevel="0" collapsed="false">
      <c r="B579" s="7" t="n">
        <v>46212</v>
      </c>
      <c r="C579" s="3" t="s">
        <v>1402</v>
      </c>
      <c r="D579" s="3" t="s">
        <v>976</v>
      </c>
      <c r="E579" s="3" t="s">
        <v>1258</v>
      </c>
      <c r="F579" s="3" t="s">
        <v>1354</v>
      </c>
      <c r="G579" s="10" t="s">
        <v>1403</v>
      </c>
      <c r="H579" s="9" t="s">
        <v>13</v>
      </c>
      <c r="I579" s="9" t="s">
        <v>1404</v>
      </c>
    </row>
    <row r="580" customFormat="false" ht="15.75" hidden="false" customHeight="false" outlineLevel="0" collapsed="false">
      <c r="B580" s="7" t="n">
        <v>46212</v>
      </c>
      <c r="C580" s="3" t="s">
        <v>1405</v>
      </c>
      <c r="D580" s="3" t="s">
        <v>976</v>
      </c>
      <c r="E580" s="3" t="s">
        <v>1258</v>
      </c>
      <c r="F580" s="3" t="s">
        <v>1354</v>
      </c>
      <c r="G580" s="10" t="s">
        <v>1406</v>
      </c>
      <c r="H580" s="9" t="s">
        <v>13</v>
      </c>
      <c r="I580" s="9" t="s">
        <v>1407</v>
      </c>
    </row>
    <row r="581" customFormat="false" ht="15.75" hidden="false" customHeight="false" outlineLevel="0" collapsed="false">
      <c r="B581" s="7" t="n">
        <v>46212</v>
      </c>
      <c r="C581" s="3" t="s">
        <v>1408</v>
      </c>
      <c r="D581" s="3" t="s">
        <v>976</v>
      </c>
      <c r="E581" s="3" t="s">
        <v>1258</v>
      </c>
      <c r="F581" s="3" t="s">
        <v>1354</v>
      </c>
      <c r="G581" s="10" t="s">
        <v>1406</v>
      </c>
      <c r="H581" s="9" t="s">
        <v>13</v>
      </c>
      <c r="I581" s="9" t="s">
        <v>1407</v>
      </c>
    </row>
    <row r="582" customFormat="false" ht="15.75" hidden="false" customHeight="false" outlineLevel="0" collapsed="false">
      <c r="B582" s="7" t="n">
        <v>46212</v>
      </c>
      <c r="C582" s="3" t="s">
        <v>1409</v>
      </c>
      <c r="D582" s="3" t="s">
        <v>976</v>
      </c>
      <c r="E582" s="3" t="s">
        <v>1258</v>
      </c>
      <c r="F582" s="3" t="s">
        <v>1354</v>
      </c>
      <c r="G582" s="10" t="s">
        <v>206</v>
      </c>
      <c r="H582" s="9" t="s">
        <v>13</v>
      </c>
      <c r="I582" s="9" t="s">
        <v>1410</v>
      </c>
    </row>
    <row r="583" customFormat="false" ht="15.75" hidden="false" customHeight="false" outlineLevel="0" collapsed="false">
      <c r="B583" s="7" t="n">
        <v>46212</v>
      </c>
      <c r="C583" s="3" t="s">
        <v>1411</v>
      </c>
      <c r="D583" s="3" t="s">
        <v>976</v>
      </c>
      <c r="E583" s="3" t="s">
        <v>1258</v>
      </c>
      <c r="F583" s="3" t="s">
        <v>1354</v>
      </c>
      <c r="G583" s="10" t="s">
        <v>1412</v>
      </c>
      <c r="H583" s="9" t="s">
        <v>13</v>
      </c>
      <c r="I583" s="9" t="s">
        <v>1413</v>
      </c>
    </row>
    <row r="584" customFormat="false" ht="15.75" hidden="false" customHeight="false" outlineLevel="0" collapsed="false">
      <c r="B584" s="7" t="n">
        <v>46212</v>
      </c>
      <c r="C584" s="3" t="s">
        <v>1414</v>
      </c>
      <c r="D584" s="3" t="s">
        <v>976</v>
      </c>
      <c r="E584" s="3" t="s">
        <v>1258</v>
      </c>
      <c r="F584" s="3" t="s">
        <v>1354</v>
      </c>
      <c r="G584" s="10" t="s">
        <v>1415</v>
      </c>
      <c r="H584" s="9" t="s">
        <v>13</v>
      </c>
      <c r="I584" s="9" t="s">
        <v>1416</v>
      </c>
    </row>
    <row r="585" customFormat="false" ht="15.75" hidden="false" customHeight="false" outlineLevel="0" collapsed="false">
      <c r="B585" s="7" t="n">
        <v>46212</v>
      </c>
      <c r="C585" s="3" t="s">
        <v>1417</v>
      </c>
      <c r="D585" s="3" t="s">
        <v>976</v>
      </c>
      <c r="E585" s="3" t="s">
        <v>1258</v>
      </c>
      <c r="F585" s="3" t="s">
        <v>1354</v>
      </c>
      <c r="G585" s="10" t="s">
        <v>1418</v>
      </c>
      <c r="H585" s="9" t="s">
        <v>13</v>
      </c>
      <c r="I585" s="9" t="s">
        <v>1419</v>
      </c>
    </row>
    <row r="586" customFormat="false" ht="15.75" hidden="false" customHeight="false" outlineLevel="0" collapsed="false">
      <c r="B586" s="7" t="n">
        <v>46212</v>
      </c>
      <c r="C586" s="3" t="s">
        <v>1420</v>
      </c>
      <c r="D586" s="3" t="s">
        <v>976</v>
      </c>
      <c r="E586" s="3" t="s">
        <v>1258</v>
      </c>
      <c r="F586" s="3" t="s">
        <v>1354</v>
      </c>
      <c r="G586" s="10" t="s">
        <v>1421</v>
      </c>
      <c r="H586" s="9" t="s">
        <v>13</v>
      </c>
      <c r="I586" s="9" t="s">
        <v>1422</v>
      </c>
    </row>
    <row r="587" customFormat="false" ht="15.75" hidden="false" customHeight="false" outlineLevel="0" collapsed="false">
      <c r="B587" s="7" t="n">
        <v>46212</v>
      </c>
      <c r="C587" s="3" t="s">
        <v>1423</v>
      </c>
      <c r="D587" s="3" t="s">
        <v>976</v>
      </c>
      <c r="E587" s="3" t="s">
        <v>1258</v>
      </c>
      <c r="F587" s="3" t="s">
        <v>1354</v>
      </c>
      <c r="G587" s="10" t="s">
        <v>1367</v>
      </c>
      <c r="H587" s="9" t="s">
        <v>13</v>
      </c>
      <c r="I587" s="9" t="s">
        <v>1424</v>
      </c>
    </row>
    <row r="588" customFormat="false" ht="15.75" hidden="false" customHeight="false" outlineLevel="0" collapsed="false">
      <c r="B588" s="7" t="n">
        <v>46212</v>
      </c>
      <c r="C588" s="3" t="s">
        <v>1425</v>
      </c>
      <c r="D588" s="3" t="s">
        <v>976</v>
      </c>
      <c r="E588" s="3" t="s">
        <v>1258</v>
      </c>
      <c r="F588" s="3" t="s">
        <v>1354</v>
      </c>
      <c r="G588" s="10" t="s">
        <v>1426</v>
      </c>
      <c r="H588" s="9" t="s">
        <v>13</v>
      </c>
      <c r="I588" s="9" t="s">
        <v>1427</v>
      </c>
    </row>
    <row r="589" customFormat="false" ht="15.75" hidden="false" customHeight="false" outlineLevel="0" collapsed="false">
      <c r="B589" s="7" t="n">
        <v>46212</v>
      </c>
      <c r="C589" s="3" t="s">
        <v>1428</v>
      </c>
      <c r="D589" s="3" t="s">
        <v>976</v>
      </c>
      <c r="E589" s="3" t="s">
        <v>1258</v>
      </c>
      <c r="F589" s="3" t="s">
        <v>1354</v>
      </c>
      <c r="G589" s="10" t="s">
        <v>1429</v>
      </c>
      <c r="H589" s="9" t="s">
        <v>13</v>
      </c>
      <c r="I589" s="9" t="s">
        <v>1430</v>
      </c>
    </row>
    <row r="590" customFormat="false" ht="15.75" hidden="false" customHeight="false" outlineLevel="0" collapsed="false">
      <c r="B590" s="7" t="n">
        <v>46212</v>
      </c>
      <c r="C590" s="3" t="s">
        <v>1431</v>
      </c>
      <c r="D590" s="3" t="s">
        <v>976</v>
      </c>
      <c r="E590" s="3" t="s">
        <v>1258</v>
      </c>
      <c r="F590" s="3" t="s">
        <v>1354</v>
      </c>
      <c r="G590" s="8" t="s">
        <v>1432</v>
      </c>
      <c r="H590" s="9" t="s">
        <v>13</v>
      </c>
      <c r="I590" s="9" t="s">
        <v>1433</v>
      </c>
    </row>
    <row r="591" customFormat="false" ht="15.75" hidden="false" customHeight="false" outlineLevel="0" collapsed="false">
      <c r="B591" s="7" t="n">
        <v>46212</v>
      </c>
      <c r="C591" s="3" t="s">
        <v>1434</v>
      </c>
      <c r="D591" s="3" t="s">
        <v>976</v>
      </c>
      <c r="E591" s="3" t="s">
        <v>1258</v>
      </c>
      <c r="F591" s="3" t="s">
        <v>1354</v>
      </c>
      <c r="G591" s="10" t="s">
        <v>1435</v>
      </c>
      <c r="H591" s="9" t="s">
        <v>13</v>
      </c>
      <c r="I591" s="9" t="s">
        <v>1436</v>
      </c>
    </row>
    <row r="592" customFormat="false" ht="15.75" hidden="false" customHeight="false" outlineLevel="0" collapsed="false">
      <c r="B592" s="7" t="n">
        <v>46212</v>
      </c>
      <c r="C592" s="3" t="s">
        <v>1437</v>
      </c>
      <c r="D592" s="3" t="s">
        <v>976</v>
      </c>
      <c r="E592" s="3" t="s">
        <v>1258</v>
      </c>
      <c r="F592" s="3" t="s">
        <v>1354</v>
      </c>
      <c r="G592" s="8" t="s">
        <v>1438</v>
      </c>
      <c r="H592" s="9" t="s">
        <v>13</v>
      </c>
      <c r="I592" s="9" t="s">
        <v>1439</v>
      </c>
    </row>
    <row r="593" customFormat="false" ht="15.75" hidden="false" customHeight="false" outlineLevel="0" collapsed="false">
      <c r="B593" s="7" t="n">
        <v>46212</v>
      </c>
      <c r="C593" s="3" t="s">
        <v>1440</v>
      </c>
      <c r="D593" s="3" t="s">
        <v>976</v>
      </c>
      <c r="E593" s="3" t="s">
        <v>1258</v>
      </c>
      <c r="F593" s="3" t="s">
        <v>1354</v>
      </c>
      <c r="G593" s="10" t="s">
        <v>1441</v>
      </c>
      <c r="H593" s="9" t="s">
        <v>13</v>
      </c>
      <c r="I593" s="9" t="s">
        <v>1442</v>
      </c>
    </row>
    <row r="594" customFormat="false" ht="15.75" hidden="false" customHeight="false" outlineLevel="0" collapsed="false">
      <c r="B594" s="7" t="n">
        <v>46212</v>
      </c>
      <c r="C594" s="3" t="s">
        <v>1443</v>
      </c>
      <c r="D594" s="3" t="s">
        <v>976</v>
      </c>
      <c r="E594" s="3" t="s">
        <v>1258</v>
      </c>
      <c r="F594" s="3" t="s">
        <v>1354</v>
      </c>
      <c r="G594" s="10" t="s">
        <v>1444</v>
      </c>
      <c r="H594" s="9" t="s">
        <v>13</v>
      </c>
      <c r="I594" s="9" t="s">
        <v>1445</v>
      </c>
    </row>
    <row r="595" customFormat="false" ht="15.75" hidden="false" customHeight="false" outlineLevel="0" collapsed="false">
      <c r="B595" s="7" t="n">
        <v>46212</v>
      </c>
      <c r="C595" s="3" t="s">
        <v>1446</v>
      </c>
      <c r="D595" s="3" t="s">
        <v>976</v>
      </c>
      <c r="E595" s="3" t="s">
        <v>1258</v>
      </c>
      <c r="F595" s="3" t="s">
        <v>1354</v>
      </c>
      <c r="G595" s="8" t="s">
        <v>1447</v>
      </c>
      <c r="H595" s="9" t="s">
        <v>13</v>
      </c>
      <c r="I595" s="9" t="s">
        <v>1448</v>
      </c>
    </row>
    <row r="596" customFormat="false" ht="15.75" hidden="false" customHeight="false" outlineLevel="0" collapsed="false">
      <c r="B596" s="7" t="n">
        <v>46212</v>
      </c>
      <c r="C596" s="3" t="s">
        <v>1449</v>
      </c>
      <c r="D596" s="3" t="s">
        <v>976</v>
      </c>
      <c r="E596" s="3" t="s">
        <v>1258</v>
      </c>
      <c r="F596" s="3" t="s">
        <v>1354</v>
      </c>
      <c r="G596" s="10" t="s">
        <v>1450</v>
      </c>
      <c r="H596" s="9" t="s">
        <v>13</v>
      </c>
      <c r="I596" s="9" t="s">
        <v>1451</v>
      </c>
    </row>
    <row r="597" customFormat="false" ht="15.75" hidden="false" customHeight="false" outlineLevel="0" collapsed="false">
      <c r="B597" s="7" t="n">
        <v>46212</v>
      </c>
      <c r="C597" s="3" t="s">
        <v>1452</v>
      </c>
      <c r="D597" s="3" t="s">
        <v>976</v>
      </c>
      <c r="E597" s="3" t="s">
        <v>1258</v>
      </c>
      <c r="F597" s="3" t="s">
        <v>1354</v>
      </c>
      <c r="G597" s="10" t="s">
        <v>1453</v>
      </c>
      <c r="H597" s="9" t="s">
        <v>13</v>
      </c>
      <c r="I597" s="9" t="s">
        <v>1454</v>
      </c>
    </row>
    <row r="598" customFormat="false" ht="15.75" hidden="false" customHeight="false" outlineLevel="0" collapsed="false">
      <c r="B598" s="7" t="n">
        <v>46212</v>
      </c>
      <c r="C598" s="3" t="s">
        <v>1455</v>
      </c>
      <c r="D598" s="3" t="s">
        <v>976</v>
      </c>
      <c r="E598" s="3" t="s">
        <v>1258</v>
      </c>
      <c r="F598" s="3" t="s">
        <v>1456</v>
      </c>
      <c r="G598" s="10" t="s">
        <v>1457</v>
      </c>
      <c r="H598" s="9" t="s">
        <v>13</v>
      </c>
      <c r="I598" s="9" t="s">
        <v>1458</v>
      </c>
    </row>
    <row r="599" customFormat="false" ht="15.75" hidden="false" customHeight="false" outlineLevel="0" collapsed="false">
      <c r="B599" s="7" t="n">
        <v>46212</v>
      </c>
      <c r="C599" s="3" t="s">
        <v>1459</v>
      </c>
      <c r="D599" s="3" t="s">
        <v>976</v>
      </c>
      <c r="E599" s="3" t="s">
        <v>1258</v>
      </c>
      <c r="F599" s="3" t="s">
        <v>1456</v>
      </c>
      <c r="G599" s="10" t="s">
        <v>1460</v>
      </c>
      <c r="H599" s="9" t="s">
        <v>13</v>
      </c>
      <c r="I599" s="9" t="s">
        <v>1461</v>
      </c>
    </row>
    <row r="600" customFormat="false" ht="15.75" hidden="false" customHeight="false" outlineLevel="0" collapsed="false">
      <c r="B600" s="7" t="n">
        <v>46212</v>
      </c>
      <c r="C600" s="3" t="s">
        <v>1462</v>
      </c>
      <c r="D600" s="3" t="s">
        <v>976</v>
      </c>
      <c r="E600" s="3" t="s">
        <v>1258</v>
      </c>
      <c r="F600" s="3" t="s">
        <v>1456</v>
      </c>
      <c r="G600" s="10" t="s">
        <v>1463</v>
      </c>
      <c r="H600" s="9" t="s">
        <v>13</v>
      </c>
      <c r="I600" s="9" t="s">
        <v>1464</v>
      </c>
    </row>
    <row r="601" customFormat="false" ht="15.75" hidden="false" customHeight="false" outlineLevel="0" collapsed="false">
      <c r="B601" s="7" t="n">
        <v>46212</v>
      </c>
      <c r="C601" s="3" t="s">
        <v>1465</v>
      </c>
      <c r="D601" s="3" t="s">
        <v>976</v>
      </c>
      <c r="E601" s="3" t="s">
        <v>1258</v>
      </c>
      <c r="F601" s="3" t="s">
        <v>1456</v>
      </c>
      <c r="G601" s="8" t="s">
        <v>1466</v>
      </c>
      <c r="H601" s="9" t="s">
        <v>13</v>
      </c>
      <c r="I601" s="9" t="s">
        <v>1467</v>
      </c>
    </row>
    <row r="602" customFormat="false" ht="15.75" hidden="false" customHeight="false" outlineLevel="0" collapsed="false">
      <c r="B602" s="7" t="n">
        <v>46212</v>
      </c>
      <c r="C602" s="3" t="s">
        <v>1468</v>
      </c>
      <c r="D602" s="3" t="s">
        <v>976</v>
      </c>
      <c r="E602" s="3" t="s">
        <v>1258</v>
      </c>
      <c r="F602" s="3" t="s">
        <v>1456</v>
      </c>
      <c r="G602" s="8" t="s">
        <v>1469</v>
      </c>
      <c r="H602" s="9" t="s">
        <v>13</v>
      </c>
      <c r="I602" s="9" t="s">
        <v>1470</v>
      </c>
    </row>
    <row r="603" customFormat="false" ht="15.75" hidden="false" customHeight="false" outlineLevel="0" collapsed="false">
      <c r="B603" s="7" t="n">
        <v>46212</v>
      </c>
      <c r="C603" s="3" t="s">
        <v>1471</v>
      </c>
      <c r="D603" s="3" t="s">
        <v>976</v>
      </c>
      <c r="E603" s="3" t="s">
        <v>1258</v>
      </c>
      <c r="F603" s="3" t="s">
        <v>1456</v>
      </c>
      <c r="G603" s="8" t="s">
        <v>1469</v>
      </c>
      <c r="H603" s="9" t="s">
        <v>13</v>
      </c>
      <c r="I603" s="9" t="s">
        <v>1470</v>
      </c>
    </row>
    <row r="604" customFormat="false" ht="15.75" hidden="false" customHeight="false" outlineLevel="0" collapsed="false">
      <c r="B604" s="7" t="n">
        <v>46212</v>
      </c>
      <c r="C604" s="3" t="s">
        <v>1472</v>
      </c>
      <c r="D604" s="3" t="s">
        <v>976</v>
      </c>
      <c r="E604" s="3" t="s">
        <v>1258</v>
      </c>
      <c r="F604" s="3" t="s">
        <v>1456</v>
      </c>
      <c r="G604" s="10" t="s">
        <v>1473</v>
      </c>
      <c r="H604" s="9" t="s">
        <v>13</v>
      </c>
      <c r="I604" s="9" t="s">
        <v>1474</v>
      </c>
    </row>
    <row r="605" customFormat="false" ht="15.75" hidden="false" customHeight="false" outlineLevel="0" collapsed="false">
      <c r="B605" s="7" t="n">
        <v>46212</v>
      </c>
      <c r="C605" s="3" t="s">
        <v>1475</v>
      </c>
      <c r="D605" s="3" t="s">
        <v>976</v>
      </c>
      <c r="E605" s="3" t="s">
        <v>1258</v>
      </c>
      <c r="F605" s="3" t="s">
        <v>1456</v>
      </c>
      <c r="G605" s="10" t="s">
        <v>1476</v>
      </c>
      <c r="H605" s="9" t="s">
        <v>13</v>
      </c>
      <c r="I605" s="9" t="s">
        <v>1477</v>
      </c>
    </row>
    <row r="606" customFormat="false" ht="15.75" hidden="false" customHeight="false" outlineLevel="0" collapsed="false">
      <c r="B606" s="7" t="n">
        <v>46212</v>
      </c>
      <c r="C606" s="3" t="s">
        <v>1478</v>
      </c>
      <c r="D606" s="3" t="s">
        <v>976</v>
      </c>
      <c r="E606" s="3" t="s">
        <v>1258</v>
      </c>
      <c r="F606" s="3" t="s">
        <v>1456</v>
      </c>
      <c r="G606" s="10" t="s">
        <v>1476</v>
      </c>
      <c r="H606" s="9" t="s">
        <v>13</v>
      </c>
      <c r="I606" s="9" t="s">
        <v>1477</v>
      </c>
    </row>
    <row r="607" customFormat="false" ht="15.75" hidden="false" customHeight="false" outlineLevel="0" collapsed="false">
      <c r="B607" s="7" t="n">
        <v>46212</v>
      </c>
      <c r="C607" s="3" t="s">
        <v>1479</v>
      </c>
      <c r="D607" s="3" t="s">
        <v>976</v>
      </c>
      <c r="E607" s="3" t="s">
        <v>1258</v>
      </c>
      <c r="F607" s="3" t="s">
        <v>1456</v>
      </c>
      <c r="G607" s="10" t="s">
        <v>1480</v>
      </c>
      <c r="H607" s="9" t="s">
        <v>13</v>
      </c>
      <c r="I607" s="9" t="s">
        <v>1481</v>
      </c>
    </row>
    <row r="608" customFormat="false" ht="15.75" hidden="false" customHeight="false" outlineLevel="0" collapsed="false">
      <c r="B608" s="7" t="n">
        <v>46212</v>
      </c>
      <c r="C608" s="3" t="s">
        <v>1482</v>
      </c>
      <c r="D608" s="3" t="s">
        <v>976</v>
      </c>
      <c r="E608" s="3" t="s">
        <v>1258</v>
      </c>
      <c r="F608" s="3" t="s">
        <v>1456</v>
      </c>
      <c r="G608" s="10" t="s">
        <v>1483</v>
      </c>
      <c r="H608" s="9" t="s">
        <v>13</v>
      </c>
      <c r="I608" s="9" t="s">
        <v>1484</v>
      </c>
    </row>
    <row r="609" customFormat="false" ht="15.75" hidden="false" customHeight="false" outlineLevel="0" collapsed="false">
      <c r="B609" s="7" t="n">
        <v>46212</v>
      </c>
      <c r="C609" s="3" t="s">
        <v>1485</v>
      </c>
      <c r="D609" s="3" t="s">
        <v>976</v>
      </c>
      <c r="E609" s="3" t="s">
        <v>1258</v>
      </c>
      <c r="F609" s="3" t="s">
        <v>1456</v>
      </c>
      <c r="G609" s="10" t="s">
        <v>1486</v>
      </c>
      <c r="H609" s="9" t="s">
        <v>13</v>
      </c>
      <c r="I609" s="9" t="s">
        <v>1487</v>
      </c>
    </row>
    <row r="610" customFormat="false" ht="15.75" hidden="false" customHeight="false" outlineLevel="0" collapsed="false">
      <c r="B610" s="7" t="n">
        <v>46212</v>
      </c>
      <c r="C610" s="3" t="s">
        <v>1488</v>
      </c>
      <c r="D610" s="3" t="s">
        <v>976</v>
      </c>
      <c r="E610" s="3" t="s">
        <v>1258</v>
      </c>
      <c r="F610" s="3" t="s">
        <v>1456</v>
      </c>
      <c r="G610" s="10" t="s">
        <v>1489</v>
      </c>
      <c r="H610" s="9" t="s">
        <v>13</v>
      </c>
      <c r="I610" s="9" t="s">
        <v>1490</v>
      </c>
    </row>
    <row r="611" customFormat="false" ht="15.75" hidden="false" customHeight="false" outlineLevel="0" collapsed="false">
      <c r="B611" s="7" t="n">
        <v>46212</v>
      </c>
      <c r="C611" s="3" t="s">
        <v>1491</v>
      </c>
      <c r="D611" s="3" t="s">
        <v>976</v>
      </c>
      <c r="E611" s="3" t="s">
        <v>1258</v>
      </c>
      <c r="F611" s="3" t="s">
        <v>1456</v>
      </c>
      <c r="G611" s="10" t="s">
        <v>1492</v>
      </c>
      <c r="H611" s="9" t="s">
        <v>13</v>
      </c>
      <c r="I611" s="9" t="s">
        <v>1493</v>
      </c>
    </row>
    <row r="612" customFormat="false" ht="15.75" hidden="false" customHeight="false" outlineLevel="0" collapsed="false">
      <c r="B612" s="7" t="n">
        <v>46212</v>
      </c>
      <c r="C612" s="3" t="s">
        <v>1494</v>
      </c>
      <c r="D612" s="3" t="s">
        <v>976</v>
      </c>
      <c r="E612" s="3" t="s">
        <v>1258</v>
      </c>
      <c r="F612" s="3" t="s">
        <v>1456</v>
      </c>
      <c r="G612" s="8" t="s">
        <v>1495</v>
      </c>
      <c r="H612" s="9" t="s">
        <v>13</v>
      </c>
      <c r="I612" s="9" t="s">
        <v>1496</v>
      </c>
    </row>
    <row r="613" customFormat="false" ht="15.75" hidden="false" customHeight="false" outlineLevel="0" collapsed="false">
      <c r="B613" s="7" t="n">
        <v>46212</v>
      </c>
      <c r="C613" s="3" t="s">
        <v>1497</v>
      </c>
      <c r="D613" s="3" t="s">
        <v>976</v>
      </c>
      <c r="E613" s="3" t="s">
        <v>1258</v>
      </c>
      <c r="F613" s="3" t="s">
        <v>1456</v>
      </c>
      <c r="G613" s="10" t="s">
        <v>1498</v>
      </c>
      <c r="H613" s="9" t="s">
        <v>13</v>
      </c>
      <c r="I613" s="9" t="s">
        <v>1499</v>
      </c>
    </row>
    <row r="614" customFormat="false" ht="15.75" hidden="false" customHeight="false" outlineLevel="0" collapsed="false">
      <c r="B614" s="7" t="n">
        <v>46212</v>
      </c>
      <c r="C614" s="3" t="s">
        <v>1500</v>
      </c>
      <c r="D614" s="3" t="s">
        <v>976</v>
      </c>
      <c r="E614" s="3" t="s">
        <v>1258</v>
      </c>
      <c r="F614" s="3" t="s">
        <v>1456</v>
      </c>
      <c r="G614" s="10" t="s">
        <v>1501</v>
      </c>
      <c r="H614" s="9" t="s">
        <v>13</v>
      </c>
      <c r="I614" s="9" t="s">
        <v>1502</v>
      </c>
    </row>
    <row r="615" customFormat="false" ht="15.75" hidden="false" customHeight="false" outlineLevel="0" collapsed="false">
      <c r="B615" s="7" t="n">
        <v>46212</v>
      </c>
      <c r="C615" s="3" t="s">
        <v>1503</v>
      </c>
      <c r="D615" s="3" t="s">
        <v>976</v>
      </c>
      <c r="E615" s="3" t="s">
        <v>1258</v>
      </c>
      <c r="F615" s="3" t="s">
        <v>1456</v>
      </c>
      <c r="G615" s="10" t="s">
        <v>1501</v>
      </c>
      <c r="H615" s="9" t="s">
        <v>13</v>
      </c>
      <c r="I615" s="9" t="s">
        <v>1502</v>
      </c>
    </row>
    <row r="616" customFormat="false" ht="15.75" hidden="false" customHeight="false" outlineLevel="0" collapsed="false">
      <c r="B616" s="7" t="n">
        <v>46212</v>
      </c>
      <c r="C616" s="3" t="s">
        <v>1504</v>
      </c>
      <c r="D616" s="3" t="s">
        <v>976</v>
      </c>
      <c r="E616" s="3" t="s">
        <v>1258</v>
      </c>
      <c r="F616" s="3" t="s">
        <v>1456</v>
      </c>
      <c r="G616" s="8" t="s">
        <v>1505</v>
      </c>
      <c r="H616" s="9" t="s">
        <v>13</v>
      </c>
      <c r="I616" s="9" t="s">
        <v>1506</v>
      </c>
    </row>
    <row r="617" customFormat="false" ht="15.75" hidden="false" customHeight="false" outlineLevel="0" collapsed="false">
      <c r="B617" s="7" t="n">
        <v>46212</v>
      </c>
      <c r="C617" s="3" t="s">
        <v>1507</v>
      </c>
      <c r="D617" s="3" t="s">
        <v>976</v>
      </c>
      <c r="E617" s="3" t="s">
        <v>1258</v>
      </c>
      <c r="F617" s="3" t="s">
        <v>1456</v>
      </c>
      <c r="G617" s="10" t="s">
        <v>1508</v>
      </c>
      <c r="H617" s="9" t="s">
        <v>13</v>
      </c>
      <c r="I617" s="9" t="s">
        <v>1509</v>
      </c>
    </row>
    <row r="618" customFormat="false" ht="15.75" hidden="false" customHeight="false" outlineLevel="0" collapsed="false">
      <c r="B618" s="7" t="n">
        <v>46212</v>
      </c>
      <c r="C618" s="3" t="s">
        <v>1510</v>
      </c>
      <c r="D618" s="3" t="s">
        <v>976</v>
      </c>
      <c r="E618" s="3" t="s">
        <v>1258</v>
      </c>
      <c r="F618" s="3" t="s">
        <v>1456</v>
      </c>
      <c r="G618" s="10" t="s">
        <v>1511</v>
      </c>
      <c r="H618" s="9" t="s">
        <v>13</v>
      </c>
      <c r="I618" s="9" t="s">
        <v>1512</v>
      </c>
    </row>
    <row r="619" customFormat="false" ht="15.75" hidden="false" customHeight="false" outlineLevel="0" collapsed="false">
      <c r="B619" s="7" t="n">
        <v>46212</v>
      </c>
      <c r="C619" s="3" t="s">
        <v>1513</v>
      </c>
      <c r="D619" s="3" t="s">
        <v>976</v>
      </c>
      <c r="E619" s="3" t="s">
        <v>1258</v>
      </c>
      <c r="F619" s="3" t="s">
        <v>1456</v>
      </c>
      <c r="G619" s="10" t="s">
        <v>1514</v>
      </c>
      <c r="H619" s="9" t="s">
        <v>13</v>
      </c>
      <c r="I619" s="9" t="s">
        <v>1515</v>
      </c>
    </row>
    <row r="620" customFormat="false" ht="15.75" hidden="false" customHeight="false" outlineLevel="0" collapsed="false">
      <c r="B620" s="7" t="n">
        <v>46212</v>
      </c>
      <c r="C620" s="3" t="s">
        <v>1516</v>
      </c>
      <c r="D620" s="3" t="s">
        <v>976</v>
      </c>
      <c r="E620" s="3" t="s">
        <v>1258</v>
      </c>
      <c r="F620" s="3" t="s">
        <v>1456</v>
      </c>
      <c r="G620" s="8" t="s">
        <v>1517</v>
      </c>
      <c r="H620" s="9" t="s">
        <v>13</v>
      </c>
      <c r="I620" s="9" t="s">
        <v>1518</v>
      </c>
    </row>
    <row r="621" customFormat="false" ht="15.75" hidden="false" customHeight="false" outlineLevel="0" collapsed="false">
      <c r="B621" s="7" t="n">
        <v>46212</v>
      </c>
      <c r="C621" s="3" t="s">
        <v>1519</v>
      </c>
      <c r="D621" s="3" t="s">
        <v>976</v>
      </c>
      <c r="E621" s="3" t="s">
        <v>1258</v>
      </c>
      <c r="F621" s="3" t="s">
        <v>1456</v>
      </c>
      <c r="G621" s="10" t="s">
        <v>1520</v>
      </c>
      <c r="H621" s="9" t="s">
        <v>13</v>
      </c>
      <c r="I621" s="9" t="s">
        <v>1521</v>
      </c>
    </row>
    <row r="622" customFormat="false" ht="15.75" hidden="false" customHeight="false" outlineLevel="0" collapsed="false">
      <c r="B622" s="7" t="n">
        <v>46212</v>
      </c>
      <c r="C622" s="3" t="s">
        <v>1522</v>
      </c>
      <c r="D622" s="3" t="s">
        <v>976</v>
      </c>
      <c r="E622" s="3" t="s">
        <v>1258</v>
      </c>
      <c r="F622" s="3" t="s">
        <v>1456</v>
      </c>
      <c r="G622" s="10" t="s">
        <v>1520</v>
      </c>
      <c r="H622" s="9" t="s">
        <v>13</v>
      </c>
      <c r="I622" s="9" t="s">
        <v>1521</v>
      </c>
    </row>
    <row r="623" customFormat="false" ht="15.75" hidden="false" customHeight="false" outlineLevel="0" collapsed="false">
      <c r="B623" s="7" t="n">
        <v>46212</v>
      </c>
      <c r="C623" s="3" t="s">
        <v>1523</v>
      </c>
      <c r="D623" s="3" t="s">
        <v>976</v>
      </c>
      <c r="E623" s="3" t="s">
        <v>1258</v>
      </c>
      <c r="F623" s="3" t="s">
        <v>1456</v>
      </c>
      <c r="G623" s="10" t="s">
        <v>1524</v>
      </c>
      <c r="H623" s="9" t="s">
        <v>13</v>
      </c>
      <c r="I623" s="9" t="s">
        <v>1525</v>
      </c>
    </row>
    <row r="624" customFormat="false" ht="15.75" hidden="false" customHeight="false" outlineLevel="0" collapsed="false">
      <c r="B624" s="7" t="n">
        <v>46212</v>
      </c>
      <c r="C624" s="3" t="s">
        <v>1526</v>
      </c>
      <c r="D624" s="3" t="s">
        <v>976</v>
      </c>
      <c r="E624" s="3" t="s">
        <v>1258</v>
      </c>
      <c r="F624" s="3" t="s">
        <v>1456</v>
      </c>
      <c r="G624" s="8" t="s">
        <v>1527</v>
      </c>
      <c r="H624" s="9" t="s">
        <v>13</v>
      </c>
      <c r="I624" s="9" t="s">
        <v>1528</v>
      </c>
    </row>
    <row r="625" customFormat="false" ht="15.75" hidden="false" customHeight="false" outlineLevel="0" collapsed="false">
      <c r="B625" s="7" t="n">
        <v>46212</v>
      </c>
      <c r="C625" s="3" t="s">
        <v>1529</v>
      </c>
      <c r="D625" s="3" t="s">
        <v>976</v>
      </c>
      <c r="E625" s="3" t="s">
        <v>1258</v>
      </c>
      <c r="F625" s="3" t="s">
        <v>1456</v>
      </c>
      <c r="G625" s="10" t="s">
        <v>1530</v>
      </c>
      <c r="H625" s="9" t="s">
        <v>13</v>
      </c>
      <c r="I625" s="9" t="s">
        <v>1531</v>
      </c>
    </row>
    <row r="626" customFormat="false" ht="15.75" hidden="false" customHeight="false" outlineLevel="0" collapsed="false">
      <c r="B626" s="7" t="n">
        <v>46212</v>
      </c>
      <c r="C626" s="3" t="s">
        <v>1532</v>
      </c>
      <c r="D626" s="3" t="s">
        <v>976</v>
      </c>
      <c r="E626" s="3" t="s">
        <v>1258</v>
      </c>
      <c r="F626" s="3" t="s">
        <v>1456</v>
      </c>
      <c r="G626" s="8" t="s">
        <v>1533</v>
      </c>
      <c r="H626" s="9" t="s">
        <v>13</v>
      </c>
      <c r="I626" s="9" t="s">
        <v>1534</v>
      </c>
    </row>
    <row r="627" customFormat="false" ht="15.75" hidden="false" customHeight="false" outlineLevel="0" collapsed="false">
      <c r="B627" s="7" t="n">
        <v>46212</v>
      </c>
      <c r="C627" s="3" t="s">
        <v>1535</v>
      </c>
      <c r="D627" s="3" t="s">
        <v>976</v>
      </c>
      <c r="E627" s="3" t="s">
        <v>1258</v>
      </c>
      <c r="F627" s="3" t="s">
        <v>1456</v>
      </c>
      <c r="G627" s="10" t="s">
        <v>1536</v>
      </c>
      <c r="H627" s="9" t="s">
        <v>13</v>
      </c>
      <c r="I627" s="9" t="s">
        <v>1537</v>
      </c>
    </row>
    <row r="628" customFormat="false" ht="15.75" hidden="false" customHeight="false" outlineLevel="0" collapsed="false">
      <c r="B628" s="7" t="n">
        <v>46212</v>
      </c>
      <c r="C628" s="3" t="s">
        <v>1538</v>
      </c>
      <c r="D628" s="3" t="s">
        <v>976</v>
      </c>
      <c r="E628" s="3" t="s">
        <v>1258</v>
      </c>
      <c r="F628" s="3" t="s">
        <v>1456</v>
      </c>
      <c r="G628" s="8" t="s">
        <v>1539</v>
      </c>
      <c r="H628" s="9" t="s">
        <v>13</v>
      </c>
      <c r="I628" s="9" t="s">
        <v>1540</v>
      </c>
    </row>
    <row r="629" customFormat="false" ht="15.75" hidden="false" customHeight="false" outlineLevel="0" collapsed="false">
      <c r="B629" s="7" t="n">
        <v>46212</v>
      </c>
      <c r="C629" s="3" t="s">
        <v>1541</v>
      </c>
      <c r="D629" s="3" t="s">
        <v>976</v>
      </c>
      <c r="E629" s="3" t="s">
        <v>1258</v>
      </c>
      <c r="F629" s="3" t="s">
        <v>1456</v>
      </c>
      <c r="G629" s="8" t="s">
        <v>1542</v>
      </c>
      <c r="H629" s="9" t="s">
        <v>13</v>
      </c>
      <c r="I629" s="9" t="s">
        <v>1543</v>
      </c>
    </row>
    <row r="630" customFormat="false" ht="15.75" hidden="false" customHeight="false" outlineLevel="0" collapsed="false">
      <c r="B630" s="7" t="n">
        <v>46212</v>
      </c>
      <c r="C630" s="3" t="s">
        <v>1544</v>
      </c>
      <c r="D630" s="3" t="s">
        <v>976</v>
      </c>
      <c r="E630" s="3" t="s">
        <v>1258</v>
      </c>
      <c r="F630" s="3" t="s">
        <v>1456</v>
      </c>
      <c r="G630" s="10" t="s">
        <v>1545</v>
      </c>
      <c r="H630" s="9" t="s">
        <v>13</v>
      </c>
      <c r="I630" s="9" t="s">
        <v>1546</v>
      </c>
    </row>
    <row r="631" customFormat="false" ht="15.75" hidden="false" customHeight="false" outlineLevel="0" collapsed="false">
      <c r="B631" s="7" t="n">
        <v>46212</v>
      </c>
      <c r="C631" s="3" t="s">
        <v>1547</v>
      </c>
      <c r="D631" s="3" t="s">
        <v>976</v>
      </c>
      <c r="E631" s="3" t="s">
        <v>1258</v>
      </c>
      <c r="F631" s="3" t="s">
        <v>1456</v>
      </c>
      <c r="G631" s="10" t="s">
        <v>1548</v>
      </c>
      <c r="H631" s="9" t="s">
        <v>13</v>
      </c>
      <c r="I631" s="9" t="s">
        <v>1549</v>
      </c>
    </row>
    <row r="632" customFormat="false" ht="15.75" hidden="false" customHeight="false" outlineLevel="0" collapsed="false">
      <c r="B632" s="7" t="n">
        <v>46212</v>
      </c>
      <c r="C632" s="3" t="s">
        <v>1550</v>
      </c>
      <c r="D632" s="3" t="s">
        <v>976</v>
      </c>
      <c r="E632" s="3" t="s">
        <v>1258</v>
      </c>
      <c r="F632" s="3" t="s">
        <v>1456</v>
      </c>
      <c r="G632" s="10" t="s">
        <v>233</v>
      </c>
      <c r="H632" s="9" t="s">
        <v>13</v>
      </c>
      <c r="I632" s="9" t="s">
        <v>1551</v>
      </c>
    </row>
    <row r="633" customFormat="false" ht="15.75" hidden="false" customHeight="false" outlineLevel="0" collapsed="false">
      <c r="B633" s="7" t="n">
        <v>46212</v>
      </c>
      <c r="C633" s="3" t="s">
        <v>1552</v>
      </c>
      <c r="D633" s="3" t="s">
        <v>976</v>
      </c>
      <c r="E633" s="3" t="s">
        <v>1553</v>
      </c>
      <c r="F633" s="3" t="s">
        <v>1554</v>
      </c>
      <c r="G633" s="10" t="s">
        <v>1555</v>
      </c>
      <c r="H633" s="9" t="s">
        <v>13</v>
      </c>
      <c r="I633" s="9" t="s">
        <v>1556</v>
      </c>
    </row>
    <row r="634" customFormat="false" ht="15.75" hidden="false" customHeight="false" outlineLevel="0" collapsed="false">
      <c r="B634" s="7" t="n">
        <v>46212</v>
      </c>
      <c r="C634" s="3" t="s">
        <v>1557</v>
      </c>
      <c r="D634" s="3" t="s">
        <v>976</v>
      </c>
      <c r="E634" s="3" t="s">
        <v>1553</v>
      </c>
      <c r="F634" s="3" t="s">
        <v>1554</v>
      </c>
      <c r="G634" s="10" t="s">
        <v>1558</v>
      </c>
      <c r="H634" s="9" t="s">
        <v>13</v>
      </c>
      <c r="I634" s="9" t="s">
        <v>1559</v>
      </c>
    </row>
    <row r="635" customFormat="false" ht="15.75" hidden="false" customHeight="false" outlineLevel="0" collapsed="false">
      <c r="B635" s="7" t="n">
        <v>46212</v>
      </c>
      <c r="C635" s="3" t="s">
        <v>1560</v>
      </c>
      <c r="D635" s="3" t="s">
        <v>976</v>
      </c>
      <c r="E635" s="3" t="s">
        <v>1553</v>
      </c>
      <c r="F635" s="3" t="s">
        <v>1554</v>
      </c>
      <c r="G635" s="10" t="s">
        <v>1558</v>
      </c>
      <c r="H635" s="9" t="s">
        <v>13</v>
      </c>
      <c r="I635" s="9" t="s">
        <v>1561</v>
      </c>
    </row>
    <row r="636" customFormat="false" ht="15.75" hidden="false" customHeight="false" outlineLevel="0" collapsed="false">
      <c r="B636" s="7" t="n">
        <v>46212</v>
      </c>
      <c r="C636" s="3" t="s">
        <v>1562</v>
      </c>
      <c r="D636" s="3" t="s">
        <v>976</v>
      </c>
      <c r="E636" s="3" t="s">
        <v>1553</v>
      </c>
      <c r="F636" s="3" t="s">
        <v>1554</v>
      </c>
      <c r="G636" s="10" t="s">
        <v>1558</v>
      </c>
      <c r="H636" s="9" t="s">
        <v>13</v>
      </c>
      <c r="I636" s="9" t="s">
        <v>1563</v>
      </c>
    </row>
    <row r="637" customFormat="false" ht="15.75" hidden="false" customHeight="false" outlineLevel="0" collapsed="false">
      <c r="B637" s="7" t="n">
        <v>46212</v>
      </c>
      <c r="C637" s="3" t="s">
        <v>1564</v>
      </c>
      <c r="D637" s="3" t="s">
        <v>976</v>
      </c>
      <c r="E637" s="3" t="s">
        <v>1553</v>
      </c>
      <c r="F637" s="3" t="s">
        <v>1554</v>
      </c>
      <c r="G637" s="10" t="s">
        <v>1558</v>
      </c>
      <c r="H637" s="9" t="s">
        <v>13</v>
      </c>
      <c r="I637" s="9" t="s">
        <v>1565</v>
      </c>
    </row>
    <row r="638" customFormat="false" ht="15.75" hidden="false" customHeight="false" outlineLevel="0" collapsed="false">
      <c r="B638" s="7" t="n">
        <v>46212</v>
      </c>
      <c r="C638" s="3" t="s">
        <v>1566</v>
      </c>
      <c r="D638" s="3" t="s">
        <v>976</v>
      </c>
      <c r="E638" s="3" t="s">
        <v>1553</v>
      </c>
      <c r="F638" s="3" t="s">
        <v>1554</v>
      </c>
      <c r="G638" s="10" t="s">
        <v>1567</v>
      </c>
      <c r="H638" s="9" t="s">
        <v>13</v>
      </c>
      <c r="I638" s="9" t="s">
        <v>1568</v>
      </c>
    </row>
    <row r="639" customFormat="false" ht="15.75" hidden="false" customHeight="false" outlineLevel="0" collapsed="false">
      <c r="B639" s="7" t="n">
        <v>46212</v>
      </c>
      <c r="C639" s="3" t="s">
        <v>1569</v>
      </c>
      <c r="D639" s="3" t="s">
        <v>976</v>
      </c>
      <c r="E639" s="3" t="s">
        <v>1553</v>
      </c>
      <c r="F639" s="3" t="s">
        <v>1554</v>
      </c>
      <c r="G639" s="10" t="s">
        <v>1570</v>
      </c>
      <c r="H639" s="9" t="s">
        <v>13</v>
      </c>
      <c r="I639" s="9" t="s">
        <v>1571</v>
      </c>
    </row>
    <row r="640" customFormat="false" ht="15.75" hidden="false" customHeight="false" outlineLevel="0" collapsed="false">
      <c r="B640" s="7" t="n">
        <v>46212</v>
      </c>
      <c r="C640" s="3" t="s">
        <v>1572</v>
      </c>
      <c r="D640" s="3" t="s">
        <v>976</v>
      </c>
      <c r="E640" s="3" t="s">
        <v>1553</v>
      </c>
      <c r="F640" s="3" t="s">
        <v>1554</v>
      </c>
      <c r="G640" s="10" t="s">
        <v>1573</v>
      </c>
      <c r="H640" s="9" t="s">
        <v>13</v>
      </c>
      <c r="I640" s="9" t="s">
        <v>1574</v>
      </c>
    </row>
    <row r="641" customFormat="false" ht="15.75" hidden="false" customHeight="false" outlineLevel="0" collapsed="false">
      <c r="B641" s="7" t="n">
        <v>46212</v>
      </c>
      <c r="C641" s="3" t="s">
        <v>1575</v>
      </c>
      <c r="D641" s="3" t="s">
        <v>976</v>
      </c>
      <c r="E641" s="3" t="s">
        <v>1553</v>
      </c>
      <c r="F641" s="3" t="s">
        <v>1554</v>
      </c>
      <c r="G641" s="10" t="s">
        <v>1573</v>
      </c>
      <c r="H641" s="9" t="s">
        <v>13</v>
      </c>
      <c r="I641" s="9" t="s">
        <v>1574</v>
      </c>
    </row>
    <row r="642" customFormat="false" ht="15.75" hidden="false" customHeight="false" outlineLevel="0" collapsed="false">
      <c r="B642" s="7" t="n">
        <v>46212</v>
      </c>
      <c r="C642" s="3" t="s">
        <v>1576</v>
      </c>
      <c r="D642" s="3" t="s">
        <v>976</v>
      </c>
      <c r="E642" s="3" t="s">
        <v>1553</v>
      </c>
      <c r="F642" s="3" t="s">
        <v>1554</v>
      </c>
      <c r="G642" s="10" t="s">
        <v>1577</v>
      </c>
      <c r="H642" s="9" t="s">
        <v>13</v>
      </c>
      <c r="I642" s="9" t="s">
        <v>1578</v>
      </c>
    </row>
    <row r="643" customFormat="false" ht="15.75" hidden="false" customHeight="false" outlineLevel="0" collapsed="false">
      <c r="B643" s="7" t="n">
        <v>46212</v>
      </c>
      <c r="C643" s="3" t="s">
        <v>1579</v>
      </c>
      <c r="D643" s="3" t="s">
        <v>976</v>
      </c>
      <c r="E643" s="3" t="s">
        <v>1553</v>
      </c>
      <c r="F643" s="3" t="s">
        <v>1554</v>
      </c>
      <c r="G643" s="10" t="s">
        <v>1567</v>
      </c>
      <c r="H643" s="9" t="s">
        <v>13</v>
      </c>
      <c r="I643" s="9" t="s">
        <v>1580</v>
      </c>
    </row>
    <row r="644" customFormat="false" ht="15.75" hidden="false" customHeight="false" outlineLevel="0" collapsed="false">
      <c r="B644" s="7" t="n">
        <v>46212</v>
      </c>
      <c r="C644" s="3" t="s">
        <v>1581</v>
      </c>
      <c r="D644" s="3" t="s">
        <v>976</v>
      </c>
      <c r="E644" s="3" t="s">
        <v>1553</v>
      </c>
      <c r="F644" s="3" t="s">
        <v>1554</v>
      </c>
      <c r="G644" s="10" t="s">
        <v>1567</v>
      </c>
      <c r="H644" s="9" t="s">
        <v>13</v>
      </c>
      <c r="I644" s="9" t="s">
        <v>1580</v>
      </c>
    </row>
    <row r="645" customFormat="false" ht="15.75" hidden="false" customHeight="false" outlineLevel="0" collapsed="false">
      <c r="B645" s="7" t="n">
        <v>46212</v>
      </c>
      <c r="C645" s="3" t="s">
        <v>1582</v>
      </c>
      <c r="D645" s="3" t="s">
        <v>976</v>
      </c>
      <c r="E645" s="3" t="s">
        <v>1553</v>
      </c>
      <c r="F645" s="3" t="s">
        <v>1554</v>
      </c>
      <c r="G645" s="10" t="s">
        <v>1583</v>
      </c>
      <c r="H645" s="9" t="s">
        <v>13</v>
      </c>
      <c r="I645" s="9" t="s">
        <v>1584</v>
      </c>
    </row>
    <row r="646" customFormat="false" ht="15.75" hidden="false" customHeight="false" outlineLevel="0" collapsed="false">
      <c r="B646" s="7" t="n">
        <v>46212</v>
      </c>
      <c r="C646" s="3" t="s">
        <v>1585</v>
      </c>
      <c r="D646" s="3" t="s">
        <v>976</v>
      </c>
      <c r="E646" s="3" t="s">
        <v>1553</v>
      </c>
      <c r="F646" s="3" t="s">
        <v>1554</v>
      </c>
      <c r="G646" s="10" t="s">
        <v>789</v>
      </c>
      <c r="H646" s="9" t="s">
        <v>13</v>
      </c>
      <c r="I646" s="9" t="s">
        <v>1586</v>
      </c>
    </row>
    <row r="647" customFormat="false" ht="15.75" hidden="false" customHeight="false" outlineLevel="0" collapsed="false">
      <c r="B647" s="7" t="n">
        <v>46212</v>
      </c>
      <c r="C647" s="3" t="s">
        <v>1587</v>
      </c>
      <c r="D647" s="3" t="s">
        <v>976</v>
      </c>
      <c r="E647" s="3" t="s">
        <v>1553</v>
      </c>
      <c r="F647" s="3" t="s">
        <v>1554</v>
      </c>
      <c r="G647" s="10" t="s">
        <v>789</v>
      </c>
      <c r="H647" s="9" t="s">
        <v>13</v>
      </c>
      <c r="I647" s="9" t="s">
        <v>1586</v>
      </c>
    </row>
    <row r="648" customFormat="false" ht="15.75" hidden="false" customHeight="false" outlineLevel="0" collapsed="false">
      <c r="B648" s="7" t="n">
        <v>46212</v>
      </c>
      <c r="C648" s="3" t="s">
        <v>1588</v>
      </c>
      <c r="D648" s="3" t="s">
        <v>976</v>
      </c>
      <c r="E648" s="3" t="s">
        <v>1553</v>
      </c>
      <c r="F648" s="3" t="s">
        <v>1554</v>
      </c>
      <c r="G648" s="10" t="s">
        <v>789</v>
      </c>
      <c r="H648" s="9" t="s">
        <v>13</v>
      </c>
      <c r="I648" s="9" t="s">
        <v>1586</v>
      </c>
    </row>
    <row r="649" customFormat="false" ht="15.75" hidden="false" customHeight="false" outlineLevel="0" collapsed="false">
      <c r="B649" s="7" t="n">
        <v>46212</v>
      </c>
      <c r="C649" s="3" t="s">
        <v>1589</v>
      </c>
      <c r="D649" s="3" t="s">
        <v>976</v>
      </c>
      <c r="E649" s="3" t="s">
        <v>1553</v>
      </c>
      <c r="F649" s="3" t="s">
        <v>1554</v>
      </c>
      <c r="G649" s="10" t="s">
        <v>1567</v>
      </c>
      <c r="H649" s="9" t="s">
        <v>13</v>
      </c>
      <c r="I649" s="9" t="s">
        <v>1590</v>
      </c>
    </row>
    <row r="650" customFormat="false" ht="15.75" hidden="false" customHeight="false" outlineLevel="0" collapsed="false">
      <c r="B650" s="7" t="n">
        <v>46212</v>
      </c>
      <c r="C650" s="3" t="s">
        <v>1591</v>
      </c>
      <c r="D650" s="3" t="s">
        <v>976</v>
      </c>
      <c r="E650" s="3" t="s">
        <v>1553</v>
      </c>
      <c r="F650" s="3" t="s">
        <v>1554</v>
      </c>
      <c r="G650" s="10" t="s">
        <v>1592</v>
      </c>
      <c r="H650" s="9" t="s">
        <v>13</v>
      </c>
      <c r="I650" s="9" t="s">
        <v>1593</v>
      </c>
    </row>
    <row r="651" customFormat="false" ht="15.75" hidden="false" customHeight="false" outlineLevel="0" collapsed="false">
      <c r="B651" s="7" t="n">
        <v>46212</v>
      </c>
      <c r="C651" s="3" t="s">
        <v>1594</v>
      </c>
      <c r="D651" s="3" t="s">
        <v>976</v>
      </c>
      <c r="E651" s="3" t="s">
        <v>1553</v>
      </c>
      <c r="F651" s="3" t="s">
        <v>1554</v>
      </c>
      <c r="G651" s="10" t="s">
        <v>1595</v>
      </c>
      <c r="H651" s="9" t="s">
        <v>13</v>
      </c>
      <c r="I651" s="9" t="s">
        <v>1596</v>
      </c>
    </row>
    <row r="652" customFormat="false" ht="15.75" hidden="false" customHeight="false" outlineLevel="0" collapsed="false">
      <c r="B652" s="7" t="n">
        <v>46212</v>
      </c>
      <c r="C652" s="3" t="s">
        <v>1597</v>
      </c>
      <c r="D652" s="3" t="s">
        <v>976</v>
      </c>
      <c r="E652" s="3" t="s">
        <v>1553</v>
      </c>
      <c r="F652" s="3" t="s">
        <v>1554</v>
      </c>
      <c r="G652" s="10" t="s">
        <v>1598</v>
      </c>
      <c r="H652" s="9" t="s">
        <v>13</v>
      </c>
      <c r="I652" s="9" t="s">
        <v>1599</v>
      </c>
    </row>
    <row r="653" customFormat="false" ht="15.75" hidden="false" customHeight="false" outlineLevel="0" collapsed="false">
      <c r="B653" s="7" t="n">
        <v>46212</v>
      </c>
      <c r="C653" s="3" t="s">
        <v>1600</v>
      </c>
      <c r="D653" s="3" t="s">
        <v>976</v>
      </c>
      <c r="E653" s="3" t="s">
        <v>1553</v>
      </c>
      <c r="F653" s="3" t="s">
        <v>1554</v>
      </c>
      <c r="G653" s="10" t="s">
        <v>1567</v>
      </c>
      <c r="H653" s="9" t="s">
        <v>13</v>
      </c>
      <c r="I653" s="9" t="s">
        <v>1601</v>
      </c>
    </row>
    <row r="654" customFormat="false" ht="15.75" hidden="false" customHeight="false" outlineLevel="0" collapsed="false">
      <c r="B654" s="7" t="n">
        <v>46212</v>
      </c>
      <c r="C654" s="3" t="s">
        <v>1602</v>
      </c>
      <c r="D654" s="3" t="s">
        <v>976</v>
      </c>
      <c r="E654" s="3" t="s">
        <v>1553</v>
      </c>
      <c r="F654" s="3" t="s">
        <v>1554</v>
      </c>
      <c r="G654" s="10" t="s">
        <v>1567</v>
      </c>
      <c r="H654" s="9" t="s">
        <v>13</v>
      </c>
      <c r="I654" s="9" t="s">
        <v>1603</v>
      </c>
    </row>
    <row r="655" customFormat="false" ht="15.75" hidden="false" customHeight="false" outlineLevel="0" collapsed="false">
      <c r="B655" s="7" t="n">
        <v>46212</v>
      </c>
      <c r="C655" s="3" t="s">
        <v>1604</v>
      </c>
      <c r="D655" s="3" t="s">
        <v>976</v>
      </c>
      <c r="E655" s="3" t="s">
        <v>1553</v>
      </c>
      <c r="F655" s="3" t="s">
        <v>1554</v>
      </c>
      <c r="G655" s="10" t="s">
        <v>1567</v>
      </c>
      <c r="H655" s="9" t="s">
        <v>13</v>
      </c>
      <c r="I655" s="9" t="s">
        <v>1605</v>
      </c>
    </row>
    <row r="656" customFormat="false" ht="15.75" hidden="false" customHeight="false" outlineLevel="0" collapsed="false">
      <c r="B656" s="7" t="n">
        <v>46212</v>
      </c>
      <c r="C656" s="3" t="s">
        <v>1606</v>
      </c>
      <c r="D656" s="3" t="s">
        <v>976</v>
      </c>
      <c r="E656" s="3" t="s">
        <v>1553</v>
      </c>
      <c r="F656" s="3" t="s">
        <v>1554</v>
      </c>
      <c r="G656" s="10" t="s">
        <v>1607</v>
      </c>
      <c r="H656" s="9" t="s">
        <v>13</v>
      </c>
      <c r="I656" s="9" t="s">
        <v>1608</v>
      </c>
    </row>
    <row r="657" customFormat="false" ht="15.75" hidden="false" customHeight="false" outlineLevel="0" collapsed="false">
      <c r="B657" s="7" t="n">
        <v>46212</v>
      </c>
      <c r="C657" s="3" t="s">
        <v>1609</v>
      </c>
      <c r="D657" s="3" t="s">
        <v>976</v>
      </c>
      <c r="E657" s="3" t="s">
        <v>1553</v>
      </c>
      <c r="F657" s="3" t="s">
        <v>1554</v>
      </c>
      <c r="G657" s="10" t="s">
        <v>1607</v>
      </c>
      <c r="H657" s="9" t="s">
        <v>13</v>
      </c>
      <c r="I657" s="9" t="s">
        <v>1610</v>
      </c>
    </row>
    <row r="658" customFormat="false" ht="15.75" hidden="false" customHeight="false" outlineLevel="0" collapsed="false">
      <c r="B658" s="7" t="n">
        <v>46212</v>
      </c>
      <c r="C658" s="3" t="s">
        <v>1611</v>
      </c>
      <c r="D658" s="3" t="s">
        <v>976</v>
      </c>
      <c r="E658" s="3" t="s">
        <v>1553</v>
      </c>
      <c r="F658" s="3" t="s">
        <v>1554</v>
      </c>
      <c r="G658" s="10" t="s">
        <v>1612</v>
      </c>
      <c r="H658" s="9" t="s">
        <v>13</v>
      </c>
      <c r="I658" s="9" t="s">
        <v>1613</v>
      </c>
    </row>
    <row r="659" customFormat="false" ht="15.75" hidden="false" customHeight="false" outlineLevel="0" collapsed="false">
      <c r="B659" s="7" t="n">
        <v>46212</v>
      </c>
      <c r="C659" s="3" t="s">
        <v>1614</v>
      </c>
      <c r="D659" s="3" t="s">
        <v>976</v>
      </c>
      <c r="E659" s="3" t="s">
        <v>1553</v>
      </c>
      <c r="F659" s="3" t="s">
        <v>1554</v>
      </c>
      <c r="G659" s="10" t="s">
        <v>1607</v>
      </c>
      <c r="H659" s="9" t="s">
        <v>13</v>
      </c>
      <c r="I659" s="9" t="s">
        <v>1615</v>
      </c>
    </row>
    <row r="660" customFormat="false" ht="15.75" hidden="false" customHeight="false" outlineLevel="0" collapsed="false">
      <c r="B660" s="7" t="n">
        <v>46212</v>
      </c>
      <c r="C660" s="3" t="s">
        <v>1616</v>
      </c>
      <c r="D660" s="3" t="s">
        <v>976</v>
      </c>
      <c r="E660" s="3" t="s">
        <v>1553</v>
      </c>
      <c r="F660" s="3" t="s">
        <v>1554</v>
      </c>
      <c r="G660" s="10" t="s">
        <v>1607</v>
      </c>
      <c r="H660" s="9" t="s">
        <v>13</v>
      </c>
      <c r="I660" s="9" t="s">
        <v>1617</v>
      </c>
    </row>
    <row r="661" customFormat="false" ht="15.75" hidden="false" customHeight="false" outlineLevel="0" collapsed="false">
      <c r="B661" s="7" t="n">
        <v>46212</v>
      </c>
      <c r="C661" s="3" t="s">
        <v>1618</v>
      </c>
      <c r="D661" s="3" t="s">
        <v>976</v>
      </c>
      <c r="E661" s="3" t="s">
        <v>1553</v>
      </c>
      <c r="F661" s="3" t="s">
        <v>1554</v>
      </c>
      <c r="G661" s="10" t="s">
        <v>1607</v>
      </c>
      <c r="H661" s="9" t="s">
        <v>13</v>
      </c>
      <c r="I661" s="9" t="s">
        <v>1619</v>
      </c>
    </row>
    <row r="662" customFormat="false" ht="15.75" hidden="false" customHeight="false" outlineLevel="0" collapsed="false">
      <c r="B662" s="7" t="n">
        <v>46212</v>
      </c>
      <c r="C662" s="3" t="s">
        <v>1620</v>
      </c>
      <c r="D662" s="3" t="s">
        <v>976</v>
      </c>
      <c r="E662" s="3" t="s">
        <v>1553</v>
      </c>
      <c r="F662" s="3" t="s">
        <v>1554</v>
      </c>
      <c r="G662" s="10" t="s">
        <v>1607</v>
      </c>
      <c r="H662" s="9" t="s">
        <v>13</v>
      </c>
      <c r="I662" s="9" t="s">
        <v>1621</v>
      </c>
    </row>
    <row r="663" customFormat="false" ht="15.75" hidden="false" customHeight="false" outlineLevel="0" collapsed="false">
      <c r="B663" s="7" t="n">
        <v>46212</v>
      </c>
      <c r="C663" s="3" t="s">
        <v>1622</v>
      </c>
      <c r="D663" s="3" t="s">
        <v>976</v>
      </c>
      <c r="E663" s="3" t="s">
        <v>1553</v>
      </c>
      <c r="F663" s="3" t="s">
        <v>1554</v>
      </c>
      <c r="G663" s="10" t="s">
        <v>1623</v>
      </c>
      <c r="H663" s="9" t="s">
        <v>13</v>
      </c>
      <c r="I663" s="9" t="s">
        <v>1624</v>
      </c>
    </row>
    <row r="664" customFormat="false" ht="15.75" hidden="false" customHeight="false" outlineLevel="0" collapsed="false">
      <c r="B664" s="7" t="n">
        <v>46212</v>
      </c>
      <c r="C664" s="3" t="s">
        <v>1625</v>
      </c>
      <c r="D664" s="3" t="s">
        <v>976</v>
      </c>
      <c r="E664" s="3" t="s">
        <v>1553</v>
      </c>
      <c r="F664" s="3" t="s">
        <v>1554</v>
      </c>
      <c r="G664" s="10" t="s">
        <v>1626</v>
      </c>
      <c r="H664" s="9" t="s">
        <v>13</v>
      </c>
      <c r="I664" s="9" t="s">
        <v>1627</v>
      </c>
    </row>
    <row r="665" customFormat="false" ht="15.75" hidden="false" customHeight="false" outlineLevel="0" collapsed="false">
      <c r="B665" s="7" t="n">
        <v>46212</v>
      </c>
      <c r="C665" s="3" t="s">
        <v>1628</v>
      </c>
      <c r="D665" s="3" t="s">
        <v>976</v>
      </c>
      <c r="E665" s="3" t="s">
        <v>1553</v>
      </c>
      <c r="F665" s="3" t="s">
        <v>1554</v>
      </c>
      <c r="G665" s="10" t="s">
        <v>1629</v>
      </c>
      <c r="H665" s="9" t="s">
        <v>13</v>
      </c>
      <c r="I665" s="9" t="s">
        <v>1630</v>
      </c>
    </row>
    <row r="666" customFormat="false" ht="15.75" hidden="false" customHeight="false" outlineLevel="0" collapsed="false">
      <c r="B666" s="7" t="n">
        <v>46212</v>
      </c>
      <c r="C666" s="3" t="s">
        <v>1631</v>
      </c>
      <c r="D666" s="3" t="s">
        <v>976</v>
      </c>
      <c r="E666" s="3" t="s">
        <v>1553</v>
      </c>
      <c r="F666" s="3" t="s">
        <v>1554</v>
      </c>
      <c r="G666" s="10" t="s">
        <v>1632</v>
      </c>
      <c r="H666" s="9" t="s">
        <v>13</v>
      </c>
      <c r="I666" s="9" t="s">
        <v>1633</v>
      </c>
    </row>
    <row r="667" customFormat="false" ht="15.75" hidden="false" customHeight="false" outlineLevel="0" collapsed="false">
      <c r="B667" s="7" t="n">
        <v>46212</v>
      </c>
      <c r="C667" s="3" t="s">
        <v>1634</v>
      </c>
      <c r="D667" s="3" t="s">
        <v>976</v>
      </c>
      <c r="E667" s="3" t="s">
        <v>1553</v>
      </c>
      <c r="F667" s="3" t="s">
        <v>1554</v>
      </c>
      <c r="G667" s="10" t="s">
        <v>1626</v>
      </c>
      <c r="H667" s="9" t="s">
        <v>13</v>
      </c>
      <c r="I667" s="9" t="s">
        <v>1635</v>
      </c>
    </row>
    <row r="668" customFormat="false" ht="15.75" hidden="false" customHeight="false" outlineLevel="0" collapsed="false">
      <c r="B668" s="7" t="n">
        <v>46212</v>
      </c>
      <c r="C668" s="3" t="s">
        <v>1636</v>
      </c>
      <c r="D668" s="3" t="s">
        <v>976</v>
      </c>
      <c r="E668" s="3" t="s">
        <v>1553</v>
      </c>
      <c r="F668" s="3" t="s">
        <v>1637</v>
      </c>
      <c r="G668" s="10" t="s">
        <v>1638</v>
      </c>
      <c r="H668" s="9" t="s">
        <v>13</v>
      </c>
      <c r="I668" s="9" t="s">
        <v>1639</v>
      </c>
    </row>
    <row r="669" customFormat="false" ht="15.75" hidden="false" customHeight="false" outlineLevel="0" collapsed="false">
      <c r="B669" s="7" t="n">
        <v>46212</v>
      </c>
      <c r="C669" s="3" t="s">
        <v>1640</v>
      </c>
      <c r="D669" s="3" t="s">
        <v>976</v>
      </c>
      <c r="E669" s="3" t="s">
        <v>1553</v>
      </c>
      <c r="F669" s="3" t="s">
        <v>1637</v>
      </c>
      <c r="G669" s="10" t="s">
        <v>1641</v>
      </c>
      <c r="H669" s="9" t="s">
        <v>13</v>
      </c>
      <c r="I669" s="9" t="s">
        <v>1642</v>
      </c>
    </row>
    <row r="670" customFormat="false" ht="15.75" hidden="false" customHeight="false" outlineLevel="0" collapsed="false">
      <c r="B670" s="7" t="n">
        <v>46212</v>
      </c>
      <c r="C670" s="3" t="s">
        <v>1643</v>
      </c>
      <c r="D670" s="3" t="s">
        <v>976</v>
      </c>
      <c r="E670" s="3" t="s">
        <v>1553</v>
      </c>
      <c r="F670" s="3" t="s">
        <v>1637</v>
      </c>
      <c r="G670" s="10" t="s">
        <v>1638</v>
      </c>
      <c r="H670" s="9" t="s">
        <v>13</v>
      </c>
      <c r="I670" s="9" t="s">
        <v>1644</v>
      </c>
    </row>
    <row r="671" customFormat="false" ht="15.75" hidden="false" customHeight="false" outlineLevel="0" collapsed="false">
      <c r="B671" s="7" t="n">
        <v>46212</v>
      </c>
      <c r="C671" s="3" t="s">
        <v>1645</v>
      </c>
      <c r="D671" s="3" t="s">
        <v>976</v>
      </c>
      <c r="E671" s="3" t="s">
        <v>1553</v>
      </c>
      <c r="F671" s="3" t="s">
        <v>1637</v>
      </c>
      <c r="G671" s="10" t="s">
        <v>1646</v>
      </c>
      <c r="H671" s="9" t="s">
        <v>13</v>
      </c>
      <c r="I671" s="9" t="s">
        <v>1647</v>
      </c>
    </row>
    <row r="672" customFormat="false" ht="15.75" hidden="false" customHeight="false" outlineLevel="0" collapsed="false">
      <c r="B672" s="7" t="n">
        <v>46212</v>
      </c>
      <c r="C672" s="3" t="s">
        <v>1648</v>
      </c>
      <c r="D672" s="3" t="s">
        <v>976</v>
      </c>
      <c r="E672" s="3" t="s">
        <v>1553</v>
      </c>
      <c r="F672" s="3" t="s">
        <v>1637</v>
      </c>
      <c r="G672" s="10" t="s">
        <v>1646</v>
      </c>
      <c r="H672" s="9" t="s">
        <v>13</v>
      </c>
      <c r="I672" s="9" t="s">
        <v>1649</v>
      </c>
    </row>
    <row r="673" customFormat="false" ht="15.75" hidden="false" customHeight="false" outlineLevel="0" collapsed="false">
      <c r="B673" s="7" t="n">
        <v>46212</v>
      </c>
      <c r="C673" s="3" t="s">
        <v>1650</v>
      </c>
      <c r="D673" s="3" t="s">
        <v>976</v>
      </c>
      <c r="E673" s="3" t="s">
        <v>1553</v>
      </c>
      <c r="F673" s="3" t="s">
        <v>1637</v>
      </c>
      <c r="G673" s="10" t="s">
        <v>261</v>
      </c>
      <c r="H673" s="9" t="s">
        <v>13</v>
      </c>
      <c r="I673" s="9" t="s">
        <v>1651</v>
      </c>
    </row>
    <row r="674" customFormat="false" ht="15.75" hidden="false" customHeight="false" outlineLevel="0" collapsed="false">
      <c r="B674" s="7" t="n">
        <v>46212</v>
      </c>
      <c r="C674" s="3" t="s">
        <v>1652</v>
      </c>
      <c r="D674" s="3" t="s">
        <v>976</v>
      </c>
      <c r="E674" s="3" t="s">
        <v>1553</v>
      </c>
      <c r="F674" s="3" t="s">
        <v>1637</v>
      </c>
      <c r="G674" s="8" t="s">
        <v>1653</v>
      </c>
      <c r="H674" s="9" t="s">
        <v>13</v>
      </c>
      <c r="I674" s="9" t="s">
        <v>1654</v>
      </c>
    </row>
    <row r="675" customFormat="false" ht="15.75" hidden="false" customHeight="false" outlineLevel="0" collapsed="false">
      <c r="B675" s="7" t="n">
        <v>46212</v>
      </c>
      <c r="C675" s="3" t="s">
        <v>1655</v>
      </c>
      <c r="D675" s="3" t="s">
        <v>976</v>
      </c>
      <c r="E675" s="3" t="s">
        <v>1553</v>
      </c>
      <c r="F675" s="3" t="s">
        <v>1637</v>
      </c>
      <c r="G675" s="10" t="s">
        <v>1656</v>
      </c>
      <c r="H675" s="9" t="s">
        <v>13</v>
      </c>
      <c r="I675" s="9" t="s">
        <v>1657</v>
      </c>
    </row>
    <row r="676" customFormat="false" ht="15.75" hidden="false" customHeight="false" outlineLevel="0" collapsed="false">
      <c r="B676" s="7" t="n">
        <v>46212</v>
      </c>
      <c r="C676" s="3" t="s">
        <v>1658</v>
      </c>
      <c r="D676" s="3" t="s">
        <v>976</v>
      </c>
      <c r="E676" s="3" t="s">
        <v>1553</v>
      </c>
      <c r="F676" s="3" t="s">
        <v>1637</v>
      </c>
      <c r="G676" s="10" t="s">
        <v>1659</v>
      </c>
      <c r="H676" s="9" t="s">
        <v>13</v>
      </c>
      <c r="I676" s="9" t="s">
        <v>1660</v>
      </c>
    </row>
    <row r="677" customFormat="false" ht="15.75" hidden="false" customHeight="false" outlineLevel="0" collapsed="false">
      <c r="B677" s="7" t="n">
        <v>46212</v>
      </c>
      <c r="C677" s="3" t="s">
        <v>1661</v>
      </c>
      <c r="D677" s="3" t="s">
        <v>976</v>
      </c>
      <c r="E677" s="3" t="s">
        <v>1553</v>
      </c>
      <c r="F677" s="3" t="s">
        <v>1637</v>
      </c>
      <c r="G677" s="10" t="s">
        <v>1662</v>
      </c>
      <c r="H677" s="9" t="s">
        <v>13</v>
      </c>
      <c r="I677" s="9" t="s">
        <v>1663</v>
      </c>
    </row>
    <row r="678" customFormat="false" ht="15.75" hidden="false" customHeight="false" outlineLevel="0" collapsed="false">
      <c r="B678" s="7" t="n">
        <v>46212</v>
      </c>
      <c r="C678" s="3" t="s">
        <v>1664</v>
      </c>
      <c r="D678" s="3" t="s">
        <v>976</v>
      </c>
      <c r="E678" s="3" t="s">
        <v>1553</v>
      </c>
      <c r="F678" s="3" t="s">
        <v>1637</v>
      </c>
      <c r="G678" s="8" t="s">
        <v>1665</v>
      </c>
      <c r="H678" s="9" t="s">
        <v>13</v>
      </c>
      <c r="I678" s="9" t="s">
        <v>1666</v>
      </c>
    </row>
    <row r="679" customFormat="false" ht="15.75" hidden="false" customHeight="false" outlineLevel="0" collapsed="false">
      <c r="B679" s="7" t="n">
        <v>46212</v>
      </c>
      <c r="C679" s="3" t="s">
        <v>1667</v>
      </c>
      <c r="D679" s="3" t="s">
        <v>976</v>
      </c>
      <c r="E679" s="3" t="s">
        <v>1553</v>
      </c>
      <c r="F679" s="3" t="s">
        <v>1637</v>
      </c>
      <c r="G679" s="10" t="s">
        <v>1668</v>
      </c>
      <c r="H679" s="9" t="s">
        <v>13</v>
      </c>
      <c r="I679" s="9" t="s">
        <v>1669</v>
      </c>
    </row>
    <row r="680" customFormat="false" ht="15.75" hidden="false" customHeight="false" outlineLevel="0" collapsed="false">
      <c r="B680" s="7" t="n">
        <v>46212</v>
      </c>
      <c r="C680" s="3" t="s">
        <v>1670</v>
      </c>
      <c r="D680" s="3" t="s">
        <v>976</v>
      </c>
      <c r="E680" s="3" t="s">
        <v>1553</v>
      </c>
      <c r="F680" s="3" t="s">
        <v>1637</v>
      </c>
      <c r="G680" s="10" t="s">
        <v>1671</v>
      </c>
      <c r="H680" s="9" t="s">
        <v>13</v>
      </c>
      <c r="I680" s="9" t="s">
        <v>1672</v>
      </c>
    </row>
    <row r="681" customFormat="false" ht="15.75" hidden="false" customHeight="false" outlineLevel="0" collapsed="false">
      <c r="B681" s="7" t="n">
        <v>46212</v>
      </c>
      <c r="C681" s="3" t="s">
        <v>1673</v>
      </c>
      <c r="D681" s="3" t="s">
        <v>976</v>
      </c>
      <c r="E681" s="3" t="s">
        <v>1553</v>
      </c>
      <c r="F681" s="3" t="s">
        <v>1637</v>
      </c>
      <c r="G681" s="10" t="s">
        <v>1671</v>
      </c>
      <c r="H681" s="9" t="s">
        <v>13</v>
      </c>
      <c r="I681" s="9" t="s">
        <v>1672</v>
      </c>
    </row>
    <row r="682" customFormat="false" ht="15.75" hidden="false" customHeight="false" outlineLevel="0" collapsed="false">
      <c r="B682" s="7" t="n">
        <v>46212</v>
      </c>
      <c r="C682" s="3" t="s">
        <v>1674</v>
      </c>
      <c r="D682" s="3" t="s">
        <v>976</v>
      </c>
      <c r="E682" s="3" t="s">
        <v>1553</v>
      </c>
      <c r="F682" s="3" t="s">
        <v>1637</v>
      </c>
      <c r="G682" s="10" t="s">
        <v>1671</v>
      </c>
      <c r="H682" s="9" t="s">
        <v>13</v>
      </c>
      <c r="I682" s="9" t="s">
        <v>1672</v>
      </c>
    </row>
    <row r="683" customFormat="false" ht="15.75" hidden="false" customHeight="false" outlineLevel="0" collapsed="false">
      <c r="B683" s="7" t="n">
        <v>46212</v>
      </c>
      <c r="C683" s="3" t="s">
        <v>1675</v>
      </c>
      <c r="D683" s="3" t="s">
        <v>976</v>
      </c>
      <c r="E683" s="3" t="s">
        <v>1553</v>
      </c>
      <c r="F683" s="3" t="s">
        <v>1637</v>
      </c>
      <c r="G683" s="10" t="s">
        <v>1671</v>
      </c>
      <c r="H683" s="9" t="s">
        <v>13</v>
      </c>
      <c r="I683" s="9" t="s">
        <v>1672</v>
      </c>
    </row>
    <row r="684" customFormat="false" ht="15.75" hidden="false" customHeight="false" outlineLevel="0" collapsed="false">
      <c r="B684" s="7" t="n">
        <v>46212</v>
      </c>
      <c r="C684" s="3" t="s">
        <v>1676</v>
      </c>
      <c r="D684" s="3" t="s">
        <v>976</v>
      </c>
      <c r="E684" s="3" t="s">
        <v>1553</v>
      </c>
      <c r="F684" s="3" t="s">
        <v>1637</v>
      </c>
      <c r="G684" s="10" t="s">
        <v>1671</v>
      </c>
      <c r="H684" s="9" t="s">
        <v>13</v>
      </c>
      <c r="I684" s="9" t="s">
        <v>1677</v>
      </c>
    </row>
    <row r="685" customFormat="false" ht="15.75" hidden="false" customHeight="false" outlineLevel="0" collapsed="false">
      <c r="B685" s="7" t="n">
        <v>46212</v>
      </c>
      <c r="C685" s="3" t="s">
        <v>1678</v>
      </c>
      <c r="D685" s="3" t="s">
        <v>976</v>
      </c>
      <c r="E685" s="3" t="s">
        <v>1553</v>
      </c>
      <c r="F685" s="3" t="s">
        <v>1637</v>
      </c>
      <c r="G685" s="10" t="s">
        <v>1671</v>
      </c>
      <c r="H685" s="9" t="s">
        <v>13</v>
      </c>
      <c r="I685" s="9" t="s">
        <v>1679</v>
      </c>
    </row>
    <row r="686" customFormat="false" ht="15.75" hidden="false" customHeight="false" outlineLevel="0" collapsed="false">
      <c r="B686" s="7" t="n">
        <v>46212</v>
      </c>
      <c r="C686" s="3" t="s">
        <v>1680</v>
      </c>
      <c r="D686" s="3" t="s">
        <v>976</v>
      </c>
      <c r="E686" s="3" t="s">
        <v>1553</v>
      </c>
      <c r="F686" s="3" t="s">
        <v>1637</v>
      </c>
      <c r="G686" s="10" t="s">
        <v>1671</v>
      </c>
      <c r="H686" s="9" t="s">
        <v>13</v>
      </c>
      <c r="I686" s="9" t="s">
        <v>1679</v>
      </c>
    </row>
    <row r="687" customFormat="false" ht="15.75" hidden="false" customHeight="false" outlineLevel="0" collapsed="false">
      <c r="B687" s="7" t="n">
        <v>46212</v>
      </c>
      <c r="C687" s="3" t="s">
        <v>1681</v>
      </c>
      <c r="D687" s="3" t="s">
        <v>976</v>
      </c>
      <c r="E687" s="3" t="s">
        <v>1553</v>
      </c>
      <c r="F687" s="3" t="s">
        <v>1637</v>
      </c>
      <c r="G687" s="10" t="s">
        <v>1671</v>
      </c>
      <c r="H687" s="9" t="s">
        <v>13</v>
      </c>
      <c r="I687" s="9" t="s">
        <v>1679</v>
      </c>
    </row>
    <row r="688" customFormat="false" ht="15.75" hidden="false" customHeight="false" outlineLevel="0" collapsed="false">
      <c r="B688" s="7" t="n">
        <v>46212</v>
      </c>
      <c r="C688" s="3" t="s">
        <v>1682</v>
      </c>
      <c r="D688" s="3" t="s">
        <v>976</v>
      </c>
      <c r="E688" s="3" t="s">
        <v>1553</v>
      </c>
      <c r="F688" s="3" t="s">
        <v>1637</v>
      </c>
      <c r="G688" s="10" t="s">
        <v>1671</v>
      </c>
      <c r="H688" s="9" t="s">
        <v>13</v>
      </c>
      <c r="I688" s="9" t="s">
        <v>1683</v>
      </c>
    </row>
    <row r="689" customFormat="false" ht="15.75" hidden="false" customHeight="false" outlineLevel="0" collapsed="false">
      <c r="B689" s="7" t="n">
        <v>46212</v>
      </c>
      <c r="C689" s="3" t="s">
        <v>1684</v>
      </c>
      <c r="D689" s="3" t="s">
        <v>976</v>
      </c>
      <c r="E689" s="3" t="s">
        <v>1553</v>
      </c>
      <c r="F689" s="3" t="s">
        <v>1637</v>
      </c>
      <c r="G689" s="10" t="s">
        <v>1685</v>
      </c>
      <c r="H689" s="9" t="s">
        <v>13</v>
      </c>
      <c r="I689" s="9" t="s">
        <v>1686</v>
      </c>
    </row>
    <row r="690" customFormat="false" ht="15.75" hidden="false" customHeight="false" outlineLevel="0" collapsed="false">
      <c r="B690" s="7" t="n">
        <v>46212</v>
      </c>
      <c r="C690" s="3" t="s">
        <v>1687</v>
      </c>
      <c r="D690" s="3" t="s">
        <v>976</v>
      </c>
      <c r="E690" s="3" t="s">
        <v>1553</v>
      </c>
      <c r="F690" s="3" t="s">
        <v>1637</v>
      </c>
      <c r="G690" s="10" t="s">
        <v>1688</v>
      </c>
      <c r="H690" s="9" t="s">
        <v>13</v>
      </c>
      <c r="I690" s="9" t="s">
        <v>1689</v>
      </c>
    </row>
    <row r="691" customFormat="false" ht="15.75" hidden="false" customHeight="false" outlineLevel="0" collapsed="false">
      <c r="B691" s="7" t="n">
        <v>46212</v>
      </c>
      <c r="C691" s="3" t="s">
        <v>1690</v>
      </c>
      <c r="D691" s="3" t="s">
        <v>976</v>
      </c>
      <c r="E691" s="3" t="s">
        <v>1553</v>
      </c>
      <c r="F691" s="3" t="s">
        <v>1637</v>
      </c>
      <c r="G691" s="10" t="s">
        <v>1691</v>
      </c>
      <c r="H691" s="9" t="s">
        <v>13</v>
      </c>
      <c r="I691" s="9" t="s">
        <v>1692</v>
      </c>
    </row>
    <row r="692" customFormat="false" ht="15.75" hidden="false" customHeight="false" outlineLevel="0" collapsed="false">
      <c r="B692" s="7" t="n">
        <v>46212</v>
      </c>
      <c r="C692" s="3" t="s">
        <v>1693</v>
      </c>
      <c r="D692" s="3" t="s">
        <v>976</v>
      </c>
      <c r="E692" s="3" t="s">
        <v>1553</v>
      </c>
      <c r="F692" s="3" t="s">
        <v>1637</v>
      </c>
      <c r="G692" s="10" t="s">
        <v>1691</v>
      </c>
      <c r="H692" s="9" t="s">
        <v>13</v>
      </c>
      <c r="I692" s="9" t="s">
        <v>1692</v>
      </c>
    </row>
    <row r="693" customFormat="false" ht="15.75" hidden="false" customHeight="false" outlineLevel="0" collapsed="false">
      <c r="B693" s="7" t="n">
        <v>46212</v>
      </c>
      <c r="C693" s="3" t="s">
        <v>1694</v>
      </c>
      <c r="D693" s="3" t="s">
        <v>976</v>
      </c>
      <c r="E693" s="3" t="s">
        <v>1553</v>
      </c>
      <c r="F693" s="3" t="s">
        <v>1637</v>
      </c>
      <c r="G693" s="10" t="s">
        <v>1691</v>
      </c>
      <c r="H693" s="9" t="s">
        <v>13</v>
      </c>
      <c r="I693" s="9" t="s">
        <v>1695</v>
      </c>
    </row>
    <row r="694" customFormat="false" ht="15.75" hidden="false" customHeight="false" outlineLevel="0" collapsed="false">
      <c r="B694" s="7" t="n">
        <v>46212</v>
      </c>
      <c r="C694" s="3" t="s">
        <v>1696</v>
      </c>
      <c r="D694" s="3" t="s">
        <v>976</v>
      </c>
      <c r="E694" s="3" t="s">
        <v>1553</v>
      </c>
      <c r="F694" s="3" t="s">
        <v>1637</v>
      </c>
      <c r="G694" s="10" t="s">
        <v>1691</v>
      </c>
      <c r="H694" s="9" t="s">
        <v>13</v>
      </c>
      <c r="I694" s="9" t="s">
        <v>1695</v>
      </c>
    </row>
    <row r="695" customFormat="false" ht="15.75" hidden="false" customHeight="false" outlineLevel="0" collapsed="false">
      <c r="B695" s="7" t="n">
        <v>46212</v>
      </c>
      <c r="C695" s="3" t="s">
        <v>1697</v>
      </c>
      <c r="D695" s="3" t="s">
        <v>976</v>
      </c>
      <c r="E695" s="3" t="s">
        <v>1553</v>
      </c>
      <c r="F695" s="3" t="s">
        <v>1637</v>
      </c>
      <c r="G695" s="10" t="s">
        <v>754</v>
      </c>
      <c r="H695" s="9" t="s">
        <v>13</v>
      </c>
      <c r="I695" s="9" t="s">
        <v>1698</v>
      </c>
    </row>
    <row r="696" customFormat="false" ht="15.75" hidden="false" customHeight="false" outlineLevel="0" collapsed="false">
      <c r="B696" s="7" t="n">
        <v>46212</v>
      </c>
      <c r="C696" s="3" t="s">
        <v>1699</v>
      </c>
      <c r="D696" s="3" t="s">
        <v>976</v>
      </c>
      <c r="E696" s="3" t="s">
        <v>1553</v>
      </c>
      <c r="F696" s="3" t="s">
        <v>1637</v>
      </c>
      <c r="G696" s="10" t="s">
        <v>754</v>
      </c>
      <c r="H696" s="9" t="s">
        <v>13</v>
      </c>
      <c r="I696" s="9" t="s">
        <v>1698</v>
      </c>
    </row>
    <row r="697" customFormat="false" ht="15.75" hidden="false" customHeight="false" outlineLevel="0" collapsed="false">
      <c r="B697" s="7" t="n">
        <v>46212</v>
      </c>
      <c r="C697" s="3" t="s">
        <v>1700</v>
      </c>
      <c r="D697" s="3" t="s">
        <v>976</v>
      </c>
      <c r="E697" s="3" t="s">
        <v>1553</v>
      </c>
      <c r="F697" s="3" t="s">
        <v>1637</v>
      </c>
      <c r="G697" s="8" t="s">
        <v>1701</v>
      </c>
      <c r="H697" s="9" t="s">
        <v>13</v>
      </c>
      <c r="I697" s="9" t="s">
        <v>1702</v>
      </c>
    </row>
    <row r="698" customFormat="false" ht="15.75" hidden="false" customHeight="false" outlineLevel="0" collapsed="false">
      <c r="B698" s="7" t="n">
        <v>46212</v>
      </c>
      <c r="C698" s="3" t="s">
        <v>1703</v>
      </c>
      <c r="D698" s="3" t="s">
        <v>976</v>
      </c>
      <c r="E698" s="3" t="s">
        <v>1553</v>
      </c>
      <c r="F698" s="3" t="s">
        <v>1637</v>
      </c>
      <c r="G698" s="10" t="s">
        <v>1704</v>
      </c>
      <c r="H698" s="9" t="s">
        <v>13</v>
      </c>
      <c r="I698" s="9" t="s">
        <v>1705</v>
      </c>
    </row>
    <row r="699" customFormat="false" ht="15.75" hidden="false" customHeight="false" outlineLevel="0" collapsed="false">
      <c r="B699" s="7" t="n">
        <v>46212</v>
      </c>
      <c r="C699" s="3" t="s">
        <v>1706</v>
      </c>
      <c r="D699" s="3" t="s">
        <v>976</v>
      </c>
      <c r="E699" s="3" t="s">
        <v>1553</v>
      </c>
      <c r="F699" s="3" t="s">
        <v>1637</v>
      </c>
      <c r="G699" s="10" t="s">
        <v>1707</v>
      </c>
      <c r="H699" s="9" t="s">
        <v>13</v>
      </c>
      <c r="I699" s="9" t="s">
        <v>1708</v>
      </c>
    </row>
    <row r="700" customFormat="false" ht="15.75" hidden="false" customHeight="false" outlineLevel="0" collapsed="false">
      <c r="B700" s="7" t="n">
        <v>46212</v>
      </c>
      <c r="C700" s="3" t="s">
        <v>1709</v>
      </c>
      <c r="D700" s="3" t="s">
        <v>976</v>
      </c>
      <c r="E700" s="3" t="s">
        <v>1553</v>
      </c>
      <c r="F700" s="3" t="s">
        <v>1637</v>
      </c>
      <c r="G700" s="10" t="s">
        <v>1707</v>
      </c>
      <c r="H700" s="9" t="s">
        <v>13</v>
      </c>
      <c r="I700" s="9" t="s">
        <v>1710</v>
      </c>
    </row>
    <row r="701" customFormat="false" ht="15.75" hidden="false" customHeight="false" outlineLevel="0" collapsed="false">
      <c r="B701" s="7" t="n">
        <v>46212</v>
      </c>
      <c r="C701" s="3" t="s">
        <v>1711</v>
      </c>
      <c r="D701" s="3" t="s">
        <v>976</v>
      </c>
      <c r="E701" s="3" t="s">
        <v>1553</v>
      </c>
      <c r="F701" s="3" t="s">
        <v>1637</v>
      </c>
      <c r="G701" s="10" t="s">
        <v>1712</v>
      </c>
      <c r="H701" s="9" t="s">
        <v>13</v>
      </c>
      <c r="I701" s="9" t="s">
        <v>1713</v>
      </c>
    </row>
    <row r="702" customFormat="false" ht="15.75" hidden="false" customHeight="false" outlineLevel="0" collapsed="false">
      <c r="B702" s="7" t="n">
        <v>46212</v>
      </c>
      <c r="C702" s="3" t="s">
        <v>1714</v>
      </c>
      <c r="D702" s="3" t="s">
        <v>976</v>
      </c>
      <c r="E702" s="3" t="s">
        <v>1553</v>
      </c>
      <c r="F702" s="3" t="s">
        <v>1637</v>
      </c>
      <c r="G702" s="10" t="s">
        <v>1715</v>
      </c>
      <c r="H702" s="9" t="s">
        <v>13</v>
      </c>
      <c r="I702" s="9" t="s">
        <v>1716</v>
      </c>
    </row>
    <row r="703" customFormat="false" ht="15.75" hidden="false" customHeight="false" outlineLevel="0" collapsed="false">
      <c r="B703" s="7" t="n">
        <v>46212</v>
      </c>
      <c r="C703" s="3" t="s">
        <v>1717</v>
      </c>
      <c r="D703" s="3" t="s">
        <v>976</v>
      </c>
      <c r="E703" s="3" t="s">
        <v>1553</v>
      </c>
      <c r="F703" s="3" t="s">
        <v>1718</v>
      </c>
      <c r="G703" s="10" t="s">
        <v>1704</v>
      </c>
      <c r="H703" s="9" t="s">
        <v>13</v>
      </c>
      <c r="I703" s="9" t="s">
        <v>1719</v>
      </c>
    </row>
    <row r="704" customFormat="false" ht="15.75" hidden="false" customHeight="false" outlineLevel="0" collapsed="false">
      <c r="B704" s="7" t="n">
        <v>46212</v>
      </c>
      <c r="C704" s="3" t="s">
        <v>1720</v>
      </c>
      <c r="D704" s="3" t="s">
        <v>976</v>
      </c>
      <c r="E704" s="3" t="s">
        <v>1553</v>
      </c>
      <c r="F704" s="3" t="s">
        <v>1718</v>
      </c>
      <c r="G704" s="10" t="s">
        <v>1721</v>
      </c>
      <c r="H704" s="9" t="s">
        <v>13</v>
      </c>
      <c r="I704" s="9" t="s">
        <v>1722</v>
      </c>
    </row>
    <row r="705" customFormat="false" ht="15.75" hidden="false" customHeight="false" outlineLevel="0" collapsed="false">
      <c r="B705" s="7" t="n">
        <v>46212</v>
      </c>
      <c r="C705" s="3" t="s">
        <v>1723</v>
      </c>
      <c r="D705" s="3" t="s">
        <v>976</v>
      </c>
      <c r="E705" s="3" t="s">
        <v>1553</v>
      </c>
      <c r="F705" s="3" t="s">
        <v>1718</v>
      </c>
      <c r="G705" s="10" t="s">
        <v>1721</v>
      </c>
      <c r="H705" s="9" t="s">
        <v>13</v>
      </c>
      <c r="I705" s="9" t="s">
        <v>1722</v>
      </c>
    </row>
    <row r="706" customFormat="false" ht="15.75" hidden="false" customHeight="false" outlineLevel="0" collapsed="false">
      <c r="B706" s="7" t="n">
        <v>46212</v>
      </c>
      <c r="C706" s="3" t="s">
        <v>1724</v>
      </c>
      <c r="D706" s="3" t="s">
        <v>976</v>
      </c>
      <c r="E706" s="3" t="s">
        <v>1553</v>
      </c>
      <c r="F706" s="3" t="s">
        <v>1718</v>
      </c>
      <c r="G706" s="10" t="s">
        <v>1721</v>
      </c>
      <c r="H706" s="9" t="s">
        <v>13</v>
      </c>
      <c r="I706" s="9" t="s">
        <v>1722</v>
      </c>
    </row>
    <row r="707" customFormat="false" ht="15.75" hidden="false" customHeight="false" outlineLevel="0" collapsed="false">
      <c r="B707" s="7" t="n">
        <v>46212</v>
      </c>
      <c r="C707" s="3" t="s">
        <v>1725</v>
      </c>
      <c r="D707" s="3" t="s">
        <v>976</v>
      </c>
      <c r="E707" s="3" t="s">
        <v>1553</v>
      </c>
      <c r="F707" s="3" t="s">
        <v>1718</v>
      </c>
      <c r="G707" s="10" t="s">
        <v>1726</v>
      </c>
      <c r="H707" s="9" t="s">
        <v>13</v>
      </c>
      <c r="I707" s="9" t="s">
        <v>1727</v>
      </c>
    </row>
    <row r="708" customFormat="false" ht="15.75" hidden="false" customHeight="false" outlineLevel="0" collapsed="false">
      <c r="B708" s="7" t="n">
        <v>46212</v>
      </c>
      <c r="C708" s="3" t="s">
        <v>1728</v>
      </c>
      <c r="D708" s="3" t="s">
        <v>976</v>
      </c>
      <c r="E708" s="3" t="s">
        <v>1553</v>
      </c>
      <c r="F708" s="3" t="s">
        <v>1718</v>
      </c>
      <c r="G708" s="10" t="s">
        <v>1729</v>
      </c>
      <c r="H708" s="9" t="s">
        <v>13</v>
      </c>
      <c r="I708" s="9" t="s">
        <v>1730</v>
      </c>
    </row>
    <row r="709" customFormat="false" ht="15.75" hidden="false" customHeight="false" outlineLevel="0" collapsed="false">
      <c r="B709" s="7" t="n">
        <v>46212</v>
      </c>
      <c r="C709" s="3" t="s">
        <v>1731</v>
      </c>
      <c r="D709" s="3" t="s">
        <v>976</v>
      </c>
      <c r="E709" s="3" t="s">
        <v>1553</v>
      </c>
      <c r="F709" s="3" t="s">
        <v>1718</v>
      </c>
      <c r="G709" s="8" t="s">
        <v>1732</v>
      </c>
      <c r="H709" s="9" t="s">
        <v>13</v>
      </c>
      <c r="I709" s="9" t="s">
        <v>1733</v>
      </c>
    </row>
    <row r="710" customFormat="false" ht="15.75" hidden="false" customHeight="false" outlineLevel="0" collapsed="false">
      <c r="B710" s="7" t="n">
        <v>46212</v>
      </c>
      <c r="C710" s="3" t="s">
        <v>1734</v>
      </c>
      <c r="D710" s="3" t="s">
        <v>976</v>
      </c>
      <c r="E710" s="3" t="s">
        <v>1553</v>
      </c>
      <c r="F710" s="3" t="s">
        <v>1718</v>
      </c>
      <c r="G710" s="8" t="s">
        <v>1732</v>
      </c>
      <c r="H710" s="9" t="s">
        <v>13</v>
      </c>
      <c r="I710" s="9" t="s">
        <v>1733</v>
      </c>
    </row>
    <row r="711" customFormat="false" ht="15.75" hidden="false" customHeight="false" outlineLevel="0" collapsed="false">
      <c r="B711" s="7" t="n">
        <v>46212</v>
      </c>
      <c r="C711" s="3" t="s">
        <v>1735</v>
      </c>
      <c r="D711" s="3" t="s">
        <v>976</v>
      </c>
      <c r="E711" s="3" t="s">
        <v>1553</v>
      </c>
      <c r="F711" s="3" t="s">
        <v>1718</v>
      </c>
      <c r="G711" s="10" t="s">
        <v>1736</v>
      </c>
      <c r="H711" s="9" t="s">
        <v>13</v>
      </c>
      <c r="I711" s="9" t="s">
        <v>1737</v>
      </c>
    </row>
    <row r="712" customFormat="false" ht="15.75" hidden="false" customHeight="false" outlineLevel="0" collapsed="false">
      <c r="B712" s="7" t="n">
        <v>46212</v>
      </c>
      <c r="C712" s="3" t="s">
        <v>1738</v>
      </c>
      <c r="D712" s="3" t="s">
        <v>976</v>
      </c>
      <c r="E712" s="3" t="s">
        <v>1553</v>
      </c>
      <c r="F712" s="3" t="s">
        <v>1718</v>
      </c>
      <c r="G712" s="10" t="s">
        <v>1736</v>
      </c>
      <c r="H712" s="9" t="s">
        <v>13</v>
      </c>
      <c r="I712" s="9" t="s">
        <v>1737</v>
      </c>
    </row>
    <row r="713" customFormat="false" ht="15.75" hidden="false" customHeight="false" outlineLevel="0" collapsed="false">
      <c r="B713" s="7" t="n">
        <v>46212</v>
      </c>
      <c r="C713" s="3" t="s">
        <v>1739</v>
      </c>
      <c r="D713" s="3" t="s">
        <v>976</v>
      </c>
      <c r="E713" s="3" t="s">
        <v>1553</v>
      </c>
      <c r="F713" s="3" t="s">
        <v>1718</v>
      </c>
      <c r="G713" s="10" t="s">
        <v>1736</v>
      </c>
      <c r="H713" s="9" t="s">
        <v>13</v>
      </c>
      <c r="I713" s="9" t="s">
        <v>1737</v>
      </c>
    </row>
    <row r="714" customFormat="false" ht="15.75" hidden="false" customHeight="false" outlineLevel="0" collapsed="false">
      <c r="B714" s="7" t="n">
        <v>46212</v>
      </c>
      <c r="C714" s="3" t="s">
        <v>1740</v>
      </c>
      <c r="D714" s="3" t="s">
        <v>976</v>
      </c>
      <c r="E714" s="3" t="s">
        <v>1553</v>
      </c>
      <c r="F714" s="3" t="s">
        <v>1718</v>
      </c>
      <c r="G714" s="10" t="s">
        <v>1736</v>
      </c>
      <c r="H714" s="9" t="s">
        <v>13</v>
      </c>
      <c r="I714" s="9" t="s">
        <v>1737</v>
      </c>
    </row>
    <row r="715" customFormat="false" ht="15.75" hidden="false" customHeight="false" outlineLevel="0" collapsed="false">
      <c r="B715" s="7" t="n">
        <v>46212</v>
      </c>
      <c r="C715" s="3" t="s">
        <v>1741</v>
      </c>
      <c r="D715" s="3" t="s">
        <v>976</v>
      </c>
      <c r="E715" s="3" t="s">
        <v>1553</v>
      </c>
      <c r="F715" s="3" t="s">
        <v>1718</v>
      </c>
      <c r="G715" s="10" t="s">
        <v>1742</v>
      </c>
      <c r="H715" s="9" t="s">
        <v>13</v>
      </c>
      <c r="I715" s="9" t="s">
        <v>1743</v>
      </c>
    </row>
    <row r="716" customFormat="false" ht="15.75" hidden="false" customHeight="false" outlineLevel="0" collapsed="false">
      <c r="B716" s="7" t="n">
        <v>46212</v>
      </c>
      <c r="C716" s="3" t="s">
        <v>1744</v>
      </c>
      <c r="D716" s="3" t="s">
        <v>976</v>
      </c>
      <c r="E716" s="3" t="s">
        <v>1553</v>
      </c>
      <c r="F716" s="3" t="s">
        <v>1718</v>
      </c>
      <c r="G716" s="10" t="s">
        <v>1668</v>
      </c>
      <c r="H716" s="9" t="s">
        <v>13</v>
      </c>
      <c r="I716" s="9" t="s">
        <v>1745</v>
      </c>
    </row>
    <row r="717" customFormat="false" ht="15.75" hidden="false" customHeight="false" outlineLevel="0" collapsed="false">
      <c r="B717" s="7" t="n">
        <v>46212</v>
      </c>
      <c r="C717" s="3" t="s">
        <v>1746</v>
      </c>
      <c r="D717" s="3" t="s">
        <v>976</v>
      </c>
      <c r="E717" s="3" t="s">
        <v>1553</v>
      </c>
      <c r="F717" s="3" t="s">
        <v>1718</v>
      </c>
      <c r="G717" s="10" t="s">
        <v>1747</v>
      </c>
      <c r="H717" s="9" t="s">
        <v>13</v>
      </c>
      <c r="I717" s="9" t="s">
        <v>1748</v>
      </c>
    </row>
    <row r="718" customFormat="false" ht="15.75" hidden="false" customHeight="false" outlineLevel="0" collapsed="false">
      <c r="B718" s="7" t="n">
        <v>46212</v>
      </c>
      <c r="C718" s="3" t="s">
        <v>1749</v>
      </c>
      <c r="D718" s="3" t="s">
        <v>976</v>
      </c>
      <c r="E718" s="3" t="s">
        <v>1553</v>
      </c>
      <c r="F718" s="3" t="s">
        <v>1718</v>
      </c>
      <c r="G718" s="10" t="s">
        <v>1671</v>
      </c>
      <c r="H718" s="9" t="s">
        <v>13</v>
      </c>
      <c r="I718" s="9" t="s">
        <v>1750</v>
      </c>
    </row>
    <row r="719" customFormat="false" ht="15.75" hidden="false" customHeight="false" outlineLevel="0" collapsed="false">
      <c r="B719" s="7" t="n">
        <v>46212</v>
      </c>
      <c r="C719" s="3" t="s">
        <v>1751</v>
      </c>
      <c r="D719" s="3" t="s">
        <v>976</v>
      </c>
      <c r="E719" s="3" t="s">
        <v>1553</v>
      </c>
      <c r="F719" s="3" t="s">
        <v>1718</v>
      </c>
      <c r="G719" s="10" t="s">
        <v>1671</v>
      </c>
      <c r="H719" s="9" t="s">
        <v>13</v>
      </c>
      <c r="I719" s="9" t="s">
        <v>1750</v>
      </c>
    </row>
    <row r="720" customFormat="false" ht="15.75" hidden="false" customHeight="false" outlineLevel="0" collapsed="false">
      <c r="B720" s="7" t="n">
        <v>46212</v>
      </c>
      <c r="C720" s="3" t="s">
        <v>1752</v>
      </c>
      <c r="D720" s="3" t="s">
        <v>976</v>
      </c>
      <c r="E720" s="3" t="s">
        <v>1553</v>
      </c>
      <c r="F720" s="3" t="s">
        <v>1718</v>
      </c>
      <c r="G720" s="10" t="s">
        <v>1753</v>
      </c>
      <c r="H720" s="9" t="s">
        <v>13</v>
      </c>
      <c r="I720" s="9" t="s">
        <v>1754</v>
      </c>
    </row>
    <row r="721" customFormat="false" ht="15.75" hidden="false" customHeight="false" outlineLevel="0" collapsed="false">
      <c r="B721" s="7" t="n">
        <v>46212</v>
      </c>
      <c r="C721" s="3" t="s">
        <v>1755</v>
      </c>
      <c r="D721" s="3" t="s">
        <v>976</v>
      </c>
      <c r="E721" s="3" t="s">
        <v>1553</v>
      </c>
      <c r="F721" s="3" t="s">
        <v>1718</v>
      </c>
      <c r="G721" s="10" t="s">
        <v>1688</v>
      </c>
      <c r="H721" s="9" t="s">
        <v>13</v>
      </c>
      <c r="I721" s="9" t="s">
        <v>1756</v>
      </c>
    </row>
    <row r="722" customFormat="false" ht="15.75" hidden="false" customHeight="false" outlineLevel="0" collapsed="false">
      <c r="B722" s="7" t="n">
        <v>46212</v>
      </c>
      <c r="C722" s="3" t="s">
        <v>1757</v>
      </c>
      <c r="D722" s="3" t="s">
        <v>976</v>
      </c>
      <c r="E722" s="3" t="s">
        <v>1553</v>
      </c>
      <c r="F722" s="3" t="s">
        <v>1718</v>
      </c>
      <c r="G722" s="10" t="s">
        <v>1758</v>
      </c>
      <c r="H722" s="9" t="s">
        <v>13</v>
      </c>
      <c r="I722" s="9" t="s">
        <v>1759</v>
      </c>
    </row>
    <row r="723" customFormat="false" ht="15.75" hidden="false" customHeight="false" outlineLevel="0" collapsed="false">
      <c r="B723" s="7" t="n">
        <v>46212</v>
      </c>
      <c r="C723" s="3" t="s">
        <v>1760</v>
      </c>
      <c r="D723" s="3" t="s">
        <v>976</v>
      </c>
      <c r="E723" s="3" t="s">
        <v>1553</v>
      </c>
      <c r="F723" s="3" t="s">
        <v>1718</v>
      </c>
      <c r="G723" s="10" t="s">
        <v>1758</v>
      </c>
      <c r="H723" s="9" t="s">
        <v>13</v>
      </c>
      <c r="I723" s="9" t="s">
        <v>1759</v>
      </c>
    </row>
    <row r="724" customFormat="false" ht="15.75" hidden="false" customHeight="false" outlineLevel="0" collapsed="false">
      <c r="B724" s="7" t="n">
        <v>46212</v>
      </c>
      <c r="C724" s="3" t="s">
        <v>1761</v>
      </c>
      <c r="D724" s="3" t="s">
        <v>976</v>
      </c>
      <c r="E724" s="3" t="s">
        <v>1553</v>
      </c>
      <c r="F724" s="3" t="s">
        <v>1718</v>
      </c>
      <c r="G724" s="10" t="s">
        <v>1762</v>
      </c>
      <c r="H724" s="9" t="s">
        <v>13</v>
      </c>
      <c r="I724" s="9" t="s">
        <v>1763</v>
      </c>
    </row>
    <row r="725" customFormat="false" ht="15.75" hidden="false" customHeight="false" outlineLevel="0" collapsed="false">
      <c r="B725" s="7" t="n">
        <v>46212</v>
      </c>
      <c r="C725" s="3" t="s">
        <v>1764</v>
      </c>
      <c r="D725" s="3" t="s">
        <v>976</v>
      </c>
      <c r="E725" s="3" t="s">
        <v>1553</v>
      </c>
      <c r="F725" s="3" t="s">
        <v>1718</v>
      </c>
      <c r="G725" s="10" t="s">
        <v>1765</v>
      </c>
      <c r="H725" s="9" t="s">
        <v>13</v>
      </c>
      <c r="I725" s="9" t="s">
        <v>1766</v>
      </c>
    </row>
    <row r="726" customFormat="false" ht="15.75" hidden="false" customHeight="false" outlineLevel="0" collapsed="false">
      <c r="B726" s="7" t="n">
        <v>46212</v>
      </c>
      <c r="C726" s="3" t="s">
        <v>1767</v>
      </c>
      <c r="D726" s="3" t="s">
        <v>976</v>
      </c>
      <c r="E726" s="3" t="s">
        <v>1553</v>
      </c>
      <c r="F726" s="3" t="s">
        <v>1718</v>
      </c>
      <c r="G726" s="10" t="s">
        <v>792</v>
      </c>
      <c r="H726" s="9" t="s">
        <v>13</v>
      </c>
      <c r="I726" s="9" t="s">
        <v>1768</v>
      </c>
    </row>
    <row r="727" customFormat="false" ht="15.75" hidden="false" customHeight="false" outlineLevel="0" collapsed="false">
      <c r="B727" s="7" t="n">
        <v>46212</v>
      </c>
      <c r="C727" s="3" t="s">
        <v>1769</v>
      </c>
      <c r="D727" s="3" t="s">
        <v>976</v>
      </c>
      <c r="E727" s="3" t="s">
        <v>1553</v>
      </c>
      <c r="F727" s="3" t="s">
        <v>1718</v>
      </c>
      <c r="G727" s="10" t="s">
        <v>1726</v>
      </c>
      <c r="H727" s="9" t="s">
        <v>13</v>
      </c>
      <c r="I727" s="9" t="s">
        <v>1770</v>
      </c>
    </row>
    <row r="728" customFormat="false" ht="15.75" hidden="false" customHeight="false" outlineLevel="0" collapsed="false">
      <c r="B728" s="7" t="n">
        <v>46212</v>
      </c>
      <c r="C728" s="3" t="s">
        <v>1771</v>
      </c>
      <c r="D728" s="3" t="s">
        <v>976</v>
      </c>
      <c r="E728" s="3" t="s">
        <v>1553</v>
      </c>
      <c r="F728" s="3" t="s">
        <v>1718</v>
      </c>
      <c r="G728" s="8" t="s">
        <v>1772</v>
      </c>
      <c r="H728" s="9" t="s">
        <v>13</v>
      </c>
      <c r="I728" s="9" t="s">
        <v>1773</v>
      </c>
    </row>
    <row r="729" customFormat="false" ht="15.75" hidden="false" customHeight="false" outlineLevel="0" collapsed="false">
      <c r="B729" s="7" t="n">
        <v>46212</v>
      </c>
      <c r="C729" s="3" t="s">
        <v>1774</v>
      </c>
      <c r="D729" s="3" t="s">
        <v>976</v>
      </c>
      <c r="E729" s="3" t="s">
        <v>1553</v>
      </c>
      <c r="F729" s="3" t="s">
        <v>1718</v>
      </c>
      <c r="G729" s="10" t="s">
        <v>1729</v>
      </c>
      <c r="H729" s="9" t="s">
        <v>13</v>
      </c>
      <c r="I729" s="9" t="s">
        <v>1775</v>
      </c>
    </row>
    <row r="730" customFormat="false" ht="15.75" hidden="false" customHeight="false" outlineLevel="0" collapsed="false">
      <c r="B730" s="7" t="n">
        <v>46212</v>
      </c>
      <c r="C730" s="3" t="s">
        <v>1776</v>
      </c>
      <c r="D730" s="3" t="s">
        <v>976</v>
      </c>
      <c r="E730" s="3" t="s">
        <v>1553</v>
      </c>
      <c r="F730" s="3" t="s">
        <v>1718</v>
      </c>
      <c r="G730" s="10" t="s">
        <v>1777</v>
      </c>
      <c r="H730" s="9" t="s">
        <v>13</v>
      </c>
      <c r="I730" s="9" t="s">
        <v>1778</v>
      </c>
    </row>
    <row r="731" customFormat="false" ht="15.75" hidden="false" customHeight="false" outlineLevel="0" collapsed="false">
      <c r="B731" s="7" t="n">
        <v>46212</v>
      </c>
      <c r="C731" s="3" t="s">
        <v>1779</v>
      </c>
      <c r="D731" s="3" t="s">
        <v>976</v>
      </c>
      <c r="E731" s="3" t="s">
        <v>1553</v>
      </c>
      <c r="F731" s="3" t="s">
        <v>1718</v>
      </c>
      <c r="G731" s="10" t="s">
        <v>1780</v>
      </c>
      <c r="H731" s="9" t="s">
        <v>13</v>
      </c>
      <c r="I731" s="9" t="s">
        <v>1781</v>
      </c>
    </row>
    <row r="732" customFormat="false" ht="15.75" hidden="false" customHeight="false" outlineLevel="0" collapsed="false">
      <c r="B732" s="7" t="n">
        <v>46212</v>
      </c>
      <c r="C732" s="3" t="s">
        <v>1782</v>
      </c>
      <c r="D732" s="3" t="s">
        <v>976</v>
      </c>
      <c r="E732" s="3" t="s">
        <v>1553</v>
      </c>
      <c r="F732" s="3" t="s">
        <v>1718</v>
      </c>
      <c r="G732" s="10" t="s">
        <v>1712</v>
      </c>
      <c r="H732" s="9" t="s">
        <v>13</v>
      </c>
      <c r="I732" s="9" t="s">
        <v>1783</v>
      </c>
    </row>
    <row r="733" customFormat="false" ht="15.75" hidden="false" customHeight="false" outlineLevel="0" collapsed="false">
      <c r="B733" s="7" t="n">
        <v>46212</v>
      </c>
      <c r="C733" s="3" t="s">
        <v>1784</v>
      </c>
      <c r="D733" s="3" t="s">
        <v>976</v>
      </c>
      <c r="E733" s="3" t="s">
        <v>1553</v>
      </c>
      <c r="F733" s="3" t="s">
        <v>1718</v>
      </c>
      <c r="G733" s="10" t="s">
        <v>1668</v>
      </c>
      <c r="H733" s="9" t="s">
        <v>13</v>
      </c>
      <c r="I733" s="9" t="s">
        <v>1785</v>
      </c>
    </row>
    <row r="734" customFormat="false" ht="15.75" hidden="false" customHeight="false" outlineLevel="0" collapsed="false">
      <c r="B734" s="7" t="n">
        <v>46212</v>
      </c>
      <c r="C734" s="3" t="s">
        <v>1786</v>
      </c>
      <c r="D734" s="3" t="s">
        <v>976</v>
      </c>
      <c r="E734" s="3" t="s">
        <v>1553</v>
      </c>
      <c r="F734" s="3" t="s">
        <v>1718</v>
      </c>
      <c r="G734" s="10" t="s">
        <v>1787</v>
      </c>
      <c r="H734" s="9" t="s">
        <v>13</v>
      </c>
      <c r="I734" s="9" t="s">
        <v>1788</v>
      </c>
    </row>
    <row r="735" customFormat="false" ht="15.75" hidden="false" customHeight="false" outlineLevel="0" collapsed="false">
      <c r="B735" s="7" t="n">
        <v>46212</v>
      </c>
      <c r="C735" s="3" t="s">
        <v>1789</v>
      </c>
      <c r="D735" s="3" t="s">
        <v>976</v>
      </c>
      <c r="E735" s="3" t="s">
        <v>1553</v>
      </c>
      <c r="F735" s="3" t="s">
        <v>1718</v>
      </c>
      <c r="G735" s="10" t="s">
        <v>1726</v>
      </c>
      <c r="H735" s="9" t="s">
        <v>13</v>
      </c>
      <c r="I735" s="9" t="s">
        <v>1790</v>
      </c>
    </row>
    <row r="736" customFormat="false" ht="15.75" hidden="false" customHeight="false" outlineLevel="0" collapsed="false">
      <c r="B736" s="7" t="n">
        <v>46212</v>
      </c>
      <c r="C736" s="3" t="s">
        <v>1791</v>
      </c>
      <c r="D736" s="3" t="s">
        <v>976</v>
      </c>
      <c r="E736" s="3" t="s">
        <v>1553</v>
      </c>
      <c r="F736" s="3" t="s">
        <v>1718</v>
      </c>
      <c r="G736" s="10" t="s">
        <v>1726</v>
      </c>
      <c r="H736" s="9" t="s">
        <v>13</v>
      </c>
      <c r="I736" s="9" t="s">
        <v>1792</v>
      </c>
    </row>
    <row r="737" customFormat="false" ht="15.75" hidden="false" customHeight="false" outlineLevel="0" collapsed="false">
      <c r="B737" s="7" t="n">
        <v>46212</v>
      </c>
      <c r="C737" s="3" t="s">
        <v>1793</v>
      </c>
      <c r="D737" s="3" t="s">
        <v>976</v>
      </c>
      <c r="E737" s="3" t="s">
        <v>1553</v>
      </c>
      <c r="F737" s="3" t="s">
        <v>1718</v>
      </c>
      <c r="G737" s="10" t="s">
        <v>1729</v>
      </c>
      <c r="H737" s="9" t="s">
        <v>13</v>
      </c>
      <c r="I737" s="9" t="s">
        <v>1794</v>
      </c>
    </row>
    <row r="738" customFormat="false" ht="15.75" hidden="false" customHeight="false" outlineLevel="0" collapsed="false">
      <c r="B738" s="7" t="n">
        <v>46212</v>
      </c>
      <c r="C738" s="3" t="s">
        <v>1795</v>
      </c>
      <c r="D738" s="3" t="s">
        <v>976</v>
      </c>
      <c r="E738" s="3" t="s">
        <v>1796</v>
      </c>
      <c r="F738" s="3" t="s">
        <v>1797</v>
      </c>
      <c r="G738" s="10" t="s">
        <v>1798</v>
      </c>
      <c r="H738" s="9" t="s">
        <v>13</v>
      </c>
      <c r="I738" s="9" t="s">
        <v>1799</v>
      </c>
    </row>
    <row r="739" customFormat="false" ht="15.75" hidden="false" customHeight="false" outlineLevel="0" collapsed="false">
      <c r="B739" s="7" t="n">
        <v>46212</v>
      </c>
      <c r="C739" s="3" t="s">
        <v>1800</v>
      </c>
      <c r="D739" s="3" t="s">
        <v>976</v>
      </c>
      <c r="E739" s="3" t="s">
        <v>1796</v>
      </c>
      <c r="F739" s="3" t="s">
        <v>1797</v>
      </c>
      <c r="G739" s="10" t="s">
        <v>1798</v>
      </c>
      <c r="H739" s="9" t="s">
        <v>13</v>
      </c>
      <c r="I739" s="9" t="s">
        <v>1801</v>
      </c>
    </row>
    <row r="740" customFormat="false" ht="15.75" hidden="false" customHeight="false" outlineLevel="0" collapsed="false">
      <c r="B740" s="7" t="n">
        <v>46212</v>
      </c>
      <c r="C740" s="3" t="s">
        <v>1802</v>
      </c>
      <c r="D740" s="3" t="s">
        <v>976</v>
      </c>
      <c r="E740" s="3" t="s">
        <v>1796</v>
      </c>
      <c r="F740" s="3" t="s">
        <v>1797</v>
      </c>
      <c r="G740" s="10" t="s">
        <v>1803</v>
      </c>
      <c r="H740" s="9" t="s">
        <v>13</v>
      </c>
      <c r="I740" s="9" t="s">
        <v>1804</v>
      </c>
    </row>
    <row r="741" customFormat="false" ht="15.75" hidden="false" customHeight="false" outlineLevel="0" collapsed="false">
      <c r="B741" s="7" t="n">
        <v>46212</v>
      </c>
      <c r="C741" s="3" t="s">
        <v>1805</v>
      </c>
      <c r="D741" s="3" t="s">
        <v>976</v>
      </c>
      <c r="E741" s="3" t="s">
        <v>1796</v>
      </c>
      <c r="F741" s="3" t="s">
        <v>1797</v>
      </c>
      <c r="G741" s="10" t="s">
        <v>1806</v>
      </c>
      <c r="H741" s="9" t="s">
        <v>13</v>
      </c>
      <c r="I741" s="9" t="s">
        <v>1807</v>
      </c>
    </row>
    <row r="742" customFormat="false" ht="15.75" hidden="false" customHeight="false" outlineLevel="0" collapsed="false">
      <c r="B742" s="7" t="n">
        <v>46212</v>
      </c>
      <c r="C742" s="3" t="s">
        <v>1808</v>
      </c>
      <c r="D742" s="3" t="s">
        <v>976</v>
      </c>
      <c r="E742" s="3" t="s">
        <v>1796</v>
      </c>
      <c r="F742" s="3" t="s">
        <v>1797</v>
      </c>
      <c r="G742" s="8" t="s">
        <v>1809</v>
      </c>
      <c r="H742" s="9" t="s">
        <v>13</v>
      </c>
      <c r="I742" s="9" t="s">
        <v>1810</v>
      </c>
    </row>
    <row r="743" customFormat="false" ht="15.75" hidden="false" customHeight="false" outlineLevel="0" collapsed="false">
      <c r="B743" s="7" t="n">
        <v>46212</v>
      </c>
      <c r="C743" s="3" t="s">
        <v>1811</v>
      </c>
      <c r="D743" s="3" t="s">
        <v>976</v>
      </c>
      <c r="E743" s="3" t="s">
        <v>1796</v>
      </c>
      <c r="F743" s="3" t="s">
        <v>1797</v>
      </c>
      <c r="G743" s="8" t="s">
        <v>1812</v>
      </c>
      <c r="H743" s="9" t="s">
        <v>13</v>
      </c>
      <c r="I743" s="9" t="s">
        <v>1813</v>
      </c>
    </row>
    <row r="744" customFormat="false" ht="15.75" hidden="false" customHeight="false" outlineLevel="0" collapsed="false">
      <c r="B744" s="7" t="n">
        <v>46212</v>
      </c>
      <c r="C744" s="3" t="s">
        <v>1814</v>
      </c>
      <c r="D744" s="3" t="s">
        <v>976</v>
      </c>
      <c r="E744" s="3" t="s">
        <v>1796</v>
      </c>
      <c r="F744" s="3" t="s">
        <v>1797</v>
      </c>
      <c r="G744" s="10" t="s">
        <v>1815</v>
      </c>
      <c r="H744" s="9" t="s">
        <v>13</v>
      </c>
      <c r="I744" s="9" t="s">
        <v>1816</v>
      </c>
    </row>
    <row r="745" customFormat="false" ht="15.75" hidden="false" customHeight="false" outlineLevel="0" collapsed="false">
      <c r="B745" s="7" t="n">
        <v>46212</v>
      </c>
      <c r="C745" s="3" t="s">
        <v>1817</v>
      </c>
      <c r="D745" s="3" t="s">
        <v>976</v>
      </c>
      <c r="E745" s="3" t="s">
        <v>1796</v>
      </c>
      <c r="F745" s="3" t="s">
        <v>1797</v>
      </c>
      <c r="G745" s="8" t="s">
        <v>1818</v>
      </c>
      <c r="H745" s="9" t="s">
        <v>13</v>
      </c>
      <c r="I745" s="9" t="s">
        <v>1819</v>
      </c>
    </row>
    <row r="746" customFormat="false" ht="15.75" hidden="false" customHeight="false" outlineLevel="0" collapsed="false">
      <c r="B746" s="7" t="n">
        <v>46212</v>
      </c>
      <c r="C746" s="3" t="s">
        <v>1820</v>
      </c>
      <c r="D746" s="3" t="s">
        <v>976</v>
      </c>
      <c r="E746" s="3" t="s">
        <v>1796</v>
      </c>
      <c r="F746" s="3" t="s">
        <v>1797</v>
      </c>
      <c r="G746" s="8" t="s">
        <v>1821</v>
      </c>
      <c r="H746" s="9" t="s">
        <v>13</v>
      </c>
      <c r="I746" s="9" t="s">
        <v>1822</v>
      </c>
    </row>
    <row r="747" customFormat="false" ht="15.75" hidden="false" customHeight="false" outlineLevel="0" collapsed="false">
      <c r="B747" s="7" t="n">
        <v>46212</v>
      </c>
      <c r="C747" s="3" t="s">
        <v>1823</v>
      </c>
      <c r="D747" s="3" t="s">
        <v>976</v>
      </c>
      <c r="E747" s="3" t="s">
        <v>1796</v>
      </c>
      <c r="F747" s="3" t="s">
        <v>1797</v>
      </c>
      <c r="G747" s="8" t="s">
        <v>1824</v>
      </c>
      <c r="H747" s="9" t="s">
        <v>13</v>
      </c>
      <c r="I747" s="9" t="s">
        <v>1825</v>
      </c>
    </row>
    <row r="748" customFormat="false" ht="15.75" hidden="false" customHeight="false" outlineLevel="0" collapsed="false">
      <c r="B748" s="7" t="n">
        <v>46212</v>
      </c>
      <c r="C748" s="3" t="s">
        <v>1826</v>
      </c>
      <c r="D748" s="3" t="s">
        <v>976</v>
      </c>
      <c r="E748" s="3" t="s">
        <v>1796</v>
      </c>
      <c r="F748" s="3" t="s">
        <v>1797</v>
      </c>
      <c r="G748" s="10" t="s">
        <v>1827</v>
      </c>
      <c r="H748" s="9" t="s">
        <v>13</v>
      </c>
      <c r="I748" s="9" t="s">
        <v>1828</v>
      </c>
    </row>
    <row r="749" customFormat="false" ht="15.75" hidden="false" customHeight="false" outlineLevel="0" collapsed="false">
      <c r="B749" s="7" t="n">
        <v>46212</v>
      </c>
      <c r="C749" s="3" t="s">
        <v>1829</v>
      </c>
      <c r="D749" s="3" t="s">
        <v>976</v>
      </c>
      <c r="E749" s="3" t="s">
        <v>1796</v>
      </c>
      <c r="F749" s="3" t="s">
        <v>1797</v>
      </c>
      <c r="G749" s="8" t="s">
        <v>1830</v>
      </c>
      <c r="H749" s="9" t="s">
        <v>13</v>
      </c>
      <c r="I749" s="9" t="s">
        <v>1831</v>
      </c>
    </row>
    <row r="750" customFormat="false" ht="15.75" hidden="false" customHeight="false" outlineLevel="0" collapsed="false">
      <c r="B750" s="7" t="n">
        <v>46212</v>
      </c>
      <c r="C750" s="3" t="s">
        <v>1832</v>
      </c>
      <c r="D750" s="3" t="s">
        <v>976</v>
      </c>
      <c r="E750" s="3" t="s">
        <v>1796</v>
      </c>
      <c r="F750" s="3" t="s">
        <v>1797</v>
      </c>
      <c r="G750" s="10" t="s">
        <v>1833</v>
      </c>
      <c r="H750" s="9" t="s">
        <v>13</v>
      </c>
      <c r="I750" s="9" t="s">
        <v>1834</v>
      </c>
    </row>
    <row r="751" customFormat="false" ht="15.75" hidden="false" customHeight="false" outlineLevel="0" collapsed="false">
      <c r="B751" s="7" t="n">
        <v>46212</v>
      </c>
      <c r="C751" s="3" t="s">
        <v>1835</v>
      </c>
      <c r="D751" s="3" t="s">
        <v>976</v>
      </c>
      <c r="E751" s="3" t="s">
        <v>1796</v>
      </c>
      <c r="F751" s="3" t="s">
        <v>1797</v>
      </c>
      <c r="G751" s="10" t="s">
        <v>1836</v>
      </c>
      <c r="H751" s="9" t="s">
        <v>13</v>
      </c>
      <c r="I751" s="9" t="s">
        <v>1837</v>
      </c>
    </row>
    <row r="752" customFormat="false" ht="15.75" hidden="false" customHeight="false" outlineLevel="0" collapsed="false">
      <c r="B752" s="7" t="n">
        <v>46212</v>
      </c>
      <c r="C752" s="3" t="s">
        <v>1838</v>
      </c>
      <c r="D752" s="3" t="s">
        <v>976</v>
      </c>
      <c r="E752" s="3" t="s">
        <v>1796</v>
      </c>
      <c r="F752" s="3" t="s">
        <v>1797</v>
      </c>
      <c r="G752" s="10" t="s">
        <v>1839</v>
      </c>
      <c r="H752" s="9" t="s">
        <v>13</v>
      </c>
      <c r="I752" s="9" t="s">
        <v>1840</v>
      </c>
    </row>
    <row r="753" customFormat="false" ht="15.75" hidden="false" customHeight="false" outlineLevel="0" collapsed="false">
      <c r="B753" s="7" t="n">
        <v>46212</v>
      </c>
      <c r="C753" s="3" t="s">
        <v>1841</v>
      </c>
      <c r="D753" s="3" t="s">
        <v>976</v>
      </c>
      <c r="E753" s="3" t="s">
        <v>1796</v>
      </c>
      <c r="F753" s="3" t="s">
        <v>1797</v>
      </c>
      <c r="G753" s="10" t="s">
        <v>1842</v>
      </c>
      <c r="H753" s="9" t="s">
        <v>13</v>
      </c>
      <c r="I753" s="9" t="s">
        <v>1843</v>
      </c>
    </row>
    <row r="754" customFormat="false" ht="15.75" hidden="false" customHeight="false" outlineLevel="0" collapsed="false">
      <c r="B754" s="7" t="n">
        <v>46212</v>
      </c>
      <c r="C754" s="3" t="s">
        <v>1844</v>
      </c>
      <c r="D754" s="3" t="s">
        <v>976</v>
      </c>
      <c r="E754" s="3" t="s">
        <v>1796</v>
      </c>
      <c r="F754" s="3" t="s">
        <v>1797</v>
      </c>
      <c r="G754" s="10" t="s">
        <v>1842</v>
      </c>
      <c r="H754" s="9" t="s">
        <v>13</v>
      </c>
      <c r="I754" s="9" t="s">
        <v>1845</v>
      </c>
    </row>
    <row r="755" customFormat="false" ht="15.75" hidden="false" customHeight="false" outlineLevel="0" collapsed="false">
      <c r="B755" s="7" t="n">
        <v>46212</v>
      </c>
      <c r="C755" s="3" t="s">
        <v>1846</v>
      </c>
      <c r="D755" s="3" t="s">
        <v>976</v>
      </c>
      <c r="E755" s="3" t="s">
        <v>1796</v>
      </c>
      <c r="F755" s="3" t="s">
        <v>1797</v>
      </c>
      <c r="G755" s="10" t="s">
        <v>1842</v>
      </c>
      <c r="H755" s="9" t="s">
        <v>13</v>
      </c>
      <c r="I755" s="9" t="s">
        <v>1847</v>
      </c>
    </row>
    <row r="756" customFormat="false" ht="15.75" hidden="false" customHeight="false" outlineLevel="0" collapsed="false">
      <c r="B756" s="7" t="n">
        <v>46212</v>
      </c>
      <c r="C756" s="3" t="s">
        <v>1848</v>
      </c>
      <c r="D756" s="3" t="s">
        <v>976</v>
      </c>
      <c r="E756" s="3" t="s">
        <v>1796</v>
      </c>
      <c r="F756" s="3" t="s">
        <v>1797</v>
      </c>
      <c r="G756" s="10" t="s">
        <v>1849</v>
      </c>
      <c r="H756" s="9" t="s">
        <v>13</v>
      </c>
      <c r="I756" s="9" t="s">
        <v>1850</v>
      </c>
    </row>
    <row r="757" customFormat="false" ht="15.75" hidden="false" customHeight="false" outlineLevel="0" collapsed="false">
      <c r="B757" s="7" t="n">
        <v>46212</v>
      </c>
      <c r="C757" s="3" t="s">
        <v>1851</v>
      </c>
      <c r="D757" s="3" t="s">
        <v>976</v>
      </c>
      <c r="E757" s="3" t="s">
        <v>1796</v>
      </c>
      <c r="F757" s="3" t="s">
        <v>1797</v>
      </c>
      <c r="G757" s="10" t="s">
        <v>1839</v>
      </c>
      <c r="H757" s="9" t="s">
        <v>13</v>
      </c>
      <c r="I757" s="9" t="s">
        <v>1852</v>
      </c>
    </row>
    <row r="758" customFormat="false" ht="15.75" hidden="false" customHeight="false" outlineLevel="0" collapsed="false">
      <c r="B758" s="7" t="n">
        <v>46212</v>
      </c>
      <c r="C758" s="3" t="s">
        <v>1853</v>
      </c>
      <c r="D758" s="3" t="s">
        <v>976</v>
      </c>
      <c r="E758" s="3" t="s">
        <v>1796</v>
      </c>
      <c r="F758" s="3" t="s">
        <v>1797</v>
      </c>
      <c r="G758" s="8" t="s">
        <v>1854</v>
      </c>
      <c r="H758" s="9" t="s">
        <v>13</v>
      </c>
      <c r="I758" s="9" t="s">
        <v>1855</v>
      </c>
    </row>
    <row r="759" customFormat="false" ht="15.75" hidden="false" customHeight="false" outlineLevel="0" collapsed="false">
      <c r="B759" s="7" t="n">
        <v>46212</v>
      </c>
      <c r="C759" s="3" t="s">
        <v>1856</v>
      </c>
      <c r="D759" s="3" t="s">
        <v>976</v>
      </c>
      <c r="E759" s="3" t="s">
        <v>1796</v>
      </c>
      <c r="F759" s="3" t="s">
        <v>1797</v>
      </c>
      <c r="G759" s="10" t="s">
        <v>1857</v>
      </c>
      <c r="H759" s="9" t="s">
        <v>13</v>
      </c>
      <c r="I759" s="9" t="s">
        <v>1858</v>
      </c>
    </row>
    <row r="760" customFormat="false" ht="15.75" hidden="false" customHeight="false" outlineLevel="0" collapsed="false">
      <c r="B760" s="7" t="n">
        <v>46212</v>
      </c>
      <c r="C760" s="3" t="s">
        <v>1859</v>
      </c>
      <c r="D760" s="3" t="s">
        <v>976</v>
      </c>
      <c r="E760" s="3" t="s">
        <v>1796</v>
      </c>
      <c r="F760" s="3" t="s">
        <v>1797</v>
      </c>
      <c r="G760" s="10" t="s">
        <v>1860</v>
      </c>
      <c r="H760" s="9" t="s">
        <v>13</v>
      </c>
      <c r="I760" s="9" t="s">
        <v>1861</v>
      </c>
    </row>
    <row r="761" customFormat="false" ht="15.75" hidden="false" customHeight="false" outlineLevel="0" collapsed="false">
      <c r="B761" s="7" t="n">
        <v>46212</v>
      </c>
      <c r="C761" s="3" t="s">
        <v>1862</v>
      </c>
      <c r="D761" s="3" t="s">
        <v>976</v>
      </c>
      <c r="E761" s="3" t="s">
        <v>1796</v>
      </c>
      <c r="F761" s="3" t="s">
        <v>1797</v>
      </c>
      <c r="G761" s="10" t="s">
        <v>1863</v>
      </c>
      <c r="H761" s="9" t="s">
        <v>13</v>
      </c>
      <c r="I761" s="9" t="s">
        <v>1864</v>
      </c>
    </row>
    <row r="762" customFormat="false" ht="15.75" hidden="false" customHeight="false" outlineLevel="0" collapsed="false">
      <c r="B762" s="7" t="n">
        <v>46212</v>
      </c>
      <c r="C762" s="3" t="s">
        <v>1865</v>
      </c>
      <c r="D762" s="3" t="s">
        <v>976</v>
      </c>
      <c r="E762" s="3" t="s">
        <v>1796</v>
      </c>
      <c r="F762" s="3" t="s">
        <v>1797</v>
      </c>
      <c r="G762" s="10" t="s">
        <v>1866</v>
      </c>
      <c r="H762" s="9" t="s">
        <v>13</v>
      </c>
      <c r="I762" s="9" t="s">
        <v>1867</v>
      </c>
    </row>
    <row r="763" customFormat="false" ht="15.75" hidden="false" customHeight="false" outlineLevel="0" collapsed="false">
      <c r="B763" s="7" t="n">
        <v>46212</v>
      </c>
      <c r="C763" s="3" t="s">
        <v>1868</v>
      </c>
      <c r="D763" s="3" t="s">
        <v>976</v>
      </c>
      <c r="E763" s="3" t="s">
        <v>1796</v>
      </c>
      <c r="F763" s="3" t="s">
        <v>1797</v>
      </c>
      <c r="G763" s="10" t="s">
        <v>1866</v>
      </c>
      <c r="H763" s="9" t="s">
        <v>13</v>
      </c>
      <c r="I763" s="9" t="s">
        <v>1869</v>
      </c>
    </row>
    <row r="764" customFormat="false" ht="15.75" hidden="false" customHeight="false" outlineLevel="0" collapsed="false">
      <c r="B764" s="7" t="n">
        <v>46212</v>
      </c>
      <c r="C764" s="3" t="s">
        <v>1870</v>
      </c>
      <c r="D764" s="3" t="s">
        <v>976</v>
      </c>
      <c r="E764" s="3" t="s">
        <v>1796</v>
      </c>
      <c r="F764" s="3" t="s">
        <v>1797</v>
      </c>
      <c r="G764" s="10" t="s">
        <v>1871</v>
      </c>
      <c r="H764" s="9" t="s">
        <v>13</v>
      </c>
      <c r="I764" s="9" t="s">
        <v>1872</v>
      </c>
    </row>
    <row r="765" customFormat="false" ht="15.75" hidden="false" customHeight="false" outlineLevel="0" collapsed="false">
      <c r="B765" s="7" t="n">
        <v>46212</v>
      </c>
      <c r="C765" s="3" t="s">
        <v>1873</v>
      </c>
      <c r="D765" s="3" t="s">
        <v>976</v>
      </c>
      <c r="E765" s="3" t="s">
        <v>1796</v>
      </c>
      <c r="F765" s="3" t="s">
        <v>1797</v>
      </c>
      <c r="G765" s="10" t="s">
        <v>1874</v>
      </c>
      <c r="H765" s="9" t="s">
        <v>13</v>
      </c>
      <c r="I765" s="9" t="s">
        <v>1875</v>
      </c>
    </row>
    <row r="766" customFormat="false" ht="15.75" hidden="false" customHeight="false" outlineLevel="0" collapsed="false">
      <c r="B766" s="7" t="n">
        <v>46212</v>
      </c>
      <c r="C766" s="3" t="s">
        <v>1876</v>
      </c>
      <c r="D766" s="3" t="s">
        <v>976</v>
      </c>
      <c r="E766" s="3" t="s">
        <v>1796</v>
      </c>
      <c r="F766" s="3" t="s">
        <v>1797</v>
      </c>
      <c r="G766" s="10" t="s">
        <v>1877</v>
      </c>
      <c r="H766" s="9" t="s">
        <v>13</v>
      </c>
      <c r="I766" s="9" t="s">
        <v>1878</v>
      </c>
    </row>
    <row r="767" customFormat="false" ht="15.75" hidden="false" customHeight="false" outlineLevel="0" collapsed="false">
      <c r="B767" s="7" t="n">
        <v>46212</v>
      </c>
      <c r="C767" s="3" t="s">
        <v>1879</v>
      </c>
      <c r="D767" s="3" t="s">
        <v>976</v>
      </c>
      <c r="E767" s="3" t="s">
        <v>1796</v>
      </c>
      <c r="F767" s="3" t="s">
        <v>1797</v>
      </c>
      <c r="G767" s="10" t="s">
        <v>1877</v>
      </c>
      <c r="H767" s="9" t="s">
        <v>13</v>
      </c>
      <c r="I767" s="9" t="s">
        <v>1880</v>
      </c>
    </row>
    <row r="768" customFormat="false" ht="15.75" hidden="false" customHeight="false" outlineLevel="0" collapsed="false">
      <c r="B768" s="7" t="n">
        <v>46212</v>
      </c>
      <c r="C768" s="3" t="s">
        <v>1881</v>
      </c>
      <c r="D768" s="3" t="s">
        <v>976</v>
      </c>
      <c r="E768" s="3" t="s">
        <v>1796</v>
      </c>
      <c r="F768" s="3" t="s">
        <v>1797</v>
      </c>
      <c r="G768" s="10" t="s">
        <v>1874</v>
      </c>
      <c r="H768" s="9" t="s">
        <v>13</v>
      </c>
      <c r="I768" s="9" t="s">
        <v>1882</v>
      </c>
    </row>
    <row r="769" customFormat="false" ht="15.75" hidden="false" customHeight="false" outlineLevel="0" collapsed="false">
      <c r="B769" s="7" t="n">
        <v>46212</v>
      </c>
      <c r="C769" s="3" t="s">
        <v>1883</v>
      </c>
      <c r="D769" s="3" t="s">
        <v>976</v>
      </c>
      <c r="E769" s="3" t="s">
        <v>1796</v>
      </c>
      <c r="F769" s="3" t="s">
        <v>1797</v>
      </c>
      <c r="G769" s="8" t="s">
        <v>1884</v>
      </c>
      <c r="H769" s="9" t="s">
        <v>13</v>
      </c>
      <c r="I769" s="9" t="s">
        <v>1885</v>
      </c>
    </row>
    <row r="770" customFormat="false" ht="15.75" hidden="false" customHeight="false" outlineLevel="0" collapsed="false">
      <c r="B770" s="7" t="n">
        <v>46212</v>
      </c>
      <c r="C770" s="3" t="s">
        <v>1886</v>
      </c>
      <c r="D770" s="3" t="s">
        <v>976</v>
      </c>
      <c r="E770" s="3" t="s">
        <v>1796</v>
      </c>
      <c r="F770" s="3" t="s">
        <v>1797</v>
      </c>
      <c r="G770" s="10" t="s">
        <v>1887</v>
      </c>
      <c r="H770" s="9" t="s">
        <v>13</v>
      </c>
      <c r="I770" s="9" t="s">
        <v>1888</v>
      </c>
    </row>
    <row r="771" customFormat="false" ht="15.75" hidden="false" customHeight="false" outlineLevel="0" collapsed="false">
      <c r="B771" s="7" t="n">
        <v>46212</v>
      </c>
      <c r="C771" s="3" t="s">
        <v>1889</v>
      </c>
      <c r="D771" s="3" t="s">
        <v>976</v>
      </c>
      <c r="E771" s="3" t="s">
        <v>1796</v>
      </c>
      <c r="F771" s="3" t="s">
        <v>1797</v>
      </c>
      <c r="G771" s="10" t="s">
        <v>1887</v>
      </c>
      <c r="H771" s="9" t="s">
        <v>13</v>
      </c>
      <c r="I771" s="9" t="s">
        <v>1890</v>
      </c>
    </row>
    <row r="772" customFormat="false" ht="15.75" hidden="false" customHeight="false" outlineLevel="0" collapsed="false">
      <c r="B772" s="7" t="n">
        <v>46212</v>
      </c>
      <c r="C772" s="3" t="s">
        <v>1891</v>
      </c>
      <c r="D772" s="3" t="s">
        <v>976</v>
      </c>
      <c r="E772" s="3" t="s">
        <v>1796</v>
      </c>
      <c r="F772" s="3" t="s">
        <v>1797</v>
      </c>
      <c r="G772" s="10" t="s">
        <v>1892</v>
      </c>
      <c r="H772" s="9" t="s">
        <v>13</v>
      </c>
      <c r="I772" s="9" t="s">
        <v>1893</v>
      </c>
    </row>
    <row r="773" customFormat="false" ht="15.75" hidden="false" customHeight="false" outlineLevel="0" collapsed="false">
      <c r="B773" s="7" t="n">
        <v>46212</v>
      </c>
      <c r="C773" s="3" t="s">
        <v>1894</v>
      </c>
      <c r="D773" s="3" t="s">
        <v>976</v>
      </c>
      <c r="E773" s="3" t="s">
        <v>1796</v>
      </c>
      <c r="F773" s="3" t="s">
        <v>1895</v>
      </c>
      <c r="G773" s="10" t="s">
        <v>1896</v>
      </c>
      <c r="H773" s="9" t="s">
        <v>13</v>
      </c>
      <c r="I773" s="9" t="s">
        <v>1897</v>
      </c>
    </row>
    <row r="774" customFormat="false" ht="15.75" hidden="false" customHeight="false" outlineLevel="0" collapsed="false">
      <c r="B774" s="7" t="n">
        <v>46212</v>
      </c>
      <c r="C774" s="3" t="s">
        <v>1898</v>
      </c>
      <c r="D774" s="3" t="s">
        <v>976</v>
      </c>
      <c r="E774" s="3" t="s">
        <v>1796</v>
      </c>
      <c r="F774" s="3" t="s">
        <v>1895</v>
      </c>
      <c r="G774" s="8" t="s">
        <v>1899</v>
      </c>
      <c r="H774" s="9" t="s">
        <v>13</v>
      </c>
      <c r="I774" s="9" t="s">
        <v>1900</v>
      </c>
    </row>
    <row r="775" customFormat="false" ht="15.75" hidden="false" customHeight="false" outlineLevel="0" collapsed="false">
      <c r="B775" s="7" t="n">
        <v>46212</v>
      </c>
      <c r="C775" s="3" t="s">
        <v>1901</v>
      </c>
      <c r="D775" s="3" t="s">
        <v>976</v>
      </c>
      <c r="E775" s="3" t="s">
        <v>1796</v>
      </c>
      <c r="F775" s="3" t="s">
        <v>1895</v>
      </c>
      <c r="G775" s="8" t="s">
        <v>1899</v>
      </c>
      <c r="H775" s="9" t="s">
        <v>13</v>
      </c>
      <c r="I775" s="9" t="s">
        <v>1902</v>
      </c>
    </row>
    <row r="776" customFormat="false" ht="15.75" hidden="false" customHeight="false" outlineLevel="0" collapsed="false">
      <c r="B776" s="7" t="n">
        <v>46212</v>
      </c>
      <c r="C776" s="3" t="s">
        <v>1903</v>
      </c>
      <c r="D776" s="3" t="s">
        <v>976</v>
      </c>
      <c r="E776" s="3" t="s">
        <v>1796</v>
      </c>
      <c r="F776" s="3" t="s">
        <v>1895</v>
      </c>
      <c r="G776" s="8" t="s">
        <v>1899</v>
      </c>
      <c r="H776" s="9" t="s">
        <v>13</v>
      </c>
      <c r="I776" s="9" t="s">
        <v>1904</v>
      </c>
    </row>
    <row r="777" customFormat="false" ht="15.75" hidden="false" customHeight="false" outlineLevel="0" collapsed="false">
      <c r="B777" s="7" t="n">
        <v>46212</v>
      </c>
      <c r="C777" s="3" t="s">
        <v>1905</v>
      </c>
      <c r="D777" s="3" t="s">
        <v>976</v>
      </c>
      <c r="E777" s="3" t="s">
        <v>1796</v>
      </c>
      <c r="F777" s="3" t="s">
        <v>1895</v>
      </c>
      <c r="G777" s="8" t="s">
        <v>1906</v>
      </c>
      <c r="H777" s="9" t="s">
        <v>13</v>
      </c>
      <c r="I777" s="9" t="s">
        <v>1907</v>
      </c>
    </row>
    <row r="778" customFormat="false" ht="15.75" hidden="false" customHeight="false" outlineLevel="0" collapsed="false">
      <c r="B778" s="7" t="n">
        <v>46212</v>
      </c>
      <c r="C778" s="3" t="s">
        <v>1908</v>
      </c>
      <c r="D778" s="3" t="s">
        <v>976</v>
      </c>
      <c r="E778" s="3" t="s">
        <v>1796</v>
      </c>
      <c r="F778" s="3" t="s">
        <v>1895</v>
      </c>
      <c r="G778" s="8" t="s">
        <v>1909</v>
      </c>
      <c r="H778" s="9" t="s">
        <v>13</v>
      </c>
      <c r="I778" s="9" t="s">
        <v>1910</v>
      </c>
    </row>
    <row r="779" customFormat="false" ht="15.75" hidden="false" customHeight="false" outlineLevel="0" collapsed="false">
      <c r="B779" s="7" t="n">
        <v>46212</v>
      </c>
      <c r="C779" s="3" t="s">
        <v>1911</v>
      </c>
      <c r="D779" s="3" t="s">
        <v>976</v>
      </c>
      <c r="E779" s="3" t="s">
        <v>1796</v>
      </c>
      <c r="F779" s="3" t="s">
        <v>1895</v>
      </c>
      <c r="G779" s="8" t="s">
        <v>1909</v>
      </c>
      <c r="H779" s="9" t="s">
        <v>13</v>
      </c>
      <c r="I779" s="9" t="s">
        <v>1912</v>
      </c>
    </row>
    <row r="780" customFormat="false" ht="15.75" hidden="false" customHeight="false" outlineLevel="0" collapsed="false">
      <c r="B780" s="7" t="n">
        <v>46212</v>
      </c>
      <c r="C780" s="3" t="s">
        <v>1913</v>
      </c>
      <c r="D780" s="3" t="s">
        <v>976</v>
      </c>
      <c r="E780" s="3" t="s">
        <v>1796</v>
      </c>
      <c r="F780" s="3" t="s">
        <v>1895</v>
      </c>
      <c r="G780" s="10" t="s">
        <v>1914</v>
      </c>
      <c r="H780" s="9" t="s">
        <v>13</v>
      </c>
      <c r="I780" s="9" t="s">
        <v>1915</v>
      </c>
    </row>
    <row r="781" customFormat="false" ht="15.75" hidden="false" customHeight="false" outlineLevel="0" collapsed="false">
      <c r="B781" s="7" t="n">
        <v>46212</v>
      </c>
      <c r="C781" s="3" t="s">
        <v>1916</v>
      </c>
      <c r="D781" s="3" t="s">
        <v>976</v>
      </c>
      <c r="E781" s="3" t="s">
        <v>1796</v>
      </c>
      <c r="F781" s="3" t="s">
        <v>1895</v>
      </c>
      <c r="G781" s="8" t="s">
        <v>1917</v>
      </c>
      <c r="H781" s="9" t="s">
        <v>13</v>
      </c>
      <c r="I781" s="9" t="s">
        <v>1918</v>
      </c>
    </row>
    <row r="782" customFormat="false" ht="15.75" hidden="false" customHeight="false" outlineLevel="0" collapsed="false">
      <c r="B782" s="7" t="n">
        <v>46212</v>
      </c>
      <c r="C782" s="3" t="s">
        <v>1919</v>
      </c>
      <c r="D782" s="3" t="s">
        <v>976</v>
      </c>
      <c r="E782" s="3" t="s">
        <v>1796</v>
      </c>
      <c r="F782" s="3" t="s">
        <v>1895</v>
      </c>
      <c r="G782" s="8" t="s">
        <v>1920</v>
      </c>
      <c r="H782" s="9" t="s">
        <v>13</v>
      </c>
      <c r="I782" s="9" t="s">
        <v>1921</v>
      </c>
    </row>
    <row r="783" customFormat="false" ht="15.75" hidden="false" customHeight="false" outlineLevel="0" collapsed="false">
      <c r="B783" s="7" t="n">
        <v>46212</v>
      </c>
      <c r="C783" s="3" t="s">
        <v>1922</v>
      </c>
      <c r="D783" s="3" t="s">
        <v>976</v>
      </c>
      <c r="E783" s="3" t="s">
        <v>1796</v>
      </c>
      <c r="F783" s="3" t="s">
        <v>1895</v>
      </c>
      <c r="G783" s="8" t="s">
        <v>1923</v>
      </c>
      <c r="H783" s="9" t="s">
        <v>13</v>
      </c>
      <c r="I783" s="9" t="s">
        <v>1924</v>
      </c>
    </row>
    <row r="784" customFormat="false" ht="15.75" hidden="false" customHeight="false" outlineLevel="0" collapsed="false">
      <c r="B784" s="7" t="n">
        <v>46212</v>
      </c>
      <c r="C784" s="3" t="s">
        <v>1925</v>
      </c>
      <c r="D784" s="3" t="s">
        <v>976</v>
      </c>
      <c r="E784" s="3" t="s">
        <v>1796</v>
      </c>
      <c r="F784" s="3" t="s">
        <v>1895</v>
      </c>
      <c r="G784" s="8" t="s">
        <v>1926</v>
      </c>
      <c r="H784" s="9" t="s">
        <v>13</v>
      </c>
      <c r="I784" s="9" t="s">
        <v>1927</v>
      </c>
    </row>
    <row r="785" customFormat="false" ht="15.75" hidden="false" customHeight="false" outlineLevel="0" collapsed="false">
      <c r="B785" s="7" t="n">
        <v>46212</v>
      </c>
      <c r="C785" s="3" t="s">
        <v>1928</v>
      </c>
      <c r="D785" s="3" t="s">
        <v>976</v>
      </c>
      <c r="E785" s="3" t="s">
        <v>1796</v>
      </c>
      <c r="F785" s="3" t="s">
        <v>1895</v>
      </c>
      <c r="G785" s="10" t="s">
        <v>1929</v>
      </c>
      <c r="H785" s="9" t="s">
        <v>13</v>
      </c>
      <c r="I785" s="9" t="s">
        <v>1930</v>
      </c>
    </row>
    <row r="786" customFormat="false" ht="15.75" hidden="false" customHeight="false" outlineLevel="0" collapsed="false">
      <c r="B786" s="7" t="n">
        <v>46212</v>
      </c>
      <c r="C786" s="3" t="s">
        <v>1931</v>
      </c>
      <c r="D786" s="3" t="s">
        <v>976</v>
      </c>
      <c r="E786" s="3" t="s">
        <v>1796</v>
      </c>
      <c r="F786" s="3" t="s">
        <v>1895</v>
      </c>
      <c r="G786" s="10" t="s">
        <v>1932</v>
      </c>
      <c r="H786" s="9" t="s">
        <v>13</v>
      </c>
      <c r="I786" s="9" t="s">
        <v>1933</v>
      </c>
    </row>
    <row r="787" customFormat="false" ht="15.75" hidden="false" customHeight="false" outlineLevel="0" collapsed="false">
      <c r="B787" s="7" t="n">
        <v>46212</v>
      </c>
      <c r="C787" s="3" t="s">
        <v>1934</v>
      </c>
      <c r="D787" s="3" t="s">
        <v>976</v>
      </c>
      <c r="E787" s="3" t="s">
        <v>1796</v>
      </c>
      <c r="F787" s="3" t="s">
        <v>1895</v>
      </c>
      <c r="G787" s="8" t="s">
        <v>1935</v>
      </c>
      <c r="H787" s="9" t="s">
        <v>13</v>
      </c>
      <c r="I787" s="9" t="s">
        <v>1936</v>
      </c>
    </row>
    <row r="788" customFormat="false" ht="15.75" hidden="false" customHeight="false" outlineLevel="0" collapsed="false">
      <c r="B788" s="7" t="n">
        <v>46212</v>
      </c>
      <c r="C788" s="3" t="s">
        <v>1937</v>
      </c>
      <c r="D788" s="3" t="s">
        <v>976</v>
      </c>
      <c r="E788" s="3" t="s">
        <v>1796</v>
      </c>
      <c r="F788" s="3" t="s">
        <v>1895</v>
      </c>
      <c r="G788" s="8" t="s">
        <v>1935</v>
      </c>
      <c r="H788" s="9" t="s">
        <v>13</v>
      </c>
      <c r="I788" s="9" t="s">
        <v>1938</v>
      </c>
    </row>
    <row r="789" customFormat="false" ht="15.75" hidden="false" customHeight="false" outlineLevel="0" collapsed="false">
      <c r="B789" s="7" t="n">
        <v>46212</v>
      </c>
      <c r="C789" s="3" t="s">
        <v>1939</v>
      </c>
      <c r="D789" s="3" t="s">
        <v>976</v>
      </c>
      <c r="E789" s="3" t="s">
        <v>1796</v>
      </c>
      <c r="F789" s="3" t="s">
        <v>1895</v>
      </c>
      <c r="G789" s="10" t="s">
        <v>1940</v>
      </c>
      <c r="H789" s="9" t="s">
        <v>13</v>
      </c>
      <c r="I789" s="9" t="s">
        <v>1941</v>
      </c>
    </row>
    <row r="790" customFormat="false" ht="15.75" hidden="false" customHeight="false" outlineLevel="0" collapsed="false">
      <c r="B790" s="7" t="n">
        <v>46212</v>
      </c>
      <c r="C790" s="3" t="s">
        <v>1942</v>
      </c>
      <c r="D790" s="3" t="s">
        <v>976</v>
      </c>
      <c r="E790" s="3" t="s">
        <v>1796</v>
      </c>
      <c r="F790" s="3" t="s">
        <v>1895</v>
      </c>
      <c r="G790" s="10" t="s">
        <v>1943</v>
      </c>
      <c r="H790" s="9" t="s">
        <v>13</v>
      </c>
      <c r="I790" s="9" t="s">
        <v>1944</v>
      </c>
    </row>
    <row r="791" customFormat="false" ht="15.75" hidden="false" customHeight="false" outlineLevel="0" collapsed="false">
      <c r="B791" s="7" t="n">
        <v>46212</v>
      </c>
      <c r="C791" s="3" t="s">
        <v>1945</v>
      </c>
      <c r="D791" s="3" t="s">
        <v>976</v>
      </c>
      <c r="E791" s="3" t="s">
        <v>1796</v>
      </c>
      <c r="F791" s="3" t="s">
        <v>1895</v>
      </c>
      <c r="G791" s="10" t="s">
        <v>1946</v>
      </c>
      <c r="H791" s="9" t="s">
        <v>13</v>
      </c>
      <c r="I791" s="9" t="s">
        <v>1947</v>
      </c>
    </row>
    <row r="792" customFormat="false" ht="15.75" hidden="false" customHeight="false" outlineLevel="0" collapsed="false">
      <c r="B792" s="7" t="n">
        <v>46212</v>
      </c>
      <c r="C792" s="3" t="s">
        <v>1948</v>
      </c>
      <c r="D792" s="3" t="s">
        <v>976</v>
      </c>
      <c r="E792" s="3" t="s">
        <v>1796</v>
      </c>
      <c r="F792" s="3" t="s">
        <v>1895</v>
      </c>
      <c r="G792" s="8" t="s">
        <v>1949</v>
      </c>
      <c r="H792" s="9" t="s">
        <v>13</v>
      </c>
      <c r="I792" s="9" t="s">
        <v>1950</v>
      </c>
    </row>
    <row r="793" customFormat="false" ht="15.75" hidden="false" customHeight="false" outlineLevel="0" collapsed="false">
      <c r="B793" s="7" t="n">
        <v>46212</v>
      </c>
      <c r="C793" s="3" t="s">
        <v>1951</v>
      </c>
      <c r="D793" s="3" t="s">
        <v>976</v>
      </c>
      <c r="E793" s="3" t="s">
        <v>1796</v>
      </c>
      <c r="F793" s="3" t="s">
        <v>1895</v>
      </c>
      <c r="G793" s="8" t="s">
        <v>1899</v>
      </c>
      <c r="H793" s="9" t="s">
        <v>13</v>
      </c>
      <c r="I793" s="9" t="s">
        <v>1952</v>
      </c>
    </row>
    <row r="794" customFormat="false" ht="15.75" hidden="false" customHeight="false" outlineLevel="0" collapsed="false">
      <c r="B794" s="7" t="n">
        <v>46212</v>
      </c>
      <c r="C794" s="3" t="s">
        <v>1953</v>
      </c>
      <c r="D794" s="3" t="s">
        <v>976</v>
      </c>
      <c r="E794" s="3" t="s">
        <v>1796</v>
      </c>
      <c r="F794" s="3" t="s">
        <v>1895</v>
      </c>
      <c r="G794" s="10" t="s">
        <v>1943</v>
      </c>
      <c r="H794" s="9" t="s">
        <v>13</v>
      </c>
      <c r="I794" s="9" t="s">
        <v>1954</v>
      </c>
    </row>
    <row r="795" customFormat="false" ht="15.75" hidden="false" customHeight="false" outlineLevel="0" collapsed="false">
      <c r="B795" s="7" t="n">
        <v>46212</v>
      </c>
      <c r="C795" s="3" t="s">
        <v>1955</v>
      </c>
      <c r="D795" s="3" t="s">
        <v>976</v>
      </c>
      <c r="E795" s="3" t="s">
        <v>1796</v>
      </c>
      <c r="F795" s="3" t="s">
        <v>1895</v>
      </c>
      <c r="G795" s="8" t="s">
        <v>1956</v>
      </c>
      <c r="H795" s="9" t="s">
        <v>13</v>
      </c>
      <c r="I795" s="9" t="s">
        <v>1957</v>
      </c>
    </row>
    <row r="796" customFormat="false" ht="15.75" hidden="false" customHeight="false" outlineLevel="0" collapsed="false">
      <c r="B796" s="7" t="n">
        <v>46212</v>
      </c>
      <c r="C796" s="3" t="s">
        <v>1958</v>
      </c>
      <c r="D796" s="3" t="s">
        <v>976</v>
      </c>
      <c r="E796" s="3" t="s">
        <v>1796</v>
      </c>
      <c r="F796" s="3" t="s">
        <v>1895</v>
      </c>
      <c r="G796" s="8" t="s">
        <v>1959</v>
      </c>
      <c r="H796" s="9" t="s">
        <v>13</v>
      </c>
      <c r="I796" s="9" t="s">
        <v>1960</v>
      </c>
    </row>
    <row r="797" customFormat="false" ht="15.75" hidden="false" customHeight="false" outlineLevel="0" collapsed="false">
      <c r="B797" s="7" t="n">
        <v>46212</v>
      </c>
      <c r="C797" s="3" t="s">
        <v>1961</v>
      </c>
      <c r="D797" s="3" t="s">
        <v>976</v>
      </c>
      <c r="E797" s="3" t="s">
        <v>1796</v>
      </c>
      <c r="F797" s="3" t="s">
        <v>1895</v>
      </c>
      <c r="G797" s="10" t="s">
        <v>1962</v>
      </c>
      <c r="H797" s="9" t="s">
        <v>13</v>
      </c>
      <c r="I797" s="9" t="s">
        <v>1963</v>
      </c>
    </row>
    <row r="798" customFormat="false" ht="15.75" hidden="false" customHeight="false" outlineLevel="0" collapsed="false">
      <c r="B798" s="7" t="n">
        <v>46212</v>
      </c>
      <c r="C798" s="3" t="s">
        <v>1964</v>
      </c>
      <c r="D798" s="3" t="s">
        <v>976</v>
      </c>
      <c r="E798" s="3" t="s">
        <v>1796</v>
      </c>
      <c r="F798" s="3" t="s">
        <v>1895</v>
      </c>
      <c r="G798" s="8" t="s">
        <v>1965</v>
      </c>
      <c r="H798" s="9" t="s">
        <v>13</v>
      </c>
      <c r="I798" s="9" t="s">
        <v>1966</v>
      </c>
    </row>
    <row r="799" customFormat="false" ht="15.75" hidden="false" customHeight="false" outlineLevel="0" collapsed="false">
      <c r="B799" s="7" t="n">
        <v>46212</v>
      </c>
      <c r="C799" s="3" t="s">
        <v>1967</v>
      </c>
      <c r="D799" s="3" t="s">
        <v>976</v>
      </c>
      <c r="E799" s="3" t="s">
        <v>1796</v>
      </c>
      <c r="F799" s="3" t="s">
        <v>1895</v>
      </c>
      <c r="G799" s="10" t="s">
        <v>1968</v>
      </c>
      <c r="H799" s="9" t="s">
        <v>13</v>
      </c>
      <c r="I799" s="9" t="s">
        <v>1969</v>
      </c>
    </row>
    <row r="800" customFormat="false" ht="15.75" hidden="false" customHeight="false" outlineLevel="0" collapsed="false">
      <c r="B800" s="7" t="n">
        <v>46212</v>
      </c>
      <c r="C800" s="3" t="s">
        <v>1970</v>
      </c>
      <c r="D800" s="3" t="s">
        <v>976</v>
      </c>
      <c r="E800" s="3" t="s">
        <v>1796</v>
      </c>
      <c r="F800" s="3" t="s">
        <v>1895</v>
      </c>
      <c r="G800" s="10" t="s">
        <v>1892</v>
      </c>
      <c r="H800" s="9" t="s">
        <v>13</v>
      </c>
      <c r="I800" s="9" t="s">
        <v>1971</v>
      </c>
    </row>
    <row r="801" customFormat="false" ht="15.75" hidden="false" customHeight="false" outlineLevel="0" collapsed="false">
      <c r="B801" s="7" t="n">
        <v>46212</v>
      </c>
      <c r="C801" s="3" t="s">
        <v>1972</v>
      </c>
      <c r="D801" s="3" t="s">
        <v>976</v>
      </c>
      <c r="E801" s="3" t="s">
        <v>1796</v>
      </c>
      <c r="F801" s="3" t="s">
        <v>1895</v>
      </c>
      <c r="G801" s="8" t="s">
        <v>1973</v>
      </c>
      <c r="H801" s="9" t="s">
        <v>13</v>
      </c>
      <c r="I801" s="9" t="s">
        <v>1974</v>
      </c>
    </row>
    <row r="802" customFormat="false" ht="15.75" hidden="false" customHeight="false" outlineLevel="0" collapsed="false">
      <c r="B802" s="7" t="n">
        <v>46212</v>
      </c>
      <c r="C802" s="3" t="s">
        <v>1975</v>
      </c>
      <c r="D802" s="3" t="s">
        <v>976</v>
      </c>
      <c r="E802" s="3" t="s">
        <v>1796</v>
      </c>
      <c r="F802" s="3" t="s">
        <v>1895</v>
      </c>
      <c r="G802" s="8" t="s">
        <v>1976</v>
      </c>
      <c r="H802" s="9" t="s">
        <v>13</v>
      </c>
      <c r="I802" s="9" t="s">
        <v>1977</v>
      </c>
    </row>
    <row r="803" customFormat="false" ht="15.75" hidden="false" customHeight="false" outlineLevel="0" collapsed="false">
      <c r="B803" s="7" t="n">
        <v>46212</v>
      </c>
      <c r="C803" s="3" t="s">
        <v>1978</v>
      </c>
      <c r="D803" s="3" t="s">
        <v>976</v>
      </c>
      <c r="E803" s="3" t="s">
        <v>1796</v>
      </c>
      <c r="F803" s="3" t="s">
        <v>1895</v>
      </c>
      <c r="G803" s="8" t="s">
        <v>1979</v>
      </c>
      <c r="H803" s="9" t="s">
        <v>13</v>
      </c>
      <c r="I803" s="9" t="s">
        <v>1980</v>
      </c>
    </row>
    <row r="804" customFormat="false" ht="15.75" hidden="false" customHeight="false" outlineLevel="0" collapsed="false">
      <c r="B804" s="7" t="n">
        <v>46212</v>
      </c>
      <c r="C804" s="3" t="s">
        <v>1981</v>
      </c>
      <c r="D804" s="3" t="s">
        <v>976</v>
      </c>
      <c r="E804" s="3" t="s">
        <v>1796</v>
      </c>
      <c r="F804" s="3" t="s">
        <v>1895</v>
      </c>
      <c r="G804" s="10" t="s">
        <v>1982</v>
      </c>
      <c r="H804" s="9" t="s">
        <v>13</v>
      </c>
      <c r="I804" s="9" t="s">
        <v>1983</v>
      </c>
    </row>
    <row r="805" customFormat="false" ht="15.75" hidden="false" customHeight="false" outlineLevel="0" collapsed="false">
      <c r="B805" s="7" t="n">
        <v>46212</v>
      </c>
      <c r="C805" s="3" t="s">
        <v>1984</v>
      </c>
      <c r="D805" s="3" t="s">
        <v>976</v>
      </c>
      <c r="E805" s="3" t="s">
        <v>1796</v>
      </c>
      <c r="F805" s="3" t="s">
        <v>1895</v>
      </c>
      <c r="G805" s="10" t="s">
        <v>1985</v>
      </c>
      <c r="H805" s="9" t="s">
        <v>13</v>
      </c>
      <c r="I805" s="9" t="s">
        <v>1986</v>
      </c>
    </row>
    <row r="806" customFormat="false" ht="15.75" hidden="false" customHeight="false" outlineLevel="0" collapsed="false">
      <c r="B806" s="7" t="n">
        <v>46212</v>
      </c>
      <c r="C806" s="3" t="s">
        <v>1987</v>
      </c>
      <c r="D806" s="3" t="s">
        <v>976</v>
      </c>
      <c r="E806" s="3" t="s">
        <v>1796</v>
      </c>
      <c r="F806" s="3" t="s">
        <v>1895</v>
      </c>
      <c r="G806" s="10" t="s">
        <v>1988</v>
      </c>
      <c r="H806" s="9" t="s">
        <v>13</v>
      </c>
      <c r="I806" s="9" t="s">
        <v>1989</v>
      </c>
    </row>
    <row r="807" customFormat="false" ht="15.75" hidden="false" customHeight="false" outlineLevel="0" collapsed="false">
      <c r="B807" s="7" t="n">
        <v>46212</v>
      </c>
      <c r="C807" s="3" t="s">
        <v>1990</v>
      </c>
      <c r="D807" s="3" t="s">
        <v>976</v>
      </c>
      <c r="E807" s="3" t="s">
        <v>1796</v>
      </c>
      <c r="F807" s="3" t="s">
        <v>1895</v>
      </c>
      <c r="G807" s="10" t="s">
        <v>1991</v>
      </c>
      <c r="H807" s="9" t="s">
        <v>13</v>
      </c>
      <c r="I807" s="9" t="s">
        <v>1992</v>
      </c>
    </row>
    <row r="808" customFormat="false" ht="15.75" hidden="false" customHeight="false" outlineLevel="0" collapsed="false">
      <c r="B808" s="7" t="n">
        <v>46212</v>
      </c>
      <c r="C808" s="3" t="s">
        <v>1993</v>
      </c>
      <c r="D808" s="3" t="s">
        <v>976</v>
      </c>
      <c r="E808" s="3" t="s">
        <v>1796</v>
      </c>
      <c r="F808" s="3" t="s">
        <v>1994</v>
      </c>
      <c r="G808" s="10" t="s">
        <v>1995</v>
      </c>
      <c r="H808" s="9" t="s">
        <v>13</v>
      </c>
      <c r="I808" s="9" t="s">
        <v>1996</v>
      </c>
    </row>
    <row r="809" customFormat="false" ht="15.75" hidden="false" customHeight="false" outlineLevel="0" collapsed="false">
      <c r="B809" s="7" t="n">
        <v>46212</v>
      </c>
      <c r="C809" s="3" t="s">
        <v>1997</v>
      </c>
      <c r="D809" s="3" t="s">
        <v>976</v>
      </c>
      <c r="E809" s="3" t="s">
        <v>1796</v>
      </c>
      <c r="F809" s="3" t="s">
        <v>1994</v>
      </c>
      <c r="G809" s="8" t="s">
        <v>1998</v>
      </c>
      <c r="H809" s="9" t="s">
        <v>13</v>
      </c>
      <c r="I809" s="9" t="s">
        <v>1999</v>
      </c>
    </row>
    <row r="810" customFormat="false" ht="15.75" hidden="false" customHeight="false" outlineLevel="0" collapsed="false">
      <c r="B810" s="7" t="n">
        <v>46212</v>
      </c>
      <c r="C810" s="3" t="s">
        <v>2000</v>
      </c>
      <c r="D810" s="3" t="s">
        <v>976</v>
      </c>
      <c r="E810" s="3" t="s">
        <v>1796</v>
      </c>
      <c r="F810" s="3" t="s">
        <v>1994</v>
      </c>
      <c r="G810" s="10" t="s">
        <v>2001</v>
      </c>
      <c r="H810" s="9" t="s">
        <v>13</v>
      </c>
      <c r="I810" s="9" t="s">
        <v>2002</v>
      </c>
    </row>
    <row r="811" customFormat="false" ht="15.75" hidden="false" customHeight="false" outlineLevel="0" collapsed="false">
      <c r="B811" s="7" t="n">
        <v>46212</v>
      </c>
      <c r="C811" s="3" t="s">
        <v>2003</v>
      </c>
      <c r="D811" s="3" t="s">
        <v>976</v>
      </c>
      <c r="E811" s="3" t="s">
        <v>1796</v>
      </c>
      <c r="F811" s="3" t="s">
        <v>1994</v>
      </c>
      <c r="G811" s="10" t="s">
        <v>2004</v>
      </c>
      <c r="H811" s="9" t="s">
        <v>13</v>
      </c>
      <c r="I811" s="9" t="s">
        <v>2005</v>
      </c>
    </row>
    <row r="812" customFormat="false" ht="15.75" hidden="false" customHeight="false" outlineLevel="0" collapsed="false">
      <c r="B812" s="7" t="n">
        <v>46212</v>
      </c>
      <c r="C812" s="3" t="s">
        <v>2006</v>
      </c>
      <c r="D812" s="3" t="s">
        <v>976</v>
      </c>
      <c r="E812" s="3" t="s">
        <v>1796</v>
      </c>
      <c r="F812" s="3" t="s">
        <v>1994</v>
      </c>
      <c r="G812" s="10" t="s">
        <v>2004</v>
      </c>
      <c r="H812" s="9" t="s">
        <v>13</v>
      </c>
      <c r="I812" s="9" t="s">
        <v>2005</v>
      </c>
    </row>
    <row r="813" customFormat="false" ht="15.75" hidden="false" customHeight="false" outlineLevel="0" collapsed="false">
      <c r="B813" s="7" t="n">
        <v>46212</v>
      </c>
      <c r="C813" s="3" t="s">
        <v>2007</v>
      </c>
      <c r="D813" s="3" t="s">
        <v>976</v>
      </c>
      <c r="E813" s="3" t="s">
        <v>1796</v>
      </c>
      <c r="F813" s="3" t="s">
        <v>1994</v>
      </c>
      <c r="G813" s="8" t="s">
        <v>2008</v>
      </c>
      <c r="H813" s="9" t="s">
        <v>13</v>
      </c>
      <c r="I813" s="9" t="s">
        <v>2009</v>
      </c>
    </row>
    <row r="814" customFormat="false" ht="15.75" hidden="false" customHeight="false" outlineLevel="0" collapsed="false">
      <c r="B814" s="7" t="n">
        <v>46212</v>
      </c>
      <c r="C814" s="3" t="s">
        <v>2010</v>
      </c>
      <c r="D814" s="3" t="s">
        <v>976</v>
      </c>
      <c r="E814" s="3" t="s">
        <v>1796</v>
      </c>
      <c r="F814" s="3" t="s">
        <v>1994</v>
      </c>
      <c r="G814" s="10" t="s">
        <v>2011</v>
      </c>
      <c r="H814" s="9" t="s">
        <v>13</v>
      </c>
      <c r="I814" s="9" t="s">
        <v>2012</v>
      </c>
    </row>
    <row r="815" customFormat="false" ht="15.75" hidden="false" customHeight="false" outlineLevel="0" collapsed="false">
      <c r="B815" s="7" t="n">
        <v>46212</v>
      </c>
      <c r="C815" s="3" t="s">
        <v>2013</v>
      </c>
      <c r="D815" s="3" t="s">
        <v>976</v>
      </c>
      <c r="E815" s="3" t="s">
        <v>1796</v>
      </c>
      <c r="F815" s="3" t="s">
        <v>1994</v>
      </c>
      <c r="G815" s="10" t="s">
        <v>2011</v>
      </c>
      <c r="H815" s="9" t="s">
        <v>13</v>
      </c>
      <c r="I815" s="9" t="s">
        <v>2012</v>
      </c>
    </row>
    <row r="816" customFormat="false" ht="15.75" hidden="false" customHeight="false" outlineLevel="0" collapsed="false">
      <c r="B816" s="7" t="n">
        <v>46212</v>
      </c>
      <c r="C816" s="3" t="s">
        <v>2014</v>
      </c>
      <c r="D816" s="3" t="s">
        <v>976</v>
      </c>
      <c r="E816" s="3" t="s">
        <v>1796</v>
      </c>
      <c r="F816" s="3" t="s">
        <v>1994</v>
      </c>
      <c r="G816" s="10" t="s">
        <v>2015</v>
      </c>
      <c r="H816" s="9" t="s">
        <v>13</v>
      </c>
      <c r="I816" s="9" t="s">
        <v>2016</v>
      </c>
    </row>
    <row r="817" customFormat="false" ht="15.75" hidden="false" customHeight="false" outlineLevel="0" collapsed="false">
      <c r="B817" s="7" t="n">
        <v>46212</v>
      </c>
      <c r="C817" s="3" t="s">
        <v>2017</v>
      </c>
      <c r="D817" s="3" t="s">
        <v>976</v>
      </c>
      <c r="E817" s="3" t="s">
        <v>1796</v>
      </c>
      <c r="F817" s="3" t="s">
        <v>1994</v>
      </c>
      <c r="G817" s="10" t="s">
        <v>2015</v>
      </c>
      <c r="H817" s="9" t="s">
        <v>13</v>
      </c>
      <c r="I817" s="9" t="s">
        <v>2016</v>
      </c>
    </row>
    <row r="818" customFormat="false" ht="15.75" hidden="false" customHeight="false" outlineLevel="0" collapsed="false">
      <c r="B818" s="7" t="n">
        <v>46212</v>
      </c>
      <c r="C818" s="3" t="s">
        <v>2018</v>
      </c>
      <c r="D818" s="3" t="s">
        <v>976</v>
      </c>
      <c r="E818" s="3" t="s">
        <v>1796</v>
      </c>
      <c r="F818" s="3" t="s">
        <v>1994</v>
      </c>
      <c r="G818" s="10" t="s">
        <v>1842</v>
      </c>
      <c r="H818" s="9" t="s">
        <v>13</v>
      </c>
      <c r="I818" s="9" t="s">
        <v>2019</v>
      </c>
    </row>
    <row r="819" customFormat="false" ht="15.75" hidden="false" customHeight="false" outlineLevel="0" collapsed="false">
      <c r="B819" s="7" t="n">
        <v>46212</v>
      </c>
      <c r="C819" s="3" t="s">
        <v>2020</v>
      </c>
      <c r="D819" s="3" t="s">
        <v>976</v>
      </c>
      <c r="E819" s="3" t="s">
        <v>1796</v>
      </c>
      <c r="F819" s="3" t="s">
        <v>1994</v>
      </c>
      <c r="G819" s="8" t="s">
        <v>2021</v>
      </c>
      <c r="H819" s="9" t="s">
        <v>13</v>
      </c>
      <c r="I819" s="9" t="s">
        <v>2022</v>
      </c>
    </row>
    <row r="820" customFormat="false" ht="15.75" hidden="false" customHeight="false" outlineLevel="0" collapsed="false">
      <c r="B820" s="7" t="n">
        <v>46212</v>
      </c>
      <c r="C820" s="3" t="s">
        <v>2023</v>
      </c>
      <c r="D820" s="3" t="s">
        <v>976</v>
      </c>
      <c r="E820" s="3" t="s">
        <v>1796</v>
      </c>
      <c r="F820" s="3" t="s">
        <v>1994</v>
      </c>
      <c r="G820" s="8" t="s">
        <v>2024</v>
      </c>
      <c r="H820" s="9" t="s">
        <v>13</v>
      </c>
      <c r="I820" s="9" t="s">
        <v>2025</v>
      </c>
    </row>
    <row r="821" customFormat="false" ht="15.75" hidden="false" customHeight="false" outlineLevel="0" collapsed="false">
      <c r="B821" s="7" t="n">
        <v>46212</v>
      </c>
      <c r="C821" s="3" t="s">
        <v>2026</v>
      </c>
      <c r="D821" s="3" t="s">
        <v>976</v>
      </c>
      <c r="E821" s="3" t="s">
        <v>1796</v>
      </c>
      <c r="F821" s="3" t="s">
        <v>1994</v>
      </c>
      <c r="G821" s="10" t="s">
        <v>2027</v>
      </c>
      <c r="H821" s="9" t="s">
        <v>13</v>
      </c>
      <c r="I821" s="9" t="s">
        <v>2028</v>
      </c>
    </row>
    <row r="822" customFormat="false" ht="15.75" hidden="false" customHeight="false" outlineLevel="0" collapsed="false">
      <c r="B822" s="7" t="n">
        <v>46212</v>
      </c>
      <c r="C822" s="3" t="s">
        <v>2029</v>
      </c>
      <c r="D822" s="3" t="s">
        <v>976</v>
      </c>
      <c r="E822" s="3" t="s">
        <v>1796</v>
      </c>
      <c r="F822" s="3" t="s">
        <v>1994</v>
      </c>
      <c r="G822" s="10" t="s">
        <v>2015</v>
      </c>
      <c r="H822" s="9" t="s">
        <v>13</v>
      </c>
      <c r="I822" s="9" t="s">
        <v>2030</v>
      </c>
    </row>
    <row r="823" customFormat="false" ht="15.75" hidden="false" customHeight="false" outlineLevel="0" collapsed="false">
      <c r="B823" s="7" t="n">
        <v>46212</v>
      </c>
      <c r="C823" s="3" t="s">
        <v>2031</v>
      </c>
      <c r="D823" s="3" t="s">
        <v>976</v>
      </c>
      <c r="E823" s="3" t="s">
        <v>1796</v>
      </c>
      <c r="F823" s="3" t="s">
        <v>1994</v>
      </c>
      <c r="G823" s="10" t="s">
        <v>2015</v>
      </c>
      <c r="H823" s="9" t="s">
        <v>13</v>
      </c>
      <c r="I823" s="9" t="s">
        <v>2030</v>
      </c>
    </row>
    <row r="824" customFormat="false" ht="15.75" hidden="false" customHeight="false" outlineLevel="0" collapsed="false">
      <c r="B824" s="7" t="n">
        <v>46212</v>
      </c>
      <c r="C824" s="3" t="s">
        <v>2032</v>
      </c>
      <c r="D824" s="3" t="s">
        <v>976</v>
      </c>
      <c r="E824" s="3" t="s">
        <v>1796</v>
      </c>
      <c r="F824" s="3" t="s">
        <v>1994</v>
      </c>
      <c r="G824" s="10" t="s">
        <v>2015</v>
      </c>
      <c r="H824" s="9" t="s">
        <v>13</v>
      </c>
      <c r="I824" s="9" t="s">
        <v>2033</v>
      </c>
    </row>
    <row r="825" customFormat="false" ht="15.75" hidden="false" customHeight="false" outlineLevel="0" collapsed="false">
      <c r="B825" s="7" t="n">
        <v>46212</v>
      </c>
      <c r="C825" s="3" t="s">
        <v>2034</v>
      </c>
      <c r="D825" s="3" t="s">
        <v>976</v>
      </c>
      <c r="E825" s="3" t="s">
        <v>1796</v>
      </c>
      <c r="F825" s="3" t="s">
        <v>1994</v>
      </c>
      <c r="G825" s="10" t="s">
        <v>2015</v>
      </c>
      <c r="H825" s="9" t="s">
        <v>13</v>
      </c>
      <c r="I825" s="9" t="s">
        <v>2033</v>
      </c>
    </row>
    <row r="826" customFormat="false" ht="15.75" hidden="false" customHeight="false" outlineLevel="0" collapsed="false">
      <c r="B826" s="7" t="n">
        <v>46212</v>
      </c>
      <c r="C826" s="3" t="s">
        <v>2035</v>
      </c>
      <c r="D826" s="3" t="s">
        <v>976</v>
      </c>
      <c r="E826" s="3" t="s">
        <v>1796</v>
      </c>
      <c r="F826" s="3" t="s">
        <v>1994</v>
      </c>
      <c r="G826" s="10" t="s">
        <v>2015</v>
      </c>
      <c r="H826" s="9" t="s">
        <v>13</v>
      </c>
      <c r="I826" s="9" t="s">
        <v>2036</v>
      </c>
    </row>
    <row r="827" customFormat="false" ht="15.75" hidden="false" customHeight="false" outlineLevel="0" collapsed="false">
      <c r="B827" s="7" t="n">
        <v>46212</v>
      </c>
      <c r="C827" s="3" t="s">
        <v>2037</v>
      </c>
      <c r="D827" s="3" t="s">
        <v>976</v>
      </c>
      <c r="E827" s="3" t="s">
        <v>1796</v>
      </c>
      <c r="F827" s="3" t="s">
        <v>1994</v>
      </c>
      <c r="G827" s="10" t="s">
        <v>2038</v>
      </c>
      <c r="H827" s="9" t="s">
        <v>13</v>
      </c>
      <c r="I827" s="9" t="s">
        <v>2039</v>
      </c>
    </row>
    <row r="828" customFormat="false" ht="15.75" hidden="false" customHeight="false" outlineLevel="0" collapsed="false">
      <c r="B828" s="7" t="n">
        <v>46212</v>
      </c>
      <c r="C828" s="3" t="s">
        <v>2040</v>
      </c>
      <c r="D828" s="3" t="s">
        <v>976</v>
      </c>
      <c r="E828" s="3" t="s">
        <v>1796</v>
      </c>
      <c r="F828" s="3" t="s">
        <v>1994</v>
      </c>
      <c r="G828" s="10" t="s">
        <v>2038</v>
      </c>
      <c r="H828" s="9" t="s">
        <v>13</v>
      </c>
      <c r="I828" s="9" t="s">
        <v>2039</v>
      </c>
    </row>
    <row r="829" customFormat="false" ht="15.75" hidden="false" customHeight="false" outlineLevel="0" collapsed="false">
      <c r="B829" s="7" t="n">
        <v>46212</v>
      </c>
      <c r="C829" s="3" t="s">
        <v>2041</v>
      </c>
      <c r="D829" s="3" t="s">
        <v>976</v>
      </c>
      <c r="E829" s="3" t="s">
        <v>1796</v>
      </c>
      <c r="F829" s="3" t="s">
        <v>1994</v>
      </c>
      <c r="G829" s="8" t="s">
        <v>2042</v>
      </c>
      <c r="H829" s="9" t="s">
        <v>13</v>
      </c>
      <c r="I829" s="9" t="s">
        <v>2043</v>
      </c>
    </row>
    <row r="830" customFormat="false" ht="15.75" hidden="false" customHeight="false" outlineLevel="0" collapsed="false">
      <c r="B830" s="7" t="n">
        <v>46212</v>
      </c>
      <c r="C830" s="3" t="s">
        <v>2044</v>
      </c>
      <c r="D830" s="3" t="s">
        <v>976</v>
      </c>
      <c r="E830" s="3" t="s">
        <v>1796</v>
      </c>
      <c r="F830" s="3" t="s">
        <v>1994</v>
      </c>
      <c r="G830" s="10" t="s">
        <v>2045</v>
      </c>
      <c r="H830" s="9" t="s">
        <v>13</v>
      </c>
      <c r="I830" s="9" t="s">
        <v>2046</v>
      </c>
    </row>
    <row r="831" customFormat="false" ht="15.75" hidden="false" customHeight="false" outlineLevel="0" collapsed="false">
      <c r="B831" s="7" t="n">
        <v>46212</v>
      </c>
      <c r="C831" s="3" t="s">
        <v>2047</v>
      </c>
      <c r="D831" s="3" t="s">
        <v>976</v>
      </c>
      <c r="E831" s="3" t="s">
        <v>1796</v>
      </c>
      <c r="F831" s="3" t="s">
        <v>1994</v>
      </c>
      <c r="G831" s="10" t="s">
        <v>2045</v>
      </c>
      <c r="H831" s="9" t="s">
        <v>13</v>
      </c>
      <c r="I831" s="9" t="s">
        <v>2046</v>
      </c>
    </row>
    <row r="832" customFormat="false" ht="15.75" hidden="false" customHeight="false" outlineLevel="0" collapsed="false">
      <c r="B832" s="7" t="n">
        <v>46212</v>
      </c>
      <c r="C832" s="3" t="s">
        <v>2048</v>
      </c>
      <c r="D832" s="3" t="s">
        <v>976</v>
      </c>
      <c r="E832" s="3" t="s">
        <v>1796</v>
      </c>
      <c r="F832" s="3" t="s">
        <v>1994</v>
      </c>
      <c r="G832" s="10" t="s">
        <v>2049</v>
      </c>
      <c r="H832" s="9" t="s">
        <v>13</v>
      </c>
      <c r="I832" s="9" t="s">
        <v>2050</v>
      </c>
    </row>
    <row r="833" customFormat="false" ht="15.75" hidden="false" customHeight="false" outlineLevel="0" collapsed="false">
      <c r="B833" s="7" t="n">
        <v>46212</v>
      </c>
      <c r="C833" s="3" t="s">
        <v>2051</v>
      </c>
      <c r="D833" s="3" t="s">
        <v>976</v>
      </c>
      <c r="E833" s="3" t="s">
        <v>1796</v>
      </c>
      <c r="F833" s="3" t="s">
        <v>1994</v>
      </c>
      <c r="G833" s="10" t="s">
        <v>2049</v>
      </c>
      <c r="H833" s="9" t="s">
        <v>13</v>
      </c>
      <c r="I833" s="9" t="s">
        <v>2050</v>
      </c>
    </row>
    <row r="834" customFormat="false" ht="15.75" hidden="false" customHeight="false" outlineLevel="0" collapsed="false">
      <c r="B834" s="7" t="n">
        <v>46212</v>
      </c>
      <c r="C834" s="3" t="s">
        <v>2052</v>
      </c>
      <c r="D834" s="3" t="s">
        <v>976</v>
      </c>
      <c r="E834" s="3" t="s">
        <v>1796</v>
      </c>
      <c r="F834" s="3" t="s">
        <v>1994</v>
      </c>
      <c r="G834" s="8" t="s">
        <v>1701</v>
      </c>
      <c r="H834" s="9" t="s">
        <v>13</v>
      </c>
      <c r="I834" s="9" t="s">
        <v>2053</v>
      </c>
    </row>
    <row r="835" customFormat="false" ht="15.75" hidden="false" customHeight="false" outlineLevel="0" collapsed="false">
      <c r="B835" s="7" t="n">
        <v>46212</v>
      </c>
      <c r="C835" s="3" t="s">
        <v>2054</v>
      </c>
      <c r="D835" s="3" t="s">
        <v>976</v>
      </c>
      <c r="E835" s="3" t="s">
        <v>1796</v>
      </c>
      <c r="F835" s="3" t="s">
        <v>1994</v>
      </c>
      <c r="G835" s="10" t="s">
        <v>2055</v>
      </c>
      <c r="H835" s="9" t="s">
        <v>13</v>
      </c>
      <c r="I835" s="9" t="s">
        <v>2056</v>
      </c>
    </row>
    <row r="836" customFormat="false" ht="15.75" hidden="false" customHeight="false" outlineLevel="0" collapsed="false">
      <c r="B836" s="7" t="n">
        <v>46212</v>
      </c>
      <c r="C836" s="3" t="s">
        <v>2057</v>
      </c>
      <c r="D836" s="3" t="s">
        <v>976</v>
      </c>
      <c r="E836" s="3" t="s">
        <v>1796</v>
      </c>
      <c r="F836" s="3" t="s">
        <v>1994</v>
      </c>
      <c r="G836" s="8" t="s">
        <v>2058</v>
      </c>
      <c r="H836" s="9" t="s">
        <v>13</v>
      </c>
      <c r="I836" s="9" t="s">
        <v>2059</v>
      </c>
    </row>
    <row r="837" customFormat="false" ht="15.75" hidden="false" customHeight="false" outlineLevel="0" collapsed="false">
      <c r="B837" s="7" t="n">
        <v>46212</v>
      </c>
      <c r="C837" s="3" t="s">
        <v>2060</v>
      </c>
      <c r="D837" s="3" t="s">
        <v>976</v>
      </c>
      <c r="E837" s="3" t="s">
        <v>1796</v>
      </c>
      <c r="F837" s="3" t="s">
        <v>1994</v>
      </c>
      <c r="G837" s="10" t="s">
        <v>2061</v>
      </c>
      <c r="H837" s="9" t="s">
        <v>13</v>
      </c>
      <c r="I837" s="9" t="s">
        <v>2062</v>
      </c>
    </row>
    <row r="838" customFormat="false" ht="15.75" hidden="false" customHeight="false" outlineLevel="0" collapsed="false">
      <c r="B838" s="7" t="n">
        <v>46212</v>
      </c>
      <c r="C838" s="3" t="s">
        <v>2063</v>
      </c>
      <c r="D838" s="3" t="s">
        <v>976</v>
      </c>
      <c r="E838" s="3" t="s">
        <v>1796</v>
      </c>
      <c r="F838" s="3" t="s">
        <v>1994</v>
      </c>
      <c r="G838" s="10" t="s">
        <v>2061</v>
      </c>
      <c r="H838" s="9" t="s">
        <v>13</v>
      </c>
      <c r="I838" s="9" t="s">
        <v>2064</v>
      </c>
    </row>
    <row r="839" customFormat="false" ht="15.75" hidden="false" customHeight="false" outlineLevel="0" collapsed="false">
      <c r="B839" s="7" t="n">
        <v>46212</v>
      </c>
      <c r="C839" s="3" t="s">
        <v>2065</v>
      </c>
      <c r="D839" s="3" t="s">
        <v>976</v>
      </c>
      <c r="E839" s="3" t="s">
        <v>1796</v>
      </c>
      <c r="F839" s="3" t="s">
        <v>1994</v>
      </c>
      <c r="G839" s="10" t="s">
        <v>2066</v>
      </c>
      <c r="H839" s="9" t="s">
        <v>13</v>
      </c>
      <c r="I839" s="9" t="s">
        <v>2067</v>
      </c>
    </row>
    <row r="840" customFormat="false" ht="15.75" hidden="false" customHeight="false" outlineLevel="0" collapsed="false">
      <c r="B840" s="7" t="n">
        <v>46212</v>
      </c>
      <c r="C840" s="3" t="s">
        <v>2068</v>
      </c>
      <c r="D840" s="3" t="s">
        <v>976</v>
      </c>
      <c r="E840" s="3" t="s">
        <v>1796</v>
      </c>
      <c r="F840" s="3" t="s">
        <v>1994</v>
      </c>
      <c r="G840" s="10" t="s">
        <v>2069</v>
      </c>
      <c r="H840" s="9" t="s">
        <v>13</v>
      </c>
      <c r="I840" s="9" t="s">
        <v>2070</v>
      </c>
    </row>
    <row r="841" customFormat="false" ht="15.75" hidden="false" customHeight="false" outlineLevel="0" collapsed="false">
      <c r="B841" s="7" t="n">
        <v>46212</v>
      </c>
      <c r="C841" s="3" t="s">
        <v>2071</v>
      </c>
      <c r="D841" s="3" t="s">
        <v>976</v>
      </c>
      <c r="E841" s="3" t="s">
        <v>1796</v>
      </c>
      <c r="F841" s="3" t="s">
        <v>1994</v>
      </c>
      <c r="G841" s="10" t="s">
        <v>1806</v>
      </c>
      <c r="H841" s="9" t="s">
        <v>13</v>
      </c>
      <c r="I841" s="9" t="s">
        <v>2072</v>
      </c>
    </row>
    <row r="842" customFormat="false" ht="15.75" hidden="false" customHeight="false" outlineLevel="0" collapsed="false">
      <c r="B842" s="7" t="n">
        <v>46212</v>
      </c>
      <c r="C842" s="3" t="s">
        <v>2073</v>
      </c>
      <c r="D842" s="3" t="s">
        <v>976</v>
      </c>
      <c r="E842" s="3" t="s">
        <v>1796</v>
      </c>
      <c r="F842" s="3" t="s">
        <v>1994</v>
      </c>
      <c r="G842" s="10" t="s">
        <v>2074</v>
      </c>
      <c r="H842" s="9" t="s">
        <v>13</v>
      </c>
      <c r="I842" s="9" t="s">
        <v>2075</v>
      </c>
    </row>
    <row r="843" customFormat="false" ht="15.75" hidden="false" customHeight="false" outlineLevel="0" collapsed="false">
      <c r="B843" s="7" t="n">
        <v>46213</v>
      </c>
      <c r="C843" s="3" t="s">
        <v>2076</v>
      </c>
      <c r="D843" s="3" t="s">
        <v>2077</v>
      </c>
      <c r="E843" s="3" t="s">
        <v>2078</v>
      </c>
      <c r="F843" s="3" t="s">
        <v>2079</v>
      </c>
      <c r="G843" s="10" t="s">
        <v>2080</v>
      </c>
      <c r="H843" s="9" t="s">
        <v>13</v>
      </c>
      <c r="I843" s="9" t="s">
        <v>2081</v>
      </c>
    </row>
    <row r="844" customFormat="false" ht="15.75" hidden="false" customHeight="false" outlineLevel="0" collapsed="false">
      <c r="B844" s="7" t="n">
        <v>46213</v>
      </c>
      <c r="C844" s="3" t="s">
        <v>2082</v>
      </c>
      <c r="D844" s="3" t="s">
        <v>2077</v>
      </c>
      <c r="E844" s="3" t="s">
        <v>2078</v>
      </c>
      <c r="F844" s="3" t="s">
        <v>2079</v>
      </c>
      <c r="G844" s="10" t="s">
        <v>2083</v>
      </c>
      <c r="H844" s="9" t="s">
        <v>13</v>
      </c>
      <c r="I844" s="9" t="s">
        <v>2084</v>
      </c>
    </row>
    <row r="845" customFormat="false" ht="15.75" hidden="false" customHeight="false" outlineLevel="0" collapsed="false">
      <c r="B845" s="7" t="n">
        <v>46213</v>
      </c>
      <c r="C845" s="3" t="s">
        <v>2085</v>
      </c>
      <c r="D845" s="3" t="s">
        <v>2077</v>
      </c>
      <c r="E845" s="3" t="s">
        <v>2078</v>
      </c>
      <c r="F845" s="3" t="s">
        <v>2079</v>
      </c>
      <c r="G845" s="10" t="s">
        <v>2086</v>
      </c>
      <c r="H845" s="9" t="s">
        <v>13</v>
      </c>
      <c r="I845" s="9" t="s">
        <v>2087</v>
      </c>
    </row>
    <row r="846" customFormat="false" ht="15.75" hidden="false" customHeight="false" outlineLevel="0" collapsed="false">
      <c r="B846" s="7" t="n">
        <v>46213</v>
      </c>
      <c r="C846" s="3" t="s">
        <v>2088</v>
      </c>
      <c r="D846" s="3" t="s">
        <v>2077</v>
      </c>
      <c r="E846" s="3" t="s">
        <v>2078</v>
      </c>
      <c r="F846" s="3" t="s">
        <v>2079</v>
      </c>
      <c r="G846" s="10" t="s">
        <v>2086</v>
      </c>
      <c r="H846" s="9" t="s">
        <v>13</v>
      </c>
      <c r="I846" s="9" t="s">
        <v>2087</v>
      </c>
    </row>
    <row r="847" customFormat="false" ht="15.75" hidden="false" customHeight="false" outlineLevel="0" collapsed="false">
      <c r="B847" s="7" t="n">
        <v>46213</v>
      </c>
      <c r="C847" s="3" t="s">
        <v>2089</v>
      </c>
      <c r="D847" s="3" t="s">
        <v>2077</v>
      </c>
      <c r="E847" s="3" t="s">
        <v>2078</v>
      </c>
      <c r="F847" s="3" t="s">
        <v>2079</v>
      </c>
      <c r="G847" s="8" t="s">
        <v>2090</v>
      </c>
      <c r="H847" s="9" t="s">
        <v>13</v>
      </c>
      <c r="I847" s="9" t="s">
        <v>2091</v>
      </c>
    </row>
    <row r="848" customFormat="false" ht="15.75" hidden="false" customHeight="false" outlineLevel="0" collapsed="false">
      <c r="B848" s="7" t="n">
        <v>46213</v>
      </c>
      <c r="C848" s="3" t="s">
        <v>2092</v>
      </c>
      <c r="D848" s="3" t="s">
        <v>2077</v>
      </c>
      <c r="E848" s="3" t="s">
        <v>2078</v>
      </c>
      <c r="F848" s="3" t="s">
        <v>2079</v>
      </c>
      <c r="G848" s="10" t="s">
        <v>2093</v>
      </c>
      <c r="H848" s="9" t="s">
        <v>13</v>
      </c>
      <c r="I848" s="9" t="s">
        <v>2094</v>
      </c>
    </row>
    <row r="849" customFormat="false" ht="15.75" hidden="false" customHeight="false" outlineLevel="0" collapsed="false">
      <c r="B849" s="7" t="n">
        <v>46213</v>
      </c>
      <c r="C849" s="3" t="s">
        <v>2095</v>
      </c>
      <c r="D849" s="3" t="s">
        <v>2077</v>
      </c>
      <c r="E849" s="3" t="s">
        <v>2078</v>
      </c>
      <c r="F849" s="3" t="s">
        <v>2079</v>
      </c>
      <c r="G849" s="10" t="s">
        <v>2096</v>
      </c>
      <c r="H849" s="9" t="s">
        <v>13</v>
      </c>
      <c r="I849" s="9" t="s">
        <v>2097</v>
      </c>
    </row>
    <row r="850" customFormat="false" ht="15.75" hidden="false" customHeight="false" outlineLevel="0" collapsed="false">
      <c r="B850" s="7" t="n">
        <v>46213</v>
      </c>
      <c r="C850" s="3" t="s">
        <v>2098</v>
      </c>
      <c r="D850" s="3" t="s">
        <v>2077</v>
      </c>
      <c r="E850" s="3" t="s">
        <v>2078</v>
      </c>
      <c r="F850" s="3" t="s">
        <v>2079</v>
      </c>
      <c r="G850" s="10" t="s">
        <v>2099</v>
      </c>
      <c r="H850" s="9" t="s">
        <v>13</v>
      </c>
      <c r="I850" s="9" t="s">
        <v>2100</v>
      </c>
    </row>
    <row r="851" customFormat="false" ht="15.75" hidden="false" customHeight="false" outlineLevel="0" collapsed="false">
      <c r="B851" s="7" t="n">
        <v>46213</v>
      </c>
      <c r="C851" s="3" t="s">
        <v>2101</v>
      </c>
      <c r="D851" s="3" t="s">
        <v>2077</v>
      </c>
      <c r="E851" s="3" t="s">
        <v>2078</v>
      </c>
      <c r="F851" s="3" t="s">
        <v>2079</v>
      </c>
      <c r="G851" s="10" t="s">
        <v>2099</v>
      </c>
      <c r="H851" s="9" t="s">
        <v>13</v>
      </c>
      <c r="I851" s="9" t="s">
        <v>2100</v>
      </c>
    </row>
    <row r="852" customFormat="false" ht="15.75" hidden="false" customHeight="false" outlineLevel="0" collapsed="false">
      <c r="B852" s="7" t="n">
        <v>46213</v>
      </c>
      <c r="C852" s="3" t="s">
        <v>2102</v>
      </c>
      <c r="D852" s="3" t="s">
        <v>2077</v>
      </c>
      <c r="E852" s="3" t="s">
        <v>2078</v>
      </c>
      <c r="F852" s="3" t="s">
        <v>2079</v>
      </c>
      <c r="G852" s="8" t="s">
        <v>2103</v>
      </c>
      <c r="H852" s="9" t="s">
        <v>13</v>
      </c>
      <c r="I852" s="9" t="s">
        <v>2104</v>
      </c>
    </row>
    <row r="853" customFormat="false" ht="15.75" hidden="false" customHeight="false" outlineLevel="0" collapsed="false">
      <c r="B853" s="7" t="n">
        <v>46213</v>
      </c>
      <c r="C853" s="3" t="s">
        <v>2105</v>
      </c>
      <c r="D853" s="3" t="s">
        <v>2077</v>
      </c>
      <c r="E853" s="3" t="s">
        <v>2078</v>
      </c>
      <c r="F853" s="3" t="s">
        <v>2079</v>
      </c>
      <c r="G853" s="10" t="s">
        <v>2099</v>
      </c>
      <c r="H853" s="9" t="s">
        <v>13</v>
      </c>
      <c r="I853" s="9" t="s">
        <v>2106</v>
      </c>
    </row>
    <row r="854" customFormat="false" ht="15.75" hidden="false" customHeight="false" outlineLevel="0" collapsed="false">
      <c r="B854" s="7" t="n">
        <v>46213</v>
      </c>
      <c r="C854" s="3" t="s">
        <v>2107</v>
      </c>
      <c r="D854" s="3" t="s">
        <v>2077</v>
      </c>
      <c r="E854" s="3" t="s">
        <v>2078</v>
      </c>
      <c r="F854" s="3" t="s">
        <v>2079</v>
      </c>
      <c r="G854" s="10" t="s">
        <v>2099</v>
      </c>
      <c r="H854" s="9" t="s">
        <v>13</v>
      </c>
      <c r="I854" s="9" t="s">
        <v>2106</v>
      </c>
    </row>
    <row r="855" customFormat="false" ht="15.75" hidden="false" customHeight="false" outlineLevel="0" collapsed="false">
      <c r="B855" s="7" t="n">
        <v>46213</v>
      </c>
      <c r="C855" s="3" t="s">
        <v>2108</v>
      </c>
      <c r="D855" s="3" t="s">
        <v>2077</v>
      </c>
      <c r="E855" s="3" t="s">
        <v>2078</v>
      </c>
      <c r="F855" s="3" t="s">
        <v>2079</v>
      </c>
      <c r="G855" s="10" t="s">
        <v>2109</v>
      </c>
      <c r="H855" s="9" t="s">
        <v>13</v>
      </c>
      <c r="I855" s="9" t="s">
        <v>2110</v>
      </c>
    </row>
    <row r="856" customFormat="false" ht="15.75" hidden="false" customHeight="false" outlineLevel="0" collapsed="false">
      <c r="B856" s="7" t="n">
        <v>46213</v>
      </c>
      <c r="C856" s="3" t="s">
        <v>2111</v>
      </c>
      <c r="D856" s="3" t="s">
        <v>2077</v>
      </c>
      <c r="E856" s="3" t="s">
        <v>2078</v>
      </c>
      <c r="F856" s="3" t="s">
        <v>2079</v>
      </c>
      <c r="G856" s="10" t="s">
        <v>2112</v>
      </c>
      <c r="H856" s="9" t="s">
        <v>13</v>
      </c>
      <c r="I856" s="9" t="s">
        <v>2113</v>
      </c>
    </row>
    <row r="857" customFormat="false" ht="15.75" hidden="false" customHeight="false" outlineLevel="0" collapsed="false">
      <c r="B857" s="7" t="n">
        <v>46213</v>
      </c>
      <c r="C857" s="3" t="s">
        <v>2114</v>
      </c>
      <c r="D857" s="3" t="s">
        <v>2077</v>
      </c>
      <c r="E857" s="3" t="s">
        <v>2078</v>
      </c>
      <c r="F857" s="3" t="s">
        <v>2079</v>
      </c>
      <c r="G857" s="10" t="s">
        <v>2112</v>
      </c>
      <c r="H857" s="9" t="s">
        <v>13</v>
      </c>
      <c r="I857" s="9" t="s">
        <v>2113</v>
      </c>
    </row>
    <row r="858" customFormat="false" ht="15.75" hidden="false" customHeight="false" outlineLevel="0" collapsed="false">
      <c r="B858" s="7" t="n">
        <v>46213</v>
      </c>
      <c r="C858" s="3" t="s">
        <v>2115</v>
      </c>
      <c r="D858" s="3" t="s">
        <v>2077</v>
      </c>
      <c r="E858" s="3" t="s">
        <v>2078</v>
      </c>
      <c r="F858" s="3" t="s">
        <v>2079</v>
      </c>
      <c r="G858" s="10" t="s">
        <v>2116</v>
      </c>
      <c r="H858" s="9" t="s">
        <v>13</v>
      </c>
      <c r="I858" s="9" t="s">
        <v>2117</v>
      </c>
    </row>
    <row r="859" customFormat="false" ht="15.75" hidden="false" customHeight="false" outlineLevel="0" collapsed="false">
      <c r="B859" s="7" t="n">
        <v>46213</v>
      </c>
      <c r="C859" s="3" t="s">
        <v>2118</v>
      </c>
      <c r="D859" s="3" t="s">
        <v>2077</v>
      </c>
      <c r="E859" s="3" t="s">
        <v>2078</v>
      </c>
      <c r="F859" s="3" t="s">
        <v>2079</v>
      </c>
      <c r="G859" s="8" t="s">
        <v>2116</v>
      </c>
      <c r="H859" s="9" t="s">
        <v>13</v>
      </c>
      <c r="I859" s="9" t="s">
        <v>2119</v>
      </c>
    </row>
    <row r="860" customFormat="false" ht="15.75" hidden="false" customHeight="false" outlineLevel="0" collapsed="false">
      <c r="B860" s="7" t="n">
        <v>46213</v>
      </c>
      <c r="C860" s="3" t="s">
        <v>2120</v>
      </c>
      <c r="D860" s="3" t="s">
        <v>2077</v>
      </c>
      <c r="E860" s="3" t="s">
        <v>2078</v>
      </c>
      <c r="F860" s="3" t="s">
        <v>2079</v>
      </c>
      <c r="G860" s="10" t="s">
        <v>2121</v>
      </c>
      <c r="H860" s="9" t="s">
        <v>13</v>
      </c>
      <c r="I860" s="9" t="s">
        <v>2122</v>
      </c>
    </row>
    <row r="861" customFormat="false" ht="15.75" hidden="false" customHeight="false" outlineLevel="0" collapsed="false">
      <c r="B861" s="7" t="n">
        <v>46213</v>
      </c>
      <c r="C861" s="3" t="s">
        <v>2123</v>
      </c>
      <c r="D861" s="3" t="s">
        <v>2077</v>
      </c>
      <c r="E861" s="3" t="s">
        <v>2078</v>
      </c>
      <c r="F861" s="3" t="s">
        <v>2079</v>
      </c>
      <c r="G861" s="10" t="s">
        <v>2121</v>
      </c>
      <c r="H861" s="9" t="s">
        <v>13</v>
      </c>
      <c r="I861" s="9" t="s">
        <v>2122</v>
      </c>
    </row>
    <row r="862" customFormat="false" ht="15.75" hidden="false" customHeight="false" outlineLevel="0" collapsed="false">
      <c r="B862" s="7" t="n">
        <v>46213</v>
      </c>
      <c r="C862" s="3" t="s">
        <v>2124</v>
      </c>
      <c r="D862" s="3" t="s">
        <v>2077</v>
      </c>
      <c r="E862" s="3" t="s">
        <v>2078</v>
      </c>
      <c r="F862" s="3" t="s">
        <v>2079</v>
      </c>
      <c r="G862" s="8" t="s">
        <v>2125</v>
      </c>
      <c r="H862" s="9" t="s">
        <v>13</v>
      </c>
      <c r="I862" s="9" t="s">
        <v>2126</v>
      </c>
    </row>
    <row r="863" customFormat="false" ht="15.75" hidden="false" customHeight="false" outlineLevel="0" collapsed="false">
      <c r="B863" s="7" t="n">
        <v>46213</v>
      </c>
      <c r="C863" s="3" t="s">
        <v>2127</v>
      </c>
      <c r="D863" s="3" t="s">
        <v>2077</v>
      </c>
      <c r="E863" s="3" t="s">
        <v>2078</v>
      </c>
      <c r="F863" s="3" t="s">
        <v>2079</v>
      </c>
      <c r="G863" s="8" t="s">
        <v>2128</v>
      </c>
      <c r="H863" s="9" t="s">
        <v>13</v>
      </c>
      <c r="I863" s="9" t="s">
        <v>2129</v>
      </c>
    </row>
    <row r="864" customFormat="false" ht="15.75" hidden="false" customHeight="false" outlineLevel="0" collapsed="false">
      <c r="B864" s="7" t="n">
        <v>46213</v>
      </c>
      <c r="C864" s="3" t="s">
        <v>2130</v>
      </c>
      <c r="D864" s="3" t="s">
        <v>2077</v>
      </c>
      <c r="E864" s="3" t="s">
        <v>2078</v>
      </c>
      <c r="F864" s="3" t="s">
        <v>2079</v>
      </c>
      <c r="G864" s="10" t="s">
        <v>2131</v>
      </c>
      <c r="H864" s="9" t="s">
        <v>13</v>
      </c>
      <c r="I864" s="9" t="s">
        <v>2132</v>
      </c>
    </row>
    <row r="865" customFormat="false" ht="15.75" hidden="false" customHeight="false" outlineLevel="0" collapsed="false">
      <c r="B865" s="7" t="n">
        <v>46213</v>
      </c>
      <c r="C865" s="3" t="s">
        <v>2133</v>
      </c>
      <c r="D865" s="3" t="s">
        <v>2077</v>
      </c>
      <c r="E865" s="3" t="s">
        <v>2078</v>
      </c>
      <c r="F865" s="3" t="s">
        <v>2079</v>
      </c>
      <c r="G865" s="8" t="s">
        <v>2134</v>
      </c>
      <c r="H865" s="9" t="s">
        <v>13</v>
      </c>
      <c r="I865" s="9" t="s">
        <v>2135</v>
      </c>
    </row>
    <row r="866" customFormat="false" ht="15.75" hidden="false" customHeight="false" outlineLevel="0" collapsed="false">
      <c r="B866" s="7" t="n">
        <v>46213</v>
      </c>
      <c r="C866" s="3" t="s">
        <v>2136</v>
      </c>
      <c r="D866" s="3" t="s">
        <v>2077</v>
      </c>
      <c r="E866" s="3" t="s">
        <v>2078</v>
      </c>
      <c r="F866" s="3" t="s">
        <v>2079</v>
      </c>
      <c r="G866" s="8" t="s">
        <v>2137</v>
      </c>
      <c r="H866" s="9" t="s">
        <v>13</v>
      </c>
      <c r="I866" s="9" t="s">
        <v>2138</v>
      </c>
    </row>
    <row r="867" customFormat="false" ht="15.75" hidden="false" customHeight="false" outlineLevel="0" collapsed="false">
      <c r="B867" s="7" t="n">
        <v>46213</v>
      </c>
      <c r="C867" s="3" t="s">
        <v>2139</v>
      </c>
      <c r="D867" s="3" t="s">
        <v>2077</v>
      </c>
      <c r="E867" s="3" t="s">
        <v>2078</v>
      </c>
      <c r="F867" s="3" t="s">
        <v>2079</v>
      </c>
      <c r="G867" s="8" t="s">
        <v>2134</v>
      </c>
      <c r="H867" s="9" t="s">
        <v>13</v>
      </c>
      <c r="I867" s="9" t="s">
        <v>2140</v>
      </c>
    </row>
    <row r="868" customFormat="false" ht="15.75" hidden="false" customHeight="false" outlineLevel="0" collapsed="false">
      <c r="B868" s="7" t="n">
        <v>46213</v>
      </c>
      <c r="C868" s="3" t="s">
        <v>2141</v>
      </c>
      <c r="D868" s="3" t="s">
        <v>2077</v>
      </c>
      <c r="E868" s="3" t="s">
        <v>2078</v>
      </c>
      <c r="F868" s="3" t="s">
        <v>2079</v>
      </c>
      <c r="G868" s="8" t="s">
        <v>2134</v>
      </c>
      <c r="H868" s="9" t="s">
        <v>13</v>
      </c>
      <c r="I868" s="9" t="s">
        <v>2142</v>
      </c>
    </row>
    <row r="869" customFormat="false" ht="15.75" hidden="false" customHeight="false" outlineLevel="0" collapsed="false">
      <c r="B869" s="7" t="n">
        <v>46213</v>
      </c>
      <c r="C869" s="3" t="s">
        <v>2143</v>
      </c>
      <c r="D869" s="3" t="s">
        <v>2077</v>
      </c>
      <c r="E869" s="3" t="s">
        <v>2078</v>
      </c>
      <c r="F869" s="3" t="s">
        <v>2079</v>
      </c>
      <c r="G869" s="10" t="s">
        <v>2144</v>
      </c>
      <c r="H869" s="9" t="s">
        <v>13</v>
      </c>
      <c r="I869" s="9" t="s">
        <v>2145</v>
      </c>
    </row>
    <row r="870" customFormat="false" ht="15.75" hidden="false" customHeight="false" outlineLevel="0" collapsed="false">
      <c r="B870" s="7" t="n">
        <v>46213</v>
      </c>
      <c r="C870" s="3" t="s">
        <v>2146</v>
      </c>
      <c r="D870" s="3" t="s">
        <v>2077</v>
      </c>
      <c r="E870" s="3" t="s">
        <v>2078</v>
      </c>
      <c r="F870" s="3" t="s">
        <v>2079</v>
      </c>
      <c r="G870" s="10" t="s">
        <v>2144</v>
      </c>
      <c r="H870" s="9" t="s">
        <v>13</v>
      </c>
      <c r="I870" s="9" t="s">
        <v>2147</v>
      </c>
    </row>
    <row r="871" customFormat="false" ht="15.75" hidden="false" customHeight="false" outlineLevel="0" collapsed="false">
      <c r="B871" s="7" t="n">
        <v>46213</v>
      </c>
      <c r="C871" s="3" t="s">
        <v>2148</v>
      </c>
      <c r="D871" s="3" t="s">
        <v>2077</v>
      </c>
      <c r="E871" s="3" t="s">
        <v>2078</v>
      </c>
      <c r="F871" s="3" t="s">
        <v>2079</v>
      </c>
      <c r="G871" s="8" t="s">
        <v>2134</v>
      </c>
      <c r="H871" s="9" t="s">
        <v>13</v>
      </c>
      <c r="I871" s="9" t="s">
        <v>2149</v>
      </c>
    </row>
    <row r="872" customFormat="false" ht="15.75" hidden="false" customHeight="false" outlineLevel="0" collapsed="false">
      <c r="B872" s="7" t="n">
        <v>46213</v>
      </c>
      <c r="C872" s="3" t="s">
        <v>2150</v>
      </c>
      <c r="D872" s="3" t="s">
        <v>2077</v>
      </c>
      <c r="E872" s="3" t="s">
        <v>2078</v>
      </c>
      <c r="F872" s="3" t="s">
        <v>2079</v>
      </c>
      <c r="G872" s="8" t="s">
        <v>2134</v>
      </c>
      <c r="H872" s="9" t="s">
        <v>13</v>
      </c>
      <c r="I872" s="9" t="s">
        <v>2149</v>
      </c>
    </row>
    <row r="873" customFormat="false" ht="15.75" hidden="false" customHeight="false" outlineLevel="0" collapsed="false">
      <c r="B873" s="7" t="n">
        <v>46213</v>
      </c>
      <c r="C873" s="3" t="s">
        <v>2151</v>
      </c>
      <c r="D873" s="3" t="s">
        <v>2077</v>
      </c>
      <c r="E873" s="3" t="s">
        <v>2078</v>
      </c>
      <c r="F873" s="3" t="s">
        <v>2079</v>
      </c>
      <c r="G873" s="10" t="s">
        <v>2152</v>
      </c>
      <c r="H873" s="9" t="s">
        <v>13</v>
      </c>
      <c r="I873" s="9" t="s">
        <v>2153</v>
      </c>
    </row>
    <row r="874" customFormat="false" ht="15.75" hidden="false" customHeight="false" outlineLevel="0" collapsed="false">
      <c r="B874" s="7" t="n">
        <v>46213</v>
      </c>
      <c r="C874" s="3" t="s">
        <v>2154</v>
      </c>
      <c r="D874" s="3" t="s">
        <v>2077</v>
      </c>
      <c r="E874" s="3" t="s">
        <v>2078</v>
      </c>
      <c r="F874" s="3" t="s">
        <v>2079</v>
      </c>
      <c r="G874" s="10" t="s">
        <v>2152</v>
      </c>
      <c r="H874" s="9" t="s">
        <v>13</v>
      </c>
      <c r="I874" s="9" t="s">
        <v>2153</v>
      </c>
    </row>
    <row r="875" customFormat="false" ht="15.75" hidden="false" customHeight="false" outlineLevel="0" collapsed="false">
      <c r="B875" s="7" t="n">
        <v>46213</v>
      </c>
      <c r="C875" s="3" t="s">
        <v>2155</v>
      </c>
      <c r="D875" s="3" t="s">
        <v>2077</v>
      </c>
      <c r="E875" s="3" t="s">
        <v>2078</v>
      </c>
      <c r="F875" s="3" t="s">
        <v>2079</v>
      </c>
      <c r="G875" s="10" t="s">
        <v>2152</v>
      </c>
      <c r="H875" s="9" t="s">
        <v>13</v>
      </c>
      <c r="I875" s="9" t="s">
        <v>2153</v>
      </c>
    </row>
    <row r="876" customFormat="false" ht="15.75" hidden="false" customHeight="false" outlineLevel="0" collapsed="false">
      <c r="B876" s="7" t="n">
        <v>46213</v>
      </c>
      <c r="C876" s="3" t="s">
        <v>2156</v>
      </c>
      <c r="D876" s="3" t="s">
        <v>2077</v>
      </c>
      <c r="E876" s="3" t="s">
        <v>2078</v>
      </c>
      <c r="F876" s="3" t="s">
        <v>2079</v>
      </c>
      <c r="G876" s="10" t="s">
        <v>2157</v>
      </c>
      <c r="H876" s="9" t="s">
        <v>13</v>
      </c>
      <c r="I876" s="9" t="s">
        <v>2158</v>
      </c>
    </row>
    <row r="877" customFormat="false" ht="15.75" hidden="false" customHeight="false" outlineLevel="0" collapsed="false">
      <c r="B877" s="7" t="n">
        <v>46213</v>
      </c>
      <c r="C877" s="3" t="s">
        <v>2159</v>
      </c>
      <c r="D877" s="3" t="s">
        <v>2077</v>
      </c>
      <c r="E877" s="3" t="s">
        <v>2078</v>
      </c>
      <c r="F877" s="3" t="s">
        <v>2079</v>
      </c>
      <c r="G877" s="10" t="s">
        <v>2157</v>
      </c>
      <c r="H877" s="9" t="s">
        <v>13</v>
      </c>
      <c r="I877" s="9" t="s">
        <v>2158</v>
      </c>
    </row>
    <row r="878" customFormat="false" ht="15.75" hidden="false" customHeight="false" outlineLevel="0" collapsed="false">
      <c r="B878" s="7" t="n">
        <v>46213</v>
      </c>
      <c r="C878" s="3" t="s">
        <v>2160</v>
      </c>
      <c r="D878" s="3" t="s">
        <v>2077</v>
      </c>
      <c r="E878" s="3" t="s">
        <v>2078</v>
      </c>
      <c r="F878" s="3" t="s">
        <v>2161</v>
      </c>
      <c r="G878" s="10" t="s">
        <v>2162</v>
      </c>
      <c r="H878" s="9" t="s">
        <v>13</v>
      </c>
      <c r="I878" s="9" t="s">
        <v>2163</v>
      </c>
    </row>
    <row r="879" customFormat="false" ht="15.75" hidden="false" customHeight="false" outlineLevel="0" collapsed="false">
      <c r="B879" s="7" t="n">
        <v>46213</v>
      </c>
      <c r="C879" s="3" t="s">
        <v>2164</v>
      </c>
      <c r="D879" s="3" t="s">
        <v>2077</v>
      </c>
      <c r="E879" s="3" t="s">
        <v>2078</v>
      </c>
      <c r="F879" s="3" t="s">
        <v>2161</v>
      </c>
      <c r="G879" s="8" t="s">
        <v>2165</v>
      </c>
      <c r="H879" s="9" t="s">
        <v>13</v>
      </c>
      <c r="I879" s="9" t="s">
        <v>2166</v>
      </c>
    </row>
    <row r="880" customFormat="false" ht="15.75" hidden="false" customHeight="false" outlineLevel="0" collapsed="false">
      <c r="B880" s="7" t="n">
        <v>46213</v>
      </c>
      <c r="C880" s="3" t="s">
        <v>2167</v>
      </c>
      <c r="D880" s="3" t="s">
        <v>2077</v>
      </c>
      <c r="E880" s="3" t="s">
        <v>2078</v>
      </c>
      <c r="F880" s="3" t="s">
        <v>2161</v>
      </c>
      <c r="G880" s="8" t="s">
        <v>2165</v>
      </c>
      <c r="H880" s="9" t="s">
        <v>13</v>
      </c>
      <c r="I880" s="9" t="s">
        <v>2166</v>
      </c>
    </row>
    <row r="881" customFormat="false" ht="15.75" hidden="false" customHeight="false" outlineLevel="0" collapsed="false">
      <c r="B881" s="7" t="n">
        <v>46213</v>
      </c>
      <c r="C881" s="3" t="s">
        <v>2168</v>
      </c>
      <c r="D881" s="3" t="s">
        <v>2077</v>
      </c>
      <c r="E881" s="3" t="s">
        <v>2078</v>
      </c>
      <c r="F881" s="3" t="s">
        <v>2161</v>
      </c>
      <c r="G881" s="8" t="s">
        <v>2169</v>
      </c>
      <c r="H881" s="9" t="s">
        <v>13</v>
      </c>
      <c r="I881" s="9" t="s">
        <v>2170</v>
      </c>
    </row>
    <row r="882" customFormat="false" ht="15.75" hidden="false" customHeight="false" outlineLevel="0" collapsed="false">
      <c r="B882" s="7" t="n">
        <v>46213</v>
      </c>
      <c r="C882" s="3" t="s">
        <v>2171</v>
      </c>
      <c r="D882" s="3" t="s">
        <v>2077</v>
      </c>
      <c r="E882" s="3" t="s">
        <v>2078</v>
      </c>
      <c r="F882" s="3" t="s">
        <v>2161</v>
      </c>
      <c r="G882" s="10" t="s">
        <v>2172</v>
      </c>
      <c r="H882" s="9" t="s">
        <v>13</v>
      </c>
      <c r="I882" s="9" t="s">
        <v>2173</v>
      </c>
    </row>
    <row r="883" customFormat="false" ht="15.75" hidden="false" customHeight="false" outlineLevel="0" collapsed="false">
      <c r="B883" s="7" t="n">
        <v>46213</v>
      </c>
      <c r="C883" s="3" t="s">
        <v>2174</v>
      </c>
      <c r="D883" s="3" t="s">
        <v>2077</v>
      </c>
      <c r="E883" s="3" t="s">
        <v>2078</v>
      </c>
      <c r="F883" s="3" t="s">
        <v>2161</v>
      </c>
      <c r="G883" s="8" t="s">
        <v>2175</v>
      </c>
      <c r="H883" s="9" t="s">
        <v>13</v>
      </c>
      <c r="I883" s="9" t="s">
        <v>2176</v>
      </c>
    </row>
    <row r="884" customFormat="false" ht="15.75" hidden="false" customHeight="false" outlineLevel="0" collapsed="false">
      <c r="B884" s="7" t="n">
        <v>46213</v>
      </c>
      <c r="C884" s="3" t="s">
        <v>2177</v>
      </c>
      <c r="D884" s="3" t="s">
        <v>2077</v>
      </c>
      <c r="E884" s="3" t="s">
        <v>2078</v>
      </c>
      <c r="F884" s="3" t="s">
        <v>2161</v>
      </c>
      <c r="G884" s="8" t="s">
        <v>2175</v>
      </c>
      <c r="H884" s="9" t="s">
        <v>13</v>
      </c>
      <c r="I884" s="9" t="s">
        <v>2176</v>
      </c>
    </row>
    <row r="885" customFormat="false" ht="15.75" hidden="false" customHeight="false" outlineLevel="0" collapsed="false">
      <c r="B885" s="7" t="n">
        <v>46213</v>
      </c>
      <c r="C885" s="3" t="s">
        <v>2178</v>
      </c>
      <c r="D885" s="3" t="s">
        <v>2077</v>
      </c>
      <c r="E885" s="3" t="s">
        <v>2078</v>
      </c>
      <c r="F885" s="3" t="s">
        <v>2161</v>
      </c>
      <c r="G885" s="8" t="s">
        <v>2179</v>
      </c>
      <c r="H885" s="9" t="s">
        <v>13</v>
      </c>
      <c r="I885" s="9" t="s">
        <v>2180</v>
      </c>
    </row>
    <row r="886" customFormat="false" ht="15.75" hidden="false" customHeight="false" outlineLevel="0" collapsed="false">
      <c r="B886" s="7" t="n">
        <v>46213</v>
      </c>
      <c r="C886" s="3" t="s">
        <v>2181</v>
      </c>
      <c r="D886" s="3" t="s">
        <v>2077</v>
      </c>
      <c r="E886" s="3" t="s">
        <v>2078</v>
      </c>
      <c r="F886" s="3" t="s">
        <v>2161</v>
      </c>
      <c r="G886" s="8" t="s">
        <v>2182</v>
      </c>
      <c r="H886" s="9" t="s">
        <v>13</v>
      </c>
      <c r="I886" s="9" t="s">
        <v>2183</v>
      </c>
    </row>
    <row r="887" customFormat="false" ht="15.75" hidden="false" customHeight="false" outlineLevel="0" collapsed="false">
      <c r="B887" s="7" t="n">
        <v>46213</v>
      </c>
      <c r="C887" s="3" t="s">
        <v>2184</v>
      </c>
      <c r="D887" s="3" t="s">
        <v>2077</v>
      </c>
      <c r="E887" s="3" t="s">
        <v>2078</v>
      </c>
      <c r="F887" s="3" t="s">
        <v>2161</v>
      </c>
      <c r="G887" s="10" t="s">
        <v>2185</v>
      </c>
      <c r="H887" s="9" t="s">
        <v>13</v>
      </c>
      <c r="I887" s="9" t="s">
        <v>2186</v>
      </c>
    </row>
    <row r="888" customFormat="false" ht="15.75" hidden="false" customHeight="false" outlineLevel="0" collapsed="false">
      <c r="B888" s="7" t="n">
        <v>46213</v>
      </c>
      <c r="C888" s="3" t="s">
        <v>2187</v>
      </c>
      <c r="D888" s="3" t="s">
        <v>2077</v>
      </c>
      <c r="E888" s="3" t="s">
        <v>2078</v>
      </c>
      <c r="F888" s="3" t="s">
        <v>2161</v>
      </c>
      <c r="G888" s="10" t="s">
        <v>2185</v>
      </c>
      <c r="H888" s="9" t="s">
        <v>13</v>
      </c>
      <c r="I888" s="9" t="s">
        <v>2186</v>
      </c>
    </row>
    <row r="889" customFormat="false" ht="15.75" hidden="false" customHeight="false" outlineLevel="0" collapsed="false">
      <c r="B889" s="7" t="n">
        <v>46213</v>
      </c>
      <c r="C889" s="3" t="s">
        <v>2188</v>
      </c>
      <c r="D889" s="3" t="s">
        <v>2077</v>
      </c>
      <c r="E889" s="3" t="s">
        <v>2078</v>
      </c>
      <c r="F889" s="3" t="s">
        <v>2161</v>
      </c>
      <c r="G889" s="8" t="s">
        <v>2189</v>
      </c>
      <c r="H889" s="9" t="s">
        <v>13</v>
      </c>
      <c r="I889" s="9" t="s">
        <v>2190</v>
      </c>
    </row>
    <row r="890" customFormat="false" ht="15.75" hidden="false" customHeight="false" outlineLevel="0" collapsed="false">
      <c r="B890" s="7" t="n">
        <v>46213</v>
      </c>
      <c r="C890" s="3" t="s">
        <v>2191</v>
      </c>
      <c r="D890" s="3" t="s">
        <v>2077</v>
      </c>
      <c r="E890" s="3" t="s">
        <v>2078</v>
      </c>
      <c r="F890" s="3" t="s">
        <v>2161</v>
      </c>
      <c r="G890" s="10" t="s">
        <v>2192</v>
      </c>
      <c r="H890" s="9" t="s">
        <v>13</v>
      </c>
      <c r="I890" s="9" t="s">
        <v>2193</v>
      </c>
    </row>
    <row r="891" customFormat="false" ht="15.75" hidden="false" customHeight="false" outlineLevel="0" collapsed="false">
      <c r="B891" s="7" t="n">
        <v>46213</v>
      </c>
      <c r="C891" s="3" t="s">
        <v>2194</v>
      </c>
      <c r="D891" s="3" t="s">
        <v>2077</v>
      </c>
      <c r="E891" s="3" t="s">
        <v>2078</v>
      </c>
      <c r="F891" s="3" t="s">
        <v>2161</v>
      </c>
      <c r="G891" s="10" t="s">
        <v>2192</v>
      </c>
      <c r="H891" s="9" t="s">
        <v>13</v>
      </c>
      <c r="I891" s="9" t="s">
        <v>2193</v>
      </c>
    </row>
    <row r="892" customFormat="false" ht="15.75" hidden="false" customHeight="false" outlineLevel="0" collapsed="false">
      <c r="B892" s="7" t="n">
        <v>46213</v>
      </c>
      <c r="C892" s="3" t="s">
        <v>2195</v>
      </c>
      <c r="D892" s="3" t="s">
        <v>2077</v>
      </c>
      <c r="E892" s="3" t="s">
        <v>2078</v>
      </c>
      <c r="F892" s="3" t="s">
        <v>2161</v>
      </c>
      <c r="G892" s="10" t="s">
        <v>2196</v>
      </c>
      <c r="H892" s="9" t="s">
        <v>13</v>
      </c>
      <c r="I892" s="9" t="s">
        <v>2197</v>
      </c>
    </row>
    <row r="893" customFormat="false" ht="15.75" hidden="false" customHeight="false" outlineLevel="0" collapsed="false">
      <c r="B893" s="7" t="n">
        <v>46213</v>
      </c>
      <c r="C893" s="3" t="s">
        <v>2198</v>
      </c>
      <c r="D893" s="3" t="s">
        <v>2077</v>
      </c>
      <c r="E893" s="3" t="s">
        <v>2078</v>
      </c>
      <c r="F893" s="3" t="s">
        <v>2161</v>
      </c>
      <c r="G893" s="10" t="s">
        <v>2196</v>
      </c>
      <c r="H893" s="9" t="s">
        <v>13</v>
      </c>
      <c r="I893" s="9" t="s">
        <v>2197</v>
      </c>
    </row>
    <row r="894" customFormat="false" ht="15.75" hidden="false" customHeight="false" outlineLevel="0" collapsed="false">
      <c r="B894" s="7" t="n">
        <v>46213</v>
      </c>
      <c r="C894" s="3" t="s">
        <v>2199</v>
      </c>
      <c r="D894" s="3" t="s">
        <v>2077</v>
      </c>
      <c r="E894" s="3" t="s">
        <v>2078</v>
      </c>
      <c r="F894" s="3" t="s">
        <v>2161</v>
      </c>
      <c r="G894" s="10" t="s">
        <v>2200</v>
      </c>
      <c r="H894" s="9" t="s">
        <v>13</v>
      </c>
      <c r="I894" s="9" t="s">
        <v>2201</v>
      </c>
    </row>
    <row r="895" customFormat="false" ht="15.75" hidden="false" customHeight="false" outlineLevel="0" collapsed="false">
      <c r="B895" s="7" t="n">
        <v>46213</v>
      </c>
      <c r="C895" s="3" t="s">
        <v>2202</v>
      </c>
      <c r="D895" s="3" t="s">
        <v>2077</v>
      </c>
      <c r="E895" s="3" t="s">
        <v>2078</v>
      </c>
      <c r="F895" s="3" t="s">
        <v>2161</v>
      </c>
      <c r="G895" s="8" t="s">
        <v>2175</v>
      </c>
      <c r="H895" s="9" t="s">
        <v>13</v>
      </c>
      <c r="I895" s="9" t="s">
        <v>2203</v>
      </c>
    </row>
    <row r="896" customFormat="false" ht="15.75" hidden="false" customHeight="false" outlineLevel="0" collapsed="false">
      <c r="B896" s="7" t="n">
        <v>46213</v>
      </c>
      <c r="C896" s="3" t="s">
        <v>2204</v>
      </c>
      <c r="D896" s="3" t="s">
        <v>2077</v>
      </c>
      <c r="E896" s="3" t="s">
        <v>2078</v>
      </c>
      <c r="F896" s="3" t="s">
        <v>2161</v>
      </c>
      <c r="G896" s="10" t="s">
        <v>2205</v>
      </c>
      <c r="H896" s="9" t="s">
        <v>13</v>
      </c>
      <c r="I896" s="9" t="s">
        <v>2206</v>
      </c>
    </row>
    <row r="897" customFormat="false" ht="15.75" hidden="false" customHeight="false" outlineLevel="0" collapsed="false">
      <c r="B897" s="7" t="n">
        <v>46213</v>
      </c>
      <c r="C897" s="3" t="s">
        <v>2207</v>
      </c>
      <c r="D897" s="3" t="s">
        <v>2077</v>
      </c>
      <c r="E897" s="3" t="s">
        <v>2078</v>
      </c>
      <c r="F897" s="3" t="s">
        <v>2161</v>
      </c>
      <c r="G897" s="10" t="s">
        <v>2208</v>
      </c>
      <c r="H897" s="9" t="s">
        <v>13</v>
      </c>
      <c r="I897" s="9" t="s">
        <v>2209</v>
      </c>
    </row>
    <row r="898" customFormat="false" ht="15.75" hidden="false" customHeight="false" outlineLevel="0" collapsed="false">
      <c r="B898" s="7" t="n">
        <v>46213</v>
      </c>
      <c r="C898" s="3" t="s">
        <v>2210</v>
      </c>
      <c r="D898" s="3" t="s">
        <v>2077</v>
      </c>
      <c r="E898" s="3" t="s">
        <v>2078</v>
      </c>
      <c r="F898" s="3" t="s">
        <v>2161</v>
      </c>
      <c r="G898" s="8" t="s">
        <v>2211</v>
      </c>
      <c r="H898" s="9" t="s">
        <v>13</v>
      </c>
      <c r="I898" s="9" t="s">
        <v>2212</v>
      </c>
    </row>
    <row r="899" customFormat="false" ht="15.75" hidden="false" customHeight="false" outlineLevel="0" collapsed="false">
      <c r="B899" s="7" t="n">
        <v>46213</v>
      </c>
      <c r="C899" s="3" t="s">
        <v>2213</v>
      </c>
      <c r="D899" s="3" t="s">
        <v>2077</v>
      </c>
      <c r="E899" s="3" t="s">
        <v>2078</v>
      </c>
      <c r="F899" s="3" t="s">
        <v>2161</v>
      </c>
      <c r="G899" s="8" t="s">
        <v>2211</v>
      </c>
      <c r="H899" s="9" t="s">
        <v>13</v>
      </c>
      <c r="I899" s="9" t="s">
        <v>2212</v>
      </c>
    </row>
    <row r="900" customFormat="false" ht="15.75" hidden="false" customHeight="false" outlineLevel="0" collapsed="false">
      <c r="B900" s="7" t="n">
        <v>46213</v>
      </c>
      <c r="C900" s="3" t="s">
        <v>2214</v>
      </c>
      <c r="D900" s="3" t="s">
        <v>2077</v>
      </c>
      <c r="E900" s="3" t="s">
        <v>2078</v>
      </c>
      <c r="F900" s="3" t="s">
        <v>2161</v>
      </c>
      <c r="G900" s="10" t="s">
        <v>2215</v>
      </c>
      <c r="H900" s="9" t="s">
        <v>13</v>
      </c>
      <c r="I900" s="9" t="s">
        <v>2216</v>
      </c>
    </row>
    <row r="901" customFormat="false" ht="15.75" hidden="false" customHeight="false" outlineLevel="0" collapsed="false">
      <c r="B901" s="7" t="n">
        <v>46213</v>
      </c>
      <c r="C901" s="3" t="s">
        <v>2217</v>
      </c>
      <c r="D901" s="3" t="s">
        <v>2077</v>
      </c>
      <c r="E901" s="3" t="s">
        <v>2078</v>
      </c>
      <c r="F901" s="3" t="s">
        <v>2161</v>
      </c>
      <c r="G901" s="10" t="s">
        <v>2218</v>
      </c>
      <c r="H901" s="9" t="s">
        <v>13</v>
      </c>
      <c r="I901" s="9" t="s">
        <v>2219</v>
      </c>
    </row>
    <row r="902" customFormat="false" ht="15.75" hidden="false" customHeight="false" outlineLevel="0" collapsed="false">
      <c r="B902" s="7" t="n">
        <v>46213</v>
      </c>
      <c r="C902" s="3" t="s">
        <v>2220</v>
      </c>
      <c r="D902" s="3" t="s">
        <v>2077</v>
      </c>
      <c r="E902" s="3" t="s">
        <v>2078</v>
      </c>
      <c r="F902" s="3" t="s">
        <v>2161</v>
      </c>
      <c r="G902" s="10" t="s">
        <v>2215</v>
      </c>
      <c r="H902" s="9" t="s">
        <v>13</v>
      </c>
      <c r="I902" s="9" t="s">
        <v>2221</v>
      </c>
    </row>
    <row r="903" customFormat="false" ht="15.75" hidden="false" customHeight="false" outlineLevel="0" collapsed="false">
      <c r="B903" s="7" t="n">
        <v>46213</v>
      </c>
      <c r="C903" s="3" t="s">
        <v>2222</v>
      </c>
      <c r="D903" s="3" t="s">
        <v>2077</v>
      </c>
      <c r="E903" s="3" t="s">
        <v>2078</v>
      </c>
      <c r="F903" s="3" t="s">
        <v>2161</v>
      </c>
      <c r="G903" s="10" t="s">
        <v>2223</v>
      </c>
      <c r="H903" s="9" t="s">
        <v>13</v>
      </c>
      <c r="I903" s="9" t="s">
        <v>2224</v>
      </c>
    </row>
    <row r="904" customFormat="false" ht="15.75" hidden="false" customHeight="false" outlineLevel="0" collapsed="false">
      <c r="B904" s="7" t="n">
        <v>46213</v>
      </c>
      <c r="C904" s="3" t="s">
        <v>2225</v>
      </c>
      <c r="D904" s="3" t="s">
        <v>2077</v>
      </c>
      <c r="E904" s="3" t="s">
        <v>2078</v>
      </c>
      <c r="F904" s="3" t="s">
        <v>2161</v>
      </c>
      <c r="G904" s="10" t="s">
        <v>2223</v>
      </c>
      <c r="H904" s="9" t="s">
        <v>13</v>
      </c>
      <c r="I904" s="9" t="s">
        <v>2224</v>
      </c>
    </row>
    <row r="905" customFormat="false" ht="15.75" hidden="false" customHeight="false" outlineLevel="0" collapsed="false">
      <c r="B905" s="7" t="n">
        <v>46213</v>
      </c>
      <c r="C905" s="3" t="s">
        <v>2226</v>
      </c>
      <c r="D905" s="3" t="s">
        <v>2077</v>
      </c>
      <c r="E905" s="3" t="s">
        <v>2078</v>
      </c>
      <c r="F905" s="3" t="s">
        <v>2161</v>
      </c>
      <c r="G905" s="8" t="s">
        <v>2227</v>
      </c>
      <c r="H905" s="9" t="s">
        <v>13</v>
      </c>
      <c r="I905" s="9" t="s">
        <v>2228</v>
      </c>
    </row>
    <row r="906" customFormat="false" ht="15.75" hidden="false" customHeight="false" outlineLevel="0" collapsed="false">
      <c r="B906" s="7" t="n">
        <v>46213</v>
      </c>
      <c r="C906" s="3" t="s">
        <v>2229</v>
      </c>
      <c r="D906" s="3" t="s">
        <v>2077</v>
      </c>
      <c r="E906" s="3" t="s">
        <v>2078</v>
      </c>
      <c r="F906" s="3" t="s">
        <v>2161</v>
      </c>
      <c r="G906" s="8" t="s">
        <v>2227</v>
      </c>
      <c r="H906" s="9" t="s">
        <v>13</v>
      </c>
      <c r="I906" s="9" t="s">
        <v>2228</v>
      </c>
    </row>
    <row r="907" customFormat="false" ht="15.75" hidden="false" customHeight="false" outlineLevel="0" collapsed="false">
      <c r="B907" s="7" t="n">
        <v>46213</v>
      </c>
      <c r="C907" s="3" t="s">
        <v>2230</v>
      </c>
      <c r="D907" s="3" t="s">
        <v>2077</v>
      </c>
      <c r="E907" s="3" t="s">
        <v>2078</v>
      </c>
      <c r="F907" s="3" t="s">
        <v>2161</v>
      </c>
      <c r="G907" s="8" t="s">
        <v>2231</v>
      </c>
      <c r="H907" s="9" t="s">
        <v>13</v>
      </c>
      <c r="I907" s="9" t="s">
        <v>2232</v>
      </c>
    </row>
    <row r="908" customFormat="false" ht="15.75" hidden="false" customHeight="false" outlineLevel="0" collapsed="false">
      <c r="B908" s="7" t="n">
        <v>46213</v>
      </c>
      <c r="C908" s="3" t="s">
        <v>2233</v>
      </c>
      <c r="D908" s="3" t="s">
        <v>2077</v>
      </c>
      <c r="E908" s="3" t="s">
        <v>2078</v>
      </c>
      <c r="F908" s="3" t="s">
        <v>2161</v>
      </c>
      <c r="G908" s="8" t="s">
        <v>2234</v>
      </c>
      <c r="H908" s="9" t="s">
        <v>13</v>
      </c>
      <c r="I908" s="9" t="s">
        <v>2235</v>
      </c>
    </row>
    <row r="909" customFormat="false" ht="15.75" hidden="false" customHeight="false" outlineLevel="0" collapsed="false">
      <c r="B909" s="7" t="n">
        <v>46213</v>
      </c>
      <c r="C909" s="3" t="s">
        <v>2236</v>
      </c>
      <c r="D909" s="3" t="s">
        <v>2077</v>
      </c>
      <c r="E909" s="3" t="s">
        <v>2078</v>
      </c>
      <c r="F909" s="3" t="s">
        <v>2161</v>
      </c>
      <c r="G909" s="10" t="s">
        <v>2237</v>
      </c>
      <c r="H909" s="9" t="s">
        <v>13</v>
      </c>
      <c r="I909" s="9" t="s">
        <v>2238</v>
      </c>
    </row>
    <row r="910" customFormat="false" ht="15.75" hidden="false" customHeight="false" outlineLevel="0" collapsed="false">
      <c r="B910" s="7" t="n">
        <v>46213</v>
      </c>
      <c r="C910" s="3" t="s">
        <v>2239</v>
      </c>
      <c r="D910" s="3" t="s">
        <v>2077</v>
      </c>
      <c r="E910" s="3" t="s">
        <v>2078</v>
      </c>
      <c r="F910" s="3" t="s">
        <v>2161</v>
      </c>
      <c r="G910" s="10" t="s">
        <v>2237</v>
      </c>
      <c r="H910" s="9" t="s">
        <v>13</v>
      </c>
      <c r="I910" s="9" t="s">
        <v>2238</v>
      </c>
    </row>
    <row r="911" customFormat="false" ht="15.75" hidden="false" customHeight="false" outlineLevel="0" collapsed="false">
      <c r="B911" s="7" t="n">
        <v>46213</v>
      </c>
      <c r="C911" s="3" t="s">
        <v>2240</v>
      </c>
      <c r="D911" s="3" t="s">
        <v>2077</v>
      </c>
      <c r="E911" s="3" t="s">
        <v>2078</v>
      </c>
      <c r="F911" s="3" t="s">
        <v>2161</v>
      </c>
      <c r="G911" s="10" t="s">
        <v>2237</v>
      </c>
      <c r="H911" s="9" t="s">
        <v>13</v>
      </c>
      <c r="I911" s="9" t="s">
        <v>2238</v>
      </c>
    </row>
    <row r="912" customFormat="false" ht="15.75" hidden="false" customHeight="false" outlineLevel="0" collapsed="false">
      <c r="B912" s="7" t="n">
        <v>46213</v>
      </c>
      <c r="C912" s="3" t="s">
        <v>2241</v>
      </c>
      <c r="D912" s="3" t="s">
        <v>2077</v>
      </c>
      <c r="E912" s="3" t="s">
        <v>2078</v>
      </c>
      <c r="F912" s="3" t="s">
        <v>2161</v>
      </c>
      <c r="G912" s="10" t="s">
        <v>2242</v>
      </c>
      <c r="H912" s="9" t="s">
        <v>13</v>
      </c>
      <c r="I912" s="9" t="s">
        <v>2243</v>
      </c>
    </row>
    <row r="913" customFormat="false" ht="15.75" hidden="false" customHeight="false" outlineLevel="0" collapsed="false">
      <c r="B913" s="7" t="n">
        <v>46213</v>
      </c>
      <c r="C913" s="3" t="s">
        <v>2244</v>
      </c>
      <c r="D913" s="3" t="s">
        <v>2077</v>
      </c>
      <c r="E913" s="3" t="s">
        <v>2078</v>
      </c>
      <c r="F913" s="3" t="s">
        <v>2245</v>
      </c>
      <c r="G913" s="8" t="s">
        <v>2246</v>
      </c>
      <c r="H913" s="9" t="s">
        <v>13</v>
      </c>
      <c r="I913" s="9" t="s">
        <v>2247</v>
      </c>
    </row>
    <row r="914" customFormat="false" ht="15.75" hidden="false" customHeight="false" outlineLevel="0" collapsed="false">
      <c r="B914" s="7" t="n">
        <v>46213</v>
      </c>
      <c r="C914" s="3" t="s">
        <v>2248</v>
      </c>
      <c r="D914" s="3" t="s">
        <v>2077</v>
      </c>
      <c r="E914" s="3" t="s">
        <v>2078</v>
      </c>
      <c r="F914" s="3" t="s">
        <v>2245</v>
      </c>
      <c r="G914" s="10" t="s">
        <v>2249</v>
      </c>
      <c r="H914" s="9" t="s">
        <v>13</v>
      </c>
      <c r="I914" s="9" t="s">
        <v>2250</v>
      </c>
    </row>
    <row r="915" customFormat="false" ht="15.75" hidden="false" customHeight="false" outlineLevel="0" collapsed="false">
      <c r="B915" s="7" t="n">
        <v>46213</v>
      </c>
      <c r="C915" s="3" t="s">
        <v>2251</v>
      </c>
      <c r="D915" s="3" t="s">
        <v>2077</v>
      </c>
      <c r="E915" s="3" t="s">
        <v>2078</v>
      </c>
      <c r="F915" s="3" t="s">
        <v>2245</v>
      </c>
      <c r="G915" s="10" t="s">
        <v>2249</v>
      </c>
      <c r="H915" s="9" t="s">
        <v>13</v>
      </c>
      <c r="I915" s="9" t="s">
        <v>2250</v>
      </c>
    </row>
    <row r="916" customFormat="false" ht="15.75" hidden="false" customHeight="false" outlineLevel="0" collapsed="false">
      <c r="B916" s="7" t="n">
        <v>46213</v>
      </c>
      <c r="C916" s="3" t="s">
        <v>2252</v>
      </c>
      <c r="D916" s="3" t="s">
        <v>2077</v>
      </c>
      <c r="E916" s="3" t="s">
        <v>2078</v>
      </c>
      <c r="F916" s="3" t="s">
        <v>2245</v>
      </c>
      <c r="G916" s="10" t="s">
        <v>2253</v>
      </c>
      <c r="H916" s="9" t="s">
        <v>13</v>
      </c>
      <c r="I916" s="9" t="s">
        <v>2254</v>
      </c>
    </row>
    <row r="917" customFormat="false" ht="15.75" hidden="false" customHeight="false" outlineLevel="0" collapsed="false">
      <c r="B917" s="7" t="n">
        <v>46213</v>
      </c>
      <c r="C917" s="3" t="s">
        <v>2255</v>
      </c>
      <c r="D917" s="3" t="s">
        <v>2077</v>
      </c>
      <c r="E917" s="3" t="s">
        <v>2078</v>
      </c>
      <c r="F917" s="3" t="s">
        <v>2245</v>
      </c>
      <c r="G917" s="10" t="s">
        <v>2253</v>
      </c>
      <c r="H917" s="9" t="s">
        <v>13</v>
      </c>
      <c r="I917" s="9" t="s">
        <v>2254</v>
      </c>
    </row>
    <row r="918" customFormat="false" ht="15.75" hidden="false" customHeight="false" outlineLevel="0" collapsed="false">
      <c r="B918" s="7" t="n">
        <v>46213</v>
      </c>
      <c r="C918" s="3" t="s">
        <v>2256</v>
      </c>
      <c r="D918" s="3" t="s">
        <v>2077</v>
      </c>
      <c r="E918" s="3" t="s">
        <v>2078</v>
      </c>
      <c r="F918" s="3" t="s">
        <v>2245</v>
      </c>
      <c r="G918" s="10" t="s">
        <v>2253</v>
      </c>
      <c r="H918" s="9" t="s">
        <v>13</v>
      </c>
      <c r="I918" s="9" t="s">
        <v>2254</v>
      </c>
    </row>
    <row r="919" customFormat="false" ht="15.75" hidden="false" customHeight="false" outlineLevel="0" collapsed="false">
      <c r="B919" s="7" t="n">
        <v>46213</v>
      </c>
      <c r="C919" s="3" t="s">
        <v>2257</v>
      </c>
      <c r="D919" s="3" t="s">
        <v>2077</v>
      </c>
      <c r="E919" s="3" t="s">
        <v>2078</v>
      </c>
      <c r="F919" s="3" t="s">
        <v>2245</v>
      </c>
      <c r="G919" s="10" t="s">
        <v>2258</v>
      </c>
      <c r="H919" s="9" t="s">
        <v>13</v>
      </c>
      <c r="I919" s="9" t="s">
        <v>2259</v>
      </c>
    </row>
    <row r="920" customFormat="false" ht="15.75" hidden="false" customHeight="false" outlineLevel="0" collapsed="false">
      <c r="B920" s="7" t="n">
        <v>46213</v>
      </c>
      <c r="C920" s="3" t="s">
        <v>2260</v>
      </c>
      <c r="D920" s="3" t="s">
        <v>2077</v>
      </c>
      <c r="E920" s="3" t="s">
        <v>2078</v>
      </c>
      <c r="F920" s="3" t="s">
        <v>2245</v>
      </c>
      <c r="G920" s="10" t="s">
        <v>2258</v>
      </c>
      <c r="H920" s="9" t="s">
        <v>13</v>
      </c>
      <c r="I920" s="9" t="s">
        <v>2261</v>
      </c>
    </row>
    <row r="921" customFormat="false" ht="15.75" hidden="false" customHeight="false" outlineLevel="0" collapsed="false">
      <c r="B921" s="7" t="n">
        <v>46213</v>
      </c>
      <c r="C921" s="3" t="s">
        <v>2262</v>
      </c>
      <c r="D921" s="3" t="s">
        <v>2077</v>
      </c>
      <c r="E921" s="3" t="s">
        <v>2078</v>
      </c>
      <c r="F921" s="3" t="s">
        <v>2245</v>
      </c>
      <c r="G921" s="10" t="s">
        <v>2215</v>
      </c>
      <c r="H921" s="9" t="s">
        <v>13</v>
      </c>
      <c r="I921" s="9" t="s">
        <v>2263</v>
      </c>
    </row>
    <row r="922" customFormat="false" ht="15.75" hidden="false" customHeight="false" outlineLevel="0" collapsed="false">
      <c r="B922" s="7" t="n">
        <v>46213</v>
      </c>
      <c r="C922" s="3" t="s">
        <v>2264</v>
      </c>
      <c r="D922" s="3" t="s">
        <v>2077</v>
      </c>
      <c r="E922" s="3" t="s">
        <v>2078</v>
      </c>
      <c r="F922" s="3" t="s">
        <v>2245</v>
      </c>
      <c r="G922" s="10" t="s">
        <v>2265</v>
      </c>
      <c r="H922" s="9" t="s">
        <v>13</v>
      </c>
      <c r="I922" s="9" t="s">
        <v>2266</v>
      </c>
    </row>
    <row r="923" customFormat="false" ht="15.75" hidden="false" customHeight="false" outlineLevel="0" collapsed="false">
      <c r="B923" s="7" t="n">
        <v>46213</v>
      </c>
      <c r="C923" s="3" t="s">
        <v>2267</v>
      </c>
      <c r="D923" s="3" t="s">
        <v>2077</v>
      </c>
      <c r="E923" s="3" t="s">
        <v>2078</v>
      </c>
      <c r="F923" s="3" t="s">
        <v>2245</v>
      </c>
      <c r="G923" s="10" t="s">
        <v>2265</v>
      </c>
      <c r="H923" s="9" t="s">
        <v>13</v>
      </c>
      <c r="I923" s="9" t="s">
        <v>2266</v>
      </c>
    </row>
    <row r="924" customFormat="false" ht="15.75" hidden="false" customHeight="false" outlineLevel="0" collapsed="false">
      <c r="B924" s="7" t="n">
        <v>46213</v>
      </c>
      <c r="C924" s="3" t="s">
        <v>2268</v>
      </c>
      <c r="D924" s="3" t="s">
        <v>2077</v>
      </c>
      <c r="E924" s="3" t="s">
        <v>2078</v>
      </c>
      <c r="F924" s="3" t="s">
        <v>2245</v>
      </c>
      <c r="G924" s="10" t="s">
        <v>2265</v>
      </c>
      <c r="H924" s="9" t="s">
        <v>13</v>
      </c>
      <c r="I924" s="9" t="s">
        <v>2266</v>
      </c>
    </row>
    <row r="925" customFormat="false" ht="15.75" hidden="false" customHeight="false" outlineLevel="0" collapsed="false">
      <c r="B925" s="7" t="n">
        <v>46213</v>
      </c>
      <c r="C925" s="3" t="s">
        <v>2269</v>
      </c>
      <c r="D925" s="3" t="s">
        <v>2077</v>
      </c>
      <c r="E925" s="3" t="s">
        <v>2078</v>
      </c>
      <c r="F925" s="3" t="s">
        <v>2245</v>
      </c>
      <c r="G925" s="10" t="s">
        <v>2270</v>
      </c>
      <c r="H925" s="9" t="s">
        <v>13</v>
      </c>
      <c r="I925" s="9" t="s">
        <v>2271</v>
      </c>
    </row>
    <row r="926" customFormat="false" ht="15.75" hidden="false" customHeight="false" outlineLevel="0" collapsed="false">
      <c r="B926" s="7" t="n">
        <v>46213</v>
      </c>
      <c r="C926" s="3" t="s">
        <v>2272</v>
      </c>
      <c r="D926" s="3" t="s">
        <v>2077</v>
      </c>
      <c r="E926" s="3" t="s">
        <v>2078</v>
      </c>
      <c r="F926" s="3" t="s">
        <v>2245</v>
      </c>
      <c r="G926" s="10" t="s">
        <v>2270</v>
      </c>
      <c r="H926" s="9" t="s">
        <v>13</v>
      </c>
      <c r="I926" s="9" t="s">
        <v>2271</v>
      </c>
    </row>
    <row r="927" customFormat="false" ht="15.75" hidden="false" customHeight="false" outlineLevel="0" collapsed="false">
      <c r="B927" s="7" t="n">
        <v>46213</v>
      </c>
      <c r="C927" s="3" t="s">
        <v>2273</v>
      </c>
      <c r="D927" s="3" t="s">
        <v>2077</v>
      </c>
      <c r="E927" s="3" t="s">
        <v>2078</v>
      </c>
      <c r="F927" s="3" t="s">
        <v>2245</v>
      </c>
      <c r="G927" s="10" t="s">
        <v>2274</v>
      </c>
      <c r="H927" s="9" t="s">
        <v>13</v>
      </c>
      <c r="I927" s="9" t="s">
        <v>2275</v>
      </c>
    </row>
    <row r="928" customFormat="false" ht="15.75" hidden="false" customHeight="false" outlineLevel="0" collapsed="false">
      <c r="B928" s="7" t="n">
        <v>46213</v>
      </c>
      <c r="C928" s="3" t="s">
        <v>2276</v>
      </c>
      <c r="D928" s="3" t="s">
        <v>2077</v>
      </c>
      <c r="E928" s="3" t="s">
        <v>2078</v>
      </c>
      <c r="F928" s="3" t="s">
        <v>2245</v>
      </c>
      <c r="G928" s="10" t="s">
        <v>2274</v>
      </c>
      <c r="H928" s="9" t="s">
        <v>13</v>
      </c>
      <c r="I928" s="9" t="s">
        <v>2275</v>
      </c>
    </row>
    <row r="929" customFormat="false" ht="15.75" hidden="false" customHeight="false" outlineLevel="0" collapsed="false">
      <c r="B929" s="7" t="n">
        <v>46213</v>
      </c>
      <c r="C929" s="3" t="s">
        <v>2277</v>
      </c>
      <c r="D929" s="3" t="s">
        <v>2077</v>
      </c>
      <c r="E929" s="3" t="s">
        <v>2078</v>
      </c>
      <c r="F929" s="3" t="s">
        <v>2245</v>
      </c>
      <c r="G929" s="10" t="s">
        <v>2278</v>
      </c>
      <c r="H929" s="9" t="s">
        <v>13</v>
      </c>
      <c r="I929" s="9" t="s">
        <v>2279</v>
      </c>
    </row>
    <row r="930" customFormat="false" ht="15.75" hidden="false" customHeight="false" outlineLevel="0" collapsed="false">
      <c r="B930" s="7" t="n">
        <v>46213</v>
      </c>
      <c r="C930" s="3" t="s">
        <v>2280</v>
      </c>
      <c r="D930" s="3" t="s">
        <v>2077</v>
      </c>
      <c r="E930" s="3" t="s">
        <v>2078</v>
      </c>
      <c r="F930" s="3" t="s">
        <v>2245</v>
      </c>
      <c r="G930" s="10" t="s">
        <v>2281</v>
      </c>
      <c r="H930" s="9" t="s">
        <v>13</v>
      </c>
      <c r="I930" s="9" t="s">
        <v>2282</v>
      </c>
    </row>
    <row r="931" customFormat="false" ht="15.75" hidden="false" customHeight="false" outlineLevel="0" collapsed="false">
      <c r="B931" s="7" t="n">
        <v>46213</v>
      </c>
      <c r="C931" s="3" t="s">
        <v>2283</v>
      </c>
      <c r="D931" s="3" t="s">
        <v>2077</v>
      </c>
      <c r="E931" s="3" t="s">
        <v>2078</v>
      </c>
      <c r="F931" s="3" t="s">
        <v>2245</v>
      </c>
      <c r="G931" s="10" t="s">
        <v>2284</v>
      </c>
      <c r="H931" s="9" t="s">
        <v>13</v>
      </c>
      <c r="I931" s="9" t="s">
        <v>2285</v>
      </c>
    </row>
    <row r="932" customFormat="false" ht="15.75" hidden="false" customHeight="false" outlineLevel="0" collapsed="false">
      <c r="B932" s="7" t="n">
        <v>46213</v>
      </c>
      <c r="C932" s="3" t="s">
        <v>2286</v>
      </c>
      <c r="D932" s="3" t="s">
        <v>2077</v>
      </c>
      <c r="E932" s="3" t="s">
        <v>2078</v>
      </c>
      <c r="F932" s="3" t="s">
        <v>2245</v>
      </c>
      <c r="G932" s="10" t="s">
        <v>1747</v>
      </c>
      <c r="H932" s="9" t="s">
        <v>13</v>
      </c>
      <c r="I932" s="9" t="s">
        <v>2287</v>
      </c>
    </row>
    <row r="933" customFormat="false" ht="15.75" hidden="false" customHeight="false" outlineLevel="0" collapsed="false">
      <c r="B933" s="7" t="n">
        <v>46213</v>
      </c>
      <c r="C933" s="3" t="s">
        <v>2288</v>
      </c>
      <c r="D933" s="3" t="s">
        <v>2077</v>
      </c>
      <c r="E933" s="3" t="s">
        <v>2078</v>
      </c>
      <c r="F933" s="3" t="s">
        <v>2245</v>
      </c>
      <c r="G933" s="8" t="s">
        <v>2289</v>
      </c>
      <c r="H933" s="9" t="s">
        <v>13</v>
      </c>
      <c r="I933" s="9" t="s">
        <v>2290</v>
      </c>
    </row>
    <row r="934" customFormat="false" ht="15.75" hidden="false" customHeight="false" outlineLevel="0" collapsed="false">
      <c r="B934" s="7" t="n">
        <v>46213</v>
      </c>
      <c r="C934" s="3" t="s">
        <v>2291</v>
      </c>
      <c r="D934" s="3" t="s">
        <v>2077</v>
      </c>
      <c r="E934" s="3" t="s">
        <v>2078</v>
      </c>
      <c r="F934" s="3" t="s">
        <v>2245</v>
      </c>
      <c r="G934" s="8" t="s">
        <v>2289</v>
      </c>
      <c r="H934" s="9" t="s">
        <v>13</v>
      </c>
      <c r="I934" s="9" t="s">
        <v>2290</v>
      </c>
    </row>
    <row r="935" customFormat="false" ht="15.75" hidden="false" customHeight="false" outlineLevel="0" collapsed="false">
      <c r="B935" s="7" t="n">
        <v>46213</v>
      </c>
      <c r="C935" s="3" t="s">
        <v>2292</v>
      </c>
      <c r="D935" s="3" t="s">
        <v>2077</v>
      </c>
      <c r="E935" s="3" t="s">
        <v>2078</v>
      </c>
      <c r="F935" s="3" t="s">
        <v>2245</v>
      </c>
      <c r="G935" s="8" t="s">
        <v>2289</v>
      </c>
      <c r="H935" s="9" t="s">
        <v>13</v>
      </c>
      <c r="I935" s="9" t="s">
        <v>2290</v>
      </c>
    </row>
    <row r="936" customFormat="false" ht="15.75" hidden="false" customHeight="false" outlineLevel="0" collapsed="false">
      <c r="B936" s="7" t="n">
        <v>46213</v>
      </c>
      <c r="C936" s="3" t="s">
        <v>2293</v>
      </c>
      <c r="D936" s="3" t="s">
        <v>2077</v>
      </c>
      <c r="E936" s="3" t="s">
        <v>2078</v>
      </c>
      <c r="F936" s="3" t="s">
        <v>2245</v>
      </c>
      <c r="G936" s="10" t="s">
        <v>2294</v>
      </c>
      <c r="H936" s="9" t="s">
        <v>13</v>
      </c>
      <c r="I936" s="9" t="s">
        <v>2295</v>
      </c>
    </row>
    <row r="937" customFormat="false" ht="15.75" hidden="false" customHeight="false" outlineLevel="0" collapsed="false">
      <c r="B937" s="7" t="n">
        <v>46213</v>
      </c>
      <c r="C937" s="3" t="s">
        <v>2296</v>
      </c>
      <c r="D937" s="3" t="s">
        <v>2077</v>
      </c>
      <c r="E937" s="3" t="s">
        <v>2078</v>
      </c>
      <c r="F937" s="3" t="s">
        <v>2245</v>
      </c>
      <c r="G937" s="10" t="s">
        <v>2294</v>
      </c>
      <c r="H937" s="9" t="s">
        <v>13</v>
      </c>
      <c r="I937" s="9" t="s">
        <v>2295</v>
      </c>
    </row>
    <row r="938" customFormat="false" ht="15.75" hidden="false" customHeight="false" outlineLevel="0" collapsed="false">
      <c r="B938" s="7" t="n">
        <v>46213</v>
      </c>
      <c r="C938" s="3" t="s">
        <v>2297</v>
      </c>
      <c r="D938" s="3" t="s">
        <v>2077</v>
      </c>
      <c r="E938" s="3" t="s">
        <v>2078</v>
      </c>
      <c r="F938" s="3" t="s">
        <v>2245</v>
      </c>
      <c r="G938" s="10" t="s">
        <v>2298</v>
      </c>
      <c r="H938" s="9" t="s">
        <v>13</v>
      </c>
      <c r="I938" s="9" t="s">
        <v>2299</v>
      </c>
    </row>
    <row r="939" customFormat="false" ht="15.75" hidden="false" customHeight="false" outlineLevel="0" collapsed="false">
      <c r="B939" s="7" t="n">
        <v>46213</v>
      </c>
      <c r="C939" s="3" t="s">
        <v>2300</v>
      </c>
      <c r="D939" s="3" t="s">
        <v>2077</v>
      </c>
      <c r="E939" s="3" t="s">
        <v>2078</v>
      </c>
      <c r="F939" s="3" t="s">
        <v>2245</v>
      </c>
      <c r="G939" s="10" t="s">
        <v>2298</v>
      </c>
      <c r="H939" s="9" t="s">
        <v>13</v>
      </c>
      <c r="I939" s="9" t="s">
        <v>2299</v>
      </c>
    </row>
    <row r="940" customFormat="false" ht="15.75" hidden="false" customHeight="false" outlineLevel="0" collapsed="false">
      <c r="B940" s="7" t="n">
        <v>46213</v>
      </c>
      <c r="C940" s="3" t="s">
        <v>2301</v>
      </c>
      <c r="D940" s="3" t="s">
        <v>2077</v>
      </c>
      <c r="E940" s="3" t="s">
        <v>2078</v>
      </c>
      <c r="F940" s="3" t="s">
        <v>2245</v>
      </c>
      <c r="G940" s="10" t="s">
        <v>2298</v>
      </c>
      <c r="H940" s="9" t="s">
        <v>13</v>
      </c>
      <c r="I940" s="9" t="s">
        <v>2299</v>
      </c>
    </row>
    <row r="941" customFormat="false" ht="15.75" hidden="false" customHeight="false" outlineLevel="0" collapsed="false">
      <c r="B941" s="7" t="n">
        <v>46213</v>
      </c>
      <c r="C941" s="3" t="s">
        <v>2302</v>
      </c>
      <c r="D941" s="3" t="s">
        <v>2077</v>
      </c>
      <c r="E941" s="3" t="s">
        <v>2078</v>
      </c>
      <c r="F941" s="3" t="s">
        <v>2245</v>
      </c>
      <c r="G941" s="10" t="s">
        <v>2303</v>
      </c>
      <c r="H941" s="9" t="s">
        <v>13</v>
      </c>
      <c r="I941" s="9" t="s">
        <v>2304</v>
      </c>
    </row>
    <row r="942" customFormat="false" ht="15.75" hidden="false" customHeight="false" outlineLevel="0" collapsed="false">
      <c r="B942" s="7" t="n">
        <v>46213</v>
      </c>
      <c r="C942" s="3" t="s">
        <v>2305</v>
      </c>
      <c r="D942" s="3" t="s">
        <v>2077</v>
      </c>
      <c r="E942" s="3" t="s">
        <v>2078</v>
      </c>
      <c r="F942" s="3" t="s">
        <v>2245</v>
      </c>
      <c r="G942" s="10" t="s">
        <v>2303</v>
      </c>
      <c r="H942" s="9" t="s">
        <v>13</v>
      </c>
      <c r="I942" s="9" t="s">
        <v>2304</v>
      </c>
    </row>
    <row r="943" customFormat="false" ht="15.75" hidden="false" customHeight="false" outlineLevel="0" collapsed="false">
      <c r="B943" s="7" t="n">
        <v>46213</v>
      </c>
      <c r="C943" s="3" t="s">
        <v>2306</v>
      </c>
      <c r="D943" s="3" t="s">
        <v>2077</v>
      </c>
      <c r="E943" s="3" t="s">
        <v>2078</v>
      </c>
      <c r="F943" s="3" t="s">
        <v>2245</v>
      </c>
      <c r="G943" s="10" t="s">
        <v>2303</v>
      </c>
      <c r="H943" s="9" t="s">
        <v>13</v>
      </c>
      <c r="I943" s="9" t="s">
        <v>2307</v>
      </c>
    </row>
    <row r="944" customFormat="false" ht="15.75" hidden="false" customHeight="false" outlineLevel="0" collapsed="false">
      <c r="B944" s="7" t="n">
        <v>46213</v>
      </c>
      <c r="C944" s="3" t="s">
        <v>2308</v>
      </c>
      <c r="D944" s="3" t="s">
        <v>2077</v>
      </c>
      <c r="E944" s="3" t="s">
        <v>2078</v>
      </c>
      <c r="F944" s="3" t="s">
        <v>2245</v>
      </c>
      <c r="G944" s="10" t="s">
        <v>2303</v>
      </c>
      <c r="H944" s="9" t="s">
        <v>13</v>
      </c>
      <c r="I944" s="9" t="s">
        <v>2307</v>
      </c>
    </row>
    <row r="945" customFormat="false" ht="15.75" hidden="false" customHeight="false" outlineLevel="0" collapsed="false">
      <c r="B945" s="7" t="n">
        <v>46213</v>
      </c>
      <c r="C945" s="3" t="s">
        <v>2309</v>
      </c>
      <c r="D945" s="3" t="s">
        <v>2077</v>
      </c>
      <c r="E945" s="3" t="s">
        <v>2078</v>
      </c>
      <c r="F945" s="3" t="s">
        <v>2245</v>
      </c>
      <c r="G945" s="10" t="s">
        <v>2258</v>
      </c>
      <c r="H945" s="9" t="s">
        <v>13</v>
      </c>
      <c r="I945" s="9" t="s">
        <v>2310</v>
      </c>
    </row>
    <row r="946" customFormat="false" ht="15.75" hidden="false" customHeight="false" outlineLevel="0" collapsed="false">
      <c r="B946" s="7" t="n">
        <v>46213</v>
      </c>
      <c r="C946" s="3" t="s">
        <v>2311</v>
      </c>
      <c r="D946" s="3" t="s">
        <v>2077</v>
      </c>
      <c r="E946" s="3" t="s">
        <v>2078</v>
      </c>
      <c r="F946" s="3" t="s">
        <v>2245</v>
      </c>
      <c r="G946" s="10" t="s">
        <v>2258</v>
      </c>
      <c r="H946" s="9" t="s">
        <v>13</v>
      </c>
      <c r="I946" s="9" t="s">
        <v>2310</v>
      </c>
    </row>
    <row r="947" customFormat="false" ht="15.75" hidden="false" customHeight="false" outlineLevel="0" collapsed="false">
      <c r="B947" s="7" t="n">
        <v>46213</v>
      </c>
      <c r="C947" s="3" t="s">
        <v>2312</v>
      </c>
      <c r="D947" s="3" t="s">
        <v>2077</v>
      </c>
      <c r="E947" s="3" t="s">
        <v>2078</v>
      </c>
      <c r="F947" s="3" t="s">
        <v>2245</v>
      </c>
      <c r="G947" s="10" t="s">
        <v>2258</v>
      </c>
      <c r="H947" s="9" t="s">
        <v>13</v>
      </c>
      <c r="I947" s="9" t="s">
        <v>2310</v>
      </c>
    </row>
    <row r="948" customFormat="false" ht="15.75" hidden="false" customHeight="false" outlineLevel="0" collapsed="false">
      <c r="B948" s="7" t="n">
        <v>46213</v>
      </c>
      <c r="C948" s="3" t="s">
        <v>2313</v>
      </c>
      <c r="D948" s="3" t="s">
        <v>2077</v>
      </c>
      <c r="E948" s="3" t="s">
        <v>2314</v>
      </c>
      <c r="F948" s="3" t="s">
        <v>2315</v>
      </c>
      <c r="G948" s="10" t="s">
        <v>2316</v>
      </c>
      <c r="H948" s="9" t="s">
        <v>13</v>
      </c>
      <c r="I948" s="9" t="s">
        <v>2317</v>
      </c>
    </row>
    <row r="949" customFormat="false" ht="15.75" hidden="false" customHeight="false" outlineLevel="0" collapsed="false">
      <c r="B949" s="7" t="n">
        <v>46213</v>
      </c>
      <c r="C949" s="3" t="s">
        <v>2318</v>
      </c>
      <c r="D949" s="3" t="s">
        <v>2077</v>
      </c>
      <c r="E949" s="3" t="s">
        <v>2314</v>
      </c>
      <c r="F949" s="3" t="s">
        <v>2315</v>
      </c>
      <c r="G949" s="10" t="s">
        <v>2316</v>
      </c>
      <c r="H949" s="9" t="s">
        <v>13</v>
      </c>
      <c r="I949" s="9" t="s">
        <v>2317</v>
      </c>
    </row>
    <row r="950" customFormat="false" ht="15.75" hidden="false" customHeight="false" outlineLevel="0" collapsed="false">
      <c r="B950" s="7" t="n">
        <v>46213</v>
      </c>
      <c r="C950" s="3" t="s">
        <v>2319</v>
      </c>
      <c r="D950" s="3" t="s">
        <v>2077</v>
      </c>
      <c r="E950" s="3" t="s">
        <v>2314</v>
      </c>
      <c r="F950" s="3" t="s">
        <v>2315</v>
      </c>
      <c r="G950" s="10" t="s">
        <v>2320</v>
      </c>
      <c r="H950" s="9" t="s">
        <v>13</v>
      </c>
      <c r="I950" s="9" t="s">
        <v>2321</v>
      </c>
    </row>
    <row r="951" customFormat="false" ht="15.75" hidden="false" customHeight="false" outlineLevel="0" collapsed="false">
      <c r="B951" s="7" t="n">
        <v>46213</v>
      </c>
      <c r="C951" s="3" t="s">
        <v>2322</v>
      </c>
      <c r="D951" s="3" t="s">
        <v>2077</v>
      </c>
      <c r="E951" s="3" t="s">
        <v>2314</v>
      </c>
      <c r="F951" s="3" t="s">
        <v>2315</v>
      </c>
      <c r="G951" s="10" t="s">
        <v>2323</v>
      </c>
      <c r="H951" s="9" t="s">
        <v>13</v>
      </c>
      <c r="I951" s="9" t="s">
        <v>2324</v>
      </c>
    </row>
    <row r="952" customFormat="false" ht="15.75" hidden="false" customHeight="false" outlineLevel="0" collapsed="false">
      <c r="B952" s="7" t="n">
        <v>46213</v>
      </c>
      <c r="C952" s="3" t="s">
        <v>2325</v>
      </c>
      <c r="D952" s="3" t="s">
        <v>2077</v>
      </c>
      <c r="E952" s="3" t="s">
        <v>2314</v>
      </c>
      <c r="F952" s="3" t="s">
        <v>2315</v>
      </c>
      <c r="G952" s="8" t="s">
        <v>2326</v>
      </c>
      <c r="H952" s="9" t="s">
        <v>13</v>
      </c>
      <c r="I952" s="9" t="s">
        <v>2327</v>
      </c>
    </row>
    <row r="953" customFormat="false" ht="15.75" hidden="false" customHeight="false" outlineLevel="0" collapsed="false">
      <c r="B953" s="7" t="n">
        <v>46213</v>
      </c>
      <c r="C953" s="3" t="s">
        <v>2328</v>
      </c>
      <c r="D953" s="3" t="s">
        <v>2077</v>
      </c>
      <c r="E953" s="3" t="s">
        <v>2314</v>
      </c>
      <c r="F953" s="3" t="s">
        <v>2315</v>
      </c>
      <c r="G953" s="8" t="s">
        <v>2326</v>
      </c>
      <c r="H953" s="9" t="s">
        <v>13</v>
      </c>
      <c r="I953" s="9" t="s">
        <v>2327</v>
      </c>
    </row>
    <row r="954" customFormat="false" ht="15.75" hidden="false" customHeight="false" outlineLevel="0" collapsed="false">
      <c r="B954" s="7" t="n">
        <v>46213</v>
      </c>
      <c r="C954" s="3" t="s">
        <v>2329</v>
      </c>
      <c r="D954" s="3" t="s">
        <v>2077</v>
      </c>
      <c r="E954" s="3" t="s">
        <v>2314</v>
      </c>
      <c r="F954" s="3" t="s">
        <v>2315</v>
      </c>
      <c r="G954" s="10" t="s">
        <v>2330</v>
      </c>
      <c r="H954" s="9" t="s">
        <v>13</v>
      </c>
      <c r="I954" s="9" t="s">
        <v>2331</v>
      </c>
    </row>
    <row r="955" customFormat="false" ht="15.75" hidden="false" customHeight="false" outlineLevel="0" collapsed="false">
      <c r="B955" s="7" t="n">
        <v>46213</v>
      </c>
      <c r="C955" s="3" t="s">
        <v>2332</v>
      </c>
      <c r="D955" s="3" t="s">
        <v>2077</v>
      </c>
      <c r="E955" s="3" t="s">
        <v>2314</v>
      </c>
      <c r="F955" s="3" t="s">
        <v>2315</v>
      </c>
      <c r="G955" s="8" t="s">
        <v>2333</v>
      </c>
      <c r="H955" s="9" t="s">
        <v>13</v>
      </c>
      <c r="I955" s="9" t="s">
        <v>2334</v>
      </c>
    </row>
    <row r="956" customFormat="false" ht="15.75" hidden="false" customHeight="false" outlineLevel="0" collapsed="false">
      <c r="B956" s="7" t="n">
        <v>46213</v>
      </c>
      <c r="C956" s="3" t="s">
        <v>2335</v>
      </c>
      <c r="D956" s="3" t="s">
        <v>2077</v>
      </c>
      <c r="E956" s="3" t="s">
        <v>2314</v>
      </c>
      <c r="F956" s="3" t="s">
        <v>2315</v>
      </c>
      <c r="G956" s="10" t="s">
        <v>2336</v>
      </c>
      <c r="H956" s="9" t="s">
        <v>13</v>
      </c>
      <c r="I956" s="9" t="s">
        <v>2337</v>
      </c>
    </row>
    <row r="957" customFormat="false" ht="15.75" hidden="false" customHeight="false" outlineLevel="0" collapsed="false">
      <c r="B957" s="7" t="n">
        <v>46213</v>
      </c>
      <c r="C957" s="3" t="s">
        <v>2338</v>
      </c>
      <c r="D957" s="3" t="s">
        <v>2077</v>
      </c>
      <c r="E957" s="3" t="s">
        <v>2314</v>
      </c>
      <c r="F957" s="3" t="s">
        <v>2315</v>
      </c>
      <c r="G957" s="8" t="s">
        <v>2339</v>
      </c>
      <c r="H957" s="9" t="s">
        <v>13</v>
      </c>
      <c r="I957" s="9" t="s">
        <v>2340</v>
      </c>
    </row>
    <row r="958" customFormat="false" ht="15.75" hidden="false" customHeight="false" outlineLevel="0" collapsed="false">
      <c r="B958" s="7" t="n">
        <v>46213</v>
      </c>
      <c r="C958" s="3" t="s">
        <v>2341</v>
      </c>
      <c r="D958" s="3" t="s">
        <v>2077</v>
      </c>
      <c r="E958" s="3" t="s">
        <v>2314</v>
      </c>
      <c r="F958" s="3" t="s">
        <v>2315</v>
      </c>
      <c r="G958" s="8" t="s">
        <v>2339</v>
      </c>
      <c r="H958" s="9" t="s">
        <v>13</v>
      </c>
      <c r="I958" s="9" t="s">
        <v>2340</v>
      </c>
    </row>
    <row r="959" customFormat="false" ht="15.75" hidden="false" customHeight="false" outlineLevel="0" collapsed="false">
      <c r="B959" s="7" t="n">
        <v>46213</v>
      </c>
      <c r="C959" s="3" t="s">
        <v>2342</v>
      </c>
      <c r="D959" s="3" t="s">
        <v>2077</v>
      </c>
      <c r="E959" s="3" t="s">
        <v>2314</v>
      </c>
      <c r="F959" s="3" t="s">
        <v>2315</v>
      </c>
      <c r="G959" s="10" t="s">
        <v>2343</v>
      </c>
      <c r="H959" s="9" t="s">
        <v>13</v>
      </c>
      <c r="I959" s="9" t="s">
        <v>2344</v>
      </c>
    </row>
    <row r="960" customFormat="false" ht="15.75" hidden="false" customHeight="false" outlineLevel="0" collapsed="false">
      <c r="B960" s="7" t="n">
        <v>46213</v>
      </c>
      <c r="C960" s="3" t="s">
        <v>2345</v>
      </c>
      <c r="D960" s="3" t="s">
        <v>2077</v>
      </c>
      <c r="E960" s="3" t="s">
        <v>2314</v>
      </c>
      <c r="F960" s="3" t="s">
        <v>2315</v>
      </c>
      <c r="G960" s="10" t="s">
        <v>2346</v>
      </c>
      <c r="H960" s="9" t="s">
        <v>13</v>
      </c>
      <c r="I960" s="9" t="s">
        <v>2347</v>
      </c>
    </row>
    <row r="961" customFormat="false" ht="15.75" hidden="false" customHeight="false" outlineLevel="0" collapsed="false">
      <c r="B961" s="7" t="n">
        <v>46213</v>
      </c>
      <c r="C961" s="3" t="s">
        <v>2348</v>
      </c>
      <c r="D961" s="3" t="s">
        <v>2077</v>
      </c>
      <c r="E961" s="3" t="s">
        <v>2314</v>
      </c>
      <c r="F961" s="3" t="s">
        <v>2315</v>
      </c>
      <c r="G961" s="10" t="s">
        <v>2346</v>
      </c>
      <c r="H961" s="9" t="s">
        <v>13</v>
      </c>
      <c r="I961" s="9" t="s">
        <v>2347</v>
      </c>
    </row>
    <row r="962" customFormat="false" ht="15.75" hidden="false" customHeight="false" outlineLevel="0" collapsed="false">
      <c r="B962" s="7" t="n">
        <v>46213</v>
      </c>
      <c r="C962" s="3" t="s">
        <v>2349</v>
      </c>
      <c r="D962" s="3" t="s">
        <v>2077</v>
      </c>
      <c r="E962" s="3" t="s">
        <v>2314</v>
      </c>
      <c r="F962" s="3" t="s">
        <v>2315</v>
      </c>
      <c r="G962" s="8" t="s">
        <v>2350</v>
      </c>
      <c r="H962" s="9" t="s">
        <v>13</v>
      </c>
      <c r="I962" s="9" t="s">
        <v>2351</v>
      </c>
    </row>
    <row r="963" customFormat="false" ht="15.75" hidden="false" customHeight="false" outlineLevel="0" collapsed="false">
      <c r="B963" s="7" t="n">
        <v>46213</v>
      </c>
      <c r="C963" s="3" t="s">
        <v>2352</v>
      </c>
      <c r="D963" s="3" t="s">
        <v>2077</v>
      </c>
      <c r="E963" s="3" t="s">
        <v>2314</v>
      </c>
      <c r="F963" s="3" t="s">
        <v>2315</v>
      </c>
      <c r="G963" s="8" t="s">
        <v>2350</v>
      </c>
      <c r="H963" s="9" t="s">
        <v>13</v>
      </c>
      <c r="I963" s="9" t="s">
        <v>2351</v>
      </c>
    </row>
    <row r="964" customFormat="false" ht="15.75" hidden="false" customHeight="false" outlineLevel="0" collapsed="false">
      <c r="B964" s="7" t="n">
        <v>46213</v>
      </c>
      <c r="C964" s="3" t="s">
        <v>2353</v>
      </c>
      <c r="D964" s="3" t="s">
        <v>2077</v>
      </c>
      <c r="E964" s="3" t="s">
        <v>2314</v>
      </c>
      <c r="F964" s="3" t="s">
        <v>2315</v>
      </c>
      <c r="G964" s="10" t="s">
        <v>2354</v>
      </c>
      <c r="H964" s="9" t="s">
        <v>13</v>
      </c>
      <c r="I964" s="9" t="s">
        <v>2355</v>
      </c>
    </row>
    <row r="965" customFormat="false" ht="15.75" hidden="false" customHeight="false" outlineLevel="0" collapsed="false">
      <c r="B965" s="7" t="n">
        <v>46213</v>
      </c>
      <c r="C965" s="3" t="s">
        <v>2356</v>
      </c>
      <c r="D965" s="3" t="s">
        <v>2077</v>
      </c>
      <c r="E965" s="3" t="s">
        <v>2314</v>
      </c>
      <c r="F965" s="3" t="s">
        <v>2315</v>
      </c>
      <c r="G965" s="10" t="s">
        <v>2357</v>
      </c>
      <c r="H965" s="9" t="s">
        <v>13</v>
      </c>
      <c r="I965" s="9" t="s">
        <v>2358</v>
      </c>
    </row>
    <row r="966" customFormat="false" ht="15.75" hidden="false" customHeight="false" outlineLevel="0" collapsed="false">
      <c r="B966" s="7" t="n">
        <v>46213</v>
      </c>
      <c r="C966" s="3" t="s">
        <v>2359</v>
      </c>
      <c r="D966" s="3" t="s">
        <v>2077</v>
      </c>
      <c r="E966" s="3" t="s">
        <v>2314</v>
      </c>
      <c r="F966" s="3" t="s">
        <v>2315</v>
      </c>
      <c r="G966" s="8" t="s">
        <v>2360</v>
      </c>
      <c r="H966" s="9" t="s">
        <v>13</v>
      </c>
      <c r="I966" s="9" t="s">
        <v>2361</v>
      </c>
    </row>
    <row r="967" customFormat="false" ht="15.75" hidden="false" customHeight="false" outlineLevel="0" collapsed="false">
      <c r="B967" s="7" t="n">
        <v>46213</v>
      </c>
      <c r="C967" s="3" t="s">
        <v>2362</v>
      </c>
      <c r="D967" s="3" t="s">
        <v>2077</v>
      </c>
      <c r="E967" s="3" t="s">
        <v>2314</v>
      </c>
      <c r="F967" s="3" t="s">
        <v>2315</v>
      </c>
      <c r="G967" s="10" t="s">
        <v>2363</v>
      </c>
      <c r="H967" s="9" t="s">
        <v>13</v>
      </c>
      <c r="I967" s="9" t="s">
        <v>2364</v>
      </c>
    </row>
    <row r="968" customFormat="false" ht="15.75" hidden="false" customHeight="false" outlineLevel="0" collapsed="false">
      <c r="B968" s="7" t="n">
        <v>46213</v>
      </c>
      <c r="C968" s="3" t="s">
        <v>2365</v>
      </c>
      <c r="D968" s="3" t="s">
        <v>2077</v>
      </c>
      <c r="E968" s="3" t="s">
        <v>2314</v>
      </c>
      <c r="F968" s="3" t="s">
        <v>2315</v>
      </c>
      <c r="G968" s="10" t="s">
        <v>2366</v>
      </c>
      <c r="H968" s="9" t="s">
        <v>13</v>
      </c>
      <c r="I968" s="9" t="s">
        <v>2367</v>
      </c>
    </row>
    <row r="969" customFormat="false" ht="15.75" hidden="false" customHeight="false" outlineLevel="0" collapsed="false">
      <c r="B969" s="7" t="n">
        <v>46213</v>
      </c>
      <c r="C969" s="3" t="s">
        <v>2368</v>
      </c>
      <c r="D969" s="3" t="s">
        <v>2077</v>
      </c>
      <c r="E969" s="3" t="s">
        <v>2314</v>
      </c>
      <c r="F969" s="3" t="s">
        <v>2315</v>
      </c>
      <c r="G969" s="8" t="s">
        <v>2116</v>
      </c>
      <c r="H969" s="9" t="s">
        <v>13</v>
      </c>
      <c r="I969" s="9" t="s">
        <v>2369</v>
      </c>
    </row>
    <row r="970" customFormat="false" ht="15.75" hidden="false" customHeight="false" outlineLevel="0" collapsed="false">
      <c r="B970" s="7" t="n">
        <v>46213</v>
      </c>
      <c r="C970" s="3" t="s">
        <v>2370</v>
      </c>
      <c r="D970" s="3" t="s">
        <v>2077</v>
      </c>
      <c r="E970" s="3" t="s">
        <v>2314</v>
      </c>
      <c r="F970" s="3" t="s">
        <v>2315</v>
      </c>
      <c r="G970" s="10" t="s">
        <v>2371</v>
      </c>
      <c r="H970" s="9" t="s">
        <v>13</v>
      </c>
      <c r="I970" s="9" t="s">
        <v>2372</v>
      </c>
    </row>
    <row r="971" customFormat="false" ht="15.75" hidden="false" customHeight="false" outlineLevel="0" collapsed="false">
      <c r="B971" s="7" t="n">
        <v>46213</v>
      </c>
      <c r="C971" s="3" t="s">
        <v>2373</v>
      </c>
      <c r="D971" s="3" t="s">
        <v>2077</v>
      </c>
      <c r="E971" s="3" t="s">
        <v>2314</v>
      </c>
      <c r="F971" s="3" t="s">
        <v>2315</v>
      </c>
      <c r="G971" s="10" t="s">
        <v>2374</v>
      </c>
      <c r="H971" s="9" t="s">
        <v>13</v>
      </c>
      <c r="I971" s="9" t="s">
        <v>2375</v>
      </c>
    </row>
    <row r="972" customFormat="false" ht="15.75" hidden="false" customHeight="false" outlineLevel="0" collapsed="false">
      <c r="B972" s="7" t="n">
        <v>46213</v>
      </c>
      <c r="C972" s="3" t="s">
        <v>2376</v>
      </c>
      <c r="D972" s="3" t="s">
        <v>2077</v>
      </c>
      <c r="E972" s="3" t="s">
        <v>2314</v>
      </c>
      <c r="F972" s="3" t="s">
        <v>2315</v>
      </c>
      <c r="G972" s="10" t="s">
        <v>2343</v>
      </c>
      <c r="H972" s="9" t="s">
        <v>13</v>
      </c>
      <c r="I972" s="9" t="s">
        <v>2377</v>
      </c>
    </row>
    <row r="973" customFormat="false" ht="15.75" hidden="false" customHeight="false" outlineLevel="0" collapsed="false">
      <c r="B973" s="7" t="n">
        <v>46213</v>
      </c>
      <c r="C973" s="3" t="s">
        <v>2378</v>
      </c>
      <c r="D973" s="3" t="s">
        <v>2077</v>
      </c>
      <c r="E973" s="3" t="s">
        <v>2314</v>
      </c>
      <c r="F973" s="3" t="s">
        <v>2315</v>
      </c>
      <c r="G973" s="8" t="s">
        <v>2379</v>
      </c>
      <c r="H973" s="9" t="s">
        <v>13</v>
      </c>
      <c r="I973" s="9" t="s">
        <v>2380</v>
      </c>
    </row>
    <row r="974" customFormat="false" ht="15.75" hidden="false" customHeight="false" outlineLevel="0" collapsed="false">
      <c r="B974" s="7" t="n">
        <v>46213</v>
      </c>
      <c r="C974" s="3" t="s">
        <v>2381</v>
      </c>
      <c r="D974" s="3" t="s">
        <v>2077</v>
      </c>
      <c r="E974" s="3" t="s">
        <v>2314</v>
      </c>
      <c r="F974" s="3" t="s">
        <v>2315</v>
      </c>
      <c r="G974" s="10" t="s">
        <v>2382</v>
      </c>
      <c r="H974" s="9" t="s">
        <v>13</v>
      </c>
      <c r="I974" s="9" t="s">
        <v>2383</v>
      </c>
    </row>
    <row r="975" customFormat="false" ht="15.75" hidden="false" customHeight="false" outlineLevel="0" collapsed="false">
      <c r="B975" s="7" t="n">
        <v>46213</v>
      </c>
      <c r="C975" s="3" t="s">
        <v>2384</v>
      </c>
      <c r="D975" s="3" t="s">
        <v>2077</v>
      </c>
      <c r="E975" s="3" t="s">
        <v>2314</v>
      </c>
      <c r="F975" s="3" t="s">
        <v>2315</v>
      </c>
      <c r="G975" s="8" t="s">
        <v>2385</v>
      </c>
      <c r="H975" s="9" t="s">
        <v>13</v>
      </c>
      <c r="I975" s="9" t="s">
        <v>2386</v>
      </c>
    </row>
    <row r="976" customFormat="false" ht="15.75" hidden="false" customHeight="false" outlineLevel="0" collapsed="false">
      <c r="B976" s="7" t="n">
        <v>46213</v>
      </c>
      <c r="C976" s="3" t="s">
        <v>2387</v>
      </c>
      <c r="D976" s="3" t="s">
        <v>2077</v>
      </c>
      <c r="E976" s="3" t="s">
        <v>2314</v>
      </c>
      <c r="F976" s="3" t="s">
        <v>2315</v>
      </c>
      <c r="G976" s="10" t="s">
        <v>2366</v>
      </c>
      <c r="H976" s="9" t="s">
        <v>13</v>
      </c>
      <c r="I976" s="9" t="s">
        <v>2388</v>
      </c>
    </row>
    <row r="977" customFormat="false" ht="15.75" hidden="false" customHeight="false" outlineLevel="0" collapsed="false">
      <c r="B977" s="7" t="n">
        <v>46213</v>
      </c>
      <c r="C977" s="3" t="s">
        <v>2389</v>
      </c>
      <c r="D977" s="3" t="s">
        <v>2077</v>
      </c>
      <c r="E977" s="3" t="s">
        <v>2314</v>
      </c>
      <c r="F977" s="3" t="s">
        <v>2315</v>
      </c>
      <c r="G977" s="10" t="s">
        <v>2390</v>
      </c>
      <c r="H977" s="9" t="s">
        <v>13</v>
      </c>
      <c r="I977" s="9" t="s">
        <v>2391</v>
      </c>
    </row>
    <row r="978" customFormat="false" ht="15.75" hidden="false" customHeight="false" outlineLevel="0" collapsed="false">
      <c r="B978" s="7" t="n">
        <v>46213</v>
      </c>
      <c r="C978" s="3" t="s">
        <v>2392</v>
      </c>
      <c r="D978" s="3" t="s">
        <v>2077</v>
      </c>
      <c r="E978" s="3" t="s">
        <v>2314</v>
      </c>
      <c r="F978" s="3" t="s">
        <v>2315</v>
      </c>
      <c r="G978" s="10" t="s">
        <v>2390</v>
      </c>
      <c r="H978" s="9" t="s">
        <v>13</v>
      </c>
      <c r="I978" s="9" t="s">
        <v>2391</v>
      </c>
    </row>
    <row r="979" customFormat="false" ht="15.75" hidden="false" customHeight="false" outlineLevel="0" collapsed="false">
      <c r="B979" s="7" t="n">
        <v>46213</v>
      </c>
      <c r="C979" s="3" t="s">
        <v>2393</v>
      </c>
      <c r="D979" s="3" t="s">
        <v>2077</v>
      </c>
      <c r="E979" s="3" t="s">
        <v>2314</v>
      </c>
      <c r="F979" s="3" t="s">
        <v>2315</v>
      </c>
      <c r="G979" s="10" t="s">
        <v>2394</v>
      </c>
      <c r="H979" s="9" t="s">
        <v>13</v>
      </c>
      <c r="I979" s="9" t="s">
        <v>2395</v>
      </c>
    </row>
    <row r="980" customFormat="false" ht="15.75" hidden="false" customHeight="false" outlineLevel="0" collapsed="false">
      <c r="B980" s="7" t="n">
        <v>46213</v>
      </c>
      <c r="C980" s="3" t="s">
        <v>2396</v>
      </c>
      <c r="D980" s="3" t="s">
        <v>2077</v>
      </c>
      <c r="E980" s="3" t="s">
        <v>2314</v>
      </c>
      <c r="F980" s="3" t="s">
        <v>2315</v>
      </c>
      <c r="G980" s="10" t="s">
        <v>2397</v>
      </c>
      <c r="H980" s="9" t="s">
        <v>13</v>
      </c>
      <c r="I980" s="9" t="s">
        <v>2398</v>
      </c>
    </row>
    <row r="981" customFormat="false" ht="15.75" hidden="false" customHeight="false" outlineLevel="0" collapsed="false">
      <c r="B981" s="7" t="n">
        <v>46213</v>
      </c>
      <c r="C981" s="3" t="s">
        <v>2399</v>
      </c>
      <c r="D981" s="3" t="s">
        <v>2077</v>
      </c>
      <c r="E981" s="3" t="s">
        <v>2314</v>
      </c>
      <c r="F981" s="3" t="s">
        <v>2315</v>
      </c>
      <c r="G981" s="10" t="s">
        <v>2265</v>
      </c>
      <c r="H981" s="9" t="s">
        <v>13</v>
      </c>
      <c r="I981" s="9" t="s">
        <v>2400</v>
      </c>
    </row>
    <row r="982" customFormat="false" ht="15.75" hidden="false" customHeight="false" outlineLevel="0" collapsed="false">
      <c r="B982" s="7" t="n">
        <v>46213</v>
      </c>
      <c r="C982" s="3" t="s">
        <v>2401</v>
      </c>
      <c r="D982" s="3" t="s">
        <v>2077</v>
      </c>
      <c r="E982" s="3" t="s">
        <v>2314</v>
      </c>
      <c r="F982" s="3" t="s">
        <v>2315</v>
      </c>
      <c r="G982" s="8" t="s">
        <v>2246</v>
      </c>
      <c r="H982" s="9" t="s">
        <v>13</v>
      </c>
      <c r="I982" s="9" t="s">
        <v>2402</v>
      </c>
    </row>
    <row r="983" customFormat="false" ht="15.75" hidden="false" customHeight="false" outlineLevel="0" collapsed="false">
      <c r="B983" s="7" t="n">
        <v>46213</v>
      </c>
      <c r="C983" s="3" t="s">
        <v>2403</v>
      </c>
      <c r="D983" s="3" t="s">
        <v>2077</v>
      </c>
      <c r="E983" s="3" t="s">
        <v>2404</v>
      </c>
      <c r="F983" s="3" t="s">
        <v>2405</v>
      </c>
      <c r="G983" s="10" t="s">
        <v>2406</v>
      </c>
      <c r="H983" s="9" t="s">
        <v>13</v>
      </c>
      <c r="I983" s="9" t="s">
        <v>2407</v>
      </c>
    </row>
    <row r="984" customFormat="false" ht="15.75" hidden="false" customHeight="false" outlineLevel="0" collapsed="false">
      <c r="B984" s="7" t="n">
        <v>46213</v>
      </c>
      <c r="C984" s="3" t="s">
        <v>2408</v>
      </c>
      <c r="D984" s="3" t="s">
        <v>2077</v>
      </c>
      <c r="E984" s="3" t="s">
        <v>2404</v>
      </c>
      <c r="F984" s="3" t="s">
        <v>2405</v>
      </c>
      <c r="G984" s="10" t="s">
        <v>2409</v>
      </c>
      <c r="H984" s="9" t="s">
        <v>13</v>
      </c>
      <c r="I984" s="9" t="s">
        <v>2410</v>
      </c>
    </row>
    <row r="985" customFormat="false" ht="15.75" hidden="false" customHeight="false" outlineLevel="0" collapsed="false">
      <c r="B985" s="7" t="n">
        <v>46213</v>
      </c>
      <c r="C985" s="3" t="s">
        <v>2411</v>
      </c>
      <c r="D985" s="3" t="s">
        <v>2077</v>
      </c>
      <c r="E985" s="3" t="s">
        <v>2404</v>
      </c>
      <c r="F985" s="3" t="s">
        <v>2405</v>
      </c>
      <c r="G985" s="8" t="s">
        <v>2412</v>
      </c>
      <c r="H985" s="9" t="s">
        <v>13</v>
      </c>
      <c r="I985" s="9" t="s">
        <v>2413</v>
      </c>
    </row>
    <row r="986" customFormat="false" ht="15.75" hidden="false" customHeight="false" outlineLevel="0" collapsed="false">
      <c r="B986" s="7" t="n">
        <v>46213</v>
      </c>
      <c r="C986" s="3" t="s">
        <v>2414</v>
      </c>
      <c r="D986" s="3" t="s">
        <v>2077</v>
      </c>
      <c r="E986" s="3" t="s">
        <v>2404</v>
      </c>
      <c r="F986" s="3" t="s">
        <v>2405</v>
      </c>
      <c r="G986" s="10" t="s">
        <v>2415</v>
      </c>
      <c r="H986" s="9" t="s">
        <v>13</v>
      </c>
      <c r="I986" s="9" t="s">
        <v>2416</v>
      </c>
    </row>
    <row r="987" customFormat="false" ht="15.75" hidden="false" customHeight="false" outlineLevel="0" collapsed="false">
      <c r="B987" s="7" t="n">
        <v>46213</v>
      </c>
      <c r="C987" s="3" t="s">
        <v>2417</v>
      </c>
      <c r="D987" s="3" t="s">
        <v>2077</v>
      </c>
      <c r="E987" s="3" t="s">
        <v>2404</v>
      </c>
      <c r="F987" s="3" t="s">
        <v>2405</v>
      </c>
      <c r="G987" s="10" t="s">
        <v>2418</v>
      </c>
      <c r="H987" s="9" t="s">
        <v>13</v>
      </c>
      <c r="I987" s="9" t="s">
        <v>2419</v>
      </c>
    </row>
    <row r="988" customFormat="false" ht="15.75" hidden="false" customHeight="false" outlineLevel="0" collapsed="false">
      <c r="B988" s="7" t="n">
        <v>46213</v>
      </c>
      <c r="C988" s="3" t="s">
        <v>2420</v>
      </c>
      <c r="D988" s="3" t="s">
        <v>2077</v>
      </c>
      <c r="E988" s="3" t="s">
        <v>2404</v>
      </c>
      <c r="F988" s="3" t="s">
        <v>2405</v>
      </c>
      <c r="G988" s="8" t="s">
        <v>2418</v>
      </c>
      <c r="H988" s="9" t="s">
        <v>13</v>
      </c>
      <c r="I988" s="9" t="s">
        <v>2421</v>
      </c>
    </row>
    <row r="989" customFormat="false" ht="15.75" hidden="false" customHeight="false" outlineLevel="0" collapsed="false">
      <c r="B989" s="7" t="n">
        <v>46213</v>
      </c>
      <c r="C989" s="3" t="s">
        <v>2422</v>
      </c>
      <c r="D989" s="3" t="s">
        <v>2077</v>
      </c>
      <c r="E989" s="3" t="s">
        <v>2404</v>
      </c>
      <c r="F989" s="3" t="s">
        <v>2405</v>
      </c>
      <c r="G989" s="8" t="s">
        <v>2418</v>
      </c>
      <c r="H989" s="9" t="s">
        <v>13</v>
      </c>
      <c r="I989" s="9" t="s">
        <v>2423</v>
      </c>
    </row>
    <row r="990" customFormat="false" ht="15.75" hidden="false" customHeight="false" outlineLevel="0" collapsed="false">
      <c r="B990" s="7" t="n">
        <v>46213</v>
      </c>
      <c r="C990" s="3" t="s">
        <v>2424</v>
      </c>
      <c r="D990" s="3" t="s">
        <v>2077</v>
      </c>
      <c r="E990" s="3" t="s">
        <v>2404</v>
      </c>
      <c r="F990" s="3" t="s">
        <v>2405</v>
      </c>
      <c r="G990" s="8" t="s">
        <v>2425</v>
      </c>
      <c r="H990" s="9" t="s">
        <v>13</v>
      </c>
      <c r="I990" s="9" t="s">
        <v>2426</v>
      </c>
    </row>
    <row r="991" customFormat="false" ht="15.75" hidden="false" customHeight="false" outlineLevel="0" collapsed="false">
      <c r="B991" s="7" t="n">
        <v>46213</v>
      </c>
      <c r="C991" s="3" t="s">
        <v>2427</v>
      </c>
      <c r="D991" s="3" t="s">
        <v>2077</v>
      </c>
      <c r="E991" s="3" t="s">
        <v>2404</v>
      </c>
      <c r="F991" s="3" t="s">
        <v>2405</v>
      </c>
      <c r="G991" s="8" t="s">
        <v>2428</v>
      </c>
      <c r="H991" s="9" t="s">
        <v>13</v>
      </c>
      <c r="I991" s="9" t="s">
        <v>2429</v>
      </c>
    </row>
    <row r="992" customFormat="false" ht="15.75" hidden="false" customHeight="false" outlineLevel="0" collapsed="false">
      <c r="B992" s="7" t="n">
        <v>46213</v>
      </c>
      <c r="C992" s="3" t="s">
        <v>2430</v>
      </c>
      <c r="D992" s="3" t="s">
        <v>2077</v>
      </c>
      <c r="E992" s="3" t="s">
        <v>2404</v>
      </c>
      <c r="F992" s="3" t="s">
        <v>2405</v>
      </c>
      <c r="G992" s="8" t="s">
        <v>2428</v>
      </c>
      <c r="H992" s="9" t="s">
        <v>13</v>
      </c>
      <c r="I992" s="9" t="s">
        <v>2429</v>
      </c>
    </row>
    <row r="993" customFormat="false" ht="15.75" hidden="false" customHeight="false" outlineLevel="0" collapsed="false">
      <c r="B993" s="7" t="n">
        <v>46213</v>
      </c>
      <c r="C993" s="3" t="s">
        <v>2431</v>
      </c>
      <c r="D993" s="3" t="s">
        <v>2077</v>
      </c>
      <c r="E993" s="3" t="s">
        <v>2404</v>
      </c>
      <c r="F993" s="3" t="s">
        <v>2405</v>
      </c>
      <c r="G993" s="10" t="s">
        <v>2432</v>
      </c>
      <c r="H993" s="9" t="s">
        <v>13</v>
      </c>
      <c r="I993" s="9" t="s">
        <v>2433</v>
      </c>
    </row>
    <row r="994" customFormat="false" ht="15.75" hidden="false" customHeight="false" outlineLevel="0" collapsed="false">
      <c r="B994" s="7" t="n">
        <v>46213</v>
      </c>
      <c r="C994" s="3" t="s">
        <v>2434</v>
      </c>
      <c r="D994" s="3" t="s">
        <v>2077</v>
      </c>
      <c r="E994" s="3" t="s">
        <v>2404</v>
      </c>
      <c r="F994" s="3" t="s">
        <v>2405</v>
      </c>
      <c r="G994" s="10" t="s">
        <v>2435</v>
      </c>
      <c r="H994" s="9" t="s">
        <v>13</v>
      </c>
      <c r="I994" s="9" t="s">
        <v>2436</v>
      </c>
    </row>
    <row r="995" customFormat="false" ht="15.75" hidden="false" customHeight="false" outlineLevel="0" collapsed="false">
      <c r="B995" s="7" t="n">
        <v>46213</v>
      </c>
      <c r="C995" s="3" t="s">
        <v>2437</v>
      </c>
      <c r="D995" s="3" t="s">
        <v>2077</v>
      </c>
      <c r="E995" s="3" t="s">
        <v>2404</v>
      </c>
      <c r="F995" s="3" t="s">
        <v>2405</v>
      </c>
      <c r="G995" s="10" t="s">
        <v>2438</v>
      </c>
      <c r="H995" s="9" t="s">
        <v>13</v>
      </c>
      <c r="I995" s="9" t="s">
        <v>2439</v>
      </c>
    </row>
    <row r="996" customFormat="false" ht="15.75" hidden="false" customHeight="false" outlineLevel="0" collapsed="false">
      <c r="B996" s="7" t="n">
        <v>46213</v>
      </c>
      <c r="C996" s="3" t="s">
        <v>2440</v>
      </c>
      <c r="D996" s="3" t="s">
        <v>2077</v>
      </c>
      <c r="E996" s="3" t="s">
        <v>2404</v>
      </c>
      <c r="F996" s="3" t="s">
        <v>2405</v>
      </c>
      <c r="G996" s="8" t="s">
        <v>2441</v>
      </c>
      <c r="H996" s="9" t="s">
        <v>13</v>
      </c>
      <c r="I996" s="9" t="s">
        <v>2442</v>
      </c>
    </row>
    <row r="997" customFormat="false" ht="15.75" hidden="false" customHeight="false" outlineLevel="0" collapsed="false">
      <c r="B997" s="7" t="n">
        <v>46213</v>
      </c>
      <c r="C997" s="3" t="s">
        <v>2443</v>
      </c>
      <c r="D997" s="3" t="s">
        <v>2077</v>
      </c>
      <c r="E997" s="3" t="s">
        <v>2404</v>
      </c>
      <c r="F997" s="3" t="s">
        <v>2405</v>
      </c>
      <c r="G997" s="10" t="s">
        <v>2444</v>
      </c>
      <c r="H997" s="9" t="s">
        <v>13</v>
      </c>
      <c r="I997" s="9" t="s">
        <v>2445</v>
      </c>
    </row>
    <row r="998" customFormat="false" ht="15.75" hidden="false" customHeight="false" outlineLevel="0" collapsed="false">
      <c r="B998" s="7" t="n">
        <v>46213</v>
      </c>
      <c r="C998" s="3" t="s">
        <v>2446</v>
      </c>
      <c r="D998" s="3" t="s">
        <v>2077</v>
      </c>
      <c r="E998" s="3" t="s">
        <v>2404</v>
      </c>
      <c r="F998" s="3" t="s">
        <v>2405</v>
      </c>
      <c r="G998" s="10" t="s">
        <v>2447</v>
      </c>
      <c r="H998" s="9" t="s">
        <v>13</v>
      </c>
      <c r="I998" s="9" t="s">
        <v>2448</v>
      </c>
    </row>
    <row r="999" customFormat="false" ht="15.75" hidden="false" customHeight="false" outlineLevel="0" collapsed="false">
      <c r="B999" s="7" t="n">
        <v>46213</v>
      </c>
      <c r="C999" s="3" t="s">
        <v>2449</v>
      </c>
      <c r="D999" s="3" t="s">
        <v>2077</v>
      </c>
      <c r="E999" s="3" t="s">
        <v>2404</v>
      </c>
      <c r="F999" s="3" t="s">
        <v>2405</v>
      </c>
      <c r="G999" s="10" t="s">
        <v>2447</v>
      </c>
      <c r="H999" s="9" t="s">
        <v>13</v>
      </c>
      <c r="I999" s="9" t="s">
        <v>2450</v>
      </c>
    </row>
    <row r="1000" customFormat="false" ht="15.75" hidden="false" customHeight="false" outlineLevel="0" collapsed="false">
      <c r="B1000" s="7" t="n">
        <v>46213</v>
      </c>
      <c r="C1000" s="3" t="s">
        <v>2451</v>
      </c>
      <c r="D1000" s="3" t="s">
        <v>2077</v>
      </c>
      <c r="E1000" s="3" t="s">
        <v>2404</v>
      </c>
      <c r="F1000" s="3" t="s">
        <v>2405</v>
      </c>
      <c r="G1000" s="10" t="s">
        <v>2452</v>
      </c>
      <c r="H1000" s="9" t="s">
        <v>13</v>
      </c>
      <c r="I1000" s="9" t="s">
        <v>2453</v>
      </c>
    </row>
    <row r="1001" customFormat="false" ht="15.75" hidden="false" customHeight="false" outlineLevel="0" collapsed="false">
      <c r="B1001" s="7" t="n">
        <v>46213</v>
      </c>
      <c r="C1001" s="3" t="s">
        <v>2454</v>
      </c>
      <c r="D1001" s="3" t="s">
        <v>2077</v>
      </c>
      <c r="E1001" s="3" t="s">
        <v>2404</v>
      </c>
      <c r="F1001" s="3" t="s">
        <v>2405</v>
      </c>
      <c r="G1001" s="10" t="s">
        <v>2452</v>
      </c>
      <c r="H1001" s="9" t="s">
        <v>13</v>
      </c>
      <c r="I1001" s="9" t="s">
        <v>2455</v>
      </c>
    </row>
    <row r="1002" customFormat="false" ht="15.75" hidden="false" customHeight="false" outlineLevel="0" collapsed="false">
      <c r="B1002" s="7" t="n">
        <v>46213</v>
      </c>
      <c r="C1002" s="3" t="s">
        <v>2456</v>
      </c>
      <c r="D1002" s="3" t="s">
        <v>2077</v>
      </c>
      <c r="E1002" s="3" t="s">
        <v>2404</v>
      </c>
      <c r="F1002" s="3" t="s">
        <v>2405</v>
      </c>
      <c r="G1002" s="10" t="s">
        <v>2452</v>
      </c>
      <c r="H1002" s="9" t="s">
        <v>13</v>
      </c>
      <c r="I1002" s="9" t="s">
        <v>2457</v>
      </c>
    </row>
    <row r="1003" customFormat="false" ht="15.75" hidden="false" customHeight="false" outlineLevel="0" collapsed="false">
      <c r="B1003" s="7" t="n">
        <v>46213</v>
      </c>
      <c r="C1003" s="3" t="s">
        <v>2458</v>
      </c>
      <c r="D1003" s="3" t="s">
        <v>2077</v>
      </c>
      <c r="E1003" s="3" t="s">
        <v>2404</v>
      </c>
      <c r="F1003" s="3" t="s">
        <v>2405</v>
      </c>
      <c r="G1003" s="10" t="s">
        <v>2452</v>
      </c>
      <c r="H1003" s="9" t="s">
        <v>13</v>
      </c>
      <c r="I1003" s="9" t="s">
        <v>2459</v>
      </c>
    </row>
    <row r="1004" customFormat="false" ht="15.75" hidden="false" customHeight="false" outlineLevel="0" collapsed="false">
      <c r="B1004" s="7" t="n">
        <v>46213</v>
      </c>
      <c r="C1004" s="3" t="s">
        <v>2460</v>
      </c>
      <c r="D1004" s="3" t="s">
        <v>2077</v>
      </c>
      <c r="E1004" s="3" t="s">
        <v>2404</v>
      </c>
      <c r="F1004" s="3" t="s">
        <v>2405</v>
      </c>
      <c r="G1004" s="8" t="s">
        <v>2461</v>
      </c>
      <c r="H1004" s="9" t="s">
        <v>13</v>
      </c>
      <c r="I1004" s="9" t="s">
        <v>2462</v>
      </c>
    </row>
    <row r="1005" customFormat="false" ht="15.75" hidden="false" customHeight="false" outlineLevel="0" collapsed="false">
      <c r="B1005" s="7" t="n">
        <v>46213</v>
      </c>
      <c r="C1005" s="3" t="s">
        <v>2463</v>
      </c>
      <c r="D1005" s="3" t="s">
        <v>2077</v>
      </c>
      <c r="E1005" s="3" t="s">
        <v>2404</v>
      </c>
      <c r="F1005" s="3" t="s">
        <v>2405</v>
      </c>
      <c r="G1005" s="8" t="s">
        <v>2461</v>
      </c>
      <c r="H1005" s="9" t="s">
        <v>13</v>
      </c>
      <c r="I1005" s="9" t="s">
        <v>2462</v>
      </c>
    </row>
    <row r="1006" customFormat="false" ht="15.75" hidden="false" customHeight="false" outlineLevel="0" collapsed="false">
      <c r="B1006" s="7" t="n">
        <v>46213</v>
      </c>
      <c r="C1006" s="3" t="s">
        <v>2464</v>
      </c>
      <c r="D1006" s="3" t="s">
        <v>2077</v>
      </c>
      <c r="E1006" s="3" t="s">
        <v>2404</v>
      </c>
      <c r="F1006" s="3" t="s">
        <v>2405</v>
      </c>
      <c r="G1006" s="8" t="s">
        <v>2465</v>
      </c>
      <c r="H1006" s="9" t="s">
        <v>13</v>
      </c>
      <c r="I1006" s="9" t="s">
        <v>2466</v>
      </c>
    </row>
    <row r="1007" customFormat="false" ht="15.75" hidden="false" customHeight="false" outlineLevel="0" collapsed="false">
      <c r="B1007" s="7" t="n">
        <v>46213</v>
      </c>
      <c r="C1007" s="3" t="s">
        <v>2467</v>
      </c>
      <c r="D1007" s="3" t="s">
        <v>2077</v>
      </c>
      <c r="E1007" s="3" t="s">
        <v>2404</v>
      </c>
      <c r="F1007" s="3" t="s">
        <v>2405</v>
      </c>
      <c r="G1007" s="8" t="s">
        <v>2465</v>
      </c>
      <c r="H1007" s="9" t="s">
        <v>13</v>
      </c>
      <c r="I1007" s="9" t="s">
        <v>2466</v>
      </c>
    </row>
    <row r="1008" customFormat="false" ht="15.75" hidden="false" customHeight="false" outlineLevel="0" collapsed="false">
      <c r="B1008" s="7" t="n">
        <v>46213</v>
      </c>
      <c r="C1008" s="3" t="s">
        <v>2468</v>
      </c>
      <c r="D1008" s="3" t="s">
        <v>2077</v>
      </c>
      <c r="E1008" s="3" t="s">
        <v>2404</v>
      </c>
      <c r="F1008" s="3" t="s">
        <v>2405</v>
      </c>
      <c r="G1008" s="8" t="s">
        <v>2465</v>
      </c>
      <c r="H1008" s="9" t="s">
        <v>13</v>
      </c>
      <c r="I1008" s="9" t="s">
        <v>2466</v>
      </c>
    </row>
    <row r="1009" customFormat="false" ht="15.75" hidden="false" customHeight="false" outlineLevel="0" collapsed="false">
      <c r="B1009" s="7" t="n">
        <v>46213</v>
      </c>
      <c r="C1009" s="3" t="s">
        <v>2469</v>
      </c>
      <c r="D1009" s="3" t="s">
        <v>2077</v>
      </c>
      <c r="E1009" s="3" t="s">
        <v>2404</v>
      </c>
      <c r="F1009" s="3" t="s">
        <v>2405</v>
      </c>
      <c r="G1009" s="8" t="s">
        <v>2465</v>
      </c>
      <c r="H1009" s="9" t="s">
        <v>13</v>
      </c>
      <c r="I1009" s="9" t="s">
        <v>2466</v>
      </c>
    </row>
    <row r="1010" customFormat="false" ht="15.75" hidden="false" customHeight="false" outlineLevel="0" collapsed="false">
      <c r="B1010" s="7" t="n">
        <v>46213</v>
      </c>
      <c r="C1010" s="3" t="s">
        <v>2470</v>
      </c>
      <c r="D1010" s="3" t="s">
        <v>2077</v>
      </c>
      <c r="E1010" s="3" t="s">
        <v>2404</v>
      </c>
      <c r="F1010" s="3" t="s">
        <v>2405</v>
      </c>
      <c r="G1010" s="10" t="s">
        <v>2471</v>
      </c>
      <c r="H1010" s="9" t="s">
        <v>13</v>
      </c>
      <c r="I1010" s="9" t="s">
        <v>2472</v>
      </c>
    </row>
    <row r="1011" customFormat="false" ht="15.75" hidden="false" customHeight="false" outlineLevel="0" collapsed="false">
      <c r="B1011" s="7" t="n">
        <v>46213</v>
      </c>
      <c r="C1011" s="3" t="s">
        <v>2473</v>
      </c>
      <c r="D1011" s="3" t="s">
        <v>2077</v>
      </c>
      <c r="E1011" s="3" t="s">
        <v>2404</v>
      </c>
      <c r="F1011" s="3" t="s">
        <v>2405</v>
      </c>
      <c r="G1011" s="10" t="s">
        <v>2144</v>
      </c>
      <c r="H1011" s="9" t="s">
        <v>13</v>
      </c>
      <c r="I1011" s="9" t="s">
        <v>2474</v>
      </c>
    </row>
    <row r="1012" customFormat="false" ht="15.75" hidden="false" customHeight="false" outlineLevel="0" collapsed="false">
      <c r="B1012" s="7" t="n">
        <v>46213</v>
      </c>
      <c r="C1012" s="3" t="s">
        <v>2475</v>
      </c>
      <c r="D1012" s="3" t="s">
        <v>2077</v>
      </c>
      <c r="E1012" s="3" t="s">
        <v>2404</v>
      </c>
      <c r="F1012" s="3" t="s">
        <v>2405</v>
      </c>
      <c r="G1012" s="10" t="s">
        <v>2237</v>
      </c>
      <c r="H1012" s="9" t="s">
        <v>13</v>
      </c>
      <c r="I1012" s="9" t="s">
        <v>2476</v>
      </c>
    </row>
    <row r="1013" customFormat="false" ht="15.75" hidden="false" customHeight="false" outlineLevel="0" collapsed="false">
      <c r="B1013" s="7" t="n">
        <v>46213</v>
      </c>
      <c r="C1013" s="3" t="s">
        <v>2477</v>
      </c>
      <c r="D1013" s="3" t="s">
        <v>2077</v>
      </c>
      <c r="E1013" s="3" t="s">
        <v>2404</v>
      </c>
      <c r="F1013" s="3" t="s">
        <v>2405</v>
      </c>
      <c r="G1013" s="10" t="s">
        <v>2237</v>
      </c>
      <c r="H1013" s="9" t="s">
        <v>13</v>
      </c>
      <c r="I1013" s="9" t="s">
        <v>2476</v>
      </c>
    </row>
    <row r="1014" customFormat="false" ht="15.75" hidden="false" customHeight="false" outlineLevel="0" collapsed="false">
      <c r="B1014" s="7" t="n">
        <v>46213</v>
      </c>
      <c r="C1014" s="3" t="s">
        <v>2478</v>
      </c>
      <c r="D1014" s="3" t="s">
        <v>2077</v>
      </c>
      <c r="E1014" s="3" t="s">
        <v>2404</v>
      </c>
      <c r="F1014" s="3" t="s">
        <v>2405</v>
      </c>
      <c r="G1014" s="10" t="s">
        <v>2479</v>
      </c>
      <c r="H1014" s="9" t="s">
        <v>13</v>
      </c>
      <c r="I1014" s="9" t="s">
        <v>2480</v>
      </c>
    </row>
    <row r="1015" customFormat="false" ht="15.75" hidden="false" customHeight="false" outlineLevel="0" collapsed="false">
      <c r="B1015" s="7" t="n">
        <v>46213</v>
      </c>
      <c r="C1015" s="3" t="s">
        <v>2481</v>
      </c>
      <c r="D1015" s="3" t="s">
        <v>2077</v>
      </c>
      <c r="E1015" s="3" t="s">
        <v>2404</v>
      </c>
      <c r="F1015" s="3" t="s">
        <v>2405</v>
      </c>
      <c r="G1015" s="10" t="s">
        <v>2479</v>
      </c>
      <c r="H1015" s="9" t="s">
        <v>13</v>
      </c>
      <c r="I1015" s="9" t="s">
        <v>2482</v>
      </c>
    </row>
    <row r="1016" customFormat="false" ht="15.75" hidden="false" customHeight="false" outlineLevel="0" collapsed="false">
      <c r="B1016" s="7" t="n">
        <v>46213</v>
      </c>
      <c r="C1016" s="3" t="s">
        <v>2483</v>
      </c>
      <c r="D1016" s="3" t="s">
        <v>2077</v>
      </c>
      <c r="E1016" s="3" t="s">
        <v>2404</v>
      </c>
      <c r="F1016" s="3" t="s">
        <v>2405</v>
      </c>
      <c r="G1016" s="10" t="s">
        <v>2479</v>
      </c>
      <c r="H1016" s="9" t="s">
        <v>13</v>
      </c>
      <c r="I1016" s="9" t="s">
        <v>2484</v>
      </c>
    </row>
    <row r="1017" customFormat="false" ht="15.75" hidden="false" customHeight="false" outlineLevel="0" collapsed="false">
      <c r="B1017" s="7" t="n">
        <v>46213</v>
      </c>
      <c r="C1017" s="3" t="s">
        <v>2485</v>
      </c>
      <c r="D1017" s="3" t="s">
        <v>2077</v>
      </c>
      <c r="E1017" s="3" t="s">
        <v>2404</v>
      </c>
      <c r="F1017" s="3" t="s">
        <v>2405</v>
      </c>
      <c r="G1017" s="10" t="s">
        <v>2479</v>
      </c>
      <c r="H1017" s="9" t="s">
        <v>13</v>
      </c>
      <c r="I1017" s="9" t="s">
        <v>2486</v>
      </c>
    </row>
    <row r="1018" customFormat="false" ht="15.75" hidden="false" customHeight="false" outlineLevel="0" collapsed="false">
      <c r="B1018" s="7" t="n">
        <v>46213</v>
      </c>
      <c r="C1018" s="3" t="s">
        <v>2487</v>
      </c>
      <c r="D1018" s="3" t="s">
        <v>2077</v>
      </c>
      <c r="E1018" s="3" t="s">
        <v>2488</v>
      </c>
      <c r="F1018" s="3" t="s">
        <v>2489</v>
      </c>
      <c r="G1018" s="8" t="s">
        <v>2490</v>
      </c>
      <c r="H1018" s="9" t="s">
        <v>13</v>
      </c>
      <c r="I1018" s="9" t="s">
        <v>2491</v>
      </c>
    </row>
    <row r="1019" customFormat="false" ht="15.75" hidden="false" customHeight="false" outlineLevel="0" collapsed="false">
      <c r="B1019" s="7" t="n">
        <v>46213</v>
      </c>
      <c r="C1019" s="3" t="s">
        <v>2492</v>
      </c>
      <c r="D1019" s="3" t="s">
        <v>2077</v>
      </c>
      <c r="E1019" s="3" t="s">
        <v>2488</v>
      </c>
      <c r="F1019" s="3" t="s">
        <v>2489</v>
      </c>
      <c r="G1019" s="8" t="s">
        <v>2175</v>
      </c>
      <c r="H1019" s="9" t="s">
        <v>13</v>
      </c>
      <c r="I1019" s="9" t="s">
        <v>2493</v>
      </c>
    </row>
    <row r="1020" customFormat="false" ht="15.75" hidden="false" customHeight="false" outlineLevel="0" collapsed="false">
      <c r="B1020" s="7" t="n">
        <v>46213</v>
      </c>
      <c r="C1020" s="3" t="s">
        <v>2494</v>
      </c>
      <c r="D1020" s="3" t="s">
        <v>2077</v>
      </c>
      <c r="E1020" s="3" t="s">
        <v>2488</v>
      </c>
      <c r="F1020" s="3" t="s">
        <v>2489</v>
      </c>
      <c r="G1020" s="8" t="s">
        <v>2175</v>
      </c>
      <c r="H1020" s="9" t="s">
        <v>13</v>
      </c>
      <c r="I1020" s="9" t="s">
        <v>2493</v>
      </c>
    </row>
    <row r="1021" customFormat="false" ht="15.75" hidden="false" customHeight="false" outlineLevel="0" collapsed="false">
      <c r="B1021" s="7" t="n">
        <v>46213</v>
      </c>
      <c r="C1021" s="3" t="s">
        <v>2495</v>
      </c>
      <c r="D1021" s="3" t="s">
        <v>2077</v>
      </c>
      <c r="E1021" s="3" t="s">
        <v>2488</v>
      </c>
      <c r="F1021" s="3" t="s">
        <v>2489</v>
      </c>
      <c r="G1021" s="8" t="s">
        <v>2175</v>
      </c>
      <c r="H1021" s="9" t="s">
        <v>13</v>
      </c>
      <c r="I1021" s="9" t="s">
        <v>2493</v>
      </c>
    </row>
    <row r="1022" customFormat="false" ht="15.75" hidden="false" customHeight="false" outlineLevel="0" collapsed="false">
      <c r="B1022" s="7" t="n">
        <v>46213</v>
      </c>
      <c r="C1022" s="3" t="s">
        <v>2496</v>
      </c>
      <c r="D1022" s="3" t="s">
        <v>2077</v>
      </c>
      <c r="E1022" s="3" t="s">
        <v>2488</v>
      </c>
      <c r="F1022" s="3" t="s">
        <v>2489</v>
      </c>
      <c r="G1022" s="8" t="s">
        <v>2175</v>
      </c>
      <c r="H1022" s="9" t="s">
        <v>13</v>
      </c>
      <c r="I1022" s="9" t="s">
        <v>2493</v>
      </c>
    </row>
    <row r="1023" customFormat="false" ht="15.75" hidden="false" customHeight="false" outlineLevel="0" collapsed="false">
      <c r="B1023" s="7" t="n">
        <v>46213</v>
      </c>
      <c r="C1023" s="3" t="s">
        <v>2497</v>
      </c>
      <c r="D1023" s="3" t="s">
        <v>2077</v>
      </c>
      <c r="E1023" s="3" t="s">
        <v>2488</v>
      </c>
      <c r="F1023" s="3" t="s">
        <v>2489</v>
      </c>
      <c r="G1023" s="8" t="s">
        <v>2175</v>
      </c>
      <c r="H1023" s="9" t="s">
        <v>13</v>
      </c>
      <c r="I1023" s="9" t="s">
        <v>2493</v>
      </c>
    </row>
    <row r="1024" customFormat="false" ht="15.75" hidden="false" customHeight="false" outlineLevel="0" collapsed="false">
      <c r="B1024" s="7" t="n">
        <v>46213</v>
      </c>
      <c r="C1024" s="3" t="s">
        <v>2498</v>
      </c>
      <c r="D1024" s="3" t="s">
        <v>2077</v>
      </c>
      <c r="E1024" s="3" t="s">
        <v>2488</v>
      </c>
      <c r="F1024" s="3" t="s">
        <v>2489</v>
      </c>
      <c r="G1024" s="10" t="s">
        <v>2499</v>
      </c>
      <c r="H1024" s="9" t="s">
        <v>13</v>
      </c>
      <c r="I1024" s="9" t="s">
        <v>2500</v>
      </c>
    </row>
    <row r="1025" customFormat="false" ht="15.75" hidden="false" customHeight="false" outlineLevel="0" collapsed="false">
      <c r="B1025" s="7" t="n">
        <v>46213</v>
      </c>
      <c r="C1025" s="3" t="s">
        <v>2501</v>
      </c>
      <c r="D1025" s="3" t="s">
        <v>2077</v>
      </c>
      <c r="E1025" s="3" t="s">
        <v>2488</v>
      </c>
      <c r="F1025" s="3" t="s">
        <v>2489</v>
      </c>
      <c r="G1025" s="10" t="s">
        <v>2499</v>
      </c>
      <c r="H1025" s="9" t="s">
        <v>13</v>
      </c>
      <c r="I1025" s="9" t="s">
        <v>2500</v>
      </c>
    </row>
    <row r="1026" customFormat="false" ht="15.75" hidden="false" customHeight="false" outlineLevel="0" collapsed="false">
      <c r="B1026" s="7" t="n">
        <v>46213</v>
      </c>
      <c r="C1026" s="3" t="s">
        <v>2502</v>
      </c>
      <c r="D1026" s="3" t="s">
        <v>2077</v>
      </c>
      <c r="E1026" s="3" t="s">
        <v>2488</v>
      </c>
      <c r="F1026" s="3" t="s">
        <v>2489</v>
      </c>
      <c r="G1026" s="10" t="s">
        <v>2499</v>
      </c>
      <c r="H1026" s="9" t="s">
        <v>13</v>
      </c>
      <c r="I1026" s="9" t="s">
        <v>2500</v>
      </c>
    </row>
    <row r="1027" customFormat="false" ht="15.75" hidden="false" customHeight="false" outlineLevel="0" collapsed="false">
      <c r="B1027" s="7" t="n">
        <v>46213</v>
      </c>
      <c r="C1027" s="3" t="s">
        <v>2503</v>
      </c>
      <c r="D1027" s="3" t="s">
        <v>2077</v>
      </c>
      <c r="E1027" s="3" t="s">
        <v>2488</v>
      </c>
      <c r="F1027" s="3" t="s">
        <v>2489</v>
      </c>
      <c r="G1027" s="10" t="s">
        <v>2499</v>
      </c>
      <c r="H1027" s="9" t="s">
        <v>13</v>
      </c>
      <c r="I1027" s="9" t="s">
        <v>2500</v>
      </c>
    </row>
    <row r="1028" customFormat="false" ht="15.75" hidden="false" customHeight="false" outlineLevel="0" collapsed="false">
      <c r="B1028" s="7" t="n">
        <v>46213</v>
      </c>
      <c r="C1028" s="3" t="s">
        <v>2504</v>
      </c>
      <c r="D1028" s="3" t="s">
        <v>2077</v>
      </c>
      <c r="E1028" s="3" t="s">
        <v>2488</v>
      </c>
      <c r="F1028" s="3" t="s">
        <v>2489</v>
      </c>
      <c r="G1028" s="10" t="s">
        <v>2505</v>
      </c>
      <c r="H1028" s="9" t="s">
        <v>13</v>
      </c>
      <c r="I1028" s="9" t="s">
        <v>2506</v>
      </c>
    </row>
    <row r="1029" customFormat="false" ht="15.75" hidden="false" customHeight="false" outlineLevel="0" collapsed="false">
      <c r="B1029" s="7" t="n">
        <v>46213</v>
      </c>
      <c r="C1029" s="3" t="s">
        <v>2507</v>
      </c>
      <c r="D1029" s="3" t="s">
        <v>2077</v>
      </c>
      <c r="E1029" s="3" t="s">
        <v>2488</v>
      </c>
      <c r="F1029" s="3" t="s">
        <v>2489</v>
      </c>
      <c r="G1029" s="8" t="s">
        <v>2508</v>
      </c>
      <c r="H1029" s="9" t="s">
        <v>13</v>
      </c>
      <c r="I1029" s="9" t="s">
        <v>2509</v>
      </c>
    </row>
    <row r="1030" customFormat="false" ht="15.75" hidden="false" customHeight="false" outlineLevel="0" collapsed="false">
      <c r="B1030" s="7" t="n">
        <v>46213</v>
      </c>
      <c r="C1030" s="3" t="s">
        <v>2510</v>
      </c>
      <c r="D1030" s="3" t="s">
        <v>2077</v>
      </c>
      <c r="E1030" s="3" t="s">
        <v>2488</v>
      </c>
      <c r="F1030" s="3" t="s">
        <v>2489</v>
      </c>
      <c r="G1030" s="10" t="s">
        <v>2511</v>
      </c>
      <c r="H1030" s="9" t="s">
        <v>13</v>
      </c>
      <c r="I1030" s="9" t="s">
        <v>2512</v>
      </c>
    </row>
    <row r="1031" customFormat="false" ht="15.75" hidden="false" customHeight="false" outlineLevel="0" collapsed="false">
      <c r="B1031" s="7" t="n">
        <v>46213</v>
      </c>
      <c r="C1031" s="3" t="s">
        <v>2513</v>
      </c>
      <c r="D1031" s="3" t="s">
        <v>2077</v>
      </c>
      <c r="E1031" s="3" t="s">
        <v>2488</v>
      </c>
      <c r="F1031" s="3" t="s">
        <v>2489</v>
      </c>
      <c r="G1031" s="8" t="s">
        <v>2514</v>
      </c>
      <c r="H1031" s="9" t="s">
        <v>13</v>
      </c>
      <c r="I1031" s="9" t="s">
        <v>2515</v>
      </c>
    </row>
    <row r="1032" customFormat="false" ht="15.75" hidden="false" customHeight="false" outlineLevel="0" collapsed="false">
      <c r="B1032" s="7" t="n">
        <v>46213</v>
      </c>
      <c r="C1032" s="3" t="s">
        <v>2516</v>
      </c>
      <c r="D1032" s="3" t="s">
        <v>2077</v>
      </c>
      <c r="E1032" s="3" t="s">
        <v>2488</v>
      </c>
      <c r="F1032" s="3" t="s">
        <v>2489</v>
      </c>
      <c r="G1032" s="10" t="s">
        <v>2517</v>
      </c>
      <c r="H1032" s="9" t="s">
        <v>13</v>
      </c>
      <c r="I1032" s="9" t="s">
        <v>2518</v>
      </c>
    </row>
    <row r="1033" customFormat="false" ht="15.75" hidden="false" customHeight="false" outlineLevel="0" collapsed="false">
      <c r="B1033" s="7" t="n">
        <v>46213</v>
      </c>
      <c r="C1033" s="3" t="s">
        <v>2519</v>
      </c>
      <c r="D1033" s="3" t="s">
        <v>2077</v>
      </c>
      <c r="E1033" s="3" t="s">
        <v>2488</v>
      </c>
      <c r="F1033" s="3" t="s">
        <v>2489</v>
      </c>
      <c r="G1033" s="10" t="s">
        <v>2520</v>
      </c>
      <c r="H1033" s="9" t="s">
        <v>13</v>
      </c>
      <c r="I1033" s="9" t="s">
        <v>2521</v>
      </c>
    </row>
    <row r="1034" customFormat="false" ht="15.75" hidden="false" customHeight="false" outlineLevel="0" collapsed="false">
      <c r="B1034" s="7" t="n">
        <v>46213</v>
      </c>
      <c r="C1034" s="3" t="s">
        <v>2522</v>
      </c>
      <c r="D1034" s="3" t="s">
        <v>2077</v>
      </c>
      <c r="E1034" s="3" t="s">
        <v>2488</v>
      </c>
      <c r="F1034" s="3" t="s">
        <v>2489</v>
      </c>
      <c r="G1034" s="10" t="s">
        <v>2520</v>
      </c>
      <c r="H1034" s="9" t="s">
        <v>13</v>
      </c>
      <c r="I1034" s="9" t="s">
        <v>2521</v>
      </c>
    </row>
    <row r="1035" customFormat="false" ht="15.75" hidden="false" customHeight="false" outlineLevel="0" collapsed="false">
      <c r="B1035" s="7" t="n">
        <v>46213</v>
      </c>
      <c r="C1035" s="3" t="s">
        <v>2523</v>
      </c>
      <c r="D1035" s="3" t="s">
        <v>2077</v>
      </c>
      <c r="E1035" s="3" t="s">
        <v>2488</v>
      </c>
      <c r="F1035" s="3" t="s">
        <v>2489</v>
      </c>
      <c r="G1035" s="10" t="s">
        <v>2520</v>
      </c>
      <c r="H1035" s="9" t="s">
        <v>13</v>
      </c>
      <c r="I1035" s="9" t="s">
        <v>2521</v>
      </c>
    </row>
    <row r="1036" customFormat="false" ht="15.75" hidden="false" customHeight="false" outlineLevel="0" collapsed="false">
      <c r="B1036" s="7" t="n">
        <v>46213</v>
      </c>
      <c r="C1036" s="3" t="s">
        <v>2524</v>
      </c>
      <c r="D1036" s="3" t="s">
        <v>2077</v>
      </c>
      <c r="E1036" s="3" t="s">
        <v>2488</v>
      </c>
      <c r="F1036" s="3" t="s">
        <v>2489</v>
      </c>
      <c r="G1036" s="8" t="s">
        <v>2525</v>
      </c>
      <c r="H1036" s="9" t="s">
        <v>13</v>
      </c>
      <c r="I1036" s="9" t="s">
        <v>2526</v>
      </c>
    </row>
    <row r="1037" customFormat="false" ht="15.75" hidden="false" customHeight="false" outlineLevel="0" collapsed="false">
      <c r="B1037" s="7" t="n">
        <v>46213</v>
      </c>
      <c r="C1037" s="3" t="s">
        <v>2527</v>
      </c>
      <c r="D1037" s="3" t="s">
        <v>2077</v>
      </c>
      <c r="E1037" s="3" t="s">
        <v>2488</v>
      </c>
      <c r="F1037" s="3" t="s">
        <v>2489</v>
      </c>
      <c r="G1037" s="8" t="s">
        <v>2525</v>
      </c>
      <c r="H1037" s="9" t="s">
        <v>13</v>
      </c>
      <c r="I1037" s="9" t="s">
        <v>2526</v>
      </c>
    </row>
    <row r="1038" customFormat="false" ht="15.75" hidden="false" customHeight="false" outlineLevel="0" collapsed="false">
      <c r="B1038" s="7" t="n">
        <v>46213</v>
      </c>
      <c r="C1038" s="3" t="s">
        <v>2528</v>
      </c>
      <c r="D1038" s="3" t="s">
        <v>2077</v>
      </c>
      <c r="E1038" s="3" t="s">
        <v>2488</v>
      </c>
      <c r="F1038" s="3" t="s">
        <v>2489</v>
      </c>
      <c r="G1038" s="8" t="s">
        <v>2525</v>
      </c>
      <c r="H1038" s="9" t="s">
        <v>13</v>
      </c>
      <c r="I1038" s="9" t="s">
        <v>2526</v>
      </c>
    </row>
    <row r="1039" customFormat="false" ht="15.75" hidden="false" customHeight="false" outlineLevel="0" collapsed="false">
      <c r="B1039" s="7" t="n">
        <v>46213</v>
      </c>
      <c r="C1039" s="3" t="s">
        <v>2529</v>
      </c>
      <c r="D1039" s="3" t="s">
        <v>2077</v>
      </c>
      <c r="E1039" s="3" t="s">
        <v>2488</v>
      </c>
      <c r="F1039" s="3" t="s">
        <v>2489</v>
      </c>
      <c r="G1039" s="8" t="s">
        <v>2525</v>
      </c>
      <c r="H1039" s="9" t="s">
        <v>13</v>
      </c>
      <c r="I1039" s="9" t="s">
        <v>2526</v>
      </c>
    </row>
    <row r="1040" customFormat="false" ht="15.75" hidden="false" customHeight="false" outlineLevel="0" collapsed="false">
      <c r="B1040" s="7" t="n">
        <v>46213</v>
      </c>
      <c r="C1040" s="3" t="s">
        <v>2530</v>
      </c>
      <c r="D1040" s="3" t="s">
        <v>2077</v>
      </c>
      <c r="E1040" s="3" t="s">
        <v>2488</v>
      </c>
      <c r="F1040" s="3" t="s">
        <v>2489</v>
      </c>
      <c r="G1040" s="10" t="s">
        <v>2531</v>
      </c>
      <c r="H1040" s="9" t="s">
        <v>13</v>
      </c>
      <c r="I1040" s="9" t="s">
        <v>2532</v>
      </c>
    </row>
    <row r="1041" customFormat="false" ht="15.75" hidden="false" customHeight="false" outlineLevel="0" collapsed="false">
      <c r="B1041" s="7" t="n">
        <v>46213</v>
      </c>
      <c r="C1041" s="3" t="s">
        <v>2533</v>
      </c>
      <c r="D1041" s="3" t="s">
        <v>2077</v>
      </c>
      <c r="E1041" s="3" t="s">
        <v>2488</v>
      </c>
      <c r="F1041" s="3" t="s">
        <v>2489</v>
      </c>
      <c r="G1041" s="10" t="s">
        <v>2531</v>
      </c>
      <c r="H1041" s="9" t="s">
        <v>13</v>
      </c>
      <c r="I1041" s="9" t="s">
        <v>2532</v>
      </c>
    </row>
    <row r="1042" customFormat="false" ht="15.75" hidden="false" customHeight="false" outlineLevel="0" collapsed="false">
      <c r="B1042" s="7" t="n">
        <v>46213</v>
      </c>
      <c r="C1042" s="3" t="s">
        <v>2534</v>
      </c>
      <c r="D1042" s="3" t="s">
        <v>2077</v>
      </c>
      <c r="E1042" s="3" t="s">
        <v>2488</v>
      </c>
      <c r="F1042" s="3" t="s">
        <v>2489</v>
      </c>
      <c r="G1042" s="10" t="s">
        <v>2531</v>
      </c>
      <c r="H1042" s="9" t="s">
        <v>13</v>
      </c>
      <c r="I1042" s="9" t="s">
        <v>2535</v>
      </c>
    </row>
    <row r="1043" customFormat="false" ht="15.75" hidden="false" customHeight="false" outlineLevel="0" collapsed="false">
      <c r="B1043" s="7" t="n">
        <v>46213</v>
      </c>
      <c r="C1043" s="3" t="s">
        <v>2536</v>
      </c>
      <c r="D1043" s="3" t="s">
        <v>2077</v>
      </c>
      <c r="E1043" s="3" t="s">
        <v>2488</v>
      </c>
      <c r="F1043" s="3" t="s">
        <v>2489</v>
      </c>
      <c r="G1043" s="10" t="s">
        <v>2531</v>
      </c>
      <c r="H1043" s="9" t="s">
        <v>13</v>
      </c>
      <c r="I1043" s="9" t="s">
        <v>2535</v>
      </c>
    </row>
    <row r="1044" customFormat="false" ht="15.75" hidden="false" customHeight="false" outlineLevel="0" collapsed="false">
      <c r="B1044" s="7" t="n">
        <v>46213</v>
      </c>
      <c r="C1044" s="3" t="s">
        <v>2537</v>
      </c>
      <c r="D1044" s="3" t="s">
        <v>2077</v>
      </c>
      <c r="E1044" s="3" t="s">
        <v>2488</v>
      </c>
      <c r="F1044" s="3" t="s">
        <v>2489</v>
      </c>
      <c r="G1044" s="10" t="s">
        <v>2531</v>
      </c>
      <c r="H1044" s="9" t="s">
        <v>13</v>
      </c>
      <c r="I1044" s="9" t="s">
        <v>2538</v>
      </c>
    </row>
    <row r="1045" customFormat="false" ht="15.75" hidden="false" customHeight="false" outlineLevel="0" collapsed="false">
      <c r="B1045" s="7" t="n">
        <v>46213</v>
      </c>
      <c r="C1045" s="3" t="s">
        <v>2539</v>
      </c>
      <c r="D1045" s="3" t="s">
        <v>2077</v>
      </c>
      <c r="E1045" s="3" t="s">
        <v>2488</v>
      </c>
      <c r="F1045" s="3" t="s">
        <v>2489</v>
      </c>
      <c r="G1045" s="10" t="s">
        <v>2531</v>
      </c>
      <c r="H1045" s="9" t="s">
        <v>13</v>
      </c>
      <c r="I1045" s="9" t="s">
        <v>2540</v>
      </c>
    </row>
    <row r="1046" customFormat="false" ht="15.75" hidden="false" customHeight="false" outlineLevel="0" collapsed="false">
      <c r="B1046" s="7" t="n">
        <v>46213</v>
      </c>
      <c r="C1046" s="3" t="s">
        <v>2541</v>
      </c>
      <c r="D1046" s="3" t="s">
        <v>2077</v>
      </c>
      <c r="E1046" s="3" t="s">
        <v>2488</v>
      </c>
      <c r="F1046" s="3" t="s">
        <v>2489</v>
      </c>
      <c r="G1046" s="10" t="s">
        <v>2531</v>
      </c>
      <c r="H1046" s="9" t="s">
        <v>13</v>
      </c>
      <c r="I1046" s="9" t="s">
        <v>2540</v>
      </c>
    </row>
    <row r="1047" customFormat="false" ht="15.75" hidden="false" customHeight="false" outlineLevel="0" collapsed="false">
      <c r="B1047" s="7" t="n">
        <v>46213</v>
      </c>
      <c r="C1047" s="3" t="s">
        <v>2542</v>
      </c>
      <c r="D1047" s="3" t="s">
        <v>2077</v>
      </c>
      <c r="E1047" s="3" t="s">
        <v>2488</v>
      </c>
      <c r="F1047" s="3" t="s">
        <v>2489</v>
      </c>
      <c r="G1047" s="8" t="s">
        <v>2525</v>
      </c>
      <c r="H1047" s="9" t="s">
        <v>13</v>
      </c>
      <c r="I1047" s="9" t="s">
        <v>2543</v>
      </c>
    </row>
    <row r="1048" customFormat="false" ht="15.75" hidden="false" customHeight="false" outlineLevel="0" collapsed="false">
      <c r="B1048" s="7" t="n">
        <v>46213</v>
      </c>
      <c r="C1048" s="3" t="s">
        <v>2544</v>
      </c>
      <c r="D1048" s="3" t="s">
        <v>2077</v>
      </c>
      <c r="E1048" s="3" t="s">
        <v>2488</v>
      </c>
      <c r="F1048" s="3" t="s">
        <v>2489</v>
      </c>
      <c r="G1048" s="8" t="s">
        <v>2525</v>
      </c>
      <c r="H1048" s="9" t="s">
        <v>13</v>
      </c>
      <c r="I1048" s="9" t="s">
        <v>2543</v>
      </c>
    </row>
    <row r="1049" customFormat="false" ht="15.75" hidden="false" customHeight="false" outlineLevel="0" collapsed="false">
      <c r="B1049" s="7" t="n">
        <v>46237</v>
      </c>
      <c r="C1049" s="3" t="s">
        <v>2545</v>
      </c>
      <c r="D1049" s="3" t="s">
        <v>2077</v>
      </c>
      <c r="E1049" s="3" t="s">
        <v>2546</v>
      </c>
      <c r="F1049" s="3" t="s">
        <v>2547</v>
      </c>
      <c r="G1049" s="8" t="s">
        <v>2548</v>
      </c>
      <c r="H1049" s="9" t="s">
        <v>13</v>
      </c>
      <c r="I1049" s="9" t="s">
        <v>2549</v>
      </c>
    </row>
    <row r="1050" customFormat="false" ht="15.75" hidden="false" customHeight="false" outlineLevel="0" collapsed="false">
      <c r="B1050" s="7" t="n">
        <v>46213</v>
      </c>
      <c r="C1050" s="3" t="s">
        <v>2550</v>
      </c>
      <c r="D1050" s="3" t="s">
        <v>2077</v>
      </c>
      <c r="E1050" s="3" t="s">
        <v>2488</v>
      </c>
      <c r="F1050" s="3" t="s">
        <v>2489</v>
      </c>
      <c r="G1050" s="10" t="s">
        <v>2452</v>
      </c>
      <c r="H1050" s="9" t="s">
        <v>13</v>
      </c>
      <c r="I1050" s="9" t="s">
        <v>2551</v>
      </c>
    </row>
    <row r="1051" customFormat="false" ht="15.75" hidden="false" customHeight="false" outlineLevel="0" collapsed="false">
      <c r="B1051" s="7" t="n">
        <v>46213</v>
      </c>
      <c r="C1051" s="3" t="s">
        <v>2552</v>
      </c>
      <c r="D1051" s="3" t="s">
        <v>2077</v>
      </c>
      <c r="E1051" s="3" t="s">
        <v>2488</v>
      </c>
      <c r="F1051" s="3" t="s">
        <v>2489</v>
      </c>
      <c r="G1051" s="10" t="s">
        <v>2553</v>
      </c>
      <c r="H1051" s="9" t="s">
        <v>13</v>
      </c>
      <c r="I1051" s="9" t="s">
        <v>2554</v>
      </c>
    </row>
    <row r="1052" customFormat="false" ht="15.75" hidden="false" customHeight="false" outlineLevel="0" collapsed="false">
      <c r="B1052" s="7" t="n">
        <v>46213</v>
      </c>
      <c r="C1052" s="3" t="s">
        <v>2555</v>
      </c>
      <c r="D1052" s="3" t="s">
        <v>2077</v>
      </c>
      <c r="E1052" s="3" t="s">
        <v>2488</v>
      </c>
      <c r="F1052" s="3" t="s">
        <v>2489</v>
      </c>
      <c r="G1052" s="10" t="s">
        <v>2553</v>
      </c>
      <c r="H1052" s="9" t="s">
        <v>13</v>
      </c>
      <c r="I1052" s="9" t="s">
        <v>2554</v>
      </c>
    </row>
    <row r="1053" customFormat="false" ht="15.75" hidden="false" customHeight="false" outlineLevel="0" collapsed="false">
      <c r="B1053" s="7" t="n">
        <v>46213</v>
      </c>
      <c r="C1053" s="3" t="s">
        <v>2556</v>
      </c>
      <c r="D1053" s="3" t="s">
        <v>2077</v>
      </c>
      <c r="E1053" s="3" t="s">
        <v>2557</v>
      </c>
      <c r="F1053" s="3" t="s">
        <v>2558</v>
      </c>
      <c r="G1053" s="10" t="s">
        <v>2559</v>
      </c>
      <c r="H1053" s="9" t="s">
        <v>13</v>
      </c>
      <c r="I1053" s="9" t="s">
        <v>2560</v>
      </c>
    </row>
    <row r="1054" customFormat="false" ht="15.75" hidden="false" customHeight="false" outlineLevel="0" collapsed="false">
      <c r="B1054" s="7" t="n">
        <v>46213</v>
      </c>
      <c r="C1054" s="3" t="s">
        <v>2561</v>
      </c>
      <c r="D1054" s="3" t="s">
        <v>2077</v>
      </c>
      <c r="E1054" s="3" t="s">
        <v>2557</v>
      </c>
      <c r="F1054" s="3" t="s">
        <v>2558</v>
      </c>
      <c r="G1054" s="8" t="s">
        <v>2562</v>
      </c>
      <c r="H1054" s="9" t="s">
        <v>13</v>
      </c>
      <c r="I1054" s="9" t="s">
        <v>2563</v>
      </c>
    </row>
    <row r="1055" customFormat="false" ht="15.75" hidden="false" customHeight="false" outlineLevel="0" collapsed="false">
      <c r="B1055" s="7" t="n">
        <v>46213</v>
      </c>
      <c r="C1055" s="3" t="s">
        <v>2564</v>
      </c>
      <c r="D1055" s="3" t="s">
        <v>2077</v>
      </c>
      <c r="E1055" s="3" t="s">
        <v>2557</v>
      </c>
      <c r="F1055" s="3" t="s">
        <v>2558</v>
      </c>
      <c r="G1055" s="10" t="s">
        <v>2565</v>
      </c>
      <c r="H1055" s="9" t="s">
        <v>13</v>
      </c>
      <c r="I1055" s="9" t="s">
        <v>2566</v>
      </c>
    </row>
    <row r="1056" customFormat="false" ht="15.75" hidden="false" customHeight="false" outlineLevel="0" collapsed="false">
      <c r="B1056" s="7" t="n">
        <v>46213</v>
      </c>
      <c r="C1056" s="3" t="s">
        <v>2567</v>
      </c>
      <c r="D1056" s="3" t="s">
        <v>2077</v>
      </c>
      <c r="E1056" s="3" t="s">
        <v>2557</v>
      </c>
      <c r="F1056" s="3" t="s">
        <v>2558</v>
      </c>
      <c r="G1056" s="8" t="s">
        <v>2568</v>
      </c>
      <c r="H1056" s="9" t="s">
        <v>13</v>
      </c>
      <c r="I1056" s="9" t="s">
        <v>2569</v>
      </c>
    </row>
    <row r="1057" customFormat="false" ht="15.75" hidden="false" customHeight="false" outlineLevel="0" collapsed="false">
      <c r="B1057" s="7" t="n">
        <v>46213</v>
      </c>
      <c r="C1057" s="3" t="s">
        <v>2570</v>
      </c>
      <c r="D1057" s="3" t="s">
        <v>2077</v>
      </c>
      <c r="E1057" s="3" t="s">
        <v>2557</v>
      </c>
      <c r="F1057" s="3" t="s">
        <v>2558</v>
      </c>
      <c r="G1057" s="8" t="s">
        <v>2571</v>
      </c>
      <c r="H1057" s="9" t="s">
        <v>13</v>
      </c>
      <c r="I1057" s="9" t="s">
        <v>2572</v>
      </c>
    </row>
    <row r="1058" customFormat="false" ht="15.75" hidden="false" customHeight="false" outlineLevel="0" collapsed="false">
      <c r="B1058" s="7" t="n">
        <v>46213</v>
      </c>
      <c r="C1058" s="3" t="s">
        <v>2573</v>
      </c>
      <c r="D1058" s="3" t="s">
        <v>2077</v>
      </c>
      <c r="E1058" s="3" t="s">
        <v>2557</v>
      </c>
      <c r="F1058" s="3" t="s">
        <v>2558</v>
      </c>
      <c r="G1058" s="10" t="s">
        <v>2574</v>
      </c>
      <c r="H1058" s="9" t="s">
        <v>13</v>
      </c>
      <c r="I1058" s="9" t="s">
        <v>2575</v>
      </c>
    </row>
    <row r="1059" customFormat="false" ht="15.75" hidden="false" customHeight="false" outlineLevel="0" collapsed="false">
      <c r="B1059" s="7" t="n">
        <v>46213</v>
      </c>
      <c r="C1059" s="3" t="s">
        <v>2576</v>
      </c>
      <c r="D1059" s="3" t="s">
        <v>2077</v>
      </c>
      <c r="E1059" s="3" t="s">
        <v>2557</v>
      </c>
      <c r="F1059" s="3" t="s">
        <v>2558</v>
      </c>
      <c r="G1059" s="8" t="s">
        <v>2577</v>
      </c>
      <c r="H1059" s="9" t="s">
        <v>13</v>
      </c>
      <c r="I1059" s="9" t="s">
        <v>2578</v>
      </c>
    </row>
    <row r="1060" customFormat="false" ht="15.75" hidden="false" customHeight="false" outlineLevel="0" collapsed="false">
      <c r="B1060" s="7" t="n">
        <v>46213</v>
      </c>
      <c r="C1060" s="3" t="s">
        <v>2579</v>
      </c>
      <c r="D1060" s="3" t="s">
        <v>2077</v>
      </c>
      <c r="E1060" s="3" t="s">
        <v>2557</v>
      </c>
      <c r="F1060" s="3" t="s">
        <v>2558</v>
      </c>
      <c r="G1060" s="10" t="s">
        <v>2580</v>
      </c>
      <c r="H1060" s="9" t="s">
        <v>13</v>
      </c>
      <c r="I1060" s="9" t="s">
        <v>2581</v>
      </c>
    </row>
    <row r="1061" customFormat="false" ht="15.75" hidden="false" customHeight="false" outlineLevel="0" collapsed="false">
      <c r="B1061" s="7" t="n">
        <v>46213</v>
      </c>
      <c r="C1061" s="3" t="s">
        <v>2582</v>
      </c>
      <c r="D1061" s="3" t="s">
        <v>2077</v>
      </c>
      <c r="E1061" s="3" t="s">
        <v>2557</v>
      </c>
      <c r="F1061" s="3" t="s">
        <v>2558</v>
      </c>
      <c r="G1061" s="10" t="s">
        <v>2583</v>
      </c>
      <c r="H1061" s="9" t="s">
        <v>13</v>
      </c>
      <c r="I1061" s="9" t="s">
        <v>2584</v>
      </c>
    </row>
    <row r="1062" customFormat="false" ht="15.75" hidden="false" customHeight="false" outlineLevel="0" collapsed="false">
      <c r="B1062" s="7" t="n">
        <v>46213</v>
      </c>
      <c r="C1062" s="3" t="s">
        <v>2585</v>
      </c>
      <c r="D1062" s="3" t="s">
        <v>2077</v>
      </c>
      <c r="E1062" s="3" t="s">
        <v>2557</v>
      </c>
      <c r="F1062" s="3" t="s">
        <v>2558</v>
      </c>
      <c r="G1062" s="8" t="s">
        <v>2586</v>
      </c>
      <c r="H1062" s="9" t="s">
        <v>13</v>
      </c>
      <c r="I1062" s="9" t="s">
        <v>2587</v>
      </c>
    </row>
    <row r="1063" customFormat="false" ht="15.75" hidden="false" customHeight="false" outlineLevel="0" collapsed="false">
      <c r="B1063" s="7" t="n">
        <v>46213</v>
      </c>
      <c r="C1063" s="3" t="s">
        <v>2588</v>
      </c>
      <c r="D1063" s="3" t="s">
        <v>2077</v>
      </c>
      <c r="E1063" s="3" t="s">
        <v>2557</v>
      </c>
      <c r="F1063" s="3" t="s">
        <v>2558</v>
      </c>
      <c r="G1063" s="10" t="s">
        <v>2589</v>
      </c>
      <c r="H1063" s="9" t="s">
        <v>13</v>
      </c>
      <c r="I1063" s="9" t="s">
        <v>2590</v>
      </c>
    </row>
    <row r="1064" customFormat="false" ht="15.75" hidden="false" customHeight="false" outlineLevel="0" collapsed="false">
      <c r="B1064" s="7" t="n">
        <v>46213</v>
      </c>
      <c r="C1064" s="3" t="s">
        <v>2591</v>
      </c>
      <c r="D1064" s="3" t="s">
        <v>2077</v>
      </c>
      <c r="E1064" s="3" t="s">
        <v>2557</v>
      </c>
      <c r="F1064" s="3" t="s">
        <v>2558</v>
      </c>
      <c r="G1064" s="10" t="s">
        <v>2592</v>
      </c>
      <c r="H1064" s="9" t="s">
        <v>13</v>
      </c>
      <c r="I1064" s="9" t="s">
        <v>2593</v>
      </c>
    </row>
    <row r="1065" customFormat="false" ht="15.75" hidden="false" customHeight="false" outlineLevel="0" collapsed="false">
      <c r="B1065" s="7" t="n">
        <v>46213</v>
      </c>
      <c r="C1065" s="3" t="s">
        <v>2594</v>
      </c>
      <c r="D1065" s="3" t="s">
        <v>2077</v>
      </c>
      <c r="E1065" s="3" t="s">
        <v>2557</v>
      </c>
      <c r="F1065" s="3" t="s">
        <v>2558</v>
      </c>
      <c r="G1065" s="10" t="s">
        <v>2595</v>
      </c>
      <c r="H1065" s="9" t="s">
        <v>13</v>
      </c>
      <c r="I1065" s="9" t="s">
        <v>2596</v>
      </c>
    </row>
    <row r="1066" customFormat="false" ht="15.75" hidden="false" customHeight="false" outlineLevel="0" collapsed="false">
      <c r="B1066" s="7" t="n">
        <v>46213</v>
      </c>
      <c r="C1066" s="3" t="s">
        <v>2597</v>
      </c>
      <c r="D1066" s="3" t="s">
        <v>2077</v>
      </c>
      <c r="E1066" s="3" t="s">
        <v>2557</v>
      </c>
      <c r="F1066" s="3" t="s">
        <v>2558</v>
      </c>
      <c r="G1066" s="10" t="s">
        <v>2595</v>
      </c>
      <c r="H1066" s="9" t="s">
        <v>13</v>
      </c>
      <c r="I1066" s="9" t="s">
        <v>2596</v>
      </c>
    </row>
    <row r="1067" customFormat="false" ht="15.75" hidden="false" customHeight="false" outlineLevel="0" collapsed="false">
      <c r="B1067" s="7" t="n">
        <v>46213</v>
      </c>
      <c r="C1067" s="3" t="s">
        <v>2598</v>
      </c>
      <c r="D1067" s="3" t="s">
        <v>2077</v>
      </c>
      <c r="E1067" s="3" t="s">
        <v>2557</v>
      </c>
      <c r="F1067" s="3" t="s">
        <v>2558</v>
      </c>
      <c r="G1067" s="10" t="s">
        <v>2595</v>
      </c>
      <c r="H1067" s="9" t="s">
        <v>13</v>
      </c>
      <c r="I1067" s="9" t="s">
        <v>2596</v>
      </c>
    </row>
    <row r="1068" customFormat="false" ht="15.75" hidden="false" customHeight="false" outlineLevel="0" collapsed="false">
      <c r="B1068" s="7" t="n">
        <v>46213</v>
      </c>
      <c r="C1068" s="3" t="s">
        <v>2599</v>
      </c>
      <c r="D1068" s="3" t="s">
        <v>2077</v>
      </c>
      <c r="E1068" s="3" t="s">
        <v>2557</v>
      </c>
      <c r="F1068" s="3" t="s">
        <v>2558</v>
      </c>
      <c r="G1068" s="8" t="s">
        <v>2600</v>
      </c>
      <c r="H1068" s="9" t="s">
        <v>13</v>
      </c>
      <c r="I1068" s="9" t="s">
        <v>2601</v>
      </c>
    </row>
    <row r="1069" customFormat="false" ht="15.75" hidden="false" customHeight="false" outlineLevel="0" collapsed="false">
      <c r="B1069" s="7" t="n">
        <v>46213</v>
      </c>
      <c r="C1069" s="3" t="s">
        <v>2602</v>
      </c>
      <c r="D1069" s="3" t="s">
        <v>2077</v>
      </c>
      <c r="E1069" s="3" t="s">
        <v>2557</v>
      </c>
      <c r="F1069" s="3" t="s">
        <v>2558</v>
      </c>
      <c r="G1069" s="10" t="s">
        <v>2603</v>
      </c>
      <c r="H1069" s="9" t="s">
        <v>13</v>
      </c>
      <c r="I1069" s="9" t="s">
        <v>2604</v>
      </c>
    </row>
    <row r="1070" customFormat="false" ht="15.75" hidden="false" customHeight="false" outlineLevel="0" collapsed="false">
      <c r="B1070" s="7" t="n">
        <v>46213</v>
      </c>
      <c r="C1070" s="3" t="s">
        <v>2605</v>
      </c>
      <c r="D1070" s="3" t="s">
        <v>2077</v>
      </c>
      <c r="E1070" s="3" t="s">
        <v>2557</v>
      </c>
      <c r="F1070" s="3" t="s">
        <v>2558</v>
      </c>
      <c r="G1070" s="8" t="s">
        <v>2606</v>
      </c>
      <c r="H1070" s="9" t="s">
        <v>13</v>
      </c>
      <c r="I1070" s="9" t="s">
        <v>2607</v>
      </c>
    </row>
    <row r="1071" customFormat="false" ht="15.75" hidden="false" customHeight="false" outlineLevel="0" collapsed="false">
      <c r="B1071" s="7" t="n">
        <v>46213</v>
      </c>
      <c r="C1071" s="3" t="s">
        <v>2608</v>
      </c>
      <c r="D1071" s="3" t="s">
        <v>2077</v>
      </c>
      <c r="E1071" s="3" t="s">
        <v>2557</v>
      </c>
      <c r="F1071" s="3" t="s">
        <v>2558</v>
      </c>
      <c r="G1071" s="10" t="s">
        <v>2609</v>
      </c>
      <c r="H1071" s="9" t="s">
        <v>13</v>
      </c>
      <c r="I1071" s="9" t="s">
        <v>2610</v>
      </c>
    </row>
    <row r="1072" customFormat="false" ht="15.75" hidden="false" customHeight="false" outlineLevel="0" collapsed="false">
      <c r="B1072" s="7" t="n">
        <v>46213</v>
      </c>
      <c r="C1072" s="3" t="s">
        <v>2611</v>
      </c>
      <c r="D1072" s="3" t="s">
        <v>2077</v>
      </c>
      <c r="E1072" s="3" t="s">
        <v>2557</v>
      </c>
      <c r="F1072" s="3" t="s">
        <v>2558</v>
      </c>
      <c r="G1072" s="10" t="s">
        <v>2609</v>
      </c>
      <c r="H1072" s="9" t="s">
        <v>13</v>
      </c>
      <c r="I1072" s="9" t="s">
        <v>2612</v>
      </c>
    </row>
    <row r="1073" customFormat="false" ht="15.75" hidden="false" customHeight="false" outlineLevel="0" collapsed="false">
      <c r="B1073" s="7" t="n">
        <v>46213</v>
      </c>
      <c r="C1073" s="3" t="s">
        <v>2613</v>
      </c>
      <c r="D1073" s="3" t="s">
        <v>2077</v>
      </c>
      <c r="E1073" s="3" t="s">
        <v>2557</v>
      </c>
      <c r="F1073" s="3" t="s">
        <v>2558</v>
      </c>
      <c r="G1073" s="8" t="s">
        <v>2614</v>
      </c>
      <c r="H1073" s="9" t="s">
        <v>13</v>
      </c>
      <c r="I1073" s="9" t="s">
        <v>2615</v>
      </c>
    </row>
    <row r="1074" customFormat="false" ht="15.75" hidden="false" customHeight="false" outlineLevel="0" collapsed="false">
      <c r="B1074" s="7" t="n">
        <v>46213</v>
      </c>
      <c r="C1074" s="3" t="s">
        <v>2616</v>
      </c>
      <c r="D1074" s="3" t="s">
        <v>2077</v>
      </c>
      <c r="E1074" s="3" t="s">
        <v>2557</v>
      </c>
      <c r="F1074" s="3" t="s">
        <v>2558</v>
      </c>
      <c r="G1074" s="10" t="s">
        <v>2617</v>
      </c>
      <c r="H1074" s="9" t="s">
        <v>13</v>
      </c>
      <c r="I1074" s="9" t="s">
        <v>2618</v>
      </c>
    </row>
    <row r="1075" customFormat="false" ht="15.75" hidden="false" customHeight="false" outlineLevel="0" collapsed="false">
      <c r="B1075" s="7" t="n">
        <v>46213</v>
      </c>
      <c r="C1075" s="3" t="s">
        <v>2619</v>
      </c>
      <c r="D1075" s="3" t="s">
        <v>2077</v>
      </c>
      <c r="E1075" s="3" t="s">
        <v>2557</v>
      </c>
      <c r="F1075" s="3" t="s">
        <v>2558</v>
      </c>
      <c r="G1075" s="10" t="s">
        <v>2620</v>
      </c>
      <c r="H1075" s="9" t="s">
        <v>13</v>
      </c>
      <c r="I1075" s="9" t="s">
        <v>2621</v>
      </c>
    </row>
    <row r="1076" customFormat="false" ht="15.75" hidden="false" customHeight="false" outlineLevel="0" collapsed="false">
      <c r="B1076" s="7" t="n">
        <v>46213</v>
      </c>
      <c r="C1076" s="3" t="s">
        <v>2622</v>
      </c>
      <c r="D1076" s="3" t="s">
        <v>2077</v>
      </c>
      <c r="E1076" s="3" t="s">
        <v>2557</v>
      </c>
      <c r="F1076" s="3" t="s">
        <v>2558</v>
      </c>
      <c r="G1076" s="10" t="s">
        <v>2623</v>
      </c>
      <c r="H1076" s="9" t="s">
        <v>13</v>
      </c>
      <c r="I1076" s="9" t="s">
        <v>2624</v>
      </c>
    </row>
    <row r="1077" customFormat="false" ht="15.75" hidden="false" customHeight="false" outlineLevel="0" collapsed="false">
      <c r="B1077" s="7" t="n">
        <v>46213</v>
      </c>
      <c r="C1077" s="3" t="s">
        <v>2625</v>
      </c>
      <c r="D1077" s="3" t="s">
        <v>2077</v>
      </c>
      <c r="E1077" s="3" t="s">
        <v>2557</v>
      </c>
      <c r="F1077" s="3" t="s">
        <v>2558</v>
      </c>
      <c r="G1077" s="8" t="s">
        <v>2626</v>
      </c>
      <c r="H1077" s="9" t="s">
        <v>13</v>
      </c>
      <c r="I1077" s="9" t="s">
        <v>2627</v>
      </c>
    </row>
    <row r="1078" customFormat="false" ht="15.75" hidden="false" customHeight="false" outlineLevel="0" collapsed="false">
      <c r="B1078" s="7" t="n">
        <v>46213</v>
      </c>
      <c r="C1078" s="3" t="s">
        <v>2628</v>
      </c>
      <c r="D1078" s="3" t="s">
        <v>2077</v>
      </c>
      <c r="E1078" s="3" t="s">
        <v>2557</v>
      </c>
      <c r="F1078" s="3" t="s">
        <v>2558</v>
      </c>
      <c r="G1078" s="10" t="s">
        <v>2629</v>
      </c>
      <c r="H1078" s="9" t="s">
        <v>13</v>
      </c>
      <c r="I1078" s="9" t="s">
        <v>2630</v>
      </c>
    </row>
    <row r="1079" customFormat="false" ht="15.75" hidden="false" customHeight="false" outlineLevel="0" collapsed="false">
      <c r="B1079" s="7" t="n">
        <v>46213</v>
      </c>
      <c r="C1079" s="3" t="s">
        <v>2631</v>
      </c>
      <c r="D1079" s="3" t="s">
        <v>2077</v>
      </c>
      <c r="E1079" s="3" t="s">
        <v>2557</v>
      </c>
      <c r="F1079" s="3" t="s">
        <v>2558</v>
      </c>
      <c r="G1079" s="8" t="s">
        <v>2632</v>
      </c>
      <c r="H1079" s="9" t="s">
        <v>13</v>
      </c>
      <c r="I1079" s="9" t="s">
        <v>2633</v>
      </c>
    </row>
    <row r="1080" customFormat="false" ht="15.75" hidden="false" customHeight="false" outlineLevel="0" collapsed="false">
      <c r="B1080" s="7" t="n">
        <v>46213</v>
      </c>
      <c r="C1080" s="3" t="s">
        <v>2634</v>
      </c>
      <c r="D1080" s="3" t="s">
        <v>2077</v>
      </c>
      <c r="E1080" s="3" t="s">
        <v>2557</v>
      </c>
      <c r="F1080" s="3" t="s">
        <v>2558</v>
      </c>
      <c r="G1080" s="10" t="s">
        <v>2609</v>
      </c>
      <c r="H1080" s="9" t="s">
        <v>13</v>
      </c>
      <c r="I1080" s="9" t="s">
        <v>2635</v>
      </c>
    </row>
    <row r="1081" customFormat="false" ht="15.75" hidden="false" customHeight="false" outlineLevel="0" collapsed="false">
      <c r="B1081" s="7" t="n">
        <v>46213</v>
      </c>
      <c r="C1081" s="3" t="s">
        <v>2636</v>
      </c>
      <c r="D1081" s="3" t="s">
        <v>2077</v>
      </c>
      <c r="E1081" s="3" t="s">
        <v>2557</v>
      </c>
      <c r="F1081" s="3" t="s">
        <v>2558</v>
      </c>
      <c r="G1081" s="10" t="s">
        <v>2637</v>
      </c>
      <c r="H1081" s="9" t="s">
        <v>13</v>
      </c>
      <c r="I1081" s="9" t="s">
        <v>2638</v>
      </c>
    </row>
    <row r="1082" customFormat="false" ht="15.75" hidden="false" customHeight="false" outlineLevel="0" collapsed="false">
      <c r="B1082" s="7" t="n">
        <v>46213</v>
      </c>
      <c r="C1082" s="3" t="s">
        <v>2639</v>
      </c>
      <c r="D1082" s="3" t="s">
        <v>2077</v>
      </c>
      <c r="E1082" s="3" t="s">
        <v>2557</v>
      </c>
      <c r="F1082" s="3" t="s">
        <v>2558</v>
      </c>
      <c r="G1082" s="10" t="s">
        <v>2640</v>
      </c>
      <c r="H1082" s="9" t="s">
        <v>13</v>
      </c>
      <c r="I1082" s="9" t="s">
        <v>2641</v>
      </c>
    </row>
    <row r="1083" customFormat="false" ht="15.75" hidden="false" customHeight="false" outlineLevel="0" collapsed="false">
      <c r="B1083" s="7" t="n">
        <v>46213</v>
      </c>
      <c r="C1083" s="3" t="s">
        <v>2642</v>
      </c>
      <c r="D1083" s="3" t="s">
        <v>2077</v>
      </c>
      <c r="E1083" s="3" t="s">
        <v>2557</v>
      </c>
      <c r="F1083" s="3" t="s">
        <v>2558</v>
      </c>
      <c r="G1083" s="10" t="s">
        <v>2643</v>
      </c>
      <c r="H1083" s="9" t="s">
        <v>13</v>
      </c>
      <c r="I1083" s="9" t="s">
        <v>2644</v>
      </c>
    </row>
    <row r="1084" customFormat="false" ht="15.75" hidden="false" customHeight="false" outlineLevel="0" collapsed="false">
      <c r="B1084" s="7" t="n">
        <v>46213</v>
      </c>
      <c r="C1084" s="3" t="s">
        <v>2645</v>
      </c>
      <c r="D1084" s="3" t="s">
        <v>2077</v>
      </c>
      <c r="E1084" s="3" t="s">
        <v>2557</v>
      </c>
      <c r="F1084" s="3" t="s">
        <v>2558</v>
      </c>
      <c r="G1084" s="8" t="s">
        <v>2646</v>
      </c>
      <c r="H1084" s="9" t="s">
        <v>13</v>
      </c>
      <c r="I1084" s="9" t="s">
        <v>2647</v>
      </c>
    </row>
    <row r="1085" customFormat="false" ht="15.75" hidden="false" customHeight="false" outlineLevel="0" collapsed="false">
      <c r="B1085" s="7" t="n">
        <v>46213</v>
      </c>
      <c r="C1085" s="3" t="s">
        <v>2648</v>
      </c>
      <c r="D1085" s="3" t="s">
        <v>2077</v>
      </c>
      <c r="E1085" s="3" t="s">
        <v>2557</v>
      </c>
      <c r="F1085" s="3" t="s">
        <v>2558</v>
      </c>
      <c r="G1085" s="8" t="s">
        <v>2649</v>
      </c>
      <c r="H1085" s="9" t="s">
        <v>13</v>
      </c>
      <c r="I1085" s="9" t="s">
        <v>2650</v>
      </c>
    </row>
    <row r="1086" customFormat="false" ht="15.75" hidden="false" customHeight="false" outlineLevel="0" collapsed="false">
      <c r="B1086" s="7" t="n">
        <v>46213</v>
      </c>
      <c r="C1086" s="3" t="s">
        <v>2651</v>
      </c>
      <c r="D1086" s="3" t="s">
        <v>2077</v>
      </c>
      <c r="E1086" s="3" t="s">
        <v>2557</v>
      </c>
      <c r="F1086" s="3" t="s">
        <v>2558</v>
      </c>
      <c r="G1086" s="10" t="s">
        <v>2652</v>
      </c>
      <c r="H1086" s="9" t="s">
        <v>13</v>
      </c>
      <c r="I1086" s="9" t="s">
        <v>2653</v>
      </c>
    </row>
    <row r="1087" customFormat="false" ht="15.75" hidden="false" customHeight="false" outlineLevel="0" collapsed="false">
      <c r="B1087" s="7" t="n">
        <v>46213</v>
      </c>
      <c r="C1087" s="3" t="s">
        <v>2654</v>
      </c>
      <c r="D1087" s="3" t="s">
        <v>2077</v>
      </c>
      <c r="E1087" s="3" t="s">
        <v>2557</v>
      </c>
      <c r="F1087" s="3" t="s">
        <v>2558</v>
      </c>
      <c r="G1087" s="10" t="s">
        <v>2655</v>
      </c>
      <c r="H1087" s="9" t="s">
        <v>13</v>
      </c>
      <c r="I1087" s="9" t="s">
        <v>2656</v>
      </c>
    </row>
    <row r="1088" customFormat="false" ht="15.75" hidden="false" customHeight="false" outlineLevel="0" collapsed="false">
      <c r="B1088" s="7" t="n">
        <v>46213</v>
      </c>
      <c r="C1088" s="3" t="s">
        <v>2657</v>
      </c>
      <c r="D1088" s="3" t="s">
        <v>2077</v>
      </c>
      <c r="E1088" s="3" t="s">
        <v>2557</v>
      </c>
      <c r="F1088" s="3" t="s">
        <v>2658</v>
      </c>
      <c r="G1088" s="10" t="s">
        <v>2172</v>
      </c>
      <c r="H1088" s="9" t="s">
        <v>13</v>
      </c>
      <c r="I1088" s="9" t="s">
        <v>2659</v>
      </c>
    </row>
    <row r="1089" customFormat="false" ht="15.75" hidden="false" customHeight="false" outlineLevel="0" collapsed="false">
      <c r="B1089" s="7" t="n">
        <v>46213</v>
      </c>
      <c r="C1089" s="3" t="s">
        <v>2660</v>
      </c>
      <c r="D1089" s="3" t="s">
        <v>2077</v>
      </c>
      <c r="E1089" s="3" t="s">
        <v>2557</v>
      </c>
      <c r="F1089" s="3" t="s">
        <v>2658</v>
      </c>
      <c r="G1089" s="8" t="s">
        <v>2661</v>
      </c>
      <c r="H1089" s="9" t="s">
        <v>13</v>
      </c>
      <c r="I1089" s="9" t="s">
        <v>2662</v>
      </c>
    </row>
    <row r="1090" customFormat="false" ht="15.75" hidden="false" customHeight="false" outlineLevel="0" collapsed="false">
      <c r="B1090" s="7" t="n">
        <v>46213</v>
      </c>
      <c r="C1090" s="3" t="s">
        <v>2663</v>
      </c>
      <c r="D1090" s="3" t="s">
        <v>2077</v>
      </c>
      <c r="E1090" s="3" t="s">
        <v>2557</v>
      </c>
      <c r="F1090" s="3" t="s">
        <v>2658</v>
      </c>
      <c r="G1090" s="8" t="s">
        <v>2661</v>
      </c>
      <c r="H1090" s="9" t="s">
        <v>13</v>
      </c>
      <c r="I1090" s="9" t="s">
        <v>2662</v>
      </c>
    </row>
    <row r="1091" customFormat="false" ht="15.75" hidden="false" customHeight="false" outlineLevel="0" collapsed="false">
      <c r="B1091" s="7" t="n">
        <v>46213</v>
      </c>
      <c r="C1091" s="3" t="s">
        <v>2664</v>
      </c>
      <c r="D1091" s="3" t="s">
        <v>2077</v>
      </c>
      <c r="E1091" s="3" t="s">
        <v>2557</v>
      </c>
      <c r="F1091" s="3" t="s">
        <v>2658</v>
      </c>
      <c r="G1091" s="10" t="s">
        <v>2665</v>
      </c>
      <c r="H1091" s="9" t="s">
        <v>13</v>
      </c>
      <c r="I1091" s="9" t="s">
        <v>2666</v>
      </c>
    </row>
    <row r="1092" customFormat="false" ht="15.75" hidden="false" customHeight="false" outlineLevel="0" collapsed="false">
      <c r="B1092" s="7" t="n">
        <v>46213</v>
      </c>
      <c r="C1092" s="3" t="s">
        <v>2667</v>
      </c>
      <c r="D1092" s="3" t="s">
        <v>2077</v>
      </c>
      <c r="E1092" s="3" t="s">
        <v>2557</v>
      </c>
      <c r="F1092" s="3" t="s">
        <v>2658</v>
      </c>
      <c r="G1092" s="10" t="s">
        <v>2668</v>
      </c>
      <c r="H1092" s="9" t="s">
        <v>13</v>
      </c>
      <c r="I1092" s="9" t="s">
        <v>2669</v>
      </c>
    </row>
    <row r="1093" customFormat="false" ht="15.75" hidden="false" customHeight="false" outlineLevel="0" collapsed="false">
      <c r="B1093" s="7" t="n">
        <v>46213</v>
      </c>
      <c r="C1093" s="3" t="s">
        <v>2670</v>
      </c>
      <c r="D1093" s="3" t="s">
        <v>2077</v>
      </c>
      <c r="E1093" s="3" t="s">
        <v>2557</v>
      </c>
      <c r="F1093" s="3" t="s">
        <v>2658</v>
      </c>
      <c r="G1093" s="10" t="s">
        <v>1777</v>
      </c>
      <c r="H1093" s="9" t="s">
        <v>13</v>
      </c>
      <c r="I1093" s="9" t="s">
        <v>2671</v>
      </c>
    </row>
    <row r="1094" customFormat="false" ht="15.75" hidden="false" customHeight="false" outlineLevel="0" collapsed="false">
      <c r="B1094" s="7" t="n">
        <v>46213</v>
      </c>
      <c r="C1094" s="3" t="s">
        <v>2672</v>
      </c>
      <c r="D1094" s="3" t="s">
        <v>2077</v>
      </c>
      <c r="E1094" s="3" t="s">
        <v>2557</v>
      </c>
      <c r="F1094" s="3" t="s">
        <v>2658</v>
      </c>
      <c r="G1094" s="8" t="s">
        <v>2673</v>
      </c>
      <c r="H1094" s="9" t="s">
        <v>13</v>
      </c>
      <c r="I1094" s="9" t="s">
        <v>2674</v>
      </c>
    </row>
    <row r="1095" customFormat="false" ht="15.75" hidden="false" customHeight="false" outlineLevel="0" collapsed="false">
      <c r="B1095" s="7" t="n">
        <v>46213</v>
      </c>
      <c r="C1095" s="3" t="s">
        <v>2675</v>
      </c>
      <c r="D1095" s="3" t="s">
        <v>2077</v>
      </c>
      <c r="E1095" s="3" t="s">
        <v>2557</v>
      </c>
      <c r="F1095" s="3" t="s">
        <v>2658</v>
      </c>
      <c r="G1095" s="8" t="s">
        <v>2673</v>
      </c>
      <c r="H1095" s="9" t="s">
        <v>13</v>
      </c>
      <c r="I1095" s="9" t="s">
        <v>2674</v>
      </c>
    </row>
    <row r="1096" customFormat="false" ht="15.75" hidden="false" customHeight="false" outlineLevel="0" collapsed="false">
      <c r="B1096" s="7" t="n">
        <v>46213</v>
      </c>
      <c r="C1096" s="3" t="s">
        <v>2676</v>
      </c>
      <c r="D1096" s="3" t="s">
        <v>2077</v>
      </c>
      <c r="E1096" s="3" t="s">
        <v>2557</v>
      </c>
      <c r="F1096" s="3" t="s">
        <v>2658</v>
      </c>
      <c r="G1096" s="8" t="s">
        <v>2677</v>
      </c>
      <c r="H1096" s="9" t="s">
        <v>13</v>
      </c>
      <c r="I1096" s="9" t="s">
        <v>2678</v>
      </c>
    </row>
    <row r="1097" customFormat="false" ht="15.75" hidden="false" customHeight="false" outlineLevel="0" collapsed="false">
      <c r="B1097" s="7" t="n">
        <v>46213</v>
      </c>
      <c r="C1097" s="3" t="s">
        <v>2679</v>
      </c>
      <c r="D1097" s="3" t="s">
        <v>2077</v>
      </c>
      <c r="E1097" s="3" t="s">
        <v>2557</v>
      </c>
      <c r="F1097" s="3" t="s">
        <v>2658</v>
      </c>
      <c r="G1097" s="10" t="s">
        <v>2680</v>
      </c>
      <c r="H1097" s="9" t="s">
        <v>13</v>
      </c>
      <c r="I1097" s="9" t="s">
        <v>2681</v>
      </c>
    </row>
    <row r="1098" customFormat="false" ht="15.75" hidden="false" customHeight="false" outlineLevel="0" collapsed="false">
      <c r="B1098" s="7" t="n">
        <v>46213</v>
      </c>
      <c r="C1098" s="3" t="s">
        <v>2682</v>
      </c>
      <c r="D1098" s="3" t="s">
        <v>2077</v>
      </c>
      <c r="E1098" s="3" t="s">
        <v>2557</v>
      </c>
      <c r="F1098" s="3" t="s">
        <v>2658</v>
      </c>
      <c r="G1098" s="8" t="s">
        <v>2683</v>
      </c>
      <c r="H1098" s="9" t="s">
        <v>13</v>
      </c>
      <c r="I1098" s="9" t="s">
        <v>2684</v>
      </c>
    </row>
    <row r="1099" customFormat="false" ht="15.75" hidden="false" customHeight="false" outlineLevel="0" collapsed="false">
      <c r="B1099" s="7" t="n">
        <v>46213</v>
      </c>
      <c r="C1099" s="3" t="s">
        <v>2685</v>
      </c>
      <c r="D1099" s="3" t="s">
        <v>2077</v>
      </c>
      <c r="E1099" s="3" t="s">
        <v>2557</v>
      </c>
      <c r="F1099" s="3" t="s">
        <v>2658</v>
      </c>
      <c r="G1099" s="8" t="s">
        <v>2686</v>
      </c>
      <c r="H1099" s="9" t="s">
        <v>13</v>
      </c>
      <c r="I1099" s="9" t="s">
        <v>2687</v>
      </c>
    </row>
    <row r="1100" customFormat="false" ht="15.75" hidden="false" customHeight="false" outlineLevel="0" collapsed="false">
      <c r="B1100" s="7" t="n">
        <v>46213</v>
      </c>
      <c r="C1100" s="3" t="s">
        <v>2688</v>
      </c>
      <c r="D1100" s="3" t="s">
        <v>2077</v>
      </c>
      <c r="E1100" s="3" t="s">
        <v>2557</v>
      </c>
      <c r="F1100" s="3" t="s">
        <v>2658</v>
      </c>
      <c r="G1100" s="8" t="s">
        <v>2673</v>
      </c>
      <c r="H1100" s="9" t="s">
        <v>13</v>
      </c>
      <c r="I1100" s="9" t="s">
        <v>2689</v>
      </c>
    </row>
    <row r="1101" customFormat="false" ht="15.75" hidden="false" customHeight="false" outlineLevel="0" collapsed="false">
      <c r="B1101" s="7" t="n">
        <v>46213</v>
      </c>
      <c r="C1101" s="3" t="s">
        <v>2690</v>
      </c>
      <c r="D1101" s="3" t="s">
        <v>2077</v>
      </c>
      <c r="E1101" s="3" t="s">
        <v>2557</v>
      </c>
      <c r="F1101" s="3" t="s">
        <v>2658</v>
      </c>
      <c r="G1101" s="8" t="s">
        <v>2673</v>
      </c>
      <c r="H1101" s="9" t="s">
        <v>13</v>
      </c>
      <c r="I1101" s="9" t="s">
        <v>2691</v>
      </c>
    </row>
    <row r="1102" customFormat="false" ht="15.75" hidden="false" customHeight="false" outlineLevel="0" collapsed="false">
      <c r="B1102" s="7" t="n">
        <v>46213</v>
      </c>
      <c r="C1102" s="3" t="s">
        <v>2692</v>
      </c>
      <c r="D1102" s="3" t="s">
        <v>2077</v>
      </c>
      <c r="E1102" s="3" t="s">
        <v>2557</v>
      </c>
      <c r="F1102" s="3" t="s">
        <v>2658</v>
      </c>
      <c r="G1102" s="10" t="s">
        <v>2693</v>
      </c>
      <c r="H1102" s="9" t="s">
        <v>13</v>
      </c>
      <c r="I1102" s="9" t="s">
        <v>2694</v>
      </c>
    </row>
    <row r="1103" customFormat="false" ht="15.75" hidden="false" customHeight="false" outlineLevel="0" collapsed="false">
      <c r="B1103" s="7" t="n">
        <v>46213</v>
      </c>
      <c r="C1103" s="3" t="s">
        <v>2695</v>
      </c>
      <c r="D1103" s="3" t="s">
        <v>2077</v>
      </c>
      <c r="E1103" s="3" t="s">
        <v>2557</v>
      </c>
      <c r="F1103" s="3" t="s">
        <v>2658</v>
      </c>
      <c r="G1103" s="10" t="s">
        <v>2693</v>
      </c>
      <c r="H1103" s="9" t="s">
        <v>13</v>
      </c>
      <c r="I1103" s="9" t="s">
        <v>2696</v>
      </c>
    </row>
    <row r="1104" customFormat="false" ht="15.75" hidden="false" customHeight="false" outlineLevel="0" collapsed="false">
      <c r="B1104" s="7" t="n">
        <v>46213</v>
      </c>
      <c r="C1104" s="3" t="s">
        <v>2697</v>
      </c>
      <c r="D1104" s="3" t="s">
        <v>2077</v>
      </c>
      <c r="E1104" s="3" t="s">
        <v>2557</v>
      </c>
      <c r="F1104" s="3" t="s">
        <v>2658</v>
      </c>
      <c r="G1104" s="10" t="s">
        <v>2693</v>
      </c>
      <c r="H1104" s="9" t="s">
        <v>13</v>
      </c>
      <c r="I1104" s="9" t="s">
        <v>2696</v>
      </c>
    </row>
    <row r="1105" customFormat="false" ht="15.75" hidden="false" customHeight="false" outlineLevel="0" collapsed="false">
      <c r="B1105" s="7" t="n">
        <v>46213</v>
      </c>
      <c r="C1105" s="3" t="s">
        <v>2698</v>
      </c>
      <c r="D1105" s="3" t="s">
        <v>2077</v>
      </c>
      <c r="E1105" s="3" t="s">
        <v>2557</v>
      </c>
      <c r="F1105" s="3" t="s">
        <v>2658</v>
      </c>
      <c r="G1105" s="10" t="s">
        <v>2693</v>
      </c>
      <c r="H1105" s="9" t="s">
        <v>13</v>
      </c>
      <c r="I1105" s="9" t="s">
        <v>2699</v>
      </c>
    </row>
    <row r="1106" customFormat="false" ht="15.75" hidden="false" customHeight="false" outlineLevel="0" collapsed="false">
      <c r="B1106" s="7" t="n">
        <v>46213</v>
      </c>
      <c r="C1106" s="3" t="s">
        <v>2700</v>
      </c>
      <c r="D1106" s="3" t="s">
        <v>2077</v>
      </c>
      <c r="E1106" s="3" t="s">
        <v>2557</v>
      </c>
      <c r="F1106" s="3" t="s">
        <v>2658</v>
      </c>
      <c r="G1106" s="10" t="s">
        <v>2693</v>
      </c>
      <c r="H1106" s="9" t="s">
        <v>13</v>
      </c>
      <c r="I1106" s="9" t="s">
        <v>2701</v>
      </c>
    </row>
    <row r="1107" customFormat="false" ht="15.75" hidden="false" customHeight="false" outlineLevel="0" collapsed="false">
      <c r="B1107" s="7" t="n">
        <v>46213</v>
      </c>
      <c r="C1107" s="3" t="s">
        <v>2702</v>
      </c>
      <c r="D1107" s="3" t="s">
        <v>2077</v>
      </c>
      <c r="E1107" s="3" t="s">
        <v>2557</v>
      </c>
      <c r="F1107" s="3" t="s">
        <v>2658</v>
      </c>
      <c r="G1107" s="10" t="s">
        <v>2693</v>
      </c>
      <c r="H1107" s="9" t="s">
        <v>13</v>
      </c>
      <c r="I1107" s="9" t="s">
        <v>2703</v>
      </c>
    </row>
    <row r="1108" customFormat="false" ht="15.75" hidden="false" customHeight="false" outlineLevel="0" collapsed="false">
      <c r="B1108" s="7" t="n">
        <v>46213</v>
      </c>
      <c r="C1108" s="3" t="s">
        <v>2704</v>
      </c>
      <c r="D1108" s="3" t="s">
        <v>2077</v>
      </c>
      <c r="E1108" s="3" t="s">
        <v>2557</v>
      </c>
      <c r="F1108" s="3" t="s">
        <v>2658</v>
      </c>
      <c r="G1108" s="10" t="s">
        <v>2693</v>
      </c>
      <c r="H1108" s="9" t="s">
        <v>13</v>
      </c>
      <c r="I1108" s="9" t="s">
        <v>2705</v>
      </c>
    </row>
    <row r="1109" customFormat="false" ht="15.75" hidden="false" customHeight="false" outlineLevel="0" collapsed="false">
      <c r="B1109" s="7" t="n">
        <v>46213</v>
      </c>
      <c r="C1109" s="3" t="s">
        <v>2706</v>
      </c>
      <c r="D1109" s="3" t="s">
        <v>2077</v>
      </c>
      <c r="E1109" s="3" t="s">
        <v>2557</v>
      </c>
      <c r="F1109" s="3" t="s">
        <v>2658</v>
      </c>
      <c r="G1109" s="8" t="s">
        <v>2673</v>
      </c>
      <c r="H1109" s="9" t="s">
        <v>13</v>
      </c>
      <c r="I1109" s="9" t="s">
        <v>2707</v>
      </c>
    </row>
    <row r="1110" customFormat="false" ht="15.75" hidden="false" customHeight="false" outlineLevel="0" collapsed="false">
      <c r="B1110" s="7" t="n">
        <v>46213</v>
      </c>
      <c r="C1110" s="3" t="s">
        <v>2708</v>
      </c>
      <c r="D1110" s="3" t="s">
        <v>2077</v>
      </c>
      <c r="E1110" s="3" t="s">
        <v>2557</v>
      </c>
      <c r="F1110" s="3" t="s">
        <v>2658</v>
      </c>
      <c r="G1110" s="10" t="s">
        <v>2709</v>
      </c>
      <c r="H1110" s="9" t="s">
        <v>13</v>
      </c>
      <c r="I1110" s="9" t="s">
        <v>2710</v>
      </c>
    </row>
    <row r="1111" customFormat="false" ht="15.75" hidden="false" customHeight="false" outlineLevel="0" collapsed="false">
      <c r="B1111" s="7" t="n">
        <v>46213</v>
      </c>
      <c r="C1111" s="3" t="s">
        <v>2711</v>
      </c>
      <c r="D1111" s="3" t="s">
        <v>2077</v>
      </c>
      <c r="E1111" s="3" t="s">
        <v>2557</v>
      </c>
      <c r="F1111" s="3" t="s">
        <v>2658</v>
      </c>
      <c r="G1111" s="10" t="s">
        <v>2709</v>
      </c>
      <c r="H1111" s="9" t="s">
        <v>13</v>
      </c>
      <c r="I1111" s="9" t="s">
        <v>2710</v>
      </c>
    </row>
    <row r="1112" customFormat="false" ht="15.75" hidden="false" customHeight="false" outlineLevel="0" collapsed="false">
      <c r="B1112" s="7" t="n">
        <v>46213</v>
      </c>
      <c r="C1112" s="3" t="s">
        <v>2712</v>
      </c>
      <c r="D1112" s="3" t="s">
        <v>2077</v>
      </c>
      <c r="E1112" s="3" t="s">
        <v>2557</v>
      </c>
      <c r="F1112" s="3" t="s">
        <v>2658</v>
      </c>
      <c r="G1112" s="10" t="s">
        <v>2709</v>
      </c>
      <c r="H1112" s="9" t="s">
        <v>13</v>
      </c>
      <c r="I1112" s="9" t="s">
        <v>2710</v>
      </c>
    </row>
    <row r="1113" customFormat="false" ht="15.75" hidden="false" customHeight="false" outlineLevel="0" collapsed="false">
      <c r="B1113" s="7" t="n">
        <v>46213</v>
      </c>
      <c r="C1113" s="3" t="s">
        <v>2713</v>
      </c>
      <c r="D1113" s="3" t="s">
        <v>2077</v>
      </c>
      <c r="E1113" s="3" t="s">
        <v>2557</v>
      </c>
      <c r="F1113" s="3" t="s">
        <v>2658</v>
      </c>
      <c r="G1113" s="10" t="s">
        <v>2714</v>
      </c>
      <c r="H1113" s="9" t="s">
        <v>13</v>
      </c>
      <c r="I1113" s="9" t="s">
        <v>2715</v>
      </c>
    </row>
    <row r="1114" customFormat="false" ht="15.75" hidden="false" customHeight="false" outlineLevel="0" collapsed="false">
      <c r="B1114" s="7" t="n">
        <v>46213</v>
      </c>
      <c r="C1114" s="3" t="s">
        <v>2716</v>
      </c>
      <c r="D1114" s="3" t="s">
        <v>2077</v>
      </c>
      <c r="E1114" s="3" t="s">
        <v>2557</v>
      </c>
      <c r="F1114" s="3" t="s">
        <v>2658</v>
      </c>
      <c r="G1114" s="8" t="s">
        <v>2673</v>
      </c>
      <c r="H1114" s="9" t="s">
        <v>13</v>
      </c>
      <c r="I1114" s="9" t="s">
        <v>2717</v>
      </c>
    </row>
    <row r="1115" customFormat="false" ht="15.75" hidden="false" customHeight="false" outlineLevel="0" collapsed="false">
      <c r="B1115" s="7" t="n">
        <v>46213</v>
      </c>
      <c r="C1115" s="3" t="s">
        <v>2718</v>
      </c>
      <c r="D1115" s="3" t="s">
        <v>2077</v>
      </c>
      <c r="E1115" s="3" t="s">
        <v>2557</v>
      </c>
      <c r="F1115" s="3" t="s">
        <v>2658</v>
      </c>
      <c r="G1115" s="8" t="s">
        <v>2673</v>
      </c>
      <c r="H1115" s="9" t="s">
        <v>13</v>
      </c>
      <c r="I1115" s="9" t="s">
        <v>2717</v>
      </c>
    </row>
    <row r="1116" customFormat="false" ht="15.75" hidden="false" customHeight="false" outlineLevel="0" collapsed="false">
      <c r="B1116" s="7" t="n">
        <v>46237</v>
      </c>
      <c r="C1116" s="3" t="s">
        <v>2719</v>
      </c>
      <c r="D1116" s="3" t="s">
        <v>2077</v>
      </c>
      <c r="E1116" s="3" t="s">
        <v>2546</v>
      </c>
      <c r="F1116" s="3" t="s">
        <v>2547</v>
      </c>
      <c r="G1116" s="10" t="s">
        <v>2720</v>
      </c>
      <c r="H1116" s="9" t="s">
        <v>13</v>
      </c>
      <c r="I1116" s="9" t="s">
        <v>2721</v>
      </c>
    </row>
    <row r="1117" customFormat="false" ht="15.75" hidden="false" customHeight="false" outlineLevel="0" collapsed="false">
      <c r="B1117" s="7" t="n">
        <v>46213</v>
      </c>
      <c r="C1117" s="3" t="s">
        <v>2722</v>
      </c>
      <c r="D1117" s="3" t="s">
        <v>2077</v>
      </c>
      <c r="E1117" s="3" t="s">
        <v>2557</v>
      </c>
      <c r="F1117" s="3" t="s">
        <v>2658</v>
      </c>
      <c r="G1117" s="10" t="s">
        <v>2723</v>
      </c>
      <c r="H1117" s="9" t="s">
        <v>13</v>
      </c>
      <c r="I1117" s="9" t="s">
        <v>2724</v>
      </c>
    </row>
    <row r="1118" customFormat="false" ht="15.75" hidden="false" customHeight="false" outlineLevel="0" collapsed="false">
      <c r="B1118" s="7" t="n">
        <v>46213</v>
      </c>
      <c r="C1118" s="3" t="s">
        <v>2725</v>
      </c>
      <c r="D1118" s="3" t="s">
        <v>2077</v>
      </c>
      <c r="E1118" s="3" t="s">
        <v>2557</v>
      </c>
      <c r="F1118" s="3" t="s">
        <v>2658</v>
      </c>
      <c r="G1118" s="10" t="s">
        <v>2726</v>
      </c>
      <c r="H1118" s="9" t="s">
        <v>13</v>
      </c>
      <c r="I1118" s="9" t="s">
        <v>2727</v>
      </c>
    </row>
    <row r="1119" customFormat="false" ht="15.75" hidden="false" customHeight="false" outlineLevel="0" collapsed="false">
      <c r="B1119" s="7" t="n">
        <v>46213</v>
      </c>
      <c r="C1119" s="3" t="s">
        <v>2728</v>
      </c>
      <c r="D1119" s="3" t="s">
        <v>2077</v>
      </c>
      <c r="E1119" s="3" t="s">
        <v>2557</v>
      </c>
      <c r="F1119" s="3" t="s">
        <v>2658</v>
      </c>
      <c r="G1119" s="10" t="s">
        <v>2726</v>
      </c>
      <c r="H1119" s="9" t="s">
        <v>13</v>
      </c>
      <c r="I1119" s="9" t="s">
        <v>2727</v>
      </c>
    </row>
    <row r="1120" customFormat="false" ht="15.75" hidden="false" customHeight="false" outlineLevel="0" collapsed="false">
      <c r="B1120" s="7" t="n">
        <v>46213</v>
      </c>
      <c r="C1120" s="3" t="s">
        <v>2729</v>
      </c>
      <c r="D1120" s="3" t="s">
        <v>2077</v>
      </c>
      <c r="E1120" s="3" t="s">
        <v>2557</v>
      </c>
      <c r="F1120" s="3" t="s">
        <v>2658</v>
      </c>
      <c r="G1120" s="8" t="s">
        <v>2730</v>
      </c>
      <c r="H1120" s="9" t="s">
        <v>13</v>
      </c>
      <c r="I1120" s="9" t="s">
        <v>2731</v>
      </c>
    </row>
    <row r="1121" customFormat="false" ht="15.75" hidden="false" customHeight="false" outlineLevel="0" collapsed="false">
      <c r="B1121" s="7" t="n">
        <v>46213</v>
      </c>
      <c r="C1121" s="3" t="s">
        <v>2732</v>
      </c>
      <c r="D1121" s="3" t="s">
        <v>2077</v>
      </c>
      <c r="E1121" s="3" t="s">
        <v>2557</v>
      </c>
      <c r="F1121" s="3" t="s">
        <v>2658</v>
      </c>
      <c r="G1121" s="10" t="s">
        <v>2242</v>
      </c>
      <c r="H1121" s="9" t="s">
        <v>13</v>
      </c>
      <c r="I1121" s="9" t="s">
        <v>2733</v>
      </c>
    </row>
    <row r="1122" customFormat="false" ht="15.75" hidden="false" customHeight="false" outlineLevel="0" collapsed="false">
      <c r="B1122" s="7" t="n">
        <v>46213</v>
      </c>
      <c r="C1122" s="3" t="s">
        <v>2734</v>
      </c>
      <c r="D1122" s="3" t="s">
        <v>2077</v>
      </c>
      <c r="E1122" s="3" t="s">
        <v>2557</v>
      </c>
      <c r="F1122" s="3" t="s">
        <v>2658</v>
      </c>
      <c r="G1122" s="10" t="s">
        <v>2735</v>
      </c>
      <c r="H1122" s="9" t="s">
        <v>13</v>
      </c>
      <c r="I1122" s="9" t="s">
        <v>2736</v>
      </c>
    </row>
    <row r="1123" customFormat="false" ht="15.75" hidden="false" customHeight="false" outlineLevel="0" collapsed="false">
      <c r="B1123" s="7" t="n">
        <v>46213</v>
      </c>
      <c r="C1123" s="3" t="s">
        <v>2737</v>
      </c>
      <c r="D1123" s="3" t="s">
        <v>2077</v>
      </c>
      <c r="E1123" s="3" t="s">
        <v>2738</v>
      </c>
      <c r="F1123" s="3" t="s">
        <v>2739</v>
      </c>
      <c r="G1123" s="10" t="s">
        <v>2740</v>
      </c>
      <c r="H1123" s="9" t="s">
        <v>13</v>
      </c>
      <c r="I1123" s="9" t="s">
        <v>2741</v>
      </c>
    </row>
    <row r="1124" customFormat="false" ht="15.75" hidden="false" customHeight="false" outlineLevel="0" collapsed="false">
      <c r="B1124" s="7" t="n">
        <v>46213</v>
      </c>
      <c r="C1124" s="3" t="s">
        <v>2742</v>
      </c>
      <c r="D1124" s="3" t="s">
        <v>2077</v>
      </c>
      <c r="E1124" s="3" t="s">
        <v>2738</v>
      </c>
      <c r="F1124" s="3" t="s">
        <v>2739</v>
      </c>
      <c r="G1124" s="10" t="s">
        <v>2589</v>
      </c>
      <c r="H1124" s="9" t="s">
        <v>13</v>
      </c>
      <c r="I1124" s="9" t="s">
        <v>2743</v>
      </c>
    </row>
    <row r="1125" customFormat="false" ht="15.75" hidden="false" customHeight="false" outlineLevel="0" collapsed="false">
      <c r="B1125" s="7" t="n">
        <v>46213</v>
      </c>
      <c r="C1125" s="3" t="s">
        <v>2744</v>
      </c>
      <c r="D1125" s="3" t="s">
        <v>2077</v>
      </c>
      <c r="E1125" s="3" t="s">
        <v>2738</v>
      </c>
      <c r="F1125" s="3" t="s">
        <v>2739</v>
      </c>
      <c r="G1125" s="10" t="s">
        <v>2745</v>
      </c>
      <c r="H1125" s="9" t="s">
        <v>13</v>
      </c>
      <c r="I1125" s="9" t="s">
        <v>2746</v>
      </c>
    </row>
    <row r="1126" customFormat="false" ht="15.75" hidden="false" customHeight="false" outlineLevel="0" collapsed="false">
      <c r="B1126" s="7" t="n">
        <v>46213</v>
      </c>
      <c r="C1126" s="3" t="s">
        <v>2747</v>
      </c>
      <c r="D1126" s="3" t="s">
        <v>2077</v>
      </c>
      <c r="E1126" s="3" t="s">
        <v>2738</v>
      </c>
      <c r="F1126" s="3" t="s">
        <v>2739</v>
      </c>
      <c r="G1126" s="10" t="s">
        <v>2745</v>
      </c>
      <c r="H1126" s="9" t="s">
        <v>13</v>
      </c>
      <c r="I1126" s="9" t="s">
        <v>2748</v>
      </c>
    </row>
    <row r="1127" customFormat="false" ht="15.75" hidden="false" customHeight="false" outlineLevel="0" collapsed="false">
      <c r="B1127" s="7" t="n">
        <v>46213</v>
      </c>
      <c r="C1127" s="3" t="s">
        <v>2749</v>
      </c>
      <c r="D1127" s="3" t="s">
        <v>2077</v>
      </c>
      <c r="E1127" s="3" t="s">
        <v>2738</v>
      </c>
      <c r="F1127" s="3" t="s">
        <v>2739</v>
      </c>
      <c r="G1127" s="10" t="s">
        <v>2745</v>
      </c>
      <c r="H1127" s="9" t="s">
        <v>13</v>
      </c>
      <c r="I1127" s="9" t="s">
        <v>2750</v>
      </c>
    </row>
    <row r="1128" customFormat="false" ht="15.75" hidden="false" customHeight="false" outlineLevel="0" collapsed="false">
      <c r="B1128" s="7" t="n">
        <v>46213</v>
      </c>
      <c r="C1128" s="3" t="s">
        <v>2751</v>
      </c>
      <c r="D1128" s="3" t="s">
        <v>2077</v>
      </c>
      <c r="E1128" s="3" t="s">
        <v>2738</v>
      </c>
      <c r="F1128" s="3" t="s">
        <v>2739</v>
      </c>
      <c r="G1128" s="10" t="s">
        <v>2752</v>
      </c>
      <c r="H1128" s="9" t="s">
        <v>13</v>
      </c>
      <c r="I1128" s="9" t="s">
        <v>2753</v>
      </c>
    </row>
    <row r="1129" customFormat="false" ht="15.75" hidden="false" customHeight="false" outlineLevel="0" collapsed="false">
      <c r="B1129" s="7" t="n">
        <v>46213</v>
      </c>
      <c r="C1129" s="3" t="s">
        <v>2754</v>
      </c>
      <c r="D1129" s="3" t="s">
        <v>2077</v>
      </c>
      <c r="E1129" s="3" t="s">
        <v>2738</v>
      </c>
      <c r="F1129" s="3" t="s">
        <v>2739</v>
      </c>
      <c r="G1129" s="10" t="s">
        <v>2752</v>
      </c>
      <c r="H1129" s="9" t="s">
        <v>13</v>
      </c>
      <c r="I1129" s="9" t="s">
        <v>2753</v>
      </c>
    </row>
    <row r="1130" customFormat="false" ht="15.75" hidden="false" customHeight="false" outlineLevel="0" collapsed="false">
      <c r="B1130" s="7" t="n">
        <v>46213</v>
      </c>
      <c r="C1130" s="3" t="s">
        <v>2755</v>
      </c>
      <c r="D1130" s="3" t="s">
        <v>2077</v>
      </c>
      <c r="E1130" s="3" t="s">
        <v>2738</v>
      </c>
      <c r="F1130" s="3" t="s">
        <v>2739</v>
      </c>
      <c r="G1130" s="10" t="s">
        <v>2756</v>
      </c>
      <c r="H1130" s="9" t="s">
        <v>13</v>
      </c>
      <c r="I1130" s="9" t="s">
        <v>2757</v>
      </c>
    </row>
    <row r="1131" customFormat="false" ht="15.75" hidden="false" customHeight="false" outlineLevel="0" collapsed="false">
      <c r="B1131" s="7" t="n">
        <v>46213</v>
      </c>
      <c r="C1131" s="3" t="s">
        <v>2758</v>
      </c>
      <c r="D1131" s="3" t="s">
        <v>2077</v>
      </c>
      <c r="E1131" s="3" t="s">
        <v>2738</v>
      </c>
      <c r="F1131" s="3" t="s">
        <v>2739</v>
      </c>
      <c r="G1131" s="10" t="s">
        <v>2756</v>
      </c>
      <c r="H1131" s="9" t="s">
        <v>13</v>
      </c>
      <c r="I1131" s="9" t="s">
        <v>2759</v>
      </c>
    </row>
    <row r="1132" customFormat="false" ht="15.75" hidden="false" customHeight="false" outlineLevel="0" collapsed="false">
      <c r="B1132" s="7" t="n">
        <v>46213</v>
      </c>
      <c r="C1132" s="3" t="s">
        <v>2760</v>
      </c>
      <c r="D1132" s="3" t="s">
        <v>2077</v>
      </c>
      <c r="E1132" s="3" t="s">
        <v>2738</v>
      </c>
      <c r="F1132" s="3" t="s">
        <v>2739</v>
      </c>
      <c r="G1132" s="8" t="s">
        <v>2761</v>
      </c>
      <c r="H1132" s="9" t="s">
        <v>13</v>
      </c>
      <c r="I1132" s="9" t="s">
        <v>2762</v>
      </c>
    </row>
    <row r="1133" customFormat="false" ht="15.75" hidden="false" customHeight="false" outlineLevel="0" collapsed="false">
      <c r="B1133" s="7" t="n">
        <v>46213</v>
      </c>
      <c r="C1133" s="3" t="s">
        <v>2763</v>
      </c>
      <c r="D1133" s="3" t="s">
        <v>2077</v>
      </c>
      <c r="E1133" s="3" t="s">
        <v>2738</v>
      </c>
      <c r="F1133" s="3" t="s">
        <v>2739</v>
      </c>
      <c r="G1133" s="8" t="s">
        <v>2761</v>
      </c>
      <c r="H1133" s="9" t="s">
        <v>13</v>
      </c>
      <c r="I1133" s="9" t="s">
        <v>2762</v>
      </c>
    </row>
    <row r="1134" customFormat="false" ht="15.75" hidden="false" customHeight="false" outlineLevel="0" collapsed="false">
      <c r="B1134" s="7" t="n">
        <v>46213</v>
      </c>
      <c r="C1134" s="3" t="s">
        <v>2764</v>
      </c>
      <c r="D1134" s="3" t="s">
        <v>2077</v>
      </c>
      <c r="E1134" s="3" t="s">
        <v>2738</v>
      </c>
      <c r="F1134" s="3" t="s">
        <v>2739</v>
      </c>
      <c r="G1134" s="10" t="s">
        <v>2765</v>
      </c>
      <c r="H1134" s="9" t="s">
        <v>13</v>
      </c>
      <c r="I1134" s="9" t="s">
        <v>2766</v>
      </c>
    </row>
    <row r="1135" customFormat="false" ht="15.75" hidden="false" customHeight="false" outlineLevel="0" collapsed="false">
      <c r="B1135" s="7" t="n">
        <v>46213</v>
      </c>
      <c r="C1135" s="3" t="s">
        <v>2767</v>
      </c>
      <c r="D1135" s="3" t="s">
        <v>2077</v>
      </c>
      <c r="E1135" s="3" t="s">
        <v>2738</v>
      </c>
      <c r="F1135" s="3" t="s">
        <v>2739</v>
      </c>
      <c r="G1135" s="10" t="s">
        <v>2765</v>
      </c>
      <c r="H1135" s="9" t="s">
        <v>13</v>
      </c>
      <c r="I1135" s="9" t="s">
        <v>2768</v>
      </c>
    </row>
    <row r="1136" customFormat="false" ht="15.75" hidden="false" customHeight="false" outlineLevel="0" collapsed="false">
      <c r="B1136" s="7" t="n">
        <v>46213</v>
      </c>
      <c r="C1136" s="3" t="s">
        <v>2769</v>
      </c>
      <c r="D1136" s="3" t="s">
        <v>2077</v>
      </c>
      <c r="E1136" s="3" t="s">
        <v>2738</v>
      </c>
      <c r="F1136" s="3" t="s">
        <v>2739</v>
      </c>
      <c r="G1136" s="10" t="s">
        <v>2770</v>
      </c>
      <c r="H1136" s="9" t="s">
        <v>13</v>
      </c>
      <c r="I1136" s="9" t="s">
        <v>2771</v>
      </c>
    </row>
    <row r="1137" customFormat="false" ht="15.75" hidden="false" customHeight="false" outlineLevel="0" collapsed="false">
      <c r="B1137" s="7" t="n">
        <v>46213</v>
      </c>
      <c r="C1137" s="3" t="s">
        <v>2772</v>
      </c>
      <c r="D1137" s="3" t="s">
        <v>2077</v>
      </c>
      <c r="E1137" s="3" t="s">
        <v>2738</v>
      </c>
      <c r="F1137" s="3" t="s">
        <v>2739</v>
      </c>
      <c r="G1137" s="10" t="s">
        <v>2770</v>
      </c>
      <c r="H1137" s="9" t="s">
        <v>13</v>
      </c>
      <c r="I1137" s="9" t="s">
        <v>2773</v>
      </c>
    </row>
    <row r="1138" customFormat="false" ht="15.75" hidden="false" customHeight="false" outlineLevel="0" collapsed="false">
      <c r="B1138" s="7" t="n">
        <v>46213</v>
      </c>
      <c r="C1138" s="3" t="s">
        <v>2774</v>
      </c>
      <c r="D1138" s="3" t="s">
        <v>2077</v>
      </c>
      <c r="E1138" s="3" t="s">
        <v>2738</v>
      </c>
      <c r="F1138" s="3" t="s">
        <v>2739</v>
      </c>
      <c r="G1138" s="10" t="s">
        <v>2770</v>
      </c>
      <c r="H1138" s="9" t="s">
        <v>13</v>
      </c>
      <c r="I1138" s="9" t="s">
        <v>2775</v>
      </c>
    </row>
    <row r="1139" customFormat="false" ht="15.75" hidden="false" customHeight="false" outlineLevel="0" collapsed="false">
      <c r="B1139" s="7" t="n">
        <v>46213</v>
      </c>
      <c r="C1139" s="3" t="s">
        <v>2776</v>
      </c>
      <c r="D1139" s="3" t="s">
        <v>2077</v>
      </c>
      <c r="E1139" s="3" t="s">
        <v>2738</v>
      </c>
      <c r="F1139" s="3" t="s">
        <v>2739</v>
      </c>
      <c r="G1139" s="10" t="s">
        <v>2531</v>
      </c>
      <c r="H1139" s="9" t="s">
        <v>13</v>
      </c>
      <c r="I1139" s="9" t="s">
        <v>2777</v>
      </c>
    </row>
    <row r="1140" customFormat="false" ht="15.75" hidden="false" customHeight="false" outlineLevel="0" collapsed="false">
      <c r="B1140" s="7" t="n">
        <v>46213</v>
      </c>
      <c r="C1140" s="3" t="s">
        <v>2778</v>
      </c>
      <c r="D1140" s="3" t="s">
        <v>2077</v>
      </c>
      <c r="E1140" s="3" t="s">
        <v>2738</v>
      </c>
      <c r="F1140" s="3" t="s">
        <v>2739</v>
      </c>
      <c r="G1140" s="10" t="s">
        <v>2531</v>
      </c>
      <c r="H1140" s="9" t="s">
        <v>13</v>
      </c>
      <c r="I1140" s="9" t="s">
        <v>2777</v>
      </c>
    </row>
    <row r="1141" customFormat="false" ht="15.75" hidden="false" customHeight="false" outlineLevel="0" collapsed="false">
      <c r="B1141" s="7" t="n">
        <v>46213</v>
      </c>
      <c r="C1141" s="3" t="s">
        <v>2779</v>
      </c>
      <c r="D1141" s="3" t="s">
        <v>2077</v>
      </c>
      <c r="E1141" s="3" t="s">
        <v>2738</v>
      </c>
      <c r="F1141" s="3" t="s">
        <v>2739</v>
      </c>
      <c r="G1141" s="10" t="s">
        <v>2531</v>
      </c>
      <c r="H1141" s="9" t="s">
        <v>13</v>
      </c>
      <c r="I1141" s="9" t="s">
        <v>2780</v>
      </c>
    </row>
    <row r="1142" customFormat="false" ht="15.75" hidden="false" customHeight="false" outlineLevel="0" collapsed="false">
      <c r="B1142" s="7" t="n">
        <v>46213</v>
      </c>
      <c r="C1142" s="3" t="s">
        <v>2781</v>
      </c>
      <c r="D1142" s="3" t="s">
        <v>2077</v>
      </c>
      <c r="E1142" s="3" t="s">
        <v>2738</v>
      </c>
      <c r="F1142" s="3" t="s">
        <v>2739</v>
      </c>
      <c r="G1142" s="10" t="s">
        <v>2782</v>
      </c>
      <c r="H1142" s="9" t="s">
        <v>13</v>
      </c>
      <c r="I1142" s="9" t="s">
        <v>2783</v>
      </c>
    </row>
    <row r="1143" customFormat="false" ht="15.75" hidden="false" customHeight="false" outlineLevel="0" collapsed="false">
      <c r="B1143" s="7" t="n">
        <v>46213</v>
      </c>
      <c r="C1143" s="3" t="s">
        <v>2784</v>
      </c>
      <c r="D1143" s="3" t="s">
        <v>2077</v>
      </c>
      <c r="E1143" s="3" t="s">
        <v>2738</v>
      </c>
      <c r="F1143" s="3" t="s">
        <v>2739</v>
      </c>
      <c r="G1143" s="10" t="s">
        <v>2782</v>
      </c>
      <c r="H1143" s="9" t="s">
        <v>13</v>
      </c>
      <c r="I1143" s="9" t="s">
        <v>2785</v>
      </c>
    </row>
    <row r="1144" customFormat="false" ht="15.75" hidden="false" customHeight="false" outlineLevel="0" collapsed="false">
      <c r="B1144" s="7" t="n">
        <v>46213</v>
      </c>
      <c r="C1144" s="3" t="s">
        <v>2786</v>
      </c>
      <c r="D1144" s="3" t="s">
        <v>2077</v>
      </c>
      <c r="E1144" s="3" t="s">
        <v>2738</v>
      </c>
      <c r="F1144" s="3" t="s">
        <v>2739</v>
      </c>
      <c r="G1144" s="10" t="s">
        <v>2782</v>
      </c>
      <c r="H1144" s="9" t="s">
        <v>13</v>
      </c>
      <c r="I1144" s="9" t="s">
        <v>2787</v>
      </c>
    </row>
    <row r="1145" customFormat="false" ht="15.75" hidden="false" customHeight="false" outlineLevel="0" collapsed="false">
      <c r="B1145" s="7" t="n">
        <v>46213</v>
      </c>
      <c r="C1145" s="3" t="s">
        <v>2788</v>
      </c>
      <c r="D1145" s="3" t="s">
        <v>2077</v>
      </c>
      <c r="E1145" s="3" t="s">
        <v>2738</v>
      </c>
      <c r="F1145" s="3" t="s">
        <v>2739</v>
      </c>
      <c r="G1145" s="10" t="s">
        <v>2782</v>
      </c>
      <c r="H1145" s="9" t="s">
        <v>13</v>
      </c>
      <c r="I1145" s="9" t="s">
        <v>2789</v>
      </c>
    </row>
    <row r="1146" customFormat="false" ht="15.75" hidden="false" customHeight="false" outlineLevel="0" collapsed="false">
      <c r="B1146" s="7" t="n">
        <v>46213</v>
      </c>
      <c r="C1146" s="3" t="s">
        <v>2790</v>
      </c>
      <c r="D1146" s="3" t="s">
        <v>2077</v>
      </c>
      <c r="E1146" s="3" t="s">
        <v>2738</v>
      </c>
      <c r="F1146" s="3" t="s">
        <v>2739</v>
      </c>
      <c r="G1146" s="10" t="s">
        <v>2531</v>
      </c>
      <c r="H1146" s="9" t="s">
        <v>13</v>
      </c>
      <c r="I1146" s="9" t="s">
        <v>2791</v>
      </c>
    </row>
    <row r="1147" customFormat="false" ht="15.75" hidden="false" customHeight="false" outlineLevel="0" collapsed="false">
      <c r="B1147" s="7" t="n">
        <v>46213</v>
      </c>
      <c r="C1147" s="3" t="s">
        <v>2792</v>
      </c>
      <c r="D1147" s="3" t="s">
        <v>2077</v>
      </c>
      <c r="E1147" s="3" t="s">
        <v>2738</v>
      </c>
      <c r="F1147" s="3" t="s">
        <v>2739</v>
      </c>
      <c r="G1147" s="10" t="s">
        <v>2793</v>
      </c>
      <c r="H1147" s="9" t="s">
        <v>13</v>
      </c>
      <c r="I1147" s="9" t="s">
        <v>2794</v>
      </c>
    </row>
    <row r="1148" customFormat="false" ht="15.75" hidden="false" customHeight="false" outlineLevel="0" collapsed="false">
      <c r="B1148" s="7" t="n">
        <v>46213</v>
      </c>
      <c r="C1148" s="3" t="s">
        <v>2795</v>
      </c>
      <c r="D1148" s="3" t="s">
        <v>2077</v>
      </c>
      <c r="E1148" s="3" t="s">
        <v>2738</v>
      </c>
      <c r="F1148" s="3" t="s">
        <v>2739</v>
      </c>
      <c r="G1148" s="10" t="s">
        <v>2793</v>
      </c>
      <c r="H1148" s="9" t="s">
        <v>13</v>
      </c>
      <c r="I1148" s="9" t="s">
        <v>2794</v>
      </c>
    </row>
    <row r="1149" customFormat="false" ht="15.75" hidden="false" customHeight="false" outlineLevel="0" collapsed="false">
      <c r="B1149" s="7" t="n">
        <v>46213</v>
      </c>
      <c r="C1149" s="3" t="s">
        <v>2796</v>
      </c>
      <c r="D1149" s="3" t="s">
        <v>2077</v>
      </c>
      <c r="E1149" s="3" t="s">
        <v>2738</v>
      </c>
      <c r="F1149" s="3" t="s">
        <v>2739</v>
      </c>
      <c r="G1149" s="10" t="s">
        <v>2797</v>
      </c>
      <c r="H1149" s="9" t="s">
        <v>13</v>
      </c>
      <c r="I1149" s="9" t="s">
        <v>2798</v>
      </c>
    </row>
    <row r="1150" customFormat="false" ht="15.75" hidden="false" customHeight="false" outlineLevel="0" collapsed="false">
      <c r="B1150" s="7" t="n">
        <v>46213</v>
      </c>
      <c r="C1150" s="3" t="s">
        <v>2799</v>
      </c>
      <c r="D1150" s="3" t="s">
        <v>2077</v>
      </c>
      <c r="E1150" s="3" t="s">
        <v>2738</v>
      </c>
      <c r="F1150" s="3" t="s">
        <v>2739</v>
      </c>
      <c r="G1150" s="10" t="s">
        <v>2797</v>
      </c>
      <c r="H1150" s="9" t="s">
        <v>13</v>
      </c>
      <c r="I1150" s="9" t="s">
        <v>2798</v>
      </c>
    </row>
    <row r="1151" customFormat="false" ht="15.75" hidden="false" customHeight="false" outlineLevel="0" collapsed="false">
      <c r="B1151" s="7" t="n">
        <v>46213</v>
      </c>
      <c r="C1151" s="3" t="s">
        <v>2800</v>
      </c>
      <c r="D1151" s="3" t="s">
        <v>2077</v>
      </c>
      <c r="E1151" s="3" t="s">
        <v>2738</v>
      </c>
      <c r="F1151" s="3" t="s">
        <v>2739</v>
      </c>
      <c r="G1151" s="10" t="s">
        <v>2797</v>
      </c>
      <c r="H1151" s="9" t="s">
        <v>13</v>
      </c>
      <c r="I1151" s="9" t="s">
        <v>2798</v>
      </c>
    </row>
    <row r="1152" customFormat="false" ht="15.75" hidden="false" customHeight="false" outlineLevel="0" collapsed="false">
      <c r="B1152" s="7" t="n">
        <v>46213</v>
      </c>
      <c r="C1152" s="3" t="s">
        <v>2801</v>
      </c>
      <c r="D1152" s="3" t="s">
        <v>2077</v>
      </c>
      <c r="E1152" s="3" t="s">
        <v>2738</v>
      </c>
      <c r="F1152" s="3" t="s">
        <v>2739</v>
      </c>
      <c r="G1152" s="10" t="s">
        <v>2802</v>
      </c>
      <c r="H1152" s="9" t="s">
        <v>13</v>
      </c>
      <c r="I1152" s="9" t="s">
        <v>2803</v>
      </c>
    </row>
    <row r="1153" customFormat="false" ht="15.75" hidden="false" customHeight="false" outlineLevel="0" collapsed="false">
      <c r="B1153" s="7" t="n">
        <v>46213</v>
      </c>
      <c r="C1153" s="3" t="s">
        <v>2804</v>
      </c>
      <c r="D1153" s="3" t="s">
        <v>2077</v>
      </c>
      <c r="E1153" s="3" t="s">
        <v>2738</v>
      </c>
      <c r="F1153" s="3" t="s">
        <v>2739</v>
      </c>
      <c r="G1153" s="10" t="s">
        <v>2793</v>
      </c>
      <c r="H1153" s="9" t="s">
        <v>13</v>
      </c>
      <c r="I1153" s="9" t="s">
        <v>2805</v>
      </c>
    </row>
    <row r="1154" customFormat="false" ht="15.75" hidden="false" customHeight="false" outlineLevel="0" collapsed="false">
      <c r="B1154" s="7" t="n">
        <v>46213</v>
      </c>
      <c r="C1154" s="3" t="s">
        <v>2806</v>
      </c>
      <c r="D1154" s="3" t="s">
        <v>2077</v>
      </c>
      <c r="E1154" s="3" t="s">
        <v>2738</v>
      </c>
      <c r="F1154" s="3" t="s">
        <v>2739</v>
      </c>
      <c r="G1154" s="10" t="s">
        <v>2531</v>
      </c>
      <c r="H1154" s="9" t="s">
        <v>13</v>
      </c>
      <c r="I1154" s="9" t="s">
        <v>2807</v>
      </c>
    </row>
    <row r="1155" customFormat="false" ht="15.75" hidden="false" customHeight="false" outlineLevel="0" collapsed="false">
      <c r="B1155" s="7" t="n">
        <v>46213</v>
      </c>
      <c r="C1155" s="3" t="s">
        <v>2808</v>
      </c>
      <c r="D1155" s="3" t="s">
        <v>2077</v>
      </c>
      <c r="E1155" s="3" t="s">
        <v>2738</v>
      </c>
      <c r="F1155" s="3" t="s">
        <v>2739</v>
      </c>
      <c r="G1155" s="10" t="s">
        <v>2531</v>
      </c>
      <c r="H1155" s="9" t="s">
        <v>13</v>
      </c>
      <c r="I1155" s="9" t="s">
        <v>2807</v>
      </c>
    </row>
    <row r="1156" customFormat="false" ht="15.75" hidden="false" customHeight="false" outlineLevel="0" collapsed="false">
      <c r="B1156" s="7" t="n">
        <v>46213</v>
      </c>
      <c r="C1156" s="3" t="s">
        <v>2809</v>
      </c>
      <c r="D1156" s="3" t="s">
        <v>2077</v>
      </c>
      <c r="E1156" s="3" t="s">
        <v>2738</v>
      </c>
      <c r="F1156" s="3" t="s">
        <v>2739</v>
      </c>
      <c r="G1156" s="10" t="s">
        <v>2531</v>
      </c>
      <c r="H1156" s="9" t="s">
        <v>13</v>
      </c>
      <c r="I1156" s="9" t="s">
        <v>2807</v>
      </c>
    </row>
    <row r="1157" customFormat="false" ht="15.75" hidden="false" customHeight="false" outlineLevel="0" collapsed="false">
      <c r="B1157" s="7" t="n">
        <v>46213</v>
      </c>
      <c r="C1157" s="3" t="s">
        <v>2810</v>
      </c>
      <c r="D1157" s="3" t="s">
        <v>2077</v>
      </c>
      <c r="E1157" s="3" t="s">
        <v>2738</v>
      </c>
      <c r="F1157" s="3" t="s">
        <v>2739</v>
      </c>
      <c r="G1157" s="10" t="s">
        <v>2811</v>
      </c>
      <c r="H1157" s="9" t="s">
        <v>13</v>
      </c>
      <c r="I1157" s="9" t="s">
        <v>2812</v>
      </c>
    </row>
    <row r="1158" customFormat="false" ht="15.75" hidden="false" customHeight="false" outlineLevel="0" collapsed="false">
      <c r="B1158" s="7" t="n">
        <v>46213</v>
      </c>
      <c r="C1158" s="3" t="s">
        <v>2813</v>
      </c>
      <c r="D1158" s="3" t="s">
        <v>2077</v>
      </c>
      <c r="E1158" s="3" t="s">
        <v>2738</v>
      </c>
      <c r="F1158" s="3" t="s">
        <v>2814</v>
      </c>
      <c r="G1158" s="10" t="s">
        <v>2815</v>
      </c>
      <c r="H1158" s="9" t="s">
        <v>13</v>
      </c>
      <c r="I1158" s="9" t="s">
        <v>2816</v>
      </c>
    </row>
    <row r="1159" customFormat="false" ht="15.75" hidden="false" customHeight="false" outlineLevel="0" collapsed="false">
      <c r="B1159" s="7" t="n">
        <v>46213</v>
      </c>
      <c r="C1159" s="3" t="s">
        <v>2817</v>
      </c>
      <c r="D1159" s="3" t="s">
        <v>2077</v>
      </c>
      <c r="E1159" s="3" t="s">
        <v>2738</v>
      </c>
      <c r="F1159" s="3" t="s">
        <v>2814</v>
      </c>
      <c r="G1159" s="10" t="s">
        <v>2479</v>
      </c>
      <c r="H1159" s="9" t="s">
        <v>13</v>
      </c>
      <c r="I1159" s="9" t="s">
        <v>2818</v>
      </c>
    </row>
    <row r="1160" customFormat="false" ht="15.75" hidden="false" customHeight="false" outlineLevel="0" collapsed="false">
      <c r="B1160" s="7" t="n">
        <v>46213</v>
      </c>
      <c r="C1160" s="3" t="s">
        <v>2819</v>
      </c>
      <c r="D1160" s="3" t="s">
        <v>2077</v>
      </c>
      <c r="E1160" s="3" t="s">
        <v>2738</v>
      </c>
      <c r="F1160" s="3" t="s">
        <v>2814</v>
      </c>
      <c r="G1160" s="8" t="s">
        <v>2461</v>
      </c>
      <c r="H1160" s="9" t="s">
        <v>13</v>
      </c>
      <c r="I1160" s="9" t="s">
        <v>2820</v>
      </c>
    </row>
    <row r="1161" customFormat="false" ht="15.75" hidden="false" customHeight="false" outlineLevel="0" collapsed="false">
      <c r="B1161" s="7" t="n">
        <v>46213</v>
      </c>
      <c r="C1161" s="3" t="s">
        <v>2821</v>
      </c>
      <c r="D1161" s="3" t="s">
        <v>2077</v>
      </c>
      <c r="E1161" s="3" t="s">
        <v>2738</v>
      </c>
      <c r="F1161" s="3" t="s">
        <v>2814</v>
      </c>
      <c r="G1161" s="8" t="s">
        <v>2822</v>
      </c>
      <c r="H1161" s="9" t="s">
        <v>13</v>
      </c>
      <c r="I1161" s="9" t="s">
        <v>2823</v>
      </c>
    </row>
    <row r="1162" customFormat="false" ht="15.75" hidden="false" customHeight="false" outlineLevel="0" collapsed="false">
      <c r="B1162" s="7" t="n">
        <v>46213</v>
      </c>
      <c r="C1162" s="3" t="s">
        <v>2824</v>
      </c>
      <c r="D1162" s="3" t="s">
        <v>2077</v>
      </c>
      <c r="E1162" s="3" t="s">
        <v>2738</v>
      </c>
      <c r="F1162" s="3" t="s">
        <v>2814</v>
      </c>
      <c r="G1162" s="8" t="s">
        <v>2461</v>
      </c>
      <c r="H1162" s="9" t="s">
        <v>13</v>
      </c>
      <c r="I1162" s="9" t="s">
        <v>2825</v>
      </c>
    </row>
    <row r="1163" customFormat="false" ht="15.75" hidden="false" customHeight="false" outlineLevel="0" collapsed="false">
      <c r="B1163" s="7" t="n">
        <v>46213</v>
      </c>
      <c r="C1163" s="3" t="s">
        <v>2826</v>
      </c>
      <c r="D1163" s="3" t="s">
        <v>2077</v>
      </c>
      <c r="E1163" s="3" t="s">
        <v>2738</v>
      </c>
      <c r="F1163" s="3" t="s">
        <v>2814</v>
      </c>
      <c r="G1163" s="10" t="s">
        <v>2827</v>
      </c>
      <c r="H1163" s="9" t="s">
        <v>13</v>
      </c>
      <c r="I1163" s="9" t="s">
        <v>2828</v>
      </c>
    </row>
    <row r="1164" customFormat="false" ht="15.75" hidden="false" customHeight="false" outlineLevel="0" collapsed="false">
      <c r="B1164" s="7" t="n">
        <v>46213</v>
      </c>
      <c r="C1164" s="3" t="s">
        <v>2829</v>
      </c>
      <c r="D1164" s="3" t="s">
        <v>2077</v>
      </c>
      <c r="E1164" s="3" t="s">
        <v>2738</v>
      </c>
      <c r="F1164" s="3" t="s">
        <v>2814</v>
      </c>
      <c r="G1164" s="10" t="s">
        <v>2827</v>
      </c>
      <c r="H1164" s="9" t="s">
        <v>13</v>
      </c>
      <c r="I1164" s="9" t="s">
        <v>2830</v>
      </c>
    </row>
    <row r="1165" customFormat="false" ht="15.75" hidden="false" customHeight="false" outlineLevel="0" collapsed="false">
      <c r="B1165" s="7" t="n">
        <v>46213</v>
      </c>
      <c r="C1165" s="3" t="s">
        <v>2831</v>
      </c>
      <c r="D1165" s="3" t="s">
        <v>2077</v>
      </c>
      <c r="E1165" s="3" t="s">
        <v>2738</v>
      </c>
      <c r="F1165" s="3" t="s">
        <v>2814</v>
      </c>
      <c r="G1165" s="10" t="s">
        <v>2172</v>
      </c>
      <c r="H1165" s="9" t="s">
        <v>13</v>
      </c>
      <c r="I1165" s="9" t="s">
        <v>2832</v>
      </c>
    </row>
    <row r="1166" customFormat="false" ht="15.75" hidden="false" customHeight="false" outlineLevel="0" collapsed="false">
      <c r="B1166" s="7" t="n">
        <v>46213</v>
      </c>
      <c r="C1166" s="3" t="s">
        <v>2833</v>
      </c>
      <c r="D1166" s="3" t="s">
        <v>2077</v>
      </c>
      <c r="E1166" s="3" t="s">
        <v>2738</v>
      </c>
      <c r="F1166" s="3" t="s">
        <v>2814</v>
      </c>
      <c r="G1166" s="10" t="s">
        <v>2258</v>
      </c>
      <c r="H1166" s="9" t="s">
        <v>13</v>
      </c>
      <c r="I1166" s="9" t="s">
        <v>2834</v>
      </c>
    </row>
    <row r="1167" customFormat="false" ht="15.75" hidden="false" customHeight="false" outlineLevel="0" collapsed="false">
      <c r="B1167" s="7" t="n">
        <v>46213</v>
      </c>
      <c r="C1167" s="3" t="s">
        <v>2835</v>
      </c>
      <c r="D1167" s="3" t="s">
        <v>2077</v>
      </c>
      <c r="E1167" s="3" t="s">
        <v>2738</v>
      </c>
      <c r="F1167" s="3" t="s">
        <v>2814</v>
      </c>
      <c r="G1167" s="10" t="s">
        <v>2836</v>
      </c>
      <c r="H1167" s="9" t="s">
        <v>13</v>
      </c>
      <c r="I1167" s="9" t="s">
        <v>2837</v>
      </c>
    </row>
    <row r="1168" customFormat="false" ht="15.75" hidden="false" customHeight="false" outlineLevel="0" collapsed="false">
      <c r="B1168" s="7" t="n">
        <v>46213</v>
      </c>
      <c r="C1168" s="3" t="s">
        <v>2838</v>
      </c>
      <c r="D1168" s="3" t="s">
        <v>2077</v>
      </c>
      <c r="E1168" s="3" t="s">
        <v>2738</v>
      </c>
      <c r="F1168" s="3" t="s">
        <v>2814</v>
      </c>
      <c r="G1168" s="10" t="s">
        <v>2415</v>
      </c>
      <c r="H1168" s="9" t="s">
        <v>13</v>
      </c>
      <c r="I1168" s="9" t="s">
        <v>2839</v>
      </c>
    </row>
    <row r="1169" customFormat="false" ht="15.75" hidden="false" customHeight="false" outlineLevel="0" collapsed="false">
      <c r="B1169" s="7" t="n">
        <v>46213</v>
      </c>
      <c r="C1169" s="3" t="s">
        <v>2840</v>
      </c>
      <c r="D1169" s="3" t="s">
        <v>2077</v>
      </c>
      <c r="E1169" s="3" t="s">
        <v>2738</v>
      </c>
      <c r="F1169" s="3" t="s">
        <v>2814</v>
      </c>
      <c r="G1169" s="10" t="s">
        <v>2841</v>
      </c>
      <c r="H1169" s="9" t="s">
        <v>13</v>
      </c>
      <c r="I1169" s="9" t="s">
        <v>2842</v>
      </c>
    </row>
    <row r="1170" customFormat="false" ht="15.75" hidden="false" customHeight="false" outlineLevel="0" collapsed="false">
      <c r="B1170" s="7" t="n">
        <v>46213</v>
      </c>
      <c r="C1170" s="3" t="s">
        <v>2843</v>
      </c>
      <c r="D1170" s="3" t="s">
        <v>2077</v>
      </c>
      <c r="E1170" s="3" t="s">
        <v>2738</v>
      </c>
      <c r="F1170" s="3" t="s">
        <v>2814</v>
      </c>
      <c r="G1170" s="10" t="s">
        <v>2479</v>
      </c>
      <c r="H1170" s="9" t="s">
        <v>13</v>
      </c>
      <c r="I1170" s="9" t="s">
        <v>2844</v>
      </c>
    </row>
    <row r="1171" customFormat="false" ht="15.75" hidden="false" customHeight="false" outlineLevel="0" collapsed="false">
      <c r="B1171" s="7" t="n">
        <v>46213</v>
      </c>
      <c r="C1171" s="3" t="s">
        <v>2845</v>
      </c>
      <c r="D1171" s="3" t="s">
        <v>2077</v>
      </c>
      <c r="E1171" s="3" t="s">
        <v>2738</v>
      </c>
      <c r="F1171" s="3" t="s">
        <v>2814</v>
      </c>
      <c r="G1171" s="8" t="s">
        <v>2846</v>
      </c>
      <c r="H1171" s="9" t="s">
        <v>13</v>
      </c>
      <c r="I1171" s="9" t="s">
        <v>2847</v>
      </c>
    </row>
    <row r="1172" customFormat="false" ht="15.75" hidden="false" customHeight="false" outlineLevel="0" collapsed="false">
      <c r="B1172" s="7" t="n">
        <v>46213</v>
      </c>
      <c r="C1172" s="3" t="s">
        <v>2848</v>
      </c>
      <c r="D1172" s="3" t="s">
        <v>2077</v>
      </c>
      <c r="E1172" s="3" t="s">
        <v>2738</v>
      </c>
      <c r="F1172" s="3" t="s">
        <v>2814</v>
      </c>
      <c r="G1172" s="8" t="s">
        <v>2418</v>
      </c>
      <c r="H1172" s="9" t="s">
        <v>13</v>
      </c>
      <c r="I1172" s="9" t="s">
        <v>2849</v>
      </c>
    </row>
    <row r="1173" customFormat="false" ht="15.75" hidden="false" customHeight="false" outlineLevel="0" collapsed="false">
      <c r="B1173" s="7" t="n">
        <v>46213</v>
      </c>
      <c r="C1173" s="3" t="s">
        <v>2850</v>
      </c>
      <c r="D1173" s="3" t="s">
        <v>2077</v>
      </c>
      <c r="E1173" s="3" t="s">
        <v>2738</v>
      </c>
      <c r="F1173" s="3" t="s">
        <v>2814</v>
      </c>
      <c r="G1173" s="8" t="s">
        <v>2418</v>
      </c>
      <c r="H1173" s="9" t="s">
        <v>13</v>
      </c>
      <c r="I1173" s="9" t="s">
        <v>2849</v>
      </c>
    </row>
    <row r="1174" customFormat="false" ht="15.75" hidden="false" customHeight="false" outlineLevel="0" collapsed="false">
      <c r="B1174" s="7" t="n">
        <v>46213</v>
      </c>
      <c r="C1174" s="3" t="s">
        <v>2851</v>
      </c>
      <c r="D1174" s="3" t="s">
        <v>2077</v>
      </c>
      <c r="E1174" s="3" t="s">
        <v>2738</v>
      </c>
      <c r="F1174" s="3" t="s">
        <v>2814</v>
      </c>
      <c r="G1174" s="10" t="s">
        <v>2415</v>
      </c>
      <c r="H1174" s="9" t="s">
        <v>13</v>
      </c>
      <c r="I1174" s="9" t="s">
        <v>2852</v>
      </c>
    </row>
    <row r="1175" customFormat="false" ht="15.75" hidden="false" customHeight="false" outlineLevel="0" collapsed="false">
      <c r="B1175" s="7" t="n">
        <v>46213</v>
      </c>
      <c r="C1175" s="3" t="s">
        <v>2853</v>
      </c>
      <c r="D1175" s="3" t="s">
        <v>2077</v>
      </c>
      <c r="E1175" s="3" t="s">
        <v>2738</v>
      </c>
      <c r="F1175" s="3" t="s">
        <v>2814</v>
      </c>
      <c r="G1175" s="10" t="s">
        <v>2854</v>
      </c>
      <c r="H1175" s="9" t="s">
        <v>13</v>
      </c>
      <c r="I1175" s="9" t="s">
        <v>2855</v>
      </c>
    </row>
    <row r="1176" customFormat="false" ht="15.75" hidden="false" customHeight="false" outlineLevel="0" collapsed="false">
      <c r="B1176" s="7" t="n">
        <v>46213</v>
      </c>
      <c r="C1176" s="3" t="s">
        <v>2856</v>
      </c>
      <c r="D1176" s="3" t="s">
        <v>2077</v>
      </c>
      <c r="E1176" s="3" t="s">
        <v>2738</v>
      </c>
      <c r="F1176" s="3" t="s">
        <v>2814</v>
      </c>
      <c r="G1176" s="10" t="s">
        <v>2857</v>
      </c>
      <c r="H1176" s="9" t="s">
        <v>13</v>
      </c>
      <c r="I1176" s="9" t="s">
        <v>2858</v>
      </c>
    </row>
    <row r="1177" customFormat="false" ht="15.75" hidden="false" customHeight="false" outlineLevel="0" collapsed="false">
      <c r="B1177" s="7" t="n">
        <v>46213</v>
      </c>
      <c r="C1177" s="3" t="s">
        <v>2859</v>
      </c>
      <c r="D1177" s="3" t="s">
        <v>2077</v>
      </c>
      <c r="E1177" s="3" t="s">
        <v>2738</v>
      </c>
      <c r="F1177" s="3" t="s">
        <v>2814</v>
      </c>
      <c r="G1177" s="10" t="s">
        <v>2860</v>
      </c>
      <c r="H1177" s="9" t="s">
        <v>13</v>
      </c>
      <c r="I1177" s="9" t="s">
        <v>2861</v>
      </c>
    </row>
    <row r="1178" customFormat="false" ht="15.75" hidden="false" customHeight="false" outlineLevel="0" collapsed="false">
      <c r="B1178" s="7" t="n">
        <v>46213</v>
      </c>
      <c r="C1178" s="3" t="s">
        <v>2862</v>
      </c>
      <c r="D1178" s="3" t="s">
        <v>2077</v>
      </c>
      <c r="E1178" s="3" t="s">
        <v>2738</v>
      </c>
      <c r="F1178" s="3" t="s">
        <v>2814</v>
      </c>
      <c r="G1178" s="10" t="s">
        <v>2863</v>
      </c>
      <c r="H1178" s="9" t="s">
        <v>13</v>
      </c>
      <c r="I1178" s="9" t="s">
        <v>2864</v>
      </c>
    </row>
    <row r="1179" customFormat="false" ht="15.75" hidden="false" customHeight="false" outlineLevel="0" collapsed="false">
      <c r="B1179" s="7" t="n">
        <v>46213</v>
      </c>
      <c r="C1179" s="3" t="s">
        <v>2865</v>
      </c>
      <c r="D1179" s="3" t="s">
        <v>2077</v>
      </c>
      <c r="E1179" s="3" t="s">
        <v>2738</v>
      </c>
      <c r="F1179" s="3" t="s">
        <v>2814</v>
      </c>
      <c r="G1179" s="10" t="s">
        <v>2866</v>
      </c>
      <c r="H1179" s="9" t="s">
        <v>13</v>
      </c>
      <c r="I1179" s="9" t="s">
        <v>2867</v>
      </c>
    </row>
    <row r="1180" customFormat="false" ht="15.75" hidden="false" customHeight="false" outlineLevel="0" collapsed="false">
      <c r="B1180" s="7" t="n">
        <v>46213</v>
      </c>
      <c r="C1180" s="3" t="s">
        <v>2868</v>
      </c>
      <c r="D1180" s="3" t="s">
        <v>2077</v>
      </c>
      <c r="E1180" s="3" t="s">
        <v>2738</v>
      </c>
      <c r="F1180" s="3" t="s">
        <v>2814</v>
      </c>
      <c r="G1180" s="10" t="s">
        <v>2172</v>
      </c>
      <c r="H1180" s="9" t="s">
        <v>13</v>
      </c>
      <c r="I1180" s="9" t="s">
        <v>2869</v>
      </c>
    </row>
    <row r="1181" customFormat="false" ht="15.75" hidden="false" customHeight="false" outlineLevel="0" collapsed="false">
      <c r="B1181" s="7" t="n">
        <v>46213</v>
      </c>
      <c r="C1181" s="3" t="s">
        <v>2870</v>
      </c>
      <c r="D1181" s="3" t="s">
        <v>2077</v>
      </c>
      <c r="E1181" s="3" t="s">
        <v>2738</v>
      </c>
      <c r="F1181" s="3" t="s">
        <v>2814</v>
      </c>
      <c r="G1181" s="10" t="s">
        <v>2432</v>
      </c>
      <c r="H1181" s="9" t="s">
        <v>13</v>
      </c>
      <c r="I1181" s="9" t="s">
        <v>2871</v>
      </c>
    </row>
    <row r="1182" customFormat="false" ht="15.75" hidden="false" customHeight="false" outlineLevel="0" collapsed="false">
      <c r="B1182" s="7" t="n">
        <v>46213</v>
      </c>
      <c r="C1182" s="3" t="s">
        <v>2872</v>
      </c>
      <c r="D1182" s="3" t="s">
        <v>2077</v>
      </c>
      <c r="E1182" s="3" t="s">
        <v>2738</v>
      </c>
      <c r="F1182" s="3" t="s">
        <v>2814</v>
      </c>
      <c r="G1182" s="10" t="s">
        <v>2172</v>
      </c>
      <c r="H1182" s="9" t="s">
        <v>13</v>
      </c>
      <c r="I1182" s="9" t="s">
        <v>2873</v>
      </c>
    </row>
    <row r="1183" customFormat="false" ht="15.75" hidden="false" customHeight="false" outlineLevel="0" collapsed="false">
      <c r="B1183" s="7" t="n">
        <v>46213</v>
      </c>
      <c r="C1183" s="3" t="s">
        <v>2874</v>
      </c>
      <c r="D1183" s="3" t="s">
        <v>2077</v>
      </c>
      <c r="E1183" s="3" t="s">
        <v>2738</v>
      </c>
      <c r="F1183" s="3" t="s">
        <v>2814</v>
      </c>
      <c r="G1183" s="10" t="s">
        <v>2172</v>
      </c>
      <c r="H1183" s="9" t="s">
        <v>13</v>
      </c>
      <c r="I1183" s="9" t="s">
        <v>2875</v>
      </c>
    </row>
    <row r="1184" customFormat="false" ht="15.75" hidden="false" customHeight="false" outlineLevel="0" collapsed="false">
      <c r="B1184" s="7" t="n">
        <v>46213</v>
      </c>
      <c r="C1184" s="3" t="s">
        <v>2876</v>
      </c>
      <c r="D1184" s="3" t="s">
        <v>2077</v>
      </c>
      <c r="E1184" s="3" t="s">
        <v>2738</v>
      </c>
      <c r="F1184" s="3" t="s">
        <v>2814</v>
      </c>
      <c r="G1184" s="10" t="s">
        <v>2815</v>
      </c>
      <c r="H1184" s="9" t="s">
        <v>13</v>
      </c>
      <c r="I1184" s="9" t="s">
        <v>2877</v>
      </c>
    </row>
    <row r="1185" customFormat="false" ht="15.75" hidden="false" customHeight="false" outlineLevel="0" collapsed="false">
      <c r="B1185" s="7" t="n">
        <v>46213</v>
      </c>
      <c r="C1185" s="3" t="s">
        <v>2878</v>
      </c>
      <c r="D1185" s="3" t="s">
        <v>2077</v>
      </c>
      <c r="E1185" s="3" t="s">
        <v>2738</v>
      </c>
      <c r="F1185" s="3" t="s">
        <v>2814</v>
      </c>
      <c r="G1185" s="10" t="s">
        <v>2815</v>
      </c>
      <c r="H1185" s="9" t="s">
        <v>13</v>
      </c>
      <c r="I1185" s="9" t="s">
        <v>2879</v>
      </c>
    </row>
    <row r="1186" customFormat="false" ht="15.75" hidden="false" customHeight="false" outlineLevel="0" collapsed="false">
      <c r="B1186" s="7" t="n">
        <v>46213</v>
      </c>
      <c r="C1186" s="3" t="s">
        <v>2880</v>
      </c>
      <c r="D1186" s="3" t="s">
        <v>2077</v>
      </c>
      <c r="E1186" s="3" t="s">
        <v>2738</v>
      </c>
      <c r="F1186" s="3" t="s">
        <v>2814</v>
      </c>
      <c r="G1186" s="10" t="s">
        <v>2881</v>
      </c>
      <c r="H1186" s="9" t="s">
        <v>13</v>
      </c>
      <c r="I1186" s="9" t="s">
        <v>2882</v>
      </c>
    </row>
    <row r="1187" customFormat="false" ht="15.75" hidden="false" customHeight="false" outlineLevel="0" collapsed="false">
      <c r="B1187" s="7" t="n">
        <v>46213</v>
      </c>
      <c r="C1187" s="3" t="s">
        <v>2883</v>
      </c>
      <c r="D1187" s="3" t="s">
        <v>2077</v>
      </c>
      <c r="E1187" s="3" t="s">
        <v>2738</v>
      </c>
      <c r="F1187" s="3" t="s">
        <v>2814</v>
      </c>
      <c r="G1187" s="10" t="s">
        <v>2881</v>
      </c>
      <c r="H1187" s="9" t="s">
        <v>13</v>
      </c>
      <c r="I1187" s="9" t="s">
        <v>2882</v>
      </c>
    </row>
    <row r="1188" customFormat="false" ht="15.75" hidden="false" customHeight="false" outlineLevel="0" collapsed="false">
      <c r="B1188" s="7" t="n">
        <v>46213</v>
      </c>
      <c r="C1188" s="3" t="s">
        <v>2884</v>
      </c>
      <c r="D1188" s="3" t="s">
        <v>2077</v>
      </c>
      <c r="E1188" s="3" t="s">
        <v>2738</v>
      </c>
      <c r="F1188" s="3" t="s">
        <v>2814</v>
      </c>
      <c r="G1188" s="10" t="s">
        <v>2885</v>
      </c>
      <c r="H1188" s="9" t="s">
        <v>13</v>
      </c>
      <c r="I1188" s="9" t="s">
        <v>2886</v>
      </c>
    </row>
    <row r="1189" customFormat="false" ht="15.75" hidden="false" customHeight="false" outlineLevel="0" collapsed="false">
      <c r="B1189" s="7" t="n">
        <v>46213</v>
      </c>
      <c r="C1189" s="3" t="s">
        <v>2887</v>
      </c>
      <c r="D1189" s="3" t="s">
        <v>2077</v>
      </c>
      <c r="E1189" s="3" t="s">
        <v>2738</v>
      </c>
      <c r="F1189" s="3" t="s">
        <v>2814</v>
      </c>
      <c r="G1189" s="10" t="s">
        <v>2885</v>
      </c>
      <c r="H1189" s="9" t="s">
        <v>13</v>
      </c>
      <c r="I1189" s="9" t="s">
        <v>2886</v>
      </c>
    </row>
    <row r="1190" customFormat="false" ht="15.75" hidden="false" customHeight="false" outlineLevel="0" collapsed="false">
      <c r="B1190" s="7" t="n">
        <v>46213</v>
      </c>
      <c r="C1190" s="3" t="s">
        <v>2888</v>
      </c>
      <c r="D1190" s="3" t="s">
        <v>2077</v>
      </c>
      <c r="E1190" s="3" t="s">
        <v>2738</v>
      </c>
      <c r="F1190" s="3" t="s">
        <v>2814</v>
      </c>
      <c r="G1190" s="10" t="s">
        <v>2885</v>
      </c>
      <c r="H1190" s="9" t="s">
        <v>13</v>
      </c>
      <c r="I1190" s="9" t="s">
        <v>2886</v>
      </c>
    </row>
    <row r="1191" customFormat="false" ht="15.75" hidden="false" customHeight="false" outlineLevel="0" collapsed="false">
      <c r="B1191" s="7" t="n">
        <v>46213</v>
      </c>
      <c r="C1191" s="3" t="s">
        <v>2889</v>
      </c>
      <c r="D1191" s="3" t="s">
        <v>2077</v>
      </c>
      <c r="E1191" s="3" t="s">
        <v>2738</v>
      </c>
      <c r="F1191" s="3" t="s">
        <v>2814</v>
      </c>
      <c r="G1191" s="10" t="s">
        <v>2452</v>
      </c>
      <c r="H1191" s="9" t="s">
        <v>13</v>
      </c>
      <c r="I1191" s="9" t="s">
        <v>2890</v>
      </c>
    </row>
    <row r="1192" customFormat="false" ht="15.75" hidden="false" customHeight="false" outlineLevel="0" collapsed="false">
      <c r="B1192" s="7" t="n">
        <v>46213</v>
      </c>
      <c r="C1192" s="3" t="s">
        <v>2891</v>
      </c>
      <c r="D1192" s="3" t="s">
        <v>2077</v>
      </c>
      <c r="E1192" s="3" t="s">
        <v>2738</v>
      </c>
      <c r="F1192" s="3" t="s">
        <v>2814</v>
      </c>
      <c r="G1192" s="10" t="s">
        <v>2892</v>
      </c>
      <c r="H1192" s="9" t="s">
        <v>13</v>
      </c>
      <c r="I1192" s="9" t="s">
        <v>2893</v>
      </c>
    </row>
    <row r="1193" customFormat="false" ht="15.75" hidden="false" customHeight="false" outlineLevel="0" collapsed="false">
      <c r="B1193" s="7" t="n">
        <v>46213</v>
      </c>
      <c r="C1193" s="3" t="s">
        <v>2894</v>
      </c>
      <c r="D1193" s="3" t="s">
        <v>2077</v>
      </c>
      <c r="E1193" s="3" t="s">
        <v>2738</v>
      </c>
      <c r="F1193" s="3" t="s">
        <v>2895</v>
      </c>
      <c r="G1193" s="10" t="s">
        <v>2896</v>
      </c>
      <c r="H1193" s="9" t="s">
        <v>13</v>
      </c>
      <c r="I1193" s="9" t="s">
        <v>2897</v>
      </c>
    </row>
    <row r="1194" customFormat="false" ht="15.75" hidden="false" customHeight="false" outlineLevel="0" collapsed="false">
      <c r="B1194" s="7" t="n">
        <v>46213</v>
      </c>
      <c r="C1194" s="3" t="s">
        <v>2898</v>
      </c>
      <c r="D1194" s="3" t="s">
        <v>2077</v>
      </c>
      <c r="E1194" s="3" t="s">
        <v>2738</v>
      </c>
      <c r="F1194" s="3" t="s">
        <v>2895</v>
      </c>
      <c r="G1194" s="10" t="s">
        <v>2899</v>
      </c>
      <c r="H1194" s="9" t="s">
        <v>13</v>
      </c>
      <c r="I1194" s="9" t="s">
        <v>2900</v>
      </c>
    </row>
    <row r="1195" customFormat="false" ht="15.75" hidden="false" customHeight="false" outlineLevel="0" collapsed="false">
      <c r="B1195" s="7" t="n">
        <v>46213</v>
      </c>
      <c r="C1195" s="3" t="s">
        <v>2901</v>
      </c>
      <c r="D1195" s="3" t="s">
        <v>2077</v>
      </c>
      <c r="E1195" s="3" t="s">
        <v>2738</v>
      </c>
      <c r="F1195" s="3" t="s">
        <v>2895</v>
      </c>
      <c r="G1195" s="10" t="s">
        <v>2902</v>
      </c>
      <c r="H1195" s="9" t="s">
        <v>13</v>
      </c>
      <c r="I1195" s="9" t="s">
        <v>2903</v>
      </c>
    </row>
    <row r="1196" customFormat="false" ht="15.75" hidden="false" customHeight="false" outlineLevel="0" collapsed="false">
      <c r="B1196" s="7" t="n">
        <v>46213</v>
      </c>
      <c r="C1196" s="3" t="s">
        <v>2904</v>
      </c>
      <c r="D1196" s="3" t="s">
        <v>2077</v>
      </c>
      <c r="E1196" s="3" t="s">
        <v>2738</v>
      </c>
      <c r="F1196" s="3" t="s">
        <v>2895</v>
      </c>
      <c r="G1196" s="10" t="s">
        <v>2242</v>
      </c>
      <c r="H1196" s="9" t="s">
        <v>13</v>
      </c>
      <c r="I1196" s="9" t="s">
        <v>2905</v>
      </c>
    </row>
    <row r="1197" customFormat="false" ht="15.75" hidden="false" customHeight="false" outlineLevel="0" collapsed="false">
      <c r="B1197" s="7" t="n">
        <v>46213</v>
      </c>
      <c r="C1197" s="3" t="s">
        <v>2906</v>
      </c>
      <c r="D1197" s="3" t="s">
        <v>2077</v>
      </c>
      <c r="E1197" s="3" t="s">
        <v>2738</v>
      </c>
      <c r="F1197" s="3" t="s">
        <v>2895</v>
      </c>
      <c r="G1197" s="10" t="s">
        <v>2242</v>
      </c>
      <c r="H1197" s="9" t="s">
        <v>13</v>
      </c>
      <c r="I1197" s="9" t="s">
        <v>2907</v>
      </c>
    </row>
    <row r="1198" customFormat="false" ht="15.75" hidden="false" customHeight="false" outlineLevel="0" collapsed="false">
      <c r="B1198" s="7" t="n">
        <v>46213</v>
      </c>
      <c r="C1198" s="3" t="s">
        <v>2908</v>
      </c>
      <c r="D1198" s="3" t="s">
        <v>2077</v>
      </c>
      <c r="E1198" s="3" t="s">
        <v>2738</v>
      </c>
      <c r="F1198" s="3" t="s">
        <v>2895</v>
      </c>
      <c r="G1198" s="8" t="s">
        <v>2909</v>
      </c>
      <c r="H1198" s="9" t="s">
        <v>13</v>
      </c>
      <c r="I1198" s="9" t="s">
        <v>2910</v>
      </c>
    </row>
    <row r="1199" customFormat="false" ht="15.75" hidden="false" customHeight="false" outlineLevel="0" collapsed="false">
      <c r="B1199" s="7" t="n">
        <v>46213</v>
      </c>
      <c r="C1199" s="3" t="s">
        <v>2911</v>
      </c>
      <c r="D1199" s="3" t="s">
        <v>2077</v>
      </c>
      <c r="E1199" s="3" t="s">
        <v>2738</v>
      </c>
      <c r="F1199" s="3" t="s">
        <v>2895</v>
      </c>
      <c r="G1199" s="10" t="s">
        <v>2912</v>
      </c>
      <c r="H1199" s="9" t="s">
        <v>13</v>
      </c>
      <c r="I1199" s="9" t="s">
        <v>2913</v>
      </c>
    </row>
    <row r="1200" customFormat="false" ht="15.75" hidden="false" customHeight="false" outlineLevel="0" collapsed="false">
      <c r="B1200" s="7" t="n">
        <v>46213</v>
      </c>
      <c r="C1200" s="3" t="s">
        <v>2914</v>
      </c>
      <c r="D1200" s="3" t="s">
        <v>2077</v>
      </c>
      <c r="E1200" s="3" t="s">
        <v>2738</v>
      </c>
      <c r="F1200" s="3" t="s">
        <v>2895</v>
      </c>
      <c r="G1200" s="8" t="s">
        <v>2915</v>
      </c>
      <c r="H1200" s="9" t="s">
        <v>13</v>
      </c>
      <c r="I1200" s="9" t="s">
        <v>2916</v>
      </c>
    </row>
    <row r="1201" customFormat="false" ht="15.75" hidden="false" customHeight="false" outlineLevel="0" collapsed="false">
      <c r="B1201" s="7" t="n">
        <v>46213</v>
      </c>
      <c r="C1201" s="3" t="s">
        <v>2917</v>
      </c>
      <c r="D1201" s="3" t="s">
        <v>2077</v>
      </c>
      <c r="E1201" s="3" t="s">
        <v>2738</v>
      </c>
      <c r="F1201" s="3" t="s">
        <v>2895</v>
      </c>
      <c r="G1201" s="8" t="s">
        <v>2915</v>
      </c>
      <c r="H1201" s="9" t="s">
        <v>13</v>
      </c>
      <c r="I1201" s="9" t="s">
        <v>2918</v>
      </c>
    </row>
    <row r="1202" customFormat="false" ht="15.75" hidden="false" customHeight="false" outlineLevel="0" collapsed="false">
      <c r="B1202" s="7" t="n">
        <v>46213</v>
      </c>
      <c r="C1202" s="3" t="s">
        <v>2919</v>
      </c>
      <c r="D1202" s="3" t="s">
        <v>2077</v>
      </c>
      <c r="E1202" s="3" t="s">
        <v>2738</v>
      </c>
      <c r="F1202" s="3" t="s">
        <v>2895</v>
      </c>
      <c r="G1202" s="8" t="s">
        <v>2915</v>
      </c>
      <c r="H1202" s="9" t="s">
        <v>13</v>
      </c>
      <c r="I1202" s="9" t="s">
        <v>2920</v>
      </c>
    </row>
    <row r="1203" customFormat="false" ht="15.75" hidden="false" customHeight="false" outlineLevel="0" collapsed="false">
      <c r="B1203" s="7" t="n">
        <v>46213</v>
      </c>
      <c r="C1203" s="3" t="s">
        <v>2921</v>
      </c>
      <c r="D1203" s="3" t="s">
        <v>2077</v>
      </c>
      <c r="E1203" s="3" t="s">
        <v>2738</v>
      </c>
      <c r="F1203" s="3" t="s">
        <v>2895</v>
      </c>
      <c r="G1203" s="8" t="s">
        <v>2915</v>
      </c>
      <c r="H1203" s="9" t="s">
        <v>13</v>
      </c>
      <c r="I1203" s="9" t="s">
        <v>2922</v>
      </c>
    </row>
    <row r="1204" customFormat="false" ht="15.75" hidden="false" customHeight="false" outlineLevel="0" collapsed="false">
      <c r="B1204" s="7" t="n">
        <v>46213</v>
      </c>
      <c r="C1204" s="3" t="s">
        <v>2923</v>
      </c>
      <c r="D1204" s="3" t="s">
        <v>2077</v>
      </c>
      <c r="E1204" s="3" t="s">
        <v>2738</v>
      </c>
      <c r="F1204" s="3" t="s">
        <v>2895</v>
      </c>
      <c r="G1204" s="8" t="s">
        <v>2915</v>
      </c>
      <c r="H1204" s="9" t="s">
        <v>13</v>
      </c>
      <c r="I1204" s="9" t="s">
        <v>2924</v>
      </c>
    </row>
    <row r="1205" customFormat="false" ht="15.75" hidden="false" customHeight="false" outlineLevel="0" collapsed="false">
      <c r="B1205" s="7" t="n">
        <v>46213</v>
      </c>
      <c r="C1205" s="3" t="s">
        <v>2925</v>
      </c>
      <c r="D1205" s="3" t="s">
        <v>2077</v>
      </c>
      <c r="E1205" s="3" t="s">
        <v>2738</v>
      </c>
      <c r="F1205" s="3" t="s">
        <v>2895</v>
      </c>
      <c r="G1205" s="8" t="s">
        <v>2915</v>
      </c>
      <c r="H1205" s="9" t="s">
        <v>13</v>
      </c>
      <c r="I1205" s="9" t="s">
        <v>2926</v>
      </c>
    </row>
    <row r="1206" customFormat="false" ht="15.75" hidden="false" customHeight="false" outlineLevel="0" collapsed="false">
      <c r="B1206" s="7" t="n">
        <v>46213</v>
      </c>
      <c r="C1206" s="3" t="s">
        <v>2927</v>
      </c>
      <c r="D1206" s="3" t="s">
        <v>2077</v>
      </c>
      <c r="E1206" s="3" t="s">
        <v>2738</v>
      </c>
      <c r="F1206" s="3" t="s">
        <v>2895</v>
      </c>
      <c r="G1206" s="8" t="s">
        <v>2915</v>
      </c>
      <c r="H1206" s="9" t="s">
        <v>13</v>
      </c>
      <c r="I1206" s="9" t="s">
        <v>2928</v>
      </c>
    </row>
    <row r="1207" customFormat="false" ht="15.75" hidden="false" customHeight="false" outlineLevel="0" collapsed="false">
      <c r="B1207" s="7" t="n">
        <v>46213</v>
      </c>
      <c r="C1207" s="3" t="s">
        <v>2929</v>
      </c>
      <c r="D1207" s="3" t="s">
        <v>2077</v>
      </c>
      <c r="E1207" s="3" t="s">
        <v>2738</v>
      </c>
      <c r="F1207" s="3" t="s">
        <v>2895</v>
      </c>
      <c r="G1207" s="10" t="s">
        <v>2930</v>
      </c>
      <c r="H1207" s="9" t="s">
        <v>13</v>
      </c>
      <c r="I1207" s="9" t="s">
        <v>2931</v>
      </c>
    </row>
    <row r="1208" customFormat="false" ht="15.75" hidden="false" customHeight="false" outlineLevel="0" collapsed="false">
      <c r="B1208" s="7" t="n">
        <v>46213</v>
      </c>
      <c r="C1208" s="3" t="s">
        <v>2932</v>
      </c>
      <c r="D1208" s="3" t="s">
        <v>2077</v>
      </c>
      <c r="E1208" s="3" t="s">
        <v>2738</v>
      </c>
      <c r="F1208" s="3" t="s">
        <v>2895</v>
      </c>
      <c r="G1208" s="10" t="s">
        <v>2930</v>
      </c>
      <c r="H1208" s="9" t="s">
        <v>13</v>
      </c>
      <c r="I1208" s="9" t="s">
        <v>2931</v>
      </c>
    </row>
    <row r="1209" customFormat="false" ht="15.75" hidden="false" customHeight="false" outlineLevel="0" collapsed="false">
      <c r="B1209" s="7" t="n">
        <v>46213</v>
      </c>
      <c r="C1209" s="3" t="s">
        <v>2933</v>
      </c>
      <c r="D1209" s="3" t="s">
        <v>2077</v>
      </c>
      <c r="E1209" s="3" t="s">
        <v>2738</v>
      </c>
      <c r="F1209" s="3" t="s">
        <v>2895</v>
      </c>
      <c r="G1209" s="10" t="s">
        <v>2934</v>
      </c>
      <c r="H1209" s="9" t="s">
        <v>13</v>
      </c>
      <c r="I1209" s="9" t="s">
        <v>2935</v>
      </c>
    </row>
    <row r="1210" customFormat="false" ht="15.75" hidden="false" customHeight="false" outlineLevel="0" collapsed="false">
      <c r="B1210" s="7" t="n">
        <v>46213</v>
      </c>
      <c r="C1210" s="3" t="s">
        <v>2936</v>
      </c>
      <c r="D1210" s="3" t="s">
        <v>2077</v>
      </c>
      <c r="E1210" s="3" t="s">
        <v>2738</v>
      </c>
      <c r="F1210" s="3" t="s">
        <v>2895</v>
      </c>
      <c r="G1210" s="10" t="s">
        <v>2937</v>
      </c>
      <c r="H1210" s="9" t="s">
        <v>13</v>
      </c>
      <c r="I1210" s="9" t="s">
        <v>2938</v>
      </c>
    </row>
    <row r="1211" customFormat="false" ht="15.75" hidden="false" customHeight="false" outlineLevel="0" collapsed="false">
      <c r="B1211" s="7" t="n">
        <v>46213</v>
      </c>
      <c r="C1211" s="3" t="s">
        <v>2939</v>
      </c>
      <c r="D1211" s="3" t="s">
        <v>2077</v>
      </c>
      <c r="E1211" s="3" t="s">
        <v>2738</v>
      </c>
      <c r="F1211" s="3" t="s">
        <v>2895</v>
      </c>
      <c r="G1211" s="10" t="s">
        <v>2940</v>
      </c>
      <c r="H1211" s="9" t="s">
        <v>13</v>
      </c>
      <c r="I1211" s="9" t="s">
        <v>2941</v>
      </c>
    </row>
    <row r="1212" customFormat="false" ht="15.75" hidden="false" customHeight="false" outlineLevel="0" collapsed="false">
      <c r="B1212" s="7" t="n">
        <v>46213</v>
      </c>
      <c r="C1212" s="3" t="s">
        <v>2942</v>
      </c>
      <c r="D1212" s="3" t="s">
        <v>2077</v>
      </c>
      <c r="E1212" s="3" t="s">
        <v>2738</v>
      </c>
      <c r="F1212" s="3" t="s">
        <v>2895</v>
      </c>
      <c r="G1212" s="10" t="s">
        <v>2940</v>
      </c>
      <c r="H1212" s="9" t="s">
        <v>13</v>
      </c>
      <c r="I1212" s="9" t="s">
        <v>2943</v>
      </c>
    </row>
    <row r="1213" customFormat="false" ht="15.75" hidden="false" customHeight="false" outlineLevel="0" collapsed="false">
      <c r="B1213" s="7" t="n">
        <v>46213</v>
      </c>
      <c r="C1213" s="3" t="s">
        <v>2944</v>
      </c>
      <c r="D1213" s="3" t="s">
        <v>2077</v>
      </c>
      <c r="E1213" s="3" t="s">
        <v>2738</v>
      </c>
      <c r="F1213" s="3" t="s">
        <v>2895</v>
      </c>
      <c r="G1213" s="10" t="s">
        <v>2940</v>
      </c>
      <c r="H1213" s="9" t="s">
        <v>13</v>
      </c>
      <c r="I1213" s="9" t="s">
        <v>2945</v>
      </c>
    </row>
    <row r="1214" customFormat="false" ht="15.75" hidden="false" customHeight="false" outlineLevel="0" collapsed="false">
      <c r="B1214" s="7" t="n">
        <v>46213</v>
      </c>
      <c r="C1214" s="3" t="s">
        <v>2946</v>
      </c>
      <c r="D1214" s="3" t="s">
        <v>2077</v>
      </c>
      <c r="E1214" s="3" t="s">
        <v>2738</v>
      </c>
      <c r="F1214" s="3" t="s">
        <v>2895</v>
      </c>
      <c r="G1214" s="10" t="s">
        <v>2531</v>
      </c>
      <c r="H1214" s="9" t="s">
        <v>13</v>
      </c>
      <c r="I1214" s="9" t="s">
        <v>2947</v>
      </c>
    </row>
    <row r="1215" customFormat="false" ht="15.75" hidden="false" customHeight="false" outlineLevel="0" collapsed="false">
      <c r="B1215" s="7" t="n">
        <v>46213</v>
      </c>
      <c r="C1215" s="3" t="s">
        <v>2948</v>
      </c>
      <c r="D1215" s="3" t="s">
        <v>2077</v>
      </c>
      <c r="E1215" s="3" t="s">
        <v>2738</v>
      </c>
      <c r="F1215" s="3" t="s">
        <v>2895</v>
      </c>
      <c r="G1215" s="10" t="s">
        <v>2531</v>
      </c>
      <c r="H1215" s="9" t="s">
        <v>13</v>
      </c>
      <c r="I1215" s="9" t="s">
        <v>2949</v>
      </c>
    </row>
    <row r="1216" customFormat="false" ht="15.75" hidden="false" customHeight="false" outlineLevel="0" collapsed="false">
      <c r="B1216" s="7" t="n">
        <v>46213</v>
      </c>
      <c r="C1216" s="3" t="s">
        <v>2950</v>
      </c>
      <c r="D1216" s="3" t="s">
        <v>2077</v>
      </c>
      <c r="E1216" s="3" t="s">
        <v>2738</v>
      </c>
      <c r="F1216" s="3" t="s">
        <v>2895</v>
      </c>
      <c r="G1216" s="10" t="s">
        <v>2797</v>
      </c>
      <c r="H1216" s="9" t="s">
        <v>13</v>
      </c>
      <c r="I1216" s="9" t="s">
        <v>2951</v>
      </c>
    </row>
    <row r="1217" customFormat="false" ht="15.75" hidden="false" customHeight="false" outlineLevel="0" collapsed="false">
      <c r="B1217" s="7" t="n">
        <v>46213</v>
      </c>
      <c r="C1217" s="3" t="s">
        <v>2952</v>
      </c>
      <c r="D1217" s="3" t="s">
        <v>2077</v>
      </c>
      <c r="E1217" s="3" t="s">
        <v>2738</v>
      </c>
      <c r="F1217" s="3" t="s">
        <v>2895</v>
      </c>
      <c r="G1217" s="10" t="s">
        <v>2797</v>
      </c>
      <c r="H1217" s="9" t="s">
        <v>13</v>
      </c>
      <c r="I1217" s="9" t="s">
        <v>2953</v>
      </c>
    </row>
    <row r="1218" customFormat="false" ht="15.75" hidden="false" customHeight="false" outlineLevel="0" collapsed="false">
      <c r="B1218" s="7" t="n">
        <v>46213</v>
      </c>
      <c r="C1218" s="3" t="s">
        <v>2954</v>
      </c>
      <c r="D1218" s="3" t="s">
        <v>2077</v>
      </c>
      <c r="E1218" s="3" t="s">
        <v>2738</v>
      </c>
      <c r="F1218" s="3" t="s">
        <v>2895</v>
      </c>
      <c r="G1218" s="10" t="s">
        <v>2797</v>
      </c>
      <c r="H1218" s="9" t="s">
        <v>13</v>
      </c>
      <c r="I1218" s="9" t="s">
        <v>2953</v>
      </c>
    </row>
    <row r="1219" customFormat="false" ht="15.75" hidden="false" customHeight="false" outlineLevel="0" collapsed="false">
      <c r="B1219" s="7" t="n">
        <v>46213</v>
      </c>
      <c r="C1219" s="3" t="s">
        <v>2955</v>
      </c>
      <c r="D1219" s="3" t="s">
        <v>2077</v>
      </c>
      <c r="E1219" s="3" t="s">
        <v>2738</v>
      </c>
      <c r="F1219" s="3" t="s">
        <v>2895</v>
      </c>
      <c r="G1219" s="10" t="s">
        <v>2797</v>
      </c>
      <c r="H1219" s="9" t="s">
        <v>13</v>
      </c>
      <c r="I1219" s="9" t="s">
        <v>2953</v>
      </c>
    </row>
    <row r="1220" customFormat="false" ht="15.75" hidden="false" customHeight="false" outlineLevel="0" collapsed="false">
      <c r="B1220" s="7" t="n">
        <v>46213</v>
      </c>
      <c r="C1220" s="3" t="s">
        <v>2956</v>
      </c>
      <c r="D1220" s="3" t="s">
        <v>2077</v>
      </c>
      <c r="E1220" s="3" t="s">
        <v>2738</v>
      </c>
      <c r="F1220" s="3" t="s">
        <v>2895</v>
      </c>
      <c r="G1220" s="10" t="s">
        <v>2797</v>
      </c>
      <c r="H1220" s="9" t="s">
        <v>13</v>
      </c>
      <c r="I1220" s="9" t="s">
        <v>2953</v>
      </c>
    </row>
    <row r="1221" customFormat="false" ht="15.75" hidden="false" customHeight="false" outlineLevel="0" collapsed="false">
      <c r="B1221" s="7" t="n">
        <v>46213</v>
      </c>
      <c r="C1221" s="3" t="s">
        <v>2957</v>
      </c>
      <c r="D1221" s="3" t="s">
        <v>2077</v>
      </c>
      <c r="E1221" s="3" t="s">
        <v>2738</v>
      </c>
      <c r="F1221" s="3" t="s">
        <v>2895</v>
      </c>
      <c r="G1221" s="10" t="s">
        <v>2797</v>
      </c>
      <c r="H1221" s="9" t="s">
        <v>13</v>
      </c>
      <c r="I1221" s="9" t="s">
        <v>2958</v>
      </c>
    </row>
    <row r="1222" customFormat="false" ht="15.75" hidden="false" customHeight="false" outlineLevel="0" collapsed="false">
      <c r="B1222" s="7" t="n">
        <v>46213</v>
      </c>
      <c r="C1222" s="3" t="s">
        <v>2959</v>
      </c>
      <c r="D1222" s="3" t="s">
        <v>2077</v>
      </c>
      <c r="E1222" s="3" t="s">
        <v>2738</v>
      </c>
      <c r="F1222" s="3" t="s">
        <v>2895</v>
      </c>
      <c r="G1222" s="8" t="s">
        <v>2960</v>
      </c>
      <c r="H1222" s="9" t="s">
        <v>13</v>
      </c>
      <c r="I1222" s="9" t="s">
        <v>2961</v>
      </c>
    </row>
    <row r="1223" customFormat="false" ht="15.75" hidden="false" customHeight="false" outlineLevel="0" collapsed="false">
      <c r="B1223" s="7" t="n">
        <v>46213</v>
      </c>
      <c r="C1223" s="3" t="s">
        <v>2962</v>
      </c>
      <c r="D1223" s="3" t="s">
        <v>2077</v>
      </c>
      <c r="E1223" s="3" t="s">
        <v>2738</v>
      </c>
      <c r="F1223" s="3" t="s">
        <v>2895</v>
      </c>
      <c r="G1223" s="10" t="s">
        <v>2242</v>
      </c>
      <c r="H1223" s="9" t="s">
        <v>13</v>
      </c>
      <c r="I1223" s="9" t="s">
        <v>2963</v>
      </c>
    </row>
    <row r="1224" customFormat="false" ht="15.75" hidden="false" customHeight="false" outlineLevel="0" collapsed="false">
      <c r="B1224" s="7" t="n">
        <v>46213</v>
      </c>
      <c r="C1224" s="3" t="s">
        <v>2964</v>
      </c>
      <c r="D1224" s="3" t="s">
        <v>2077</v>
      </c>
      <c r="E1224" s="3" t="s">
        <v>2738</v>
      </c>
      <c r="F1224" s="3" t="s">
        <v>2895</v>
      </c>
      <c r="G1224" s="10" t="s">
        <v>2896</v>
      </c>
      <c r="H1224" s="9" t="s">
        <v>13</v>
      </c>
      <c r="I1224" s="9" t="s">
        <v>2965</v>
      </c>
    </row>
    <row r="1225" customFormat="false" ht="15.75" hidden="false" customHeight="false" outlineLevel="0" collapsed="false">
      <c r="B1225" s="7" t="n">
        <v>46213</v>
      </c>
      <c r="C1225" s="3" t="s">
        <v>2966</v>
      </c>
      <c r="D1225" s="3" t="s">
        <v>2077</v>
      </c>
      <c r="E1225" s="3" t="s">
        <v>2738</v>
      </c>
      <c r="F1225" s="3" t="s">
        <v>2895</v>
      </c>
      <c r="G1225" s="10" t="s">
        <v>2967</v>
      </c>
      <c r="H1225" s="9" t="s">
        <v>13</v>
      </c>
      <c r="I1225" s="9" t="s">
        <v>2968</v>
      </c>
    </row>
    <row r="1226" customFormat="false" ht="15.75" hidden="false" customHeight="false" outlineLevel="0" collapsed="false">
      <c r="B1226" s="7" t="n">
        <v>46213</v>
      </c>
      <c r="C1226" s="3" t="s">
        <v>2969</v>
      </c>
      <c r="D1226" s="3" t="s">
        <v>2077</v>
      </c>
      <c r="E1226" s="3" t="s">
        <v>2738</v>
      </c>
      <c r="F1226" s="3" t="s">
        <v>2895</v>
      </c>
      <c r="G1226" s="10" t="s">
        <v>2967</v>
      </c>
      <c r="H1226" s="9" t="s">
        <v>13</v>
      </c>
      <c r="I1226" s="9" t="s">
        <v>2968</v>
      </c>
    </row>
    <row r="1227" customFormat="false" ht="15.75" hidden="false" customHeight="false" outlineLevel="0" collapsed="false">
      <c r="B1227" s="7" t="n">
        <v>46213</v>
      </c>
      <c r="C1227" s="3" t="s">
        <v>2970</v>
      </c>
      <c r="D1227" s="3" t="s">
        <v>2077</v>
      </c>
      <c r="E1227" s="3" t="s">
        <v>2738</v>
      </c>
      <c r="F1227" s="3" t="s">
        <v>2895</v>
      </c>
      <c r="G1227" s="10" t="s">
        <v>2967</v>
      </c>
      <c r="H1227" s="9" t="s">
        <v>13</v>
      </c>
      <c r="I1227" s="9" t="s">
        <v>2968</v>
      </c>
    </row>
    <row r="1228" customFormat="false" ht="15.75" hidden="false" customHeight="false" outlineLevel="0" collapsed="false">
      <c r="B1228" s="7" t="n">
        <v>46213</v>
      </c>
      <c r="C1228" s="3" t="s">
        <v>2971</v>
      </c>
      <c r="D1228" s="3" t="s">
        <v>2077</v>
      </c>
      <c r="E1228" s="3" t="s">
        <v>2738</v>
      </c>
      <c r="F1228" s="3" t="s">
        <v>2972</v>
      </c>
      <c r="G1228" s="10" t="s">
        <v>2973</v>
      </c>
      <c r="H1228" s="9" t="s">
        <v>13</v>
      </c>
      <c r="I1228" s="9" t="s">
        <v>2974</v>
      </c>
    </row>
    <row r="1229" customFormat="false" ht="15.75" hidden="false" customHeight="false" outlineLevel="0" collapsed="false">
      <c r="B1229" s="7" t="n">
        <v>46213</v>
      </c>
      <c r="C1229" s="3" t="s">
        <v>2975</v>
      </c>
      <c r="D1229" s="3" t="s">
        <v>2077</v>
      </c>
      <c r="E1229" s="3" t="s">
        <v>2738</v>
      </c>
      <c r="F1229" s="3" t="s">
        <v>2972</v>
      </c>
      <c r="G1229" s="10" t="s">
        <v>2976</v>
      </c>
      <c r="H1229" s="9" t="s">
        <v>13</v>
      </c>
      <c r="I1229" s="9" t="s">
        <v>2977</v>
      </c>
    </row>
    <row r="1230" customFormat="false" ht="15.75" hidden="false" customHeight="false" outlineLevel="0" collapsed="false">
      <c r="B1230" s="7" t="n">
        <v>46213</v>
      </c>
      <c r="C1230" s="3" t="s">
        <v>2978</v>
      </c>
      <c r="D1230" s="3" t="s">
        <v>2077</v>
      </c>
      <c r="E1230" s="3" t="s">
        <v>2738</v>
      </c>
      <c r="F1230" s="3" t="s">
        <v>2972</v>
      </c>
      <c r="G1230" s="10" t="s">
        <v>2976</v>
      </c>
      <c r="H1230" s="9" t="s">
        <v>13</v>
      </c>
      <c r="I1230" s="9" t="s">
        <v>2977</v>
      </c>
    </row>
    <row r="1231" customFormat="false" ht="15.75" hidden="false" customHeight="false" outlineLevel="0" collapsed="false">
      <c r="B1231" s="7" t="n">
        <v>46213</v>
      </c>
      <c r="C1231" s="3" t="s">
        <v>2979</v>
      </c>
      <c r="D1231" s="3" t="s">
        <v>2077</v>
      </c>
      <c r="E1231" s="3" t="s">
        <v>2738</v>
      </c>
      <c r="F1231" s="3" t="s">
        <v>2972</v>
      </c>
      <c r="G1231" s="10" t="s">
        <v>2976</v>
      </c>
      <c r="H1231" s="9" t="s">
        <v>13</v>
      </c>
      <c r="I1231" s="9" t="s">
        <v>2977</v>
      </c>
    </row>
    <row r="1232" customFormat="false" ht="15.75" hidden="false" customHeight="false" outlineLevel="0" collapsed="false">
      <c r="B1232" s="7" t="n">
        <v>46213</v>
      </c>
      <c r="C1232" s="3" t="s">
        <v>2980</v>
      </c>
      <c r="D1232" s="3" t="s">
        <v>2077</v>
      </c>
      <c r="E1232" s="3" t="s">
        <v>2738</v>
      </c>
      <c r="F1232" s="3" t="s">
        <v>2972</v>
      </c>
      <c r="G1232" s="10" t="s">
        <v>2976</v>
      </c>
      <c r="H1232" s="9" t="s">
        <v>13</v>
      </c>
      <c r="I1232" s="9" t="s">
        <v>2977</v>
      </c>
    </row>
    <row r="1233" customFormat="false" ht="15.75" hidden="false" customHeight="false" outlineLevel="0" collapsed="false">
      <c r="B1233" s="7" t="n">
        <v>46213</v>
      </c>
      <c r="C1233" s="3" t="s">
        <v>2981</v>
      </c>
      <c r="D1233" s="3" t="s">
        <v>2077</v>
      </c>
      <c r="E1233" s="3" t="s">
        <v>2738</v>
      </c>
      <c r="F1233" s="3" t="s">
        <v>2972</v>
      </c>
      <c r="G1233" s="10" t="s">
        <v>2976</v>
      </c>
      <c r="H1233" s="9" t="s">
        <v>13</v>
      </c>
      <c r="I1233" s="9" t="s">
        <v>2977</v>
      </c>
    </row>
    <row r="1234" customFormat="false" ht="15.75" hidden="false" customHeight="false" outlineLevel="0" collapsed="false">
      <c r="B1234" s="7" t="n">
        <v>46213</v>
      </c>
      <c r="C1234" s="3" t="s">
        <v>2982</v>
      </c>
      <c r="D1234" s="3" t="s">
        <v>2077</v>
      </c>
      <c r="E1234" s="3" t="s">
        <v>2738</v>
      </c>
      <c r="F1234" s="3" t="s">
        <v>2972</v>
      </c>
      <c r="G1234" s="10" t="s">
        <v>2976</v>
      </c>
      <c r="H1234" s="9" t="s">
        <v>13</v>
      </c>
      <c r="I1234" s="9" t="s">
        <v>2977</v>
      </c>
    </row>
    <row r="1235" customFormat="false" ht="15.75" hidden="false" customHeight="false" outlineLevel="0" collapsed="false">
      <c r="B1235" s="7" t="n">
        <v>46213</v>
      </c>
      <c r="C1235" s="3" t="s">
        <v>2983</v>
      </c>
      <c r="D1235" s="3" t="s">
        <v>2077</v>
      </c>
      <c r="E1235" s="3" t="s">
        <v>2738</v>
      </c>
      <c r="F1235" s="3" t="s">
        <v>2972</v>
      </c>
      <c r="G1235" s="10" t="s">
        <v>2976</v>
      </c>
      <c r="H1235" s="9" t="s">
        <v>13</v>
      </c>
      <c r="I1235" s="9" t="s">
        <v>2977</v>
      </c>
    </row>
    <row r="1236" customFormat="false" ht="15.75" hidden="false" customHeight="false" outlineLevel="0" collapsed="false">
      <c r="B1236" s="7" t="n">
        <v>46213</v>
      </c>
      <c r="C1236" s="3" t="s">
        <v>2984</v>
      </c>
      <c r="D1236" s="3" t="s">
        <v>2077</v>
      </c>
      <c r="E1236" s="3" t="s">
        <v>2738</v>
      </c>
      <c r="F1236" s="3" t="s">
        <v>2972</v>
      </c>
      <c r="G1236" s="10" t="s">
        <v>2976</v>
      </c>
      <c r="H1236" s="9" t="s">
        <v>13</v>
      </c>
      <c r="I1236" s="9" t="s">
        <v>2977</v>
      </c>
    </row>
    <row r="1237" customFormat="false" ht="15.75" hidden="false" customHeight="false" outlineLevel="0" collapsed="false">
      <c r="B1237" s="7" t="n">
        <v>46213</v>
      </c>
      <c r="C1237" s="3" t="s">
        <v>2985</v>
      </c>
      <c r="D1237" s="3" t="s">
        <v>2077</v>
      </c>
      <c r="E1237" s="3" t="s">
        <v>2738</v>
      </c>
      <c r="F1237" s="3" t="s">
        <v>2972</v>
      </c>
      <c r="G1237" s="10" t="s">
        <v>2976</v>
      </c>
      <c r="H1237" s="9" t="s">
        <v>13</v>
      </c>
      <c r="I1237" s="9" t="s">
        <v>2977</v>
      </c>
    </row>
    <row r="1238" customFormat="false" ht="15.75" hidden="false" customHeight="false" outlineLevel="0" collapsed="false">
      <c r="B1238" s="7" t="n">
        <v>46213</v>
      </c>
      <c r="C1238" s="3" t="s">
        <v>2986</v>
      </c>
      <c r="D1238" s="3" t="s">
        <v>2077</v>
      </c>
      <c r="E1238" s="3" t="s">
        <v>2738</v>
      </c>
      <c r="F1238" s="3" t="s">
        <v>2972</v>
      </c>
      <c r="G1238" s="10" t="s">
        <v>2976</v>
      </c>
      <c r="H1238" s="9" t="s">
        <v>13</v>
      </c>
      <c r="I1238" s="9" t="s">
        <v>2977</v>
      </c>
    </row>
    <row r="1239" customFormat="false" ht="15.75" hidden="false" customHeight="false" outlineLevel="0" collapsed="false">
      <c r="B1239" s="7" t="n">
        <v>46213</v>
      </c>
      <c r="C1239" s="3" t="s">
        <v>2987</v>
      </c>
      <c r="D1239" s="3" t="s">
        <v>2077</v>
      </c>
      <c r="E1239" s="3" t="s">
        <v>2738</v>
      </c>
      <c r="F1239" s="3" t="s">
        <v>2972</v>
      </c>
      <c r="G1239" s="10" t="s">
        <v>2976</v>
      </c>
      <c r="H1239" s="9" t="s">
        <v>13</v>
      </c>
      <c r="I1239" s="9" t="s">
        <v>2977</v>
      </c>
    </row>
    <row r="1240" customFormat="false" ht="15.75" hidden="false" customHeight="false" outlineLevel="0" collapsed="false">
      <c r="B1240" s="7" t="n">
        <v>46213</v>
      </c>
      <c r="C1240" s="3" t="s">
        <v>2988</v>
      </c>
      <c r="D1240" s="3" t="s">
        <v>2077</v>
      </c>
      <c r="E1240" s="3" t="s">
        <v>2738</v>
      </c>
      <c r="F1240" s="3" t="s">
        <v>2972</v>
      </c>
      <c r="G1240" s="10" t="s">
        <v>2976</v>
      </c>
      <c r="H1240" s="9" t="s">
        <v>13</v>
      </c>
      <c r="I1240" s="9" t="s">
        <v>2977</v>
      </c>
    </row>
    <row r="1241" customFormat="false" ht="15.75" hidden="false" customHeight="false" outlineLevel="0" collapsed="false">
      <c r="B1241" s="7" t="n">
        <v>46213</v>
      </c>
      <c r="C1241" s="3" t="s">
        <v>2989</v>
      </c>
      <c r="D1241" s="3" t="s">
        <v>2077</v>
      </c>
      <c r="E1241" s="3" t="s">
        <v>2738</v>
      </c>
      <c r="F1241" s="3" t="s">
        <v>2972</v>
      </c>
      <c r="G1241" s="8" t="s">
        <v>2990</v>
      </c>
      <c r="H1241" s="9" t="s">
        <v>13</v>
      </c>
      <c r="I1241" s="9" t="s">
        <v>2991</v>
      </c>
    </row>
    <row r="1242" customFormat="false" ht="15.75" hidden="false" customHeight="false" outlineLevel="0" collapsed="false">
      <c r="B1242" s="7" t="n">
        <v>46213</v>
      </c>
      <c r="C1242" s="3" t="s">
        <v>2992</v>
      </c>
      <c r="D1242" s="3" t="s">
        <v>2077</v>
      </c>
      <c r="E1242" s="3" t="s">
        <v>2738</v>
      </c>
      <c r="F1242" s="3" t="s">
        <v>2972</v>
      </c>
      <c r="G1242" s="8" t="s">
        <v>2990</v>
      </c>
      <c r="H1242" s="9" t="s">
        <v>13</v>
      </c>
      <c r="I1242" s="9" t="s">
        <v>2991</v>
      </c>
    </row>
    <row r="1243" customFormat="false" ht="15.75" hidden="false" customHeight="false" outlineLevel="0" collapsed="false">
      <c r="B1243" s="7" t="n">
        <v>46213</v>
      </c>
      <c r="C1243" s="3" t="s">
        <v>2993</v>
      </c>
      <c r="D1243" s="3" t="s">
        <v>2077</v>
      </c>
      <c r="E1243" s="3" t="s">
        <v>2738</v>
      </c>
      <c r="F1243" s="3" t="s">
        <v>2972</v>
      </c>
      <c r="G1243" s="10" t="s">
        <v>2994</v>
      </c>
      <c r="H1243" s="9" t="s">
        <v>13</v>
      </c>
      <c r="I1243" s="9" t="s">
        <v>2995</v>
      </c>
    </row>
    <row r="1244" customFormat="false" ht="15.75" hidden="false" customHeight="false" outlineLevel="0" collapsed="false">
      <c r="B1244" s="7" t="n">
        <v>46213</v>
      </c>
      <c r="C1244" s="3" t="s">
        <v>2996</v>
      </c>
      <c r="D1244" s="3" t="s">
        <v>2077</v>
      </c>
      <c r="E1244" s="3" t="s">
        <v>2738</v>
      </c>
      <c r="F1244" s="3" t="s">
        <v>2972</v>
      </c>
      <c r="G1244" s="8" t="s">
        <v>2997</v>
      </c>
      <c r="H1244" s="9" t="s">
        <v>13</v>
      </c>
      <c r="I1244" s="9" t="s">
        <v>2998</v>
      </c>
    </row>
    <row r="1245" customFormat="false" ht="15.75" hidden="false" customHeight="false" outlineLevel="0" collapsed="false">
      <c r="B1245" s="7" t="n">
        <v>46213</v>
      </c>
      <c r="C1245" s="3" t="s">
        <v>2999</v>
      </c>
      <c r="D1245" s="3" t="s">
        <v>2077</v>
      </c>
      <c r="E1245" s="3" t="s">
        <v>2738</v>
      </c>
      <c r="F1245" s="3" t="s">
        <v>2972</v>
      </c>
      <c r="G1245" s="8" t="s">
        <v>3000</v>
      </c>
      <c r="H1245" s="9" t="s">
        <v>13</v>
      </c>
      <c r="I1245" s="9" t="s">
        <v>3001</v>
      </c>
    </row>
    <row r="1246" customFormat="false" ht="15.75" hidden="false" customHeight="false" outlineLevel="0" collapsed="false">
      <c r="B1246" s="7" t="n">
        <v>46213</v>
      </c>
      <c r="C1246" s="3" t="s">
        <v>3002</v>
      </c>
      <c r="D1246" s="3" t="s">
        <v>2077</v>
      </c>
      <c r="E1246" s="3" t="s">
        <v>2738</v>
      </c>
      <c r="F1246" s="3" t="s">
        <v>2972</v>
      </c>
      <c r="G1246" s="10" t="s">
        <v>3003</v>
      </c>
      <c r="H1246" s="9" t="s">
        <v>13</v>
      </c>
      <c r="I1246" s="9" t="s">
        <v>3004</v>
      </c>
    </row>
    <row r="1247" customFormat="false" ht="15.75" hidden="false" customHeight="false" outlineLevel="0" collapsed="false">
      <c r="B1247" s="7" t="n">
        <v>46213</v>
      </c>
      <c r="C1247" s="3" t="s">
        <v>3005</v>
      </c>
      <c r="D1247" s="3" t="s">
        <v>2077</v>
      </c>
      <c r="E1247" s="3" t="s">
        <v>2738</v>
      </c>
      <c r="F1247" s="3" t="s">
        <v>2972</v>
      </c>
      <c r="G1247" s="10" t="s">
        <v>3006</v>
      </c>
      <c r="H1247" s="9" t="s">
        <v>13</v>
      </c>
      <c r="I1247" s="9" t="s">
        <v>3007</v>
      </c>
    </row>
    <row r="1248" customFormat="false" ht="15.75" hidden="false" customHeight="false" outlineLevel="0" collapsed="false">
      <c r="B1248" s="7" t="n">
        <v>46213</v>
      </c>
      <c r="C1248" s="3" t="s">
        <v>3008</v>
      </c>
      <c r="D1248" s="3" t="s">
        <v>2077</v>
      </c>
      <c r="E1248" s="3" t="s">
        <v>2738</v>
      </c>
      <c r="F1248" s="3" t="s">
        <v>2972</v>
      </c>
      <c r="G1248" s="10" t="s">
        <v>3009</v>
      </c>
      <c r="H1248" s="9" t="s">
        <v>13</v>
      </c>
      <c r="I1248" s="9" t="s">
        <v>3010</v>
      </c>
    </row>
    <row r="1249" customFormat="false" ht="15.75" hidden="false" customHeight="false" outlineLevel="0" collapsed="false">
      <c r="B1249" s="7" t="n">
        <v>46213</v>
      </c>
      <c r="C1249" s="3" t="s">
        <v>3011</v>
      </c>
      <c r="D1249" s="3" t="s">
        <v>2077</v>
      </c>
      <c r="E1249" s="3" t="s">
        <v>2738</v>
      </c>
      <c r="F1249" s="3" t="s">
        <v>2972</v>
      </c>
      <c r="G1249" s="10" t="s">
        <v>3009</v>
      </c>
      <c r="H1249" s="9" t="s">
        <v>13</v>
      </c>
      <c r="I1249" s="9" t="s">
        <v>3010</v>
      </c>
    </row>
    <row r="1250" customFormat="false" ht="15.75" hidden="false" customHeight="false" outlineLevel="0" collapsed="false">
      <c r="B1250" s="7" t="n">
        <v>46213</v>
      </c>
      <c r="C1250" s="3" t="s">
        <v>3012</v>
      </c>
      <c r="D1250" s="3" t="s">
        <v>2077</v>
      </c>
      <c r="E1250" s="3" t="s">
        <v>2738</v>
      </c>
      <c r="F1250" s="3" t="s">
        <v>2972</v>
      </c>
      <c r="G1250" s="10" t="s">
        <v>3013</v>
      </c>
      <c r="H1250" s="9" t="s">
        <v>13</v>
      </c>
      <c r="I1250" s="9" t="s">
        <v>3014</v>
      </c>
    </row>
    <row r="1251" customFormat="false" ht="15.75" hidden="false" customHeight="false" outlineLevel="0" collapsed="false">
      <c r="B1251" s="7" t="n">
        <v>46213</v>
      </c>
      <c r="C1251" s="3" t="s">
        <v>3015</v>
      </c>
      <c r="D1251" s="3" t="s">
        <v>2077</v>
      </c>
      <c r="E1251" s="3" t="s">
        <v>2738</v>
      </c>
      <c r="F1251" s="3" t="s">
        <v>2972</v>
      </c>
      <c r="G1251" s="8" t="s">
        <v>3016</v>
      </c>
      <c r="H1251" s="9" t="s">
        <v>13</v>
      </c>
      <c r="I1251" s="9" t="s">
        <v>3017</v>
      </c>
    </row>
    <row r="1252" customFormat="false" ht="15.75" hidden="false" customHeight="false" outlineLevel="0" collapsed="false">
      <c r="B1252" s="7" t="n">
        <v>46213</v>
      </c>
      <c r="C1252" s="3" t="s">
        <v>3018</v>
      </c>
      <c r="D1252" s="3" t="s">
        <v>2077</v>
      </c>
      <c r="E1252" s="3" t="s">
        <v>2738</v>
      </c>
      <c r="F1252" s="3" t="s">
        <v>2972</v>
      </c>
      <c r="G1252" s="10" t="s">
        <v>3019</v>
      </c>
      <c r="H1252" s="9" t="s">
        <v>13</v>
      </c>
      <c r="I1252" s="9" t="s">
        <v>3020</v>
      </c>
    </row>
    <row r="1253" customFormat="false" ht="15.75" hidden="false" customHeight="false" outlineLevel="0" collapsed="false">
      <c r="B1253" s="7" t="n">
        <v>46213</v>
      </c>
      <c r="C1253" s="3" t="s">
        <v>3021</v>
      </c>
      <c r="D1253" s="3" t="s">
        <v>2077</v>
      </c>
      <c r="E1253" s="3" t="s">
        <v>2738</v>
      </c>
      <c r="F1253" s="3" t="s">
        <v>2972</v>
      </c>
      <c r="G1253" s="10" t="s">
        <v>3019</v>
      </c>
      <c r="H1253" s="9" t="s">
        <v>13</v>
      </c>
      <c r="I1253" s="9" t="s">
        <v>3020</v>
      </c>
    </row>
    <row r="1254" customFormat="false" ht="15.75" hidden="false" customHeight="false" outlineLevel="0" collapsed="false">
      <c r="B1254" s="7" t="n">
        <v>46213</v>
      </c>
      <c r="C1254" s="3" t="s">
        <v>3022</v>
      </c>
      <c r="D1254" s="3" t="s">
        <v>2077</v>
      </c>
      <c r="E1254" s="3" t="s">
        <v>2738</v>
      </c>
      <c r="F1254" s="3" t="s">
        <v>2972</v>
      </c>
      <c r="G1254" s="10" t="s">
        <v>3023</v>
      </c>
      <c r="H1254" s="9" t="s">
        <v>13</v>
      </c>
      <c r="I1254" s="9" t="s">
        <v>3024</v>
      </c>
    </row>
    <row r="1255" customFormat="false" ht="15.75" hidden="false" customHeight="false" outlineLevel="0" collapsed="false">
      <c r="B1255" s="7" t="n">
        <v>46213</v>
      </c>
      <c r="C1255" s="3" t="s">
        <v>3025</v>
      </c>
      <c r="D1255" s="3" t="s">
        <v>2077</v>
      </c>
      <c r="E1255" s="3" t="s">
        <v>2738</v>
      </c>
      <c r="F1255" s="3" t="s">
        <v>2972</v>
      </c>
      <c r="G1255" s="10" t="s">
        <v>2589</v>
      </c>
      <c r="H1255" s="9" t="s">
        <v>13</v>
      </c>
      <c r="I1255" s="9" t="s">
        <v>3026</v>
      </c>
    </row>
    <row r="1256" customFormat="false" ht="15.75" hidden="false" customHeight="false" outlineLevel="0" collapsed="false">
      <c r="B1256" s="7" t="n">
        <v>46213</v>
      </c>
      <c r="C1256" s="3" t="s">
        <v>3027</v>
      </c>
      <c r="D1256" s="3" t="s">
        <v>2077</v>
      </c>
      <c r="E1256" s="3" t="s">
        <v>2738</v>
      </c>
      <c r="F1256" s="3" t="s">
        <v>2972</v>
      </c>
      <c r="G1256" s="8" t="s">
        <v>3028</v>
      </c>
      <c r="H1256" s="9" t="s">
        <v>13</v>
      </c>
      <c r="I1256" s="9" t="s">
        <v>3029</v>
      </c>
    </row>
    <row r="1257" customFormat="false" ht="15.75" hidden="false" customHeight="false" outlineLevel="0" collapsed="false">
      <c r="B1257" s="7" t="n">
        <v>46213</v>
      </c>
      <c r="C1257" s="3" t="s">
        <v>3030</v>
      </c>
      <c r="D1257" s="3" t="s">
        <v>2077</v>
      </c>
      <c r="E1257" s="3" t="s">
        <v>2738</v>
      </c>
      <c r="F1257" s="3" t="s">
        <v>2972</v>
      </c>
      <c r="G1257" s="10" t="s">
        <v>3031</v>
      </c>
      <c r="H1257" s="9" t="s">
        <v>13</v>
      </c>
      <c r="I1257" s="9" t="s">
        <v>3032</v>
      </c>
    </row>
    <row r="1258" customFormat="false" ht="15.75" hidden="false" customHeight="false" outlineLevel="0" collapsed="false">
      <c r="B1258" s="7" t="n">
        <v>46213</v>
      </c>
      <c r="C1258" s="3" t="s">
        <v>3033</v>
      </c>
      <c r="D1258" s="3" t="s">
        <v>2077</v>
      </c>
      <c r="E1258" s="3" t="s">
        <v>2738</v>
      </c>
      <c r="F1258" s="3" t="s">
        <v>2972</v>
      </c>
      <c r="G1258" s="10" t="s">
        <v>3031</v>
      </c>
      <c r="H1258" s="9" t="s">
        <v>13</v>
      </c>
      <c r="I1258" s="9" t="s">
        <v>3034</v>
      </c>
    </row>
    <row r="1259" customFormat="false" ht="15.75" hidden="false" customHeight="false" outlineLevel="0" collapsed="false">
      <c r="B1259" s="7" t="n">
        <v>46213</v>
      </c>
      <c r="C1259" s="3" t="s">
        <v>3035</v>
      </c>
      <c r="D1259" s="3" t="s">
        <v>2077</v>
      </c>
      <c r="E1259" s="3" t="s">
        <v>2738</v>
      </c>
      <c r="F1259" s="3" t="s">
        <v>2972</v>
      </c>
      <c r="G1259" s="8" t="s">
        <v>3036</v>
      </c>
      <c r="H1259" s="9" t="s">
        <v>13</v>
      </c>
      <c r="I1259" s="9" t="s">
        <v>3037</v>
      </c>
    </row>
    <row r="1260" customFormat="false" ht="15.75" hidden="false" customHeight="false" outlineLevel="0" collapsed="false">
      <c r="B1260" s="7" t="n">
        <v>46213</v>
      </c>
      <c r="C1260" s="3" t="s">
        <v>3038</v>
      </c>
      <c r="D1260" s="3" t="s">
        <v>2077</v>
      </c>
      <c r="E1260" s="3" t="s">
        <v>2738</v>
      </c>
      <c r="F1260" s="3" t="s">
        <v>2972</v>
      </c>
      <c r="G1260" s="8" t="s">
        <v>3036</v>
      </c>
      <c r="H1260" s="9" t="s">
        <v>13</v>
      </c>
      <c r="I1260" s="9" t="s">
        <v>3037</v>
      </c>
    </row>
    <row r="1261" customFormat="false" ht="15.75" hidden="false" customHeight="false" outlineLevel="0" collapsed="false">
      <c r="B1261" s="7" t="n">
        <v>46213</v>
      </c>
      <c r="C1261" s="3" t="s">
        <v>3039</v>
      </c>
      <c r="D1261" s="3" t="s">
        <v>2077</v>
      </c>
      <c r="E1261" s="3" t="s">
        <v>2738</v>
      </c>
      <c r="F1261" s="3" t="s">
        <v>2972</v>
      </c>
      <c r="G1261" s="10" t="s">
        <v>2782</v>
      </c>
      <c r="H1261" s="9" t="s">
        <v>13</v>
      </c>
      <c r="I1261" s="9" t="s">
        <v>3040</v>
      </c>
    </row>
    <row r="1262" customFormat="false" ht="15.75" hidden="false" customHeight="false" outlineLevel="0" collapsed="false">
      <c r="B1262" s="7" t="n">
        <v>46213</v>
      </c>
      <c r="C1262" s="3" t="s">
        <v>3041</v>
      </c>
      <c r="D1262" s="3" t="s">
        <v>2077</v>
      </c>
      <c r="E1262" s="3" t="s">
        <v>2738</v>
      </c>
      <c r="F1262" s="3" t="s">
        <v>2972</v>
      </c>
      <c r="G1262" s="10" t="s">
        <v>2782</v>
      </c>
      <c r="H1262" s="9" t="s">
        <v>13</v>
      </c>
      <c r="I1262" s="9" t="s">
        <v>3042</v>
      </c>
    </row>
    <row r="1263" customFormat="false" ht="15.75" hidden="false" customHeight="false" outlineLevel="0" collapsed="false">
      <c r="B1263" s="7" t="n">
        <v>46214</v>
      </c>
      <c r="C1263" s="3" t="s">
        <v>3043</v>
      </c>
      <c r="D1263" s="3" t="s">
        <v>3044</v>
      </c>
      <c r="E1263" s="3" t="s">
        <v>3045</v>
      </c>
      <c r="F1263" s="3" t="s">
        <v>3046</v>
      </c>
      <c r="G1263" s="10" t="s">
        <v>3047</v>
      </c>
      <c r="H1263" s="9" t="s">
        <v>13</v>
      </c>
      <c r="I1263" s="9" t="s">
        <v>3048</v>
      </c>
    </row>
    <row r="1264" customFormat="false" ht="15.75" hidden="false" customHeight="false" outlineLevel="0" collapsed="false">
      <c r="B1264" s="7" t="n">
        <v>46214</v>
      </c>
      <c r="C1264" s="3" t="s">
        <v>3049</v>
      </c>
      <c r="D1264" s="3" t="s">
        <v>3044</v>
      </c>
      <c r="E1264" s="3" t="s">
        <v>3045</v>
      </c>
      <c r="F1264" s="3" t="s">
        <v>3046</v>
      </c>
      <c r="G1264" s="10" t="s">
        <v>2930</v>
      </c>
      <c r="H1264" s="9" t="s">
        <v>13</v>
      </c>
      <c r="I1264" s="9" t="s">
        <v>3050</v>
      </c>
    </row>
    <row r="1265" customFormat="false" ht="15.75" hidden="false" customHeight="false" outlineLevel="0" collapsed="false">
      <c r="B1265" s="7" t="n">
        <v>46214</v>
      </c>
      <c r="C1265" s="3" t="s">
        <v>3051</v>
      </c>
      <c r="D1265" s="3" t="s">
        <v>3044</v>
      </c>
      <c r="E1265" s="3" t="s">
        <v>3045</v>
      </c>
      <c r="F1265" s="3" t="s">
        <v>3046</v>
      </c>
      <c r="G1265" s="10" t="s">
        <v>3052</v>
      </c>
      <c r="H1265" s="9" t="s">
        <v>13</v>
      </c>
      <c r="I1265" s="9" t="s">
        <v>3053</v>
      </c>
    </row>
    <row r="1266" customFormat="false" ht="15.75" hidden="false" customHeight="false" outlineLevel="0" collapsed="false">
      <c r="B1266" s="7" t="n">
        <v>46214</v>
      </c>
      <c r="C1266" s="3" t="s">
        <v>3054</v>
      </c>
      <c r="D1266" s="3" t="s">
        <v>3044</v>
      </c>
      <c r="E1266" s="3" t="s">
        <v>3045</v>
      </c>
      <c r="F1266" s="3" t="s">
        <v>3046</v>
      </c>
      <c r="G1266" s="10" t="s">
        <v>3055</v>
      </c>
      <c r="H1266" s="9" t="s">
        <v>13</v>
      </c>
      <c r="I1266" s="9" t="s">
        <v>3056</v>
      </c>
    </row>
    <row r="1267" customFormat="false" ht="15.75" hidden="false" customHeight="false" outlineLevel="0" collapsed="false">
      <c r="B1267" s="7" t="n">
        <v>46214</v>
      </c>
      <c r="C1267" s="3" t="s">
        <v>3057</v>
      </c>
      <c r="D1267" s="3" t="s">
        <v>3044</v>
      </c>
      <c r="E1267" s="3" t="s">
        <v>3045</v>
      </c>
      <c r="F1267" s="3" t="s">
        <v>3046</v>
      </c>
      <c r="G1267" s="10" t="s">
        <v>3058</v>
      </c>
      <c r="H1267" s="9" t="s">
        <v>13</v>
      </c>
      <c r="I1267" s="9" t="s">
        <v>3059</v>
      </c>
    </row>
    <row r="1268" customFormat="false" ht="15.75" hidden="false" customHeight="false" outlineLevel="0" collapsed="false">
      <c r="B1268" s="7" t="n">
        <v>46214</v>
      </c>
      <c r="C1268" s="3" t="s">
        <v>3060</v>
      </c>
      <c r="D1268" s="3" t="s">
        <v>3044</v>
      </c>
      <c r="E1268" s="3" t="s">
        <v>3045</v>
      </c>
      <c r="F1268" s="3" t="s">
        <v>3046</v>
      </c>
      <c r="G1268" s="10" t="s">
        <v>3052</v>
      </c>
      <c r="H1268" s="9" t="s">
        <v>13</v>
      </c>
      <c r="I1268" s="9" t="s">
        <v>3061</v>
      </c>
    </row>
    <row r="1269" customFormat="false" ht="15.75" hidden="false" customHeight="false" outlineLevel="0" collapsed="false">
      <c r="B1269" s="7" t="n">
        <v>46214</v>
      </c>
      <c r="C1269" s="3" t="s">
        <v>3062</v>
      </c>
      <c r="D1269" s="3" t="s">
        <v>3044</v>
      </c>
      <c r="E1269" s="3" t="s">
        <v>3045</v>
      </c>
      <c r="F1269" s="3" t="s">
        <v>3046</v>
      </c>
      <c r="G1269" s="10" t="s">
        <v>3055</v>
      </c>
      <c r="H1269" s="9" t="s">
        <v>13</v>
      </c>
      <c r="I1269" s="9" t="s">
        <v>3063</v>
      </c>
    </row>
    <row r="1270" customFormat="false" ht="15.75" hidden="false" customHeight="false" outlineLevel="0" collapsed="false">
      <c r="B1270" s="7" t="n">
        <v>46214</v>
      </c>
      <c r="C1270" s="3" t="s">
        <v>3064</v>
      </c>
      <c r="D1270" s="3" t="s">
        <v>3044</v>
      </c>
      <c r="E1270" s="3" t="s">
        <v>3045</v>
      </c>
      <c r="F1270" s="3" t="s">
        <v>3046</v>
      </c>
      <c r="G1270" s="10" t="s">
        <v>3052</v>
      </c>
      <c r="H1270" s="9" t="s">
        <v>13</v>
      </c>
      <c r="I1270" s="9" t="s">
        <v>3065</v>
      </c>
    </row>
    <row r="1271" customFormat="false" ht="15.75" hidden="false" customHeight="false" outlineLevel="0" collapsed="false">
      <c r="B1271" s="7" t="n">
        <v>46214</v>
      </c>
      <c r="C1271" s="3" t="s">
        <v>3066</v>
      </c>
      <c r="D1271" s="3" t="s">
        <v>3044</v>
      </c>
      <c r="E1271" s="3" t="s">
        <v>3045</v>
      </c>
      <c r="F1271" s="3" t="s">
        <v>3046</v>
      </c>
      <c r="G1271" s="10" t="s">
        <v>3052</v>
      </c>
      <c r="H1271" s="9" t="s">
        <v>13</v>
      </c>
      <c r="I1271" s="9" t="s">
        <v>3067</v>
      </c>
    </row>
    <row r="1272" customFormat="false" ht="15.75" hidden="false" customHeight="false" outlineLevel="0" collapsed="false">
      <c r="B1272" s="7" t="n">
        <v>46214</v>
      </c>
      <c r="C1272" s="3" t="s">
        <v>3068</v>
      </c>
      <c r="D1272" s="3" t="s">
        <v>3044</v>
      </c>
      <c r="E1272" s="3" t="s">
        <v>3045</v>
      </c>
      <c r="F1272" s="3" t="s">
        <v>3046</v>
      </c>
      <c r="G1272" s="10" t="s">
        <v>3069</v>
      </c>
      <c r="H1272" s="9" t="s">
        <v>13</v>
      </c>
      <c r="I1272" s="9" t="s">
        <v>3070</v>
      </c>
    </row>
    <row r="1273" customFormat="false" ht="15.75" hidden="false" customHeight="false" outlineLevel="0" collapsed="false">
      <c r="B1273" s="7" t="n">
        <v>46214</v>
      </c>
      <c r="C1273" s="3" t="s">
        <v>3071</v>
      </c>
      <c r="D1273" s="3" t="s">
        <v>3044</v>
      </c>
      <c r="E1273" s="3" t="s">
        <v>3045</v>
      </c>
      <c r="F1273" s="3" t="s">
        <v>3046</v>
      </c>
      <c r="G1273" s="10" t="s">
        <v>3069</v>
      </c>
      <c r="H1273" s="9" t="s">
        <v>13</v>
      </c>
      <c r="I1273" s="9" t="s">
        <v>3070</v>
      </c>
    </row>
    <row r="1274" customFormat="false" ht="15.75" hidden="false" customHeight="false" outlineLevel="0" collapsed="false">
      <c r="B1274" s="7" t="n">
        <v>46214</v>
      </c>
      <c r="C1274" s="3" t="s">
        <v>3072</v>
      </c>
      <c r="D1274" s="3" t="s">
        <v>3044</v>
      </c>
      <c r="E1274" s="3" t="s">
        <v>3045</v>
      </c>
      <c r="F1274" s="3" t="s">
        <v>3046</v>
      </c>
      <c r="G1274" s="10" t="s">
        <v>3073</v>
      </c>
      <c r="H1274" s="9" t="s">
        <v>13</v>
      </c>
      <c r="I1274" s="9" t="s">
        <v>3074</v>
      </c>
    </row>
    <row r="1275" customFormat="false" ht="15.75" hidden="false" customHeight="false" outlineLevel="0" collapsed="false">
      <c r="B1275" s="7" t="n">
        <v>46214</v>
      </c>
      <c r="C1275" s="3" t="s">
        <v>3075</v>
      </c>
      <c r="D1275" s="3" t="s">
        <v>3044</v>
      </c>
      <c r="E1275" s="3" t="s">
        <v>3045</v>
      </c>
      <c r="F1275" s="3" t="s">
        <v>3046</v>
      </c>
      <c r="G1275" s="10" t="s">
        <v>3073</v>
      </c>
      <c r="H1275" s="9" t="s">
        <v>13</v>
      </c>
      <c r="I1275" s="9" t="s">
        <v>3076</v>
      </c>
    </row>
    <row r="1276" customFormat="false" ht="15.75" hidden="false" customHeight="false" outlineLevel="0" collapsed="false">
      <c r="B1276" s="7" t="n">
        <v>46214</v>
      </c>
      <c r="C1276" s="3" t="s">
        <v>3077</v>
      </c>
      <c r="D1276" s="3" t="s">
        <v>3044</v>
      </c>
      <c r="E1276" s="3" t="s">
        <v>3045</v>
      </c>
      <c r="F1276" s="3" t="s">
        <v>3046</v>
      </c>
      <c r="G1276" s="10" t="s">
        <v>3073</v>
      </c>
      <c r="H1276" s="9" t="s">
        <v>13</v>
      </c>
      <c r="I1276" s="9" t="s">
        <v>3078</v>
      </c>
    </row>
    <row r="1277" customFormat="false" ht="15.75" hidden="false" customHeight="false" outlineLevel="0" collapsed="false">
      <c r="B1277" s="7" t="n">
        <v>46214</v>
      </c>
      <c r="C1277" s="3" t="s">
        <v>3079</v>
      </c>
      <c r="D1277" s="3" t="s">
        <v>3044</v>
      </c>
      <c r="E1277" s="3" t="s">
        <v>3045</v>
      </c>
      <c r="F1277" s="3" t="s">
        <v>3046</v>
      </c>
      <c r="G1277" s="10" t="s">
        <v>3080</v>
      </c>
      <c r="H1277" s="9" t="s">
        <v>13</v>
      </c>
      <c r="I1277" s="9" t="s">
        <v>3081</v>
      </c>
    </row>
    <row r="1278" customFormat="false" ht="15.75" hidden="false" customHeight="false" outlineLevel="0" collapsed="false">
      <c r="B1278" s="7" t="n">
        <v>46214</v>
      </c>
      <c r="C1278" s="3" t="s">
        <v>3082</v>
      </c>
      <c r="D1278" s="3" t="s">
        <v>3044</v>
      </c>
      <c r="E1278" s="3" t="s">
        <v>3045</v>
      </c>
      <c r="F1278" s="3" t="s">
        <v>3046</v>
      </c>
      <c r="G1278" s="10" t="s">
        <v>3083</v>
      </c>
      <c r="H1278" s="9" t="s">
        <v>13</v>
      </c>
      <c r="I1278" s="9" t="s">
        <v>3084</v>
      </c>
    </row>
    <row r="1279" customFormat="false" ht="15.75" hidden="false" customHeight="false" outlineLevel="0" collapsed="false">
      <c r="B1279" s="7" t="n">
        <v>46214</v>
      </c>
      <c r="C1279" s="3" t="s">
        <v>3085</v>
      </c>
      <c r="D1279" s="3" t="s">
        <v>3044</v>
      </c>
      <c r="E1279" s="3" t="s">
        <v>3045</v>
      </c>
      <c r="F1279" s="3" t="s">
        <v>3046</v>
      </c>
      <c r="G1279" s="10" t="s">
        <v>3055</v>
      </c>
      <c r="H1279" s="9" t="s">
        <v>13</v>
      </c>
      <c r="I1279" s="9" t="s">
        <v>3086</v>
      </c>
    </row>
    <row r="1280" customFormat="false" ht="15.75" hidden="false" customHeight="false" outlineLevel="0" collapsed="false">
      <c r="B1280" s="7" t="n">
        <v>46214</v>
      </c>
      <c r="C1280" s="3" t="s">
        <v>3087</v>
      </c>
      <c r="D1280" s="3" t="s">
        <v>3044</v>
      </c>
      <c r="E1280" s="3" t="s">
        <v>3045</v>
      </c>
      <c r="F1280" s="3" t="s">
        <v>3046</v>
      </c>
      <c r="G1280" s="10" t="s">
        <v>3055</v>
      </c>
      <c r="H1280" s="9" t="s">
        <v>13</v>
      </c>
      <c r="I1280" s="9" t="s">
        <v>3088</v>
      </c>
    </row>
    <row r="1281" customFormat="false" ht="15.75" hidden="false" customHeight="false" outlineLevel="0" collapsed="false">
      <c r="B1281" s="7" t="n">
        <v>46214</v>
      </c>
      <c r="C1281" s="3" t="s">
        <v>3089</v>
      </c>
      <c r="D1281" s="3" t="s">
        <v>3044</v>
      </c>
      <c r="E1281" s="3" t="s">
        <v>3045</v>
      </c>
      <c r="F1281" s="3" t="s">
        <v>3046</v>
      </c>
      <c r="G1281" s="10" t="s">
        <v>3090</v>
      </c>
      <c r="H1281" s="9" t="s">
        <v>13</v>
      </c>
      <c r="I1281" s="9" t="s">
        <v>3091</v>
      </c>
    </row>
    <row r="1282" customFormat="false" ht="15.75" hidden="false" customHeight="false" outlineLevel="0" collapsed="false">
      <c r="B1282" s="7" t="n">
        <v>46214</v>
      </c>
      <c r="C1282" s="3" t="s">
        <v>3092</v>
      </c>
      <c r="D1282" s="3" t="s">
        <v>3044</v>
      </c>
      <c r="E1282" s="3" t="s">
        <v>3045</v>
      </c>
      <c r="F1282" s="3" t="s">
        <v>3046</v>
      </c>
      <c r="G1282" s="10" t="s">
        <v>3093</v>
      </c>
      <c r="H1282" s="9" t="s">
        <v>13</v>
      </c>
      <c r="I1282" s="9" t="s">
        <v>3094</v>
      </c>
    </row>
    <row r="1283" customFormat="false" ht="15.75" hidden="false" customHeight="false" outlineLevel="0" collapsed="false">
      <c r="B1283" s="7" t="n">
        <v>46214</v>
      </c>
      <c r="C1283" s="3" t="s">
        <v>3095</v>
      </c>
      <c r="D1283" s="3" t="s">
        <v>3044</v>
      </c>
      <c r="E1283" s="3" t="s">
        <v>3045</v>
      </c>
      <c r="F1283" s="3" t="s">
        <v>3046</v>
      </c>
      <c r="G1283" s="10" t="s">
        <v>3093</v>
      </c>
      <c r="H1283" s="9" t="s">
        <v>13</v>
      </c>
      <c r="I1283" s="9" t="s">
        <v>3096</v>
      </c>
    </row>
    <row r="1284" customFormat="false" ht="15.75" hidden="false" customHeight="false" outlineLevel="0" collapsed="false">
      <c r="B1284" s="7" t="n">
        <v>46214</v>
      </c>
      <c r="C1284" s="3" t="s">
        <v>3097</v>
      </c>
      <c r="D1284" s="3" t="s">
        <v>3044</v>
      </c>
      <c r="E1284" s="3" t="s">
        <v>3045</v>
      </c>
      <c r="F1284" s="3" t="s">
        <v>3046</v>
      </c>
      <c r="G1284" s="10" t="s">
        <v>3098</v>
      </c>
      <c r="H1284" s="9" t="s">
        <v>13</v>
      </c>
      <c r="I1284" s="9" t="s">
        <v>3099</v>
      </c>
    </row>
    <row r="1285" customFormat="false" ht="15.75" hidden="false" customHeight="false" outlineLevel="0" collapsed="false">
      <c r="B1285" s="7" t="n">
        <v>46214</v>
      </c>
      <c r="C1285" s="3" t="s">
        <v>3100</v>
      </c>
      <c r="D1285" s="3" t="s">
        <v>3044</v>
      </c>
      <c r="E1285" s="3" t="s">
        <v>3045</v>
      </c>
      <c r="F1285" s="3" t="s">
        <v>3046</v>
      </c>
      <c r="G1285" s="10" t="s">
        <v>3101</v>
      </c>
      <c r="H1285" s="9" t="s">
        <v>13</v>
      </c>
      <c r="I1285" s="9" t="s">
        <v>3102</v>
      </c>
    </row>
    <row r="1286" customFormat="false" ht="15.75" hidden="false" customHeight="false" outlineLevel="0" collapsed="false">
      <c r="B1286" s="7" t="n">
        <v>46214</v>
      </c>
      <c r="C1286" s="3" t="s">
        <v>3103</v>
      </c>
      <c r="D1286" s="3" t="s">
        <v>3044</v>
      </c>
      <c r="E1286" s="3" t="s">
        <v>3045</v>
      </c>
      <c r="F1286" s="3" t="s">
        <v>3046</v>
      </c>
      <c r="G1286" s="10" t="s">
        <v>3101</v>
      </c>
      <c r="H1286" s="9" t="s">
        <v>13</v>
      </c>
      <c r="I1286" s="9" t="s">
        <v>3102</v>
      </c>
    </row>
    <row r="1287" customFormat="false" ht="15.75" hidden="false" customHeight="false" outlineLevel="0" collapsed="false">
      <c r="B1287" s="7" t="n">
        <v>46214</v>
      </c>
      <c r="C1287" s="3" t="s">
        <v>3104</v>
      </c>
      <c r="D1287" s="3" t="s">
        <v>3044</v>
      </c>
      <c r="E1287" s="3" t="s">
        <v>3045</v>
      </c>
      <c r="F1287" s="3" t="s">
        <v>3046</v>
      </c>
      <c r="G1287" s="10" t="s">
        <v>3105</v>
      </c>
      <c r="H1287" s="9" t="s">
        <v>13</v>
      </c>
      <c r="I1287" s="9" t="s">
        <v>3106</v>
      </c>
    </row>
    <row r="1288" customFormat="false" ht="15.75" hidden="false" customHeight="false" outlineLevel="0" collapsed="false">
      <c r="B1288" s="7" t="n">
        <v>46214</v>
      </c>
      <c r="C1288" s="3" t="s">
        <v>3107</v>
      </c>
      <c r="D1288" s="3" t="s">
        <v>3044</v>
      </c>
      <c r="E1288" s="3" t="s">
        <v>3045</v>
      </c>
      <c r="F1288" s="3" t="s">
        <v>3046</v>
      </c>
      <c r="G1288" s="10" t="s">
        <v>3105</v>
      </c>
      <c r="H1288" s="9" t="s">
        <v>13</v>
      </c>
      <c r="I1288" s="9" t="s">
        <v>3108</v>
      </c>
    </row>
    <row r="1289" customFormat="false" ht="15.75" hidden="false" customHeight="false" outlineLevel="0" collapsed="false">
      <c r="B1289" s="7" t="n">
        <v>46214</v>
      </c>
      <c r="C1289" s="3" t="s">
        <v>3109</v>
      </c>
      <c r="D1289" s="3" t="s">
        <v>3044</v>
      </c>
      <c r="E1289" s="3" t="s">
        <v>3045</v>
      </c>
      <c r="F1289" s="3" t="s">
        <v>3046</v>
      </c>
      <c r="G1289" s="10" t="s">
        <v>3110</v>
      </c>
      <c r="H1289" s="9" t="s">
        <v>13</v>
      </c>
      <c r="I1289" s="9" t="s">
        <v>3111</v>
      </c>
    </row>
    <row r="1290" customFormat="false" ht="15.75" hidden="false" customHeight="false" outlineLevel="0" collapsed="false">
      <c r="B1290" s="7" t="n">
        <v>46214</v>
      </c>
      <c r="C1290" s="3" t="s">
        <v>3112</v>
      </c>
      <c r="D1290" s="3" t="s">
        <v>3044</v>
      </c>
      <c r="E1290" s="3" t="s">
        <v>3045</v>
      </c>
      <c r="F1290" s="3" t="s">
        <v>3046</v>
      </c>
      <c r="G1290" s="10" t="s">
        <v>3110</v>
      </c>
      <c r="H1290" s="9" t="s">
        <v>13</v>
      </c>
      <c r="I1290" s="9" t="s">
        <v>3113</v>
      </c>
    </row>
    <row r="1291" customFormat="false" ht="15.75" hidden="false" customHeight="false" outlineLevel="0" collapsed="false">
      <c r="B1291" s="7" t="n">
        <v>46214</v>
      </c>
      <c r="C1291" s="3" t="s">
        <v>3114</v>
      </c>
      <c r="D1291" s="3" t="s">
        <v>3044</v>
      </c>
      <c r="E1291" s="3" t="s">
        <v>3045</v>
      </c>
      <c r="F1291" s="3" t="s">
        <v>3046</v>
      </c>
      <c r="G1291" s="10" t="s">
        <v>3110</v>
      </c>
      <c r="H1291" s="9" t="s">
        <v>13</v>
      </c>
      <c r="I1291" s="9" t="s">
        <v>3115</v>
      </c>
    </row>
    <row r="1292" customFormat="false" ht="15.75" hidden="false" customHeight="false" outlineLevel="0" collapsed="false">
      <c r="B1292" s="7" t="n">
        <v>46214</v>
      </c>
      <c r="C1292" s="3" t="s">
        <v>3116</v>
      </c>
      <c r="D1292" s="3" t="s">
        <v>3044</v>
      </c>
      <c r="E1292" s="3" t="s">
        <v>3045</v>
      </c>
      <c r="F1292" s="3" t="s">
        <v>3046</v>
      </c>
      <c r="G1292" s="10" t="s">
        <v>3110</v>
      </c>
      <c r="H1292" s="9" t="s">
        <v>13</v>
      </c>
      <c r="I1292" s="9" t="s">
        <v>3115</v>
      </c>
    </row>
    <row r="1293" customFormat="false" ht="15.75" hidden="false" customHeight="false" outlineLevel="0" collapsed="false">
      <c r="B1293" s="7" t="n">
        <v>46214</v>
      </c>
      <c r="C1293" s="3" t="s">
        <v>3117</v>
      </c>
      <c r="D1293" s="3" t="s">
        <v>3044</v>
      </c>
      <c r="E1293" s="3" t="s">
        <v>3045</v>
      </c>
      <c r="F1293" s="3" t="s">
        <v>3046</v>
      </c>
      <c r="G1293" s="10" t="s">
        <v>3110</v>
      </c>
      <c r="H1293" s="9" t="s">
        <v>13</v>
      </c>
      <c r="I1293" s="9" t="s">
        <v>3118</v>
      </c>
    </row>
    <row r="1294" customFormat="false" ht="15.75" hidden="false" customHeight="false" outlineLevel="0" collapsed="false">
      <c r="B1294" s="7" t="n">
        <v>46214</v>
      </c>
      <c r="C1294" s="3" t="s">
        <v>3119</v>
      </c>
      <c r="D1294" s="3" t="s">
        <v>3044</v>
      </c>
      <c r="E1294" s="3" t="s">
        <v>3045</v>
      </c>
      <c r="F1294" s="3" t="s">
        <v>3046</v>
      </c>
      <c r="G1294" s="10" t="s">
        <v>3110</v>
      </c>
      <c r="H1294" s="9" t="s">
        <v>13</v>
      </c>
      <c r="I1294" s="9" t="s">
        <v>3118</v>
      </c>
    </row>
    <row r="1295" customFormat="false" ht="15.75" hidden="false" customHeight="false" outlineLevel="0" collapsed="false">
      <c r="B1295" s="7" t="n">
        <v>46214</v>
      </c>
      <c r="C1295" s="3" t="s">
        <v>3120</v>
      </c>
      <c r="D1295" s="3" t="s">
        <v>3044</v>
      </c>
      <c r="E1295" s="3" t="s">
        <v>3045</v>
      </c>
      <c r="F1295" s="3" t="s">
        <v>3046</v>
      </c>
      <c r="G1295" s="10" t="s">
        <v>3110</v>
      </c>
      <c r="H1295" s="9" t="s">
        <v>13</v>
      </c>
      <c r="I1295" s="9" t="s">
        <v>3121</v>
      </c>
    </row>
    <row r="1296" customFormat="false" ht="15.75" hidden="false" customHeight="false" outlineLevel="0" collapsed="false">
      <c r="B1296" s="7" t="n">
        <v>46214</v>
      </c>
      <c r="C1296" s="3" t="s">
        <v>3122</v>
      </c>
      <c r="D1296" s="3" t="s">
        <v>3044</v>
      </c>
      <c r="E1296" s="3" t="s">
        <v>3045</v>
      </c>
      <c r="F1296" s="3" t="s">
        <v>3046</v>
      </c>
      <c r="G1296" s="10" t="s">
        <v>3110</v>
      </c>
      <c r="H1296" s="9" t="s">
        <v>13</v>
      </c>
      <c r="I1296" s="9" t="s">
        <v>3123</v>
      </c>
    </row>
    <row r="1297" customFormat="false" ht="15.75" hidden="false" customHeight="false" outlineLevel="0" collapsed="false">
      <c r="B1297" s="7" t="n">
        <v>46214</v>
      </c>
      <c r="C1297" s="3" t="s">
        <v>3124</v>
      </c>
      <c r="D1297" s="3" t="s">
        <v>3044</v>
      </c>
      <c r="E1297" s="3" t="s">
        <v>3045</v>
      </c>
      <c r="F1297" s="3" t="s">
        <v>3046</v>
      </c>
      <c r="G1297" s="10" t="s">
        <v>3110</v>
      </c>
      <c r="H1297" s="9" t="s">
        <v>13</v>
      </c>
      <c r="I1297" s="9" t="s">
        <v>3125</v>
      </c>
    </row>
    <row r="1298" customFormat="false" ht="15.75" hidden="false" customHeight="false" outlineLevel="0" collapsed="false">
      <c r="B1298" s="7" t="n">
        <v>46214</v>
      </c>
      <c r="C1298" s="3" t="s">
        <v>3126</v>
      </c>
      <c r="D1298" s="3" t="s">
        <v>3044</v>
      </c>
      <c r="E1298" s="3" t="s">
        <v>3045</v>
      </c>
      <c r="F1298" s="3" t="s">
        <v>3127</v>
      </c>
      <c r="G1298" s="10" t="s">
        <v>3128</v>
      </c>
      <c r="H1298" s="9" t="s">
        <v>13</v>
      </c>
      <c r="I1298" s="9" t="s">
        <v>3129</v>
      </c>
    </row>
    <row r="1299" customFormat="false" ht="15.75" hidden="false" customHeight="false" outlineLevel="0" collapsed="false">
      <c r="B1299" s="7" t="n">
        <v>46237</v>
      </c>
      <c r="C1299" s="3" t="s">
        <v>3130</v>
      </c>
      <c r="D1299" s="3" t="s">
        <v>3044</v>
      </c>
      <c r="E1299" s="3" t="s">
        <v>3131</v>
      </c>
      <c r="F1299" s="3" t="s">
        <v>3132</v>
      </c>
      <c r="G1299" s="10" t="s">
        <v>3133</v>
      </c>
      <c r="H1299" s="9" t="s">
        <v>13</v>
      </c>
      <c r="I1299" s="9" t="s">
        <v>3134</v>
      </c>
    </row>
    <row r="1300" customFormat="false" ht="15.75" hidden="false" customHeight="false" outlineLevel="0" collapsed="false">
      <c r="B1300" s="7" t="n">
        <v>46237</v>
      </c>
      <c r="C1300" s="3" t="s">
        <v>3135</v>
      </c>
      <c r="D1300" s="3" t="s">
        <v>3044</v>
      </c>
      <c r="E1300" s="3" t="s">
        <v>3131</v>
      </c>
      <c r="F1300" s="3" t="s">
        <v>3132</v>
      </c>
      <c r="G1300" s="10" t="s">
        <v>3133</v>
      </c>
      <c r="H1300" s="9" t="s">
        <v>13</v>
      </c>
      <c r="I1300" s="9" t="s">
        <v>3136</v>
      </c>
    </row>
    <row r="1301" customFormat="false" ht="15.75" hidden="false" customHeight="false" outlineLevel="0" collapsed="false">
      <c r="B1301" s="7" t="n">
        <v>46237</v>
      </c>
      <c r="C1301" s="3" t="s">
        <v>3137</v>
      </c>
      <c r="D1301" s="3" t="s">
        <v>3044</v>
      </c>
      <c r="E1301" s="3" t="s">
        <v>3131</v>
      </c>
      <c r="F1301" s="3" t="s">
        <v>3132</v>
      </c>
      <c r="G1301" s="10" t="s">
        <v>3133</v>
      </c>
      <c r="H1301" s="9" t="s">
        <v>13</v>
      </c>
      <c r="I1301" s="9" t="s">
        <v>3138</v>
      </c>
    </row>
    <row r="1302" customFormat="false" ht="15.75" hidden="false" customHeight="false" outlineLevel="0" collapsed="false">
      <c r="B1302" s="7" t="n">
        <v>46214</v>
      </c>
      <c r="C1302" s="3" t="s">
        <v>3139</v>
      </c>
      <c r="D1302" s="3" t="s">
        <v>3044</v>
      </c>
      <c r="E1302" s="3" t="s">
        <v>3045</v>
      </c>
      <c r="F1302" s="3" t="s">
        <v>3127</v>
      </c>
      <c r="G1302" s="10" t="s">
        <v>3110</v>
      </c>
      <c r="H1302" s="9" t="s">
        <v>13</v>
      </c>
      <c r="I1302" s="9" t="s">
        <v>3140</v>
      </c>
    </row>
    <row r="1303" customFormat="false" ht="15.75" hidden="false" customHeight="false" outlineLevel="0" collapsed="false">
      <c r="B1303" s="7" t="n">
        <v>46237</v>
      </c>
      <c r="C1303" s="3" t="s">
        <v>3141</v>
      </c>
      <c r="D1303" s="3" t="s">
        <v>3044</v>
      </c>
      <c r="E1303" s="3" t="s">
        <v>3131</v>
      </c>
      <c r="F1303" s="3" t="s">
        <v>3132</v>
      </c>
      <c r="G1303" s="10" t="s">
        <v>3133</v>
      </c>
      <c r="H1303" s="9" t="s">
        <v>13</v>
      </c>
      <c r="I1303" s="9" t="s">
        <v>3142</v>
      </c>
    </row>
    <row r="1304" customFormat="false" ht="15.75" hidden="false" customHeight="false" outlineLevel="0" collapsed="false">
      <c r="B1304" s="7" t="n">
        <v>46237</v>
      </c>
      <c r="C1304" s="3" t="s">
        <v>3143</v>
      </c>
      <c r="D1304" s="3" t="s">
        <v>3044</v>
      </c>
      <c r="E1304" s="3" t="s">
        <v>3131</v>
      </c>
      <c r="F1304" s="3" t="s">
        <v>3132</v>
      </c>
      <c r="G1304" s="10" t="s">
        <v>3133</v>
      </c>
      <c r="H1304" s="9" t="s">
        <v>13</v>
      </c>
      <c r="I1304" s="9" t="s">
        <v>3144</v>
      </c>
    </row>
    <row r="1305" customFormat="false" ht="15.75" hidden="false" customHeight="false" outlineLevel="0" collapsed="false">
      <c r="B1305" s="7" t="n">
        <v>46237</v>
      </c>
      <c r="C1305" s="3" t="s">
        <v>3145</v>
      </c>
      <c r="D1305" s="3" t="s">
        <v>3044</v>
      </c>
      <c r="E1305" s="3" t="s">
        <v>3131</v>
      </c>
      <c r="F1305" s="3" t="s">
        <v>3132</v>
      </c>
      <c r="G1305" s="10" t="s">
        <v>3133</v>
      </c>
      <c r="H1305" s="9" t="s">
        <v>13</v>
      </c>
      <c r="I1305" s="9" t="s">
        <v>3146</v>
      </c>
    </row>
    <row r="1306" customFormat="false" ht="15.75" hidden="false" customHeight="false" outlineLevel="0" collapsed="false">
      <c r="B1306" s="7" t="n">
        <v>46214</v>
      </c>
      <c r="C1306" s="3" t="s">
        <v>3147</v>
      </c>
      <c r="D1306" s="3" t="s">
        <v>3044</v>
      </c>
      <c r="E1306" s="3" t="s">
        <v>3045</v>
      </c>
      <c r="F1306" s="3" t="s">
        <v>3127</v>
      </c>
      <c r="G1306" s="10" t="s">
        <v>3110</v>
      </c>
      <c r="H1306" s="9" t="s">
        <v>13</v>
      </c>
      <c r="I1306" s="9" t="s">
        <v>3148</v>
      </c>
    </row>
    <row r="1307" customFormat="false" ht="15.75" hidden="false" customHeight="false" outlineLevel="0" collapsed="false">
      <c r="B1307" s="7" t="n">
        <v>46237</v>
      </c>
      <c r="C1307" s="3" t="s">
        <v>3149</v>
      </c>
      <c r="D1307" s="3" t="s">
        <v>3044</v>
      </c>
      <c r="E1307" s="3" t="s">
        <v>3131</v>
      </c>
      <c r="F1307" s="3" t="s">
        <v>3132</v>
      </c>
      <c r="G1307" s="10" t="s">
        <v>3133</v>
      </c>
      <c r="H1307" s="9" t="s">
        <v>13</v>
      </c>
      <c r="I1307" s="9" t="s">
        <v>3150</v>
      </c>
    </row>
    <row r="1308" customFormat="false" ht="15.75" hidden="false" customHeight="false" outlineLevel="0" collapsed="false">
      <c r="B1308" s="7" t="n">
        <v>46237</v>
      </c>
      <c r="C1308" s="3" t="s">
        <v>3151</v>
      </c>
      <c r="D1308" s="3" t="s">
        <v>3044</v>
      </c>
      <c r="E1308" s="3" t="s">
        <v>3131</v>
      </c>
      <c r="F1308" s="3" t="s">
        <v>3132</v>
      </c>
      <c r="G1308" s="10" t="s">
        <v>3152</v>
      </c>
      <c r="H1308" s="9" t="s">
        <v>13</v>
      </c>
      <c r="I1308" s="9" t="s">
        <v>3153</v>
      </c>
    </row>
    <row r="1309" customFormat="false" ht="15.75" hidden="false" customHeight="false" outlineLevel="0" collapsed="false">
      <c r="B1309" s="7" t="n">
        <v>46237</v>
      </c>
      <c r="C1309" s="3" t="s">
        <v>3154</v>
      </c>
      <c r="D1309" s="3" t="s">
        <v>3044</v>
      </c>
      <c r="E1309" s="3" t="s">
        <v>3131</v>
      </c>
      <c r="F1309" s="3" t="s">
        <v>3132</v>
      </c>
      <c r="G1309" s="10" t="s">
        <v>3155</v>
      </c>
      <c r="H1309" s="9" t="s">
        <v>13</v>
      </c>
      <c r="I1309" s="9" t="s">
        <v>3156</v>
      </c>
    </row>
    <row r="1310" customFormat="false" ht="15.75" hidden="false" customHeight="false" outlineLevel="0" collapsed="false">
      <c r="B1310" s="7" t="n">
        <v>46214</v>
      </c>
      <c r="C1310" s="3" t="s">
        <v>3157</v>
      </c>
      <c r="D1310" s="3" t="s">
        <v>3044</v>
      </c>
      <c r="E1310" s="3" t="s">
        <v>3045</v>
      </c>
      <c r="F1310" s="3" t="s">
        <v>3127</v>
      </c>
      <c r="G1310" s="8" t="s">
        <v>3158</v>
      </c>
      <c r="H1310" s="9" t="s">
        <v>13</v>
      </c>
      <c r="I1310" s="9" t="s">
        <v>3159</v>
      </c>
    </row>
    <row r="1311" customFormat="false" ht="15.75" hidden="false" customHeight="false" outlineLevel="0" collapsed="false">
      <c r="B1311" s="7" t="n">
        <v>46214</v>
      </c>
      <c r="C1311" s="3" t="s">
        <v>3160</v>
      </c>
      <c r="D1311" s="3" t="s">
        <v>3044</v>
      </c>
      <c r="E1311" s="3" t="s">
        <v>3045</v>
      </c>
      <c r="F1311" s="3" t="s">
        <v>3127</v>
      </c>
      <c r="G1311" s="8" t="s">
        <v>3158</v>
      </c>
      <c r="H1311" s="9" t="s">
        <v>13</v>
      </c>
      <c r="I1311" s="9" t="s">
        <v>3159</v>
      </c>
    </row>
    <row r="1312" customFormat="false" ht="15.75" hidden="false" customHeight="false" outlineLevel="0" collapsed="false">
      <c r="B1312" s="7" t="n">
        <v>46214</v>
      </c>
      <c r="C1312" s="3" t="s">
        <v>3161</v>
      </c>
      <c r="D1312" s="3" t="s">
        <v>3044</v>
      </c>
      <c r="E1312" s="3" t="s">
        <v>3045</v>
      </c>
      <c r="F1312" s="3" t="s">
        <v>3127</v>
      </c>
      <c r="G1312" s="8" t="s">
        <v>3158</v>
      </c>
      <c r="H1312" s="9" t="s">
        <v>13</v>
      </c>
      <c r="I1312" s="9" t="s">
        <v>3159</v>
      </c>
    </row>
    <row r="1313" customFormat="false" ht="15.75" hidden="false" customHeight="false" outlineLevel="0" collapsed="false">
      <c r="B1313" s="7" t="n">
        <v>46214</v>
      </c>
      <c r="C1313" s="3" t="s">
        <v>3162</v>
      </c>
      <c r="D1313" s="3" t="s">
        <v>3044</v>
      </c>
      <c r="E1313" s="3" t="s">
        <v>3045</v>
      </c>
      <c r="F1313" s="3" t="s">
        <v>3127</v>
      </c>
      <c r="G1313" s="10" t="s">
        <v>3163</v>
      </c>
      <c r="H1313" s="9" t="s">
        <v>13</v>
      </c>
      <c r="I1313" s="9" t="s">
        <v>3164</v>
      </c>
    </row>
    <row r="1314" customFormat="false" ht="15.75" hidden="false" customHeight="false" outlineLevel="0" collapsed="false">
      <c r="B1314" s="7" t="n">
        <v>46236</v>
      </c>
      <c r="C1314" s="3" t="s">
        <v>3165</v>
      </c>
      <c r="D1314" s="3" t="s">
        <v>3044</v>
      </c>
      <c r="E1314" s="3" t="s">
        <v>3131</v>
      </c>
      <c r="F1314" s="3" t="s">
        <v>3132</v>
      </c>
      <c r="G1314" s="10" t="s">
        <v>3155</v>
      </c>
      <c r="H1314" s="9" t="s">
        <v>13</v>
      </c>
      <c r="I1314" s="9" t="s">
        <v>3166</v>
      </c>
    </row>
    <row r="1315" customFormat="false" ht="15.75" hidden="false" customHeight="false" outlineLevel="0" collapsed="false">
      <c r="B1315" s="7" t="n">
        <v>46236</v>
      </c>
      <c r="C1315" s="3" t="s">
        <v>3167</v>
      </c>
      <c r="D1315" s="3" t="s">
        <v>3044</v>
      </c>
      <c r="E1315" s="3" t="s">
        <v>3131</v>
      </c>
      <c r="F1315" s="3" t="s">
        <v>3132</v>
      </c>
      <c r="G1315" s="10" t="s">
        <v>3047</v>
      </c>
      <c r="H1315" s="9" t="s">
        <v>13</v>
      </c>
      <c r="I1315" s="9" t="s">
        <v>3168</v>
      </c>
    </row>
    <row r="1316" customFormat="false" ht="15.75" hidden="false" customHeight="false" outlineLevel="0" collapsed="false">
      <c r="B1316" s="7" t="n">
        <v>46236</v>
      </c>
      <c r="C1316" s="3" t="s">
        <v>3169</v>
      </c>
      <c r="D1316" s="3" t="s">
        <v>3044</v>
      </c>
      <c r="E1316" s="3" t="s">
        <v>3131</v>
      </c>
      <c r="F1316" s="3" t="s">
        <v>3132</v>
      </c>
      <c r="G1316" s="10" t="s">
        <v>2930</v>
      </c>
      <c r="H1316" s="9" t="s">
        <v>13</v>
      </c>
      <c r="I1316" s="9" t="s">
        <v>3170</v>
      </c>
    </row>
    <row r="1317" customFormat="false" ht="15.75" hidden="false" customHeight="false" outlineLevel="0" collapsed="false">
      <c r="B1317" s="7" t="n">
        <v>46214</v>
      </c>
      <c r="C1317" s="3" t="s">
        <v>3171</v>
      </c>
      <c r="D1317" s="3" t="s">
        <v>3044</v>
      </c>
      <c r="E1317" s="3" t="s">
        <v>3045</v>
      </c>
      <c r="F1317" s="3" t="s">
        <v>3127</v>
      </c>
      <c r="G1317" s="10" t="s">
        <v>3110</v>
      </c>
      <c r="H1317" s="9" t="s">
        <v>13</v>
      </c>
      <c r="I1317" s="9" t="s">
        <v>3172</v>
      </c>
    </row>
    <row r="1318" customFormat="false" ht="15.75" hidden="false" customHeight="false" outlineLevel="0" collapsed="false">
      <c r="B1318" s="7" t="n">
        <v>46236</v>
      </c>
      <c r="C1318" s="3" t="s">
        <v>3173</v>
      </c>
      <c r="D1318" s="3" t="s">
        <v>3044</v>
      </c>
      <c r="E1318" s="3" t="s">
        <v>3131</v>
      </c>
      <c r="F1318" s="3" t="s">
        <v>3132</v>
      </c>
      <c r="G1318" s="10" t="s">
        <v>3155</v>
      </c>
      <c r="H1318" s="9" t="s">
        <v>13</v>
      </c>
      <c r="I1318" s="9" t="s">
        <v>3174</v>
      </c>
    </row>
    <row r="1319" customFormat="false" ht="15.75" hidden="false" customHeight="false" outlineLevel="0" collapsed="false">
      <c r="B1319" s="7" t="n">
        <v>46236</v>
      </c>
      <c r="C1319" s="3" t="s">
        <v>3175</v>
      </c>
      <c r="D1319" s="3" t="s">
        <v>3044</v>
      </c>
      <c r="E1319" s="3" t="s">
        <v>3131</v>
      </c>
      <c r="F1319" s="3" t="s">
        <v>3132</v>
      </c>
      <c r="G1319" s="10" t="s">
        <v>3047</v>
      </c>
      <c r="H1319" s="9" t="s">
        <v>13</v>
      </c>
      <c r="I1319" s="9" t="s">
        <v>3176</v>
      </c>
    </row>
    <row r="1320" customFormat="false" ht="15.75" hidden="false" customHeight="false" outlineLevel="0" collapsed="false">
      <c r="B1320" s="7" t="n">
        <v>46236</v>
      </c>
      <c r="C1320" s="3" t="s">
        <v>3177</v>
      </c>
      <c r="D1320" s="3" t="s">
        <v>3044</v>
      </c>
      <c r="E1320" s="3" t="s">
        <v>3131</v>
      </c>
      <c r="F1320" s="3" t="s">
        <v>3132</v>
      </c>
      <c r="G1320" s="10" t="s">
        <v>3047</v>
      </c>
      <c r="H1320" s="9" t="s">
        <v>13</v>
      </c>
      <c r="I1320" s="9" t="s">
        <v>3178</v>
      </c>
    </row>
    <row r="1321" customFormat="false" ht="15.75" hidden="false" customHeight="false" outlineLevel="0" collapsed="false">
      <c r="B1321" s="7" t="n">
        <v>46214</v>
      </c>
      <c r="C1321" s="3" t="s">
        <v>3179</v>
      </c>
      <c r="D1321" s="3" t="s">
        <v>3044</v>
      </c>
      <c r="E1321" s="3" t="s">
        <v>3045</v>
      </c>
      <c r="F1321" s="3" t="s">
        <v>3127</v>
      </c>
      <c r="G1321" s="10" t="s">
        <v>3110</v>
      </c>
      <c r="H1321" s="9" t="s">
        <v>13</v>
      </c>
      <c r="I1321" s="9" t="s">
        <v>3180</v>
      </c>
    </row>
    <row r="1322" customFormat="false" ht="15.75" hidden="false" customHeight="false" outlineLevel="0" collapsed="false">
      <c r="B1322" s="7" t="n">
        <v>46236</v>
      </c>
      <c r="C1322" s="3" t="s">
        <v>3181</v>
      </c>
      <c r="D1322" s="3" t="s">
        <v>3044</v>
      </c>
      <c r="E1322" s="3" t="s">
        <v>3131</v>
      </c>
      <c r="F1322" s="3" t="s">
        <v>3132</v>
      </c>
      <c r="G1322" s="10" t="s">
        <v>3047</v>
      </c>
      <c r="H1322" s="9" t="s">
        <v>13</v>
      </c>
      <c r="I1322" s="9" t="s">
        <v>3178</v>
      </c>
    </row>
    <row r="1323" customFormat="false" ht="15.75" hidden="false" customHeight="false" outlineLevel="0" collapsed="false">
      <c r="B1323" s="7" t="n">
        <v>46236</v>
      </c>
      <c r="C1323" s="3" t="s">
        <v>3182</v>
      </c>
      <c r="D1323" s="3" t="s">
        <v>3044</v>
      </c>
      <c r="E1323" s="3" t="s">
        <v>3131</v>
      </c>
      <c r="F1323" s="3" t="s">
        <v>3132</v>
      </c>
      <c r="G1323" s="10" t="s">
        <v>3047</v>
      </c>
      <c r="H1323" s="9" t="s">
        <v>13</v>
      </c>
      <c r="I1323" s="9" t="s">
        <v>3183</v>
      </c>
    </row>
    <row r="1324" customFormat="false" ht="15.75" hidden="false" customHeight="false" outlineLevel="0" collapsed="false">
      <c r="B1324" s="7" t="n">
        <v>46236</v>
      </c>
      <c r="C1324" s="3" t="s">
        <v>3184</v>
      </c>
      <c r="D1324" s="3" t="s">
        <v>3044</v>
      </c>
      <c r="E1324" s="3" t="s">
        <v>3131</v>
      </c>
      <c r="F1324" s="3" t="s">
        <v>3132</v>
      </c>
      <c r="G1324" s="10" t="s">
        <v>3047</v>
      </c>
      <c r="H1324" s="9" t="s">
        <v>13</v>
      </c>
      <c r="I1324" s="9" t="s">
        <v>3185</v>
      </c>
    </row>
    <row r="1325" customFormat="false" ht="15.75" hidden="false" customHeight="false" outlineLevel="0" collapsed="false">
      <c r="B1325" s="7" t="n">
        <v>46214</v>
      </c>
      <c r="C1325" s="3" t="s">
        <v>3186</v>
      </c>
      <c r="D1325" s="3" t="s">
        <v>3044</v>
      </c>
      <c r="E1325" s="3" t="s">
        <v>3045</v>
      </c>
      <c r="F1325" s="3" t="s">
        <v>3127</v>
      </c>
      <c r="G1325" s="10" t="s">
        <v>3155</v>
      </c>
      <c r="H1325" s="9" t="s">
        <v>13</v>
      </c>
      <c r="I1325" s="9" t="s">
        <v>3187</v>
      </c>
    </row>
    <row r="1326" customFormat="false" ht="15.75" hidden="false" customHeight="false" outlineLevel="0" collapsed="false">
      <c r="B1326" s="7" t="n">
        <v>46214</v>
      </c>
      <c r="C1326" s="3" t="s">
        <v>3188</v>
      </c>
      <c r="D1326" s="3" t="s">
        <v>3044</v>
      </c>
      <c r="E1326" s="3" t="s">
        <v>3045</v>
      </c>
      <c r="F1326" s="3" t="s">
        <v>3127</v>
      </c>
      <c r="G1326" s="10" t="s">
        <v>3155</v>
      </c>
      <c r="H1326" s="9" t="s">
        <v>13</v>
      </c>
      <c r="I1326" s="9" t="s">
        <v>3187</v>
      </c>
    </row>
    <row r="1327" customFormat="false" ht="15.75" hidden="false" customHeight="false" outlineLevel="0" collapsed="false">
      <c r="B1327" s="7" t="n">
        <v>46214</v>
      </c>
      <c r="C1327" s="3" t="s">
        <v>3189</v>
      </c>
      <c r="D1327" s="3" t="s">
        <v>3044</v>
      </c>
      <c r="E1327" s="3" t="s">
        <v>3045</v>
      </c>
      <c r="F1327" s="3" t="s">
        <v>3127</v>
      </c>
      <c r="G1327" s="10" t="s">
        <v>3155</v>
      </c>
      <c r="H1327" s="9" t="s">
        <v>13</v>
      </c>
      <c r="I1327" s="9" t="s">
        <v>3187</v>
      </c>
    </row>
    <row r="1328" customFormat="false" ht="15.75" hidden="false" customHeight="false" outlineLevel="0" collapsed="false">
      <c r="B1328" s="7" t="n">
        <v>46236</v>
      </c>
      <c r="C1328" s="3" t="s">
        <v>3190</v>
      </c>
      <c r="D1328" s="3" t="s">
        <v>3044</v>
      </c>
      <c r="E1328" s="3" t="s">
        <v>3131</v>
      </c>
      <c r="F1328" s="3" t="s">
        <v>3132</v>
      </c>
      <c r="G1328" s="10" t="s">
        <v>3047</v>
      </c>
      <c r="H1328" s="9" t="s">
        <v>13</v>
      </c>
      <c r="I1328" s="9" t="s">
        <v>3191</v>
      </c>
    </row>
    <row r="1329" customFormat="false" ht="15.75" hidden="false" customHeight="false" outlineLevel="0" collapsed="false">
      <c r="B1329" s="7" t="n">
        <v>46236</v>
      </c>
      <c r="C1329" s="3" t="s">
        <v>3192</v>
      </c>
      <c r="D1329" s="3" t="s">
        <v>3044</v>
      </c>
      <c r="E1329" s="3" t="s">
        <v>3131</v>
      </c>
      <c r="F1329" s="3" t="s">
        <v>3132</v>
      </c>
      <c r="G1329" s="10" t="s">
        <v>3047</v>
      </c>
      <c r="H1329" s="9" t="s">
        <v>13</v>
      </c>
      <c r="I1329" s="9" t="s">
        <v>3193</v>
      </c>
    </row>
    <row r="1330" customFormat="false" ht="15.75" hidden="false" customHeight="false" outlineLevel="0" collapsed="false">
      <c r="B1330" s="7" t="n">
        <v>46236</v>
      </c>
      <c r="C1330" s="3" t="s">
        <v>3194</v>
      </c>
      <c r="D1330" s="3" t="s">
        <v>3044</v>
      </c>
      <c r="E1330" s="3" t="s">
        <v>3131</v>
      </c>
      <c r="F1330" s="3" t="s">
        <v>3132</v>
      </c>
      <c r="G1330" s="10" t="s">
        <v>3195</v>
      </c>
      <c r="H1330" s="9" t="s">
        <v>13</v>
      </c>
      <c r="I1330" s="9" t="s">
        <v>3196</v>
      </c>
    </row>
    <row r="1331" customFormat="false" ht="15.75" hidden="false" customHeight="false" outlineLevel="0" collapsed="false">
      <c r="B1331" s="7" t="n">
        <v>46214</v>
      </c>
      <c r="C1331" s="3" t="s">
        <v>3197</v>
      </c>
      <c r="D1331" s="3" t="s">
        <v>3044</v>
      </c>
      <c r="E1331" s="3" t="s">
        <v>3045</v>
      </c>
      <c r="F1331" s="3" t="s">
        <v>3127</v>
      </c>
      <c r="G1331" s="10" t="s">
        <v>3055</v>
      </c>
      <c r="H1331" s="9" t="s">
        <v>13</v>
      </c>
      <c r="I1331" s="9" t="s">
        <v>3198</v>
      </c>
    </row>
    <row r="1332" customFormat="false" ht="15.75" hidden="false" customHeight="false" outlineLevel="0" collapsed="false">
      <c r="B1332" s="7" t="n">
        <v>46236</v>
      </c>
      <c r="C1332" s="3" t="s">
        <v>3199</v>
      </c>
      <c r="D1332" s="3" t="s">
        <v>3044</v>
      </c>
      <c r="E1332" s="3" t="s">
        <v>3131</v>
      </c>
      <c r="F1332" s="3" t="s">
        <v>3132</v>
      </c>
      <c r="G1332" s="10" t="s">
        <v>3155</v>
      </c>
      <c r="H1332" s="9" t="s">
        <v>13</v>
      </c>
      <c r="I1332" s="9" t="s">
        <v>3200</v>
      </c>
    </row>
    <row r="1333" customFormat="false" ht="15.75" hidden="false" customHeight="false" outlineLevel="0" collapsed="false">
      <c r="B1333" s="7" t="n">
        <v>46214</v>
      </c>
      <c r="C1333" s="3" t="s">
        <v>3201</v>
      </c>
      <c r="D1333" s="3" t="s">
        <v>3044</v>
      </c>
      <c r="E1333" s="3" t="s">
        <v>3202</v>
      </c>
      <c r="F1333" s="3" t="s">
        <v>3203</v>
      </c>
      <c r="G1333" s="8" t="s">
        <v>3204</v>
      </c>
      <c r="H1333" s="9" t="s">
        <v>13</v>
      </c>
      <c r="I1333" s="9" t="s">
        <v>3205</v>
      </c>
    </row>
    <row r="1334" customFormat="false" ht="15.75" hidden="false" customHeight="false" outlineLevel="0" collapsed="false">
      <c r="B1334" s="7" t="n">
        <v>46214</v>
      </c>
      <c r="C1334" s="3" t="s">
        <v>3206</v>
      </c>
      <c r="D1334" s="3" t="s">
        <v>3044</v>
      </c>
      <c r="E1334" s="3" t="s">
        <v>3202</v>
      </c>
      <c r="F1334" s="3" t="s">
        <v>3203</v>
      </c>
      <c r="G1334" s="10" t="s">
        <v>3207</v>
      </c>
      <c r="H1334" s="9" t="s">
        <v>13</v>
      </c>
      <c r="I1334" s="9" t="s">
        <v>3208</v>
      </c>
    </row>
    <row r="1335" customFormat="false" ht="15.75" hidden="false" customHeight="false" outlineLevel="0" collapsed="false">
      <c r="B1335" s="7" t="n">
        <v>46214</v>
      </c>
      <c r="C1335" s="3" t="s">
        <v>3209</v>
      </c>
      <c r="D1335" s="3" t="s">
        <v>3044</v>
      </c>
      <c r="E1335" s="3" t="s">
        <v>3202</v>
      </c>
      <c r="F1335" s="3" t="s">
        <v>3203</v>
      </c>
      <c r="G1335" s="10" t="s">
        <v>3210</v>
      </c>
      <c r="H1335" s="9" t="s">
        <v>13</v>
      </c>
      <c r="I1335" s="9" t="s">
        <v>3211</v>
      </c>
    </row>
    <row r="1336" customFormat="false" ht="15.75" hidden="false" customHeight="false" outlineLevel="0" collapsed="false">
      <c r="B1336" s="7" t="n">
        <v>46214</v>
      </c>
      <c r="C1336" s="3" t="s">
        <v>3212</v>
      </c>
      <c r="D1336" s="3" t="s">
        <v>3044</v>
      </c>
      <c r="E1336" s="3" t="s">
        <v>3202</v>
      </c>
      <c r="F1336" s="3" t="s">
        <v>3203</v>
      </c>
      <c r="G1336" s="10" t="s">
        <v>3210</v>
      </c>
      <c r="H1336" s="9" t="s">
        <v>13</v>
      </c>
      <c r="I1336" s="9" t="s">
        <v>3211</v>
      </c>
    </row>
    <row r="1337" customFormat="false" ht="15.75" hidden="false" customHeight="false" outlineLevel="0" collapsed="false">
      <c r="B1337" s="7" t="n">
        <v>46214</v>
      </c>
      <c r="C1337" s="3" t="s">
        <v>3213</v>
      </c>
      <c r="D1337" s="3" t="s">
        <v>3044</v>
      </c>
      <c r="E1337" s="3" t="s">
        <v>3202</v>
      </c>
      <c r="F1337" s="3" t="s">
        <v>3203</v>
      </c>
      <c r="G1337" s="10" t="s">
        <v>3210</v>
      </c>
      <c r="H1337" s="9" t="s">
        <v>13</v>
      </c>
      <c r="I1337" s="9" t="s">
        <v>3211</v>
      </c>
    </row>
    <row r="1338" customFormat="false" ht="15.75" hidden="false" customHeight="false" outlineLevel="0" collapsed="false">
      <c r="B1338" s="7" t="n">
        <v>46214</v>
      </c>
      <c r="C1338" s="3" t="s">
        <v>3214</v>
      </c>
      <c r="D1338" s="3" t="s">
        <v>3044</v>
      </c>
      <c r="E1338" s="3" t="s">
        <v>3202</v>
      </c>
      <c r="F1338" s="3" t="s">
        <v>3203</v>
      </c>
      <c r="G1338" s="10" t="s">
        <v>3210</v>
      </c>
      <c r="H1338" s="9" t="s">
        <v>13</v>
      </c>
      <c r="I1338" s="9" t="s">
        <v>3211</v>
      </c>
    </row>
    <row r="1339" customFormat="false" ht="15.75" hidden="false" customHeight="false" outlineLevel="0" collapsed="false">
      <c r="B1339" s="7" t="n">
        <v>46214</v>
      </c>
      <c r="C1339" s="3" t="s">
        <v>3215</v>
      </c>
      <c r="D1339" s="3" t="s">
        <v>3044</v>
      </c>
      <c r="E1339" s="3" t="s">
        <v>3202</v>
      </c>
      <c r="F1339" s="3" t="s">
        <v>3203</v>
      </c>
      <c r="G1339" s="10" t="s">
        <v>3210</v>
      </c>
      <c r="H1339" s="9" t="s">
        <v>13</v>
      </c>
      <c r="I1339" s="9" t="s">
        <v>3211</v>
      </c>
    </row>
    <row r="1340" customFormat="false" ht="15.75" hidden="false" customHeight="false" outlineLevel="0" collapsed="false">
      <c r="B1340" s="7" t="n">
        <v>46214</v>
      </c>
      <c r="C1340" s="3" t="s">
        <v>3216</v>
      </c>
      <c r="D1340" s="3" t="s">
        <v>3044</v>
      </c>
      <c r="E1340" s="3" t="s">
        <v>3202</v>
      </c>
      <c r="F1340" s="3" t="s">
        <v>3203</v>
      </c>
      <c r="G1340" s="8" t="s">
        <v>3217</v>
      </c>
      <c r="H1340" s="9" t="s">
        <v>13</v>
      </c>
      <c r="I1340" s="9" t="s">
        <v>3218</v>
      </c>
    </row>
    <row r="1341" customFormat="false" ht="15.75" hidden="false" customHeight="false" outlineLevel="0" collapsed="false">
      <c r="B1341" s="7" t="n">
        <v>46214</v>
      </c>
      <c r="C1341" s="3" t="s">
        <v>3219</v>
      </c>
      <c r="D1341" s="3" t="s">
        <v>3044</v>
      </c>
      <c r="E1341" s="3" t="s">
        <v>3202</v>
      </c>
      <c r="F1341" s="3" t="s">
        <v>3203</v>
      </c>
      <c r="G1341" s="10" t="s">
        <v>3220</v>
      </c>
      <c r="H1341" s="9" t="s">
        <v>13</v>
      </c>
      <c r="I1341" s="9" t="s">
        <v>3221</v>
      </c>
    </row>
    <row r="1342" customFormat="false" ht="15.75" hidden="false" customHeight="false" outlineLevel="0" collapsed="false">
      <c r="B1342" s="7" t="n">
        <v>46214</v>
      </c>
      <c r="C1342" s="3" t="s">
        <v>3222</v>
      </c>
      <c r="D1342" s="3" t="s">
        <v>3044</v>
      </c>
      <c r="E1342" s="3" t="s">
        <v>3202</v>
      </c>
      <c r="F1342" s="3" t="s">
        <v>3203</v>
      </c>
      <c r="G1342" s="10" t="s">
        <v>3223</v>
      </c>
      <c r="H1342" s="9" t="s">
        <v>13</v>
      </c>
      <c r="I1342" s="9" t="s">
        <v>3224</v>
      </c>
    </row>
    <row r="1343" customFormat="false" ht="15.75" hidden="false" customHeight="false" outlineLevel="0" collapsed="false">
      <c r="B1343" s="7" t="n">
        <v>46214</v>
      </c>
      <c r="C1343" s="3" t="s">
        <v>3225</v>
      </c>
      <c r="D1343" s="3" t="s">
        <v>3044</v>
      </c>
      <c r="E1343" s="3" t="s">
        <v>3202</v>
      </c>
      <c r="F1343" s="3" t="s">
        <v>3203</v>
      </c>
      <c r="G1343" s="10" t="s">
        <v>3226</v>
      </c>
      <c r="H1343" s="9" t="s">
        <v>13</v>
      </c>
      <c r="I1343" s="9" t="s">
        <v>3227</v>
      </c>
    </row>
    <row r="1344" customFormat="false" ht="15.75" hidden="false" customHeight="false" outlineLevel="0" collapsed="false">
      <c r="B1344" s="7" t="n">
        <v>46214</v>
      </c>
      <c r="C1344" s="3" t="s">
        <v>3228</v>
      </c>
      <c r="D1344" s="3" t="s">
        <v>3044</v>
      </c>
      <c r="E1344" s="3" t="s">
        <v>3202</v>
      </c>
      <c r="F1344" s="3" t="s">
        <v>3203</v>
      </c>
      <c r="G1344" s="8" t="s">
        <v>3229</v>
      </c>
      <c r="H1344" s="9" t="s">
        <v>13</v>
      </c>
      <c r="I1344" s="9" t="s">
        <v>3230</v>
      </c>
    </row>
    <row r="1345" customFormat="false" ht="15.75" hidden="false" customHeight="false" outlineLevel="0" collapsed="false">
      <c r="B1345" s="7" t="n">
        <v>46214</v>
      </c>
      <c r="C1345" s="3" t="s">
        <v>3231</v>
      </c>
      <c r="D1345" s="3" t="s">
        <v>3044</v>
      </c>
      <c r="E1345" s="3" t="s">
        <v>3202</v>
      </c>
      <c r="F1345" s="3" t="s">
        <v>3203</v>
      </c>
      <c r="G1345" s="8" t="s">
        <v>3232</v>
      </c>
      <c r="H1345" s="9" t="s">
        <v>13</v>
      </c>
      <c r="I1345" s="9" t="s">
        <v>3233</v>
      </c>
    </row>
    <row r="1346" customFormat="false" ht="15.75" hidden="false" customHeight="false" outlineLevel="0" collapsed="false">
      <c r="B1346" s="7" t="n">
        <v>46214</v>
      </c>
      <c r="C1346" s="3" t="s">
        <v>3234</v>
      </c>
      <c r="D1346" s="3" t="s">
        <v>3044</v>
      </c>
      <c r="E1346" s="3" t="s">
        <v>3202</v>
      </c>
      <c r="F1346" s="3" t="s">
        <v>3203</v>
      </c>
      <c r="G1346" s="10" t="s">
        <v>3235</v>
      </c>
      <c r="H1346" s="9" t="s">
        <v>13</v>
      </c>
      <c r="I1346" s="9" t="s">
        <v>3236</v>
      </c>
    </row>
    <row r="1347" customFormat="false" ht="15.75" hidden="false" customHeight="false" outlineLevel="0" collapsed="false">
      <c r="B1347" s="7" t="n">
        <v>46214</v>
      </c>
      <c r="C1347" s="3" t="s">
        <v>3237</v>
      </c>
      <c r="D1347" s="3" t="s">
        <v>3044</v>
      </c>
      <c r="E1347" s="3" t="s">
        <v>3202</v>
      </c>
      <c r="F1347" s="3" t="s">
        <v>3203</v>
      </c>
      <c r="G1347" s="10" t="s">
        <v>3235</v>
      </c>
      <c r="H1347" s="9" t="s">
        <v>13</v>
      </c>
      <c r="I1347" s="9" t="s">
        <v>3236</v>
      </c>
    </row>
    <row r="1348" customFormat="false" ht="15.75" hidden="false" customHeight="false" outlineLevel="0" collapsed="false">
      <c r="B1348" s="7" t="n">
        <v>46214</v>
      </c>
      <c r="C1348" s="3" t="s">
        <v>3238</v>
      </c>
      <c r="D1348" s="3" t="s">
        <v>3044</v>
      </c>
      <c r="E1348" s="3" t="s">
        <v>3202</v>
      </c>
      <c r="F1348" s="3" t="s">
        <v>3203</v>
      </c>
      <c r="G1348" s="10" t="s">
        <v>3239</v>
      </c>
      <c r="H1348" s="9" t="s">
        <v>13</v>
      </c>
      <c r="I1348" s="9" t="s">
        <v>3240</v>
      </c>
    </row>
    <row r="1349" customFormat="false" ht="15.75" hidden="false" customHeight="false" outlineLevel="0" collapsed="false">
      <c r="B1349" s="7" t="n">
        <v>46214</v>
      </c>
      <c r="C1349" s="3" t="s">
        <v>3241</v>
      </c>
      <c r="D1349" s="3" t="s">
        <v>3044</v>
      </c>
      <c r="E1349" s="3" t="s">
        <v>3202</v>
      </c>
      <c r="F1349" s="3" t="s">
        <v>3203</v>
      </c>
      <c r="G1349" s="10" t="s">
        <v>3242</v>
      </c>
      <c r="H1349" s="9" t="s">
        <v>13</v>
      </c>
      <c r="I1349" s="9" t="s">
        <v>3243</v>
      </c>
    </row>
    <row r="1350" customFormat="false" ht="15.75" hidden="false" customHeight="false" outlineLevel="0" collapsed="false">
      <c r="B1350" s="7" t="n">
        <v>46214</v>
      </c>
      <c r="C1350" s="3" t="s">
        <v>3244</v>
      </c>
      <c r="D1350" s="3" t="s">
        <v>3044</v>
      </c>
      <c r="E1350" s="3" t="s">
        <v>3202</v>
      </c>
      <c r="F1350" s="3" t="s">
        <v>3203</v>
      </c>
      <c r="G1350" s="10" t="s">
        <v>3245</v>
      </c>
      <c r="H1350" s="9" t="s">
        <v>13</v>
      </c>
      <c r="I1350" s="9" t="s">
        <v>3246</v>
      </c>
    </row>
    <row r="1351" customFormat="false" ht="15.75" hidden="false" customHeight="false" outlineLevel="0" collapsed="false">
      <c r="B1351" s="7" t="n">
        <v>46214</v>
      </c>
      <c r="C1351" s="3" t="s">
        <v>3247</v>
      </c>
      <c r="D1351" s="3" t="s">
        <v>3044</v>
      </c>
      <c r="E1351" s="3" t="s">
        <v>3202</v>
      </c>
      <c r="F1351" s="3" t="s">
        <v>3203</v>
      </c>
      <c r="G1351" s="8" t="s">
        <v>3248</v>
      </c>
      <c r="H1351" s="9" t="s">
        <v>13</v>
      </c>
      <c r="I1351" s="9" t="s">
        <v>3249</v>
      </c>
    </row>
    <row r="1352" customFormat="false" ht="15.75" hidden="false" customHeight="false" outlineLevel="0" collapsed="false">
      <c r="B1352" s="7" t="n">
        <v>46214</v>
      </c>
      <c r="C1352" s="3" t="s">
        <v>3250</v>
      </c>
      <c r="D1352" s="3" t="s">
        <v>3044</v>
      </c>
      <c r="E1352" s="3" t="s">
        <v>3202</v>
      </c>
      <c r="F1352" s="3" t="s">
        <v>3203</v>
      </c>
      <c r="G1352" s="8" t="s">
        <v>3251</v>
      </c>
      <c r="H1352" s="9" t="s">
        <v>13</v>
      </c>
      <c r="I1352" s="9" t="s">
        <v>3252</v>
      </c>
    </row>
    <row r="1353" customFormat="false" ht="15.75" hidden="false" customHeight="false" outlineLevel="0" collapsed="false">
      <c r="B1353" s="7" t="n">
        <v>46214</v>
      </c>
      <c r="C1353" s="3" t="s">
        <v>3253</v>
      </c>
      <c r="D1353" s="3" t="s">
        <v>3044</v>
      </c>
      <c r="E1353" s="3" t="s">
        <v>3202</v>
      </c>
      <c r="F1353" s="3" t="s">
        <v>3203</v>
      </c>
      <c r="G1353" s="10" t="s">
        <v>3254</v>
      </c>
      <c r="H1353" s="9" t="s">
        <v>13</v>
      </c>
      <c r="I1353" s="9" t="s">
        <v>3255</v>
      </c>
    </row>
    <row r="1354" customFormat="false" ht="15.75" hidden="false" customHeight="false" outlineLevel="0" collapsed="false">
      <c r="B1354" s="7" t="n">
        <v>46214</v>
      </c>
      <c r="C1354" s="3" t="s">
        <v>3256</v>
      </c>
      <c r="D1354" s="3" t="s">
        <v>3044</v>
      </c>
      <c r="E1354" s="3" t="s">
        <v>3202</v>
      </c>
      <c r="F1354" s="3" t="s">
        <v>3203</v>
      </c>
      <c r="G1354" s="10" t="s">
        <v>3254</v>
      </c>
      <c r="H1354" s="9" t="s">
        <v>13</v>
      </c>
      <c r="I1354" s="9" t="s">
        <v>3257</v>
      </c>
    </row>
    <row r="1355" customFormat="false" ht="15.75" hidden="false" customHeight="false" outlineLevel="0" collapsed="false">
      <c r="B1355" s="7" t="n">
        <v>46214</v>
      </c>
      <c r="C1355" s="3" t="s">
        <v>3258</v>
      </c>
      <c r="D1355" s="3" t="s">
        <v>3044</v>
      </c>
      <c r="E1355" s="3" t="s">
        <v>3202</v>
      </c>
      <c r="F1355" s="3" t="s">
        <v>3203</v>
      </c>
      <c r="G1355" s="8" t="s">
        <v>3259</v>
      </c>
      <c r="H1355" s="9" t="s">
        <v>13</v>
      </c>
      <c r="I1355" s="9" t="s">
        <v>3260</v>
      </c>
    </row>
    <row r="1356" customFormat="false" ht="15.75" hidden="false" customHeight="false" outlineLevel="0" collapsed="false">
      <c r="B1356" s="7" t="n">
        <v>46214</v>
      </c>
      <c r="C1356" s="3" t="s">
        <v>3261</v>
      </c>
      <c r="D1356" s="3" t="s">
        <v>3044</v>
      </c>
      <c r="E1356" s="3" t="s">
        <v>3202</v>
      </c>
      <c r="F1356" s="3" t="s">
        <v>3203</v>
      </c>
      <c r="G1356" s="10" t="s">
        <v>3262</v>
      </c>
      <c r="H1356" s="9" t="s">
        <v>13</v>
      </c>
      <c r="I1356" s="9" t="s">
        <v>3263</v>
      </c>
    </row>
    <row r="1357" customFormat="false" ht="15.75" hidden="false" customHeight="false" outlineLevel="0" collapsed="false">
      <c r="B1357" s="7" t="n">
        <v>46214</v>
      </c>
      <c r="C1357" s="3" t="s">
        <v>3264</v>
      </c>
      <c r="D1357" s="3" t="s">
        <v>3044</v>
      </c>
      <c r="E1357" s="3" t="s">
        <v>3202</v>
      </c>
      <c r="F1357" s="3" t="s">
        <v>3203</v>
      </c>
      <c r="G1357" s="8" t="s">
        <v>3265</v>
      </c>
      <c r="H1357" s="9" t="s">
        <v>13</v>
      </c>
      <c r="I1357" s="9" t="s">
        <v>3266</v>
      </c>
    </row>
    <row r="1358" customFormat="false" ht="15.75" hidden="false" customHeight="false" outlineLevel="0" collapsed="false">
      <c r="B1358" s="7" t="n">
        <v>46214</v>
      </c>
      <c r="C1358" s="3" t="s">
        <v>3267</v>
      </c>
      <c r="D1358" s="3" t="s">
        <v>3044</v>
      </c>
      <c r="E1358" s="3" t="s">
        <v>3202</v>
      </c>
      <c r="F1358" s="3" t="s">
        <v>3203</v>
      </c>
      <c r="G1358" s="8" t="s">
        <v>3268</v>
      </c>
      <c r="H1358" s="9" t="s">
        <v>13</v>
      </c>
      <c r="I1358" s="9" t="s">
        <v>3269</v>
      </c>
    </row>
    <row r="1359" customFormat="false" ht="15.75" hidden="false" customHeight="false" outlineLevel="0" collapsed="false">
      <c r="B1359" s="7" t="n">
        <v>46214</v>
      </c>
      <c r="C1359" s="3" t="s">
        <v>3270</v>
      </c>
      <c r="D1359" s="3" t="s">
        <v>3044</v>
      </c>
      <c r="E1359" s="3" t="s">
        <v>3202</v>
      </c>
      <c r="F1359" s="3" t="s">
        <v>3203</v>
      </c>
      <c r="G1359" s="10" t="s">
        <v>2144</v>
      </c>
      <c r="H1359" s="9" t="s">
        <v>13</v>
      </c>
      <c r="I1359" s="9" t="s">
        <v>3271</v>
      </c>
    </row>
    <row r="1360" customFormat="false" ht="15.75" hidden="false" customHeight="false" outlineLevel="0" collapsed="false">
      <c r="B1360" s="7" t="n">
        <v>46214</v>
      </c>
      <c r="C1360" s="3" t="s">
        <v>3272</v>
      </c>
      <c r="D1360" s="3" t="s">
        <v>3044</v>
      </c>
      <c r="E1360" s="3" t="s">
        <v>3202</v>
      </c>
      <c r="F1360" s="3" t="s">
        <v>3203</v>
      </c>
      <c r="G1360" s="10" t="s">
        <v>3273</v>
      </c>
      <c r="H1360" s="9" t="s">
        <v>13</v>
      </c>
      <c r="I1360" s="9" t="s">
        <v>3274</v>
      </c>
    </row>
    <row r="1361" customFormat="false" ht="15.75" hidden="false" customHeight="false" outlineLevel="0" collapsed="false">
      <c r="B1361" s="7" t="n">
        <v>46214</v>
      </c>
      <c r="C1361" s="3" t="s">
        <v>3275</v>
      </c>
      <c r="D1361" s="3" t="s">
        <v>3044</v>
      </c>
      <c r="E1361" s="3" t="s">
        <v>3202</v>
      </c>
      <c r="F1361" s="3" t="s">
        <v>3203</v>
      </c>
      <c r="G1361" s="10" t="s">
        <v>3276</v>
      </c>
      <c r="H1361" s="9" t="s">
        <v>13</v>
      </c>
      <c r="I1361" s="9" t="s">
        <v>3277</v>
      </c>
    </row>
    <row r="1362" customFormat="false" ht="15.75" hidden="false" customHeight="false" outlineLevel="0" collapsed="false">
      <c r="B1362" s="7" t="n">
        <v>46214</v>
      </c>
      <c r="C1362" s="3" t="s">
        <v>3278</v>
      </c>
      <c r="D1362" s="3" t="s">
        <v>3044</v>
      </c>
      <c r="E1362" s="3" t="s">
        <v>3202</v>
      </c>
      <c r="F1362" s="3" t="s">
        <v>3203</v>
      </c>
      <c r="G1362" s="10" t="s">
        <v>3276</v>
      </c>
      <c r="H1362" s="9" t="s">
        <v>13</v>
      </c>
      <c r="I1362" s="9" t="s">
        <v>3277</v>
      </c>
    </row>
    <row r="1363" customFormat="false" ht="15.75" hidden="false" customHeight="false" outlineLevel="0" collapsed="false">
      <c r="B1363" s="7" t="n">
        <v>46214</v>
      </c>
      <c r="C1363" s="3" t="s">
        <v>3279</v>
      </c>
      <c r="D1363" s="3" t="s">
        <v>3044</v>
      </c>
      <c r="E1363" s="3" t="s">
        <v>3202</v>
      </c>
      <c r="F1363" s="3" t="s">
        <v>3203</v>
      </c>
      <c r="G1363" s="10" t="s">
        <v>3276</v>
      </c>
      <c r="H1363" s="9" t="s">
        <v>13</v>
      </c>
      <c r="I1363" s="9" t="s">
        <v>3277</v>
      </c>
    </row>
    <row r="1364" customFormat="false" ht="15.75" hidden="false" customHeight="false" outlineLevel="0" collapsed="false">
      <c r="B1364" s="7" t="n">
        <v>46214</v>
      </c>
      <c r="C1364" s="3" t="s">
        <v>3280</v>
      </c>
      <c r="D1364" s="3" t="s">
        <v>3044</v>
      </c>
      <c r="E1364" s="3" t="s">
        <v>3202</v>
      </c>
      <c r="F1364" s="3" t="s">
        <v>3203</v>
      </c>
      <c r="G1364" s="8" t="s">
        <v>3281</v>
      </c>
      <c r="H1364" s="9" t="s">
        <v>13</v>
      </c>
      <c r="I1364" s="9" t="s">
        <v>3282</v>
      </c>
    </row>
    <row r="1365" customFormat="false" ht="15.75" hidden="false" customHeight="false" outlineLevel="0" collapsed="false">
      <c r="B1365" s="7" t="n">
        <v>46214</v>
      </c>
      <c r="C1365" s="3" t="s">
        <v>3283</v>
      </c>
      <c r="D1365" s="3" t="s">
        <v>3044</v>
      </c>
      <c r="E1365" s="3" t="s">
        <v>3202</v>
      </c>
      <c r="F1365" s="3" t="s">
        <v>3203</v>
      </c>
      <c r="G1365" s="10" t="s">
        <v>3284</v>
      </c>
      <c r="H1365" s="9" t="s">
        <v>13</v>
      </c>
      <c r="I1365" s="9" t="s">
        <v>3285</v>
      </c>
    </row>
    <row r="1366" customFormat="false" ht="15.75" hidden="false" customHeight="false" outlineLevel="0" collapsed="false">
      <c r="B1366" s="7" t="n">
        <v>46214</v>
      </c>
      <c r="C1366" s="3" t="s">
        <v>3286</v>
      </c>
      <c r="D1366" s="3" t="s">
        <v>3044</v>
      </c>
      <c r="E1366" s="3" t="s">
        <v>3202</v>
      </c>
      <c r="F1366" s="3" t="s">
        <v>3203</v>
      </c>
      <c r="G1366" s="10" t="s">
        <v>3287</v>
      </c>
      <c r="H1366" s="9" t="s">
        <v>13</v>
      </c>
      <c r="I1366" s="9" t="s">
        <v>3288</v>
      </c>
    </row>
    <row r="1367" customFormat="false" ht="15.75" hidden="false" customHeight="false" outlineLevel="0" collapsed="false">
      <c r="B1367" s="7" t="n">
        <v>46214</v>
      </c>
      <c r="C1367" s="3" t="s">
        <v>3289</v>
      </c>
      <c r="D1367" s="3" t="s">
        <v>3044</v>
      </c>
      <c r="E1367" s="3" t="s">
        <v>3202</v>
      </c>
      <c r="F1367" s="3" t="s">
        <v>3203</v>
      </c>
      <c r="G1367" s="8" t="s">
        <v>3290</v>
      </c>
      <c r="H1367" s="9" t="s">
        <v>13</v>
      </c>
      <c r="I1367" s="9" t="s">
        <v>3291</v>
      </c>
    </row>
    <row r="1368" customFormat="false" ht="15.75" hidden="false" customHeight="false" outlineLevel="0" collapsed="false">
      <c r="B1368" s="7" t="n">
        <v>46214</v>
      </c>
      <c r="C1368" s="3" t="s">
        <v>3292</v>
      </c>
      <c r="D1368" s="3" t="s">
        <v>3044</v>
      </c>
      <c r="E1368" s="3" t="s">
        <v>3202</v>
      </c>
      <c r="F1368" s="3" t="s">
        <v>3293</v>
      </c>
      <c r="G1368" s="8" t="s">
        <v>3294</v>
      </c>
      <c r="H1368" s="9" t="s">
        <v>13</v>
      </c>
      <c r="I1368" s="9" t="s">
        <v>3295</v>
      </c>
    </row>
    <row r="1369" customFormat="false" ht="15.75" hidden="false" customHeight="false" outlineLevel="0" collapsed="false">
      <c r="B1369" s="7" t="n">
        <v>46214</v>
      </c>
      <c r="C1369" s="3" t="s">
        <v>3296</v>
      </c>
      <c r="D1369" s="3" t="s">
        <v>3044</v>
      </c>
      <c r="E1369" s="3" t="s">
        <v>3202</v>
      </c>
      <c r="F1369" s="3" t="s">
        <v>3293</v>
      </c>
      <c r="G1369" s="10" t="s">
        <v>3297</v>
      </c>
      <c r="H1369" s="9" t="s">
        <v>13</v>
      </c>
      <c r="I1369" s="9" t="s">
        <v>3298</v>
      </c>
    </row>
    <row r="1370" customFormat="false" ht="15.75" hidden="false" customHeight="false" outlineLevel="0" collapsed="false">
      <c r="B1370" s="7" t="n">
        <v>46214</v>
      </c>
      <c r="C1370" s="3" t="s">
        <v>3299</v>
      </c>
      <c r="D1370" s="3" t="s">
        <v>3044</v>
      </c>
      <c r="E1370" s="3" t="s">
        <v>3202</v>
      </c>
      <c r="F1370" s="3" t="s">
        <v>3293</v>
      </c>
      <c r="G1370" s="10" t="s">
        <v>3300</v>
      </c>
      <c r="H1370" s="9" t="s">
        <v>13</v>
      </c>
      <c r="I1370" s="9" t="s">
        <v>3301</v>
      </c>
    </row>
    <row r="1371" customFormat="false" ht="15.75" hidden="false" customHeight="false" outlineLevel="0" collapsed="false">
      <c r="B1371" s="7" t="n">
        <v>46214</v>
      </c>
      <c r="C1371" s="3" t="s">
        <v>3302</v>
      </c>
      <c r="D1371" s="3" t="s">
        <v>3044</v>
      </c>
      <c r="E1371" s="3" t="s">
        <v>3202</v>
      </c>
      <c r="F1371" s="3" t="s">
        <v>3293</v>
      </c>
      <c r="G1371" s="10" t="s">
        <v>3303</v>
      </c>
      <c r="H1371" s="9" t="s">
        <v>13</v>
      </c>
      <c r="I1371" s="9" t="s">
        <v>3304</v>
      </c>
    </row>
    <row r="1372" customFormat="false" ht="15.75" hidden="false" customHeight="false" outlineLevel="0" collapsed="false">
      <c r="B1372" s="7" t="n">
        <v>46214</v>
      </c>
      <c r="C1372" s="3" t="s">
        <v>3305</v>
      </c>
      <c r="D1372" s="3" t="s">
        <v>3044</v>
      </c>
      <c r="E1372" s="3" t="s">
        <v>3202</v>
      </c>
      <c r="F1372" s="3" t="s">
        <v>3293</v>
      </c>
      <c r="G1372" s="8" t="s">
        <v>3306</v>
      </c>
      <c r="H1372" s="9" t="s">
        <v>13</v>
      </c>
      <c r="I1372" s="9" t="s">
        <v>3307</v>
      </c>
    </row>
    <row r="1373" customFormat="false" ht="15.75" hidden="false" customHeight="false" outlineLevel="0" collapsed="false">
      <c r="B1373" s="7" t="n">
        <v>46214</v>
      </c>
      <c r="C1373" s="3" t="s">
        <v>3308</v>
      </c>
      <c r="D1373" s="3" t="s">
        <v>3044</v>
      </c>
      <c r="E1373" s="3" t="s">
        <v>3202</v>
      </c>
      <c r="F1373" s="3" t="s">
        <v>3293</v>
      </c>
      <c r="G1373" s="10" t="s">
        <v>2281</v>
      </c>
      <c r="H1373" s="9" t="s">
        <v>13</v>
      </c>
      <c r="I1373" s="9" t="s">
        <v>3309</v>
      </c>
    </row>
    <row r="1374" customFormat="false" ht="15.75" hidden="false" customHeight="false" outlineLevel="0" collapsed="false">
      <c r="B1374" s="7" t="n">
        <v>46214</v>
      </c>
      <c r="C1374" s="3" t="s">
        <v>3310</v>
      </c>
      <c r="D1374" s="3" t="s">
        <v>3044</v>
      </c>
      <c r="E1374" s="3" t="s">
        <v>3202</v>
      </c>
      <c r="F1374" s="3" t="s">
        <v>3293</v>
      </c>
      <c r="G1374" s="10" t="s">
        <v>2620</v>
      </c>
      <c r="H1374" s="9" t="s">
        <v>13</v>
      </c>
      <c r="I1374" s="9" t="s">
        <v>3311</v>
      </c>
    </row>
    <row r="1375" customFormat="false" ht="15.75" hidden="false" customHeight="false" outlineLevel="0" collapsed="false">
      <c r="B1375" s="7" t="n">
        <v>46214</v>
      </c>
      <c r="C1375" s="3" t="s">
        <v>3312</v>
      </c>
      <c r="D1375" s="3" t="s">
        <v>3044</v>
      </c>
      <c r="E1375" s="3" t="s">
        <v>3202</v>
      </c>
      <c r="F1375" s="3" t="s">
        <v>3293</v>
      </c>
      <c r="G1375" s="10" t="s">
        <v>2620</v>
      </c>
      <c r="H1375" s="9" t="s">
        <v>13</v>
      </c>
      <c r="I1375" s="9" t="s">
        <v>3311</v>
      </c>
    </row>
    <row r="1376" customFormat="false" ht="15.75" hidden="false" customHeight="false" outlineLevel="0" collapsed="false">
      <c r="B1376" s="7" t="n">
        <v>46214</v>
      </c>
      <c r="C1376" s="3" t="s">
        <v>3313</v>
      </c>
      <c r="D1376" s="3" t="s">
        <v>3044</v>
      </c>
      <c r="E1376" s="3" t="s">
        <v>3202</v>
      </c>
      <c r="F1376" s="3" t="s">
        <v>3293</v>
      </c>
      <c r="G1376" s="8" t="s">
        <v>3314</v>
      </c>
      <c r="H1376" s="9" t="s">
        <v>13</v>
      </c>
      <c r="I1376" s="9" t="s">
        <v>3315</v>
      </c>
    </row>
    <row r="1377" customFormat="false" ht="15.75" hidden="false" customHeight="false" outlineLevel="0" collapsed="false">
      <c r="B1377" s="7" t="n">
        <v>46214</v>
      </c>
      <c r="C1377" s="3" t="s">
        <v>3316</v>
      </c>
      <c r="D1377" s="3" t="s">
        <v>3044</v>
      </c>
      <c r="E1377" s="3" t="s">
        <v>3202</v>
      </c>
      <c r="F1377" s="3" t="s">
        <v>3293</v>
      </c>
      <c r="G1377" s="8" t="s">
        <v>3317</v>
      </c>
      <c r="H1377" s="9" t="s">
        <v>13</v>
      </c>
      <c r="I1377" s="9" t="s">
        <v>3318</v>
      </c>
    </row>
    <row r="1378" customFormat="false" ht="15.75" hidden="false" customHeight="false" outlineLevel="0" collapsed="false">
      <c r="B1378" s="7" t="n">
        <v>46214</v>
      </c>
      <c r="C1378" s="3" t="s">
        <v>3319</v>
      </c>
      <c r="D1378" s="3" t="s">
        <v>3044</v>
      </c>
      <c r="E1378" s="3" t="s">
        <v>3202</v>
      </c>
      <c r="F1378" s="3" t="s">
        <v>3293</v>
      </c>
      <c r="G1378" s="10" t="s">
        <v>3300</v>
      </c>
      <c r="H1378" s="9" t="s">
        <v>13</v>
      </c>
      <c r="I1378" s="9" t="s">
        <v>3320</v>
      </c>
    </row>
    <row r="1379" customFormat="false" ht="15.75" hidden="false" customHeight="false" outlineLevel="0" collapsed="false">
      <c r="B1379" s="7" t="n">
        <v>46214</v>
      </c>
      <c r="C1379" s="3" t="s">
        <v>3321</v>
      </c>
      <c r="D1379" s="3" t="s">
        <v>3044</v>
      </c>
      <c r="E1379" s="3" t="s">
        <v>3202</v>
      </c>
      <c r="F1379" s="3" t="s">
        <v>3293</v>
      </c>
      <c r="G1379" s="10" t="s">
        <v>3322</v>
      </c>
      <c r="H1379" s="9" t="s">
        <v>13</v>
      </c>
      <c r="I1379" s="9" t="s">
        <v>3323</v>
      </c>
    </row>
    <row r="1380" customFormat="false" ht="15.75" hidden="false" customHeight="false" outlineLevel="0" collapsed="false">
      <c r="B1380" s="7" t="n">
        <v>46214</v>
      </c>
      <c r="C1380" s="3" t="s">
        <v>3324</v>
      </c>
      <c r="D1380" s="3" t="s">
        <v>3044</v>
      </c>
      <c r="E1380" s="3" t="s">
        <v>3202</v>
      </c>
      <c r="F1380" s="3" t="s">
        <v>3293</v>
      </c>
      <c r="G1380" s="10" t="s">
        <v>3325</v>
      </c>
      <c r="H1380" s="9" t="s">
        <v>13</v>
      </c>
      <c r="I1380" s="9" t="s">
        <v>3326</v>
      </c>
    </row>
    <row r="1381" customFormat="false" ht="15.75" hidden="false" customHeight="false" outlineLevel="0" collapsed="false">
      <c r="B1381" s="7" t="n">
        <v>46214</v>
      </c>
      <c r="C1381" s="3" t="s">
        <v>3327</v>
      </c>
      <c r="D1381" s="3" t="s">
        <v>3044</v>
      </c>
      <c r="E1381" s="3" t="s">
        <v>3202</v>
      </c>
      <c r="F1381" s="3" t="s">
        <v>3293</v>
      </c>
      <c r="G1381" s="10" t="s">
        <v>3300</v>
      </c>
      <c r="H1381" s="9" t="s">
        <v>13</v>
      </c>
      <c r="I1381" s="9" t="s">
        <v>3328</v>
      </c>
    </row>
    <row r="1382" customFormat="false" ht="15.75" hidden="false" customHeight="false" outlineLevel="0" collapsed="false">
      <c r="B1382" s="7" t="n">
        <v>46214</v>
      </c>
      <c r="C1382" s="3" t="s">
        <v>3329</v>
      </c>
      <c r="D1382" s="3" t="s">
        <v>3044</v>
      </c>
      <c r="E1382" s="3" t="s">
        <v>3202</v>
      </c>
      <c r="F1382" s="3" t="s">
        <v>3293</v>
      </c>
      <c r="G1382" s="10" t="s">
        <v>3330</v>
      </c>
      <c r="H1382" s="9" t="s">
        <v>13</v>
      </c>
      <c r="I1382" s="9" t="s">
        <v>3331</v>
      </c>
    </row>
    <row r="1383" customFormat="false" ht="15.75" hidden="false" customHeight="false" outlineLevel="0" collapsed="false">
      <c r="B1383" s="7" t="n">
        <v>46214</v>
      </c>
      <c r="C1383" s="3" t="s">
        <v>3332</v>
      </c>
      <c r="D1383" s="3" t="s">
        <v>3044</v>
      </c>
      <c r="E1383" s="3" t="s">
        <v>3202</v>
      </c>
      <c r="F1383" s="3" t="s">
        <v>3293</v>
      </c>
      <c r="G1383" s="10" t="s">
        <v>2655</v>
      </c>
      <c r="H1383" s="9" t="s">
        <v>13</v>
      </c>
      <c r="I1383" s="9" t="s">
        <v>3333</v>
      </c>
    </row>
    <row r="1384" customFormat="false" ht="15.75" hidden="false" customHeight="false" outlineLevel="0" collapsed="false">
      <c r="B1384" s="7" t="n">
        <v>46214</v>
      </c>
      <c r="C1384" s="3" t="s">
        <v>3334</v>
      </c>
      <c r="D1384" s="3" t="s">
        <v>3044</v>
      </c>
      <c r="E1384" s="3" t="s">
        <v>3202</v>
      </c>
      <c r="F1384" s="3" t="s">
        <v>3293</v>
      </c>
      <c r="G1384" s="10" t="s">
        <v>2655</v>
      </c>
      <c r="H1384" s="9" t="s">
        <v>13</v>
      </c>
      <c r="I1384" s="9" t="s">
        <v>3333</v>
      </c>
    </row>
    <row r="1385" customFormat="false" ht="15.75" hidden="false" customHeight="false" outlineLevel="0" collapsed="false">
      <c r="B1385" s="7" t="n">
        <v>46214</v>
      </c>
      <c r="C1385" s="3" t="s">
        <v>3335</v>
      </c>
      <c r="D1385" s="3" t="s">
        <v>3044</v>
      </c>
      <c r="E1385" s="3" t="s">
        <v>3202</v>
      </c>
      <c r="F1385" s="3" t="s">
        <v>3293</v>
      </c>
      <c r="G1385" s="8" t="s">
        <v>3336</v>
      </c>
      <c r="H1385" s="9" t="s">
        <v>13</v>
      </c>
      <c r="I1385" s="9" t="s">
        <v>3337</v>
      </c>
    </row>
    <row r="1386" customFormat="false" ht="15.75" hidden="false" customHeight="false" outlineLevel="0" collapsed="false">
      <c r="B1386" s="7" t="n">
        <v>46214</v>
      </c>
      <c r="C1386" s="3" t="s">
        <v>3338</v>
      </c>
      <c r="D1386" s="3" t="s">
        <v>3044</v>
      </c>
      <c r="E1386" s="3" t="s">
        <v>3202</v>
      </c>
      <c r="F1386" s="3" t="s">
        <v>3293</v>
      </c>
      <c r="G1386" s="10" t="s">
        <v>3339</v>
      </c>
      <c r="H1386" s="9" t="s">
        <v>13</v>
      </c>
      <c r="I1386" s="9" t="s">
        <v>3340</v>
      </c>
    </row>
    <row r="1387" customFormat="false" ht="15.75" hidden="false" customHeight="false" outlineLevel="0" collapsed="false">
      <c r="B1387" s="7" t="n">
        <v>46214</v>
      </c>
      <c r="C1387" s="3" t="s">
        <v>3341</v>
      </c>
      <c r="D1387" s="3" t="s">
        <v>3044</v>
      </c>
      <c r="E1387" s="3" t="s">
        <v>3202</v>
      </c>
      <c r="F1387" s="3" t="s">
        <v>3293</v>
      </c>
      <c r="G1387" s="8" t="s">
        <v>3342</v>
      </c>
      <c r="H1387" s="9" t="s">
        <v>13</v>
      </c>
      <c r="I1387" s="9" t="s">
        <v>3343</v>
      </c>
    </row>
    <row r="1388" customFormat="false" ht="15.75" hidden="false" customHeight="false" outlineLevel="0" collapsed="false">
      <c r="B1388" s="7" t="n">
        <v>46214</v>
      </c>
      <c r="C1388" s="3" t="s">
        <v>3344</v>
      </c>
      <c r="D1388" s="3" t="s">
        <v>3044</v>
      </c>
      <c r="E1388" s="3" t="s">
        <v>3202</v>
      </c>
      <c r="F1388" s="3" t="s">
        <v>3293</v>
      </c>
      <c r="G1388" s="8" t="s">
        <v>3345</v>
      </c>
      <c r="H1388" s="9" t="s">
        <v>13</v>
      </c>
      <c r="I1388" s="9" t="s">
        <v>3346</v>
      </c>
    </row>
    <row r="1389" customFormat="false" ht="15.75" hidden="false" customHeight="false" outlineLevel="0" collapsed="false">
      <c r="B1389" s="7" t="n">
        <v>46214</v>
      </c>
      <c r="C1389" s="3" t="s">
        <v>3347</v>
      </c>
      <c r="D1389" s="3" t="s">
        <v>3044</v>
      </c>
      <c r="E1389" s="3" t="s">
        <v>3202</v>
      </c>
      <c r="F1389" s="3" t="s">
        <v>3293</v>
      </c>
      <c r="G1389" s="10" t="s">
        <v>2745</v>
      </c>
      <c r="H1389" s="9" t="s">
        <v>13</v>
      </c>
      <c r="I1389" s="9" t="s">
        <v>3348</v>
      </c>
    </row>
    <row r="1390" customFormat="false" ht="15.75" hidden="false" customHeight="false" outlineLevel="0" collapsed="false">
      <c r="B1390" s="7" t="n">
        <v>46214</v>
      </c>
      <c r="C1390" s="3" t="s">
        <v>3349</v>
      </c>
      <c r="D1390" s="3" t="s">
        <v>3044</v>
      </c>
      <c r="E1390" s="3" t="s">
        <v>3202</v>
      </c>
      <c r="F1390" s="3" t="s">
        <v>3293</v>
      </c>
      <c r="G1390" s="10" t="s">
        <v>3350</v>
      </c>
      <c r="H1390" s="9" t="s">
        <v>13</v>
      </c>
      <c r="I1390" s="9" t="s">
        <v>3351</v>
      </c>
    </row>
    <row r="1391" customFormat="false" ht="15.75" hidden="false" customHeight="false" outlineLevel="0" collapsed="false">
      <c r="B1391" s="7" t="n">
        <v>46214</v>
      </c>
      <c r="C1391" s="3" t="s">
        <v>3352</v>
      </c>
      <c r="D1391" s="3" t="s">
        <v>3044</v>
      </c>
      <c r="E1391" s="3" t="s">
        <v>3202</v>
      </c>
      <c r="F1391" s="3" t="s">
        <v>3293</v>
      </c>
      <c r="G1391" s="10" t="s">
        <v>3353</v>
      </c>
      <c r="H1391" s="9" t="s">
        <v>13</v>
      </c>
      <c r="I1391" s="9" t="s">
        <v>3354</v>
      </c>
    </row>
    <row r="1392" customFormat="false" ht="15.75" hidden="false" customHeight="false" outlineLevel="0" collapsed="false">
      <c r="B1392" s="7" t="n">
        <v>46214</v>
      </c>
      <c r="C1392" s="3" t="s">
        <v>3355</v>
      </c>
      <c r="D1392" s="3" t="s">
        <v>3044</v>
      </c>
      <c r="E1392" s="3" t="s">
        <v>3202</v>
      </c>
      <c r="F1392" s="3" t="s">
        <v>3293</v>
      </c>
      <c r="G1392" s="10" t="s">
        <v>3353</v>
      </c>
      <c r="H1392" s="9" t="s">
        <v>13</v>
      </c>
      <c r="I1392" s="9" t="s">
        <v>3354</v>
      </c>
    </row>
    <row r="1393" customFormat="false" ht="15.75" hidden="false" customHeight="false" outlineLevel="0" collapsed="false">
      <c r="B1393" s="7" t="n">
        <v>46214</v>
      </c>
      <c r="C1393" s="3" t="s">
        <v>3356</v>
      </c>
      <c r="D1393" s="3" t="s">
        <v>3044</v>
      </c>
      <c r="E1393" s="3" t="s">
        <v>3202</v>
      </c>
      <c r="F1393" s="3" t="s">
        <v>3293</v>
      </c>
      <c r="G1393" s="10" t="s">
        <v>2752</v>
      </c>
      <c r="H1393" s="9" t="s">
        <v>13</v>
      </c>
      <c r="I1393" s="9" t="s">
        <v>3357</v>
      </c>
    </row>
    <row r="1394" customFormat="false" ht="15.75" hidden="false" customHeight="false" outlineLevel="0" collapsed="false">
      <c r="B1394" s="7" t="n">
        <v>46214</v>
      </c>
      <c r="C1394" s="3" t="s">
        <v>3358</v>
      </c>
      <c r="D1394" s="3" t="s">
        <v>3044</v>
      </c>
      <c r="E1394" s="3" t="s">
        <v>3202</v>
      </c>
      <c r="F1394" s="3" t="s">
        <v>3293</v>
      </c>
      <c r="G1394" s="10" t="s">
        <v>2752</v>
      </c>
      <c r="H1394" s="9" t="s">
        <v>13</v>
      </c>
      <c r="I1394" s="9" t="s">
        <v>3357</v>
      </c>
    </row>
    <row r="1395" customFormat="false" ht="15.75" hidden="false" customHeight="false" outlineLevel="0" collapsed="false">
      <c r="B1395" s="7" t="n">
        <v>46214</v>
      </c>
      <c r="C1395" s="3" t="s">
        <v>3359</v>
      </c>
      <c r="D1395" s="3" t="s">
        <v>3044</v>
      </c>
      <c r="E1395" s="3" t="s">
        <v>3202</v>
      </c>
      <c r="F1395" s="3" t="s">
        <v>3293</v>
      </c>
      <c r="G1395" s="10" t="s">
        <v>2752</v>
      </c>
      <c r="H1395" s="9" t="s">
        <v>13</v>
      </c>
      <c r="I1395" s="9" t="s">
        <v>3357</v>
      </c>
    </row>
    <row r="1396" customFormat="false" ht="15.75" hidden="false" customHeight="false" outlineLevel="0" collapsed="false">
      <c r="B1396" s="7" t="n">
        <v>46214</v>
      </c>
      <c r="C1396" s="3" t="s">
        <v>3360</v>
      </c>
      <c r="D1396" s="3" t="s">
        <v>3044</v>
      </c>
      <c r="E1396" s="3" t="s">
        <v>3202</v>
      </c>
      <c r="F1396" s="3" t="s">
        <v>3293</v>
      </c>
      <c r="G1396" s="10" t="s">
        <v>2756</v>
      </c>
      <c r="H1396" s="9" t="s">
        <v>13</v>
      </c>
      <c r="I1396" s="9" t="s">
        <v>3361</v>
      </c>
    </row>
    <row r="1397" customFormat="false" ht="15.75" hidden="false" customHeight="false" outlineLevel="0" collapsed="false">
      <c r="B1397" s="7" t="n">
        <v>46214</v>
      </c>
      <c r="C1397" s="3" t="s">
        <v>3362</v>
      </c>
      <c r="D1397" s="3" t="s">
        <v>3044</v>
      </c>
      <c r="E1397" s="3" t="s">
        <v>3202</v>
      </c>
      <c r="F1397" s="3" t="s">
        <v>3293</v>
      </c>
      <c r="G1397" s="10" t="s">
        <v>3254</v>
      </c>
      <c r="H1397" s="9" t="s">
        <v>13</v>
      </c>
      <c r="I1397" s="9" t="s">
        <v>3363</v>
      </c>
    </row>
    <row r="1398" customFormat="false" ht="15.75" hidden="false" customHeight="false" outlineLevel="0" collapsed="false">
      <c r="B1398" s="7" t="n">
        <v>46214</v>
      </c>
      <c r="C1398" s="3" t="s">
        <v>3364</v>
      </c>
      <c r="D1398" s="3" t="s">
        <v>3044</v>
      </c>
      <c r="E1398" s="3" t="s">
        <v>3202</v>
      </c>
      <c r="F1398" s="3" t="s">
        <v>3293</v>
      </c>
      <c r="G1398" s="10" t="s">
        <v>3365</v>
      </c>
      <c r="H1398" s="9" t="s">
        <v>13</v>
      </c>
      <c r="I1398" s="9" t="s">
        <v>3366</v>
      </c>
    </row>
    <row r="1399" customFormat="false" ht="15.75" hidden="false" customHeight="false" outlineLevel="0" collapsed="false">
      <c r="B1399" s="7" t="n">
        <v>46214</v>
      </c>
      <c r="C1399" s="3" t="s">
        <v>3367</v>
      </c>
      <c r="D1399" s="3" t="s">
        <v>3044</v>
      </c>
      <c r="E1399" s="3" t="s">
        <v>3202</v>
      </c>
      <c r="F1399" s="3" t="s">
        <v>3293</v>
      </c>
      <c r="G1399" s="10" t="s">
        <v>3368</v>
      </c>
      <c r="H1399" s="9" t="s">
        <v>13</v>
      </c>
      <c r="I1399" s="9" t="s">
        <v>3369</v>
      </c>
    </row>
    <row r="1400" customFormat="false" ht="15.75" hidden="false" customHeight="false" outlineLevel="0" collapsed="false">
      <c r="B1400" s="7" t="n">
        <v>46214</v>
      </c>
      <c r="C1400" s="3" t="s">
        <v>3370</v>
      </c>
      <c r="D1400" s="3" t="s">
        <v>3044</v>
      </c>
      <c r="E1400" s="3" t="s">
        <v>3202</v>
      </c>
      <c r="F1400" s="3" t="s">
        <v>3293</v>
      </c>
      <c r="G1400" s="10" t="s">
        <v>3339</v>
      </c>
      <c r="H1400" s="9" t="s">
        <v>13</v>
      </c>
      <c r="I1400" s="9" t="s">
        <v>3371</v>
      </c>
    </row>
    <row r="1401" customFormat="false" ht="15.75" hidden="false" customHeight="false" outlineLevel="0" collapsed="false">
      <c r="B1401" s="7" t="n">
        <v>46214</v>
      </c>
      <c r="C1401" s="3" t="s">
        <v>3372</v>
      </c>
      <c r="D1401" s="3" t="s">
        <v>3044</v>
      </c>
      <c r="E1401" s="3" t="s">
        <v>3202</v>
      </c>
      <c r="F1401" s="3" t="s">
        <v>3293</v>
      </c>
      <c r="G1401" s="10" t="s">
        <v>3339</v>
      </c>
      <c r="H1401" s="9" t="s">
        <v>13</v>
      </c>
      <c r="I1401" s="9" t="s">
        <v>3371</v>
      </c>
    </row>
    <row r="1402" customFormat="false" ht="15.75" hidden="false" customHeight="false" outlineLevel="0" collapsed="false">
      <c r="B1402" s="7" t="n">
        <v>46214</v>
      </c>
      <c r="C1402" s="3" t="s">
        <v>3373</v>
      </c>
      <c r="D1402" s="3" t="s">
        <v>3044</v>
      </c>
      <c r="E1402" s="3" t="s">
        <v>3202</v>
      </c>
      <c r="F1402" s="3" t="s">
        <v>3293</v>
      </c>
      <c r="G1402" s="10" t="s">
        <v>3374</v>
      </c>
      <c r="H1402" s="9" t="s">
        <v>13</v>
      </c>
      <c r="I1402" s="9" t="s">
        <v>3375</v>
      </c>
    </row>
    <row r="1403" customFormat="false" ht="15.75" hidden="false" customHeight="false" outlineLevel="0" collapsed="false">
      <c r="B1403" s="7" t="n">
        <v>46214</v>
      </c>
      <c r="C1403" s="3" t="s">
        <v>3376</v>
      </c>
      <c r="D1403" s="3" t="s">
        <v>3044</v>
      </c>
      <c r="E1403" s="3" t="s">
        <v>3202</v>
      </c>
      <c r="F1403" s="3" t="s">
        <v>3377</v>
      </c>
      <c r="G1403" s="8" t="s">
        <v>3378</v>
      </c>
      <c r="H1403" s="9" t="s">
        <v>13</v>
      </c>
      <c r="I1403" s="9" t="s">
        <v>3379</v>
      </c>
    </row>
    <row r="1404" customFormat="false" ht="15.75" hidden="false" customHeight="false" outlineLevel="0" collapsed="false">
      <c r="B1404" s="7" t="n">
        <v>46214</v>
      </c>
      <c r="C1404" s="3" t="s">
        <v>3380</v>
      </c>
      <c r="D1404" s="3" t="s">
        <v>3044</v>
      </c>
      <c r="E1404" s="3" t="s">
        <v>3202</v>
      </c>
      <c r="F1404" s="3" t="s">
        <v>3377</v>
      </c>
      <c r="G1404" s="10" t="s">
        <v>3381</v>
      </c>
      <c r="H1404" s="9" t="s">
        <v>13</v>
      </c>
      <c r="I1404" s="9" t="s">
        <v>3382</v>
      </c>
    </row>
    <row r="1405" customFormat="false" ht="15.75" hidden="false" customHeight="false" outlineLevel="0" collapsed="false">
      <c r="B1405" s="7" t="n">
        <v>46214</v>
      </c>
      <c r="C1405" s="3" t="s">
        <v>3383</v>
      </c>
      <c r="D1405" s="3" t="s">
        <v>3044</v>
      </c>
      <c r="E1405" s="3" t="s">
        <v>3202</v>
      </c>
      <c r="F1405" s="3" t="s">
        <v>3377</v>
      </c>
      <c r="G1405" s="10" t="s">
        <v>3384</v>
      </c>
      <c r="H1405" s="9" t="s">
        <v>13</v>
      </c>
      <c r="I1405" s="9" t="s">
        <v>3385</v>
      </c>
    </row>
    <row r="1406" customFormat="false" ht="15.75" hidden="false" customHeight="false" outlineLevel="0" collapsed="false">
      <c r="B1406" s="7" t="n">
        <v>46214</v>
      </c>
      <c r="C1406" s="3" t="s">
        <v>3386</v>
      </c>
      <c r="D1406" s="3" t="s">
        <v>3044</v>
      </c>
      <c r="E1406" s="3" t="s">
        <v>3202</v>
      </c>
      <c r="F1406" s="3" t="s">
        <v>3377</v>
      </c>
      <c r="G1406" s="10" t="s">
        <v>3384</v>
      </c>
      <c r="H1406" s="9" t="s">
        <v>13</v>
      </c>
      <c r="I1406" s="9" t="s">
        <v>3385</v>
      </c>
    </row>
    <row r="1407" customFormat="false" ht="15.75" hidden="false" customHeight="false" outlineLevel="0" collapsed="false">
      <c r="B1407" s="7" t="n">
        <v>46214</v>
      </c>
      <c r="C1407" s="3" t="s">
        <v>3387</v>
      </c>
      <c r="D1407" s="3" t="s">
        <v>3044</v>
      </c>
      <c r="E1407" s="3" t="s">
        <v>3202</v>
      </c>
      <c r="F1407" s="3" t="s">
        <v>3377</v>
      </c>
      <c r="G1407" s="8" t="s">
        <v>3259</v>
      </c>
      <c r="H1407" s="9" t="s">
        <v>13</v>
      </c>
      <c r="I1407" s="9" t="s">
        <v>3388</v>
      </c>
    </row>
    <row r="1408" customFormat="false" ht="15.75" hidden="false" customHeight="false" outlineLevel="0" collapsed="false">
      <c r="B1408" s="7" t="n">
        <v>46214</v>
      </c>
      <c r="C1408" s="3" t="s">
        <v>3389</v>
      </c>
      <c r="D1408" s="3" t="s">
        <v>3044</v>
      </c>
      <c r="E1408" s="3" t="s">
        <v>3202</v>
      </c>
      <c r="F1408" s="3" t="s">
        <v>3377</v>
      </c>
      <c r="G1408" s="10" t="s">
        <v>3381</v>
      </c>
      <c r="H1408" s="9" t="s">
        <v>13</v>
      </c>
      <c r="I1408" s="9" t="s">
        <v>3390</v>
      </c>
    </row>
    <row r="1409" customFormat="false" ht="15.75" hidden="false" customHeight="false" outlineLevel="0" collapsed="false">
      <c r="B1409" s="7" t="n">
        <v>46214</v>
      </c>
      <c r="C1409" s="3" t="s">
        <v>3391</v>
      </c>
      <c r="D1409" s="3" t="s">
        <v>3044</v>
      </c>
      <c r="E1409" s="3" t="s">
        <v>3202</v>
      </c>
      <c r="F1409" s="3" t="s">
        <v>3377</v>
      </c>
      <c r="G1409" s="10" t="s">
        <v>3381</v>
      </c>
      <c r="H1409" s="9" t="s">
        <v>13</v>
      </c>
      <c r="I1409" s="9" t="s">
        <v>3390</v>
      </c>
    </row>
    <row r="1410" customFormat="false" ht="15.75" hidden="false" customHeight="false" outlineLevel="0" collapsed="false">
      <c r="B1410" s="7" t="n">
        <v>46214</v>
      </c>
      <c r="C1410" s="3" t="s">
        <v>3392</v>
      </c>
      <c r="D1410" s="3" t="s">
        <v>3044</v>
      </c>
      <c r="E1410" s="3" t="s">
        <v>3202</v>
      </c>
      <c r="F1410" s="3" t="s">
        <v>3377</v>
      </c>
      <c r="G1410" s="10" t="s">
        <v>3381</v>
      </c>
      <c r="H1410" s="9" t="s">
        <v>13</v>
      </c>
      <c r="I1410" s="9" t="s">
        <v>3390</v>
      </c>
    </row>
    <row r="1411" customFormat="false" ht="15.75" hidden="false" customHeight="false" outlineLevel="0" collapsed="false">
      <c r="B1411" s="7" t="n">
        <v>46214</v>
      </c>
      <c r="C1411" s="3" t="s">
        <v>3393</v>
      </c>
      <c r="D1411" s="3" t="s">
        <v>3044</v>
      </c>
      <c r="E1411" s="3" t="s">
        <v>3202</v>
      </c>
      <c r="F1411" s="3" t="s">
        <v>3377</v>
      </c>
      <c r="G1411" s="10" t="s">
        <v>3381</v>
      </c>
      <c r="H1411" s="9" t="s">
        <v>13</v>
      </c>
      <c r="I1411" s="9" t="s">
        <v>3390</v>
      </c>
    </row>
    <row r="1412" customFormat="false" ht="15.75" hidden="false" customHeight="false" outlineLevel="0" collapsed="false">
      <c r="B1412" s="7" t="n">
        <v>46214</v>
      </c>
      <c r="C1412" s="3" t="s">
        <v>3394</v>
      </c>
      <c r="D1412" s="3" t="s">
        <v>3044</v>
      </c>
      <c r="E1412" s="3" t="s">
        <v>3202</v>
      </c>
      <c r="F1412" s="3" t="s">
        <v>3377</v>
      </c>
      <c r="G1412" s="10" t="s">
        <v>3245</v>
      </c>
      <c r="H1412" s="9" t="s">
        <v>13</v>
      </c>
      <c r="I1412" s="9" t="s">
        <v>3395</v>
      </c>
    </row>
    <row r="1413" customFormat="false" ht="15.75" hidden="false" customHeight="false" outlineLevel="0" collapsed="false">
      <c r="B1413" s="7" t="n">
        <v>46214</v>
      </c>
      <c r="C1413" s="3" t="s">
        <v>3396</v>
      </c>
      <c r="D1413" s="3" t="s">
        <v>3044</v>
      </c>
      <c r="E1413" s="3" t="s">
        <v>3202</v>
      </c>
      <c r="F1413" s="3" t="s">
        <v>3377</v>
      </c>
      <c r="G1413" s="10" t="s">
        <v>3245</v>
      </c>
      <c r="H1413" s="9" t="s">
        <v>13</v>
      </c>
      <c r="I1413" s="9" t="s">
        <v>3397</v>
      </c>
    </row>
    <row r="1414" customFormat="false" ht="15.75" hidden="false" customHeight="false" outlineLevel="0" collapsed="false">
      <c r="B1414" s="7" t="n">
        <v>46214</v>
      </c>
      <c r="C1414" s="3" t="s">
        <v>3398</v>
      </c>
      <c r="D1414" s="3" t="s">
        <v>3044</v>
      </c>
      <c r="E1414" s="3" t="s">
        <v>3202</v>
      </c>
      <c r="F1414" s="3" t="s">
        <v>3377</v>
      </c>
      <c r="G1414" s="10" t="s">
        <v>3399</v>
      </c>
      <c r="H1414" s="9" t="s">
        <v>13</v>
      </c>
      <c r="I1414" s="9" t="s">
        <v>3400</v>
      </c>
    </row>
    <row r="1415" customFormat="false" ht="15.75" hidden="false" customHeight="false" outlineLevel="0" collapsed="false">
      <c r="B1415" s="7" t="n">
        <v>46214</v>
      </c>
      <c r="C1415" s="3" t="s">
        <v>3401</v>
      </c>
      <c r="D1415" s="3" t="s">
        <v>3044</v>
      </c>
      <c r="E1415" s="3" t="s">
        <v>3202</v>
      </c>
      <c r="F1415" s="3" t="s">
        <v>3377</v>
      </c>
      <c r="G1415" s="10" t="s">
        <v>3399</v>
      </c>
      <c r="H1415" s="9" t="s">
        <v>13</v>
      </c>
      <c r="I1415" s="9" t="s">
        <v>3400</v>
      </c>
    </row>
    <row r="1416" customFormat="false" ht="15.75" hidden="false" customHeight="false" outlineLevel="0" collapsed="false">
      <c r="B1416" s="7" t="n">
        <v>46214</v>
      </c>
      <c r="C1416" s="3" t="s">
        <v>3402</v>
      </c>
      <c r="D1416" s="3" t="s">
        <v>3044</v>
      </c>
      <c r="E1416" s="3" t="s">
        <v>3202</v>
      </c>
      <c r="F1416" s="3" t="s">
        <v>3377</v>
      </c>
      <c r="G1416" s="10" t="s">
        <v>3403</v>
      </c>
      <c r="H1416" s="9" t="s">
        <v>13</v>
      </c>
      <c r="I1416" s="9" t="s">
        <v>3404</v>
      </c>
    </row>
    <row r="1417" customFormat="false" ht="15.75" hidden="false" customHeight="false" outlineLevel="0" collapsed="false">
      <c r="B1417" s="7" t="n">
        <v>46214</v>
      </c>
      <c r="C1417" s="3" t="s">
        <v>3405</v>
      </c>
      <c r="D1417" s="3" t="s">
        <v>3044</v>
      </c>
      <c r="E1417" s="3" t="s">
        <v>3202</v>
      </c>
      <c r="F1417" s="3" t="s">
        <v>3377</v>
      </c>
      <c r="G1417" s="10" t="s">
        <v>3242</v>
      </c>
      <c r="H1417" s="9" t="s">
        <v>13</v>
      </c>
      <c r="I1417" s="9" t="s">
        <v>3406</v>
      </c>
    </row>
    <row r="1418" customFormat="false" ht="15.75" hidden="false" customHeight="false" outlineLevel="0" collapsed="false">
      <c r="B1418" s="7" t="n">
        <v>46214</v>
      </c>
      <c r="C1418" s="3" t="s">
        <v>3407</v>
      </c>
      <c r="D1418" s="3" t="s">
        <v>3044</v>
      </c>
      <c r="E1418" s="3" t="s">
        <v>3202</v>
      </c>
      <c r="F1418" s="3" t="s">
        <v>3377</v>
      </c>
      <c r="G1418" s="8" t="s">
        <v>3408</v>
      </c>
      <c r="H1418" s="9" t="s">
        <v>13</v>
      </c>
      <c r="I1418" s="9" t="s">
        <v>3409</v>
      </c>
    </row>
    <row r="1419" customFormat="false" ht="15.75" hidden="false" customHeight="false" outlineLevel="0" collapsed="false">
      <c r="B1419" s="7" t="n">
        <v>46214</v>
      </c>
      <c r="C1419" s="3" t="s">
        <v>3410</v>
      </c>
      <c r="D1419" s="3" t="s">
        <v>3044</v>
      </c>
      <c r="E1419" s="3" t="s">
        <v>3202</v>
      </c>
      <c r="F1419" s="3" t="s">
        <v>3377</v>
      </c>
      <c r="G1419" s="10" t="s">
        <v>3381</v>
      </c>
      <c r="H1419" s="9" t="s">
        <v>13</v>
      </c>
      <c r="I1419" s="9" t="s">
        <v>3411</v>
      </c>
    </row>
    <row r="1420" customFormat="false" ht="15.75" hidden="false" customHeight="false" outlineLevel="0" collapsed="false">
      <c r="B1420" s="7" t="n">
        <v>46214</v>
      </c>
      <c r="C1420" s="3" t="s">
        <v>3412</v>
      </c>
      <c r="D1420" s="3" t="s">
        <v>3044</v>
      </c>
      <c r="E1420" s="3" t="s">
        <v>3202</v>
      </c>
      <c r="F1420" s="3" t="s">
        <v>3377</v>
      </c>
      <c r="G1420" s="10" t="s">
        <v>3413</v>
      </c>
      <c r="H1420" s="9" t="s">
        <v>13</v>
      </c>
      <c r="I1420" s="9" t="s">
        <v>3414</v>
      </c>
    </row>
    <row r="1421" customFormat="false" ht="15.75" hidden="false" customHeight="false" outlineLevel="0" collapsed="false">
      <c r="B1421" s="7" t="n">
        <v>46214</v>
      </c>
      <c r="C1421" s="3" t="s">
        <v>3415</v>
      </c>
      <c r="D1421" s="3" t="s">
        <v>3044</v>
      </c>
      <c r="E1421" s="3" t="s">
        <v>3202</v>
      </c>
      <c r="F1421" s="3" t="s">
        <v>3377</v>
      </c>
      <c r="G1421" s="10" t="s">
        <v>3413</v>
      </c>
      <c r="H1421" s="9" t="s">
        <v>13</v>
      </c>
      <c r="I1421" s="9" t="s">
        <v>3414</v>
      </c>
    </row>
    <row r="1422" customFormat="false" ht="15.75" hidden="false" customHeight="false" outlineLevel="0" collapsed="false">
      <c r="B1422" s="7" t="n">
        <v>46214</v>
      </c>
      <c r="C1422" s="3" t="s">
        <v>3416</v>
      </c>
      <c r="D1422" s="3" t="s">
        <v>3044</v>
      </c>
      <c r="E1422" s="3" t="s">
        <v>3202</v>
      </c>
      <c r="F1422" s="3" t="s">
        <v>3377</v>
      </c>
      <c r="G1422" s="10" t="s">
        <v>3417</v>
      </c>
      <c r="H1422" s="9" t="s">
        <v>13</v>
      </c>
      <c r="I1422" s="9" t="s">
        <v>3418</v>
      </c>
    </row>
    <row r="1423" customFormat="false" ht="15.75" hidden="false" customHeight="false" outlineLevel="0" collapsed="false">
      <c r="B1423" s="7" t="n">
        <v>46214</v>
      </c>
      <c r="C1423" s="3" t="s">
        <v>3419</v>
      </c>
      <c r="D1423" s="3" t="s">
        <v>3044</v>
      </c>
      <c r="E1423" s="3" t="s">
        <v>3202</v>
      </c>
      <c r="F1423" s="3" t="s">
        <v>3377</v>
      </c>
      <c r="G1423" s="10" t="s">
        <v>3417</v>
      </c>
      <c r="H1423" s="9" t="s">
        <v>13</v>
      </c>
      <c r="I1423" s="9" t="s">
        <v>3418</v>
      </c>
    </row>
    <row r="1424" customFormat="false" ht="15.75" hidden="false" customHeight="false" outlineLevel="0" collapsed="false">
      <c r="B1424" s="7" t="n">
        <v>46214</v>
      </c>
      <c r="C1424" s="3" t="s">
        <v>3420</v>
      </c>
      <c r="D1424" s="3" t="s">
        <v>3044</v>
      </c>
      <c r="E1424" s="3" t="s">
        <v>3202</v>
      </c>
      <c r="F1424" s="3" t="s">
        <v>3377</v>
      </c>
      <c r="G1424" s="10" t="s">
        <v>3413</v>
      </c>
      <c r="H1424" s="9" t="s">
        <v>13</v>
      </c>
      <c r="I1424" s="9" t="s">
        <v>3421</v>
      </c>
    </row>
    <row r="1425" customFormat="false" ht="15.75" hidden="false" customHeight="false" outlineLevel="0" collapsed="false">
      <c r="B1425" s="7" t="n">
        <v>46214</v>
      </c>
      <c r="C1425" s="3" t="s">
        <v>3422</v>
      </c>
      <c r="D1425" s="3" t="s">
        <v>3044</v>
      </c>
      <c r="E1425" s="3" t="s">
        <v>3202</v>
      </c>
      <c r="F1425" s="3" t="s">
        <v>3377</v>
      </c>
      <c r="G1425" s="10" t="s">
        <v>3423</v>
      </c>
      <c r="H1425" s="9" t="s">
        <v>13</v>
      </c>
      <c r="I1425" s="9" t="s">
        <v>3424</v>
      </c>
    </row>
    <row r="1426" customFormat="false" ht="15.75" hidden="false" customHeight="false" outlineLevel="0" collapsed="false">
      <c r="B1426" s="7" t="n">
        <v>46214</v>
      </c>
      <c r="C1426" s="3" t="s">
        <v>3425</v>
      </c>
      <c r="D1426" s="3" t="s">
        <v>3044</v>
      </c>
      <c r="E1426" s="3" t="s">
        <v>3202</v>
      </c>
      <c r="F1426" s="3" t="s">
        <v>3377</v>
      </c>
      <c r="G1426" s="10" t="s">
        <v>3423</v>
      </c>
      <c r="H1426" s="9" t="s">
        <v>13</v>
      </c>
      <c r="I1426" s="9" t="s">
        <v>3424</v>
      </c>
    </row>
    <row r="1427" customFormat="false" ht="15.75" hidden="false" customHeight="false" outlineLevel="0" collapsed="false">
      <c r="B1427" s="7" t="n">
        <v>46214</v>
      </c>
      <c r="C1427" s="3" t="s">
        <v>3426</v>
      </c>
      <c r="D1427" s="3" t="s">
        <v>3044</v>
      </c>
      <c r="E1427" s="3" t="s">
        <v>3202</v>
      </c>
      <c r="F1427" s="3" t="s">
        <v>3377</v>
      </c>
      <c r="G1427" s="10" t="s">
        <v>2343</v>
      </c>
      <c r="H1427" s="9" t="s">
        <v>13</v>
      </c>
      <c r="I1427" s="9" t="s">
        <v>3427</v>
      </c>
    </row>
    <row r="1428" customFormat="false" ht="15.75" hidden="false" customHeight="false" outlineLevel="0" collapsed="false">
      <c r="B1428" s="7" t="n">
        <v>46214</v>
      </c>
      <c r="C1428" s="3" t="s">
        <v>3428</v>
      </c>
      <c r="D1428" s="3" t="s">
        <v>3044</v>
      </c>
      <c r="E1428" s="3" t="s">
        <v>3202</v>
      </c>
      <c r="F1428" s="3" t="s">
        <v>3377</v>
      </c>
      <c r="G1428" s="10" t="s">
        <v>467</v>
      </c>
      <c r="H1428" s="9" t="s">
        <v>13</v>
      </c>
      <c r="I1428" s="9" t="s">
        <v>3429</v>
      </c>
    </row>
    <row r="1429" customFormat="false" ht="15.75" hidden="false" customHeight="false" outlineLevel="0" collapsed="false">
      <c r="B1429" s="7" t="n">
        <v>46214</v>
      </c>
      <c r="C1429" s="3" t="s">
        <v>3430</v>
      </c>
      <c r="D1429" s="3" t="s">
        <v>3044</v>
      </c>
      <c r="E1429" s="3" t="s">
        <v>3202</v>
      </c>
      <c r="F1429" s="3" t="s">
        <v>3377</v>
      </c>
      <c r="G1429" s="8" t="s">
        <v>3431</v>
      </c>
      <c r="H1429" s="9" t="s">
        <v>13</v>
      </c>
      <c r="I1429" s="9" t="s">
        <v>3432</v>
      </c>
    </row>
    <row r="1430" customFormat="false" ht="15.75" hidden="false" customHeight="false" outlineLevel="0" collapsed="false">
      <c r="B1430" s="7" t="n">
        <v>46214</v>
      </c>
      <c r="C1430" s="3" t="s">
        <v>3433</v>
      </c>
      <c r="D1430" s="3" t="s">
        <v>3044</v>
      </c>
      <c r="E1430" s="3" t="s">
        <v>3202</v>
      </c>
      <c r="F1430" s="3" t="s">
        <v>3377</v>
      </c>
      <c r="G1430" s="10" t="s">
        <v>3434</v>
      </c>
      <c r="H1430" s="9" t="s">
        <v>13</v>
      </c>
      <c r="I1430" s="9" t="s">
        <v>3435</v>
      </c>
    </row>
    <row r="1431" customFormat="false" ht="15.75" hidden="false" customHeight="false" outlineLevel="0" collapsed="false">
      <c r="B1431" s="7" t="n">
        <v>46214</v>
      </c>
      <c r="C1431" s="3" t="s">
        <v>3436</v>
      </c>
      <c r="D1431" s="3" t="s">
        <v>3044</v>
      </c>
      <c r="E1431" s="3" t="s">
        <v>3202</v>
      </c>
      <c r="F1431" s="3" t="s">
        <v>3377</v>
      </c>
      <c r="G1431" s="8" t="s">
        <v>3437</v>
      </c>
      <c r="H1431" s="9" t="s">
        <v>13</v>
      </c>
      <c r="I1431" s="9" t="s">
        <v>3438</v>
      </c>
    </row>
    <row r="1432" customFormat="false" ht="15.75" hidden="false" customHeight="false" outlineLevel="0" collapsed="false">
      <c r="B1432" s="7" t="n">
        <v>46214</v>
      </c>
      <c r="C1432" s="3" t="s">
        <v>3439</v>
      </c>
      <c r="D1432" s="3" t="s">
        <v>3044</v>
      </c>
      <c r="E1432" s="3" t="s">
        <v>3202</v>
      </c>
      <c r="F1432" s="3" t="s">
        <v>3377</v>
      </c>
      <c r="G1432" s="8" t="s">
        <v>3437</v>
      </c>
      <c r="H1432" s="9" t="s">
        <v>13</v>
      </c>
      <c r="I1432" s="9" t="s">
        <v>3438</v>
      </c>
    </row>
    <row r="1433" customFormat="false" ht="15.75" hidden="false" customHeight="false" outlineLevel="0" collapsed="false">
      <c r="B1433" s="7" t="n">
        <v>46214</v>
      </c>
      <c r="C1433" s="3" t="s">
        <v>3440</v>
      </c>
      <c r="D1433" s="3" t="s">
        <v>3044</v>
      </c>
      <c r="E1433" s="3" t="s">
        <v>3202</v>
      </c>
      <c r="F1433" s="3" t="s">
        <v>3377</v>
      </c>
      <c r="G1433" s="10" t="s">
        <v>3441</v>
      </c>
      <c r="H1433" s="9" t="s">
        <v>13</v>
      </c>
      <c r="I1433" s="9" t="s">
        <v>3442</v>
      </c>
    </row>
    <row r="1434" customFormat="false" ht="15.75" hidden="false" customHeight="false" outlineLevel="0" collapsed="false">
      <c r="B1434" s="7" t="n">
        <v>46214</v>
      </c>
      <c r="C1434" s="3" t="s">
        <v>3443</v>
      </c>
      <c r="D1434" s="3" t="s">
        <v>3044</v>
      </c>
      <c r="E1434" s="3" t="s">
        <v>3202</v>
      </c>
      <c r="F1434" s="3" t="s">
        <v>3377</v>
      </c>
      <c r="G1434" s="10" t="s">
        <v>3444</v>
      </c>
      <c r="H1434" s="9" t="s">
        <v>13</v>
      </c>
      <c r="I1434" s="9" t="s">
        <v>3445</v>
      </c>
    </row>
    <row r="1435" customFormat="false" ht="15.75" hidden="false" customHeight="false" outlineLevel="0" collapsed="false">
      <c r="B1435" s="7" t="n">
        <v>46214</v>
      </c>
      <c r="C1435" s="3" t="s">
        <v>3446</v>
      </c>
      <c r="D1435" s="3" t="s">
        <v>3044</v>
      </c>
      <c r="E1435" s="3" t="s">
        <v>3202</v>
      </c>
      <c r="F1435" s="3" t="s">
        <v>3377</v>
      </c>
      <c r="G1435" s="10" t="s">
        <v>3441</v>
      </c>
      <c r="H1435" s="9" t="s">
        <v>13</v>
      </c>
      <c r="I1435" s="9" t="s">
        <v>3447</v>
      </c>
    </row>
    <row r="1436" customFormat="false" ht="15.75" hidden="false" customHeight="false" outlineLevel="0" collapsed="false">
      <c r="B1436" s="7" t="n">
        <v>46214</v>
      </c>
      <c r="C1436" s="3" t="s">
        <v>3448</v>
      </c>
      <c r="D1436" s="3" t="s">
        <v>3044</v>
      </c>
      <c r="E1436" s="3" t="s">
        <v>3202</v>
      </c>
      <c r="F1436" s="3" t="s">
        <v>3377</v>
      </c>
      <c r="G1436" s="10" t="s">
        <v>2797</v>
      </c>
      <c r="H1436" s="9" t="s">
        <v>13</v>
      </c>
      <c r="I1436" s="9" t="s">
        <v>3449</v>
      </c>
    </row>
    <row r="1437" customFormat="false" ht="15.75" hidden="false" customHeight="false" outlineLevel="0" collapsed="false">
      <c r="B1437" s="7" t="n">
        <v>46214</v>
      </c>
      <c r="C1437" s="3" t="s">
        <v>3450</v>
      </c>
      <c r="D1437" s="3" t="s">
        <v>3044</v>
      </c>
      <c r="E1437" s="3" t="s">
        <v>3202</v>
      </c>
      <c r="F1437" s="3" t="s">
        <v>3377</v>
      </c>
      <c r="G1437" s="10" t="s">
        <v>3451</v>
      </c>
      <c r="H1437" s="9" t="s">
        <v>13</v>
      </c>
      <c r="I1437" s="9" t="s">
        <v>3452</v>
      </c>
    </row>
    <row r="1438" customFormat="false" ht="15.75" hidden="false" customHeight="false" outlineLevel="0" collapsed="false">
      <c r="B1438" s="7" t="n">
        <v>46214</v>
      </c>
      <c r="C1438" s="3" t="s">
        <v>3453</v>
      </c>
      <c r="D1438" s="3" t="s">
        <v>3044</v>
      </c>
      <c r="E1438" s="3" t="s">
        <v>3202</v>
      </c>
      <c r="F1438" s="3" t="s">
        <v>3454</v>
      </c>
      <c r="G1438" s="10" t="s">
        <v>2223</v>
      </c>
      <c r="H1438" s="9" t="s">
        <v>13</v>
      </c>
      <c r="I1438" s="9" t="s">
        <v>3455</v>
      </c>
    </row>
    <row r="1439" customFormat="false" ht="15.75" hidden="false" customHeight="false" outlineLevel="0" collapsed="false">
      <c r="B1439" s="7" t="n">
        <v>46214</v>
      </c>
      <c r="C1439" s="3" t="s">
        <v>3456</v>
      </c>
      <c r="D1439" s="3" t="s">
        <v>3044</v>
      </c>
      <c r="E1439" s="3" t="s">
        <v>3202</v>
      </c>
      <c r="F1439" s="3" t="s">
        <v>3454</v>
      </c>
      <c r="G1439" s="10" t="s">
        <v>2223</v>
      </c>
      <c r="H1439" s="9" t="s">
        <v>13</v>
      </c>
      <c r="I1439" s="9" t="s">
        <v>3455</v>
      </c>
    </row>
    <row r="1440" customFormat="false" ht="15.75" hidden="false" customHeight="false" outlineLevel="0" collapsed="false">
      <c r="B1440" s="7" t="n">
        <v>46214</v>
      </c>
      <c r="C1440" s="3" t="s">
        <v>3457</v>
      </c>
      <c r="D1440" s="3" t="s">
        <v>3044</v>
      </c>
      <c r="E1440" s="3" t="s">
        <v>3202</v>
      </c>
      <c r="F1440" s="3" t="s">
        <v>3454</v>
      </c>
      <c r="G1440" s="10" t="s">
        <v>2343</v>
      </c>
      <c r="H1440" s="9" t="s">
        <v>13</v>
      </c>
      <c r="I1440" s="9" t="s">
        <v>3458</v>
      </c>
    </row>
    <row r="1441" customFormat="false" ht="15.75" hidden="false" customHeight="false" outlineLevel="0" collapsed="false">
      <c r="B1441" s="7" t="n">
        <v>46214</v>
      </c>
      <c r="C1441" s="3" t="s">
        <v>3459</v>
      </c>
      <c r="D1441" s="3" t="s">
        <v>3044</v>
      </c>
      <c r="E1441" s="3" t="s">
        <v>3202</v>
      </c>
      <c r="F1441" s="3" t="s">
        <v>3454</v>
      </c>
      <c r="G1441" s="10" t="s">
        <v>3460</v>
      </c>
      <c r="H1441" s="9" t="s">
        <v>13</v>
      </c>
      <c r="I1441" s="9" t="s">
        <v>3461</v>
      </c>
    </row>
    <row r="1442" customFormat="false" ht="15.75" hidden="false" customHeight="false" outlineLevel="0" collapsed="false">
      <c r="B1442" s="7" t="n">
        <v>46214</v>
      </c>
      <c r="C1442" s="3" t="s">
        <v>3462</v>
      </c>
      <c r="D1442" s="3" t="s">
        <v>3044</v>
      </c>
      <c r="E1442" s="3" t="s">
        <v>3202</v>
      </c>
      <c r="F1442" s="3" t="s">
        <v>3454</v>
      </c>
      <c r="G1442" s="8" t="s">
        <v>3463</v>
      </c>
      <c r="H1442" s="9" t="s">
        <v>13</v>
      </c>
      <c r="I1442" s="9" t="s">
        <v>3464</v>
      </c>
    </row>
    <row r="1443" customFormat="false" ht="15.75" hidden="false" customHeight="false" outlineLevel="0" collapsed="false">
      <c r="B1443" s="7" t="n">
        <v>46214</v>
      </c>
      <c r="C1443" s="3" t="s">
        <v>3465</v>
      </c>
      <c r="D1443" s="3" t="s">
        <v>3044</v>
      </c>
      <c r="E1443" s="3" t="s">
        <v>3202</v>
      </c>
      <c r="F1443" s="3" t="s">
        <v>3454</v>
      </c>
      <c r="G1443" s="8" t="s">
        <v>3463</v>
      </c>
      <c r="H1443" s="9" t="s">
        <v>13</v>
      </c>
      <c r="I1443" s="9" t="s">
        <v>3466</v>
      </c>
    </row>
    <row r="1444" customFormat="false" ht="15.75" hidden="false" customHeight="false" outlineLevel="0" collapsed="false">
      <c r="B1444" s="7" t="n">
        <v>46214</v>
      </c>
      <c r="C1444" s="3" t="s">
        <v>3467</v>
      </c>
      <c r="D1444" s="3" t="s">
        <v>3044</v>
      </c>
      <c r="E1444" s="3" t="s">
        <v>3202</v>
      </c>
      <c r="F1444" s="3" t="s">
        <v>3454</v>
      </c>
      <c r="G1444" s="10" t="s">
        <v>2099</v>
      </c>
      <c r="H1444" s="9" t="s">
        <v>13</v>
      </c>
      <c r="I1444" s="9" t="s">
        <v>3468</v>
      </c>
    </row>
    <row r="1445" customFormat="false" ht="15.75" hidden="false" customHeight="false" outlineLevel="0" collapsed="false">
      <c r="B1445" s="7" t="n">
        <v>46214</v>
      </c>
      <c r="C1445" s="3" t="s">
        <v>3469</v>
      </c>
      <c r="D1445" s="3" t="s">
        <v>3044</v>
      </c>
      <c r="E1445" s="3" t="s">
        <v>3202</v>
      </c>
      <c r="F1445" s="3" t="s">
        <v>3454</v>
      </c>
      <c r="G1445" s="10" t="s">
        <v>3470</v>
      </c>
      <c r="H1445" s="9" t="s">
        <v>13</v>
      </c>
      <c r="I1445" s="9" t="s">
        <v>3471</v>
      </c>
    </row>
    <row r="1446" customFormat="false" ht="15.75" hidden="false" customHeight="false" outlineLevel="0" collapsed="false">
      <c r="B1446" s="7" t="n">
        <v>46214</v>
      </c>
      <c r="C1446" s="3" t="s">
        <v>3472</v>
      </c>
      <c r="D1446" s="3" t="s">
        <v>3044</v>
      </c>
      <c r="E1446" s="3" t="s">
        <v>3202</v>
      </c>
      <c r="F1446" s="3" t="s">
        <v>3454</v>
      </c>
      <c r="G1446" s="10" t="s">
        <v>3473</v>
      </c>
      <c r="H1446" s="9" t="s">
        <v>13</v>
      </c>
      <c r="I1446" s="9" t="s">
        <v>3474</v>
      </c>
    </row>
    <row r="1447" customFormat="false" ht="15.75" hidden="false" customHeight="false" outlineLevel="0" collapsed="false">
      <c r="B1447" s="7" t="n">
        <v>46214</v>
      </c>
      <c r="C1447" s="3" t="s">
        <v>3475</v>
      </c>
      <c r="D1447" s="3" t="s">
        <v>3044</v>
      </c>
      <c r="E1447" s="3" t="s">
        <v>3202</v>
      </c>
      <c r="F1447" s="3" t="s">
        <v>3454</v>
      </c>
      <c r="G1447" s="10" t="s">
        <v>3476</v>
      </c>
      <c r="H1447" s="9" t="s">
        <v>13</v>
      </c>
      <c r="I1447" s="9" t="s">
        <v>3477</v>
      </c>
    </row>
    <row r="1448" customFormat="false" ht="15.75" hidden="false" customHeight="false" outlineLevel="0" collapsed="false">
      <c r="B1448" s="7" t="n">
        <v>46214</v>
      </c>
      <c r="C1448" s="3" t="s">
        <v>3478</v>
      </c>
      <c r="D1448" s="3" t="s">
        <v>3044</v>
      </c>
      <c r="E1448" s="3" t="s">
        <v>3202</v>
      </c>
      <c r="F1448" s="3" t="s">
        <v>3454</v>
      </c>
      <c r="G1448" s="10" t="s">
        <v>3476</v>
      </c>
      <c r="H1448" s="9" t="s">
        <v>13</v>
      </c>
      <c r="I1448" s="9" t="s">
        <v>3479</v>
      </c>
    </row>
    <row r="1449" customFormat="false" ht="15.75" hidden="false" customHeight="false" outlineLevel="0" collapsed="false">
      <c r="B1449" s="7" t="n">
        <v>46214</v>
      </c>
      <c r="C1449" s="3" t="s">
        <v>3480</v>
      </c>
      <c r="D1449" s="3" t="s">
        <v>3044</v>
      </c>
      <c r="E1449" s="3" t="s">
        <v>3202</v>
      </c>
      <c r="F1449" s="3" t="s">
        <v>3454</v>
      </c>
      <c r="G1449" s="10" t="s">
        <v>3481</v>
      </c>
      <c r="H1449" s="9" t="s">
        <v>13</v>
      </c>
      <c r="I1449" s="9" t="s">
        <v>3482</v>
      </c>
    </row>
    <row r="1450" customFormat="false" ht="15.75" hidden="false" customHeight="false" outlineLevel="0" collapsed="false">
      <c r="B1450" s="7" t="n">
        <v>46214</v>
      </c>
      <c r="C1450" s="3" t="s">
        <v>3483</v>
      </c>
      <c r="D1450" s="3" t="s">
        <v>3044</v>
      </c>
      <c r="E1450" s="3" t="s">
        <v>3202</v>
      </c>
      <c r="F1450" s="3" t="s">
        <v>3454</v>
      </c>
      <c r="G1450" s="10" t="s">
        <v>3484</v>
      </c>
      <c r="H1450" s="9" t="s">
        <v>13</v>
      </c>
      <c r="I1450" s="9" t="s">
        <v>3485</v>
      </c>
    </row>
    <row r="1451" customFormat="false" ht="15.75" hidden="false" customHeight="false" outlineLevel="0" collapsed="false">
      <c r="B1451" s="7" t="n">
        <v>46214</v>
      </c>
      <c r="C1451" s="3" t="s">
        <v>3486</v>
      </c>
      <c r="D1451" s="3" t="s">
        <v>3044</v>
      </c>
      <c r="E1451" s="3" t="s">
        <v>3202</v>
      </c>
      <c r="F1451" s="3" t="s">
        <v>3454</v>
      </c>
      <c r="G1451" s="10" t="s">
        <v>3487</v>
      </c>
      <c r="H1451" s="9" t="s">
        <v>13</v>
      </c>
      <c r="I1451" s="9" t="s">
        <v>3488</v>
      </c>
    </row>
    <row r="1452" customFormat="false" ht="15.75" hidden="false" customHeight="false" outlineLevel="0" collapsed="false">
      <c r="B1452" s="7" t="n">
        <v>46214</v>
      </c>
      <c r="C1452" s="3" t="s">
        <v>3489</v>
      </c>
      <c r="D1452" s="3" t="s">
        <v>3044</v>
      </c>
      <c r="E1452" s="3" t="s">
        <v>3202</v>
      </c>
      <c r="F1452" s="3" t="s">
        <v>3454</v>
      </c>
      <c r="G1452" s="8" t="s">
        <v>3306</v>
      </c>
      <c r="H1452" s="9" t="s">
        <v>13</v>
      </c>
      <c r="I1452" s="9" t="s">
        <v>3490</v>
      </c>
    </row>
    <row r="1453" customFormat="false" ht="15.75" hidden="false" customHeight="false" outlineLevel="0" collapsed="false">
      <c r="B1453" s="7" t="n">
        <v>46214</v>
      </c>
      <c r="C1453" s="3" t="s">
        <v>3491</v>
      </c>
      <c r="D1453" s="3" t="s">
        <v>3044</v>
      </c>
      <c r="E1453" s="3" t="s">
        <v>3202</v>
      </c>
      <c r="F1453" s="3" t="s">
        <v>3454</v>
      </c>
      <c r="G1453" s="10" t="s">
        <v>3223</v>
      </c>
      <c r="H1453" s="9" t="s">
        <v>13</v>
      </c>
      <c r="I1453" s="9" t="s">
        <v>3492</v>
      </c>
    </row>
    <row r="1454" customFormat="false" ht="15.75" hidden="false" customHeight="false" outlineLevel="0" collapsed="false">
      <c r="B1454" s="7" t="n">
        <v>46214</v>
      </c>
      <c r="C1454" s="3" t="s">
        <v>3493</v>
      </c>
      <c r="D1454" s="3" t="s">
        <v>3044</v>
      </c>
      <c r="E1454" s="3" t="s">
        <v>3202</v>
      </c>
      <c r="F1454" s="3" t="s">
        <v>3454</v>
      </c>
      <c r="G1454" s="8" t="s">
        <v>3494</v>
      </c>
      <c r="H1454" s="9" t="s">
        <v>13</v>
      </c>
      <c r="I1454" s="9" t="s">
        <v>3495</v>
      </c>
    </row>
    <row r="1455" customFormat="false" ht="15.75" hidden="false" customHeight="false" outlineLevel="0" collapsed="false">
      <c r="B1455" s="7" t="n">
        <v>46214</v>
      </c>
      <c r="C1455" s="3" t="s">
        <v>3496</v>
      </c>
      <c r="D1455" s="3" t="s">
        <v>3044</v>
      </c>
      <c r="E1455" s="3" t="s">
        <v>3202</v>
      </c>
      <c r="F1455" s="3" t="s">
        <v>3454</v>
      </c>
      <c r="G1455" s="10" t="s">
        <v>3497</v>
      </c>
      <c r="H1455" s="9" t="s">
        <v>13</v>
      </c>
      <c r="I1455" s="9" t="s">
        <v>3498</v>
      </c>
    </row>
    <row r="1456" customFormat="false" ht="15.75" hidden="false" customHeight="false" outlineLevel="0" collapsed="false">
      <c r="B1456" s="7" t="n">
        <v>46214</v>
      </c>
      <c r="C1456" s="3" t="s">
        <v>3499</v>
      </c>
      <c r="D1456" s="3" t="s">
        <v>3044</v>
      </c>
      <c r="E1456" s="3" t="s">
        <v>3202</v>
      </c>
      <c r="F1456" s="3" t="s">
        <v>3454</v>
      </c>
      <c r="G1456" s="10" t="s">
        <v>2752</v>
      </c>
      <c r="H1456" s="9" t="s">
        <v>13</v>
      </c>
      <c r="I1456" s="9" t="s">
        <v>3500</v>
      </c>
    </row>
    <row r="1457" customFormat="false" ht="15.75" hidden="false" customHeight="false" outlineLevel="0" collapsed="false">
      <c r="B1457" s="7" t="n">
        <v>46214</v>
      </c>
      <c r="C1457" s="3" t="s">
        <v>3501</v>
      </c>
      <c r="D1457" s="3" t="s">
        <v>3044</v>
      </c>
      <c r="E1457" s="3" t="s">
        <v>3202</v>
      </c>
      <c r="F1457" s="3" t="s">
        <v>3454</v>
      </c>
      <c r="G1457" s="10" t="s">
        <v>3502</v>
      </c>
      <c r="H1457" s="9" t="s">
        <v>13</v>
      </c>
      <c r="I1457" s="9" t="s">
        <v>3503</v>
      </c>
    </row>
    <row r="1458" customFormat="false" ht="15.75" hidden="false" customHeight="false" outlineLevel="0" collapsed="false">
      <c r="B1458" s="7" t="n">
        <v>46214</v>
      </c>
      <c r="C1458" s="3" t="s">
        <v>3504</v>
      </c>
      <c r="D1458" s="3" t="s">
        <v>3044</v>
      </c>
      <c r="E1458" s="3" t="s">
        <v>3202</v>
      </c>
      <c r="F1458" s="3" t="s">
        <v>3454</v>
      </c>
      <c r="G1458" s="10" t="s">
        <v>3502</v>
      </c>
      <c r="H1458" s="9" t="s">
        <v>13</v>
      </c>
      <c r="I1458" s="9" t="s">
        <v>3503</v>
      </c>
    </row>
    <row r="1459" customFormat="false" ht="15.75" hidden="false" customHeight="false" outlineLevel="0" collapsed="false">
      <c r="B1459" s="7" t="n">
        <v>46214</v>
      </c>
      <c r="C1459" s="3" t="s">
        <v>3505</v>
      </c>
      <c r="D1459" s="3" t="s">
        <v>3044</v>
      </c>
      <c r="E1459" s="3" t="s">
        <v>3202</v>
      </c>
      <c r="F1459" s="3" t="s">
        <v>3454</v>
      </c>
      <c r="G1459" s="10" t="s">
        <v>3506</v>
      </c>
      <c r="H1459" s="9" t="s">
        <v>13</v>
      </c>
      <c r="I1459" s="9" t="s">
        <v>3507</v>
      </c>
    </row>
    <row r="1460" customFormat="false" ht="15.75" hidden="false" customHeight="false" outlineLevel="0" collapsed="false">
      <c r="B1460" s="7" t="n">
        <v>46214</v>
      </c>
      <c r="C1460" s="3" t="s">
        <v>3508</v>
      </c>
      <c r="D1460" s="3" t="s">
        <v>3044</v>
      </c>
      <c r="E1460" s="3" t="s">
        <v>3202</v>
      </c>
      <c r="F1460" s="3" t="s">
        <v>3454</v>
      </c>
      <c r="G1460" s="8" t="s">
        <v>2730</v>
      </c>
      <c r="H1460" s="9" t="s">
        <v>13</v>
      </c>
      <c r="I1460" s="9" t="s">
        <v>3509</v>
      </c>
    </row>
    <row r="1461" customFormat="false" ht="15.75" hidden="false" customHeight="false" outlineLevel="0" collapsed="false">
      <c r="B1461" s="7" t="n">
        <v>46214</v>
      </c>
      <c r="C1461" s="3" t="s">
        <v>3510</v>
      </c>
      <c r="D1461" s="3" t="s">
        <v>3044</v>
      </c>
      <c r="E1461" s="3" t="s">
        <v>3202</v>
      </c>
      <c r="F1461" s="3" t="s">
        <v>3454</v>
      </c>
      <c r="G1461" s="10" t="s">
        <v>3511</v>
      </c>
      <c r="H1461" s="9" t="s">
        <v>13</v>
      </c>
      <c r="I1461" s="9" t="s">
        <v>3512</v>
      </c>
    </row>
    <row r="1462" customFormat="false" ht="15.75" hidden="false" customHeight="false" outlineLevel="0" collapsed="false">
      <c r="B1462" s="7" t="n">
        <v>46214</v>
      </c>
      <c r="C1462" s="3" t="s">
        <v>3513</v>
      </c>
      <c r="D1462" s="3" t="s">
        <v>3044</v>
      </c>
      <c r="E1462" s="3" t="s">
        <v>3202</v>
      </c>
      <c r="F1462" s="3" t="s">
        <v>3454</v>
      </c>
      <c r="G1462" s="10" t="s">
        <v>3511</v>
      </c>
      <c r="H1462" s="9" t="s">
        <v>13</v>
      </c>
      <c r="I1462" s="9" t="s">
        <v>3512</v>
      </c>
    </row>
    <row r="1463" customFormat="false" ht="15.75" hidden="false" customHeight="false" outlineLevel="0" collapsed="false">
      <c r="B1463" s="7" t="n">
        <v>46214</v>
      </c>
      <c r="C1463" s="3" t="s">
        <v>3514</v>
      </c>
      <c r="D1463" s="3" t="s">
        <v>3044</v>
      </c>
      <c r="E1463" s="3" t="s">
        <v>3202</v>
      </c>
      <c r="F1463" s="3" t="s">
        <v>3454</v>
      </c>
      <c r="G1463" s="10" t="s">
        <v>3515</v>
      </c>
      <c r="H1463" s="9" t="s">
        <v>13</v>
      </c>
      <c r="I1463" s="9" t="s">
        <v>3516</v>
      </c>
    </row>
    <row r="1464" customFormat="false" ht="15.75" hidden="false" customHeight="false" outlineLevel="0" collapsed="false">
      <c r="B1464" s="7" t="n">
        <v>46214</v>
      </c>
      <c r="C1464" s="3" t="s">
        <v>3517</v>
      </c>
      <c r="D1464" s="3" t="s">
        <v>3044</v>
      </c>
      <c r="E1464" s="3" t="s">
        <v>3202</v>
      </c>
      <c r="F1464" s="3" t="s">
        <v>3454</v>
      </c>
      <c r="G1464" s="10" t="s">
        <v>3515</v>
      </c>
      <c r="H1464" s="9" t="s">
        <v>13</v>
      </c>
      <c r="I1464" s="9" t="s">
        <v>3516</v>
      </c>
    </row>
    <row r="1465" customFormat="false" ht="15.75" hidden="false" customHeight="false" outlineLevel="0" collapsed="false">
      <c r="B1465" s="7" t="n">
        <v>46214</v>
      </c>
      <c r="C1465" s="3" t="s">
        <v>3518</v>
      </c>
      <c r="D1465" s="3" t="s">
        <v>3044</v>
      </c>
      <c r="E1465" s="3" t="s">
        <v>3202</v>
      </c>
      <c r="F1465" s="3" t="s">
        <v>3454</v>
      </c>
      <c r="G1465" s="10" t="s">
        <v>3519</v>
      </c>
      <c r="H1465" s="9" t="s">
        <v>13</v>
      </c>
      <c r="I1465" s="9" t="s">
        <v>3520</v>
      </c>
    </row>
    <row r="1466" customFormat="false" ht="15.75" hidden="false" customHeight="false" outlineLevel="0" collapsed="false">
      <c r="B1466" s="7" t="n">
        <v>46214</v>
      </c>
      <c r="C1466" s="3" t="s">
        <v>3521</v>
      </c>
      <c r="D1466" s="3" t="s">
        <v>3044</v>
      </c>
      <c r="E1466" s="3" t="s">
        <v>3202</v>
      </c>
      <c r="F1466" s="3" t="s">
        <v>3454</v>
      </c>
      <c r="G1466" s="10" t="s">
        <v>2726</v>
      </c>
      <c r="H1466" s="9" t="s">
        <v>13</v>
      </c>
      <c r="I1466" s="9" t="s">
        <v>3522</v>
      </c>
    </row>
    <row r="1467" customFormat="false" ht="15.75" hidden="false" customHeight="false" outlineLevel="0" collapsed="false">
      <c r="B1467" s="7" t="n">
        <v>46214</v>
      </c>
      <c r="C1467" s="3" t="s">
        <v>3523</v>
      </c>
      <c r="D1467" s="3" t="s">
        <v>3044</v>
      </c>
      <c r="E1467" s="3" t="s">
        <v>3202</v>
      </c>
      <c r="F1467" s="3" t="s">
        <v>3454</v>
      </c>
      <c r="G1467" s="10" t="s">
        <v>3524</v>
      </c>
      <c r="H1467" s="9" t="s">
        <v>13</v>
      </c>
      <c r="I1467" s="9" t="s">
        <v>3525</v>
      </c>
    </row>
    <row r="1468" customFormat="false" ht="15.75" hidden="false" customHeight="false" outlineLevel="0" collapsed="false">
      <c r="B1468" s="7" t="n">
        <v>46214</v>
      </c>
      <c r="C1468" s="3" t="s">
        <v>3526</v>
      </c>
      <c r="D1468" s="3" t="s">
        <v>3044</v>
      </c>
      <c r="E1468" s="3" t="s">
        <v>3202</v>
      </c>
      <c r="F1468" s="3" t="s">
        <v>3454</v>
      </c>
      <c r="G1468" s="10" t="s">
        <v>3524</v>
      </c>
      <c r="H1468" s="9" t="s">
        <v>13</v>
      </c>
      <c r="I1468" s="9" t="s">
        <v>3525</v>
      </c>
    </row>
    <row r="1469" customFormat="false" ht="15.75" hidden="false" customHeight="false" outlineLevel="0" collapsed="false">
      <c r="B1469" s="7" t="n">
        <v>46214</v>
      </c>
      <c r="C1469" s="3" t="s">
        <v>3527</v>
      </c>
      <c r="D1469" s="3" t="s">
        <v>3044</v>
      </c>
      <c r="E1469" s="3" t="s">
        <v>3202</v>
      </c>
      <c r="F1469" s="3" t="s">
        <v>3454</v>
      </c>
      <c r="G1469" s="10" t="s">
        <v>3528</v>
      </c>
      <c r="H1469" s="9" t="s">
        <v>13</v>
      </c>
      <c r="I1469" s="9" t="s">
        <v>3529</v>
      </c>
    </row>
    <row r="1470" customFormat="false" ht="15.75" hidden="false" customHeight="false" outlineLevel="0" collapsed="false">
      <c r="B1470" s="7" t="n">
        <v>46214</v>
      </c>
      <c r="C1470" s="3" t="s">
        <v>3530</v>
      </c>
      <c r="D1470" s="3" t="s">
        <v>3044</v>
      </c>
      <c r="E1470" s="3" t="s">
        <v>3202</v>
      </c>
      <c r="F1470" s="3" t="s">
        <v>3454</v>
      </c>
      <c r="G1470" s="8" t="s">
        <v>3531</v>
      </c>
      <c r="H1470" s="9" t="s">
        <v>13</v>
      </c>
      <c r="I1470" s="9" t="s">
        <v>3532</v>
      </c>
    </row>
    <row r="1471" customFormat="false" ht="15.75" hidden="false" customHeight="false" outlineLevel="0" collapsed="false">
      <c r="B1471" s="7" t="n">
        <v>46214</v>
      </c>
      <c r="C1471" s="3" t="s">
        <v>3533</v>
      </c>
      <c r="D1471" s="3" t="s">
        <v>3044</v>
      </c>
      <c r="E1471" s="3" t="s">
        <v>3202</v>
      </c>
      <c r="F1471" s="3" t="s">
        <v>3454</v>
      </c>
      <c r="G1471" s="10" t="s">
        <v>3534</v>
      </c>
      <c r="H1471" s="9" t="s">
        <v>13</v>
      </c>
      <c r="I1471" s="9" t="s">
        <v>3535</v>
      </c>
    </row>
    <row r="1472" customFormat="false" ht="15.75" hidden="false" customHeight="false" outlineLevel="0" collapsed="false">
      <c r="B1472" s="7" t="n">
        <v>46214</v>
      </c>
      <c r="C1472" s="3" t="s">
        <v>3536</v>
      </c>
      <c r="D1472" s="3" t="s">
        <v>3044</v>
      </c>
      <c r="E1472" s="3" t="s">
        <v>3202</v>
      </c>
      <c r="F1472" s="3" t="s">
        <v>3454</v>
      </c>
      <c r="G1472" s="10" t="s">
        <v>3537</v>
      </c>
      <c r="H1472" s="9" t="s">
        <v>13</v>
      </c>
      <c r="I1472" s="9" t="s">
        <v>3538</v>
      </c>
    </row>
    <row r="1473" customFormat="false" ht="15.75" hidden="false" customHeight="false" outlineLevel="0" collapsed="false">
      <c r="B1473" s="7" t="n">
        <v>46214</v>
      </c>
      <c r="C1473" s="3" t="s">
        <v>3539</v>
      </c>
      <c r="D1473" s="3" t="s">
        <v>3044</v>
      </c>
      <c r="E1473" s="3" t="s">
        <v>3540</v>
      </c>
      <c r="F1473" s="3" t="s">
        <v>3541</v>
      </c>
      <c r="G1473" s="10" t="s">
        <v>3542</v>
      </c>
      <c r="H1473" s="9" t="s">
        <v>13</v>
      </c>
      <c r="I1473" s="9" t="s">
        <v>3543</v>
      </c>
    </row>
    <row r="1474" customFormat="false" ht="15.75" hidden="false" customHeight="false" outlineLevel="0" collapsed="false">
      <c r="B1474" s="7" t="n">
        <v>46214</v>
      </c>
      <c r="C1474" s="3" t="s">
        <v>3544</v>
      </c>
      <c r="D1474" s="3" t="s">
        <v>3044</v>
      </c>
      <c r="E1474" s="3" t="s">
        <v>3540</v>
      </c>
      <c r="F1474" s="3" t="s">
        <v>3541</v>
      </c>
      <c r="G1474" s="10" t="s">
        <v>3542</v>
      </c>
      <c r="H1474" s="9" t="s">
        <v>13</v>
      </c>
      <c r="I1474" s="9" t="s">
        <v>3543</v>
      </c>
    </row>
    <row r="1475" customFormat="false" ht="15.75" hidden="false" customHeight="false" outlineLevel="0" collapsed="false">
      <c r="B1475" s="7" t="n">
        <v>46214</v>
      </c>
      <c r="C1475" s="3" t="s">
        <v>3545</v>
      </c>
      <c r="D1475" s="3" t="s">
        <v>3044</v>
      </c>
      <c r="E1475" s="3" t="s">
        <v>3540</v>
      </c>
      <c r="F1475" s="3" t="s">
        <v>3541</v>
      </c>
      <c r="G1475" s="8" t="s">
        <v>3546</v>
      </c>
      <c r="H1475" s="9" t="s">
        <v>13</v>
      </c>
      <c r="I1475" s="9" t="s">
        <v>3547</v>
      </c>
    </row>
    <row r="1476" customFormat="false" ht="15.75" hidden="false" customHeight="false" outlineLevel="0" collapsed="false">
      <c r="B1476" s="7" t="n">
        <v>46214</v>
      </c>
      <c r="C1476" s="3" t="s">
        <v>3548</v>
      </c>
      <c r="D1476" s="3" t="s">
        <v>3044</v>
      </c>
      <c r="E1476" s="3" t="s">
        <v>3540</v>
      </c>
      <c r="F1476" s="3" t="s">
        <v>3541</v>
      </c>
      <c r="G1476" s="10" t="s">
        <v>3549</v>
      </c>
      <c r="H1476" s="9" t="s">
        <v>13</v>
      </c>
      <c r="I1476" s="9" t="s">
        <v>3550</v>
      </c>
    </row>
    <row r="1477" customFormat="false" ht="15.75" hidden="false" customHeight="false" outlineLevel="0" collapsed="false">
      <c r="B1477" s="7" t="n">
        <v>46214</v>
      </c>
      <c r="C1477" s="3" t="s">
        <v>3551</v>
      </c>
      <c r="D1477" s="3" t="s">
        <v>3044</v>
      </c>
      <c r="E1477" s="3" t="s">
        <v>3540</v>
      </c>
      <c r="F1477" s="3" t="s">
        <v>3541</v>
      </c>
      <c r="G1477" s="10" t="s">
        <v>3549</v>
      </c>
      <c r="H1477" s="9" t="s">
        <v>13</v>
      </c>
      <c r="I1477" s="9" t="s">
        <v>3550</v>
      </c>
    </row>
    <row r="1478" customFormat="false" ht="15.75" hidden="false" customHeight="false" outlineLevel="0" collapsed="false">
      <c r="B1478" s="7" t="n">
        <v>46214</v>
      </c>
      <c r="C1478" s="3" t="s">
        <v>3552</v>
      </c>
      <c r="D1478" s="3" t="s">
        <v>3044</v>
      </c>
      <c r="E1478" s="3" t="s">
        <v>3540</v>
      </c>
      <c r="F1478" s="3" t="s">
        <v>3541</v>
      </c>
      <c r="G1478" s="10" t="s">
        <v>2520</v>
      </c>
      <c r="H1478" s="9" t="s">
        <v>13</v>
      </c>
      <c r="I1478" s="9" t="s">
        <v>3553</v>
      </c>
    </row>
    <row r="1479" customFormat="false" ht="15.75" hidden="false" customHeight="false" outlineLevel="0" collapsed="false">
      <c r="B1479" s="7" t="n">
        <v>46214</v>
      </c>
      <c r="C1479" s="3" t="s">
        <v>3554</v>
      </c>
      <c r="D1479" s="3" t="s">
        <v>3044</v>
      </c>
      <c r="E1479" s="3" t="s">
        <v>3540</v>
      </c>
      <c r="F1479" s="3" t="s">
        <v>3541</v>
      </c>
      <c r="G1479" s="10" t="s">
        <v>3555</v>
      </c>
      <c r="H1479" s="9" t="s">
        <v>13</v>
      </c>
      <c r="I1479" s="9" t="s">
        <v>3556</v>
      </c>
    </row>
    <row r="1480" customFormat="false" ht="15.75" hidden="false" customHeight="false" outlineLevel="0" collapsed="false">
      <c r="B1480" s="7" t="n">
        <v>46214</v>
      </c>
      <c r="C1480" s="3" t="s">
        <v>3557</v>
      </c>
      <c r="D1480" s="3" t="s">
        <v>3044</v>
      </c>
      <c r="E1480" s="3" t="s">
        <v>3540</v>
      </c>
      <c r="F1480" s="3" t="s">
        <v>3541</v>
      </c>
      <c r="G1480" s="8" t="s">
        <v>3558</v>
      </c>
      <c r="H1480" s="9" t="s">
        <v>13</v>
      </c>
      <c r="I1480" s="9" t="s">
        <v>3559</v>
      </c>
    </row>
    <row r="1481" customFormat="false" ht="15.75" hidden="false" customHeight="false" outlineLevel="0" collapsed="false">
      <c r="B1481" s="7" t="n">
        <v>46214</v>
      </c>
      <c r="C1481" s="3" t="s">
        <v>3560</v>
      </c>
      <c r="D1481" s="3" t="s">
        <v>3044</v>
      </c>
      <c r="E1481" s="3" t="s">
        <v>3540</v>
      </c>
      <c r="F1481" s="3" t="s">
        <v>3541</v>
      </c>
      <c r="G1481" s="8" t="s">
        <v>3306</v>
      </c>
      <c r="H1481" s="9" t="s">
        <v>13</v>
      </c>
      <c r="I1481" s="9" t="s">
        <v>3561</v>
      </c>
    </row>
    <row r="1482" customFormat="false" ht="15.75" hidden="false" customHeight="false" outlineLevel="0" collapsed="false">
      <c r="B1482" s="7" t="n">
        <v>46214</v>
      </c>
      <c r="C1482" s="3" t="s">
        <v>3562</v>
      </c>
      <c r="D1482" s="3" t="s">
        <v>3044</v>
      </c>
      <c r="E1482" s="3" t="s">
        <v>3540</v>
      </c>
      <c r="F1482" s="3" t="s">
        <v>3541</v>
      </c>
      <c r="G1482" s="10" t="s">
        <v>2397</v>
      </c>
      <c r="H1482" s="9" t="s">
        <v>13</v>
      </c>
      <c r="I1482" s="9" t="s">
        <v>3563</v>
      </c>
    </row>
    <row r="1483" customFormat="false" ht="15.75" hidden="false" customHeight="false" outlineLevel="0" collapsed="false">
      <c r="B1483" s="7" t="n">
        <v>46214</v>
      </c>
      <c r="C1483" s="3" t="s">
        <v>3564</v>
      </c>
      <c r="D1483" s="3" t="s">
        <v>3044</v>
      </c>
      <c r="E1483" s="3" t="s">
        <v>3540</v>
      </c>
      <c r="F1483" s="3" t="s">
        <v>3541</v>
      </c>
      <c r="G1483" s="10" t="s">
        <v>3565</v>
      </c>
      <c r="H1483" s="9" t="s">
        <v>13</v>
      </c>
      <c r="I1483" s="9" t="s">
        <v>3566</v>
      </c>
    </row>
    <row r="1484" customFormat="false" ht="15.75" hidden="false" customHeight="false" outlineLevel="0" collapsed="false">
      <c r="B1484" s="7" t="n">
        <v>46214</v>
      </c>
      <c r="C1484" s="3" t="s">
        <v>3567</v>
      </c>
      <c r="D1484" s="3" t="s">
        <v>3044</v>
      </c>
      <c r="E1484" s="3" t="s">
        <v>3540</v>
      </c>
      <c r="F1484" s="3" t="s">
        <v>3541</v>
      </c>
      <c r="G1484" s="10" t="s">
        <v>2172</v>
      </c>
      <c r="H1484" s="9" t="s">
        <v>13</v>
      </c>
      <c r="I1484" s="9" t="s">
        <v>3568</v>
      </c>
    </row>
    <row r="1485" customFormat="false" ht="15.75" hidden="false" customHeight="false" outlineLevel="0" collapsed="false">
      <c r="B1485" s="7" t="n">
        <v>46214</v>
      </c>
      <c r="C1485" s="3" t="s">
        <v>3569</v>
      </c>
      <c r="D1485" s="3" t="s">
        <v>3044</v>
      </c>
      <c r="E1485" s="3" t="s">
        <v>3540</v>
      </c>
      <c r="F1485" s="3" t="s">
        <v>3541</v>
      </c>
      <c r="G1485" s="8" t="s">
        <v>2490</v>
      </c>
      <c r="H1485" s="9" t="s">
        <v>13</v>
      </c>
      <c r="I1485" s="9" t="s">
        <v>3570</v>
      </c>
    </row>
    <row r="1486" customFormat="false" ht="15.75" hidden="false" customHeight="false" outlineLevel="0" collapsed="false">
      <c r="B1486" s="7" t="n">
        <v>46214</v>
      </c>
      <c r="C1486" s="3" t="s">
        <v>3571</v>
      </c>
      <c r="D1486" s="3" t="s">
        <v>3044</v>
      </c>
      <c r="E1486" s="3" t="s">
        <v>3540</v>
      </c>
      <c r="F1486" s="3" t="s">
        <v>3541</v>
      </c>
      <c r="G1486" s="10" t="s">
        <v>3300</v>
      </c>
      <c r="H1486" s="9" t="s">
        <v>13</v>
      </c>
      <c r="I1486" s="9" t="s">
        <v>3572</v>
      </c>
    </row>
    <row r="1487" customFormat="false" ht="15.75" hidden="false" customHeight="false" outlineLevel="0" collapsed="false">
      <c r="B1487" s="7" t="n">
        <v>46214</v>
      </c>
      <c r="C1487" s="3" t="s">
        <v>3573</v>
      </c>
      <c r="D1487" s="3" t="s">
        <v>3044</v>
      </c>
      <c r="E1487" s="3" t="s">
        <v>3540</v>
      </c>
      <c r="F1487" s="3" t="s">
        <v>3541</v>
      </c>
      <c r="G1487" s="10" t="s">
        <v>2793</v>
      </c>
      <c r="H1487" s="9" t="s">
        <v>13</v>
      </c>
      <c r="I1487" s="9" t="s">
        <v>3574</v>
      </c>
    </row>
    <row r="1488" customFormat="false" ht="15.75" hidden="false" customHeight="false" outlineLevel="0" collapsed="false">
      <c r="B1488" s="7" t="n">
        <v>46214</v>
      </c>
      <c r="C1488" s="3" t="s">
        <v>3575</v>
      </c>
      <c r="D1488" s="3" t="s">
        <v>3044</v>
      </c>
      <c r="E1488" s="3" t="s">
        <v>3540</v>
      </c>
      <c r="F1488" s="3" t="s">
        <v>3541</v>
      </c>
      <c r="G1488" s="10" t="s">
        <v>2793</v>
      </c>
      <c r="H1488" s="9" t="s">
        <v>13</v>
      </c>
      <c r="I1488" s="9" t="s">
        <v>3574</v>
      </c>
    </row>
    <row r="1489" customFormat="false" ht="15.75" hidden="false" customHeight="false" outlineLevel="0" collapsed="false">
      <c r="B1489" s="7" t="n">
        <v>46214</v>
      </c>
      <c r="C1489" s="3" t="s">
        <v>3576</v>
      </c>
      <c r="D1489" s="3" t="s">
        <v>3044</v>
      </c>
      <c r="E1489" s="3" t="s">
        <v>3540</v>
      </c>
      <c r="F1489" s="3" t="s">
        <v>3541</v>
      </c>
      <c r="G1489" s="10" t="s">
        <v>2797</v>
      </c>
      <c r="H1489" s="9" t="s">
        <v>13</v>
      </c>
      <c r="I1489" s="9" t="s">
        <v>3577</v>
      </c>
    </row>
    <row r="1490" customFormat="false" ht="15.75" hidden="false" customHeight="false" outlineLevel="0" collapsed="false">
      <c r="B1490" s="7" t="n">
        <v>46214</v>
      </c>
      <c r="C1490" s="3" t="s">
        <v>3578</v>
      </c>
      <c r="D1490" s="3" t="s">
        <v>3044</v>
      </c>
      <c r="E1490" s="3" t="s">
        <v>3540</v>
      </c>
      <c r="F1490" s="3" t="s">
        <v>3541</v>
      </c>
      <c r="G1490" s="10" t="s">
        <v>2797</v>
      </c>
      <c r="H1490" s="9" t="s">
        <v>13</v>
      </c>
      <c r="I1490" s="9" t="s">
        <v>3577</v>
      </c>
    </row>
    <row r="1491" customFormat="false" ht="15.75" hidden="false" customHeight="false" outlineLevel="0" collapsed="false">
      <c r="B1491" s="7" t="n">
        <v>46214</v>
      </c>
      <c r="C1491" s="3" t="s">
        <v>3579</v>
      </c>
      <c r="D1491" s="3" t="s">
        <v>3044</v>
      </c>
      <c r="E1491" s="3" t="s">
        <v>3540</v>
      </c>
      <c r="F1491" s="3" t="s">
        <v>3541</v>
      </c>
      <c r="G1491" s="10" t="s">
        <v>3413</v>
      </c>
      <c r="H1491" s="9" t="s">
        <v>13</v>
      </c>
      <c r="I1491" s="9" t="s">
        <v>3580</v>
      </c>
    </row>
    <row r="1492" customFormat="false" ht="15.75" hidden="false" customHeight="false" outlineLevel="0" collapsed="false">
      <c r="B1492" s="7" t="n">
        <v>46214</v>
      </c>
      <c r="C1492" s="3" t="s">
        <v>3581</v>
      </c>
      <c r="D1492" s="3" t="s">
        <v>3044</v>
      </c>
      <c r="E1492" s="3" t="s">
        <v>3540</v>
      </c>
      <c r="F1492" s="3" t="s">
        <v>3541</v>
      </c>
      <c r="G1492" s="10" t="s">
        <v>3582</v>
      </c>
      <c r="H1492" s="9" t="s">
        <v>13</v>
      </c>
      <c r="I1492" s="9" t="s">
        <v>3583</v>
      </c>
    </row>
    <row r="1493" customFormat="false" ht="15.75" hidden="false" customHeight="false" outlineLevel="0" collapsed="false">
      <c r="B1493" s="7" t="n">
        <v>46214</v>
      </c>
      <c r="C1493" s="3" t="s">
        <v>3584</v>
      </c>
      <c r="D1493" s="3" t="s">
        <v>3044</v>
      </c>
      <c r="E1493" s="3" t="s">
        <v>3540</v>
      </c>
      <c r="F1493" s="3" t="s">
        <v>3541</v>
      </c>
      <c r="G1493" s="10" t="s">
        <v>3582</v>
      </c>
      <c r="H1493" s="9" t="s">
        <v>13</v>
      </c>
      <c r="I1493" s="9" t="s">
        <v>3585</v>
      </c>
    </row>
    <row r="1494" customFormat="false" ht="15.75" hidden="false" customHeight="false" outlineLevel="0" collapsed="false">
      <c r="B1494" s="7" t="n">
        <v>46214</v>
      </c>
      <c r="C1494" s="3" t="s">
        <v>3586</v>
      </c>
      <c r="D1494" s="3" t="s">
        <v>3044</v>
      </c>
      <c r="E1494" s="3" t="s">
        <v>3540</v>
      </c>
      <c r="F1494" s="3" t="s">
        <v>3541</v>
      </c>
      <c r="G1494" s="8" t="s">
        <v>3587</v>
      </c>
      <c r="H1494" s="9" t="s">
        <v>13</v>
      </c>
      <c r="I1494" s="9" t="s">
        <v>3588</v>
      </c>
    </row>
    <row r="1495" customFormat="false" ht="15.75" hidden="false" customHeight="false" outlineLevel="0" collapsed="false">
      <c r="B1495" s="7" t="n">
        <v>46214</v>
      </c>
      <c r="C1495" s="3" t="s">
        <v>3589</v>
      </c>
      <c r="D1495" s="3" t="s">
        <v>3044</v>
      </c>
      <c r="E1495" s="3" t="s">
        <v>3540</v>
      </c>
      <c r="F1495" s="3" t="s">
        <v>3541</v>
      </c>
      <c r="G1495" s="10" t="s">
        <v>3300</v>
      </c>
      <c r="H1495" s="9" t="s">
        <v>13</v>
      </c>
      <c r="I1495" s="9" t="s">
        <v>3590</v>
      </c>
    </row>
    <row r="1496" customFormat="false" ht="15.75" hidden="false" customHeight="false" outlineLevel="0" collapsed="false">
      <c r="B1496" s="7" t="n">
        <v>46214</v>
      </c>
      <c r="C1496" s="3" t="s">
        <v>3591</v>
      </c>
      <c r="D1496" s="3" t="s">
        <v>3044</v>
      </c>
      <c r="E1496" s="3" t="s">
        <v>3540</v>
      </c>
      <c r="F1496" s="3" t="s">
        <v>3541</v>
      </c>
      <c r="G1496" s="10" t="s">
        <v>3592</v>
      </c>
      <c r="H1496" s="9" t="s">
        <v>13</v>
      </c>
      <c r="I1496" s="9" t="s">
        <v>3593</v>
      </c>
    </row>
    <row r="1497" customFormat="false" ht="15.75" hidden="false" customHeight="false" outlineLevel="0" collapsed="false">
      <c r="B1497" s="7" t="n">
        <v>46214</v>
      </c>
      <c r="C1497" s="3" t="s">
        <v>3594</v>
      </c>
      <c r="D1497" s="3" t="s">
        <v>3044</v>
      </c>
      <c r="E1497" s="3" t="s">
        <v>3540</v>
      </c>
      <c r="F1497" s="3" t="s">
        <v>3541</v>
      </c>
      <c r="G1497" s="10" t="s">
        <v>3592</v>
      </c>
      <c r="H1497" s="9" t="s">
        <v>13</v>
      </c>
      <c r="I1497" s="9" t="s">
        <v>3593</v>
      </c>
    </row>
    <row r="1498" customFormat="false" ht="15.75" hidden="false" customHeight="false" outlineLevel="0" collapsed="false">
      <c r="B1498" s="7" t="n">
        <v>46214</v>
      </c>
      <c r="C1498" s="3" t="s">
        <v>3595</v>
      </c>
      <c r="D1498" s="3" t="s">
        <v>3044</v>
      </c>
      <c r="E1498" s="3" t="s">
        <v>3540</v>
      </c>
      <c r="F1498" s="3" t="s">
        <v>3541</v>
      </c>
      <c r="G1498" s="10" t="s">
        <v>3596</v>
      </c>
      <c r="H1498" s="9" t="s">
        <v>13</v>
      </c>
      <c r="I1498" s="9" t="s">
        <v>3597</v>
      </c>
    </row>
    <row r="1499" customFormat="false" ht="15.75" hidden="false" customHeight="false" outlineLevel="0" collapsed="false">
      <c r="B1499" s="7" t="n">
        <v>46214</v>
      </c>
      <c r="C1499" s="3" t="s">
        <v>3598</v>
      </c>
      <c r="D1499" s="3" t="s">
        <v>3044</v>
      </c>
      <c r="E1499" s="3" t="s">
        <v>3540</v>
      </c>
      <c r="F1499" s="3" t="s">
        <v>3541</v>
      </c>
      <c r="G1499" s="10" t="s">
        <v>782</v>
      </c>
      <c r="H1499" s="9" t="s">
        <v>13</v>
      </c>
      <c r="I1499" s="9" t="s">
        <v>3599</v>
      </c>
    </row>
    <row r="1500" customFormat="false" ht="15.75" hidden="false" customHeight="false" outlineLevel="0" collapsed="false">
      <c r="B1500" s="7" t="n">
        <v>46214</v>
      </c>
      <c r="C1500" s="3" t="s">
        <v>3600</v>
      </c>
      <c r="D1500" s="3" t="s">
        <v>3044</v>
      </c>
      <c r="E1500" s="3" t="s">
        <v>3540</v>
      </c>
      <c r="F1500" s="3" t="s">
        <v>3541</v>
      </c>
      <c r="G1500" s="10" t="s">
        <v>2200</v>
      </c>
      <c r="H1500" s="9" t="s">
        <v>13</v>
      </c>
      <c r="I1500" s="9" t="s">
        <v>3601</v>
      </c>
    </row>
    <row r="1501" customFormat="false" ht="15.75" hidden="false" customHeight="false" outlineLevel="0" collapsed="false">
      <c r="B1501" s="7" t="n">
        <v>46214</v>
      </c>
      <c r="C1501" s="3" t="s">
        <v>3602</v>
      </c>
      <c r="D1501" s="3" t="s">
        <v>3044</v>
      </c>
      <c r="E1501" s="3" t="s">
        <v>3540</v>
      </c>
      <c r="F1501" s="3" t="s">
        <v>3541</v>
      </c>
      <c r="G1501" s="10" t="s">
        <v>2200</v>
      </c>
      <c r="H1501" s="9" t="s">
        <v>13</v>
      </c>
      <c r="I1501" s="9" t="s">
        <v>3601</v>
      </c>
    </row>
    <row r="1502" customFormat="false" ht="15.75" hidden="false" customHeight="false" outlineLevel="0" collapsed="false">
      <c r="B1502" s="7" t="n">
        <v>46214</v>
      </c>
      <c r="C1502" s="3" t="s">
        <v>3603</v>
      </c>
      <c r="D1502" s="3" t="s">
        <v>3044</v>
      </c>
      <c r="E1502" s="3" t="s">
        <v>3540</v>
      </c>
      <c r="F1502" s="3" t="s">
        <v>3541</v>
      </c>
      <c r="G1502" s="10" t="s">
        <v>3604</v>
      </c>
      <c r="H1502" s="9" t="s">
        <v>13</v>
      </c>
      <c r="I1502" s="9" t="s">
        <v>3605</v>
      </c>
    </row>
    <row r="1503" customFormat="false" ht="15.75" hidden="false" customHeight="false" outlineLevel="0" collapsed="false">
      <c r="B1503" s="7" t="n">
        <v>46214</v>
      </c>
      <c r="C1503" s="3" t="s">
        <v>3606</v>
      </c>
      <c r="D1503" s="3" t="s">
        <v>3044</v>
      </c>
      <c r="E1503" s="3" t="s">
        <v>3540</v>
      </c>
      <c r="F1503" s="3" t="s">
        <v>3541</v>
      </c>
      <c r="G1503" s="10" t="s">
        <v>3607</v>
      </c>
      <c r="H1503" s="9" t="s">
        <v>13</v>
      </c>
      <c r="I1503" s="9" t="s">
        <v>3608</v>
      </c>
    </row>
    <row r="1504" customFormat="false" ht="15.75" hidden="false" customHeight="false" outlineLevel="0" collapsed="false">
      <c r="B1504" s="7" t="n">
        <v>46214</v>
      </c>
      <c r="C1504" s="3" t="s">
        <v>3609</v>
      </c>
      <c r="D1504" s="3" t="s">
        <v>3044</v>
      </c>
      <c r="E1504" s="3" t="s">
        <v>3540</v>
      </c>
      <c r="F1504" s="3" t="s">
        <v>3541</v>
      </c>
      <c r="G1504" s="10" t="s">
        <v>3607</v>
      </c>
      <c r="H1504" s="9" t="s">
        <v>13</v>
      </c>
      <c r="I1504" s="9" t="s">
        <v>3608</v>
      </c>
    </row>
    <row r="1505" customFormat="false" ht="15.75" hidden="false" customHeight="false" outlineLevel="0" collapsed="false">
      <c r="B1505" s="7" t="n">
        <v>46214</v>
      </c>
      <c r="C1505" s="3" t="s">
        <v>3610</v>
      </c>
      <c r="D1505" s="3" t="s">
        <v>3044</v>
      </c>
      <c r="E1505" s="3" t="s">
        <v>3540</v>
      </c>
      <c r="F1505" s="3" t="s">
        <v>3541</v>
      </c>
      <c r="G1505" s="10" t="s">
        <v>2303</v>
      </c>
      <c r="H1505" s="9" t="s">
        <v>13</v>
      </c>
      <c r="I1505" s="9" t="s">
        <v>3611</v>
      </c>
    </row>
    <row r="1506" customFormat="false" ht="15.75" hidden="false" customHeight="false" outlineLevel="0" collapsed="false">
      <c r="B1506" s="7" t="n">
        <v>46214</v>
      </c>
      <c r="C1506" s="3" t="s">
        <v>3612</v>
      </c>
      <c r="D1506" s="3" t="s">
        <v>3044</v>
      </c>
      <c r="E1506" s="3" t="s">
        <v>3540</v>
      </c>
      <c r="F1506" s="3" t="s">
        <v>3541</v>
      </c>
      <c r="G1506" s="10" t="s">
        <v>3613</v>
      </c>
      <c r="H1506" s="9" t="s">
        <v>13</v>
      </c>
      <c r="I1506" s="9" t="s">
        <v>3614</v>
      </c>
    </row>
    <row r="1507" customFormat="false" ht="15.75" hidden="false" customHeight="false" outlineLevel="0" collapsed="false">
      <c r="B1507" s="7" t="n">
        <v>46214</v>
      </c>
      <c r="C1507" s="3" t="s">
        <v>3615</v>
      </c>
      <c r="D1507" s="3" t="s">
        <v>3044</v>
      </c>
      <c r="E1507" s="3" t="s">
        <v>3540</v>
      </c>
      <c r="F1507" s="3" t="s">
        <v>3541</v>
      </c>
      <c r="G1507" s="10" t="s">
        <v>3616</v>
      </c>
      <c r="H1507" s="9" t="s">
        <v>13</v>
      </c>
      <c r="I1507" s="9" t="s">
        <v>3617</v>
      </c>
    </row>
    <row r="1508" customFormat="false" ht="15.75" hidden="false" customHeight="false" outlineLevel="0" collapsed="false">
      <c r="B1508" s="7" t="n">
        <v>46214</v>
      </c>
      <c r="C1508" s="3" t="s">
        <v>3618</v>
      </c>
      <c r="D1508" s="3" t="s">
        <v>3044</v>
      </c>
      <c r="E1508" s="3" t="s">
        <v>3540</v>
      </c>
      <c r="F1508" s="3" t="s">
        <v>3619</v>
      </c>
      <c r="G1508" s="10" t="s">
        <v>3620</v>
      </c>
      <c r="H1508" s="9" t="s">
        <v>13</v>
      </c>
      <c r="I1508" s="9" t="s">
        <v>3621</v>
      </c>
    </row>
    <row r="1509" customFormat="false" ht="15.75" hidden="false" customHeight="false" outlineLevel="0" collapsed="false">
      <c r="B1509" s="7" t="n">
        <v>46214</v>
      </c>
      <c r="C1509" s="3" t="s">
        <v>3622</v>
      </c>
      <c r="D1509" s="3" t="s">
        <v>3044</v>
      </c>
      <c r="E1509" s="3" t="s">
        <v>3540</v>
      </c>
      <c r="F1509" s="3" t="s">
        <v>3619</v>
      </c>
      <c r="G1509" s="8" t="s">
        <v>3623</v>
      </c>
      <c r="H1509" s="9" t="s">
        <v>13</v>
      </c>
      <c r="I1509" s="9" t="s">
        <v>3624</v>
      </c>
    </row>
    <row r="1510" customFormat="false" ht="15.75" hidden="false" customHeight="false" outlineLevel="0" collapsed="false">
      <c r="B1510" s="7" t="n">
        <v>46214</v>
      </c>
      <c r="C1510" s="3" t="s">
        <v>3625</v>
      </c>
      <c r="D1510" s="3" t="s">
        <v>3044</v>
      </c>
      <c r="E1510" s="3" t="s">
        <v>3540</v>
      </c>
      <c r="F1510" s="3" t="s">
        <v>3619</v>
      </c>
      <c r="G1510" s="10" t="s">
        <v>2397</v>
      </c>
      <c r="H1510" s="9" t="s">
        <v>13</v>
      </c>
      <c r="I1510" s="9" t="s">
        <v>3626</v>
      </c>
    </row>
    <row r="1511" customFormat="false" ht="15.75" hidden="false" customHeight="false" outlineLevel="0" collapsed="false">
      <c r="B1511" s="7" t="n">
        <v>46214</v>
      </c>
      <c r="C1511" s="3" t="s">
        <v>3627</v>
      </c>
      <c r="D1511" s="3" t="s">
        <v>3044</v>
      </c>
      <c r="E1511" s="3" t="s">
        <v>3540</v>
      </c>
      <c r="F1511" s="3" t="s">
        <v>3619</v>
      </c>
      <c r="G1511" s="10" t="s">
        <v>3628</v>
      </c>
      <c r="H1511" s="9" t="s">
        <v>13</v>
      </c>
      <c r="I1511" s="9" t="s">
        <v>3629</v>
      </c>
    </row>
    <row r="1512" customFormat="false" ht="15.75" hidden="false" customHeight="false" outlineLevel="0" collapsed="false">
      <c r="B1512" s="7" t="n">
        <v>46214</v>
      </c>
      <c r="C1512" s="3" t="s">
        <v>3630</v>
      </c>
      <c r="D1512" s="3" t="s">
        <v>3044</v>
      </c>
      <c r="E1512" s="3" t="s">
        <v>3540</v>
      </c>
      <c r="F1512" s="3" t="s">
        <v>3619</v>
      </c>
      <c r="G1512" s="10" t="s">
        <v>3631</v>
      </c>
      <c r="H1512" s="9" t="s">
        <v>13</v>
      </c>
      <c r="I1512" s="9" t="s">
        <v>3632</v>
      </c>
    </row>
    <row r="1513" customFormat="false" ht="15.75" hidden="false" customHeight="false" outlineLevel="0" collapsed="false">
      <c r="B1513" s="7" t="n">
        <v>46214</v>
      </c>
      <c r="C1513" s="3" t="s">
        <v>3633</v>
      </c>
      <c r="D1513" s="3" t="s">
        <v>3044</v>
      </c>
      <c r="E1513" s="3" t="s">
        <v>3540</v>
      </c>
      <c r="F1513" s="3" t="s">
        <v>3619</v>
      </c>
      <c r="G1513" s="10" t="s">
        <v>3634</v>
      </c>
      <c r="H1513" s="9" t="s">
        <v>13</v>
      </c>
      <c r="I1513" s="9" t="s">
        <v>3635</v>
      </c>
    </row>
    <row r="1514" customFormat="false" ht="15.75" hidden="false" customHeight="false" outlineLevel="0" collapsed="false">
      <c r="B1514" s="7" t="n">
        <v>46214</v>
      </c>
      <c r="C1514" s="3" t="s">
        <v>3636</v>
      </c>
      <c r="D1514" s="3" t="s">
        <v>3044</v>
      </c>
      <c r="E1514" s="3" t="s">
        <v>3540</v>
      </c>
      <c r="F1514" s="3" t="s">
        <v>3619</v>
      </c>
      <c r="G1514" s="10" t="s">
        <v>3637</v>
      </c>
      <c r="H1514" s="9" t="s">
        <v>13</v>
      </c>
      <c r="I1514" s="9" t="s">
        <v>3638</v>
      </c>
    </row>
    <row r="1515" customFormat="false" ht="15.75" hidden="false" customHeight="false" outlineLevel="0" collapsed="false">
      <c r="B1515" s="7" t="n">
        <v>46214</v>
      </c>
      <c r="C1515" s="3" t="s">
        <v>3639</v>
      </c>
      <c r="D1515" s="3" t="s">
        <v>3044</v>
      </c>
      <c r="E1515" s="3" t="s">
        <v>3540</v>
      </c>
      <c r="F1515" s="3" t="s">
        <v>3619</v>
      </c>
      <c r="G1515" s="10" t="s">
        <v>3640</v>
      </c>
      <c r="H1515" s="9" t="s">
        <v>13</v>
      </c>
      <c r="I1515" s="9" t="s">
        <v>3641</v>
      </c>
    </row>
    <row r="1516" customFormat="false" ht="15.75" hidden="false" customHeight="false" outlineLevel="0" collapsed="false">
      <c r="B1516" s="7" t="n">
        <v>46214</v>
      </c>
      <c r="C1516" s="3" t="s">
        <v>3642</v>
      </c>
      <c r="D1516" s="3" t="s">
        <v>3044</v>
      </c>
      <c r="E1516" s="3" t="s">
        <v>3540</v>
      </c>
      <c r="F1516" s="3" t="s">
        <v>3619</v>
      </c>
      <c r="G1516" s="8" t="s">
        <v>3643</v>
      </c>
      <c r="H1516" s="9" t="s">
        <v>13</v>
      </c>
      <c r="I1516" s="9" t="s">
        <v>3644</v>
      </c>
    </row>
    <row r="1517" customFormat="false" ht="15.75" hidden="false" customHeight="false" outlineLevel="0" collapsed="false">
      <c r="B1517" s="7" t="n">
        <v>46214</v>
      </c>
      <c r="C1517" s="3" t="s">
        <v>3645</v>
      </c>
      <c r="D1517" s="3" t="s">
        <v>3044</v>
      </c>
      <c r="E1517" s="3" t="s">
        <v>3540</v>
      </c>
      <c r="F1517" s="3" t="s">
        <v>3619</v>
      </c>
      <c r="G1517" s="8" t="s">
        <v>3643</v>
      </c>
      <c r="H1517" s="9" t="s">
        <v>13</v>
      </c>
      <c r="I1517" s="9" t="s">
        <v>3644</v>
      </c>
    </row>
    <row r="1518" customFormat="false" ht="15.75" hidden="false" customHeight="false" outlineLevel="0" collapsed="false">
      <c r="B1518" s="7" t="n">
        <v>46214</v>
      </c>
      <c r="C1518" s="3" t="s">
        <v>3646</v>
      </c>
      <c r="D1518" s="3" t="s">
        <v>3044</v>
      </c>
      <c r="E1518" s="3" t="s">
        <v>3540</v>
      </c>
      <c r="F1518" s="3" t="s">
        <v>3619</v>
      </c>
      <c r="G1518" s="8" t="s">
        <v>3643</v>
      </c>
      <c r="H1518" s="9" t="s">
        <v>13</v>
      </c>
      <c r="I1518" s="9" t="s">
        <v>3647</v>
      </c>
    </row>
    <row r="1519" customFormat="false" ht="15.75" hidden="false" customHeight="false" outlineLevel="0" collapsed="false">
      <c r="B1519" s="7" t="n">
        <v>46214</v>
      </c>
      <c r="C1519" s="3" t="s">
        <v>3648</v>
      </c>
      <c r="D1519" s="3" t="s">
        <v>3044</v>
      </c>
      <c r="E1519" s="3" t="s">
        <v>3540</v>
      </c>
      <c r="F1519" s="3" t="s">
        <v>3619</v>
      </c>
      <c r="G1519" s="8" t="s">
        <v>3649</v>
      </c>
      <c r="H1519" s="9" t="s">
        <v>13</v>
      </c>
      <c r="I1519" s="9" t="s">
        <v>3650</v>
      </c>
    </row>
    <row r="1520" customFormat="false" ht="15.75" hidden="false" customHeight="false" outlineLevel="0" collapsed="false">
      <c r="B1520" s="7" t="n">
        <v>46214</v>
      </c>
      <c r="C1520" s="3" t="s">
        <v>3651</v>
      </c>
      <c r="D1520" s="3" t="s">
        <v>3044</v>
      </c>
      <c r="E1520" s="3" t="s">
        <v>3540</v>
      </c>
      <c r="F1520" s="3" t="s">
        <v>3619</v>
      </c>
      <c r="G1520" s="8" t="s">
        <v>3649</v>
      </c>
      <c r="H1520" s="9" t="s">
        <v>13</v>
      </c>
      <c r="I1520" s="9" t="s">
        <v>3650</v>
      </c>
    </row>
    <row r="1521" customFormat="false" ht="15.75" hidden="false" customHeight="false" outlineLevel="0" collapsed="false">
      <c r="B1521" s="7" t="n">
        <v>46214</v>
      </c>
      <c r="C1521" s="3" t="s">
        <v>3652</v>
      </c>
      <c r="D1521" s="3" t="s">
        <v>3044</v>
      </c>
      <c r="E1521" s="3" t="s">
        <v>3540</v>
      </c>
      <c r="F1521" s="3" t="s">
        <v>3619</v>
      </c>
      <c r="G1521" s="8" t="s">
        <v>3653</v>
      </c>
      <c r="H1521" s="9" t="s">
        <v>13</v>
      </c>
      <c r="I1521" s="9" t="s">
        <v>3654</v>
      </c>
    </row>
    <row r="1522" customFormat="false" ht="15.75" hidden="false" customHeight="false" outlineLevel="0" collapsed="false">
      <c r="B1522" s="7" t="n">
        <v>46214</v>
      </c>
      <c r="C1522" s="3" t="s">
        <v>3655</v>
      </c>
      <c r="D1522" s="3" t="s">
        <v>3044</v>
      </c>
      <c r="E1522" s="3" t="s">
        <v>3540</v>
      </c>
      <c r="F1522" s="3" t="s">
        <v>3619</v>
      </c>
      <c r="G1522" s="10" t="s">
        <v>3656</v>
      </c>
      <c r="H1522" s="9" t="s">
        <v>13</v>
      </c>
      <c r="I1522" s="9" t="s">
        <v>3657</v>
      </c>
    </row>
    <row r="1523" customFormat="false" ht="15.75" hidden="false" customHeight="false" outlineLevel="0" collapsed="false">
      <c r="B1523" s="7" t="n">
        <v>46214</v>
      </c>
      <c r="C1523" s="3" t="s">
        <v>3658</v>
      </c>
      <c r="D1523" s="3" t="s">
        <v>3044</v>
      </c>
      <c r="E1523" s="3" t="s">
        <v>3540</v>
      </c>
      <c r="F1523" s="3" t="s">
        <v>3619</v>
      </c>
      <c r="G1523" s="10" t="s">
        <v>3659</v>
      </c>
      <c r="H1523" s="9" t="s">
        <v>13</v>
      </c>
      <c r="I1523" s="9" t="s">
        <v>3660</v>
      </c>
    </row>
    <row r="1524" customFormat="false" ht="15.75" hidden="false" customHeight="false" outlineLevel="0" collapsed="false">
      <c r="B1524" s="7" t="n">
        <v>46214</v>
      </c>
      <c r="C1524" s="3" t="s">
        <v>3661</v>
      </c>
      <c r="D1524" s="3" t="s">
        <v>3044</v>
      </c>
      <c r="E1524" s="3" t="s">
        <v>3540</v>
      </c>
      <c r="F1524" s="3" t="s">
        <v>3619</v>
      </c>
      <c r="G1524" s="8" t="s">
        <v>3662</v>
      </c>
      <c r="H1524" s="9" t="s">
        <v>13</v>
      </c>
      <c r="I1524" s="9" t="s">
        <v>3663</v>
      </c>
    </row>
    <row r="1525" customFormat="false" ht="15.75" hidden="false" customHeight="false" outlineLevel="0" collapsed="false">
      <c r="B1525" s="7" t="n">
        <v>46214</v>
      </c>
      <c r="C1525" s="3" t="s">
        <v>3664</v>
      </c>
      <c r="D1525" s="3" t="s">
        <v>3044</v>
      </c>
      <c r="E1525" s="3" t="s">
        <v>3540</v>
      </c>
      <c r="F1525" s="3" t="s">
        <v>3619</v>
      </c>
      <c r="G1525" s="10" t="s">
        <v>3665</v>
      </c>
      <c r="H1525" s="9" t="s">
        <v>13</v>
      </c>
      <c r="I1525" s="9" t="s">
        <v>3666</v>
      </c>
    </row>
    <row r="1526" customFormat="false" ht="15.75" hidden="false" customHeight="false" outlineLevel="0" collapsed="false">
      <c r="B1526" s="7" t="n">
        <v>46214</v>
      </c>
      <c r="C1526" s="3" t="s">
        <v>3667</v>
      </c>
      <c r="D1526" s="3" t="s">
        <v>3044</v>
      </c>
      <c r="E1526" s="3" t="s">
        <v>3540</v>
      </c>
      <c r="F1526" s="3" t="s">
        <v>3619</v>
      </c>
      <c r="G1526" s="10" t="s">
        <v>3637</v>
      </c>
      <c r="H1526" s="9" t="s">
        <v>13</v>
      </c>
      <c r="I1526" s="9" t="s">
        <v>3668</v>
      </c>
    </row>
    <row r="1527" customFormat="false" ht="15.75" hidden="false" customHeight="false" outlineLevel="0" collapsed="false">
      <c r="B1527" s="7" t="n">
        <v>46214</v>
      </c>
      <c r="C1527" s="3" t="s">
        <v>3669</v>
      </c>
      <c r="D1527" s="3" t="s">
        <v>3044</v>
      </c>
      <c r="E1527" s="3" t="s">
        <v>3540</v>
      </c>
      <c r="F1527" s="3" t="s">
        <v>3619</v>
      </c>
      <c r="G1527" s="10" t="s">
        <v>3637</v>
      </c>
      <c r="H1527" s="9" t="s">
        <v>13</v>
      </c>
      <c r="I1527" s="9" t="s">
        <v>3668</v>
      </c>
    </row>
    <row r="1528" customFormat="false" ht="15.75" hidden="false" customHeight="false" outlineLevel="0" collapsed="false">
      <c r="B1528" s="7" t="n">
        <v>46214</v>
      </c>
      <c r="C1528" s="3" t="s">
        <v>3670</v>
      </c>
      <c r="D1528" s="3" t="s">
        <v>3044</v>
      </c>
      <c r="E1528" s="3" t="s">
        <v>3540</v>
      </c>
      <c r="F1528" s="3" t="s">
        <v>3619</v>
      </c>
      <c r="G1528" s="10" t="s">
        <v>3637</v>
      </c>
      <c r="H1528" s="9" t="s">
        <v>13</v>
      </c>
      <c r="I1528" s="9" t="s">
        <v>3671</v>
      </c>
    </row>
    <row r="1529" customFormat="false" ht="15.75" hidden="false" customHeight="false" outlineLevel="0" collapsed="false">
      <c r="B1529" s="7" t="n">
        <v>46214</v>
      </c>
      <c r="C1529" s="3" t="s">
        <v>3672</v>
      </c>
      <c r="D1529" s="3" t="s">
        <v>3044</v>
      </c>
      <c r="E1529" s="3" t="s">
        <v>3540</v>
      </c>
      <c r="F1529" s="3" t="s">
        <v>3619</v>
      </c>
      <c r="G1529" s="10" t="s">
        <v>3399</v>
      </c>
      <c r="H1529" s="9" t="s">
        <v>13</v>
      </c>
      <c r="I1529" s="9" t="s">
        <v>3673</v>
      </c>
    </row>
    <row r="1530" customFormat="false" ht="15.75" hidden="false" customHeight="false" outlineLevel="0" collapsed="false">
      <c r="B1530" s="7" t="n">
        <v>46214</v>
      </c>
      <c r="C1530" s="3" t="s">
        <v>3674</v>
      </c>
      <c r="D1530" s="3" t="s">
        <v>3044</v>
      </c>
      <c r="E1530" s="3" t="s">
        <v>3540</v>
      </c>
      <c r="F1530" s="3" t="s">
        <v>3619</v>
      </c>
      <c r="G1530" s="10" t="s">
        <v>3399</v>
      </c>
      <c r="H1530" s="9" t="s">
        <v>13</v>
      </c>
      <c r="I1530" s="9" t="s">
        <v>3673</v>
      </c>
    </row>
    <row r="1531" customFormat="false" ht="15.75" hidden="false" customHeight="false" outlineLevel="0" collapsed="false">
      <c r="B1531" s="7" t="n">
        <v>46214</v>
      </c>
      <c r="C1531" s="3" t="s">
        <v>3675</v>
      </c>
      <c r="D1531" s="3" t="s">
        <v>3044</v>
      </c>
      <c r="E1531" s="3" t="s">
        <v>3540</v>
      </c>
      <c r="F1531" s="3" t="s">
        <v>3619</v>
      </c>
      <c r="G1531" s="10" t="s">
        <v>3637</v>
      </c>
      <c r="H1531" s="9" t="s">
        <v>13</v>
      </c>
      <c r="I1531" s="9" t="s">
        <v>3676</v>
      </c>
    </row>
    <row r="1532" customFormat="false" ht="15.75" hidden="false" customHeight="false" outlineLevel="0" collapsed="false">
      <c r="B1532" s="7" t="n">
        <v>46214</v>
      </c>
      <c r="C1532" s="3" t="s">
        <v>3677</v>
      </c>
      <c r="D1532" s="3" t="s">
        <v>3044</v>
      </c>
      <c r="E1532" s="3" t="s">
        <v>3540</v>
      </c>
      <c r="F1532" s="3" t="s">
        <v>3619</v>
      </c>
      <c r="G1532" s="10" t="s">
        <v>3637</v>
      </c>
      <c r="H1532" s="9" t="s">
        <v>13</v>
      </c>
      <c r="I1532" s="9" t="s">
        <v>3676</v>
      </c>
    </row>
    <row r="1533" customFormat="false" ht="15.75" hidden="false" customHeight="false" outlineLevel="0" collapsed="false">
      <c r="B1533" s="7" t="n">
        <v>46214</v>
      </c>
      <c r="C1533" s="3" t="s">
        <v>3678</v>
      </c>
      <c r="D1533" s="3" t="s">
        <v>3044</v>
      </c>
      <c r="E1533" s="3" t="s">
        <v>3540</v>
      </c>
      <c r="F1533" s="3" t="s">
        <v>3619</v>
      </c>
      <c r="G1533" s="10" t="s">
        <v>3637</v>
      </c>
      <c r="H1533" s="9" t="s">
        <v>13</v>
      </c>
      <c r="I1533" s="9" t="s">
        <v>3676</v>
      </c>
    </row>
    <row r="1534" customFormat="false" ht="15.75" hidden="false" customHeight="false" outlineLevel="0" collapsed="false">
      <c r="B1534" s="7" t="n">
        <v>46214</v>
      </c>
      <c r="C1534" s="3" t="s">
        <v>3679</v>
      </c>
      <c r="D1534" s="3" t="s">
        <v>3044</v>
      </c>
      <c r="E1534" s="3" t="s">
        <v>3540</v>
      </c>
      <c r="F1534" s="3" t="s">
        <v>3619</v>
      </c>
      <c r="G1534" s="10" t="s">
        <v>2471</v>
      </c>
      <c r="H1534" s="9" t="s">
        <v>13</v>
      </c>
      <c r="I1534" s="9" t="s">
        <v>3680</v>
      </c>
    </row>
    <row r="1535" customFormat="false" ht="15.75" hidden="false" customHeight="false" outlineLevel="0" collapsed="false">
      <c r="B1535" s="7" t="n">
        <v>46214</v>
      </c>
      <c r="C1535" s="3" t="s">
        <v>3681</v>
      </c>
      <c r="D1535" s="3" t="s">
        <v>3044</v>
      </c>
      <c r="E1535" s="3" t="s">
        <v>3540</v>
      </c>
      <c r="F1535" s="3" t="s">
        <v>3619</v>
      </c>
      <c r="G1535" s="10" t="s">
        <v>3682</v>
      </c>
      <c r="H1535" s="9" t="s">
        <v>13</v>
      </c>
      <c r="I1535" s="9" t="s">
        <v>3683</v>
      </c>
    </row>
    <row r="1536" customFormat="false" ht="15.75" hidden="false" customHeight="false" outlineLevel="0" collapsed="false">
      <c r="B1536" s="7" t="n">
        <v>46214</v>
      </c>
      <c r="C1536" s="3" t="s">
        <v>3684</v>
      </c>
      <c r="D1536" s="3" t="s">
        <v>3044</v>
      </c>
      <c r="E1536" s="3" t="s">
        <v>3540</v>
      </c>
      <c r="F1536" s="3" t="s">
        <v>3619</v>
      </c>
      <c r="G1536" s="10" t="s">
        <v>3682</v>
      </c>
      <c r="H1536" s="9" t="s">
        <v>13</v>
      </c>
      <c r="I1536" s="9" t="s">
        <v>3683</v>
      </c>
    </row>
    <row r="1537" customFormat="false" ht="15.75" hidden="false" customHeight="false" outlineLevel="0" collapsed="false">
      <c r="B1537" s="7" t="n">
        <v>46214</v>
      </c>
      <c r="C1537" s="3" t="s">
        <v>3685</v>
      </c>
      <c r="D1537" s="3" t="s">
        <v>3044</v>
      </c>
      <c r="E1537" s="3" t="s">
        <v>3540</v>
      </c>
      <c r="F1537" s="3" t="s">
        <v>3619</v>
      </c>
      <c r="G1537" s="10" t="s">
        <v>3656</v>
      </c>
      <c r="H1537" s="9" t="s">
        <v>13</v>
      </c>
      <c r="I1537" s="9" t="s">
        <v>3686</v>
      </c>
    </row>
    <row r="1538" customFormat="false" ht="15.75" hidden="false" customHeight="false" outlineLevel="0" collapsed="false">
      <c r="B1538" s="7" t="n">
        <v>46214</v>
      </c>
      <c r="C1538" s="3" t="s">
        <v>3687</v>
      </c>
      <c r="D1538" s="3" t="s">
        <v>3044</v>
      </c>
      <c r="E1538" s="3" t="s">
        <v>3540</v>
      </c>
      <c r="F1538" s="3" t="s">
        <v>3619</v>
      </c>
      <c r="G1538" s="10" t="s">
        <v>3656</v>
      </c>
      <c r="H1538" s="9" t="s">
        <v>13</v>
      </c>
      <c r="I1538" s="9" t="s">
        <v>3688</v>
      </c>
    </row>
    <row r="1539" customFormat="false" ht="15.75" hidden="false" customHeight="false" outlineLevel="0" collapsed="false">
      <c r="B1539" s="7" t="n">
        <v>46214</v>
      </c>
      <c r="C1539" s="3" t="s">
        <v>3689</v>
      </c>
      <c r="D1539" s="3" t="s">
        <v>3044</v>
      </c>
      <c r="E1539" s="3" t="s">
        <v>3540</v>
      </c>
      <c r="F1539" s="3" t="s">
        <v>3619</v>
      </c>
      <c r="G1539" s="10" t="s">
        <v>3656</v>
      </c>
      <c r="H1539" s="9" t="s">
        <v>13</v>
      </c>
      <c r="I1539" s="9" t="s">
        <v>3690</v>
      </c>
    </row>
    <row r="1540" customFormat="false" ht="15.75" hidden="false" customHeight="false" outlineLevel="0" collapsed="false">
      <c r="B1540" s="7" t="n">
        <v>46214</v>
      </c>
      <c r="C1540" s="3" t="s">
        <v>3691</v>
      </c>
      <c r="D1540" s="3" t="s">
        <v>3044</v>
      </c>
      <c r="E1540" s="3" t="s">
        <v>3540</v>
      </c>
      <c r="F1540" s="3" t="s">
        <v>3619</v>
      </c>
      <c r="G1540" s="10" t="s">
        <v>3692</v>
      </c>
      <c r="H1540" s="9" t="s">
        <v>13</v>
      </c>
      <c r="I1540" s="9" t="s">
        <v>3693</v>
      </c>
    </row>
    <row r="1541" customFormat="false" ht="15.75" hidden="false" customHeight="false" outlineLevel="0" collapsed="false">
      <c r="B1541" s="7" t="n">
        <v>46214</v>
      </c>
      <c r="C1541" s="3" t="s">
        <v>3694</v>
      </c>
      <c r="D1541" s="3" t="s">
        <v>3044</v>
      </c>
      <c r="E1541" s="3" t="s">
        <v>3540</v>
      </c>
      <c r="F1541" s="3" t="s">
        <v>3619</v>
      </c>
      <c r="G1541" s="10" t="s">
        <v>3692</v>
      </c>
      <c r="H1541" s="9" t="s">
        <v>13</v>
      </c>
      <c r="I1541" s="9" t="s">
        <v>3693</v>
      </c>
    </row>
    <row r="1542" customFormat="false" ht="15.75" hidden="false" customHeight="false" outlineLevel="0" collapsed="false">
      <c r="B1542" s="7" t="n">
        <v>46214</v>
      </c>
      <c r="C1542" s="3" t="s">
        <v>3695</v>
      </c>
      <c r="D1542" s="3" t="s">
        <v>3044</v>
      </c>
      <c r="E1542" s="3" t="s">
        <v>3540</v>
      </c>
      <c r="F1542" s="3" t="s">
        <v>3619</v>
      </c>
      <c r="G1542" s="10" t="s">
        <v>3692</v>
      </c>
      <c r="H1542" s="9" t="s">
        <v>13</v>
      </c>
      <c r="I1542" s="9" t="s">
        <v>3696</v>
      </c>
    </row>
    <row r="1543" customFormat="false" ht="15.75" hidden="false" customHeight="false" outlineLevel="0" collapsed="false">
      <c r="B1543" s="7" t="n">
        <v>46214</v>
      </c>
      <c r="C1543" s="3" t="s">
        <v>3697</v>
      </c>
      <c r="D1543" s="3" t="s">
        <v>3044</v>
      </c>
      <c r="E1543" s="3" t="s">
        <v>2546</v>
      </c>
      <c r="F1543" s="3" t="s">
        <v>2547</v>
      </c>
      <c r="G1543" s="8" t="s">
        <v>3698</v>
      </c>
      <c r="H1543" s="9" t="s">
        <v>13</v>
      </c>
      <c r="I1543" s="9" t="s">
        <v>3699</v>
      </c>
    </row>
    <row r="1544" customFormat="false" ht="15.75" hidden="false" customHeight="false" outlineLevel="0" collapsed="false">
      <c r="B1544" s="7" t="n">
        <v>46214</v>
      </c>
      <c r="C1544" s="3" t="s">
        <v>3700</v>
      </c>
      <c r="D1544" s="3" t="s">
        <v>3044</v>
      </c>
      <c r="E1544" s="3" t="s">
        <v>2546</v>
      </c>
      <c r="F1544" s="3" t="s">
        <v>2547</v>
      </c>
      <c r="G1544" s="8" t="s">
        <v>3701</v>
      </c>
      <c r="H1544" s="9" t="s">
        <v>13</v>
      </c>
      <c r="I1544" s="9" t="s">
        <v>3702</v>
      </c>
    </row>
    <row r="1545" customFormat="false" ht="15.75" hidden="false" customHeight="false" outlineLevel="0" collapsed="false">
      <c r="B1545" s="7" t="n">
        <v>46214</v>
      </c>
      <c r="C1545" s="3" t="s">
        <v>3703</v>
      </c>
      <c r="D1545" s="3" t="s">
        <v>3044</v>
      </c>
      <c r="E1545" s="3" t="s">
        <v>2546</v>
      </c>
      <c r="F1545" s="3" t="s">
        <v>2547</v>
      </c>
      <c r="G1545" s="8" t="s">
        <v>3704</v>
      </c>
      <c r="H1545" s="9" t="s">
        <v>13</v>
      </c>
      <c r="I1545" s="9" t="s">
        <v>3705</v>
      </c>
    </row>
    <row r="1546" customFormat="false" ht="15.75" hidden="false" customHeight="false" outlineLevel="0" collapsed="false">
      <c r="B1546" s="7" t="n">
        <v>46214</v>
      </c>
      <c r="C1546" s="3" t="s">
        <v>3706</v>
      </c>
      <c r="D1546" s="3" t="s">
        <v>3044</v>
      </c>
      <c r="E1546" s="3" t="s">
        <v>2546</v>
      </c>
      <c r="F1546" s="3" t="s">
        <v>2547</v>
      </c>
      <c r="G1546" s="8" t="s">
        <v>3707</v>
      </c>
      <c r="H1546" s="9" t="s">
        <v>13</v>
      </c>
      <c r="I1546" s="9" t="s">
        <v>3708</v>
      </c>
    </row>
    <row r="1547" customFormat="false" ht="15.75" hidden="false" customHeight="false" outlineLevel="0" collapsed="false">
      <c r="B1547" s="7" t="n">
        <v>46214</v>
      </c>
      <c r="C1547" s="3" t="s">
        <v>3709</v>
      </c>
      <c r="D1547" s="3" t="s">
        <v>3044</v>
      </c>
      <c r="E1547" s="3" t="s">
        <v>2546</v>
      </c>
      <c r="F1547" s="3" t="s">
        <v>2547</v>
      </c>
      <c r="G1547" s="8" t="s">
        <v>3707</v>
      </c>
      <c r="H1547" s="9" t="s">
        <v>13</v>
      </c>
      <c r="I1547" s="9" t="s">
        <v>3708</v>
      </c>
    </row>
    <row r="1548" customFormat="false" ht="15.75" hidden="false" customHeight="false" outlineLevel="0" collapsed="false">
      <c r="B1548" s="7" t="n">
        <v>46236</v>
      </c>
      <c r="C1548" s="3" t="s">
        <v>3710</v>
      </c>
      <c r="D1548" s="3" t="s">
        <v>3044</v>
      </c>
      <c r="E1548" s="3" t="s">
        <v>3131</v>
      </c>
      <c r="F1548" s="3" t="s">
        <v>3132</v>
      </c>
      <c r="G1548" s="10" t="s">
        <v>3155</v>
      </c>
      <c r="H1548" s="9" t="s">
        <v>13</v>
      </c>
      <c r="I1548" s="9" t="s">
        <v>3711</v>
      </c>
    </row>
    <row r="1549" customFormat="false" ht="15.75" hidden="false" customHeight="false" outlineLevel="0" collapsed="false">
      <c r="B1549" s="7" t="n">
        <v>46214</v>
      </c>
      <c r="C1549" s="3" t="s">
        <v>3712</v>
      </c>
      <c r="D1549" s="3" t="s">
        <v>3044</v>
      </c>
      <c r="E1549" s="3" t="s">
        <v>2546</v>
      </c>
      <c r="F1549" s="3" t="s">
        <v>2547</v>
      </c>
      <c r="G1549" s="10" t="s">
        <v>2172</v>
      </c>
      <c r="H1549" s="9" t="s">
        <v>13</v>
      </c>
      <c r="I1549" s="9" t="s">
        <v>3713</v>
      </c>
    </row>
    <row r="1550" customFormat="false" ht="15.75" hidden="false" customHeight="false" outlineLevel="0" collapsed="false">
      <c r="B1550" s="7" t="n">
        <v>46214</v>
      </c>
      <c r="C1550" s="3" t="s">
        <v>3714</v>
      </c>
      <c r="D1550" s="3" t="s">
        <v>3044</v>
      </c>
      <c r="E1550" s="3" t="s">
        <v>2546</v>
      </c>
      <c r="F1550" s="3" t="s">
        <v>2547</v>
      </c>
      <c r="G1550" s="8" t="s">
        <v>3715</v>
      </c>
      <c r="H1550" s="9" t="s">
        <v>13</v>
      </c>
      <c r="I1550" s="9" t="s">
        <v>3716</v>
      </c>
    </row>
    <row r="1551" customFormat="false" ht="15.75" hidden="false" customHeight="false" outlineLevel="0" collapsed="false">
      <c r="B1551" s="7" t="n">
        <v>46214</v>
      </c>
      <c r="C1551" s="3" t="s">
        <v>3717</v>
      </c>
      <c r="D1551" s="3" t="s">
        <v>3044</v>
      </c>
      <c r="E1551" s="3" t="s">
        <v>2546</v>
      </c>
      <c r="F1551" s="3" t="s">
        <v>2547</v>
      </c>
      <c r="G1551" s="10" t="s">
        <v>3718</v>
      </c>
      <c r="H1551" s="9" t="s">
        <v>13</v>
      </c>
      <c r="I1551" s="9" t="s">
        <v>3719</v>
      </c>
    </row>
    <row r="1552" customFormat="false" ht="15.75" hidden="false" customHeight="false" outlineLevel="0" collapsed="false">
      <c r="B1552" s="7" t="n">
        <v>46214</v>
      </c>
      <c r="C1552" s="3" t="s">
        <v>3720</v>
      </c>
      <c r="D1552" s="3" t="s">
        <v>3044</v>
      </c>
      <c r="E1552" s="3" t="s">
        <v>2546</v>
      </c>
      <c r="F1552" s="3" t="s">
        <v>2547</v>
      </c>
      <c r="G1552" s="10" t="s">
        <v>3245</v>
      </c>
      <c r="H1552" s="9" t="s">
        <v>13</v>
      </c>
      <c r="I1552" s="9" t="s">
        <v>3721</v>
      </c>
    </row>
    <row r="1553" customFormat="false" ht="15.75" hidden="false" customHeight="false" outlineLevel="0" collapsed="false">
      <c r="B1553" s="7" t="n">
        <v>46214</v>
      </c>
      <c r="C1553" s="3" t="s">
        <v>3722</v>
      </c>
      <c r="D1553" s="3" t="s">
        <v>3044</v>
      </c>
      <c r="E1553" s="3" t="s">
        <v>2546</v>
      </c>
      <c r="F1553" s="3" t="s">
        <v>2547</v>
      </c>
      <c r="G1553" s="10" t="s">
        <v>3245</v>
      </c>
      <c r="H1553" s="9" t="s">
        <v>13</v>
      </c>
      <c r="I1553" s="9" t="s">
        <v>3723</v>
      </c>
    </row>
    <row r="1554" customFormat="false" ht="15.75" hidden="false" customHeight="false" outlineLevel="0" collapsed="false">
      <c r="B1554" s="7" t="n">
        <v>46214</v>
      </c>
      <c r="C1554" s="3" t="s">
        <v>3724</v>
      </c>
      <c r="D1554" s="3" t="s">
        <v>3044</v>
      </c>
      <c r="E1554" s="3" t="s">
        <v>2546</v>
      </c>
      <c r="F1554" s="3" t="s">
        <v>2547</v>
      </c>
      <c r="G1554" s="10" t="s">
        <v>3725</v>
      </c>
      <c r="H1554" s="9" t="s">
        <v>13</v>
      </c>
      <c r="I1554" s="9" t="s">
        <v>3726</v>
      </c>
    </row>
    <row r="1555" customFormat="false" ht="15.75" hidden="false" customHeight="false" outlineLevel="0" collapsed="false">
      <c r="B1555" s="7" t="n">
        <v>46214</v>
      </c>
      <c r="C1555" s="3" t="s">
        <v>3727</v>
      </c>
      <c r="D1555" s="3" t="s">
        <v>3044</v>
      </c>
      <c r="E1555" s="3" t="s">
        <v>2546</v>
      </c>
      <c r="F1555" s="3" t="s">
        <v>2547</v>
      </c>
      <c r="G1555" s="10" t="s">
        <v>2144</v>
      </c>
      <c r="H1555" s="9" t="s">
        <v>13</v>
      </c>
      <c r="I1555" s="9" t="s">
        <v>3728</v>
      </c>
    </row>
    <row r="1556" customFormat="false" ht="15.75" hidden="false" customHeight="false" outlineLevel="0" collapsed="false">
      <c r="B1556" s="7" t="n">
        <v>46214</v>
      </c>
      <c r="C1556" s="3" t="s">
        <v>3729</v>
      </c>
      <c r="D1556" s="3" t="s">
        <v>3044</v>
      </c>
      <c r="E1556" s="3" t="s">
        <v>2546</v>
      </c>
      <c r="F1556" s="3" t="s">
        <v>2547</v>
      </c>
      <c r="G1556" s="10" t="s">
        <v>3730</v>
      </c>
      <c r="H1556" s="9" t="s">
        <v>13</v>
      </c>
      <c r="I1556" s="9" t="s">
        <v>3731</v>
      </c>
    </row>
    <row r="1557" customFormat="false" ht="15.75" hidden="false" customHeight="false" outlineLevel="0" collapsed="false">
      <c r="B1557" s="7" t="n">
        <v>46214</v>
      </c>
      <c r="C1557" s="3" t="s">
        <v>3732</v>
      </c>
      <c r="D1557" s="3" t="s">
        <v>3044</v>
      </c>
      <c r="E1557" s="3" t="s">
        <v>2546</v>
      </c>
      <c r="F1557" s="3" t="s">
        <v>2547</v>
      </c>
      <c r="G1557" s="8" t="s">
        <v>3733</v>
      </c>
      <c r="H1557" s="9" t="s">
        <v>13</v>
      </c>
      <c r="I1557" s="9" t="s">
        <v>3734</v>
      </c>
    </row>
    <row r="1558" customFormat="false" ht="15.75" hidden="false" customHeight="false" outlineLevel="0" collapsed="false">
      <c r="B1558" s="7" t="n">
        <v>46214</v>
      </c>
      <c r="C1558" s="3" t="s">
        <v>3735</v>
      </c>
      <c r="D1558" s="3" t="s">
        <v>3044</v>
      </c>
      <c r="E1558" s="3" t="s">
        <v>2546</v>
      </c>
      <c r="F1558" s="3" t="s">
        <v>2547</v>
      </c>
      <c r="G1558" s="10" t="s">
        <v>3736</v>
      </c>
      <c r="H1558" s="9" t="s">
        <v>13</v>
      </c>
      <c r="I1558" s="9" t="s">
        <v>3737</v>
      </c>
    </row>
    <row r="1559" customFormat="false" ht="15.75" hidden="false" customHeight="false" outlineLevel="0" collapsed="false">
      <c r="B1559" s="7" t="n">
        <v>46214</v>
      </c>
      <c r="C1559" s="3" t="s">
        <v>3738</v>
      </c>
      <c r="D1559" s="3" t="s">
        <v>3044</v>
      </c>
      <c r="E1559" s="3" t="s">
        <v>2546</v>
      </c>
      <c r="F1559" s="3" t="s">
        <v>2547</v>
      </c>
      <c r="G1559" s="8" t="s">
        <v>3739</v>
      </c>
      <c r="H1559" s="9" t="s">
        <v>13</v>
      </c>
      <c r="I1559" s="9" t="s">
        <v>3740</v>
      </c>
    </row>
    <row r="1560" customFormat="false" ht="15.75" hidden="false" customHeight="false" outlineLevel="0" collapsed="false">
      <c r="B1560" s="7" t="n">
        <v>46214</v>
      </c>
      <c r="C1560" s="3" t="s">
        <v>3741</v>
      </c>
      <c r="D1560" s="3" t="s">
        <v>3044</v>
      </c>
      <c r="E1560" s="3" t="s">
        <v>2546</v>
      </c>
      <c r="F1560" s="3" t="s">
        <v>2547</v>
      </c>
      <c r="G1560" s="8" t="s">
        <v>3742</v>
      </c>
      <c r="H1560" s="9" t="s">
        <v>13</v>
      </c>
      <c r="I1560" s="9" t="s">
        <v>3743</v>
      </c>
    </row>
    <row r="1561" customFormat="false" ht="15.75" hidden="false" customHeight="false" outlineLevel="0" collapsed="false">
      <c r="B1561" s="7" t="n">
        <v>46214</v>
      </c>
      <c r="C1561" s="3" t="s">
        <v>3744</v>
      </c>
      <c r="D1561" s="3" t="s">
        <v>3044</v>
      </c>
      <c r="E1561" s="3" t="s">
        <v>2546</v>
      </c>
      <c r="F1561" s="3" t="s">
        <v>2547</v>
      </c>
      <c r="G1561" s="8" t="s">
        <v>3745</v>
      </c>
      <c r="H1561" s="9" t="s">
        <v>13</v>
      </c>
      <c r="I1561" s="9" t="s">
        <v>3746</v>
      </c>
    </row>
    <row r="1562" customFormat="false" ht="15.75" hidden="false" customHeight="false" outlineLevel="0" collapsed="false">
      <c r="B1562" s="7" t="n">
        <v>46214</v>
      </c>
      <c r="C1562" s="3" t="s">
        <v>3747</v>
      </c>
      <c r="D1562" s="3" t="s">
        <v>3044</v>
      </c>
      <c r="E1562" s="3" t="s">
        <v>2546</v>
      </c>
      <c r="F1562" s="3" t="s">
        <v>2547</v>
      </c>
      <c r="G1562" s="10" t="s">
        <v>3549</v>
      </c>
      <c r="H1562" s="9" t="s">
        <v>13</v>
      </c>
      <c r="I1562" s="9" t="s">
        <v>3748</v>
      </c>
    </row>
    <row r="1563" customFormat="false" ht="15.75" hidden="false" customHeight="false" outlineLevel="0" collapsed="false">
      <c r="B1563" s="7" t="n">
        <v>46214</v>
      </c>
      <c r="C1563" s="3" t="s">
        <v>3749</v>
      </c>
      <c r="D1563" s="3" t="s">
        <v>3044</v>
      </c>
      <c r="E1563" s="3" t="s">
        <v>2546</v>
      </c>
      <c r="F1563" s="3" t="s">
        <v>2547</v>
      </c>
      <c r="G1563" s="10" t="s">
        <v>3549</v>
      </c>
      <c r="H1563" s="9" t="s">
        <v>13</v>
      </c>
      <c r="I1563" s="9" t="s">
        <v>3748</v>
      </c>
    </row>
    <row r="1564" customFormat="false" ht="15.75" hidden="false" customHeight="false" outlineLevel="0" collapsed="false">
      <c r="B1564" s="7" t="n">
        <v>46214</v>
      </c>
      <c r="C1564" s="3" t="s">
        <v>3750</v>
      </c>
      <c r="D1564" s="3" t="s">
        <v>3044</v>
      </c>
      <c r="E1564" s="3" t="s">
        <v>2546</v>
      </c>
      <c r="F1564" s="3" t="s">
        <v>2547</v>
      </c>
      <c r="G1564" s="10" t="s">
        <v>3751</v>
      </c>
      <c r="H1564" s="9" t="s">
        <v>13</v>
      </c>
      <c r="I1564" s="9" t="s">
        <v>3752</v>
      </c>
    </row>
    <row r="1565" customFormat="false" ht="15.75" hidden="false" customHeight="false" outlineLevel="0" collapsed="false">
      <c r="B1565" s="7" t="n">
        <v>46214</v>
      </c>
      <c r="C1565" s="3" t="s">
        <v>3753</v>
      </c>
      <c r="D1565" s="3" t="s">
        <v>3044</v>
      </c>
      <c r="E1565" s="3" t="s">
        <v>2546</v>
      </c>
      <c r="F1565" s="3" t="s">
        <v>2547</v>
      </c>
      <c r="G1565" s="10" t="s">
        <v>2531</v>
      </c>
      <c r="H1565" s="9" t="s">
        <v>13</v>
      </c>
      <c r="I1565" s="9" t="s">
        <v>3754</v>
      </c>
    </row>
    <row r="1566" customFormat="false" ht="15.75" hidden="false" customHeight="false" outlineLevel="0" collapsed="false">
      <c r="B1566" s="7" t="n">
        <v>46214</v>
      </c>
      <c r="C1566" s="3" t="s">
        <v>3755</v>
      </c>
      <c r="D1566" s="3" t="s">
        <v>3044</v>
      </c>
      <c r="E1566" s="3" t="s">
        <v>2546</v>
      </c>
      <c r="F1566" s="3" t="s">
        <v>2547</v>
      </c>
      <c r="G1566" s="10" t="s">
        <v>3756</v>
      </c>
      <c r="H1566" s="9" t="s">
        <v>13</v>
      </c>
      <c r="I1566" s="9" t="s">
        <v>3757</v>
      </c>
    </row>
    <row r="1567" customFormat="false" ht="15.75" hidden="false" customHeight="false" outlineLevel="0" collapsed="false">
      <c r="B1567" s="7" t="n">
        <v>46214</v>
      </c>
      <c r="C1567" s="3" t="s">
        <v>3758</v>
      </c>
      <c r="D1567" s="3" t="s">
        <v>3044</v>
      </c>
      <c r="E1567" s="3" t="s">
        <v>2546</v>
      </c>
      <c r="F1567" s="3" t="s">
        <v>2547</v>
      </c>
      <c r="G1567" s="8" t="s">
        <v>3759</v>
      </c>
      <c r="H1567" s="9" t="s">
        <v>13</v>
      </c>
      <c r="I1567" s="9" t="s">
        <v>3760</v>
      </c>
    </row>
    <row r="1568" customFormat="false" ht="15.75" hidden="false" customHeight="false" outlineLevel="0" collapsed="false">
      <c r="B1568" s="7" t="n">
        <v>46214</v>
      </c>
      <c r="C1568" s="3" t="s">
        <v>3761</v>
      </c>
      <c r="D1568" s="3" t="s">
        <v>3044</v>
      </c>
      <c r="E1568" s="3" t="s">
        <v>2546</v>
      </c>
      <c r="F1568" s="3" t="s">
        <v>2547</v>
      </c>
      <c r="G1568" s="8" t="s">
        <v>3762</v>
      </c>
      <c r="H1568" s="9" t="s">
        <v>13</v>
      </c>
      <c r="I1568" s="9" t="s">
        <v>3763</v>
      </c>
    </row>
    <row r="1569" customFormat="false" ht="15.75" hidden="false" customHeight="false" outlineLevel="0" collapsed="false">
      <c r="B1569" s="7" t="n">
        <v>46214</v>
      </c>
      <c r="C1569" s="3" t="s">
        <v>3764</v>
      </c>
      <c r="D1569" s="3" t="s">
        <v>3044</v>
      </c>
      <c r="E1569" s="3" t="s">
        <v>2546</v>
      </c>
      <c r="F1569" s="3" t="s">
        <v>2547</v>
      </c>
      <c r="G1569" s="8" t="s">
        <v>3762</v>
      </c>
      <c r="H1569" s="9" t="s">
        <v>13</v>
      </c>
      <c r="I1569" s="9" t="s">
        <v>3763</v>
      </c>
    </row>
    <row r="1570" customFormat="false" ht="15.75" hidden="false" customHeight="false" outlineLevel="0" collapsed="false">
      <c r="B1570" s="7" t="n">
        <v>46214</v>
      </c>
      <c r="C1570" s="3" t="s">
        <v>3765</v>
      </c>
      <c r="D1570" s="3" t="s">
        <v>3044</v>
      </c>
      <c r="E1570" s="3" t="s">
        <v>2546</v>
      </c>
      <c r="F1570" s="3" t="s">
        <v>2547</v>
      </c>
      <c r="G1570" s="10" t="s">
        <v>3766</v>
      </c>
      <c r="H1570" s="9" t="s">
        <v>13</v>
      </c>
      <c r="I1570" s="9" t="s">
        <v>3767</v>
      </c>
    </row>
    <row r="1571" customFormat="false" ht="15.75" hidden="false" customHeight="false" outlineLevel="0" collapsed="false">
      <c r="B1571" s="7" t="n">
        <v>46214</v>
      </c>
      <c r="C1571" s="3" t="s">
        <v>3768</v>
      </c>
      <c r="D1571" s="3" t="s">
        <v>3044</v>
      </c>
      <c r="E1571" s="3" t="s">
        <v>2546</v>
      </c>
      <c r="F1571" s="3" t="s">
        <v>2547</v>
      </c>
      <c r="G1571" s="10" t="s">
        <v>3769</v>
      </c>
      <c r="H1571" s="9" t="s">
        <v>13</v>
      </c>
      <c r="I1571" s="9" t="s">
        <v>3770</v>
      </c>
    </row>
    <row r="1572" customFormat="false" ht="15.75" hidden="false" customHeight="false" outlineLevel="0" collapsed="false">
      <c r="B1572" s="7" t="n">
        <v>46214</v>
      </c>
      <c r="C1572" s="3" t="s">
        <v>3771</v>
      </c>
      <c r="D1572" s="3" t="s">
        <v>3044</v>
      </c>
      <c r="E1572" s="3" t="s">
        <v>2546</v>
      </c>
      <c r="F1572" s="3" t="s">
        <v>2547</v>
      </c>
      <c r="G1572" s="10" t="s">
        <v>2511</v>
      </c>
      <c r="H1572" s="9" t="s">
        <v>13</v>
      </c>
      <c r="I1572" s="9" t="s">
        <v>3772</v>
      </c>
    </row>
    <row r="1573" customFormat="false" ht="15.75" hidden="false" customHeight="false" outlineLevel="0" collapsed="false">
      <c r="B1573" s="7" t="n">
        <v>46214</v>
      </c>
      <c r="C1573" s="3" t="s">
        <v>3773</v>
      </c>
      <c r="D1573" s="3" t="s">
        <v>3044</v>
      </c>
      <c r="E1573" s="3" t="s">
        <v>2546</v>
      </c>
      <c r="F1573" s="3" t="s">
        <v>2547</v>
      </c>
      <c r="G1573" s="8" t="s">
        <v>3774</v>
      </c>
      <c r="H1573" s="9" t="s">
        <v>13</v>
      </c>
      <c r="I1573" s="9" t="s">
        <v>3775</v>
      </c>
    </row>
    <row r="1574" customFormat="false" ht="15.75" hidden="false" customHeight="false" outlineLevel="0" collapsed="false">
      <c r="B1574" s="7" t="n">
        <v>46214</v>
      </c>
      <c r="C1574" s="3" t="s">
        <v>3776</v>
      </c>
      <c r="D1574" s="3" t="s">
        <v>3044</v>
      </c>
      <c r="E1574" s="3" t="s">
        <v>2546</v>
      </c>
      <c r="F1574" s="3" t="s">
        <v>2547</v>
      </c>
      <c r="G1574" s="10" t="s">
        <v>3399</v>
      </c>
      <c r="H1574" s="9" t="s">
        <v>13</v>
      </c>
      <c r="I1574" s="9" t="s">
        <v>3777</v>
      </c>
    </row>
    <row r="1575" customFormat="false" ht="15.75" hidden="false" customHeight="false" outlineLevel="0" collapsed="false">
      <c r="B1575" s="7" t="n">
        <v>46214</v>
      </c>
      <c r="C1575" s="3" t="s">
        <v>3778</v>
      </c>
      <c r="D1575" s="3" t="s">
        <v>3044</v>
      </c>
      <c r="E1575" s="3" t="s">
        <v>2546</v>
      </c>
      <c r="F1575" s="3" t="s">
        <v>2547</v>
      </c>
      <c r="G1575" s="10" t="s">
        <v>2438</v>
      </c>
      <c r="H1575" s="9" t="s">
        <v>13</v>
      </c>
      <c r="I1575" s="9" t="s">
        <v>3779</v>
      </c>
    </row>
    <row r="1576" customFormat="false" ht="15.75" hidden="false" customHeight="false" outlineLevel="0" collapsed="false">
      <c r="B1576" s="7" t="n">
        <v>46214</v>
      </c>
      <c r="C1576" s="3" t="s">
        <v>3780</v>
      </c>
      <c r="D1576" s="3" t="s">
        <v>3044</v>
      </c>
      <c r="E1576" s="3" t="s">
        <v>2546</v>
      </c>
      <c r="F1576" s="3" t="s">
        <v>2547</v>
      </c>
      <c r="G1576" s="10" t="s">
        <v>1777</v>
      </c>
      <c r="H1576" s="9" t="s">
        <v>13</v>
      </c>
      <c r="I1576" s="9" t="s">
        <v>3781</v>
      </c>
    </row>
    <row r="1577" customFormat="false" ht="15.75" hidden="false" customHeight="false" outlineLevel="0" collapsed="false">
      <c r="B1577" s="7" t="n">
        <v>46214</v>
      </c>
      <c r="C1577" s="3" t="s">
        <v>3782</v>
      </c>
      <c r="D1577" s="3" t="s">
        <v>3044</v>
      </c>
      <c r="E1577" s="3" t="s">
        <v>2546</v>
      </c>
      <c r="F1577" s="3" t="s">
        <v>2547</v>
      </c>
      <c r="G1577" s="10" t="s">
        <v>1777</v>
      </c>
      <c r="H1577" s="9" t="s">
        <v>13</v>
      </c>
      <c r="I1577" s="9" t="s">
        <v>3783</v>
      </c>
    </row>
    <row r="1578" customFormat="false" ht="15.75" hidden="false" customHeight="false" outlineLevel="0" collapsed="false">
      <c r="B1578" s="7" t="n">
        <v>46214</v>
      </c>
      <c r="C1578" s="3" t="s">
        <v>3784</v>
      </c>
      <c r="D1578" s="3" t="s">
        <v>3044</v>
      </c>
      <c r="E1578" s="3" t="s">
        <v>2546</v>
      </c>
      <c r="F1578" s="3" t="s">
        <v>3785</v>
      </c>
      <c r="G1578" s="10" t="s">
        <v>2343</v>
      </c>
      <c r="H1578" s="9" t="s">
        <v>13</v>
      </c>
      <c r="I1578" s="9" t="s">
        <v>3786</v>
      </c>
    </row>
    <row r="1579" customFormat="false" ht="15.75" hidden="false" customHeight="false" outlineLevel="0" collapsed="false">
      <c r="B1579" s="7" t="n">
        <v>46214</v>
      </c>
      <c r="C1579" s="3" t="s">
        <v>3787</v>
      </c>
      <c r="D1579" s="3" t="s">
        <v>3044</v>
      </c>
      <c r="E1579" s="3" t="s">
        <v>2546</v>
      </c>
      <c r="F1579" s="3" t="s">
        <v>3785</v>
      </c>
      <c r="G1579" s="10" t="s">
        <v>2343</v>
      </c>
      <c r="H1579" s="9" t="s">
        <v>13</v>
      </c>
      <c r="I1579" s="9" t="s">
        <v>3788</v>
      </c>
    </row>
    <row r="1580" customFormat="false" ht="15.75" hidden="false" customHeight="false" outlineLevel="0" collapsed="false">
      <c r="B1580" s="7" t="n">
        <v>46214</v>
      </c>
      <c r="C1580" s="3" t="s">
        <v>3789</v>
      </c>
      <c r="D1580" s="3" t="s">
        <v>3044</v>
      </c>
      <c r="E1580" s="3" t="s">
        <v>2546</v>
      </c>
      <c r="F1580" s="3" t="s">
        <v>3785</v>
      </c>
      <c r="G1580" s="8" t="s">
        <v>3790</v>
      </c>
      <c r="H1580" s="9" t="s">
        <v>13</v>
      </c>
      <c r="I1580" s="9" t="s">
        <v>3791</v>
      </c>
    </row>
    <row r="1581" customFormat="false" ht="15.75" hidden="false" customHeight="false" outlineLevel="0" collapsed="false">
      <c r="B1581" s="7" t="n">
        <v>46214</v>
      </c>
      <c r="C1581" s="3" t="s">
        <v>3792</v>
      </c>
      <c r="D1581" s="3" t="s">
        <v>3044</v>
      </c>
      <c r="E1581" s="3" t="s">
        <v>2546</v>
      </c>
      <c r="F1581" s="3" t="s">
        <v>3785</v>
      </c>
      <c r="G1581" s="8" t="s">
        <v>3640</v>
      </c>
      <c r="H1581" s="9" t="s">
        <v>13</v>
      </c>
      <c r="I1581" s="9" t="s">
        <v>3793</v>
      </c>
    </row>
    <row r="1582" customFormat="false" ht="15.75" hidden="false" customHeight="false" outlineLevel="0" collapsed="false">
      <c r="B1582" s="7" t="n">
        <v>46214</v>
      </c>
      <c r="C1582" s="3" t="s">
        <v>3794</v>
      </c>
      <c r="D1582" s="3" t="s">
        <v>3044</v>
      </c>
      <c r="E1582" s="3" t="s">
        <v>2546</v>
      </c>
      <c r="F1582" s="3" t="s">
        <v>3785</v>
      </c>
      <c r="G1582" s="10" t="s">
        <v>3795</v>
      </c>
      <c r="H1582" s="9" t="s">
        <v>13</v>
      </c>
      <c r="I1582" s="9" t="s">
        <v>3796</v>
      </c>
    </row>
    <row r="1583" customFormat="false" ht="15.75" hidden="false" customHeight="false" outlineLevel="0" collapsed="false">
      <c r="B1583" s="7" t="n">
        <v>46214</v>
      </c>
      <c r="C1583" s="3" t="s">
        <v>3797</v>
      </c>
      <c r="D1583" s="3" t="s">
        <v>3044</v>
      </c>
      <c r="E1583" s="3" t="s">
        <v>2546</v>
      </c>
      <c r="F1583" s="3" t="s">
        <v>3785</v>
      </c>
      <c r="G1583" s="8" t="s">
        <v>3798</v>
      </c>
      <c r="H1583" s="9" t="s">
        <v>13</v>
      </c>
      <c r="I1583" s="9" t="s">
        <v>3799</v>
      </c>
    </row>
    <row r="1584" customFormat="false" ht="15.75" hidden="false" customHeight="false" outlineLevel="0" collapsed="false">
      <c r="B1584" s="7" t="n">
        <v>46214</v>
      </c>
      <c r="C1584" s="3" t="s">
        <v>3800</v>
      </c>
      <c r="D1584" s="3" t="s">
        <v>3044</v>
      </c>
      <c r="E1584" s="3" t="s">
        <v>2546</v>
      </c>
      <c r="F1584" s="3" t="s">
        <v>3785</v>
      </c>
      <c r="G1584" s="10" t="s">
        <v>2693</v>
      </c>
      <c r="H1584" s="9" t="s">
        <v>13</v>
      </c>
      <c r="I1584" s="9" t="s">
        <v>3801</v>
      </c>
    </row>
    <row r="1585" customFormat="false" ht="15.75" hidden="false" customHeight="false" outlineLevel="0" collapsed="false">
      <c r="B1585" s="7" t="n">
        <v>46214</v>
      </c>
      <c r="C1585" s="3" t="s">
        <v>3802</v>
      </c>
      <c r="D1585" s="3" t="s">
        <v>3044</v>
      </c>
      <c r="E1585" s="3" t="s">
        <v>2546</v>
      </c>
      <c r="F1585" s="3" t="s">
        <v>3785</v>
      </c>
      <c r="G1585" s="10" t="s">
        <v>3803</v>
      </c>
      <c r="H1585" s="9" t="s">
        <v>13</v>
      </c>
      <c r="I1585" s="9" t="s">
        <v>3804</v>
      </c>
    </row>
    <row r="1586" customFormat="false" ht="15.75" hidden="false" customHeight="false" outlineLevel="0" collapsed="false">
      <c r="B1586" s="7" t="n">
        <v>46214</v>
      </c>
      <c r="C1586" s="3" t="s">
        <v>3805</v>
      </c>
      <c r="D1586" s="3" t="s">
        <v>3044</v>
      </c>
      <c r="E1586" s="3" t="s">
        <v>2546</v>
      </c>
      <c r="F1586" s="3" t="s">
        <v>3785</v>
      </c>
      <c r="G1586" s="10" t="s">
        <v>3803</v>
      </c>
      <c r="H1586" s="9" t="s">
        <v>13</v>
      </c>
      <c r="I1586" s="9" t="s">
        <v>3806</v>
      </c>
    </row>
    <row r="1587" customFormat="false" ht="15.75" hidden="false" customHeight="false" outlineLevel="0" collapsed="false">
      <c r="B1587" s="7" t="n">
        <v>46214</v>
      </c>
      <c r="C1587" s="3" t="s">
        <v>3807</v>
      </c>
      <c r="D1587" s="3" t="s">
        <v>3044</v>
      </c>
      <c r="E1587" s="3" t="s">
        <v>2546</v>
      </c>
      <c r="F1587" s="3" t="s">
        <v>3785</v>
      </c>
      <c r="G1587" s="10" t="s">
        <v>3803</v>
      </c>
      <c r="H1587" s="9" t="s">
        <v>13</v>
      </c>
      <c r="I1587" s="9" t="s">
        <v>3808</v>
      </c>
    </row>
    <row r="1588" customFormat="false" ht="15.75" hidden="false" customHeight="false" outlineLevel="0" collapsed="false">
      <c r="B1588" s="7" t="n">
        <v>46214</v>
      </c>
      <c r="C1588" s="3" t="s">
        <v>3809</v>
      </c>
      <c r="D1588" s="3" t="s">
        <v>3044</v>
      </c>
      <c r="E1588" s="3" t="s">
        <v>2546</v>
      </c>
      <c r="F1588" s="3" t="s">
        <v>3785</v>
      </c>
      <c r="G1588" s="8" t="s">
        <v>3798</v>
      </c>
      <c r="H1588" s="9" t="s">
        <v>13</v>
      </c>
      <c r="I1588" s="9" t="s">
        <v>3810</v>
      </c>
    </row>
    <row r="1589" customFormat="false" ht="15.75" hidden="false" customHeight="false" outlineLevel="0" collapsed="false">
      <c r="B1589" s="7" t="n">
        <v>46214</v>
      </c>
      <c r="C1589" s="3" t="s">
        <v>3811</v>
      </c>
      <c r="D1589" s="3" t="s">
        <v>3044</v>
      </c>
      <c r="E1589" s="3" t="s">
        <v>2546</v>
      </c>
      <c r="F1589" s="3" t="s">
        <v>3785</v>
      </c>
      <c r="G1589" s="8" t="s">
        <v>3587</v>
      </c>
      <c r="H1589" s="9" t="s">
        <v>13</v>
      </c>
      <c r="I1589" s="9" t="s">
        <v>3812</v>
      </c>
    </row>
    <row r="1590" customFormat="false" ht="15.75" hidden="false" customHeight="false" outlineLevel="0" collapsed="false">
      <c r="B1590" s="7" t="n">
        <v>46214</v>
      </c>
      <c r="C1590" s="3" t="s">
        <v>3813</v>
      </c>
      <c r="D1590" s="3" t="s">
        <v>3044</v>
      </c>
      <c r="E1590" s="3" t="s">
        <v>2546</v>
      </c>
      <c r="F1590" s="3" t="s">
        <v>3785</v>
      </c>
      <c r="G1590" s="8" t="s">
        <v>3814</v>
      </c>
      <c r="H1590" s="9" t="s">
        <v>13</v>
      </c>
      <c r="I1590" s="9" t="s">
        <v>3815</v>
      </c>
    </row>
    <row r="1591" customFormat="false" ht="15.75" hidden="false" customHeight="false" outlineLevel="0" collapsed="false">
      <c r="B1591" s="7" t="n">
        <v>46214</v>
      </c>
      <c r="C1591" s="3" t="s">
        <v>3816</v>
      </c>
      <c r="D1591" s="3" t="s">
        <v>3044</v>
      </c>
      <c r="E1591" s="3" t="s">
        <v>2546</v>
      </c>
      <c r="F1591" s="3" t="s">
        <v>3785</v>
      </c>
      <c r="G1591" s="8" t="s">
        <v>3814</v>
      </c>
      <c r="H1591" s="9" t="s">
        <v>13</v>
      </c>
      <c r="I1591" s="9" t="s">
        <v>3817</v>
      </c>
    </row>
    <row r="1592" customFormat="false" ht="15.75" hidden="false" customHeight="false" outlineLevel="0" collapsed="false">
      <c r="B1592" s="7" t="n">
        <v>46214</v>
      </c>
      <c r="C1592" s="3" t="s">
        <v>3818</v>
      </c>
      <c r="D1592" s="3" t="s">
        <v>3044</v>
      </c>
      <c r="E1592" s="3" t="s">
        <v>2546</v>
      </c>
      <c r="F1592" s="3" t="s">
        <v>3785</v>
      </c>
      <c r="G1592" s="10" t="s">
        <v>3682</v>
      </c>
      <c r="H1592" s="9" t="s">
        <v>13</v>
      </c>
      <c r="I1592" s="9" t="s">
        <v>3819</v>
      </c>
    </row>
    <row r="1593" customFormat="false" ht="15.75" hidden="false" customHeight="false" outlineLevel="0" collapsed="false">
      <c r="B1593" s="7" t="n">
        <v>46214</v>
      </c>
      <c r="C1593" s="3" t="s">
        <v>3820</v>
      </c>
      <c r="D1593" s="3" t="s">
        <v>3044</v>
      </c>
      <c r="E1593" s="3" t="s">
        <v>2546</v>
      </c>
      <c r="F1593" s="3" t="s">
        <v>3785</v>
      </c>
      <c r="G1593" s="8" t="s">
        <v>3821</v>
      </c>
      <c r="H1593" s="9" t="s">
        <v>13</v>
      </c>
      <c r="I1593" s="9" t="s">
        <v>3822</v>
      </c>
    </row>
    <row r="1594" customFormat="false" ht="15.75" hidden="false" customHeight="false" outlineLevel="0" collapsed="false">
      <c r="B1594" s="7" t="n">
        <v>46214</v>
      </c>
      <c r="C1594" s="3" t="s">
        <v>3823</v>
      </c>
      <c r="D1594" s="3" t="s">
        <v>3044</v>
      </c>
      <c r="E1594" s="3" t="s">
        <v>2546</v>
      </c>
      <c r="F1594" s="3" t="s">
        <v>3785</v>
      </c>
      <c r="G1594" s="10" t="s">
        <v>3692</v>
      </c>
      <c r="H1594" s="9" t="s">
        <v>13</v>
      </c>
      <c r="I1594" s="9" t="s">
        <v>3824</v>
      </c>
    </row>
    <row r="1595" customFormat="false" ht="15.75" hidden="false" customHeight="false" outlineLevel="0" collapsed="false">
      <c r="B1595" s="7" t="n">
        <v>46214</v>
      </c>
      <c r="C1595" s="3" t="s">
        <v>3825</v>
      </c>
      <c r="D1595" s="3" t="s">
        <v>3044</v>
      </c>
      <c r="E1595" s="3" t="s">
        <v>2546</v>
      </c>
      <c r="F1595" s="3" t="s">
        <v>3785</v>
      </c>
      <c r="G1595" s="10" t="s">
        <v>2589</v>
      </c>
      <c r="H1595" s="9" t="s">
        <v>13</v>
      </c>
      <c r="I1595" s="9" t="s">
        <v>3826</v>
      </c>
    </row>
    <row r="1596" customFormat="false" ht="15.75" hidden="false" customHeight="false" outlineLevel="0" collapsed="false">
      <c r="B1596" s="7" t="n">
        <v>46214</v>
      </c>
      <c r="C1596" s="3" t="s">
        <v>3827</v>
      </c>
      <c r="D1596" s="3" t="s">
        <v>3044</v>
      </c>
      <c r="E1596" s="3" t="s">
        <v>2546</v>
      </c>
      <c r="F1596" s="3" t="s">
        <v>3785</v>
      </c>
      <c r="G1596" s="10" t="s">
        <v>2589</v>
      </c>
      <c r="H1596" s="9" t="s">
        <v>13</v>
      </c>
      <c r="I1596" s="9" t="s">
        <v>3826</v>
      </c>
    </row>
    <row r="1597" customFormat="false" ht="15.75" hidden="false" customHeight="false" outlineLevel="0" collapsed="false">
      <c r="B1597" s="7" t="n">
        <v>46214</v>
      </c>
      <c r="C1597" s="3" t="s">
        <v>3828</v>
      </c>
      <c r="D1597" s="3" t="s">
        <v>3044</v>
      </c>
      <c r="E1597" s="3" t="s">
        <v>2546</v>
      </c>
      <c r="F1597" s="3" t="s">
        <v>3785</v>
      </c>
      <c r="G1597" s="8" t="s">
        <v>3643</v>
      </c>
      <c r="H1597" s="9" t="s">
        <v>13</v>
      </c>
      <c r="I1597" s="9" t="s">
        <v>3829</v>
      </c>
    </row>
    <row r="1598" customFormat="false" ht="15.75" hidden="false" customHeight="false" outlineLevel="0" collapsed="false">
      <c r="B1598" s="7" t="n">
        <v>46214</v>
      </c>
      <c r="C1598" s="3" t="s">
        <v>3830</v>
      </c>
      <c r="D1598" s="3" t="s">
        <v>3044</v>
      </c>
      <c r="E1598" s="3" t="s">
        <v>2546</v>
      </c>
      <c r="F1598" s="3" t="s">
        <v>3785</v>
      </c>
      <c r="G1598" s="10" t="s">
        <v>3470</v>
      </c>
      <c r="H1598" s="9" t="s">
        <v>13</v>
      </c>
      <c r="I1598" s="9" t="s">
        <v>3831</v>
      </c>
    </row>
    <row r="1599" customFormat="false" ht="15.75" hidden="false" customHeight="false" outlineLevel="0" collapsed="false">
      <c r="B1599" s="7" t="n">
        <v>46214</v>
      </c>
      <c r="C1599" s="3" t="s">
        <v>3832</v>
      </c>
      <c r="D1599" s="3" t="s">
        <v>3044</v>
      </c>
      <c r="E1599" s="3" t="s">
        <v>2546</v>
      </c>
      <c r="F1599" s="3" t="s">
        <v>3785</v>
      </c>
      <c r="G1599" s="10" t="s">
        <v>2797</v>
      </c>
      <c r="H1599" s="9" t="s">
        <v>13</v>
      </c>
      <c r="I1599" s="9" t="s">
        <v>3833</v>
      </c>
    </row>
    <row r="1600" customFormat="false" ht="15.75" hidden="false" customHeight="false" outlineLevel="0" collapsed="false">
      <c r="B1600" s="7" t="n">
        <v>46214</v>
      </c>
      <c r="C1600" s="3" t="s">
        <v>3834</v>
      </c>
      <c r="D1600" s="3" t="s">
        <v>3044</v>
      </c>
      <c r="E1600" s="3" t="s">
        <v>2546</v>
      </c>
      <c r="F1600" s="3" t="s">
        <v>3785</v>
      </c>
      <c r="G1600" s="10" t="s">
        <v>2797</v>
      </c>
      <c r="H1600" s="9" t="s">
        <v>13</v>
      </c>
      <c r="I1600" s="9" t="s">
        <v>3833</v>
      </c>
    </row>
    <row r="1601" customFormat="false" ht="15.75" hidden="false" customHeight="false" outlineLevel="0" collapsed="false">
      <c r="B1601" s="7" t="n">
        <v>46214</v>
      </c>
      <c r="C1601" s="3" t="s">
        <v>3835</v>
      </c>
      <c r="D1601" s="3" t="s">
        <v>3044</v>
      </c>
      <c r="E1601" s="3" t="s">
        <v>2546</v>
      </c>
      <c r="F1601" s="3" t="s">
        <v>3785</v>
      </c>
      <c r="G1601" s="10" t="s">
        <v>2797</v>
      </c>
      <c r="H1601" s="9" t="s">
        <v>13</v>
      </c>
      <c r="I1601" s="9" t="s">
        <v>3833</v>
      </c>
    </row>
    <row r="1602" customFormat="false" ht="15.75" hidden="false" customHeight="false" outlineLevel="0" collapsed="false">
      <c r="B1602" s="7" t="n">
        <v>46214</v>
      </c>
      <c r="C1602" s="3" t="s">
        <v>3836</v>
      </c>
      <c r="D1602" s="3" t="s">
        <v>3044</v>
      </c>
      <c r="E1602" s="3" t="s">
        <v>2546</v>
      </c>
      <c r="F1602" s="3" t="s">
        <v>3785</v>
      </c>
      <c r="G1602" s="10" t="s">
        <v>2797</v>
      </c>
      <c r="H1602" s="9" t="s">
        <v>13</v>
      </c>
      <c r="I1602" s="9" t="s">
        <v>3833</v>
      </c>
    </row>
    <row r="1603" customFormat="false" ht="15.75" hidden="false" customHeight="false" outlineLevel="0" collapsed="false">
      <c r="B1603" s="7" t="n">
        <v>46214</v>
      </c>
      <c r="C1603" s="3" t="s">
        <v>3837</v>
      </c>
      <c r="D1603" s="3" t="s">
        <v>3044</v>
      </c>
      <c r="E1603" s="3" t="s">
        <v>2546</v>
      </c>
      <c r="F1603" s="3" t="s">
        <v>3785</v>
      </c>
      <c r="G1603" s="10" t="s">
        <v>467</v>
      </c>
      <c r="H1603" s="9" t="s">
        <v>13</v>
      </c>
      <c r="I1603" s="9" t="s">
        <v>3838</v>
      </c>
    </row>
    <row r="1604" customFormat="false" ht="15.75" hidden="false" customHeight="false" outlineLevel="0" collapsed="false">
      <c r="B1604" s="7" t="n">
        <v>46214</v>
      </c>
      <c r="C1604" s="3" t="s">
        <v>3839</v>
      </c>
      <c r="D1604" s="3" t="s">
        <v>3044</v>
      </c>
      <c r="E1604" s="3" t="s">
        <v>2546</v>
      </c>
      <c r="F1604" s="3" t="s">
        <v>3785</v>
      </c>
      <c r="G1604" s="10" t="s">
        <v>3840</v>
      </c>
      <c r="H1604" s="9" t="s">
        <v>13</v>
      </c>
      <c r="I1604" s="9" t="s">
        <v>3841</v>
      </c>
    </row>
    <row r="1605" customFormat="false" ht="15.75" hidden="false" customHeight="false" outlineLevel="0" collapsed="false">
      <c r="B1605" s="7" t="n">
        <v>46214</v>
      </c>
      <c r="C1605" s="3" t="s">
        <v>3842</v>
      </c>
      <c r="D1605" s="3" t="s">
        <v>3044</v>
      </c>
      <c r="E1605" s="3" t="s">
        <v>2546</v>
      </c>
      <c r="F1605" s="3" t="s">
        <v>3785</v>
      </c>
      <c r="G1605" s="10" t="s">
        <v>3840</v>
      </c>
      <c r="H1605" s="9" t="s">
        <v>13</v>
      </c>
      <c r="I1605" s="9" t="s">
        <v>3841</v>
      </c>
    </row>
    <row r="1606" customFormat="false" ht="15.75" hidden="false" customHeight="false" outlineLevel="0" collapsed="false">
      <c r="B1606" s="7" t="n">
        <v>46214</v>
      </c>
      <c r="C1606" s="3" t="s">
        <v>3843</v>
      </c>
      <c r="D1606" s="3" t="s">
        <v>3044</v>
      </c>
      <c r="E1606" s="3" t="s">
        <v>2546</v>
      </c>
      <c r="F1606" s="3" t="s">
        <v>3785</v>
      </c>
      <c r="G1606" s="10" t="s">
        <v>3840</v>
      </c>
      <c r="H1606" s="9" t="s">
        <v>13</v>
      </c>
      <c r="I1606" s="9" t="s">
        <v>3841</v>
      </c>
    </row>
    <row r="1607" customFormat="false" ht="15.75" hidden="false" customHeight="false" outlineLevel="0" collapsed="false">
      <c r="B1607" s="7" t="n">
        <v>46214</v>
      </c>
      <c r="C1607" s="3" t="s">
        <v>3844</v>
      </c>
      <c r="D1607" s="3" t="s">
        <v>3044</v>
      </c>
      <c r="E1607" s="3" t="s">
        <v>2546</v>
      </c>
      <c r="F1607" s="3" t="s">
        <v>3785</v>
      </c>
      <c r="G1607" s="10" t="s">
        <v>2797</v>
      </c>
      <c r="H1607" s="9" t="s">
        <v>13</v>
      </c>
      <c r="I1607" s="9" t="s">
        <v>3845</v>
      </c>
    </row>
    <row r="1608" customFormat="false" ht="15.75" hidden="false" customHeight="false" outlineLevel="0" collapsed="false">
      <c r="B1608" s="7" t="n">
        <v>46214</v>
      </c>
      <c r="C1608" s="3" t="s">
        <v>3846</v>
      </c>
      <c r="D1608" s="3" t="s">
        <v>3044</v>
      </c>
      <c r="E1608" s="3" t="s">
        <v>2546</v>
      </c>
      <c r="F1608" s="3" t="s">
        <v>3785</v>
      </c>
      <c r="G1608" s="10" t="s">
        <v>2797</v>
      </c>
      <c r="H1608" s="9" t="s">
        <v>13</v>
      </c>
      <c r="I1608" s="9" t="s">
        <v>3845</v>
      </c>
    </row>
    <row r="1609" customFormat="false" ht="15.75" hidden="false" customHeight="false" outlineLevel="0" collapsed="false">
      <c r="B1609" s="7" t="n">
        <v>46214</v>
      </c>
      <c r="C1609" s="3" t="s">
        <v>3847</v>
      </c>
      <c r="D1609" s="3" t="s">
        <v>3044</v>
      </c>
      <c r="E1609" s="3" t="s">
        <v>2546</v>
      </c>
      <c r="F1609" s="3" t="s">
        <v>3785</v>
      </c>
      <c r="G1609" s="10" t="s">
        <v>3848</v>
      </c>
      <c r="H1609" s="9" t="s">
        <v>13</v>
      </c>
      <c r="I1609" s="9" t="s">
        <v>3849</v>
      </c>
    </row>
    <row r="1610" customFormat="false" ht="15.75" hidden="false" customHeight="false" outlineLevel="0" collapsed="false">
      <c r="B1610" s="7" t="n">
        <v>46214</v>
      </c>
      <c r="C1610" s="3" t="s">
        <v>3850</v>
      </c>
      <c r="D1610" s="3" t="s">
        <v>3044</v>
      </c>
      <c r="E1610" s="3" t="s">
        <v>2546</v>
      </c>
      <c r="F1610" s="3" t="s">
        <v>3785</v>
      </c>
      <c r="G1610" s="10" t="s">
        <v>3851</v>
      </c>
      <c r="H1610" s="9" t="s">
        <v>13</v>
      </c>
      <c r="I1610" s="9" t="s">
        <v>3852</v>
      </c>
    </row>
    <row r="1611" customFormat="false" ht="15.75" hidden="false" customHeight="false" outlineLevel="0" collapsed="false">
      <c r="B1611" s="7" t="n">
        <v>46214</v>
      </c>
      <c r="C1611" s="3" t="s">
        <v>3853</v>
      </c>
      <c r="D1611" s="3" t="s">
        <v>3044</v>
      </c>
      <c r="E1611" s="3" t="s">
        <v>2546</v>
      </c>
      <c r="F1611" s="3" t="s">
        <v>3785</v>
      </c>
      <c r="G1611" s="10" t="s">
        <v>3851</v>
      </c>
      <c r="H1611" s="9" t="s">
        <v>13</v>
      </c>
      <c r="I1611" s="9" t="s">
        <v>3852</v>
      </c>
    </row>
    <row r="1612" customFormat="false" ht="15.75" hidden="false" customHeight="false" outlineLevel="0" collapsed="false">
      <c r="B1612" s="7" t="n">
        <v>46214</v>
      </c>
      <c r="C1612" s="3" t="s">
        <v>3854</v>
      </c>
      <c r="D1612" s="3" t="s">
        <v>3044</v>
      </c>
      <c r="E1612" s="3" t="s">
        <v>2546</v>
      </c>
      <c r="F1612" s="3" t="s">
        <v>3785</v>
      </c>
      <c r="G1612" s="10" t="s">
        <v>3855</v>
      </c>
      <c r="H1612" s="9" t="s">
        <v>13</v>
      </c>
      <c r="I1612" s="9" t="s">
        <v>3856</v>
      </c>
    </row>
    <row r="1613" customFormat="false" ht="15.75" hidden="false" customHeight="false" outlineLevel="0" collapsed="false">
      <c r="B1613" s="7" t="n">
        <v>46214</v>
      </c>
      <c r="C1613" s="3" t="s">
        <v>3857</v>
      </c>
      <c r="D1613" s="3" t="s">
        <v>3044</v>
      </c>
      <c r="E1613" s="3" t="s">
        <v>2546</v>
      </c>
      <c r="F1613" s="3" t="s">
        <v>3858</v>
      </c>
      <c r="G1613" s="10" t="s">
        <v>3859</v>
      </c>
      <c r="H1613" s="9" t="s">
        <v>13</v>
      </c>
      <c r="I1613" s="9" t="s">
        <v>3860</v>
      </c>
    </row>
    <row r="1614" customFormat="false" ht="15.75" hidden="false" customHeight="false" outlineLevel="0" collapsed="false">
      <c r="B1614" s="7" t="n">
        <v>46214</v>
      </c>
      <c r="C1614" s="3" t="s">
        <v>3861</v>
      </c>
      <c r="D1614" s="3" t="s">
        <v>3044</v>
      </c>
      <c r="E1614" s="3" t="s">
        <v>2546</v>
      </c>
      <c r="F1614" s="3" t="s">
        <v>3858</v>
      </c>
      <c r="G1614" s="10" t="s">
        <v>3862</v>
      </c>
      <c r="H1614" s="9" t="s">
        <v>13</v>
      </c>
      <c r="I1614" s="9" t="s">
        <v>3863</v>
      </c>
    </row>
    <row r="1615" customFormat="false" ht="15.75" hidden="false" customHeight="false" outlineLevel="0" collapsed="false">
      <c r="B1615" s="7" t="n">
        <v>46214</v>
      </c>
      <c r="C1615" s="3" t="s">
        <v>3864</v>
      </c>
      <c r="D1615" s="3" t="s">
        <v>3044</v>
      </c>
      <c r="E1615" s="3" t="s">
        <v>2546</v>
      </c>
      <c r="F1615" s="3" t="s">
        <v>3858</v>
      </c>
      <c r="G1615" s="10" t="s">
        <v>3862</v>
      </c>
      <c r="H1615" s="9" t="s">
        <v>13</v>
      </c>
      <c r="I1615" s="9" t="s">
        <v>3863</v>
      </c>
    </row>
    <row r="1616" customFormat="false" ht="15.75" hidden="false" customHeight="false" outlineLevel="0" collapsed="false">
      <c r="B1616" s="7" t="n">
        <v>46214</v>
      </c>
      <c r="C1616" s="3" t="s">
        <v>3865</v>
      </c>
      <c r="D1616" s="3" t="s">
        <v>3044</v>
      </c>
      <c r="E1616" s="3" t="s">
        <v>2546</v>
      </c>
      <c r="F1616" s="3" t="s">
        <v>3858</v>
      </c>
      <c r="G1616" s="10" t="s">
        <v>3451</v>
      </c>
      <c r="H1616" s="9" t="s">
        <v>13</v>
      </c>
      <c r="I1616" s="9" t="s">
        <v>3866</v>
      </c>
    </row>
    <row r="1617" customFormat="false" ht="15.75" hidden="false" customHeight="false" outlineLevel="0" collapsed="false">
      <c r="B1617" s="7" t="n">
        <v>46214</v>
      </c>
      <c r="C1617" s="3" t="s">
        <v>3867</v>
      </c>
      <c r="D1617" s="3" t="s">
        <v>3044</v>
      </c>
      <c r="E1617" s="3" t="s">
        <v>2546</v>
      </c>
      <c r="F1617" s="3" t="s">
        <v>3858</v>
      </c>
      <c r="G1617" s="8" t="s">
        <v>3868</v>
      </c>
      <c r="H1617" s="9" t="s">
        <v>13</v>
      </c>
      <c r="I1617" s="9" t="s">
        <v>3869</v>
      </c>
    </row>
    <row r="1618" customFormat="false" ht="15.75" hidden="false" customHeight="false" outlineLevel="0" collapsed="false">
      <c r="B1618" s="7" t="n">
        <v>46214</v>
      </c>
      <c r="C1618" s="3" t="s">
        <v>3870</v>
      </c>
      <c r="D1618" s="3" t="s">
        <v>3044</v>
      </c>
      <c r="E1618" s="3" t="s">
        <v>2546</v>
      </c>
      <c r="F1618" s="3" t="s">
        <v>3858</v>
      </c>
      <c r="G1618" s="8" t="s">
        <v>3868</v>
      </c>
      <c r="H1618" s="9" t="s">
        <v>13</v>
      </c>
      <c r="I1618" s="9" t="s">
        <v>3869</v>
      </c>
    </row>
    <row r="1619" customFormat="false" ht="15.75" hidden="false" customHeight="false" outlineLevel="0" collapsed="false">
      <c r="B1619" s="7" t="n">
        <v>46214</v>
      </c>
      <c r="C1619" s="3" t="s">
        <v>3871</v>
      </c>
      <c r="D1619" s="3" t="s">
        <v>3044</v>
      </c>
      <c r="E1619" s="3" t="s">
        <v>2546</v>
      </c>
      <c r="F1619" s="3" t="s">
        <v>3858</v>
      </c>
      <c r="G1619" s="8" t="s">
        <v>3868</v>
      </c>
      <c r="H1619" s="9" t="s">
        <v>13</v>
      </c>
      <c r="I1619" s="9" t="s">
        <v>3869</v>
      </c>
    </row>
    <row r="1620" customFormat="false" ht="15.75" hidden="false" customHeight="false" outlineLevel="0" collapsed="false">
      <c r="B1620" s="7" t="n">
        <v>46214</v>
      </c>
      <c r="C1620" s="3" t="s">
        <v>3872</v>
      </c>
      <c r="D1620" s="3" t="s">
        <v>3044</v>
      </c>
      <c r="E1620" s="3" t="s">
        <v>2546</v>
      </c>
      <c r="F1620" s="3" t="s">
        <v>3858</v>
      </c>
      <c r="G1620" s="8" t="s">
        <v>3868</v>
      </c>
      <c r="H1620" s="9" t="s">
        <v>13</v>
      </c>
      <c r="I1620" s="9" t="s">
        <v>3869</v>
      </c>
    </row>
    <row r="1621" customFormat="false" ht="15.75" hidden="false" customHeight="false" outlineLevel="0" collapsed="false">
      <c r="B1621" s="7" t="n">
        <v>46214</v>
      </c>
      <c r="C1621" s="3" t="s">
        <v>3873</v>
      </c>
      <c r="D1621" s="3" t="s">
        <v>3044</v>
      </c>
      <c r="E1621" s="3" t="s">
        <v>2546</v>
      </c>
      <c r="F1621" s="3" t="s">
        <v>3858</v>
      </c>
      <c r="G1621" s="8" t="s">
        <v>3874</v>
      </c>
      <c r="H1621" s="9" t="s">
        <v>13</v>
      </c>
      <c r="I1621" s="9" t="s">
        <v>3875</v>
      </c>
    </row>
    <row r="1622" customFormat="false" ht="15.75" hidden="false" customHeight="false" outlineLevel="0" collapsed="false">
      <c r="B1622" s="7" t="n">
        <v>46214</v>
      </c>
      <c r="C1622" s="3" t="s">
        <v>3876</v>
      </c>
      <c r="D1622" s="3" t="s">
        <v>3044</v>
      </c>
      <c r="E1622" s="3" t="s">
        <v>2546</v>
      </c>
      <c r="F1622" s="3" t="s">
        <v>3858</v>
      </c>
      <c r="G1622" s="10" t="s">
        <v>3877</v>
      </c>
      <c r="H1622" s="9" t="s">
        <v>13</v>
      </c>
      <c r="I1622" s="9" t="s">
        <v>3878</v>
      </c>
    </row>
    <row r="1623" customFormat="false" ht="15.75" hidden="false" customHeight="false" outlineLevel="0" collapsed="false">
      <c r="B1623" s="7" t="n">
        <v>46214</v>
      </c>
      <c r="C1623" s="3" t="s">
        <v>3879</v>
      </c>
      <c r="D1623" s="3" t="s">
        <v>3044</v>
      </c>
      <c r="E1623" s="3" t="s">
        <v>2546</v>
      </c>
      <c r="F1623" s="3" t="s">
        <v>3858</v>
      </c>
      <c r="G1623" s="10" t="s">
        <v>3877</v>
      </c>
      <c r="H1623" s="9" t="s">
        <v>13</v>
      </c>
      <c r="I1623" s="9" t="s">
        <v>3878</v>
      </c>
    </row>
    <row r="1624" customFormat="false" ht="15.75" hidden="false" customHeight="false" outlineLevel="0" collapsed="false">
      <c r="B1624" s="7" t="n">
        <v>46214</v>
      </c>
      <c r="C1624" s="3" t="s">
        <v>3880</v>
      </c>
      <c r="D1624" s="3" t="s">
        <v>3044</v>
      </c>
      <c r="E1624" s="3" t="s">
        <v>2546</v>
      </c>
      <c r="F1624" s="3" t="s">
        <v>3858</v>
      </c>
      <c r="G1624" s="10" t="s">
        <v>2172</v>
      </c>
      <c r="H1624" s="9" t="s">
        <v>13</v>
      </c>
      <c r="I1624" s="9" t="s">
        <v>3881</v>
      </c>
    </row>
    <row r="1625" customFormat="false" ht="15.75" hidden="false" customHeight="false" outlineLevel="0" collapsed="false">
      <c r="B1625" s="7" t="n">
        <v>46214</v>
      </c>
      <c r="C1625" s="3" t="s">
        <v>3882</v>
      </c>
      <c r="D1625" s="3" t="s">
        <v>3044</v>
      </c>
      <c r="E1625" s="3" t="s">
        <v>2546</v>
      </c>
      <c r="F1625" s="3" t="s">
        <v>3858</v>
      </c>
      <c r="G1625" s="10" t="s">
        <v>3883</v>
      </c>
      <c r="H1625" s="9" t="s">
        <v>13</v>
      </c>
      <c r="I1625" s="9" t="s">
        <v>3884</v>
      </c>
    </row>
    <row r="1626" customFormat="false" ht="15.75" hidden="false" customHeight="false" outlineLevel="0" collapsed="false">
      <c r="B1626" s="7" t="n">
        <v>46214</v>
      </c>
      <c r="C1626" s="3" t="s">
        <v>3885</v>
      </c>
      <c r="D1626" s="3" t="s">
        <v>3044</v>
      </c>
      <c r="E1626" s="3" t="s">
        <v>2546</v>
      </c>
      <c r="F1626" s="3" t="s">
        <v>3858</v>
      </c>
      <c r="G1626" s="10" t="s">
        <v>3886</v>
      </c>
      <c r="H1626" s="9" t="s">
        <v>13</v>
      </c>
      <c r="I1626" s="9" t="s">
        <v>3887</v>
      </c>
    </row>
    <row r="1627" customFormat="false" ht="15.75" hidden="false" customHeight="false" outlineLevel="0" collapsed="false">
      <c r="B1627" s="7" t="n">
        <v>46214</v>
      </c>
      <c r="C1627" s="3" t="s">
        <v>3888</v>
      </c>
      <c r="D1627" s="3" t="s">
        <v>3044</v>
      </c>
      <c r="E1627" s="3" t="s">
        <v>2546</v>
      </c>
      <c r="F1627" s="3" t="s">
        <v>3858</v>
      </c>
      <c r="G1627" s="10" t="s">
        <v>3886</v>
      </c>
      <c r="H1627" s="9" t="s">
        <v>13</v>
      </c>
      <c r="I1627" s="9" t="s">
        <v>3889</v>
      </c>
    </row>
    <row r="1628" customFormat="false" ht="15.75" hidden="false" customHeight="false" outlineLevel="0" collapsed="false">
      <c r="B1628" s="7" t="n">
        <v>46214</v>
      </c>
      <c r="C1628" s="3" t="s">
        <v>3890</v>
      </c>
      <c r="D1628" s="3" t="s">
        <v>3044</v>
      </c>
      <c r="E1628" s="3" t="s">
        <v>2546</v>
      </c>
      <c r="F1628" s="3" t="s">
        <v>3858</v>
      </c>
      <c r="G1628" s="10" t="s">
        <v>1777</v>
      </c>
      <c r="H1628" s="9" t="s">
        <v>13</v>
      </c>
      <c r="I1628" s="9" t="s">
        <v>3891</v>
      </c>
    </row>
    <row r="1629" customFormat="false" ht="15.75" hidden="false" customHeight="false" outlineLevel="0" collapsed="false">
      <c r="B1629" s="7" t="n">
        <v>46214</v>
      </c>
      <c r="C1629" s="3" t="s">
        <v>3892</v>
      </c>
      <c r="D1629" s="3" t="s">
        <v>3044</v>
      </c>
      <c r="E1629" s="3" t="s">
        <v>2546</v>
      </c>
      <c r="F1629" s="3" t="s">
        <v>3858</v>
      </c>
      <c r="G1629" s="10" t="s">
        <v>3381</v>
      </c>
      <c r="H1629" s="9" t="s">
        <v>13</v>
      </c>
      <c r="I1629" s="9" t="s">
        <v>3893</v>
      </c>
    </row>
    <row r="1630" customFormat="false" ht="15.75" hidden="false" customHeight="false" outlineLevel="0" collapsed="false">
      <c r="B1630" s="7" t="n">
        <v>46214</v>
      </c>
      <c r="C1630" s="3" t="s">
        <v>3894</v>
      </c>
      <c r="D1630" s="3" t="s">
        <v>3044</v>
      </c>
      <c r="E1630" s="3" t="s">
        <v>2546</v>
      </c>
      <c r="F1630" s="3" t="s">
        <v>3858</v>
      </c>
      <c r="G1630" s="8" t="s">
        <v>2189</v>
      </c>
      <c r="H1630" s="9" t="s">
        <v>13</v>
      </c>
      <c r="I1630" s="9" t="s">
        <v>3895</v>
      </c>
    </row>
    <row r="1631" customFormat="false" ht="15.75" hidden="false" customHeight="false" outlineLevel="0" collapsed="false">
      <c r="B1631" s="7" t="n">
        <v>46214</v>
      </c>
      <c r="C1631" s="3" t="s">
        <v>3896</v>
      </c>
      <c r="D1631" s="3" t="s">
        <v>3044</v>
      </c>
      <c r="E1631" s="3" t="s">
        <v>2546</v>
      </c>
      <c r="F1631" s="3" t="s">
        <v>3858</v>
      </c>
      <c r="G1631" s="10" t="s">
        <v>3897</v>
      </c>
      <c r="H1631" s="9" t="s">
        <v>13</v>
      </c>
      <c r="I1631" s="9" t="s">
        <v>3898</v>
      </c>
    </row>
    <row r="1632" customFormat="false" ht="15.75" hidden="false" customHeight="false" outlineLevel="0" collapsed="false">
      <c r="B1632" s="7" t="n">
        <v>46214</v>
      </c>
      <c r="C1632" s="3" t="s">
        <v>3899</v>
      </c>
      <c r="D1632" s="3" t="s">
        <v>3044</v>
      </c>
      <c r="E1632" s="3" t="s">
        <v>2546</v>
      </c>
      <c r="F1632" s="3" t="s">
        <v>3858</v>
      </c>
      <c r="G1632" s="10" t="s">
        <v>3900</v>
      </c>
      <c r="H1632" s="9" t="s">
        <v>13</v>
      </c>
      <c r="I1632" s="9" t="s">
        <v>3901</v>
      </c>
    </row>
    <row r="1633" customFormat="false" ht="15.75" hidden="false" customHeight="false" outlineLevel="0" collapsed="false">
      <c r="B1633" s="7" t="n">
        <v>46214</v>
      </c>
      <c r="C1633" s="3" t="s">
        <v>3902</v>
      </c>
      <c r="D1633" s="3" t="s">
        <v>3044</v>
      </c>
      <c r="E1633" s="3" t="s">
        <v>2546</v>
      </c>
      <c r="F1633" s="3" t="s">
        <v>3858</v>
      </c>
      <c r="G1633" s="10" t="s">
        <v>3903</v>
      </c>
      <c r="H1633" s="9" t="s">
        <v>13</v>
      </c>
      <c r="I1633" s="9" t="s">
        <v>3904</v>
      </c>
    </row>
    <row r="1634" customFormat="false" ht="15.75" hidden="false" customHeight="false" outlineLevel="0" collapsed="false">
      <c r="B1634" s="7" t="n">
        <v>46214</v>
      </c>
      <c r="C1634" s="3" t="s">
        <v>3905</v>
      </c>
      <c r="D1634" s="3" t="s">
        <v>3044</v>
      </c>
      <c r="E1634" s="3" t="s">
        <v>2546</v>
      </c>
      <c r="F1634" s="3" t="s">
        <v>3858</v>
      </c>
      <c r="G1634" s="8" t="s">
        <v>3906</v>
      </c>
      <c r="H1634" s="9" t="s">
        <v>13</v>
      </c>
      <c r="I1634" s="9" t="s">
        <v>3907</v>
      </c>
    </row>
    <row r="1635" customFormat="false" ht="15.75" hidden="false" customHeight="false" outlineLevel="0" collapsed="false">
      <c r="B1635" s="7" t="n">
        <v>46214</v>
      </c>
      <c r="C1635" s="3" t="s">
        <v>3908</v>
      </c>
      <c r="D1635" s="3" t="s">
        <v>3044</v>
      </c>
      <c r="E1635" s="3" t="s">
        <v>2546</v>
      </c>
      <c r="F1635" s="3" t="s">
        <v>3858</v>
      </c>
      <c r="G1635" s="8" t="s">
        <v>3336</v>
      </c>
      <c r="H1635" s="9" t="s">
        <v>13</v>
      </c>
      <c r="I1635" s="9" t="s">
        <v>3909</v>
      </c>
    </row>
    <row r="1636" customFormat="false" ht="15.75" hidden="false" customHeight="false" outlineLevel="0" collapsed="false">
      <c r="B1636" s="7" t="n">
        <v>46214</v>
      </c>
      <c r="C1636" s="3" t="s">
        <v>3910</v>
      </c>
      <c r="D1636" s="3" t="s">
        <v>3044</v>
      </c>
      <c r="E1636" s="3" t="s">
        <v>2546</v>
      </c>
      <c r="F1636" s="3" t="s">
        <v>3858</v>
      </c>
      <c r="G1636" s="10" t="s">
        <v>2343</v>
      </c>
      <c r="H1636" s="9" t="s">
        <v>13</v>
      </c>
      <c r="I1636" s="9" t="s">
        <v>3911</v>
      </c>
    </row>
    <row r="1637" customFormat="false" ht="15.75" hidden="false" customHeight="false" outlineLevel="0" collapsed="false">
      <c r="B1637" s="7" t="n">
        <v>46214</v>
      </c>
      <c r="C1637" s="3" t="s">
        <v>3912</v>
      </c>
      <c r="D1637" s="3" t="s">
        <v>3044</v>
      </c>
      <c r="E1637" s="3" t="s">
        <v>2546</v>
      </c>
      <c r="F1637" s="3" t="s">
        <v>3858</v>
      </c>
      <c r="G1637" s="10" t="s">
        <v>3913</v>
      </c>
      <c r="H1637" s="9" t="s">
        <v>13</v>
      </c>
      <c r="I1637" s="9" t="s">
        <v>3914</v>
      </c>
    </row>
    <row r="1638" customFormat="false" ht="15.75" hidden="false" customHeight="false" outlineLevel="0" collapsed="false">
      <c r="B1638" s="7" t="n">
        <v>46214</v>
      </c>
      <c r="C1638" s="3" t="s">
        <v>3915</v>
      </c>
      <c r="D1638" s="3" t="s">
        <v>3044</v>
      </c>
      <c r="E1638" s="3" t="s">
        <v>2546</v>
      </c>
      <c r="F1638" s="3" t="s">
        <v>3858</v>
      </c>
      <c r="G1638" s="10" t="s">
        <v>2693</v>
      </c>
      <c r="H1638" s="9" t="s">
        <v>13</v>
      </c>
      <c r="I1638" s="9" t="s">
        <v>3916</v>
      </c>
    </row>
    <row r="1639" customFormat="false" ht="15.75" hidden="false" customHeight="false" outlineLevel="0" collapsed="false">
      <c r="B1639" s="7" t="n">
        <v>46214</v>
      </c>
      <c r="C1639" s="3" t="s">
        <v>3917</v>
      </c>
      <c r="D1639" s="3" t="s">
        <v>3044</v>
      </c>
      <c r="E1639" s="3" t="s">
        <v>2546</v>
      </c>
      <c r="F1639" s="3" t="s">
        <v>3858</v>
      </c>
      <c r="G1639" s="10" t="s">
        <v>2693</v>
      </c>
      <c r="H1639" s="9" t="s">
        <v>13</v>
      </c>
      <c r="I1639" s="9" t="s">
        <v>3916</v>
      </c>
    </row>
    <row r="1640" customFormat="false" ht="15.75" hidden="false" customHeight="false" outlineLevel="0" collapsed="false">
      <c r="B1640" s="7" t="n">
        <v>46214</v>
      </c>
      <c r="C1640" s="3" t="s">
        <v>3918</v>
      </c>
      <c r="D1640" s="3" t="s">
        <v>3044</v>
      </c>
      <c r="E1640" s="3" t="s">
        <v>2546</v>
      </c>
      <c r="F1640" s="3" t="s">
        <v>3858</v>
      </c>
      <c r="G1640" s="10" t="s">
        <v>2693</v>
      </c>
      <c r="H1640" s="9" t="s">
        <v>13</v>
      </c>
      <c r="I1640" s="9" t="s">
        <v>3916</v>
      </c>
    </row>
    <row r="1641" customFormat="false" ht="15.75" hidden="false" customHeight="false" outlineLevel="0" collapsed="false">
      <c r="B1641" s="7" t="n">
        <v>46214</v>
      </c>
      <c r="C1641" s="3" t="s">
        <v>3919</v>
      </c>
      <c r="D1641" s="3" t="s">
        <v>3044</v>
      </c>
      <c r="E1641" s="3" t="s">
        <v>2546</v>
      </c>
      <c r="F1641" s="3" t="s">
        <v>3858</v>
      </c>
      <c r="G1641" s="8" t="s">
        <v>2175</v>
      </c>
      <c r="H1641" s="9" t="s">
        <v>13</v>
      </c>
      <c r="I1641" s="9" t="s">
        <v>3920</v>
      </c>
    </row>
    <row r="1642" customFormat="false" ht="15.75" hidden="false" customHeight="false" outlineLevel="0" collapsed="false">
      <c r="B1642" s="7" t="n">
        <v>46214</v>
      </c>
      <c r="C1642" s="3" t="s">
        <v>3921</v>
      </c>
      <c r="D1642" s="3" t="s">
        <v>3044</v>
      </c>
      <c r="E1642" s="3" t="s">
        <v>2546</v>
      </c>
      <c r="F1642" s="3" t="s">
        <v>3858</v>
      </c>
      <c r="G1642" s="10" t="s">
        <v>2902</v>
      </c>
      <c r="H1642" s="9" t="s">
        <v>13</v>
      </c>
      <c r="I1642" s="9" t="s">
        <v>3922</v>
      </c>
    </row>
    <row r="1643" customFormat="false" ht="15.75" hidden="false" customHeight="false" outlineLevel="0" collapsed="false">
      <c r="B1643" s="7" t="n">
        <v>46214</v>
      </c>
      <c r="C1643" s="3" t="s">
        <v>3923</v>
      </c>
      <c r="D1643" s="3" t="s">
        <v>3044</v>
      </c>
      <c r="E1643" s="3" t="s">
        <v>2546</v>
      </c>
      <c r="F1643" s="3" t="s">
        <v>3858</v>
      </c>
      <c r="G1643" s="10" t="s">
        <v>2793</v>
      </c>
      <c r="H1643" s="9" t="s">
        <v>13</v>
      </c>
      <c r="I1643" s="9" t="s">
        <v>3924</v>
      </c>
    </row>
    <row r="1644" customFormat="false" ht="15.75" hidden="false" customHeight="false" outlineLevel="0" collapsed="false">
      <c r="B1644" s="7" t="n">
        <v>46214</v>
      </c>
      <c r="C1644" s="3" t="s">
        <v>3925</v>
      </c>
      <c r="D1644" s="3" t="s">
        <v>3044</v>
      </c>
      <c r="E1644" s="3" t="s">
        <v>2546</v>
      </c>
      <c r="F1644" s="3" t="s">
        <v>3858</v>
      </c>
      <c r="G1644" s="10" t="s">
        <v>2793</v>
      </c>
      <c r="H1644" s="9" t="s">
        <v>13</v>
      </c>
      <c r="I1644" s="9" t="s">
        <v>3926</v>
      </c>
    </row>
    <row r="1645" customFormat="false" ht="15.75" hidden="false" customHeight="false" outlineLevel="0" collapsed="false">
      <c r="B1645" s="7" t="n">
        <v>46214</v>
      </c>
      <c r="C1645" s="3" t="s">
        <v>3927</v>
      </c>
      <c r="D1645" s="3" t="s">
        <v>3044</v>
      </c>
      <c r="E1645" s="3" t="s">
        <v>2546</v>
      </c>
      <c r="F1645" s="3" t="s">
        <v>3858</v>
      </c>
      <c r="G1645" s="10" t="s">
        <v>2793</v>
      </c>
      <c r="H1645" s="9" t="s">
        <v>13</v>
      </c>
      <c r="I1645" s="9" t="s">
        <v>3926</v>
      </c>
    </row>
    <row r="1646" customFormat="false" ht="15.75" hidden="false" customHeight="false" outlineLevel="0" collapsed="false">
      <c r="B1646" s="7" t="n">
        <v>46214</v>
      </c>
      <c r="C1646" s="3" t="s">
        <v>3928</v>
      </c>
      <c r="D1646" s="3" t="s">
        <v>3044</v>
      </c>
      <c r="E1646" s="3" t="s">
        <v>2546</v>
      </c>
      <c r="F1646" s="3" t="s">
        <v>3858</v>
      </c>
      <c r="G1646" s="10" t="s">
        <v>3929</v>
      </c>
      <c r="H1646" s="9" t="s">
        <v>13</v>
      </c>
      <c r="I1646" s="9" t="s">
        <v>3930</v>
      </c>
    </row>
    <row r="1647" customFormat="false" ht="15.75" hidden="false" customHeight="false" outlineLevel="0" collapsed="false">
      <c r="B1647" s="7" t="n">
        <v>46214</v>
      </c>
      <c r="C1647" s="3" t="s">
        <v>3931</v>
      </c>
      <c r="D1647" s="3" t="s">
        <v>3044</v>
      </c>
      <c r="E1647" s="3" t="s">
        <v>2546</v>
      </c>
      <c r="F1647" s="3" t="s">
        <v>3858</v>
      </c>
      <c r="G1647" s="8" t="s">
        <v>3932</v>
      </c>
      <c r="H1647" s="9" t="s">
        <v>13</v>
      </c>
      <c r="I1647" s="9" t="s">
        <v>3933</v>
      </c>
    </row>
    <row r="1648" customFormat="false" ht="15.75" hidden="false" customHeight="false" outlineLevel="0" collapsed="false">
      <c r="B1648" s="7" t="n">
        <v>46214</v>
      </c>
      <c r="C1648" s="3" t="s">
        <v>3934</v>
      </c>
      <c r="D1648" s="3" t="s">
        <v>3044</v>
      </c>
      <c r="E1648" s="3" t="s">
        <v>3935</v>
      </c>
      <c r="F1648" s="3" t="s">
        <v>3936</v>
      </c>
      <c r="G1648" s="10" t="s">
        <v>3937</v>
      </c>
      <c r="H1648" s="9" t="s">
        <v>13</v>
      </c>
      <c r="I1648" s="9" t="s">
        <v>3938</v>
      </c>
    </row>
    <row r="1649" customFormat="false" ht="15.75" hidden="false" customHeight="false" outlineLevel="0" collapsed="false">
      <c r="B1649" s="7" t="n">
        <v>46214</v>
      </c>
      <c r="C1649" s="3" t="s">
        <v>3939</v>
      </c>
      <c r="D1649" s="3" t="s">
        <v>3044</v>
      </c>
      <c r="E1649" s="3" t="s">
        <v>3935</v>
      </c>
      <c r="F1649" s="3" t="s">
        <v>3936</v>
      </c>
      <c r="G1649" s="10" t="s">
        <v>3940</v>
      </c>
      <c r="H1649" s="9" t="s">
        <v>13</v>
      </c>
      <c r="I1649" s="9" t="s">
        <v>3941</v>
      </c>
    </row>
    <row r="1650" customFormat="false" ht="15.75" hidden="false" customHeight="false" outlineLevel="0" collapsed="false">
      <c r="B1650" s="7" t="n">
        <v>46214</v>
      </c>
      <c r="C1650" s="3" t="s">
        <v>3942</v>
      </c>
      <c r="D1650" s="3" t="s">
        <v>3044</v>
      </c>
      <c r="E1650" s="3" t="s">
        <v>3935</v>
      </c>
      <c r="F1650" s="3" t="s">
        <v>3936</v>
      </c>
      <c r="G1650" s="10" t="s">
        <v>2086</v>
      </c>
      <c r="H1650" s="9" t="s">
        <v>13</v>
      </c>
      <c r="I1650" s="9" t="s">
        <v>3943</v>
      </c>
    </row>
    <row r="1651" customFormat="false" ht="15.75" hidden="false" customHeight="false" outlineLevel="0" collapsed="false">
      <c r="B1651" s="7" t="n">
        <v>46214</v>
      </c>
      <c r="C1651" s="3" t="s">
        <v>3944</v>
      </c>
      <c r="D1651" s="3" t="s">
        <v>3044</v>
      </c>
      <c r="E1651" s="3" t="s">
        <v>3935</v>
      </c>
      <c r="F1651" s="3" t="s">
        <v>3936</v>
      </c>
      <c r="G1651" s="10" t="s">
        <v>2086</v>
      </c>
      <c r="H1651" s="9" t="s">
        <v>13</v>
      </c>
      <c r="I1651" s="9" t="s">
        <v>3945</v>
      </c>
    </row>
    <row r="1652" customFormat="false" ht="15.75" hidden="false" customHeight="false" outlineLevel="0" collapsed="false">
      <c r="B1652" s="7" t="n">
        <v>46214</v>
      </c>
      <c r="C1652" s="3" t="s">
        <v>3946</v>
      </c>
      <c r="D1652" s="3" t="s">
        <v>3044</v>
      </c>
      <c r="E1652" s="3" t="s">
        <v>3935</v>
      </c>
      <c r="F1652" s="3" t="s">
        <v>3936</v>
      </c>
      <c r="G1652" s="10" t="s">
        <v>2086</v>
      </c>
      <c r="H1652" s="9" t="s">
        <v>13</v>
      </c>
      <c r="I1652" s="9" t="s">
        <v>3945</v>
      </c>
    </row>
    <row r="1653" customFormat="false" ht="15.75" hidden="false" customHeight="false" outlineLevel="0" collapsed="false">
      <c r="B1653" s="7" t="n">
        <v>46214</v>
      </c>
      <c r="C1653" s="3" t="s">
        <v>3947</v>
      </c>
      <c r="D1653" s="3" t="s">
        <v>3044</v>
      </c>
      <c r="E1653" s="3" t="s">
        <v>3935</v>
      </c>
      <c r="F1653" s="3" t="s">
        <v>3936</v>
      </c>
      <c r="G1653" s="10" t="s">
        <v>2086</v>
      </c>
      <c r="H1653" s="9" t="s">
        <v>13</v>
      </c>
      <c r="I1653" s="9" t="s">
        <v>3948</v>
      </c>
    </row>
    <row r="1654" customFormat="false" ht="15.75" hidden="false" customHeight="false" outlineLevel="0" collapsed="false">
      <c r="B1654" s="7" t="n">
        <v>46214</v>
      </c>
      <c r="C1654" s="3" t="s">
        <v>3949</v>
      </c>
      <c r="D1654" s="3" t="s">
        <v>3044</v>
      </c>
      <c r="E1654" s="3" t="s">
        <v>3935</v>
      </c>
      <c r="F1654" s="3" t="s">
        <v>3936</v>
      </c>
      <c r="G1654" s="10" t="s">
        <v>2086</v>
      </c>
      <c r="H1654" s="9" t="s">
        <v>13</v>
      </c>
      <c r="I1654" s="9" t="s">
        <v>3950</v>
      </c>
    </row>
    <row r="1655" customFormat="false" ht="15.75" hidden="false" customHeight="false" outlineLevel="0" collapsed="false">
      <c r="B1655" s="7" t="n">
        <v>46214</v>
      </c>
      <c r="C1655" s="3" t="s">
        <v>3951</v>
      </c>
      <c r="D1655" s="3" t="s">
        <v>3044</v>
      </c>
      <c r="E1655" s="3" t="s">
        <v>3935</v>
      </c>
      <c r="F1655" s="3" t="s">
        <v>3936</v>
      </c>
      <c r="G1655" s="8" t="s">
        <v>3952</v>
      </c>
      <c r="H1655" s="9" t="s">
        <v>13</v>
      </c>
      <c r="I1655" s="9" t="s">
        <v>3953</v>
      </c>
    </row>
    <row r="1656" customFormat="false" ht="15.75" hidden="false" customHeight="false" outlineLevel="0" collapsed="false">
      <c r="B1656" s="7" t="n">
        <v>46214</v>
      </c>
      <c r="C1656" s="3" t="s">
        <v>3954</v>
      </c>
      <c r="D1656" s="3" t="s">
        <v>3044</v>
      </c>
      <c r="E1656" s="3" t="s">
        <v>3935</v>
      </c>
      <c r="F1656" s="3" t="s">
        <v>3936</v>
      </c>
      <c r="G1656" s="10" t="s">
        <v>3470</v>
      </c>
      <c r="H1656" s="9" t="s">
        <v>13</v>
      </c>
      <c r="I1656" s="9" t="s">
        <v>3955</v>
      </c>
    </row>
    <row r="1657" customFormat="false" ht="15.75" hidden="false" customHeight="false" outlineLevel="0" collapsed="false">
      <c r="B1657" s="7" t="n">
        <v>46214</v>
      </c>
      <c r="C1657" s="3" t="s">
        <v>3956</v>
      </c>
      <c r="D1657" s="3" t="s">
        <v>3044</v>
      </c>
      <c r="E1657" s="3" t="s">
        <v>3935</v>
      </c>
      <c r="F1657" s="3" t="s">
        <v>3936</v>
      </c>
      <c r="G1657" s="10" t="s">
        <v>2857</v>
      </c>
      <c r="H1657" s="9" t="s">
        <v>13</v>
      </c>
      <c r="I1657" s="9" t="s">
        <v>3957</v>
      </c>
    </row>
    <row r="1658" customFormat="false" ht="15.75" hidden="false" customHeight="false" outlineLevel="0" collapsed="false">
      <c r="B1658" s="7" t="n">
        <v>46214</v>
      </c>
      <c r="C1658" s="3" t="s">
        <v>3958</v>
      </c>
      <c r="D1658" s="3" t="s">
        <v>3044</v>
      </c>
      <c r="E1658" s="3" t="s">
        <v>3935</v>
      </c>
      <c r="F1658" s="3" t="s">
        <v>3936</v>
      </c>
      <c r="G1658" s="10" t="s">
        <v>2857</v>
      </c>
      <c r="H1658" s="9" t="s">
        <v>13</v>
      </c>
      <c r="I1658" s="9" t="s">
        <v>3959</v>
      </c>
    </row>
    <row r="1659" customFormat="false" ht="15.75" hidden="false" customHeight="false" outlineLevel="0" collapsed="false">
      <c r="B1659" s="7" t="n">
        <v>46214</v>
      </c>
      <c r="C1659" s="3" t="s">
        <v>3960</v>
      </c>
      <c r="D1659" s="3" t="s">
        <v>3044</v>
      </c>
      <c r="E1659" s="3" t="s">
        <v>3935</v>
      </c>
      <c r="F1659" s="3" t="s">
        <v>3936</v>
      </c>
      <c r="G1659" s="10" t="s">
        <v>2827</v>
      </c>
      <c r="H1659" s="9" t="s">
        <v>13</v>
      </c>
      <c r="I1659" s="9" t="s">
        <v>3961</v>
      </c>
    </row>
    <row r="1660" customFormat="false" ht="15.75" hidden="false" customHeight="false" outlineLevel="0" collapsed="false">
      <c r="B1660" s="7" t="n">
        <v>46214</v>
      </c>
      <c r="C1660" s="3" t="s">
        <v>3962</v>
      </c>
      <c r="D1660" s="3" t="s">
        <v>3044</v>
      </c>
      <c r="E1660" s="3" t="s">
        <v>3935</v>
      </c>
      <c r="F1660" s="3" t="s">
        <v>3936</v>
      </c>
      <c r="G1660" s="8" t="s">
        <v>3963</v>
      </c>
      <c r="H1660" s="9" t="s">
        <v>13</v>
      </c>
      <c r="I1660" s="9" t="s">
        <v>3964</v>
      </c>
    </row>
    <row r="1661" customFormat="false" ht="15.75" hidden="false" customHeight="false" outlineLevel="0" collapsed="false">
      <c r="B1661" s="7" t="n">
        <v>46214</v>
      </c>
      <c r="C1661" s="3" t="s">
        <v>3965</v>
      </c>
      <c r="D1661" s="3" t="s">
        <v>3044</v>
      </c>
      <c r="E1661" s="3" t="s">
        <v>3935</v>
      </c>
      <c r="F1661" s="3" t="s">
        <v>3936</v>
      </c>
      <c r="G1661" s="8" t="s">
        <v>3966</v>
      </c>
      <c r="H1661" s="9" t="s">
        <v>13</v>
      </c>
      <c r="I1661" s="9" t="s">
        <v>3967</v>
      </c>
    </row>
    <row r="1662" customFormat="false" ht="15.75" hidden="false" customHeight="false" outlineLevel="0" collapsed="false">
      <c r="B1662" s="7" t="n">
        <v>46214</v>
      </c>
      <c r="C1662" s="3" t="s">
        <v>3968</v>
      </c>
      <c r="D1662" s="3" t="s">
        <v>3044</v>
      </c>
      <c r="E1662" s="3" t="s">
        <v>3935</v>
      </c>
      <c r="F1662" s="3" t="s">
        <v>3936</v>
      </c>
      <c r="G1662" s="10" t="s">
        <v>2444</v>
      </c>
      <c r="H1662" s="9" t="s">
        <v>13</v>
      </c>
      <c r="I1662" s="9" t="s">
        <v>3969</v>
      </c>
    </row>
    <row r="1663" customFormat="false" ht="15.75" hidden="false" customHeight="false" outlineLevel="0" collapsed="false">
      <c r="B1663" s="7" t="n">
        <v>46214</v>
      </c>
      <c r="C1663" s="3" t="s">
        <v>3970</v>
      </c>
      <c r="D1663" s="3" t="s">
        <v>3044</v>
      </c>
      <c r="E1663" s="3" t="s">
        <v>3935</v>
      </c>
      <c r="F1663" s="3" t="s">
        <v>3936</v>
      </c>
      <c r="G1663" s="10" t="s">
        <v>2083</v>
      </c>
      <c r="H1663" s="9" t="s">
        <v>13</v>
      </c>
      <c r="I1663" s="9" t="s">
        <v>3971</v>
      </c>
    </row>
    <row r="1664" customFormat="false" ht="15.75" hidden="false" customHeight="false" outlineLevel="0" collapsed="false">
      <c r="B1664" s="7" t="n">
        <v>46214</v>
      </c>
      <c r="C1664" s="3" t="s">
        <v>3972</v>
      </c>
      <c r="D1664" s="3" t="s">
        <v>3044</v>
      </c>
      <c r="E1664" s="3" t="s">
        <v>3935</v>
      </c>
      <c r="F1664" s="3" t="s">
        <v>3936</v>
      </c>
      <c r="G1664" s="8" t="s">
        <v>3973</v>
      </c>
      <c r="H1664" s="9" t="s">
        <v>13</v>
      </c>
      <c r="I1664" s="9" t="s">
        <v>3974</v>
      </c>
    </row>
    <row r="1665" customFormat="false" ht="15.75" hidden="false" customHeight="false" outlineLevel="0" collapsed="false">
      <c r="B1665" s="7" t="n">
        <v>46214</v>
      </c>
      <c r="C1665" s="3" t="s">
        <v>3975</v>
      </c>
      <c r="D1665" s="3" t="s">
        <v>3044</v>
      </c>
      <c r="E1665" s="3" t="s">
        <v>3935</v>
      </c>
      <c r="F1665" s="3" t="s">
        <v>3936</v>
      </c>
      <c r="G1665" s="8" t="s">
        <v>3973</v>
      </c>
      <c r="H1665" s="9" t="s">
        <v>13</v>
      </c>
      <c r="I1665" s="9" t="s">
        <v>3974</v>
      </c>
    </row>
    <row r="1666" customFormat="false" ht="15.75" hidden="false" customHeight="false" outlineLevel="0" collapsed="false">
      <c r="B1666" s="7" t="n">
        <v>46214</v>
      </c>
      <c r="C1666" s="3" t="s">
        <v>3976</v>
      </c>
      <c r="D1666" s="3" t="s">
        <v>3044</v>
      </c>
      <c r="E1666" s="3" t="s">
        <v>3935</v>
      </c>
      <c r="F1666" s="3" t="s">
        <v>3936</v>
      </c>
      <c r="G1666" s="10" t="s">
        <v>2144</v>
      </c>
      <c r="H1666" s="9" t="s">
        <v>13</v>
      </c>
      <c r="I1666" s="9" t="s">
        <v>3977</v>
      </c>
    </row>
    <row r="1667" customFormat="false" ht="15.75" hidden="false" customHeight="false" outlineLevel="0" collapsed="false">
      <c r="B1667" s="7" t="n">
        <v>46214</v>
      </c>
      <c r="C1667" s="3" t="s">
        <v>3978</v>
      </c>
      <c r="D1667" s="3" t="s">
        <v>3044</v>
      </c>
      <c r="E1667" s="3" t="s">
        <v>3935</v>
      </c>
      <c r="F1667" s="3" t="s">
        <v>3936</v>
      </c>
      <c r="G1667" s="10" t="s">
        <v>2144</v>
      </c>
      <c r="H1667" s="9" t="s">
        <v>13</v>
      </c>
      <c r="I1667" s="9" t="s">
        <v>3979</v>
      </c>
    </row>
    <row r="1668" customFormat="false" ht="15.75" hidden="false" customHeight="false" outlineLevel="0" collapsed="false">
      <c r="B1668" s="7" t="n">
        <v>46214</v>
      </c>
      <c r="C1668" s="3" t="s">
        <v>3980</v>
      </c>
      <c r="D1668" s="3" t="s">
        <v>3044</v>
      </c>
      <c r="E1668" s="3" t="s">
        <v>3935</v>
      </c>
      <c r="F1668" s="3" t="s">
        <v>3936</v>
      </c>
      <c r="G1668" s="8" t="s">
        <v>3790</v>
      </c>
      <c r="H1668" s="9" t="s">
        <v>13</v>
      </c>
      <c r="I1668" s="9" t="s">
        <v>3981</v>
      </c>
    </row>
    <row r="1669" customFormat="false" ht="15.75" hidden="false" customHeight="false" outlineLevel="0" collapsed="false">
      <c r="B1669" s="7" t="n">
        <v>46214</v>
      </c>
      <c r="C1669" s="3" t="s">
        <v>3982</v>
      </c>
      <c r="D1669" s="3" t="s">
        <v>3044</v>
      </c>
      <c r="E1669" s="3" t="s">
        <v>3935</v>
      </c>
      <c r="F1669" s="3" t="s">
        <v>3936</v>
      </c>
      <c r="G1669" s="10" t="s">
        <v>3983</v>
      </c>
      <c r="H1669" s="9" t="s">
        <v>13</v>
      </c>
      <c r="I1669" s="9" t="s">
        <v>3984</v>
      </c>
    </row>
    <row r="1670" customFormat="false" ht="15.75" hidden="false" customHeight="false" outlineLevel="0" collapsed="false">
      <c r="B1670" s="7" t="n">
        <v>46214</v>
      </c>
      <c r="C1670" s="3" t="s">
        <v>3985</v>
      </c>
      <c r="D1670" s="3" t="s">
        <v>3044</v>
      </c>
      <c r="E1670" s="3" t="s">
        <v>3935</v>
      </c>
      <c r="F1670" s="3" t="s">
        <v>3936</v>
      </c>
      <c r="G1670" s="10" t="s">
        <v>2099</v>
      </c>
      <c r="H1670" s="9" t="s">
        <v>13</v>
      </c>
      <c r="I1670" s="9" t="s">
        <v>3986</v>
      </c>
    </row>
    <row r="1671" customFormat="false" ht="15.75" hidden="false" customHeight="false" outlineLevel="0" collapsed="false">
      <c r="B1671" s="7" t="n">
        <v>46214</v>
      </c>
      <c r="C1671" s="3" t="s">
        <v>3987</v>
      </c>
      <c r="D1671" s="3" t="s">
        <v>3044</v>
      </c>
      <c r="E1671" s="3" t="s">
        <v>3935</v>
      </c>
      <c r="F1671" s="3" t="s">
        <v>3936</v>
      </c>
      <c r="G1671" s="8" t="s">
        <v>3988</v>
      </c>
      <c r="H1671" s="9" t="s">
        <v>13</v>
      </c>
      <c r="I1671" s="9" t="s">
        <v>3989</v>
      </c>
    </row>
    <row r="1672" customFormat="false" ht="15.75" hidden="false" customHeight="false" outlineLevel="0" collapsed="false">
      <c r="B1672" s="7" t="n">
        <v>46214</v>
      </c>
      <c r="C1672" s="3" t="s">
        <v>3990</v>
      </c>
      <c r="D1672" s="3" t="s">
        <v>3044</v>
      </c>
      <c r="E1672" s="3" t="s">
        <v>3935</v>
      </c>
      <c r="F1672" s="3" t="s">
        <v>3936</v>
      </c>
      <c r="G1672" s="10" t="s">
        <v>3991</v>
      </c>
      <c r="H1672" s="9" t="s">
        <v>13</v>
      </c>
      <c r="I1672" s="9" t="s">
        <v>3992</v>
      </c>
    </row>
    <row r="1673" customFormat="false" ht="15.75" hidden="false" customHeight="false" outlineLevel="0" collapsed="false">
      <c r="B1673" s="7" t="n">
        <v>46214</v>
      </c>
      <c r="C1673" s="3" t="s">
        <v>3993</v>
      </c>
      <c r="D1673" s="3" t="s">
        <v>3044</v>
      </c>
      <c r="E1673" s="3" t="s">
        <v>3935</v>
      </c>
      <c r="F1673" s="3" t="s">
        <v>3936</v>
      </c>
      <c r="G1673" s="10" t="s">
        <v>3991</v>
      </c>
      <c r="H1673" s="9" t="s">
        <v>13</v>
      </c>
      <c r="I1673" s="9" t="s">
        <v>3992</v>
      </c>
    </row>
    <row r="1674" customFormat="false" ht="15.75" hidden="false" customHeight="false" outlineLevel="0" collapsed="false">
      <c r="B1674" s="7" t="n">
        <v>46214</v>
      </c>
      <c r="C1674" s="3" t="s">
        <v>3994</v>
      </c>
      <c r="D1674" s="3" t="s">
        <v>3044</v>
      </c>
      <c r="E1674" s="3" t="s">
        <v>3935</v>
      </c>
      <c r="F1674" s="3" t="s">
        <v>3936</v>
      </c>
      <c r="G1674" s="10" t="s">
        <v>3476</v>
      </c>
      <c r="H1674" s="9" t="s">
        <v>13</v>
      </c>
      <c r="I1674" s="9" t="s">
        <v>3995</v>
      </c>
    </row>
    <row r="1675" customFormat="false" ht="15.75" hidden="false" customHeight="false" outlineLevel="0" collapsed="false">
      <c r="B1675" s="7" t="n">
        <v>46214</v>
      </c>
      <c r="C1675" s="3" t="s">
        <v>3996</v>
      </c>
      <c r="D1675" s="3" t="s">
        <v>3044</v>
      </c>
      <c r="E1675" s="3" t="s">
        <v>3935</v>
      </c>
      <c r="F1675" s="3" t="s">
        <v>3936</v>
      </c>
      <c r="G1675" s="10" t="s">
        <v>2109</v>
      </c>
      <c r="H1675" s="9" t="s">
        <v>13</v>
      </c>
      <c r="I1675" s="9" t="s">
        <v>3997</v>
      </c>
    </row>
    <row r="1676" customFormat="false" ht="15.75" hidden="false" customHeight="false" outlineLevel="0" collapsed="false">
      <c r="B1676" s="7" t="n">
        <v>46214</v>
      </c>
      <c r="C1676" s="3" t="s">
        <v>3998</v>
      </c>
      <c r="D1676" s="3" t="s">
        <v>3044</v>
      </c>
      <c r="E1676" s="3" t="s">
        <v>3935</v>
      </c>
      <c r="F1676" s="3" t="s">
        <v>3936</v>
      </c>
      <c r="G1676" s="10" t="s">
        <v>3999</v>
      </c>
      <c r="H1676" s="9" t="s">
        <v>13</v>
      </c>
      <c r="I1676" s="9" t="s">
        <v>4000</v>
      </c>
    </row>
    <row r="1677" customFormat="false" ht="15.75" hidden="false" customHeight="false" outlineLevel="0" collapsed="false">
      <c r="B1677" s="7" t="n">
        <v>46214</v>
      </c>
      <c r="C1677" s="3" t="s">
        <v>4001</v>
      </c>
      <c r="D1677" s="3" t="s">
        <v>3044</v>
      </c>
      <c r="E1677" s="3" t="s">
        <v>3935</v>
      </c>
      <c r="F1677" s="3" t="s">
        <v>3936</v>
      </c>
      <c r="G1677" s="10" t="s">
        <v>2444</v>
      </c>
      <c r="H1677" s="9" t="s">
        <v>13</v>
      </c>
      <c r="I1677" s="9" t="s">
        <v>4002</v>
      </c>
    </row>
    <row r="1678" customFormat="false" ht="15.75" hidden="false" customHeight="false" outlineLevel="0" collapsed="false">
      <c r="B1678" s="7" t="n">
        <v>46214</v>
      </c>
      <c r="C1678" s="3" t="s">
        <v>4003</v>
      </c>
      <c r="D1678" s="3" t="s">
        <v>3044</v>
      </c>
      <c r="E1678" s="3" t="s">
        <v>3935</v>
      </c>
      <c r="F1678" s="3" t="s">
        <v>3936</v>
      </c>
      <c r="G1678" s="10" t="s">
        <v>4004</v>
      </c>
      <c r="H1678" s="9" t="s">
        <v>13</v>
      </c>
      <c r="I1678" s="9" t="s">
        <v>4005</v>
      </c>
    </row>
    <row r="1679" customFormat="false" ht="15.75" hidden="false" customHeight="false" outlineLevel="0" collapsed="false">
      <c r="B1679" s="7" t="n">
        <v>46214</v>
      </c>
      <c r="C1679" s="3" t="s">
        <v>4006</v>
      </c>
      <c r="D1679" s="3" t="s">
        <v>3044</v>
      </c>
      <c r="E1679" s="3" t="s">
        <v>3935</v>
      </c>
      <c r="F1679" s="3" t="s">
        <v>3936</v>
      </c>
      <c r="G1679" s="10" t="s">
        <v>4007</v>
      </c>
      <c r="H1679" s="9" t="s">
        <v>13</v>
      </c>
      <c r="I1679" s="9" t="s">
        <v>4008</v>
      </c>
    </row>
    <row r="1680" customFormat="false" ht="15.75" hidden="false" customHeight="false" outlineLevel="0" collapsed="false">
      <c r="B1680" s="7" t="n">
        <v>46214</v>
      </c>
      <c r="C1680" s="3" t="s">
        <v>4009</v>
      </c>
      <c r="D1680" s="3" t="s">
        <v>3044</v>
      </c>
      <c r="E1680" s="3" t="s">
        <v>3935</v>
      </c>
      <c r="F1680" s="3" t="s">
        <v>3936</v>
      </c>
      <c r="G1680" s="10" t="s">
        <v>4007</v>
      </c>
      <c r="H1680" s="9" t="s">
        <v>13</v>
      </c>
      <c r="I1680" s="9" t="s">
        <v>4008</v>
      </c>
    </row>
    <row r="1681" customFormat="false" ht="15.75" hidden="false" customHeight="false" outlineLevel="0" collapsed="false">
      <c r="B1681" s="7" t="n">
        <v>46214</v>
      </c>
      <c r="C1681" s="3" t="s">
        <v>4010</v>
      </c>
      <c r="D1681" s="3" t="s">
        <v>3044</v>
      </c>
      <c r="E1681" s="3" t="s">
        <v>3935</v>
      </c>
      <c r="F1681" s="3" t="s">
        <v>3936</v>
      </c>
      <c r="G1681" s="10" t="s">
        <v>3497</v>
      </c>
      <c r="H1681" s="9" t="s">
        <v>13</v>
      </c>
      <c r="I1681" s="9" t="s">
        <v>4011</v>
      </c>
    </row>
    <row r="1682" customFormat="false" ht="15.75" hidden="false" customHeight="false" outlineLevel="0" collapsed="false">
      <c r="B1682" s="7" t="n">
        <v>46214</v>
      </c>
      <c r="C1682" s="3" t="s">
        <v>4012</v>
      </c>
      <c r="D1682" s="3" t="s">
        <v>3044</v>
      </c>
      <c r="E1682" s="3" t="s">
        <v>3935</v>
      </c>
      <c r="F1682" s="3" t="s">
        <v>3936</v>
      </c>
      <c r="G1682" s="10" t="s">
        <v>3497</v>
      </c>
      <c r="H1682" s="9" t="s">
        <v>13</v>
      </c>
      <c r="I1682" s="9" t="s">
        <v>4011</v>
      </c>
    </row>
    <row r="1683" customFormat="false" ht="15.75" hidden="false" customHeight="false" outlineLevel="0" collapsed="false">
      <c r="B1683" s="7" t="n">
        <v>46214</v>
      </c>
      <c r="C1683" s="3" t="s">
        <v>4013</v>
      </c>
      <c r="D1683" s="3" t="s">
        <v>4014</v>
      </c>
      <c r="E1683" s="3" t="s">
        <v>4015</v>
      </c>
      <c r="F1683" s="3" t="s">
        <v>4016</v>
      </c>
      <c r="G1683" s="8" t="s">
        <v>4017</v>
      </c>
      <c r="H1683" s="9" t="s">
        <v>13</v>
      </c>
      <c r="I1683" s="9" t="s">
        <v>4018</v>
      </c>
    </row>
    <row r="1684" customFormat="false" ht="15.75" hidden="false" customHeight="false" outlineLevel="0" collapsed="false">
      <c r="B1684" s="7" t="n">
        <v>46214</v>
      </c>
      <c r="C1684" s="3" t="s">
        <v>4019</v>
      </c>
      <c r="D1684" s="3" t="s">
        <v>4014</v>
      </c>
      <c r="E1684" s="3" t="s">
        <v>4015</v>
      </c>
      <c r="F1684" s="3" t="s">
        <v>4016</v>
      </c>
      <c r="G1684" s="8" t="s">
        <v>4020</v>
      </c>
      <c r="H1684" s="9" t="s">
        <v>13</v>
      </c>
      <c r="I1684" s="9" t="s">
        <v>4021</v>
      </c>
    </row>
    <row r="1685" customFormat="false" ht="15.75" hidden="false" customHeight="false" outlineLevel="0" collapsed="false">
      <c r="B1685" s="7" t="n">
        <v>46214</v>
      </c>
      <c r="C1685" s="3" t="s">
        <v>4022</v>
      </c>
      <c r="D1685" s="3" t="s">
        <v>4014</v>
      </c>
      <c r="E1685" s="3" t="s">
        <v>4015</v>
      </c>
      <c r="F1685" s="3" t="s">
        <v>4016</v>
      </c>
      <c r="G1685" s="8" t="s">
        <v>4023</v>
      </c>
      <c r="H1685" s="9" t="s">
        <v>13</v>
      </c>
      <c r="I1685" s="9" t="s">
        <v>4024</v>
      </c>
    </row>
    <row r="1686" customFormat="false" ht="15.75" hidden="false" customHeight="false" outlineLevel="0" collapsed="false">
      <c r="B1686" s="7" t="n">
        <v>46214</v>
      </c>
      <c r="C1686" s="3" t="s">
        <v>4025</v>
      </c>
      <c r="D1686" s="3" t="s">
        <v>4014</v>
      </c>
      <c r="E1686" s="3" t="s">
        <v>4015</v>
      </c>
      <c r="F1686" s="3" t="s">
        <v>4016</v>
      </c>
      <c r="G1686" s="8" t="s">
        <v>4023</v>
      </c>
      <c r="H1686" s="9" t="s">
        <v>13</v>
      </c>
      <c r="I1686" s="9" t="s">
        <v>4024</v>
      </c>
    </row>
    <row r="1687" customFormat="false" ht="15.75" hidden="false" customHeight="false" outlineLevel="0" collapsed="false">
      <c r="B1687" s="7" t="n">
        <v>46214</v>
      </c>
      <c r="C1687" s="3" t="s">
        <v>4026</v>
      </c>
      <c r="D1687" s="3" t="s">
        <v>4014</v>
      </c>
      <c r="E1687" s="3" t="s">
        <v>4015</v>
      </c>
      <c r="F1687" s="3" t="s">
        <v>4016</v>
      </c>
      <c r="G1687" s="10" t="s">
        <v>4027</v>
      </c>
      <c r="H1687" s="9" t="s">
        <v>13</v>
      </c>
      <c r="I1687" s="9" t="s">
        <v>4028</v>
      </c>
    </row>
    <row r="1688" customFormat="false" ht="15.75" hidden="false" customHeight="false" outlineLevel="0" collapsed="false">
      <c r="B1688" s="7" t="n">
        <v>46214</v>
      </c>
      <c r="C1688" s="3" t="s">
        <v>4029</v>
      </c>
      <c r="D1688" s="3" t="s">
        <v>4014</v>
      </c>
      <c r="E1688" s="3" t="s">
        <v>4015</v>
      </c>
      <c r="F1688" s="3" t="s">
        <v>4016</v>
      </c>
      <c r="G1688" s="10" t="s">
        <v>4027</v>
      </c>
      <c r="H1688" s="9" t="s">
        <v>13</v>
      </c>
      <c r="I1688" s="9" t="s">
        <v>4028</v>
      </c>
    </row>
    <row r="1689" customFormat="false" ht="15.75" hidden="false" customHeight="false" outlineLevel="0" collapsed="false">
      <c r="B1689" s="7" t="n">
        <v>46214</v>
      </c>
      <c r="C1689" s="3" t="s">
        <v>4030</v>
      </c>
      <c r="D1689" s="3" t="s">
        <v>4014</v>
      </c>
      <c r="E1689" s="3" t="s">
        <v>4015</v>
      </c>
      <c r="F1689" s="3" t="s">
        <v>4016</v>
      </c>
      <c r="G1689" s="10" t="s">
        <v>4031</v>
      </c>
      <c r="H1689" s="9" t="s">
        <v>13</v>
      </c>
      <c r="I1689" s="9" t="s">
        <v>4032</v>
      </c>
    </row>
    <row r="1690" customFormat="false" ht="15.75" hidden="false" customHeight="false" outlineLevel="0" collapsed="false">
      <c r="B1690" s="7" t="n">
        <v>46214</v>
      </c>
      <c r="C1690" s="3" t="s">
        <v>4033</v>
      </c>
      <c r="D1690" s="3" t="s">
        <v>4014</v>
      </c>
      <c r="E1690" s="3" t="s">
        <v>4015</v>
      </c>
      <c r="F1690" s="3" t="s">
        <v>4016</v>
      </c>
      <c r="G1690" s="10" t="s">
        <v>4034</v>
      </c>
      <c r="H1690" s="9" t="s">
        <v>13</v>
      </c>
      <c r="I1690" s="9" t="s">
        <v>4035</v>
      </c>
    </row>
    <row r="1691" customFormat="false" ht="15.75" hidden="false" customHeight="false" outlineLevel="0" collapsed="false">
      <c r="B1691" s="7" t="n">
        <v>46214</v>
      </c>
      <c r="C1691" s="3" t="s">
        <v>4036</v>
      </c>
      <c r="D1691" s="3" t="s">
        <v>4014</v>
      </c>
      <c r="E1691" s="3" t="s">
        <v>4015</v>
      </c>
      <c r="F1691" s="3" t="s">
        <v>4016</v>
      </c>
      <c r="G1691" s="10" t="s">
        <v>4037</v>
      </c>
      <c r="H1691" s="9" t="s">
        <v>13</v>
      </c>
      <c r="I1691" s="9" t="s">
        <v>4038</v>
      </c>
    </row>
    <row r="1692" customFormat="false" ht="15.75" hidden="false" customHeight="false" outlineLevel="0" collapsed="false">
      <c r="B1692" s="7" t="n">
        <v>46214</v>
      </c>
      <c r="C1692" s="3" t="s">
        <v>4039</v>
      </c>
      <c r="D1692" s="3" t="s">
        <v>4014</v>
      </c>
      <c r="E1692" s="3" t="s">
        <v>4015</v>
      </c>
      <c r="F1692" s="3" t="s">
        <v>4016</v>
      </c>
      <c r="G1692" s="10" t="s">
        <v>4040</v>
      </c>
      <c r="H1692" s="9" t="s">
        <v>13</v>
      </c>
      <c r="I1692" s="9" t="s">
        <v>4041</v>
      </c>
    </row>
    <row r="1693" customFormat="false" ht="15.75" hidden="false" customHeight="false" outlineLevel="0" collapsed="false">
      <c r="B1693" s="7" t="n">
        <v>46214</v>
      </c>
      <c r="C1693" s="3" t="s">
        <v>4042</v>
      </c>
      <c r="D1693" s="3" t="s">
        <v>4014</v>
      </c>
      <c r="E1693" s="3" t="s">
        <v>4015</v>
      </c>
      <c r="F1693" s="3" t="s">
        <v>4016</v>
      </c>
      <c r="G1693" s="10" t="s">
        <v>4043</v>
      </c>
      <c r="H1693" s="9" t="s">
        <v>13</v>
      </c>
      <c r="I1693" s="9" t="s">
        <v>4044</v>
      </c>
    </row>
    <row r="1694" customFormat="false" ht="15.75" hidden="false" customHeight="false" outlineLevel="0" collapsed="false">
      <c r="B1694" s="7" t="n">
        <v>46214</v>
      </c>
      <c r="C1694" s="3" t="s">
        <v>4045</v>
      </c>
      <c r="D1694" s="3" t="s">
        <v>4014</v>
      </c>
      <c r="E1694" s="3" t="s">
        <v>4015</v>
      </c>
      <c r="F1694" s="3" t="s">
        <v>4016</v>
      </c>
      <c r="G1694" s="10" t="s">
        <v>4046</v>
      </c>
      <c r="H1694" s="9" t="s">
        <v>13</v>
      </c>
      <c r="I1694" s="9" t="s">
        <v>4047</v>
      </c>
    </row>
    <row r="1695" customFormat="false" ht="15.75" hidden="false" customHeight="false" outlineLevel="0" collapsed="false">
      <c r="B1695" s="7" t="n">
        <v>46214</v>
      </c>
      <c r="C1695" s="3" t="s">
        <v>4048</v>
      </c>
      <c r="D1695" s="3" t="s">
        <v>4014</v>
      </c>
      <c r="E1695" s="3" t="s">
        <v>4015</v>
      </c>
      <c r="F1695" s="3" t="s">
        <v>4016</v>
      </c>
      <c r="G1695" s="8" t="s">
        <v>4049</v>
      </c>
      <c r="H1695" s="9" t="s">
        <v>13</v>
      </c>
      <c r="I1695" s="9" t="s">
        <v>4050</v>
      </c>
    </row>
    <row r="1696" customFormat="false" ht="15.75" hidden="false" customHeight="false" outlineLevel="0" collapsed="false">
      <c r="B1696" s="7" t="n">
        <v>46214</v>
      </c>
      <c r="C1696" s="3" t="s">
        <v>4051</v>
      </c>
      <c r="D1696" s="3" t="s">
        <v>4014</v>
      </c>
      <c r="E1696" s="3" t="s">
        <v>4015</v>
      </c>
      <c r="F1696" s="3" t="s">
        <v>4016</v>
      </c>
      <c r="G1696" s="10" t="s">
        <v>4052</v>
      </c>
      <c r="H1696" s="9" t="s">
        <v>13</v>
      </c>
      <c r="I1696" s="9" t="s">
        <v>4053</v>
      </c>
    </row>
    <row r="1697" customFormat="false" ht="15.75" hidden="false" customHeight="false" outlineLevel="0" collapsed="false">
      <c r="B1697" s="7" t="n">
        <v>46214</v>
      </c>
      <c r="C1697" s="3" t="s">
        <v>4054</v>
      </c>
      <c r="D1697" s="3" t="s">
        <v>4014</v>
      </c>
      <c r="E1697" s="3" t="s">
        <v>4015</v>
      </c>
      <c r="F1697" s="3" t="s">
        <v>4016</v>
      </c>
      <c r="G1697" s="10" t="s">
        <v>4055</v>
      </c>
      <c r="H1697" s="9" t="s">
        <v>13</v>
      </c>
      <c r="I1697" s="9" t="s">
        <v>4056</v>
      </c>
    </row>
    <row r="1698" customFormat="false" ht="15.75" hidden="false" customHeight="false" outlineLevel="0" collapsed="false">
      <c r="B1698" s="7" t="n">
        <v>46214</v>
      </c>
      <c r="C1698" s="3" t="s">
        <v>4057</v>
      </c>
      <c r="D1698" s="3" t="s">
        <v>4014</v>
      </c>
      <c r="E1698" s="3" t="s">
        <v>4015</v>
      </c>
      <c r="F1698" s="3" t="s">
        <v>4016</v>
      </c>
      <c r="G1698" s="10" t="s">
        <v>4055</v>
      </c>
      <c r="H1698" s="9" t="s">
        <v>13</v>
      </c>
      <c r="I1698" s="9" t="s">
        <v>4056</v>
      </c>
    </row>
    <row r="1699" customFormat="false" ht="15.75" hidden="false" customHeight="false" outlineLevel="0" collapsed="false">
      <c r="B1699" s="7" t="n">
        <v>46214</v>
      </c>
      <c r="C1699" s="3" t="s">
        <v>4058</v>
      </c>
      <c r="D1699" s="3" t="s">
        <v>4014</v>
      </c>
      <c r="E1699" s="3" t="s">
        <v>4015</v>
      </c>
      <c r="F1699" s="3" t="s">
        <v>4016</v>
      </c>
      <c r="G1699" s="10" t="s">
        <v>4059</v>
      </c>
      <c r="H1699" s="9" t="s">
        <v>13</v>
      </c>
      <c r="I1699" s="9" t="s">
        <v>4060</v>
      </c>
    </row>
    <row r="1700" customFormat="false" ht="15.75" hidden="false" customHeight="false" outlineLevel="0" collapsed="false">
      <c r="B1700" s="7" t="n">
        <v>46214</v>
      </c>
      <c r="C1700" s="3" t="s">
        <v>4061</v>
      </c>
      <c r="D1700" s="3" t="s">
        <v>4014</v>
      </c>
      <c r="E1700" s="3" t="s">
        <v>4015</v>
      </c>
      <c r="F1700" s="3" t="s">
        <v>4016</v>
      </c>
      <c r="G1700" s="8" t="s">
        <v>4062</v>
      </c>
      <c r="H1700" s="9" t="s">
        <v>13</v>
      </c>
      <c r="I1700" s="9" t="s">
        <v>4063</v>
      </c>
    </row>
    <row r="1701" customFormat="false" ht="15.75" hidden="false" customHeight="false" outlineLevel="0" collapsed="false">
      <c r="B1701" s="7" t="n">
        <v>46214</v>
      </c>
      <c r="C1701" s="3" t="s">
        <v>4064</v>
      </c>
      <c r="D1701" s="3" t="s">
        <v>4014</v>
      </c>
      <c r="E1701" s="3" t="s">
        <v>4015</v>
      </c>
      <c r="F1701" s="3" t="s">
        <v>4016</v>
      </c>
      <c r="G1701" s="8" t="s">
        <v>4065</v>
      </c>
      <c r="H1701" s="9" t="s">
        <v>13</v>
      </c>
      <c r="I1701" s="9" t="s">
        <v>4066</v>
      </c>
    </row>
    <row r="1702" customFormat="false" ht="15.75" hidden="false" customHeight="false" outlineLevel="0" collapsed="false">
      <c r="B1702" s="7" t="n">
        <v>46214</v>
      </c>
      <c r="C1702" s="3" t="s">
        <v>4067</v>
      </c>
      <c r="D1702" s="3" t="s">
        <v>4014</v>
      </c>
      <c r="E1702" s="3" t="s">
        <v>4015</v>
      </c>
      <c r="F1702" s="3" t="s">
        <v>4016</v>
      </c>
      <c r="G1702" s="10" t="s">
        <v>4068</v>
      </c>
      <c r="H1702" s="9" t="s">
        <v>13</v>
      </c>
      <c r="I1702" s="9" t="s">
        <v>4069</v>
      </c>
    </row>
    <row r="1703" customFormat="false" ht="15.75" hidden="false" customHeight="false" outlineLevel="0" collapsed="false">
      <c r="B1703" s="7" t="n">
        <v>46214</v>
      </c>
      <c r="C1703" s="3" t="s">
        <v>4070</v>
      </c>
      <c r="D1703" s="3" t="s">
        <v>4014</v>
      </c>
      <c r="E1703" s="3" t="s">
        <v>4015</v>
      </c>
      <c r="F1703" s="3" t="s">
        <v>4016</v>
      </c>
      <c r="G1703" s="8" t="s">
        <v>4071</v>
      </c>
      <c r="H1703" s="9" t="s">
        <v>13</v>
      </c>
      <c r="I1703" s="9" t="s">
        <v>4072</v>
      </c>
    </row>
    <row r="1704" customFormat="false" ht="15.75" hidden="false" customHeight="false" outlineLevel="0" collapsed="false">
      <c r="B1704" s="7" t="n">
        <v>46214</v>
      </c>
      <c r="C1704" s="3" t="s">
        <v>4073</v>
      </c>
      <c r="D1704" s="3" t="s">
        <v>4014</v>
      </c>
      <c r="E1704" s="3" t="s">
        <v>4015</v>
      </c>
      <c r="F1704" s="3" t="s">
        <v>4016</v>
      </c>
      <c r="G1704" s="10" t="s">
        <v>4074</v>
      </c>
      <c r="H1704" s="9" t="s">
        <v>13</v>
      </c>
      <c r="I1704" s="9" t="s">
        <v>4075</v>
      </c>
    </row>
    <row r="1705" customFormat="false" ht="15.75" hidden="false" customHeight="false" outlineLevel="0" collapsed="false">
      <c r="B1705" s="7" t="n">
        <v>46214</v>
      </c>
      <c r="C1705" s="3" t="s">
        <v>4076</v>
      </c>
      <c r="D1705" s="3" t="s">
        <v>4014</v>
      </c>
      <c r="E1705" s="3" t="s">
        <v>4015</v>
      </c>
      <c r="F1705" s="3" t="s">
        <v>4016</v>
      </c>
      <c r="G1705" s="10" t="s">
        <v>4077</v>
      </c>
      <c r="H1705" s="9" t="s">
        <v>13</v>
      </c>
      <c r="I1705" s="9" t="s">
        <v>4078</v>
      </c>
    </row>
    <row r="1706" customFormat="false" ht="15.75" hidden="false" customHeight="false" outlineLevel="0" collapsed="false">
      <c r="B1706" s="7" t="n">
        <v>46214</v>
      </c>
      <c r="C1706" s="3" t="s">
        <v>4079</v>
      </c>
      <c r="D1706" s="3" t="s">
        <v>4014</v>
      </c>
      <c r="E1706" s="3" t="s">
        <v>4015</v>
      </c>
      <c r="F1706" s="3" t="s">
        <v>4016</v>
      </c>
      <c r="G1706" s="10" t="s">
        <v>4080</v>
      </c>
      <c r="H1706" s="9" t="s">
        <v>13</v>
      </c>
      <c r="I1706" s="9" t="s">
        <v>4081</v>
      </c>
    </row>
    <row r="1707" customFormat="false" ht="15.75" hidden="false" customHeight="false" outlineLevel="0" collapsed="false">
      <c r="B1707" s="7" t="n">
        <v>46214</v>
      </c>
      <c r="C1707" s="3" t="s">
        <v>4082</v>
      </c>
      <c r="D1707" s="3" t="s">
        <v>4014</v>
      </c>
      <c r="E1707" s="3" t="s">
        <v>4015</v>
      </c>
      <c r="F1707" s="3" t="s">
        <v>4016</v>
      </c>
      <c r="G1707" s="10" t="s">
        <v>4083</v>
      </c>
      <c r="H1707" s="9" t="s">
        <v>13</v>
      </c>
      <c r="I1707" s="9" t="s">
        <v>4084</v>
      </c>
    </row>
    <row r="1708" customFormat="false" ht="15.75" hidden="false" customHeight="false" outlineLevel="0" collapsed="false">
      <c r="B1708" s="7" t="n">
        <v>46214</v>
      </c>
      <c r="C1708" s="3" t="s">
        <v>4085</v>
      </c>
      <c r="D1708" s="3" t="s">
        <v>4014</v>
      </c>
      <c r="E1708" s="3" t="s">
        <v>4015</v>
      </c>
      <c r="F1708" s="3" t="s">
        <v>4016</v>
      </c>
      <c r="G1708" s="10" t="s">
        <v>4086</v>
      </c>
      <c r="H1708" s="9" t="s">
        <v>13</v>
      </c>
      <c r="I1708" s="9" t="s">
        <v>4087</v>
      </c>
    </row>
    <row r="1709" customFormat="false" ht="15.75" hidden="false" customHeight="false" outlineLevel="0" collapsed="false">
      <c r="B1709" s="7" t="n">
        <v>46214</v>
      </c>
      <c r="C1709" s="3" t="s">
        <v>4088</v>
      </c>
      <c r="D1709" s="3" t="s">
        <v>4014</v>
      </c>
      <c r="E1709" s="3" t="s">
        <v>4015</v>
      </c>
      <c r="F1709" s="3" t="s">
        <v>4016</v>
      </c>
      <c r="G1709" s="10" t="s">
        <v>4089</v>
      </c>
      <c r="H1709" s="9" t="s">
        <v>13</v>
      </c>
      <c r="I1709" s="9" t="s">
        <v>4090</v>
      </c>
    </row>
    <row r="1710" customFormat="false" ht="15.75" hidden="false" customHeight="false" outlineLevel="0" collapsed="false">
      <c r="B1710" s="7" t="n">
        <v>46214</v>
      </c>
      <c r="C1710" s="3" t="s">
        <v>4091</v>
      </c>
      <c r="D1710" s="3" t="s">
        <v>4014</v>
      </c>
      <c r="E1710" s="3" t="s">
        <v>4015</v>
      </c>
      <c r="F1710" s="3" t="s">
        <v>4016</v>
      </c>
      <c r="G1710" s="8" t="s">
        <v>4092</v>
      </c>
      <c r="H1710" s="9" t="s">
        <v>13</v>
      </c>
      <c r="I1710" s="9" t="s">
        <v>4093</v>
      </c>
    </row>
    <row r="1711" customFormat="false" ht="15.75" hidden="false" customHeight="false" outlineLevel="0" collapsed="false">
      <c r="B1711" s="7" t="n">
        <v>46214</v>
      </c>
      <c r="C1711" s="3" t="s">
        <v>4094</v>
      </c>
      <c r="D1711" s="3" t="s">
        <v>4014</v>
      </c>
      <c r="E1711" s="3" t="s">
        <v>4015</v>
      </c>
      <c r="F1711" s="3" t="s">
        <v>4016</v>
      </c>
      <c r="G1711" s="8" t="s">
        <v>4092</v>
      </c>
      <c r="H1711" s="9" t="s">
        <v>13</v>
      </c>
      <c r="I1711" s="9" t="s">
        <v>4095</v>
      </c>
    </row>
    <row r="1712" customFormat="false" ht="15.75" hidden="false" customHeight="false" outlineLevel="0" collapsed="false">
      <c r="B1712" s="7" t="n">
        <v>46214</v>
      </c>
      <c r="C1712" s="3" t="s">
        <v>4096</v>
      </c>
      <c r="D1712" s="3" t="s">
        <v>4014</v>
      </c>
      <c r="E1712" s="3" t="s">
        <v>4015</v>
      </c>
      <c r="F1712" s="3" t="s">
        <v>4016</v>
      </c>
      <c r="G1712" s="8" t="s">
        <v>4097</v>
      </c>
      <c r="H1712" s="9" t="s">
        <v>13</v>
      </c>
      <c r="I1712" s="9" t="s">
        <v>4098</v>
      </c>
    </row>
    <row r="1713" customFormat="false" ht="15.75" hidden="false" customHeight="false" outlineLevel="0" collapsed="false">
      <c r="B1713" s="7" t="n">
        <v>46214</v>
      </c>
      <c r="C1713" s="3" t="s">
        <v>4099</v>
      </c>
      <c r="D1713" s="3" t="s">
        <v>4014</v>
      </c>
      <c r="E1713" s="3" t="s">
        <v>4015</v>
      </c>
      <c r="F1713" s="3" t="s">
        <v>4016</v>
      </c>
      <c r="G1713" s="10" t="s">
        <v>4100</v>
      </c>
      <c r="H1713" s="9" t="s">
        <v>13</v>
      </c>
      <c r="I1713" s="9" t="s">
        <v>4101</v>
      </c>
    </row>
    <row r="1714" customFormat="false" ht="15.75" hidden="false" customHeight="false" outlineLevel="0" collapsed="false">
      <c r="B1714" s="7" t="n">
        <v>46214</v>
      </c>
      <c r="C1714" s="3" t="s">
        <v>4102</v>
      </c>
      <c r="D1714" s="3" t="s">
        <v>4014</v>
      </c>
      <c r="E1714" s="3" t="s">
        <v>4015</v>
      </c>
      <c r="F1714" s="3" t="s">
        <v>4016</v>
      </c>
      <c r="G1714" s="10" t="s">
        <v>4103</v>
      </c>
      <c r="H1714" s="9" t="s">
        <v>13</v>
      </c>
      <c r="I1714" s="9" t="s">
        <v>4104</v>
      </c>
    </row>
    <row r="1715" customFormat="false" ht="15.75" hidden="false" customHeight="false" outlineLevel="0" collapsed="false">
      <c r="B1715" s="7" t="n">
        <v>46214</v>
      </c>
      <c r="C1715" s="3" t="s">
        <v>4105</v>
      </c>
      <c r="D1715" s="3" t="s">
        <v>4014</v>
      </c>
      <c r="E1715" s="3" t="s">
        <v>4015</v>
      </c>
      <c r="F1715" s="3" t="s">
        <v>4016</v>
      </c>
      <c r="G1715" s="8" t="s">
        <v>4106</v>
      </c>
      <c r="H1715" s="9" t="s">
        <v>13</v>
      </c>
      <c r="I1715" s="9" t="s">
        <v>4107</v>
      </c>
    </row>
    <row r="1716" customFormat="false" ht="15.75" hidden="false" customHeight="false" outlineLevel="0" collapsed="false">
      <c r="B1716" s="7" t="n">
        <v>46214</v>
      </c>
      <c r="C1716" s="3" t="s">
        <v>4108</v>
      </c>
      <c r="D1716" s="3" t="s">
        <v>4014</v>
      </c>
      <c r="E1716" s="3" t="s">
        <v>4015</v>
      </c>
      <c r="F1716" s="3" t="s">
        <v>4016</v>
      </c>
      <c r="G1716" s="8" t="s">
        <v>4109</v>
      </c>
      <c r="H1716" s="9" t="s">
        <v>13</v>
      </c>
      <c r="I1716" s="9" t="s">
        <v>4110</v>
      </c>
    </row>
    <row r="1717" customFormat="false" ht="15.75" hidden="false" customHeight="false" outlineLevel="0" collapsed="false">
      <c r="B1717" s="7" t="n">
        <v>46214</v>
      </c>
      <c r="C1717" s="3" t="s">
        <v>4111</v>
      </c>
      <c r="D1717" s="3" t="s">
        <v>4014</v>
      </c>
      <c r="E1717" s="3" t="s">
        <v>4015</v>
      </c>
      <c r="F1717" s="3" t="s">
        <v>4016</v>
      </c>
      <c r="G1717" s="10" t="s">
        <v>4112</v>
      </c>
      <c r="H1717" s="9" t="s">
        <v>13</v>
      </c>
      <c r="I1717" s="9" t="s">
        <v>4113</v>
      </c>
    </row>
    <row r="1718" customFormat="false" ht="15.75" hidden="false" customHeight="false" outlineLevel="0" collapsed="false">
      <c r="B1718" s="7" t="n">
        <v>46219</v>
      </c>
      <c r="C1718" s="3" t="s">
        <v>4114</v>
      </c>
      <c r="D1718" s="3" t="s">
        <v>4014</v>
      </c>
      <c r="E1718" s="3" t="s">
        <v>4015</v>
      </c>
      <c r="F1718" s="3" t="s">
        <v>4115</v>
      </c>
      <c r="G1718" s="10" t="s">
        <v>4116</v>
      </c>
      <c r="H1718" s="9" t="s">
        <v>13</v>
      </c>
      <c r="I1718" s="9" t="s">
        <v>4117</v>
      </c>
    </row>
    <row r="1719" customFormat="false" ht="15.75" hidden="false" customHeight="false" outlineLevel="0" collapsed="false">
      <c r="B1719" s="7" t="n">
        <v>46219</v>
      </c>
      <c r="C1719" s="3" t="s">
        <v>4118</v>
      </c>
      <c r="D1719" s="3" t="s">
        <v>4014</v>
      </c>
      <c r="E1719" s="3" t="s">
        <v>4015</v>
      </c>
      <c r="F1719" s="3" t="s">
        <v>4115</v>
      </c>
      <c r="G1719" s="10" t="s">
        <v>4116</v>
      </c>
      <c r="H1719" s="9" t="s">
        <v>13</v>
      </c>
      <c r="I1719" s="9" t="s">
        <v>4117</v>
      </c>
    </row>
    <row r="1720" customFormat="false" ht="15.75" hidden="false" customHeight="false" outlineLevel="0" collapsed="false">
      <c r="B1720" s="7" t="n">
        <v>46219</v>
      </c>
      <c r="C1720" s="3" t="s">
        <v>4119</v>
      </c>
      <c r="D1720" s="3" t="s">
        <v>4014</v>
      </c>
      <c r="E1720" s="3" t="s">
        <v>4015</v>
      </c>
      <c r="F1720" s="3" t="s">
        <v>4115</v>
      </c>
      <c r="G1720" s="10" t="s">
        <v>4120</v>
      </c>
      <c r="H1720" s="9" t="s">
        <v>13</v>
      </c>
      <c r="I1720" s="9" t="s">
        <v>4121</v>
      </c>
    </row>
    <row r="1721" customFormat="false" ht="15.75" hidden="false" customHeight="false" outlineLevel="0" collapsed="false">
      <c r="B1721" s="7" t="n">
        <v>46219</v>
      </c>
      <c r="C1721" s="3" t="s">
        <v>4122</v>
      </c>
      <c r="D1721" s="3" t="s">
        <v>4014</v>
      </c>
      <c r="E1721" s="3" t="s">
        <v>4015</v>
      </c>
      <c r="F1721" s="3" t="s">
        <v>4115</v>
      </c>
      <c r="G1721" s="8" t="s">
        <v>4123</v>
      </c>
      <c r="H1721" s="9" t="s">
        <v>13</v>
      </c>
      <c r="I1721" s="9" t="s">
        <v>4124</v>
      </c>
    </row>
    <row r="1722" customFormat="false" ht="15.75" hidden="false" customHeight="false" outlineLevel="0" collapsed="false">
      <c r="B1722" s="7" t="n">
        <v>46219</v>
      </c>
      <c r="C1722" s="3" t="s">
        <v>4125</v>
      </c>
      <c r="D1722" s="3" t="s">
        <v>4014</v>
      </c>
      <c r="E1722" s="3" t="s">
        <v>4015</v>
      </c>
      <c r="F1722" s="3" t="s">
        <v>4115</v>
      </c>
      <c r="G1722" s="10" t="s">
        <v>4126</v>
      </c>
      <c r="H1722" s="9" t="s">
        <v>13</v>
      </c>
      <c r="I1722" s="9" t="s">
        <v>4127</v>
      </c>
    </row>
    <row r="1723" customFormat="false" ht="15.75" hidden="false" customHeight="false" outlineLevel="0" collapsed="false">
      <c r="B1723" s="7" t="n">
        <v>46219</v>
      </c>
      <c r="C1723" s="3" t="s">
        <v>4128</v>
      </c>
      <c r="D1723" s="3" t="s">
        <v>4014</v>
      </c>
      <c r="E1723" s="3" t="s">
        <v>4015</v>
      </c>
      <c r="F1723" s="3" t="s">
        <v>4115</v>
      </c>
      <c r="G1723" s="10" t="s">
        <v>4129</v>
      </c>
      <c r="H1723" s="9" t="s">
        <v>13</v>
      </c>
      <c r="I1723" s="9" t="s">
        <v>4130</v>
      </c>
    </row>
    <row r="1724" customFormat="false" ht="15.75" hidden="false" customHeight="false" outlineLevel="0" collapsed="false">
      <c r="B1724" s="7" t="n">
        <v>46219</v>
      </c>
      <c r="C1724" s="3" t="s">
        <v>4131</v>
      </c>
      <c r="D1724" s="3" t="s">
        <v>4014</v>
      </c>
      <c r="E1724" s="3" t="s">
        <v>4015</v>
      </c>
      <c r="F1724" s="3" t="s">
        <v>4115</v>
      </c>
      <c r="G1724" s="10" t="s">
        <v>4129</v>
      </c>
      <c r="H1724" s="9" t="s">
        <v>13</v>
      </c>
      <c r="I1724" s="9" t="s">
        <v>4132</v>
      </c>
    </row>
    <row r="1725" customFormat="false" ht="15.75" hidden="false" customHeight="false" outlineLevel="0" collapsed="false">
      <c r="B1725" s="7" t="n">
        <v>46219</v>
      </c>
      <c r="C1725" s="3" t="s">
        <v>4133</v>
      </c>
      <c r="D1725" s="3" t="s">
        <v>4014</v>
      </c>
      <c r="E1725" s="3" t="s">
        <v>4015</v>
      </c>
      <c r="F1725" s="3" t="s">
        <v>4115</v>
      </c>
      <c r="G1725" s="10" t="s">
        <v>4134</v>
      </c>
      <c r="H1725" s="9" t="s">
        <v>13</v>
      </c>
      <c r="I1725" s="9" t="s">
        <v>4135</v>
      </c>
    </row>
    <row r="1726" customFormat="false" ht="15.75" hidden="false" customHeight="false" outlineLevel="0" collapsed="false">
      <c r="B1726" s="7" t="n">
        <v>46219</v>
      </c>
      <c r="C1726" s="3" t="s">
        <v>4136</v>
      </c>
      <c r="D1726" s="3" t="s">
        <v>4014</v>
      </c>
      <c r="E1726" s="3" t="s">
        <v>4015</v>
      </c>
      <c r="F1726" s="3" t="s">
        <v>4115</v>
      </c>
      <c r="G1726" s="10" t="s">
        <v>4137</v>
      </c>
      <c r="H1726" s="9" t="s">
        <v>13</v>
      </c>
      <c r="I1726" s="9" t="s">
        <v>4138</v>
      </c>
    </row>
    <row r="1727" customFormat="false" ht="15.75" hidden="false" customHeight="false" outlineLevel="0" collapsed="false">
      <c r="B1727" s="7" t="n">
        <v>46219</v>
      </c>
      <c r="C1727" s="3" t="s">
        <v>4139</v>
      </c>
      <c r="D1727" s="3" t="s">
        <v>4014</v>
      </c>
      <c r="E1727" s="3" t="s">
        <v>4015</v>
      </c>
      <c r="F1727" s="3" t="s">
        <v>4115</v>
      </c>
      <c r="G1727" s="8" t="s">
        <v>4140</v>
      </c>
      <c r="H1727" s="9" t="s">
        <v>13</v>
      </c>
      <c r="I1727" s="9" t="s">
        <v>4141</v>
      </c>
    </row>
    <row r="1728" customFormat="false" ht="15.75" hidden="false" customHeight="false" outlineLevel="0" collapsed="false">
      <c r="B1728" s="7" t="n">
        <v>46219</v>
      </c>
      <c r="C1728" s="3" t="s">
        <v>4142</v>
      </c>
      <c r="D1728" s="3" t="s">
        <v>4014</v>
      </c>
      <c r="E1728" s="3" t="s">
        <v>4015</v>
      </c>
      <c r="F1728" s="3" t="s">
        <v>4115</v>
      </c>
      <c r="G1728" s="8" t="s">
        <v>4140</v>
      </c>
      <c r="H1728" s="9" t="s">
        <v>13</v>
      </c>
      <c r="I1728" s="9" t="s">
        <v>4143</v>
      </c>
    </row>
    <row r="1729" customFormat="false" ht="15.75" hidden="false" customHeight="false" outlineLevel="0" collapsed="false">
      <c r="B1729" s="7" t="n">
        <v>46219</v>
      </c>
      <c r="C1729" s="3" t="s">
        <v>4144</v>
      </c>
      <c r="D1729" s="3" t="s">
        <v>4014</v>
      </c>
      <c r="E1729" s="3" t="s">
        <v>4015</v>
      </c>
      <c r="F1729" s="3" t="s">
        <v>4115</v>
      </c>
      <c r="G1729" s="8" t="s">
        <v>4145</v>
      </c>
      <c r="H1729" s="9" t="s">
        <v>13</v>
      </c>
      <c r="I1729" s="9" t="s">
        <v>4146</v>
      </c>
    </row>
    <row r="1730" customFormat="false" ht="15.75" hidden="false" customHeight="false" outlineLevel="0" collapsed="false">
      <c r="B1730" s="7" t="n">
        <v>46219</v>
      </c>
      <c r="C1730" s="3" t="s">
        <v>4147</v>
      </c>
      <c r="D1730" s="3" t="s">
        <v>4014</v>
      </c>
      <c r="E1730" s="3" t="s">
        <v>4015</v>
      </c>
      <c r="F1730" s="3" t="s">
        <v>4115</v>
      </c>
      <c r="G1730" s="10" t="s">
        <v>4148</v>
      </c>
      <c r="H1730" s="9" t="s">
        <v>13</v>
      </c>
      <c r="I1730" s="9" t="s">
        <v>4149</v>
      </c>
    </row>
    <row r="1731" customFormat="false" ht="15.75" hidden="false" customHeight="false" outlineLevel="0" collapsed="false">
      <c r="B1731" s="7" t="n">
        <v>46219</v>
      </c>
      <c r="C1731" s="3" t="s">
        <v>4150</v>
      </c>
      <c r="D1731" s="3" t="s">
        <v>4014</v>
      </c>
      <c r="E1731" s="3" t="s">
        <v>4015</v>
      </c>
      <c r="F1731" s="3" t="s">
        <v>4115</v>
      </c>
      <c r="G1731" s="10" t="s">
        <v>4148</v>
      </c>
      <c r="H1731" s="9" t="s">
        <v>13</v>
      </c>
      <c r="I1731" s="9" t="s">
        <v>4149</v>
      </c>
    </row>
    <row r="1732" customFormat="false" ht="15.75" hidden="false" customHeight="false" outlineLevel="0" collapsed="false">
      <c r="B1732" s="7" t="n">
        <v>46219</v>
      </c>
      <c r="C1732" s="3" t="s">
        <v>4151</v>
      </c>
      <c r="D1732" s="3" t="s">
        <v>4014</v>
      </c>
      <c r="E1732" s="3" t="s">
        <v>4015</v>
      </c>
      <c r="F1732" s="3" t="s">
        <v>4115</v>
      </c>
      <c r="G1732" s="8" t="s">
        <v>4152</v>
      </c>
      <c r="H1732" s="9" t="s">
        <v>13</v>
      </c>
      <c r="I1732" s="9" t="s">
        <v>4153</v>
      </c>
    </row>
    <row r="1733" customFormat="false" ht="15.75" hidden="false" customHeight="false" outlineLevel="0" collapsed="false">
      <c r="B1733" s="7" t="n">
        <v>46219</v>
      </c>
      <c r="C1733" s="3" t="s">
        <v>4154</v>
      </c>
      <c r="D1733" s="3" t="s">
        <v>4014</v>
      </c>
      <c r="E1733" s="3" t="s">
        <v>4015</v>
      </c>
      <c r="F1733" s="3" t="s">
        <v>4115</v>
      </c>
      <c r="G1733" s="10" t="s">
        <v>4155</v>
      </c>
      <c r="H1733" s="9" t="s">
        <v>13</v>
      </c>
      <c r="I1733" s="9" t="s">
        <v>4156</v>
      </c>
    </row>
    <row r="1734" customFormat="false" ht="15.75" hidden="false" customHeight="false" outlineLevel="0" collapsed="false">
      <c r="B1734" s="7" t="n">
        <v>46219</v>
      </c>
      <c r="C1734" s="3" t="s">
        <v>4157</v>
      </c>
      <c r="D1734" s="3" t="s">
        <v>4014</v>
      </c>
      <c r="E1734" s="3" t="s">
        <v>4015</v>
      </c>
      <c r="F1734" s="3" t="s">
        <v>4115</v>
      </c>
      <c r="G1734" s="8" t="s">
        <v>4158</v>
      </c>
      <c r="H1734" s="9" t="s">
        <v>13</v>
      </c>
      <c r="I1734" s="9" t="s">
        <v>4159</v>
      </c>
    </row>
    <row r="1735" customFormat="false" ht="15.75" hidden="false" customHeight="false" outlineLevel="0" collapsed="false">
      <c r="B1735" s="7" t="n">
        <v>46219</v>
      </c>
      <c r="C1735" s="3" t="s">
        <v>4160</v>
      </c>
      <c r="D1735" s="3" t="s">
        <v>4014</v>
      </c>
      <c r="E1735" s="3" t="s">
        <v>4015</v>
      </c>
      <c r="F1735" s="3" t="s">
        <v>4115</v>
      </c>
      <c r="G1735" s="8" t="s">
        <v>4161</v>
      </c>
      <c r="H1735" s="9" t="s">
        <v>13</v>
      </c>
      <c r="I1735" s="9" t="s">
        <v>4162</v>
      </c>
    </row>
    <row r="1736" customFormat="false" ht="15.75" hidden="false" customHeight="false" outlineLevel="0" collapsed="false">
      <c r="B1736" s="7" t="n">
        <v>46219</v>
      </c>
      <c r="C1736" s="3" t="s">
        <v>4163</v>
      </c>
      <c r="D1736" s="3" t="s">
        <v>4014</v>
      </c>
      <c r="E1736" s="3" t="s">
        <v>4015</v>
      </c>
      <c r="F1736" s="3" t="s">
        <v>4115</v>
      </c>
      <c r="G1736" s="8" t="s">
        <v>4161</v>
      </c>
      <c r="H1736" s="9" t="s">
        <v>13</v>
      </c>
      <c r="I1736" s="9" t="s">
        <v>4162</v>
      </c>
    </row>
    <row r="1737" customFormat="false" ht="15.75" hidden="false" customHeight="false" outlineLevel="0" collapsed="false">
      <c r="B1737" s="7" t="n">
        <v>46219</v>
      </c>
      <c r="C1737" s="3" t="s">
        <v>4164</v>
      </c>
      <c r="D1737" s="3" t="s">
        <v>4014</v>
      </c>
      <c r="E1737" s="3" t="s">
        <v>4015</v>
      </c>
      <c r="F1737" s="3" t="s">
        <v>4115</v>
      </c>
      <c r="G1737" s="10" t="s">
        <v>4165</v>
      </c>
      <c r="H1737" s="9" t="s">
        <v>13</v>
      </c>
      <c r="I1737" s="9" t="s">
        <v>4166</v>
      </c>
    </row>
    <row r="1738" customFormat="false" ht="15.75" hidden="false" customHeight="false" outlineLevel="0" collapsed="false">
      <c r="B1738" s="7" t="n">
        <v>46219</v>
      </c>
      <c r="C1738" s="3" t="s">
        <v>4167</v>
      </c>
      <c r="D1738" s="3" t="s">
        <v>4014</v>
      </c>
      <c r="E1738" s="3" t="s">
        <v>4015</v>
      </c>
      <c r="F1738" s="3" t="s">
        <v>4115</v>
      </c>
      <c r="G1738" s="8" t="s">
        <v>4161</v>
      </c>
      <c r="H1738" s="9" t="s">
        <v>13</v>
      </c>
      <c r="I1738" s="9" t="s">
        <v>4168</v>
      </c>
    </row>
    <row r="1739" customFormat="false" ht="15.75" hidden="false" customHeight="false" outlineLevel="0" collapsed="false">
      <c r="B1739" s="7" t="n">
        <v>46219</v>
      </c>
      <c r="C1739" s="3" t="s">
        <v>4169</v>
      </c>
      <c r="D1739" s="3" t="s">
        <v>4014</v>
      </c>
      <c r="E1739" s="3" t="s">
        <v>4015</v>
      </c>
      <c r="F1739" s="3" t="s">
        <v>4115</v>
      </c>
      <c r="G1739" s="10" t="s">
        <v>782</v>
      </c>
      <c r="H1739" s="9" t="s">
        <v>13</v>
      </c>
      <c r="I1739" s="9" t="s">
        <v>4170</v>
      </c>
    </row>
    <row r="1740" customFormat="false" ht="15.75" hidden="false" customHeight="false" outlineLevel="0" collapsed="false">
      <c r="B1740" s="7" t="n">
        <v>46219</v>
      </c>
      <c r="C1740" s="3" t="s">
        <v>4171</v>
      </c>
      <c r="D1740" s="3" t="s">
        <v>4014</v>
      </c>
      <c r="E1740" s="3" t="s">
        <v>4015</v>
      </c>
      <c r="F1740" s="3" t="s">
        <v>4115</v>
      </c>
      <c r="G1740" s="10" t="s">
        <v>4172</v>
      </c>
      <c r="H1740" s="9" t="s">
        <v>13</v>
      </c>
      <c r="I1740" s="9" t="s">
        <v>4173</v>
      </c>
    </row>
    <row r="1741" customFormat="false" ht="15.75" hidden="false" customHeight="false" outlineLevel="0" collapsed="false">
      <c r="B1741" s="7" t="n">
        <v>46219</v>
      </c>
      <c r="C1741" s="3" t="s">
        <v>4174</v>
      </c>
      <c r="D1741" s="3" t="s">
        <v>4014</v>
      </c>
      <c r="E1741" s="3" t="s">
        <v>4015</v>
      </c>
      <c r="F1741" s="3" t="s">
        <v>4115</v>
      </c>
      <c r="G1741" s="8" t="s">
        <v>4175</v>
      </c>
      <c r="H1741" s="9" t="s">
        <v>13</v>
      </c>
      <c r="I1741" s="9" t="s">
        <v>4176</v>
      </c>
    </row>
    <row r="1742" customFormat="false" ht="15.75" hidden="false" customHeight="false" outlineLevel="0" collapsed="false">
      <c r="B1742" s="7" t="n">
        <v>46219</v>
      </c>
      <c r="C1742" s="3" t="s">
        <v>4177</v>
      </c>
      <c r="D1742" s="3" t="s">
        <v>4014</v>
      </c>
      <c r="E1742" s="3" t="s">
        <v>4015</v>
      </c>
      <c r="F1742" s="3" t="s">
        <v>4115</v>
      </c>
      <c r="G1742" s="10" t="s">
        <v>4178</v>
      </c>
      <c r="H1742" s="9" t="s">
        <v>13</v>
      </c>
      <c r="I1742" s="9" t="s">
        <v>4179</v>
      </c>
    </row>
    <row r="1743" customFormat="false" ht="15.75" hidden="false" customHeight="false" outlineLevel="0" collapsed="false">
      <c r="B1743" s="7" t="n">
        <v>46219</v>
      </c>
      <c r="C1743" s="3" t="s">
        <v>4180</v>
      </c>
      <c r="D1743" s="3" t="s">
        <v>4014</v>
      </c>
      <c r="E1743" s="3" t="s">
        <v>4015</v>
      </c>
      <c r="F1743" s="3" t="s">
        <v>4115</v>
      </c>
      <c r="G1743" s="8" t="s">
        <v>4181</v>
      </c>
      <c r="H1743" s="9" t="s">
        <v>13</v>
      </c>
      <c r="I1743" s="9" t="s">
        <v>4182</v>
      </c>
    </row>
    <row r="1744" customFormat="false" ht="15.75" hidden="false" customHeight="false" outlineLevel="0" collapsed="false">
      <c r="B1744" s="7" t="n">
        <v>46219</v>
      </c>
      <c r="C1744" s="3" t="s">
        <v>4183</v>
      </c>
      <c r="D1744" s="3" t="s">
        <v>4014</v>
      </c>
      <c r="E1744" s="3" t="s">
        <v>4015</v>
      </c>
      <c r="F1744" s="3" t="s">
        <v>4115</v>
      </c>
      <c r="G1744" s="10" t="s">
        <v>4184</v>
      </c>
      <c r="H1744" s="9" t="s">
        <v>13</v>
      </c>
      <c r="I1744" s="9" t="s">
        <v>4185</v>
      </c>
    </row>
    <row r="1745" customFormat="false" ht="15.75" hidden="false" customHeight="false" outlineLevel="0" collapsed="false">
      <c r="B1745" s="7" t="n">
        <v>46219</v>
      </c>
      <c r="C1745" s="3" t="s">
        <v>4186</v>
      </c>
      <c r="D1745" s="3" t="s">
        <v>4014</v>
      </c>
      <c r="E1745" s="3" t="s">
        <v>4015</v>
      </c>
      <c r="F1745" s="3" t="s">
        <v>4115</v>
      </c>
      <c r="G1745" s="10" t="s">
        <v>4184</v>
      </c>
      <c r="H1745" s="9" t="s">
        <v>13</v>
      </c>
      <c r="I1745" s="9" t="s">
        <v>4187</v>
      </c>
    </row>
    <row r="1746" customFormat="false" ht="15.75" hidden="false" customHeight="false" outlineLevel="0" collapsed="false">
      <c r="B1746" s="7" t="n">
        <v>46219</v>
      </c>
      <c r="C1746" s="3" t="s">
        <v>4188</v>
      </c>
      <c r="D1746" s="3" t="s">
        <v>4014</v>
      </c>
      <c r="E1746" s="3" t="s">
        <v>4015</v>
      </c>
      <c r="F1746" s="3" t="s">
        <v>4115</v>
      </c>
      <c r="G1746" s="10" t="s">
        <v>4184</v>
      </c>
      <c r="H1746" s="9" t="s">
        <v>13</v>
      </c>
      <c r="I1746" s="9" t="s">
        <v>4187</v>
      </c>
    </row>
    <row r="1747" customFormat="false" ht="15.75" hidden="false" customHeight="false" outlineLevel="0" collapsed="false">
      <c r="B1747" s="7" t="n">
        <v>46219</v>
      </c>
      <c r="C1747" s="3" t="s">
        <v>4189</v>
      </c>
      <c r="D1747" s="3" t="s">
        <v>4014</v>
      </c>
      <c r="E1747" s="3" t="s">
        <v>4015</v>
      </c>
      <c r="F1747" s="3" t="s">
        <v>4115</v>
      </c>
      <c r="G1747" s="10" t="s">
        <v>4190</v>
      </c>
      <c r="H1747" s="9" t="s">
        <v>13</v>
      </c>
      <c r="I1747" s="9" t="s">
        <v>4191</v>
      </c>
    </row>
    <row r="1748" customFormat="false" ht="15.75" hidden="false" customHeight="false" outlineLevel="0" collapsed="false">
      <c r="B1748" s="7" t="n">
        <v>46219</v>
      </c>
      <c r="C1748" s="3" t="s">
        <v>4192</v>
      </c>
      <c r="D1748" s="3" t="s">
        <v>4014</v>
      </c>
      <c r="E1748" s="3" t="s">
        <v>4015</v>
      </c>
      <c r="F1748" s="3" t="s">
        <v>4115</v>
      </c>
      <c r="G1748" s="8" t="s">
        <v>4193</v>
      </c>
      <c r="H1748" s="9" t="s">
        <v>13</v>
      </c>
      <c r="I1748" s="9" t="s">
        <v>4194</v>
      </c>
    </row>
    <row r="1749" customFormat="false" ht="15.75" hidden="false" customHeight="false" outlineLevel="0" collapsed="false">
      <c r="B1749" s="7" t="n">
        <v>46219</v>
      </c>
      <c r="C1749" s="3" t="s">
        <v>4195</v>
      </c>
      <c r="D1749" s="3" t="s">
        <v>4014</v>
      </c>
      <c r="E1749" s="3" t="s">
        <v>4015</v>
      </c>
      <c r="F1749" s="3" t="s">
        <v>4115</v>
      </c>
      <c r="G1749" s="10" t="s">
        <v>4196</v>
      </c>
      <c r="H1749" s="9" t="s">
        <v>13</v>
      </c>
      <c r="I1749" s="9" t="s">
        <v>4197</v>
      </c>
    </row>
    <row r="1750" customFormat="false" ht="15.75" hidden="false" customHeight="false" outlineLevel="0" collapsed="false">
      <c r="B1750" s="7" t="n">
        <v>46219</v>
      </c>
      <c r="C1750" s="3" t="s">
        <v>4198</v>
      </c>
      <c r="D1750" s="3" t="s">
        <v>4014</v>
      </c>
      <c r="E1750" s="3" t="s">
        <v>4015</v>
      </c>
      <c r="F1750" s="3" t="s">
        <v>4115</v>
      </c>
      <c r="G1750" s="10" t="s">
        <v>4199</v>
      </c>
      <c r="H1750" s="9" t="s">
        <v>13</v>
      </c>
      <c r="I1750" s="9" t="s">
        <v>4200</v>
      </c>
    </row>
    <row r="1751" customFormat="false" ht="15.75" hidden="false" customHeight="false" outlineLevel="0" collapsed="false">
      <c r="B1751" s="7" t="n">
        <v>46219</v>
      </c>
      <c r="C1751" s="3" t="s">
        <v>4201</v>
      </c>
      <c r="D1751" s="3" t="s">
        <v>4014</v>
      </c>
      <c r="E1751" s="3" t="s">
        <v>4015</v>
      </c>
      <c r="F1751" s="3" t="s">
        <v>4115</v>
      </c>
      <c r="G1751" s="10" t="s">
        <v>4202</v>
      </c>
      <c r="H1751" s="9" t="s">
        <v>13</v>
      </c>
      <c r="I1751" s="9" t="s">
        <v>4203</v>
      </c>
    </row>
    <row r="1752" customFormat="false" ht="15.75" hidden="false" customHeight="false" outlineLevel="0" collapsed="false">
      <c r="B1752" s="7" t="n">
        <v>46219</v>
      </c>
      <c r="C1752" s="3" t="s">
        <v>4204</v>
      </c>
      <c r="D1752" s="3" t="s">
        <v>4014</v>
      </c>
      <c r="E1752" s="3" t="s">
        <v>4015</v>
      </c>
      <c r="F1752" s="3" t="s">
        <v>4115</v>
      </c>
      <c r="G1752" s="10" t="s">
        <v>4205</v>
      </c>
      <c r="H1752" s="9" t="s">
        <v>13</v>
      </c>
      <c r="I1752" s="9" t="s">
        <v>4206</v>
      </c>
    </row>
    <row r="1753" customFormat="false" ht="15.75" hidden="false" customHeight="false" outlineLevel="0" collapsed="false">
      <c r="B1753" s="7" t="n">
        <v>46220</v>
      </c>
      <c r="C1753" s="3" t="s">
        <v>4207</v>
      </c>
      <c r="D1753" s="3" t="s">
        <v>4014</v>
      </c>
      <c r="E1753" s="3" t="s">
        <v>4015</v>
      </c>
      <c r="F1753" s="3" t="s">
        <v>4208</v>
      </c>
      <c r="G1753" s="8" t="s">
        <v>4209</v>
      </c>
      <c r="H1753" s="9" t="s">
        <v>13</v>
      </c>
      <c r="I1753" s="9" t="s">
        <v>4210</v>
      </c>
    </row>
    <row r="1754" customFormat="false" ht="15.75" hidden="false" customHeight="false" outlineLevel="0" collapsed="false">
      <c r="B1754" s="7" t="n">
        <v>46220</v>
      </c>
      <c r="C1754" s="3" t="s">
        <v>4211</v>
      </c>
      <c r="D1754" s="3" t="s">
        <v>4014</v>
      </c>
      <c r="E1754" s="3" t="s">
        <v>4015</v>
      </c>
      <c r="F1754" s="3" t="s">
        <v>4208</v>
      </c>
      <c r="G1754" s="10" t="s">
        <v>4212</v>
      </c>
      <c r="H1754" s="9" t="s">
        <v>13</v>
      </c>
      <c r="I1754" s="9" t="s">
        <v>4213</v>
      </c>
    </row>
    <row r="1755" customFormat="false" ht="15.75" hidden="false" customHeight="false" outlineLevel="0" collapsed="false">
      <c r="B1755" s="7" t="n">
        <v>46220</v>
      </c>
      <c r="C1755" s="3" t="s">
        <v>4214</v>
      </c>
      <c r="D1755" s="3" t="s">
        <v>4014</v>
      </c>
      <c r="E1755" s="3" t="s">
        <v>4015</v>
      </c>
      <c r="F1755" s="3" t="s">
        <v>4208</v>
      </c>
      <c r="G1755" s="10" t="s">
        <v>4212</v>
      </c>
      <c r="H1755" s="9" t="s">
        <v>13</v>
      </c>
      <c r="I1755" s="9" t="s">
        <v>4213</v>
      </c>
    </row>
    <row r="1756" customFormat="false" ht="15.75" hidden="false" customHeight="false" outlineLevel="0" collapsed="false">
      <c r="B1756" s="7" t="n">
        <v>46220</v>
      </c>
      <c r="C1756" s="3" t="s">
        <v>4215</v>
      </c>
      <c r="D1756" s="3" t="s">
        <v>4014</v>
      </c>
      <c r="E1756" s="3" t="s">
        <v>4015</v>
      </c>
      <c r="F1756" s="3" t="s">
        <v>4208</v>
      </c>
      <c r="G1756" s="8" t="s">
        <v>4216</v>
      </c>
      <c r="H1756" s="9" t="s">
        <v>13</v>
      </c>
      <c r="I1756" s="9" t="s">
        <v>4217</v>
      </c>
    </row>
    <row r="1757" customFormat="false" ht="15.75" hidden="false" customHeight="false" outlineLevel="0" collapsed="false">
      <c r="B1757" s="7" t="n">
        <v>46220</v>
      </c>
      <c r="C1757" s="3" t="s">
        <v>4218</v>
      </c>
      <c r="D1757" s="3" t="s">
        <v>4014</v>
      </c>
      <c r="E1757" s="3" t="s">
        <v>4015</v>
      </c>
      <c r="F1757" s="3" t="s">
        <v>4208</v>
      </c>
      <c r="G1757" s="10" t="s">
        <v>4219</v>
      </c>
      <c r="H1757" s="9" t="s">
        <v>13</v>
      </c>
      <c r="I1757" s="9" t="s">
        <v>4220</v>
      </c>
    </row>
    <row r="1758" customFormat="false" ht="15.75" hidden="false" customHeight="false" outlineLevel="0" collapsed="false">
      <c r="B1758" s="7" t="n">
        <v>46220</v>
      </c>
      <c r="C1758" s="3" t="s">
        <v>4221</v>
      </c>
      <c r="D1758" s="3" t="s">
        <v>4014</v>
      </c>
      <c r="E1758" s="3" t="s">
        <v>4015</v>
      </c>
      <c r="F1758" s="3" t="s">
        <v>4208</v>
      </c>
      <c r="G1758" s="10" t="s">
        <v>4222</v>
      </c>
      <c r="H1758" s="9" t="s">
        <v>13</v>
      </c>
      <c r="I1758" s="9" t="s">
        <v>4223</v>
      </c>
    </row>
    <row r="1759" customFormat="false" ht="15.75" hidden="false" customHeight="false" outlineLevel="0" collapsed="false">
      <c r="B1759" s="7" t="n">
        <v>46220</v>
      </c>
      <c r="C1759" s="3" t="s">
        <v>4224</v>
      </c>
      <c r="D1759" s="3" t="s">
        <v>4014</v>
      </c>
      <c r="E1759" s="3" t="s">
        <v>4015</v>
      </c>
      <c r="F1759" s="3" t="s">
        <v>4208</v>
      </c>
      <c r="G1759" s="8" t="s">
        <v>4225</v>
      </c>
      <c r="H1759" s="9" t="s">
        <v>13</v>
      </c>
      <c r="I1759" s="9" t="s">
        <v>4226</v>
      </c>
    </row>
    <row r="1760" customFormat="false" ht="15.75" hidden="false" customHeight="false" outlineLevel="0" collapsed="false">
      <c r="B1760" s="7" t="n">
        <v>46220</v>
      </c>
      <c r="C1760" s="3" t="s">
        <v>4227</v>
      </c>
      <c r="D1760" s="3" t="s">
        <v>4014</v>
      </c>
      <c r="E1760" s="3" t="s">
        <v>4015</v>
      </c>
      <c r="F1760" s="3" t="s">
        <v>4208</v>
      </c>
      <c r="G1760" s="10" t="s">
        <v>4228</v>
      </c>
      <c r="H1760" s="9" t="s">
        <v>13</v>
      </c>
      <c r="I1760" s="9" t="s">
        <v>4229</v>
      </c>
    </row>
    <row r="1761" customFormat="false" ht="15.75" hidden="false" customHeight="false" outlineLevel="0" collapsed="false">
      <c r="B1761" s="7" t="n">
        <v>46220</v>
      </c>
      <c r="C1761" s="3" t="s">
        <v>4230</v>
      </c>
      <c r="D1761" s="3" t="s">
        <v>4014</v>
      </c>
      <c r="E1761" s="3" t="s">
        <v>4015</v>
      </c>
      <c r="F1761" s="3" t="s">
        <v>4208</v>
      </c>
      <c r="G1761" s="10" t="s">
        <v>4231</v>
      </c>
      <c r="H1761" s="9" t="s">
        <v>13</v>
      </c>
      <c r="I1761" s="9" t="s">
        <v>4232</v>
      </c>
    </row>
    <row r="1762" customFormat="false" ht="15.75" hidden="false" customHeight="false" outlineLevel="0" collapsed="false">
      <c r="B1762" s="7" t="n">
        <v>46220</v>
      </c>
      <c r="C1762" s="3" t="s">
        <v>4233</v>
      </c>
      <c r="D1762" s="3" t="s">
        <v>4014</v>
      </c>
      <c r="E1762" s="3" t="s">
        <v>4015</v>
      </c>
      <c r="F1762" s="3" t="s">
        <v>4208</v>
      </c>
      <c r="G1762" s="8" t="s">
        <v>4234</v>
      </c>
      <c r="H1762" s="9" t="s">
        <v>13</v>
      </c>
      <c r="I1762" s="9" t="s">
        <v>4235</v>
      </c>
    </row>
    <row r="1763" customFormat="false" ht="15.75" hidden="false" customHeight="false" outlineLevel="0" collapsed="false">
      <c r="B1763" s="7" t="n">
        <v>46220</v>
      </c>
      <c r="C1763" s="3" t="s">
        <v>4236</v>
      </c>
      <c r="D1763" s="3" t="s">
        <v>4014</v>
      </c>
      <c r="E1763" s="3" t="s">
        <v>4015</v>
      </c>
      <c r="F1763" s="3" t="s">
        <v>4208</v>
      </c>
      <c r="G1763" s="10" t="s">
        <v>1228</v>
      </c>
      <c r="H1763" s="9" t="s">
        <v>13</v>
      </c>
      <c r="I1763" s="9" t="s">
        <v>4237</v>
      </c>
    </row>
    <row r="1764" customFormat="false" ht="15.75" hidden="false" customHeight="false" outlineLevel="0" collapsed="false">
      <c r="B1764" s="7" t="n">
        <v>46220</v>
      </c>
      <c r="C1764" s="3" t="s">
        <v>4238</v>
      </c>
      <c r="D1764" s="3" t="s">
        <v>4014</v>
      </c>
      <c r="E1764" s="3" t="s">
        <v>4015</v>
      </c>
      <c r="F1764" s="3" t="s">
        <v>4208</v>
      </c>
      <c r="G1764" s="10" t="s">
        <v>782</v>
      </c>
      <c r="H1764" s="9" t="s">
        <v>13</v>
      </c>
      <c r="I1764" s="9" t="s">
        <v>4239</v>
      </c>
    </row>
    <row r="1765" customFormat="false" ht="15.75" hidden="false" customHeight="false" outlineLevel="0" collapsed="false">
      <c r="B1765" s="7" t="n">
        <v>46220</v>
      </c>
      <c r="C1765" s="3" t="s">
        <v>4240</v>
      </c>
      <c r="D1765" s="3" t="s">
        <v>4014</v>
      </c>
      <c r="E1765" s="3" t="s">
        <v>4015</v>
      </c>
      <c r="F1765" s="3" t="s">
        <v>4208</v>
      </c>
      <c r="G1765" s="8" t="s">
        <v>4181</v>
      </c>
      <c r="H1765" s="9" t="s">
        <v>13</v>
      </c>
      <c r="I1765" s="9" t="s">
        <v>4241</v>
      </c>
    </row>
    <row r="1766" customFormat="false" ht="15.75" hidden="false" customHeight="false" outlineLevel="0" collapsed="false">
      <c r="B1766" s="7" t="n">
        <v>46220</v>
      </c>
      <c r="C1766" s="3" t="s">
        <v>4242</v>
      </c>
      <c r="D1766" s="3" t="s">
        <v>4014</v>
      </c>
      <c r="E1766" s="3" t="s">
        <v>4015</v>
      </c>
      <c r="F1766" s="3" t="s">
        <v>4208</v>
      </c>
      <c r="G1766" s="8" t="s">
        <v>4243</v>
      </c>
      <c r="H1766" s="9" t="s">
        <v>13</v>
      </c>
      <c r="I1766" s="9" t="s">
        <v>4244</v>
      </c>
    </row>
    <row r="1767" customFormat="false" ht="15.75" hidden="false" customHeight="false" outlineLevel="0" collapsed="false">
      <c r="B1767" s="7" t="n">
        <v>46220</v>
      </c>
      <c r="C1767" s="3" t="s">
        <v>4245</v>
      </c>
      <c r="D1767" s="3" t="s">
        <v>4014</v>
      </c>
      <c r="E1767" s="3" t="s">
        <v>4015</v>
      </c>
      <c r="F1767" s="3" t="s">
        <v>4208</v>
      </c>
      <c r="G1767" s="10" t="s">
        <v>4246</v>
      </c>
      <c r="H1767" s="9" t="s">
        <v>13</v>
      </c>
      <c r="I1767" s="9" t="s">
        <v>4247</v>
      </c>
    </row>
    <row r="1768" customFormat="false" ht="15.75" hidden="false" customHeight="false" outlineLevel="0" collapsed="false">
      <c r="B1768" s="7" t="n">
        <v>46220</v>
      </c>
      <c r="C1768" s="3" t="s">
        <v>4248</v>
      </c>
      <c r="D1768" s="3" t="s">
        <v>4014</v>
      </c>
      <c r="E1768" s="3" t="s">
        <v>4015</v>
      </c>
      <c r="F1768" s="3" t="s">
        <v>4208</v>
      </c>
      <c r="G1768" s="10" t="s">
        <v>4249</v>
      </c>
      <c r="H1768" s="9" t="s">
        <v>13</v>
      </c>
      <c r="I1768" s="9" t="s">
        <v>4250</v>
      </c>
    </row>
    <row r="1769" customFormat="false" ht="15.75" hidden="false" customHeight="false" outlineLevel="0" collapsed="false">
      <c r="B1769" s="7" t="n">
        <v>46220</v>
      </c>
      <c r="C1769" s="3" t="s">
        <v>4251</v>
      </c>
      <c r="D1769" s="3" t="s">
        <v>4014</v>
      </c>
      <c r="E1769" s="3" t="s">
        <v>4015</v>
      </c>
      <c r="F1769" s="3" t="s">
        <v>4208</v>
      </c>
      <c r="G1769" s="10" t="s">
        <v>4231</v>
      </c>
      <c r="H1769" s="9" t="s">
        <v>13</v>
      </c>
      <c r="I1769" s="9" t="s">
        <v>4252</v>
      </c>
    </row>
    <row r="1770" customFormat="false" ht="15.75" hidden="false" customHeight="false" outlineLevel="0" collapsed="false">
      <c r="B1770" s="7" t="n">
        <v>46220</v>
      </c>
      <c r="C1770" s="3" t="s">
        <v>4253</v>
      </c>
      <c r="D1770" s="3" t="s">
        <v>4014</v>
      </c>
      <c r="E1770" s="3" t="s">
        <v>4015</v>
      </c>
      <c r="F1770" s="3" t="s">
        <v>4208</v>
      </c>
      <c r="G1770" s="10" t="s">
        <v>4231</v>
      </c>
      <c r="H1770" s="9" t="s">
        <v>13</v>
      </c>
      <c r="I1770" s="9" t="s">
        <v>4252</v>
      </c>
    </row>
    <row r="1771" customFormat="false" ht="15.75" hidden="false" customHeight="false" outlineLevel="0" collapsed="false">
      <c r="B1771" s="7" t="n">
        <v>46220</v>
      </c>
      <c r="C1771" s="3" t="s">
        <v>4254</v>
      </c>
      <c r="D1771" s="3" t="s">
        <v>4014</v>
      </c>
      <c r="E1771" s="3" t="s">
        <v>4015</v>
      </c>
      <c r="F1771" s="3" t="s">
        <v>4208</v>
      </c>
      <c r="G1771" s="8" t="s">
        <v>4255</v>
      </c>
      <c r="H1771" s="9" t="s">
        <v>13</v>
      </c>
      <c r="I1771" s="9" t="s">
        <v>4256</v>
      </c>
    </row>
    <row r="1772" customFormat="false" ht="15.75" hidden="false" customHeight="false" outlineLevel="0" collapsed="false">
      <c r="B1772" s="7" t="n">
        <v>46220</v>
      </c>
      <c r="C1772" s="3" t="s">
        <v>4257</v>
      </c>
      <c r="D1772" s="3" t="s">
        <v>4014</v>
      </c>
      <c r="E1772" s="3" t="s">
        <v>4015</v>
      </c>
      <c r="F1772" s="3" t="s">
        <v>4208</v>
      </c>
      <c r="G1772" s="10" t="s">
        <v>4258</v>
      </c>
      <c r="H1772" s="9" t="s">
        <v>13</v>
      </c>
      <c r="I1772" s="9" t="s">
        <v>4259</v>
      </c>
    </row>
    <row r="1773" customFormat="false" ht="15.75" hidden="false" customHeight="false" outlineLevel="0" collapsed="false">
      <c r="B1773" s="7" t="n">
        <v>46220</v>
      </c>
      <c r="C1773" s="3" t="s">
        <v>4260</v>
      </c>
      <c r="D1773" s="3" t="s">
        <v>4014</v>
      </c>
      <c r="E1773" s="3" t="s">
        <v>4015</v>
      </c>
      <c r="F1773" s="3" t="s">
        <v>4208</v>
      </c>
      <c r="G1773" s="8" t="s">
        <v>4261</v>
      </c>
      <c r="H1773" s="9" t="s">
        <v>13</v>
      </c>
      <c r="I1773" s="9" t="s">
        <v>4262</v>
      </c>
    </row>
    <row r="1774" customFormat="false" ht="15.75" hidden="false" customHeight="false" outlineLevel="0" collapsed="false">
      <c r="B1774" s="7" t="n">
        <v>46220</v>
      </c>
      <c r="C1774" s="3" t="s">
        <v>4263</v>
      </c>
      <c r="D1774" s="3" t="s">
        <v>4014</v>
      </c>
      <c r="E1774" s="3" t="s">
        <v>4015</v>
      </c>
      <c r="F1774" s="3" t="s">
        <v>4208</v>
      </c>
      <c r="G1774" s="10" t="s">
        <v>4264</v>
      </c>
      <c r="H1774" s="9" t="s">
        <v>13</v>
      </c>
      <c r="I1774" s="9" t="s">
        <v>4265</v>
      </c>
    </row>
    <row r="1775" customFormat="false" ht="15.75" hidden="false" customHeight="false" outlineLevel="0" collapsed="false">
      <c r="B1775" s="7" t="n">
        <v>46220</v>
      </c>
      <c r="C1775" s="3" t="s">
        <v>4266</v>
      </c>
      <c r="D1775" s="3" t="s">
        <v>4014</v>
      </c>
      <c r="E1775" s="3" t="s">
        <v>4015</v>
      </c>
      <c r="F1775" s="3" t="s">
        <v>4208</v>
      </c>
      <c r="G1775" s="10" t="s">
        <v>4267</v>
      </c>
      <c r="H1775" s="9" t="s">
        <v>13</v>
      </c>
      <c r="I1775" s="9" t="s">
        <v>4268</v>
      </c>
    </row>
    <row r="1776" customFormat="false" ht="15.75" hidden="false" customHeight="false" outlineLevel="0" collapsed="false">
      <c r="B1776" s="7" t="n">
        <v>46220</v>
      </c>
      <c r="C1776" s="3" t="s">
        <v>4269</v>
      </c>
      <c r="D1776" s="3" t="s">
        <v>4014</v>
      </c>
      <c r="E1776" s="3" t="s">
        <v>4015</v>
      </c>
      <c r="F1776" s="3" t="s">
        <v>4208</v>
      </c>
      <c r="G1776" s="10" t="s">
        <v>4270</v>
      </c>
      <c r="H1776" s="9" t="s">
        <v>13</v>
      </c>
      <c r="I1776" s="9" t="s">
        <v>4271</v>
      </c>
    </row>
    <row r="1777" customFormat="false" ht="15.75" hidden="false" customHeight="false" outlineLevel="0" collapsed="false">
      <c r="B1777" s="7" t="n">
        <v>46220</v>
      </c>
      <c r="C1777" s="3" t="s">
        <v>4272</v>
      </c>
      <c r="D1777" s="3" t="s">
        <v>4014</v>
      </c>
      <c r="E1777" s="3" t="s">
        <v>4015</v>
      </c>
      <c r="F1777" s="3" t="s">
        <v>4208</v>
      </c>
      <c r="G1777" s="8" t="s">
        <v>4273</v>
      </c>
      <c r="H1777" s="9" t="s">
        <v>13</v>
      </c>
      <c r="I1777" s="9" t="s">
        <v>4274</v>
      </c>
    </row>
    <row r="1778" customFormat="false" ht="15.75" hidden="false" customHeight="false" outlineLevel="0" collapsed="false">
      <c r="B1778" s="7" t="n">
        <v>46220</v>
      </c>
      <c r="C1778" s="3" t="s">
        <v>4275</v>
      </c>
      <c r="D1778" s="3" t="s">
        <v>4014</v>
      </c>
      <c r="E1778" s="3" t="s">
        <v>4015</v>
      </c>
      <c r="F1778" s="3" t="s">
        <v>4208</v>
      </c>
      <c r="G1778" s="10" t="s">
        <v>4276</v>
      </c>
      <c r="H1778" s="9" t="s">
        <v>13</v>
      </c>
      <c r="I1778" s="9" t="s">
        <v>4277</v>
      </c>
    </row>
    <row r="1779" customFormat="false" ht="15.75" hidden="false" customHeight="false" outlineLevel="0" collapsed="false">
      <c r="B1779" s="7" t="n">
        <v>46220</v>
      </c>
      <c r="C1779" s="3" t="s">
        <v>4278</v>
      </c>
      <c r="D1779" s="3" t="s">
        <v>4014</v>
      </c>
      <c r="E1779" s="3" t="s">
        <v>4015</v>
      </c>
      <c r="F1779" s="3" t="s">
        <v>4208</v>
      </c>
      <c r="G1779" s="10" t="s">
        <v>4279</v>
      </c>
      <c r="H1779" s="9" t="s">
        <v>13</v>
      </c>
      <c r="I1779" s="9" t="s">
        <v>4280</v>
      </c>
    </row>
    <row r="1780" customFormat="false" ht="15.75" hidden="false" customHeight="false" outlineLevel="0" collapsed="false">
      <c r="B1780" s="7" t="n">
        <v>46220</v>
      </c>
      <c r="C1780" s="3" t="s">
        <v>4281</v>
      </c>
      <c r="D1780" s="3" t="s">
        <v>4014</v>
      </c>
      <c r="E1780" s="3" t="s">
        <v>4015</v>
      </c>
      <c r="F1780" s="3" t="s">
        <v>4208</v>
      </c>
      <c r="G1780" s="10" t="s">
        <v>4282</v>
      </c>
      <c r="H1780" s="9" t="s">
        <v>13</v>
      </c>
      <c r="I1780" s="9" t="s">
        <v>4283</v>
      </c>
    </row>
    <row r="1781" customFormat="false" ht="15.75" hidden="false" customHeight="false" outlineLevel="0" collapsed="false">
      <c r="B1781" s="7" t="n">
        <v>46220</v>
      </c>
      <c r="C1781" s="3" t="s">
        <v>4284</v>
      </c>
      <c r="D1781" s="3" t="s">
        <v>4014</v>
      </c>
      <c r="E1781" s="3" t="s">
        <v>4015</v>
      </c>
      <c r="F1781" s="3" t="s">
        <v>4208</v>
      </c>
      <c r="G1781" s="10" t="s">
        <v>4279</v>
      </c>
      <c r="H1781" s="9" t="s">
        <v>13</v>
      </c>
      <c r="I1781" s="9" t="s">
        <v>4285</v>
      </c>
    </row>
    <row r="1782" customFormat="false" ht="15.75" hidden="false" customHeight="false" outlineLevel="0" collapsed="false">
      <c r="B1782" s="7" t="n">
        <v>46220</v>
      </c>
      <c r="C1782" s="3" t="s">
        <v>4286</v>
      </c>
      <c r="D1782" s="3" t="s">
        <v>4014</v>
      </c>
      <c r="E1782" s="3" t="s">
        <v>4015</v>
      </c>
      <c r="F1782" s="3" t="s">
        <v>4208</v>
      </c>
      <c r="G1782" s="10" t="s">
        <v>4279</v>
      </c>
      <c r="H1782" s="9" t="s">
        <v>13</v>
      </c>
      <c r="I1782" s="9" t="s">
        <v>4285</v>
      </c>
    </row>
    <row r="1783" customFormat="false" ht="15.75" hidden="false" customHeight="false" outlineLevel="0" collapsed="false">
      <c r="B1783" s="7" t="n">
        <v>46220</v>
      </c>
      <c r="C1783" s="3" t="s">
        <v>4287</v>
      </c>
      <c r="D1783" s="3" t="s">
        <v>4014</v>
      </c>
      <c r="E1783" s="3" t="s">
        <v>4015</v>
      </c>
      <c r="F1783" s="3" t="s">
        <v>4208</v>
      </c>
      <c r="G1783" s="10" t="s">
        <v>4288</v>
      </c>
      <c r="H1783" s="9" t="s">
        <v>13</v>
      </c>
      <c r="I1783" s="9" t="s">
        <v>4289</v>
      </c>
    </row>
    <row r="1784" customFormat="false" ht="15.75" hidden="false" customHeight="false" outlineLevel="0" collapsed="false">
      <c r="B1784" s="7" t="n">
        <v>46220</v>
      </c>
      <c r="C1784" s="3" t="s">
        <v>4290</v>
      </c>
      <c r="D1784" s="3" t="s">
        <v>4014</v>
      </c>
      <c r="E1784" s="3" t="s">
        <v>4015</v>
      </c>
      <c r="F1784" s="3" t="s">
        <v>4208</v>
      </c>
      <c r="G1784" s="10" t="s">
        <v>4291</v>
      </c>
      <c r="H1784" s="9" t="s">
        <v>13</v>
      </c>
      <c r="I1784" s="9" t="s">
        <v>4292</v>
      </c>
    </row>
    <row r="1785" customFormat="false" ht="15.75" hidden="false" customHeight="false" outlineLevel="0" collapsed="false">
      <c r="B1785" s="7" t="n">
        <v>46220</v>
      </c>
      <c r="C1785" s="3" t="s">
        <v>4293</v>
      </c>
      <c r="D1785" s="3" t="s">
        <v>4014</v>
      </c>
      <c r="E1785" s="3" t="s">
        <v>4015</v>
      </c>
      <c r="F1785" s="3" t="s">
        <v>4208</v>
      </c>
      <c r="G1785" s="10" t="s">
        <v>4294</v>
      </c>
      <c r="H1785" s="9" t="s">
        <v>13</v>
      </c>
      <c r="I1785" s="9" t="s">
        <v>4295</v>
      </c>
    </row>
    <row r="1786" customFormat="false" ht="15.75" hidden="false" customHeight="false" outlineLevel="0" collapsed="false">
      <c r="B1786" s="7" t="n">
        <v>46220</v>
      </c>
      <c r="C1786" s="3" t="s">
        <v>4296</v>
      </c>
      <c r="D1786" s="3" t="s">
        <v>4014</v>
      </c>
      <c r="E1786" s="3" t="s">
        <v>4015</v>
      </c>
      <c r="F1786" s="3" t="s">
        <v>4208</v>
      </c>
      <c r="G1786" s="10" t="s">
        <v>4297</v>
      </c>
      <c r="H1786" s="9" t="s">
        <v>13</v>
      </c>
      <c r="I1786" s="9" t="s">
        <v>4298</v>
      </c>
    </row>
    <row r="1787" customFormat="false" ht="15.75" hidden="false" customHeight="false" outlineLevel="0" collapsed="false">
      <c r="B1787" s="7" t="n">
        <v>46220</v>
      </c>
      <c r="C1787" s="3" t="s">
        <v>4299</v>
      </c>
      <c r="D1787" s="3" t="s">
        <v>4014</v>
      </c>
      <c r="E1787" s="3" t="s">
        <v>4015</v>
      </c>
      <c r="F1787" s="3" t="s">
        <v>4208</v>
      </c>
      <c r="G1787" s="10" t="s">
        <v>4300</v>
      </c>
      <c r="H1787" s="9" t="s">
        <v>13</v>
      </c>
      <c r="I1787" s="9" t="s">
        <v>4301</v>
      </c>
    </row>
    <row r="1788" customFormat="false" ht="15.75" hidden="false" customHeight="false" outlineLevel="0" collapsed="false">
      <c r="B1788" s="7" t="n">
        <v>46221</v>
      </c>
      <c r="C1788" s="3" t="s">
        <v>4302</v>
      </c>
      <c r="D1788" s="3" t="s">
        <v>4014</v>
      </c>
      <c r="E1788" s="3" t="s">
        <v>4303</v>
      </c>
      <c r="F1788" s="3" t="s">
        <v>4304</v>
      </c>
      <c r="G1788" s="10" t="s">
        <v>4305</v>
      </c>
      <c r="H1788" s="9" t="s">
        <v>13</v>
      </c>
      <c r="I1788" s="9" t="s">
        <v>4306</v>
      </c>
    </row>
    <row r="1789" customFormat="false" ht="15.75" hidden="false" customHeight="false" outlineLevel="0" collapsed="false">
      <c r="B1789" s="7" t="n">
        <v>46221</v>
      </c>
      <c r="C1789" s="3" t="s">
        <v>4307</v>
      </c>
      <c r="D1789" s="3" t="s">
        <v>4014</v>
      </c>
      <c r="E1789" s="3" t="s">
        <v>4303</v>
      </c>
      <c r="F1789" s="3" t="s">
        <v>4304</v>
      </c>
      <c r="G1789" s="10" t="s">
        <v>4305</v>
      </c>
      <c r="H1789" s="9" t="s">
        <v>13</v>
      </c>
      <c r="I1789" s="9" t="s">
        <v>4306</v>
      </c>
    </row>
    <row r="1790" customFormat="false" ht="15.75" hidden="false" customHeight="false" outlineLevel="0" collapsed="false">
      <c r="B1790" s="7" t="n">
        <v>46221</v>
      </c>
      <c r="C1790" s="3" t="s">
        <v>4308</v>
      </c>
      <c r="D1790" s="3" t="s">
        <v>4014</v>
      </c>
      <c r="E1790" s="3" t="s">
        <v>4303</v>
      </c>
      <c r="F1790" s="3" t="s">
        <v>4304</v>
      </c>
      <c r="G1790" s="8" t="s">
        <v>4309</v>
      </c>
      <c r="H1790" s="9" t="s">
        <v>13</v>
      </c>
      <c r="I1790" s="9" t="s">
        <v>4310</v>
      </c>
    </row>
    <row r="1791" customFormat="false" ht="15.75" hidden="false" customHeight="false" outlineLevel="0" collapsed="false">
      <c r="B1791" s="7" t="n">
        <v>46221</v>
      </c>
      <c r="C1791" s="3" t="s">
        <v>4311</v>
      </c>
      <c r="D1791" s="3" t="s">
        <v>4014</v>
      </c>
      <c r="E1791" s="3" t="s">
        <v>4303</v>
      </c>
      <c r="F1791" s="3" t="s">
        <v>4304</v>
      </c>
      <c r="G1791" s="8" t="s">
        <v>4312</v>
      </c>
      <c r="H1791" s="9" t="s">
        <v>13</v>
      </c>
      <c r="I1791" s="9" t="s">
        <v>4313</v>
      </c>
    </row>
    <row r="1792" customFormat="false" ht="15.75" hidden="false" customHeight="false" outlineLevel="0" collapsed="false">
      <c r="B1792" s="7" t="n">
        <v>46221</v>
      </c>
      <c r="C1792" s="3" t="s">
        <v>4314</v>
      </c>
      <c r="D1792" s="3" t="s">
        <v>4014</v>
      </c>
      <c r="E1792" s="3" t="s">
        <v>4303</v>
      </c>
      <c r="F1792" s="3" t="s">
        <v>4304</v>
      </c>
      <c r="G1792" s="8" t="s">
        <v>4312</v>
      </c>
      <c r="H1792" s="9" t="s">
        <v>13</v>
      </c>
      <c r="I1792" s="9" t="s">
        <v>4313</v>
      </c>
    </row>
    <row r="1793" customFormat="false" ht="15.75" hidden="false" customHeight="false" outlineLevel="0" collapsed="false">
      <c r="B1793" s="7" t="n">
        <v>46221</v>
      </c>
      <c r="C1793" s="3" t="s">
        <v>4315</v>
      </c>
      <c r="D1793" s="3" t="s">
        <v>4014</v>
      </c>
      <c r="E1793" s="3" t="s">
        <v>4303</v>
      </c>
      <c r="F1793" s="3" t="s">
        <v>4304</v>
      </c>
      <c r="G1793" s="10" t="s">
        <v>4316</v>
      </c>
      <c r="H1793" s="9" t="s">
        <v>13</v>
      </c>
      <c r="I1793" s="9" t="s">
        <v>4317</v>
      </c>
    </row>
    <row r="1794" customFormat="false" ht="15.75" hidden="false" customHeight="false" outlineLevel="0" collapsed="false">
      <c r="B1794" s="7" t="n">
        <v>46221</v>
      </c>
      <c r="C1794" s="3" t="s">
        <v>4318</v>
      </c>
      <c r="D1794" s="3" t="s">
        <v>4014</v>
      </c>
      <c r="E1794" s="3" t="s">
        <v>4303</v>
      </c>
      <c r="F1794" s="3" t="s">
        <v>4304</v>
      </c>
      <c r="G1794" s="10" t="s">
        <v>4319</v>
      </c>
      <c r="H1794" s="9" t="s">
        <v>13</v>
      </c>
      <c r="I1794" s="9" t="s">
        <v>4320</v>
      </c>
    </row>
    <row r="1795" customFormat="false" ht="15.75" hidden="false" customHeight="false" outlineLevel="0" collapsed="false">
      <c r="B1795" s="7" t="n">
        <v>46221</v>
      </c>
      <c r="C1795" s="3" t="s">
        <v>4321</v>
      </c>
      <c r="D1795" s="3" t="s">
        <v>4014</v>
      </c>
      <c r="E1795" s="3" t="s">
        <v>4303</v>
      </c>
      <c r="F1795" s="3" t="s">
        <v>4304</v>
      </c>
      <c r="G1795" s="8" t="s">
        <v>4322</v>
      </c>
      <c r="H1795" s="9" t="s">
        <v>13</v>
      </c>
      <c r="I1795" s="9" t="s">
        <v>4323</v>
      </c>
    </row>
    <row r="1796" customFormat="false" ht="15.75" hidden="false" customHeight="false" outlineLevel="0" collapsed="false">
      <c r="B1796" s="7" t="n">
        <v>46221</v>
      </c>
      <c r="C1796" s="3" t="s">
        <v>4324</v>
      </c>
      <c r="D1796" s="3" t="s">
        <v>4014</v>
      </c>
      <c r="E1796" s="3" t="s">
        <v>4303</v>
      </c>
      <c r="F1796" s="3" t="s">
        <v>4304</v>
      </c>
      <c r="G1796" s="10" t="s">
        <v>4325</v>
      </c>
      <c r="H1796" s="9" t="s">
        <v>13</v>
      </c>
      <c r="I1796" s="9" t="s">
        <v>4326</v>
      </c>
    </row>
    <row r="1797" customFormat="false" ht="15.75" hidden="false" customHeight="false" outlineLevel="0" collapsed="false">
      <c r="B1797" s="7" t="n">
        <v>46221</v>
      </c>
      <c r="C1797" s="3" t="s">
        <v>4327</v>
      </c>
      <c r="D1797" s="3" t="s">
        <v>4014</v>
      </c>
      <c r="E1797" s="3" t="s">
        <v>4303</v>
      </c>
      <c r="F1797" s="3" t="s">
        <v>4304</v>
      </c>
      <c r="G1797" s="10" t="s">
        <v>4328</v>
      </c>
      <c r="H1797" s="9" t="s">
        <v>13</v>
      </c>
      <c r="I1797" s="9" t="s">
        <v>4329</v>
      </c>
    </row>
    <row r="1798" customFormat="false" ht="15.75" hidden="false" customHeight="false" outlineLevel="0" collapsed="false">
      <c r="B1798" s="7" t="n">
        <v>46221</v>
      </c>
      <c r="C1798" s="3" t="s">
        <v>4330</v>
      </c>
      <c r="D1798" s="3" t="s">
        <v>4014</v>
      </c>
      <c r="E1798" s="3" t="s">
        <v>4303</v>
      </c>
      <c r="F1798" s="3" t="s">
        <v>4304</v>
      </c>
      <c r="G1798" s="10" t="s">
        <v>4331</v>
      </c>
      <c r="H1798" s="9" t="s">
        <v>13</v>
      </c>
      <c r="I1798" s="9" t="s">
        <v>4332</v>
      </c>
    </row>
    <row r="1799" customFormat="false" ht="15.75" hidden="false" customHeight="false" outlineLevel="0" collapsed="false">
      <c r="B1799" s="7" t="n">
        <v>46221</v>
      </c>
      <c r="C1799" s="3" t="s">
        <v>4333</v>
      </c>
      <c r="D1799" s="3" t="s">
        <v>4014</v>
      </c>
      <c r="E1799" s="3" t="s">
        <v>4303</v>
      </c>
      <c r="F1799" s="3" t="s">
        <v>4304</v>
      </c>
      <c r="G1799" s="10" t="s">
        <v>4328</v>
      </c>
      <c r="H1799" s="9" t="s">
        <v>13</v>
      </c>
      <c r="I1799" s="9" t="s">
        <v>4334</v>
      </c>
    </row>
    <row r="1800" customFormat="false" ht="15.75" hidden="false" customHeight="false" outlineLevel="0" collapsed="false">
      <c r="B1800" s="7" t="n">
        <v>46221</v>
      </c>
      <c r="C1800" s="3" t="s">
        <v>4335</v>
      </c>
      <c r="D1800" s="3" t="s">
        <v>4014</v>
      </c>
      <c r="E1800" s="3" t="s">
        <v>4303</v>
      </c>
      <c r="F1800" s="3" t="s">
        <v>4304</v>
      </c>
      <c r="G1800" s="8" t="s">
        <v>4336</v>
      </c>
      <c r="H1800" s="9" t="s">
        <v>13</v>
      </c>
      <c r="I1800" s="9" t="s">
        <v>4337</v>
      </c>
    </row>
    <row r="1801" customFormat="false" ht="15.75" hidden="false" customHeight="false" outlineLevel="0" collapsed="false">
      <c r="B1801" s="7" t="n">
        <v>46221</v>
      </c>
      <c r="C1801" s="3" t="s">
        <v>4338</v>
      </c>
      <c r="D1801" s="3" t="s">
        <v>4014</v>
      </c>
      <c r="E1801" s="3" t="s">
        <v>4303</v>
      </c>
      <c r="F1801" s="3" t="s">
        <v>4304</v>
      </c>
      <c r="G1801" s="8" t="s">
        <v>4339</v>
      </c>
      <c r="H1801" s="9" t="s">
        <v>13</v>
      </c>
      <c r="I1801" s="9" t="s">
        <v>4340</v>
      </c>
    </row>
    <row r="1802" customFormat="false" ht="15.75" hidden="false" customHeight="false" outlineLevel="0" collapsed="false">
      <c r="B1802" s="7" t="n">
        <v>46221</v>
      </c>
      <c r="C1802" s="3" t="s">
        <v>4341</v>
      </c>
      <c r="D1802" s="3" t="s">
        <v>4014</v>
      </c>
      <c r="E1802" s="3" t="s">
        <v>4303</v>
      </c>
      <c r="F1802" s="3" t="s">
        <v>4304</v>
      </c>
      <c r="G1802" s="10" t="s">
        <v>4342</v>
      </c>
      <c r="H1802" s="9" t="s">
        <v>13</v>
      </c>
      <c r="I1802" s="9" t="s">
        <v>4343</v>
      </c>
    </row>
    <row r="1803" customFormat="false" ht="15.75" hidden="false" customHeight="false" outlineLevel="0" collapsed="false">
      <c r="B1803" s="7" t="n">
        <v>46221</v>
      </c>
      <c r="C1803" s="3" t="s">
        <v>4344</v>
      </c>
      <c r="D1803" s="3" t="s">
        <v>4014</v>
      </c>
      <c r="E1803" s="3" t="s">
        <v>4303</v>
      </c>
      <c r="F1803" s="3" t="s">
        <v>4304</v>
      </c>
      <c r="G1803" s="10" t="s">
        <v>4345</v>
      </c>
      <c r="H1803" s="9" t="s">
        <v>13</v>
      </c>
      <c r="I1803" s="9" t="s">
        <v>4346</v>
      </c>
    </row>
    <row r="1804" customFormat="false" ht="15.75" hidden="false" customHeight="false" outlineLevel="0" collapsed="false">
      <c r="B1804" s="7" t="n">
        <v>46221</v>
      </c>
      <c r="C1804" s="3" t="s">
        <v>4347</v>
      </c>
      <c r="D1804" s="3" t="s">
        <v>4014</v>
      </c>
      <c r="E1804" s="3" t="s">
        <v>4303</v>
      </c>
      <c r="F1804" s="3" t="s">
        <v>4304</v>
      </c>
      <c r="G1804" s="8" t="s">
        <v>4348</v>
      </c>
      <c r="H1804" s="9" t="s">
        <v>13</v>
      </c>
      <c r="I1804" s="9" t="s">
        <v>4349</v>
      </c>
    </row>
    <row r="1805" customFormat="false" ht="15.75" hidden="false" customHeight="false" outlineLevel="0" collapsed="false">
      <c r="B1805" s="7" t="n">
        <v>46221</v>
      </c>
      <c r="C1805" s="3" t="s">
        <v>4350</v>
      </c>
      <c r="D1805" s="3" t="s">
        <v>4014</v>
      </c>
      <c r="E1805" s="3" t="s">
        <v>4303</v>
      </c>
      <c r="F1805" s="3" t="s">
        <v>4304</v>
      </c>
      <c r="G1805" s="10" t="s">
        <v>4351</v>
      </c>
      <c r="H1805" s="9" t="s">
        <v>13</v>
      </c>
      <c r="I1805" s="9" t="s">
        <v>4352</v>
      </c>
    </row>
    <row r="1806" customFormat="false" ht="15.75" hidden="false" customHeight="false" outlineLevel="0" collapsed="false">
      <c r="B1806" s="7" t="n">
        <v>46221</v>
      </c>
      <c r="C1806" s="3" t="s">
        <v>4353</v>
      </c>
      <c r="D1806" s="3" t="s">
        <v>4014</v>
      </c>
      <c r="E1806" s="3" t="s">
        <v>4303</v>
      </c>
      <c r="F1806" s="3" t="s">
        <v>4304</v>
      </c>
      <c r="G1806" s="10" t="s">
        <v>4351</v>
      </c>
      <c r="H1806" s="9" t="s">
        <v>13</v>
      </c>
      <c r="I1806" s="9" t="s">
        <v>4352</v>
      </c>
    </row>
    <row r="1807" customFormat="false" ht="15.75" hidden="false" customHeight="false" outlineLevel="0" collapsed="false">
      <c r="B1807" s="7" t="n">
        <v>46221</v>
      </c>
      <c r="C1807" s="3" t="s">
        <v>4354</v>
      </c>
      <c r="D1807" s="3" t="s">
        <v>4014</v>
      </c>
      <c r="E1807" s="3" t="s">
        <v>4303</v>
      </c>
      <c r="F1807" s="3" t="s">
        <v>4304</v>
      </c>
      <c r="G1807" s="10" t="s">
        <v>4355</v>
      </c>
      <c r="H1807" s="9" t="s">
        <v>13</v>
      </c>
      <c r="I1807" s="9" t="s">
        <v>4356</v>
      </c>
    </row>
    <row r="1808" customFormat="false" ht="15.75" hidden="false" customHeight="false" outlineLevel="0" collapsed="false">
      <c r="B1808" s="7" t="n">
        <v>46221</v>
      </c>
      <c r="C1808" s="3" t="s">
        <v>4357</v>
      </c>
      <c r="D1808" s="3" t="s">
        <v>4014</v>
      </c>
      <c r="E1808" s="3" t="s">
        <v>4303</v>
      </c>
      <c r="F1808" s="3" t="s">
        <v>4304</v>
      </c>
      <c r="G1808" s="8" t="s">
        <v>4358</v>
      </c>
      <c r="H1808" s="9" t="s">
        <v>13</v>
      </c>
      <c r="I1808" s="9" t="s">
        <v>4359</v>
      </c>
    </row>
    <row r="1809" customFormat="false" ht="15.75" hidden="false" customHeight="false" outlineLevel="0" collapsed="false">
      <c r="B1809" s="7" t="n">
        <v>46221</v>
      </c>
      <c r="C1809" s="3" t="s">
        <v>4360</v>
      </c>
      <c r="D1809" s="3" t="s">
        <v>4014</v>
      </c>
      <c r="E1809" s="3" t="s">
        <v>4303</v>
      </c>
      <c r="F1809" s="3" t="s">
        <v>4304</v>
      </c>
      <c r="G1809" s="10" t="s">
        <v>4361</v>
      </c>
      <c r="H1809" s="9" t="s">
        <v>13</v>
      </c>
      <c r="I1809" s="9" t="s">
        <v>4362</v>
      </c>
    </row>
    <row r="1810" customFormat="false" ht="15.75" hidden="false" customHeight="false" outlineLevel="0" collapsed="false">
      <c r="B1810" s="7" t="n">
        <v>46221</v>
      </c>
      <c r="C1810" s="3" t="s">
        <v>4363</v>
      </c>
      <c r="D1810" s="3" t="s">
        <v>4014</v>
      </c>
      <c r="E1810" s="3" t="s">
        <v>4303</v>
      </c>
      <c r="F1810" s="3" t="s">
        <v>4304</v>
      </c>
      <c r="G1810" s="10" t="s">
        <v>4328</v>
      </c>
      <c r="H1810" s="9" t="s">
        <v>13</v>
      </c>
      <c r="I1810" s="9" t="s">
        <v>4364</v>
      </c>
    </row>
    <row r="1811" customFormat="false" ht="15.75" hidden="false" customHeight="false" outlineLevel="0" collapsed="false">
      <c r="B1811" s="7" t="n">
        <v>46221</v>
      </c>
      <c r="C1811" s="3" t="s">
        <v>4365</v>
      </c>
      <c r="D1811" s="3" t="s">
        <v>4014</v>
      </c>
      <c r="E1811" s="3" t="s">
        <v>4303</v>
      </c>
      <c r="F1811" s="3" t="s">
        <v>4304</v>
      </c>
      <c r="G1811" s="10" t="s">
        <v>4328</v>
      </c>
      <c r="H1811" s="9" t="s">
        <v>13</v>
      </c>
      <c r="I1811" s="9" t="s">
        <v>4364</v>
      </c>
    </row>
    <row r="1812" customFormat="false" ht="15.75" hidden="false" customHeight="false" outlineLevel="0" collapsed="false">
      <c r="B1812" s="7" t="n">
        <v>46221</v>
      </c>
      <c r="C1812" s="3" t="s">
        <v>4366</v>
      </c>
      <c r="D1812" s="3" t="s">
        <v>4014</v>
      </c>
      <c r="E1812" s="3" t="s">
        <v>4303</v>
      </c>
      <c r="F1812" s="3" t="s">
        <v>4304</v>
      </c>
      <c r="G1812" s="10" t="s">
        <v>4367</v>
      </c>
      <c r="H1812" s="9" t="s">
        <v>13</v>
      </c>
      <c r="I1812" s="9" t="s">
        <v>4368</v>
      </c>
    </row>
    <row r="1813" customFormat="false" ht="15.75" hidden="false" customHeight="false" outlineLevel="0" collapsed="false">
      <c r="B1813" s="7" t="n">
        <v>46221</v>
      </c>
      <c r="C1813" s="3" t="s">
        <v>4369</v>
      </c>
      <c r="D1813" s="3" t="s">
        <v>4014</v>
      </c>
      <c r="E1813" s="3" t="s">
        <v>4303</v>
      </c>
      <c r="F1813" s="3" t="s">
        <v>4304</v>
      </c>
      <c r="G1813" s="10" t="s">
        <v>4370</v>
      </c>
      <c r="H1813" s="9" t="s">
        <v>13</v>
      </c>
      <c r="I1813" s="9" t="s">
        <v>4371</v>
      </c>
    </row>
    <row r="1814" customFormat="false" ht="15.75" hidden="false" customHeight="false" outlineLevel="0" collapsed="false">
      <c r="B1814" s="7" t="n">
        <v>46221</v>
      </c>
      <c r="C1814" s="3" t="s">
        <v>4372</v>
      </c>
      <c r="D1814" s="3" t="s">
        <v>4014</v>
      </c>
      <c r="E1814" s="3" t="s">
        <v>4303</v>
      </c>
      <c r="F1814" s="3" t="s">
        <v>4304</v>
      </c>
      <c r="G1814" s="10" t="s">
        <v>4373</v>
      </c>
      <c r="H1814" s="9" t="s">
        <v>13</v>
      </c>
      <c r="I1814" s="9" t="s">
        <v>4374</v>
      </c>
    </row>
    <row r="1815" customFormat="false" ht="15.75" hidden="false" customHeight="false" outlineLevel="0" collapsed="false">
      <c r="B1815" s="7" t="n">
        <v>46221</v>
      </c>
      <c r="C1815" s="3" t="s">
        <v>4375</v>
      </c>
      <c r="D1815" s="3" t="s">
        <v>4014</v>
      </c>
      <c r="E1815" s="3" t="s">
        <v>4303</v>
      </c>
      <c r="F1815" s="3" t="s">
        <v>4304</v>
      </c>
      <c r="G1815" s="10" t="s">
        <v>4376</v>
      </c>
      <c r="H1815" s="9" t="s">
        <v>13</v>
      </c>
      <c r="I1815" s="9" t="s">
        <v>4377</v>
      </c>
    </row>
    <row r="1816" customFormat="false" ht="15.75" hidden="false" customHeight="false" outlineLevel="0" collapsed="false">
      <c r="B1816" s="7" t="n">
        <v>46221</v>
      </c>
      <c r="C1816" s="3" t="s">
        <v>4378</v>
      </c>
      <c r="D1816" s="3" t="s">
        <v>4014</v>
      </c>
      <c r="E1816" s="3" t="s">
        <v>4303</v>
      </c>
      <c r="F1816" s="3" t="s">
        <v>4304</v>
      </c>
      <c r="G1816" s="10" t="s">
        <v>4379</v>
      </c>
      <c r="H1816" s="9" t="s">
        <v>13</v>
      </c>
      <c r="I1816" s="9" t="s">
        <v>4380</v>
      </c>
    </row>
    <row r="1817" customFormat="false" ht="15.75" hidden="false" customHeight="false" outlineLevel="0" collapsed="false">
      <c r="B1817" s="7" t="n">
        <v>46221</v>
      </c>
      <c r="C1817" s="3" t="s">
        <v>4381</v>
      </c>
      <c r="D1817" s="3" t="s">
        <v>4014</v>
      </c>
      <c r="E1817" s="3" t="s">
        <v>4303</v>
      </c>
      <c r="F1817" s="3" t="s">
        <v>4304</v>
      </c>
      <c r="G1817" s="10" t="s">
        <v>4382</v>
      </c>
      <c r="H1817" s="9" t="s">
        <v>13</v>
      </c>
      <c r="I1817" s="9" t="s">
        <v>4383</v>
      </c>
    </row>
    <row r="1818" customFormat="false" ht="15.75" hidden="false" customHeight="false" outlineLevel="0" collapsed="false">
      <c r="B1818" s="7" t="n">
        <v>46221</v>
      </c>
      <c r="C1818" s="3" t="s">
        <v>4384</v>
      </c>
      <c r="D1818" s="3" t="s">
        <v>4014</v>
      </c>
      <c r="E1818" s="3" t="s">
        <v>4303</v>
      </c>
      <c r="F1818" s="3" t="s">
        <v>4304</v>
      </c>
      <c r="G1818" s="8" t="s">
        <v>4385</v>
      </c>
      <c r="H1818" s="9" t="s">
        <v>13</v>
      </c>
      <c r="I1818" s="9" t="s">
        <v>4386</v>
      </c>
    </row>
    <row r="1819" customFormat="false" ht="15.75" hidden="false" customHeight="false" outlineLevel="0" collapsed="false">
      <c r="B1819" s="7" t="n">
        <v>46221</v>
      </c>
      <c r="C1819" s="3" t="s">
        <v>4387</v>
      </c>
      <c r="D1819" s="3" t="s">
        <v>4014</v>
      </c>
      <c r="E1819" s="3" t="s">
        <v>4303</v>
      </c>
      <c r="F1819" s="3" t="s">
        <v>4304</v>
      </c>
      <c r="G1819" s="8" t="s">
        <v>4255</v>
      </c>
      <c r="H1819" s="9" t="s">
        <v>13</v>
      </c>
      <c r="I1819" s="9" t="s">
        <v>4388</v>
      </c>
    </row>
    <row r="1820" customFormat="false" ht="15.75" hidden="false" customHeight="false" outlineLevel="0" collapsed="false">
      <c r="B1820" s="7" t="n">
        <v>46221</v>
      </c>
      <c r="C1820" s="3" t="s">
        <v>4389</v>
      </c>
      <c r="D1820" s="3" t="s">
        <v>4014</v>
      </c>
      <c r="E1820" s="3" t="s">
        <v>4303</v>
      </c>
      <c r="F1820" s="3" t="s">
        <v>4304</v>
      </c>
      <c r="G1820" s="10" t="s">
        <v>4390</v>
      </c>
      <c r="H1820" s="9" t="s">
        <v>13</v>
      </c>
      <c r="I1820" s="9" t="s">
        <v>4391</v>
      </c>
    </row>
    <row r="1821" customFormat="false" ht="15.75" hidden="false" customHeight="false" outlineLevel="0" collapsed="false">
      <c r="B1821" s="7" t="n">
        <v>46221</v>
      </c>
      <c r="C1821" s="3" t="s">
        <v>4392</v>
      </c>
      <c r="D1821" s="3" t="s">
        <v>4014</v>
      </c>
      <c r="E1821" s="3" t="s">
        <v>4303</v>
      </c>
      <c r="F1821" s="3" t="s">
        <v>4304</v>
      </c>
      <c r="G1821" s="10" t="s">
        <v>4393</v>
      </c>
      <c r="H1821" s="9" t="s">
        <v>13</v>
      </c>
      <c r="I1821" s="9" t="s">
        <v>4394</v>
      </c>
    </row>
    <row r="1822" customFormat="false" ht="15.75" hidden="false" customHeight="false" outlineLevel="0" collapsed="false">
      <c r="B1822" s="7" t="n">
        <v>46221</v>
      </c>
      <c r="C1822" s="3" t="s">
        <v>4395</v>
      </c>
      <c r="D1822" s="3" t="s">
        <v>4014</v>
      </c>
      <c r="E1822" s="3" t="s">
        <v>4303</v>
      </c>
      <c r="F1822" s="3" t="s">
        <v>4304</v>
      </c>
      <c r="G1822" s="8" t="s">
        <v>4396</v>
      </c>
      <c r="H1822" s="9" t="s">
        <v>13</v>
      </c>
      <c r="I1822" s="9" t="s">
        <v>4397</v>
      </c>
    </row>
    <row r="1823" customFormat="false" ht="15.75" hidden="false" customHeight="false" outlineLevel="0" collapsed="false">
      <c r="B1823" s="7" t="n">
        <v>46221</v>
      </c>
      <c r="C1823" s="3" t="s">
        <v>4398</v>
      </c>
      <c r="D1823" s="3" t="s">
        <v>4014</v>
      </c>
      <c r="E1823" s="3" t="s">
        <v>4303</v>
      </c>
      <c r="F1823" s="3" t="s">
        <v>4399</v>
      </c>
      <c r="G1823" s="10" t="s">
        <v>4400</v>
      </c>
      <c r="H1823" s="9" t="s">
        <v>13</v>
      </c>
      <c r="I1823" s="9" t="s">
        <v>4401</v>
      </c>
    </row>
    <row r="1824" customFormat="false" ht="15.75" hidden="false" customHeight="false" outlineLevel="0" collapsed="false">
      <c r="B1824" s="7" t="n">
        <v>46221</v>
      </c>
      <c r="C1824" s="3" t="s">
        <v>4402</v>
      </c>
      <c r="D1824" s="3" t="s">
        <v>4014</v>
      </c>
      <c r="E1824" s="3" t="s">
        <v>4303</v>
      </c>
      <c r="F1824" s="3" t="s">
        <v>4399</v>
      </c>
      <c r="G1824" s="8" t="s">
        <v>4403</v>
      </c>
      <c r="H1824" s="9" t="s">
        <v>13</v>
      </c>
      <c r="I1824" s="9" t="s">
        <v>4404</v>
      </c>
    </row>
    <row r="1825" customFormat="false" ht="15.75" hidden="false" customHeight="false" outlineLevel="0" collapsed="false">
      <c r="B1825" s="7" t="n">
        <v>46221</v>
      </c>
      <c r="C1825" s="3" t="s">
        <v>4405</v>
      </c>
      <c r="D1825" s="3" t="s">
        <v>4014</v>
      </c>
      <c r="E1825" s="3" t="s">
        <v>4303</v>
      </c>
      <c r="F1825" s="3" t="s">
        <v>4399</v>
      </c>
      <c r="G1825" s="8" t="s">
        <v>4403</v>
      </c>
      <c r="H1825" s="9" t="s">
        <v>13</v>
      </c>
      <c r="I1825" s="9" t="s">
        <v>4404</v>
      </c>
    </row>
    <row r="1826" customFormat="false" ht="15.75" hidden="false" customHeight="false" outlineLevel="0" collapsed="false">
      <c r="B1826" s="7" t="n">
        <v>46221</v>
      </c>
      <c r="C1826" s="3" t="s">
        <v>4406</v>
      </c>
      <c r="D1826" s="3" t="s">
        <v>4014</v>
      </c>
      <c r="E1826" s="3" t="s">
        <v>4303</v>
      </c>
      <c r="F1826" s="3" t="s">
        <v>4399</v>
      </c>
      <c r="G1826" s="10" t="s">
        <v>4407</v>
      </c>
      <c r="H1826" s="9" t="s">
        <v>13</v>
      </c>
      <c r="I1826" s="9" t="s">
        <v>4408</v>
      </c>
    </row>
    <row r="1827" customFormat="false" ht="15.75" hidden="false" customHeight="false" outlineLevel="0" collapsed="false">
      <c r="B1827" s="7" t="n">
        <v>46221</v>
      </c>
      <c r="C1827" s="3" t="s">
        <v>4409</v>
      </c>
      <c r="D1827" s="3" t="s">
        <v>4014</v>
      </c>
      <c r="E1827" s="3" t="s">
        <v>4303</v>
      </c>
      <c r="F1827" s="3" t="s">
        <v>4399</v>
      </c>
      <c r="G1827" s="10" t="s">
        <v>4410</v>
      </c>
      <c r="H1827" s="9" t="s">
        <v>13</v>
      </c>
      <c r="I1827" s="9" t="s">
        <v>4411</v>
      </c>
    </row>
    <row r="1828" customFormat="false" ht="15.75" hidden="false" customHeight="false" outlineLevel="0" collapsed="false">
      <c r="B1828" s="7" t="n">
        <v>46221</v>
      </c>
      <c r="C1828" s="3" t="s">
        <v>4412</v>
      </c>
      <c r="D1828" s="3" t="s">
        <v>4014</v>
      </c>
      <c r="E1828" s="3" t="s">
        <v>4303</v>
      </c>
      <c r="F1828" s="3" t="s">
        <v>4399</v>
      </c>
      <c r="G1828" s="8" t="s">
        <v>4413</v>
      </c>
      <c r="H1828" s="9" t="s">
        <v>13</v>
      </c>
      <c r="I1828" s="9" t="s">
        <v>4414</v>
      </c>
    </row>
    <row r="1829" customFormat="false" ht="15.75" hidden="false" customHeight="false" outlineLevel="0" collapsed="false">
      <c r="B1829" s="7" t="n">
        <v>46221</v>
      </c>
      <c r="C1829" s="3" t="s">
        <v>4415</v>
      </c>
      <c r="D1829" s="3" t="s">
        <v>4014</v>
      </c>
      <c r="E1829" s="3" t="s">
        <v>4303</v>
      </c>
      <c r="F1829" s="3" t="s">
        <v>4399</v>
      </c>
      <c r="G1829" s="8" t="s">
        <v>4413</v>
      </c>
      <c r="H1829" s="9" t="s">
        <v>13</v>
      </c>
      <c r="I1829" s="9" t="s">
        <v>4416</v>
      </c>
    </row>
    <row r="1830" customFormat="false" ht="15.75" hidden="false" customHeight="false" outlineLevel="0" collapsed="false">
      <c r="B1830" s="7" t="n">
        <v>46221</v>
      </c>
      <c r="C1830" s="3" t="s">
        <v>4417</v>
      </c>
      <c r="D1830" s="3" t="s">
        <v>4014</v>
      </c>
      <c r="E1830" s="3" t="s">
        <v>4303</v>
      </c>
      <c r="F1830" s="3" t="s">
        <v>4399</v>
      </c>
      <c r="G1830" s="10" t="s">
        <v>4418</v>
      </c>
      <c r="H1830" s="9" t="s">
        <v>13</v>
      </c>
      <c r="I1830" s="9" t="s">
        <v>4419</v>
      </c>
    </row>
    <row r="1831" customFormat="false" ht="15.75" hidden="false" customHeight="false" outlineLevel="0" collapsed="false">
      <c r="B1831" s="7" t="n">
        <v>46221</v>
      </c>
      <c r="C1831" s="3" t="s">
        <v>4420</v>
      </c>
      <c r="D1831" s="3" t="s">
        <v>4014</v>
      </c>
      <c r="E1831" s="3" t="s">
        <v>4303</v>
      </c>
      <c r="F1831" s="3" t="s">
        <v>4399</v>
      </c>
      <c r="G1831" s="10" t="s">
        <v>4421</v>
      </c>
      <c r="H1831" s="9" t="s">
        <v>13</v>
      </c>
      <c r="I1831" s="9" t="s">
        <v>4422</v>
      </c>
    </row>
    <row r="1832" customFormat="false" ht="15.75" hidden="false" customHeight="false" outlineLevel="0" collapsed="false">
      <c r="B1832" s="7" t="n">
        <v>46221</v>
      </c>
      <c r="C1832" s="3" t="s">
        <v>4423</v>
      </c>
      <c r="D1832" s="3" t="s">
        <v>4014</v>
      </c>
      <c r="E1832" s="3" t="s">
        <v>4303</v>
      </c>
      <c r="F1832" s="3" t="s">
        <v>4399</v>
      </c>
      <c r="G1832" s="8" t="s">
        <v>4424</v>
      </c>
      <c r="H1832" s="9" t="s">
        <v>13</v>
      </c>
      <c r="I1832" s="9" t="s">
        <v>4425</v>
      </c>
    </row>
    <row r="1833" customFormat="false" ht="15.75" hidden="false" customHeight="false" outlineLevel="0" collapsed="false">
      <c r="B1833" s="7" t="n">
        <v>46221</v>
      </c>
      <c r="C1833" s="3" t="s">
        <v>4426</v>
      </c>
      <c r="D1833" s="3" t="s">
        <v>4014</v>
      </c>
      <c r="E1833" s="3" t="s">
        <v>4303</v>
      </c>
      <c r="F1833" s="3" t="s">
        <v>4399</v>
      </c>
      <c r="G1833" s="8" t="s">
        <v>4427</v>
      </c>
      <c r="H1833" s="9" t="s">
        <v>13</v>
      </c>
      <c r="I1833" s="9" t="s">
        <v>4428</v>
      </c>
    </row>
    <row r="1834" customFormat="false" ht="15.75" hidden="false" customHeight="false" outlineLevel="0" collapsed="false">
      <c r="B1834" s="7" t="n">
        <v>46221</v>
      </c>
      <c r="C1834" s="3" t="s">
        <v>4429</v>
      </c>
      <c r="D1834" s="3" t="s">
        <v>4014</v>
      </c>
      <c r="E1834" s="3" t="s">
        <v>4303</v>
      </c>
      <c r="F1834" s="3" t="s">
        <v>4399</v>
      </c>
      <c r="G1834" s="10" t="s">
        <v>4430</v>
      </c>
      <c r="H1834" s="9" t="s">
        <v>13</v>
      </c>
      <c r="I1834" s="9" t="s">
        <v>4431</v>
      </c>
    </row>
    <row r="1835" customFormat="false" ht="15.75" hidden="false" customHeight="false" outlineLevel="0" collapsed="false">
      <c r="B1835" s="7" t="n">
        <v>46221</v>
      </c>
      <c r="C1835" s="3" t="s">
        <v>4432</v>
      </c>
      <c r="D1835" s="3" t="s">
        <v>4014</v>
      </c>
      <c r="E1835" s="3" t="s">
        <v>4303</v>
      </c>
      <c r="F1835" s="3" t="s">
        <v>4399</v>
      </c>
      <c r="G1835" s="10" t="s">
        <v>4433</v>
      </c>
      <c r="H1835" s="9" t="s">
        <v>13</v>
      </c>
      <c r="I1835" s="9" t="s">
        <v>4434</v>
      </c>
    </row>
    <row r="1836" customFormat="false" ht="15.75" hidden="false" customHeight="false" outlineLevel="0" collapsed="false">
      <c r="B1836" s="7" t="n">
        <v>46221</v>
      </c>
      <c r="C1836" s="3" t="s">
        <v>4435</v>
      </c>
      <c r="D1836" s="3" t="s">
        <v>4014</v>
      </c>
      <c r="E1836" s="3" t="s">
        <v>4303</v>
      </c>
      <c r="F1836" s="3" t="s">
        <v>4399</v>
      </c>
      <c r="G1836" s="10" t="s">
        <v>4436</v>
      </c>
      <c r="H1836" s="9" t="s">
        <v>13</v>
      </c>
      <c r="I1836" s="9" t="s">
        <v>4437</v>
      </c>
    </row>
    <row r="1837" customFormat="false" ht="15.75" hidden="false" customHeight="false" outlineLevel="0" collapsed="false">
      <c r="B1837" s="7" t="n">
        <v>46221</v>
      </c>
      <c r="C1837" s="3" t="s">
        <v>4438</v>
      </c>
      <c r="D1837" s="3" t="s">
        <v>4014</v>
      </c>
      <c r="E1837" s="3" t="s">
        <v>4303</v>
      </c>
      <c r="F1837" s="3" t="s">
        <v>4399</v>
      </c>
      <c r="G1837" s="10" t="s">
        <v>4439</v>
      </c>
      <c r="H1837" s="9" t="s">
        <v>13</v>
      </c>
      <c r="I1837" s="9" t="s">
        <v>4440</v>
      </c>
    </row>
    <row r="1838" customFormat="false" ht="15.75" hidden="false" customHeight="false" outlineLevel="0" collapsed="false">
      <c r="B1838" s="7" t="n">
        <v>46221</v>
      </c>
      <c r="C1838" s="3" t="s">
        <v>4441</v>
      </c>
      <c r="D1838" s="3" t="s">
        <v>4014</v>
      </c>
      <c r="E1838" s="3" t="s">
        <v>4303</v>
      </c>
      <c r="F1838" s="3" t="s">
        <v>4399</v>
      </c>
      <c r="G1838" s="10" t="s">
        <v>4442</v>
      </c>
      <c r="H1838" s="9" t="s">
        <v>13</v>
      </c>
      <c r="I1838" s="9" t="s">
        <v>4443</v>
      </c>
    </row>
    <row r="1839" customFormat="false" ht="15.75" hidden="false" customHeight="false" outlineLevel="0" collapsed="false">
      <c r="B1839" s="7" t="n">
        <v>46221</v>
      </c>
      <c r="C1839" s="3" t="s">
        <v>4444</v>
      </c>
      <c r="D1839" s="3" t="s">
        <v>4014</v>
      </c>
      <c r="E1839" s="3" t="s">
        <v>4303</v>
      </c>
      <c r="F1839" s="3" t="s">
        <v>4399</v>
      </c>
      <c r="G1839" s="10" t="s">
        <v>4421</v>
      </c>
      <c r="H1839" s="9" t="s">
        <v>13</v>
      </c>
      <c r="I1839" s="9" t="s">
        <v>4445</v>
      </c>
    </row>
    <row r="1840" customFormat="false" ht="15.75" hidden="false" customHeight="false" outlineLevel="0" collapsed="false">
      <c r="B1840" s="7" t="n">
        <v>46221</v>
      </c>
      <c r="C1840" s="3" t="s">
        <v>4446</v>
      </c>
      <c r="D1840" s="3" t="s">
        <v>4014</v>
      </c>
      <c r="E1840" s="3" t="s">
        <v>4303</v>
      </c>
      <c r="F1840" s="3" t="s">
        <v>4399</v>
      </c>
      <c r="G1840" s="10" t="s">
        <v>4447</v>
      </c>
      <c r="H1840" s="9" t="s">
        <v>13</v>
      </c>
      <c r="I1840" s="9" t="s">
        <v>4448</v>
      </c>
    </row>
    <row r="1841" customFormat="false" ht="15.75" hidden="false" customHeight="false" outlineLevel="0" collapsed="false">
      <c r="B1841" s="7" t="n">
        <v>46221</v>
      </c>
      <c r="C1841" s="3" t="s">
        <v>4449</v>
      </c>
      <c r="D1841" s="3" t="s">
        <v>4014</v>
      </c>
      <c r="E1841" s="3" t="s">
        <v>4303</v>
      </c>
      <c r="F1841" s="3" t="s">
        <v>4399</v>
      </c>
      <c r="G1841" s="10" t="s">
        <v>4410</v>
      </c>
      <c r="H1841" s="9" t="s">
        <v>13</v>
      </c>
      <c r="I1841" s="9" t="s">
        <v>4450</v>
      </c>
    </row>
    <row r="1842" customFormat="false" ht="15.75" hidden="false" customHeight="false" outlineLevel="0" collapsed="false">
      <c r="B1842" s="7" t="n">
        <v>46221</v>
      </c>
      <c r="C1842" s="3" t="s">
        <v>4451</v>
      </c>
      <c r="D1842" s="3" t="s">
        <v>4014</v>
      </c>
      <c r="E1842" s="3" t="s">
        <v>4303</v>
      </c>
      <c r="F1842" s="3" t="s">
        <v>4399</v>
      </c>
      <c r="G1842" s="10" t="s">
        <v>4410</v>
      </c>
      <c r="H1842" s="9" t="s">
        <v>13</v>
      </c>
      <c r="I1842" s="9" t="s">
        <v>4450</v>
      </c>
    </row>
    <row r="1843" customFormat="false" ht="15.75" hidden="false" customHeight="false" outlineLevel="0" collapsed="false">
      <c r="B1843" s="7" t="n">
        <v>46221</v>
      </c>
      <c r="C1843" s="3" t="s">
        <v>4452</v>
      </c>
      <c r="D1843" s="3" t="s">
        <v>4014</v>
      </c>
      <c r="E1843" s="3" t="s">
        <v>4303</v>
      </c>
      <c r="F1843" s="3" t="s">
        <v>4399</v>
      </c>
      <c r="G1843" s="10" t="s">
        <v>4453</v>
      </c>
      <c r="H1843" s="9" t="s">
        <v>13</v>
      </c>
      <c r="I1843" s="9" t="s">
        <v>4454</v>
      </c>
    </row>
    <row r="1844" customFormat="false" ht="15.75" hidden="false" customHeight="false" outlineLevel="0" collapsed="false">
      <c r="B1844" s="7" t="n">
        <v>46221</v>
      </c>
      <c r="C1844" s="3" t="s">
        <v>4455</v>
      </c>
      <c r="D1844" s="3" t="s">
        <v>4014</v>
      </c>
      <c r="E1844" s="3" t="s">
        <v>4303</v>
      </c>
      <c r="F1844" s="3" t="s">
        <v>4399</v>
      </c>
      <c r="G1844" s="10" t="s">
        <v>4456</v>
      </c>
      <c r="H1844" s="9" t="s">
        <v>13</v>
      </c>
      <c r="I1844" s="9" t="s">
        <v>4457</v>
      </c>
    </row>
    <row r="1845" customFormat="false" ht="15.75" hidden="false" customHeight="false" outlineLevel="0" collapsed="false">
      <c r="B1845" s="7" t="n">
        <v>46221</v>
      </c>
      <c r="C1845" s="3" t="s">
        <v>4458</v>
      </c>
      <c r="D1845" s="3" t="s">
        <v>4014</v>
      </c>
      <c r="E1845" s="3" t="s">
        <v>4303</v>
      </c>
      <c r="F1845" s="3" t="s">
        <v>4399</v>
      </c>
      <c r="G1845" s="10" t="s">
        <v>4459</v>
      </c>
      <c r="H1845" s="9" t="s">
        <v>13</v>
      </c>
      <c r="I1845" s="9" t="s">
        <v>4460</v>
      </c>
    </row>
    <row r="1846" customFormat="false" ht="15.75" hidden="false" customHeight="false" outlineLevel="0" collapsed="false">
      <c r="B1846" s="7" t="n">
        <v>46221</v>
      </c>
      <c r="C1846" s="3" t="s">
        <v>4461</v>
      </c>
      <c r="D1846" s="3" t="s">
        <v>4014</v>
      </c>
      <c r="E1846" s="3" t="s">
        <v>4303</v>
      </c>
      <c r="F1846" s="3" t="s">
        <v>4399</v>
      </c>
      <c r="G1846" s="10" t="s">
        <v>2866</v>
      </c>
      <c r="H1846" s="9" t="s">
        <v>13</v>
      </c>
      <c r="I1846" s="9" t="s">
        <v>4462</v>
      </c>
    </row>
    <row r="1847" customFormat="false" ht="15.75" hidden="false" customHeight="false" outlineLevel="0" collapsed="false">
      <c r="B1847" s="7" t="n">
        <v>46221</v>
      </c>
      <c r="C1847" s="3" t="s">
        <v>4463</v>
      </c>
      <c r="D1847" s="3" t="s">
        <v>4014</v>
      </c>
      <c r="E1847" s="3" t="s">
        <v>4303</v>
      </c>
      <c r="F1847" s="3" t="s">
        <v>4399</v>
      </c>
      <c r="G1847" s="10" t="s">
        <v>4464</v>
      </c>
      <c r="H1847" s="9" t="s">
        <v>13</v>
      </c>
      <c r="I1847" s="9" t="s">
        <v>4465</v>
      </c>
    </row>
    <row r="1848" customFormat="false" ht="15.75" hidden="false" customHeight="false" outlineLevel="0" collapsed="false">
      <c r="B1848" s="7" t="n">
        <v>46221</v>
      </c>
      <c r="C1848" s="3" t="s">
        <v>4466</v>
      </c>
      <c r="D1848" s="3" t="s">
        <v>4014</v>
      </c>
      <c r="E1848" s="3" t="s">
        <v>4303</v>
      </c>
      <c r="F1848" s="3" t="s">
        <v>4399</v>
      </c>
      <c r="G1848" s="8" t="s">
        <v>4467</v>
      </c>
      <c r="H1848" s="9" t="s">
        <v>13</v>
      </c>
      <c r="I1848" s="9" t="s">
        <v>4468</v>
      </c>
    </row>
    <row r="1849" customFormat="false" ht="15.75" hidden="false" customHeight="false" outlineLevel="0" collapsed="false">
      <c r="B1849" s="7" t="n">
        <v>46221</v>
      </c>
      <c r="C1849" s="3" t="s">
        <v>4469</v>
      </c>
      <c r="D1849" s="3" t="s">
        <v>4014</v>
      </c>
      <c r="E1849" s="3" t="s">
        <v>4303</v>
      </c>
      <c r="F1849" s="3" t="s">
        <v>4399</v>
      </c>
      <c r="G1849" s="10" t="s">
        <v>4470</v>
      </c>
      <c r="H1849" s="9" t="s">
        <v>13</v>
      </c>
      <c r="I1849" s="9" t="s">
        <v>4471</v>
      </c>
    </row>
    <row r="1850" customFormat="false" ht="15.75" hidden="false" customHeight="false" outlineLevel="0" collapsed="false">
      <c r="B1850" s="7" t="n">
        <v>46221</v>
      </c>
      <c r="C1850" s="3" t="s">
        <v>4472</v>
      </c>
      <c r="D1850" s="3" t="s">
        <v>4014</v>
      </c>
      <c r="E1850" s="3" t="s">
        <v>4303</v>
      </c>
      <c r="F1850" s="3" t="s">
        <v>4399</v>
      </c>
      <c r="G1850" s="10" t="s">
        <v>4459</v>
      </c>
      <c r="H1850" s="9" t="s">
        <v>13</v>
      </c>
      <c r="I1850" s="9" t="s">
        <v>4473</v>
      </c>
    </row>
    <row r="1851" customFormat="false" ht="15.75" hidden="false" customHeight="false" outlineLevel="0" collapsed="false">
      <c r="B1851" s="7" t="n">
        <v>46221</v>
      </c>
      <c r="C1851" s="3" t="s">
        <v>4474</v>
      </c>
      <c r="D1851" s="3" t="s">
        <v>4014</v>
      </c>
      <c r="E1851" s="3" t="s">
        <v>4303</v>
      </c>
      <c r="F1851" s="3" t="s">
        <v>4399</v>
      </c>
      <c r="G1851" s="10" t="s">
        <v>4475</v>
      </c>
      <c r="H1851" s="9" t="s">
        <v>13</v>
      </c>
      <c r="I1851" s="9" t="s">
        <v>4476</v>
      </c>
    </row>
    <row r="1852" customFormat="false" ht="15.75" hidden="false" customHeight="false" outlineLevel="0" collapsed="false">
      <c r="B1852" s="7" t="n">
        <v>46221</v>
      </c>
      <c r="C1852" s="3" t="s">
        <v>4477</v>
      </c>
      <c r="D1852" s="3" t="s">
        <v>4014</v>
      </c>
      <c r="E1852" s="3" t="s">
        <v>4303</v>
      </c>
      <c r="F1852" s="3" t="s">
        <v>4399</v>
      </c>
      <c r="G1852" s="10" t="s">
        <v>4475</v>
      </c>
      <c r="H1852" s="9" t="s">
        <v>13</v>
      </c>
      <c r="I1852" s="9" t="s">
        <v>4476</v>
      </c>
    </row>
    <row r="1853" customFormat="false" ht="15.75" hidden="false" customHeight="false" outlineLevel="0" collapsed="false">
      <c r="B1853" s="7" t="n">
        <v>46221</v>
      </c>
      <c r="C1853" s="3" t="s">
        <v>4478</v>
      </c>
      <c r="D1853" s="3" t="s">
        <v>4014</v>
      </c>
      <c r="E1853" s="3" t="s">
        <v>4303</v>
      </c>
      <c r="F1853" s="3" t="s">
        <v>4399</v>
      </c>
      <c r="G1853" s="10" t="s">
        <v>4479</v>
      </c>
      <c r="H1853" s="9" t="s">
        <v>13</v>
      </c>
      <c r="I1853" s="9" t="s">
        <v>4480</v>
      </c>
    </row>
    <row r="1854" customFormat="false" ht="15.75" hidden="false" customHeight="false" outlineLevel="0" collapsed="false">
      <c r="B1854" s="7" t="n">
        <v>46221</v>
      </c>
      <c r="C1854" s="3" t="s">
        <v>4481</v>
      </c>
      <c r="D1854" s="3" t="s">
        <v>4014</v>
      </c>
      <c r="E1854" s="3" t="s">
        <v>4303</v>
      </c>
      <c r="F1854" s="3" t="s">
        <v>4399</v>
      </c>
      <c r="G1854" s="10" t="s">
        <v>4421</v>
      </c>
      <c r="H1854" s="9" t="s">
        <v>13</v>
      </c>
      <c r="I1854" s="9" t="s">
        <v>4482</v>
      </c>
    </row>
    <row r="1855" customFormat="false" ht="15.75" hidden="false" customHeight="false" outlineLevel="0" collapsed="false">
      <c r="B1855" s="7" t="n">
        <v>46221</v>
      </c>
      <c r="C1855" s="3" t="s">
        <v>4483</v>
      </c>
      <c r="D1855" s="3" t="s">
        <v>4014</v>
      </c>
      <c r="E1855" s="3" t="s">
        <v>4303</v>
      </c>
      <c r="F1855" s="3" t="s">
        <v>4399</v>
      </c>
      <c r="G1855" s="10" t="s">
        <v>4484</v>
      </c>
      <c r="H1855" s="9" t="s">
        <v>13</v>
      </c>
      <c r="I1855" s="9" t="s">
        <v>4485</v>
      </c>
    </row>
    <row r="1856" customFormat="false" ht="15.75" hidden="false" customHeight="false" outlineLevel="0" collapsed="false">
      <c r="B1856" s="7" t="n">
        <v>46221</v>
      </c>
      <c r="C1856" s="3" t="s">
        <v>4486</v>
      </c>
      <c r="D1856" s="3" t="s">
        <v>4014</v>
      </c>
      <c r="E1856" s="3" t="s">
        <v>4303</v>
      </c>
      <c r="F1856" s="3" t="s">
        <v>4399</v>
      </c>
      <c r="G1856" s="10" t="s">
        <v>4484</v>
      </c>
      <c r="H1856" s="9" t="s">
        <v>13</v>
      </c>
      <c r="I1856" s="9" t="s">
        <v>4485</v>
      </c>
    </row>
    <row r="1857" customFormat="false" ht="15.75" hidden="false" customHeight="false" outlineLevel="0" collapsed="false">
      <c r="B1857" s="7" t="n">
        <v>46221</v>
      </c>
      <c r="C1857" s="3" t="s">
        <v>4487</v>
      </c>
      <c r="D1857" s="3" t="s">
        <v>4014</v>
      </c>
      <c r="E1857" s="3" t="s">
        <v>4303</v>
      </c>
      <c r="F1857" s="3" t="s">
        <v>4399</v>
      </c>
      <c r="G1857" s="10" t="s">
        <v>4488</v>
      </c>
      <c r="H1857" s="9" t="s">
        <v>13</v>
      </c>
      <c r="I1857" s="9" t="s">
        <v>4489</v>
      </c>
    </row>
    <row r="1858" customFormat="false" ht="15.75" hidden="false" customHeight="false" outlineLevel="0" collapsed="false">
      <c r="B1858" s="7" t="n">
        <v>46221</v>
      </c>
      <c r="C1858" s="3" t="s">
        <v>4490</v>
      </c>
      <c r="D1858" s="3" t="s">
        <v>4014</v>
      </c>
      <c r="E1858" s="3" t="s">
        <v>4303</v>
      </c>
      <c r="F1858" s="3" t="s">
        <v>4491</v>
      </c>
      <c r="G1858" s="8" t="s">
        <v>4492</v>
      </c>
      <c r="H1858" s="9" t="s">
        <v>13</v>
      </c>
      <c r="I1858" s="9" t="s">
        <v>4493</v>
      </c>
    </row>
    <row r="1859" customFormat="false" ht="15.75" hidden="false" customHeight="false" outlineLevel="0" collapsed="false">
      <c r="B1859" s="7" t="n">
        <v>46221</v>
      </c>
      <c r="C1859" s="3" t="s">
        <v>4494</v>
      </c>
      <c r="D1859" s="3" t="s">
        <v>4014</v>
      </c>
      <c r="E1859" s="3" t="s">
        <v>4303</v>
      </c>
      <c r="F1859" s="3" t="s">
        <v>4491</v>
      </c>
      <c r="G1859" s="10" t="s">
        <v>4495</v>
      </c>
      <c r="H1859" s="9" t="s">
        <v>13</v>
      </c>
      <c r="I1859" s="9" t="s">
        <v>4496</v>
      </c>
    </row>
    <row r="1860" customFormat="false" ht="15.75" hidden="false" customHeight="false" outlineLevel="0" collapsed="false">
      <c r="B1860" s="7" t="n">
        <v>46221</v>
      </c>
      <c r="C1860" s="3" t="s">
        <v>4497</v>
      </c>
      <c r="D1860" s="3" t="s">
        <v>4014</v>
      </c>
      <c r="E1860" s="3" t="s">
        <v>4303</v>
      </c>
      <c r="F1860" s="3" t="s">
        <v>4491</v>
      </c>
      <c r="G1860" s="10" t="s">
        <v>4495</v>
      </c>
      <c r="H1860" s="9" t="s">
        <v>13</v>
      </c>
      <c r="I1860" s="9" t="s">
        <v>4496</v>
      </c>
    </row>
    <row r="1861" customFormat="false" ht="15.75" hidden="false" customHeight="false" outlineLevel="0" collapsed="false">
      <c r="B1861" s="7" t="n">
        <v>46221</v>
      </c>
      <c r="C1861" s="3" t="s">
        <v>4498</v>
      </c>
      <c r="D1861" s="3" t="s">
        <v>4014</v>
      </c>
      <c r="E1861" s="3" t="s">
        <v>4303</v>
      </c>
      <c r="F1861" s="3" t="s">
        <v>4491</v>
      </c>
      <c r="G1861" s="8" t="s">
        <v>4499</v>
      </c>
      <c r="H1861" s="9" t="s">
        <v>13</v>
      </c>
      <c r="I1861" s="9" t="s">
        <v>4500</v>
      </c>
    </row>
    <row r="1862" customFormat="false" ht="15.75" hidden="false" customHeight="false" outlineLevel="0" collapsed="false">
      <c r="B1862" s="7" t="n">
        <v>46221</v>
      </c>
      <c r="C1862" s="3" t="s">
        <v>4501</v>
      </c>
      <c r="D1862" s="3" t="s">
        <v>4014</v>
      </c>
      <c r="E1862" s="3" t="s">
        <v>4303</v>
      </c>
      <c r="F1862" s="3" t="s">
        <v>4491</v>
      </c>
      <c r="G1862" s="10" t="s">
        <v>4502</v>
      </c>
      <c r="H1862" s="9" t="s">
        <v>13</v>
      </c>
      <c r="I1862" s="9" t="s">
        <v>4503</v>
      </c>
    </row>
    <row r="1863" customFormat="false" ht="15.75" hidden="false" customHeight="false" outlineLevel="0" collapsed="false">
      <c r="B1863" s="7" t="n">
        <v>46221</v>
      </c>
      <c r="C1863" s="3" t="s">
        <v>4504</v>
      </c>
      <c r="D1863" s="3" t="s">
        <v>4014</v>
      </c>
      <c r="E1863" s="3" t="s">
        <v>4303</v>
      </c>
      <c r="F1863" s="3" t="s">
        <v>4491</v>
      </c>
      <c r="G1863" s="10" t="s">
        <v>4505</v>
      </c>
      <c r="H1863" s="9" t="s">
        <v>13</v>
      </c>
      <c r="I1863" s="9" t="s">
        <v>4506</v>
      </c>
    </row>
    <row r="1864" customFormat="false" ht="15.75" hidden="false" customHeight="false" outlineLevel="0" collapsed="false">
      <c r="B1864" s="7" t="n">
        <v>46221</v>
      </c>
      <c r="C1864" s="3" t="s">
        <v>4507</v>
      </c>
      <c r="D1864" s="3" t="s">
        <v>4014</v>
      </c>
      <c r="E1864" s="3" t="s">
        <v>4303</v>
      </c>
      <c r="F1864" s="3" t="s">
        <v>4491</v>
      </c>
      <c r="G1864" s="8" t="s">
        <v>4508</v>
      </c>
      <c r="H1864" s="9" t="s">
        <v>13</v>
      </c>
      <c r="I1864" s="9" t="s">
        <v>4509</v>
      </c>
    </row>
    <row r="1865" customFormat="false" ht="15.75" hidden="false" customHeight="false" outlineLevel="0" collapsed="false">
      <c r="B1865" s="7" t="n">
        <v>46221</v>
      </c>
      <c r="C1865" s="3" t="s">
        <v>4510</v>
      </c>
      <c r="D1865" s="3" t="s">
        <v>4014</v>
      </c>
      <c r="E1865" s="3" t="s">
        <v>4303</v>
      </c>
      <c r="F1865" s="3" t="s">
        <v>4491</v>
      </c>
      <c r="G1865" s="8" t="s">
        <v>4511</v>
      </c>
      <c r="H1865" s="9" t="s">
        <v>13</v>
      </c>
      <c r="I1865" s="9" t="s">
        <v>4512</v>
      </c>
    </row>
    <row r="1866" customFormat="false" ht="15.75" hidden="false" customHeight="false" outlineLevel="0" collapsed="false">
      <c r="B1866" s="7" t="n">
        <v>46221</v>
      </c>
      <c r="C1866" s="3" t="s">
        <v>4513</v>
      </c>
      <c r="D1866" s="3" t="s">
        <v>4014</v>
      </c>
      <c r="E1866" s="3" t="s">
        <v>4303</v>
      </c>
      <c r="F1866" s="3" t="s">
        <v>4491</v>
      </c>
      <c r="G1866" s="8" t="s">
        <v>4514</v>
      </c>
      <c r="H1866" s="9" t="s">
        <v>13</v>
      </c>
      <c r="I1866" s="9" t="s">
        <v>4515</v>
      </c>
    </row>
    <row r="1867" customFormat="false" ht="15.75" hidden="false" customHeight="false" outlineLevel="0" collapsed="false">
      <c r="B1867" s="7" t="n">
        <v>46221</v>
      </c>
      <c r="C1867" s="3" t="s">
        <v>4516</v>
      </c>
      <c r="D1867" s="3" t="s">
        <v>4014</v>
      </c>
      <c r="E1867" s="3" t="s">
        <v>4303</v>
      </c>
      <c r="F1867" s="3" t="s">
        <v>4491</v>
      </c>
      <c r="G1867" s="8" t="s">
        <v>4517</v>
      </c>
      <c r="H1867" s="9" t="s">
        <v>13</v>
      </c>
      <c r="I1867" s="9" t="s">
        <v>4518</v>
      </c>
    </row>
    <row r="1868" customFormat="false" ht="15.75" hidden="false" customHeight="false" outlineLevel="0" collapsed="false">
      <c r="B1868" s="7" t="n">
        <v>46221</v>
      </c>
      <c r="C1868" s="3" t="s">
        <v>4519</v>
      </c>
      <c r="D1868" s="3" t="s">
        <v>4014</v>
      </c>
      <c r="E1868" s="3" t="s">
        <v>4303</v>
      </c>
      <c r="F1868" s="3" t="s">
        <v>4491</v>
      </c>
      <c r="G1868" s="10" t="s">
        <v>4370</v>
      </c>
      <c r="H1868" s="9" t="s">
        <v>13</v>
      </c>
      <c r="I1868" s="9" t="s">
        <v>4520</v>
      </c>
    </row>
    <row r="1869" customFormat="false" ht="15.75" hidden="false" customHeight="false" outlineLevel="0" collapsed="false">
      <c r="B1869" s="7" t="n">
        <v>46221</v>
      </c>
      <c r="C1869" s="3" t="s">
        <v>4521</v>
      </c>
      <c r="D1869" s="3" t="s">
        <v>4014</v>
      </c>
      <c r="E1869" s="3" t="s">
        <v>4303</v>
      </c>
      <c r="F1869" s="3" t="s">
        <v>4491</v>
      </c>
      <c r="G1869" s="10" t="s">
        <v>4522</v>
      </c>
      <c r="H1869" s="9" t="s">
        <v>13</v>
      </c>
      <c r="I1869" s="9" t="s">
        <v>4523</v>
      </c>
    </row>
    <row r="1870" customFormat="false" ht="15.75" hidden="false" customHeight="false" outlineLevel="0" collapsed="false">
      <c r="B1870" s="7" t="n">
        <v>46221</v>
      </c>
      <c r="C1870" s="3" t="s">
        <v>4524</v>
      </c>
      <c r="D1870" s="3" t="s">
        <v>4014</v>
      </c>
      <c r="E1870" s="3" t="s">
        <v>4303</v>
      </c>
      <c r="F1870" s="3" t="s">
        <v>4491</v>
      </c>
      <c r="G1870" s="10" t="s">
        <v>4525</v>
      </c>
      <c r="H1870" s="9" t="s">
        <v>13</v>
      </c>
      <c r="I1870" s="9" t="s">
        <v>4526</v>
      </c>
    </row>
    <row r="1871" customFormat="false" ht="15.75" hidden="false" customHeight="false" outlineLevel="0" collapsed="false">
      <c r="B1871" s="7" t="n">
        <v>46221</v>
      </c>
      <c r="C1871" s="3" t="s">
        <v>4527</v>
      </c>
      <c r="D1871" s="3" t="s">
        <v>4014</v>
      </c>
      <c r="E1871" s="3" t="s">
        <v>4303</v>
      </c>
      <c r="F1871" s="3" t="s">
        <v>4491</v>
      </c>
      <c r="G1871" s="8" t="s">
        <v>4528</v>
      </c>
      <c r="H1871" s="9" t="s">
        <v>13</v>
      </c>
      <c r="I1871" s="9" t="s">
        <v>4529</v>
      </c>
    </row>
    <row r="1872" customFormat="false" ht="15.75" hidden="false" customHeight="false" outlineLevel="0" collapsed="false">
      <c r="B1872" s="7" t="n">
        <v>46221</v>
      </c>
      <c r="C1872" s="3" t="s">
        <v>4530</v>
      </c>
      <c r="D1872" s="3" t="s">
        <v>4014</v>
      </c>
      <c r="E1872" s="3" t="s">
        <v>4303</v>
      </c>
      <c r="F1872" s="3" t="s">
        <v>4491</v>
      </c>
      <c r="G1872" s="10" t="s">
        <v>4531</v>
      </c>
      <c r="H1872" s="9" t="s">
        <v>13</v>
      </c>
      <c r="I1872" s="9" t="s">
        <v>4532</v>
      </c>
    </row>
    <row r="1873" customFormat="false" ht="15.75" hidden="false" customHeight="false" outlineLevel="0" collapsed="false">
      <c r="B1873" s="7" t="n">
        <v>46221</v>
      </c>
      <c r="C1873" s="3" t="s">
        <v>4533</v>
      </c>
      <c r="D1873" s="3" t="s">
        <v>4014</v>
      </c>
      <c r="E1873" s="3" t="s">
        <v>4303</v>
      </c>
      <c r="F1873" s="3" t="s">
        <v>4491</v>
      </c>
      <c r="G1873" s="10" t="s">
        <v>4531</v>
      </c>
      <c r="H1873" s="9" t="s">
        <v>13</v>
      </c>
      <c r="I1873" s="9" t="s">
        <v>4532</v>
      </c>
    </row>
    <row r="1874" customFormat="false" ht="15.75" hidden="false" customHeight="false" outlineLevel="0" collapsed="false">
      <c r="B1874" s="7" t="n">
        <v>46221</v>
      </c>
      <c r="C1874" s="3" t="s">
        <v>4534</v>
      </c>
      <c r="D1874" s="3" t="s">
        <v>4014</v>
      </c>
      <c r="E1874" s="3" t="s">
        <v>4303</v>
      </c>
      <c r="F1874" s="3" t="s">
        <v>4491</v>
      </c>
      <c r="G1874" s="8" t="s">
        <v>4535</v>
      </c>
      <c r="H1874" s="9" t="s">
        <v>13</v>
      </c>
      <c r="I1874" s="9" t="s">
        <v>4536</v>
      </c>
    </row>
    <row r="1875" customFormat="false" ht="15.75" hidden="false" customHeight="false" outlineLevel="0" collapsed="false">
      <c r="B1875" s="7" t="n">
        <v>46221</v>
      </c>
      <c r="C1875" s="3" t="s">
        <v>4537</v>
      </c>
      <c r="D1875" s="3" t="s">
        <v>4014</v>
      </c>
      <c r="E1875" s="3" t="s">
        <v>4303</v>
      </c>
      <c r="F1875" s="3" t="s">
        <v>4491</v>
      </c>
      <c r="G1875" s="8" t="s">
        <v>4535</v>
      </c>
      <c r="H1875" s="9" t="s">
        <v>13</v>
      </c>
      <c r="I1875" s="9" t="s">
        <v>4536</v>
      </c>
    </row>
    <row r="1876" customFormat="false" ht="15.75" hidden="false" customHeight="false" outlineLevel="0" collapsed="false">
      <c r="B1876" s="7" t="n">
        <v>46221</v>
      </c>
      <c r="C1876" s="3" t="s">
        <v>4538</v>
      </c>
      <c r="D1876" s="3" t="s">
        <v>4014</v>
      </c>
      <c r="E1876" s="3" t="s">
        <v>4303</v>
      </c>
      <c r="F1876" s="3" t="s">
        <v>4491</v>
      </c>
      <c r="G1876" s="8" t="s">
        <v>4535</v>
      </c>
      <c r="H1876" s="9" t="s">
        <v>13</v>
      </c>
      <c r="I1876" s="9" t="s">
        <v>4536</v>
      </c>
    </row>
    <row r="1877" customFormat="false" ht="15.75" hidden="false" customHeight="false" outlineLevel="0" collapsed="false">
      <c r="B1877" s="7" t="n">
        <v>46221</v>
      </c>
      <c r="C1877" s="3" t="s">
        <v>4539</v>
      </c>
      <c r="D1877" s="3" t="s">
        <v>4014</v>
      </c>
      <c r="E1877" s="3" t="s">
        <v>4303</v>
      </c>
      <c r="F1877" s="3" t="s">
        <v>4491</v>
      </c>
      <c r="G1877" s="10" t="s">
        <v>4540</v>
      </c>
      <c r="H1877" s="9" t="s">
        <v>13</v>
      </c>
      <c r="I1877" s="9" t="s">
        <v>4541</v>
      </c>
    </row>
    <row r="1878" customFormat="false" ht="15.75" hidden="false" customHeight="false" outlineLevel="0" collapsed="false">
      <c r="B1878" s="7" t="n">
        <v>46221</v>
      </c>
      <c r="C1878" s="3" t="s">
        <v>4542</v>
      </c>
      <c r="D1878" s="3" t="s">
        <v>4014</v>
      </c>
      <c r="E1878" s="3" t="s">
        <v>4303</v>
      </c>
      <c r="F1878" s="3" t="s">
        <v>4491</v>
      </c>
      <c r="G1878" s="10" t="s">
        <v>4543</v>
      </c>
      <c r="H1878" s="9" t="s">
        <v>13</v>
      </c>
      <c r="I1878" s="9" t="s">
        <v>4544</v>
      </c>
    </row>
    <row r="1879" customFormat="false" ht="15.75" hidden="false" customHeight="false" outlineLevel="0" collapsed="false">
      <c r="B1879" s="7" t="n">
        <v>46221</v>
      </c>
      <c r="C1879" s="3" t="s">
        <v>4545</v>
      </c>
      <c r="D1879" s="3" t="s">
        <v>4014</v>
      </c>
      <c r="E1879" s="3" t="s">
        <v>4303</v>
      </c>
      <c r="F1879" s="3" t="s">
        <v>4491</v>
      </c>
      <c r="G1879" s="8" t="s">
        <v>4546</v>
      </c>
      <c r="H1879" s="9" t="s">
        <v>13</v>
      </c>
      <c r="I1879" s="9" t="s">
        <v>4547</v>
      </c>
    </row>
    <row r="1880" customFormat="false" ht="15.75" hidden="false" customHeight="false" outlineLevel="0" collapsed="false">
      <c r="B1880" s="7" t="n">
        <v>46221</v>
      </c>
      <c r="C1880" s="3" t="s">
        <v>4548</v>
      </c>
      <c r="D1880" s="3" t="s">
        <v>4014</v>
      </c>
      <c r="E1880" s="3" t="s">
        <v>4303</v>
      </c>
      <c r="F1880" s="3" t="s">
        <v>4491</v>
      </c>
      <c r="G1880" s="10" t="s">
        <v>4549</v>
      </c>
      <c r="H1880" s="9" t="s">
        <v>13</v>
      </c>
      <c r="I1880" s="9" t="s">
        <v>4550</v>
      </c>
    </row>
    <row r="1881" customFormat="false" ht="15.75" hidden="false" customHeight="false" outlineLevel="0" collapsed="false">
      <c r="B1881" s="7" t="n">
        <v>46221</v>
      </c>
      <c r="C1881" s="3" t="s">
        <v>4551</v>
      </c>
      <c r="D1881" s="3" t="s">
        <v>4014</v>
      </c>
      <c r="E1881" s="3" t="s">
        <v>4303</v>
      </c>
      <c r="F1881" s="3" t="s">
        <v>4491</v>
      </c>
      <c r="G1881" s="10" t="s">
        <v>4552</v>
      </c>
      <c r="H1881" s="9" t="s">
        <v>13</v>
      </c>
      <c r="I1881" s="9" t="s">
        <v>4553</v>
      </c>
    </row>
    <row r="1882" customFormat="false" ht="15.75" hidden="false" customHeight="false" outlineLevel="0" collapsed="false">
      <c r="B1882" s="7" t="n">
        <v>46221</v>
      </c>
      <c r="C1882" s="3" t="s">
        <v>4554</v>
      </c>
      <c r="D1882" s="3" t="s">
        <v>4014</v>
      </c>
      <c r="E1882" s="3" t="s">
        <v>4303</v>
      </c>
      <c r="F1882" s="3" t="s">
        <v>4491</v>
      </c>
      <c r="G1882" s="10" t="s">
        <v>4555</v>
      </c>
      <c r="H1882" s="9" t="s">
        <v>13</v>
      </c>
      <c r="I1882" s="9" t="s">
        <v>4556</v>
      </c>
    </row>
    <row r="1883" customFormat="false" ht="15.75" hidden="false" customHeight="false" outlineLevel="0" collapsed="false">
      <c r="B1883" s="7" t="n">
        <v>46221</v>
      </c>
      <c r="C1883" s="3" t="s">
        <v>4557</v>
      </c>
      <c r="D1883" s="3" t="s">
        <v>4014</v>
      </c>
      <c r="E1883" s="3" t="s">
        <v>4303</v>
      </c>
      <c r="F1883" s="3" t="s">
        <v>4491</v>
      </c>
      <c r="G1883" s="10" t="s">
        <v>4555</v>
      </c>
      <c r="H1883" s="9" t="s">
        <v>13</v>
      </c>
      <c r="I1883" s="9" t="s">
        <v>4558</v>
      </c>
    </row>
    <row r="1884" customFormat="false" ht="15.75" hidden="false" customHeight="false" outlineLevel="0" collapsed="false">
      <c r="B1884" s="7" t="n">
        <v>46221</v>
      </c>
      <c r="C1884" s="3" t="s">
        <v>4559</v>
      </c>
      <c r="D1884" s="3" t="s">
        <v>4014</v>
      </c>
      <c r="E1884" s="3" t="s">
        <v>4303</v>
      </c>
      <c r="F1884" s="3" t="s">
        <v>4491</v>
      </c>
      <c r="G1884" s="8" t="s">
        <v>4560</v>
      </c>
      <c r="H1884" s="9" t="s">
        <v>13</v>
      </c>
      <c r="I1884" s="9" t="s">
        <v>4561</v>
      </c>
    </row>
    <row r="1885" customFormat="false" ht="15.75" hidden="false" customHeight="false" outlineLevel="0" collapsed="false">
      <c r="B1885" s="7" t="n">
        <v>46221</v>
      </c>
      <c r="C1885" s="3" t="s">
        <v>4562</v>
      </c>
      <c r="D1885" s="3" t="s">
        <v>4014</v>
      </c>
      <c r="E1885" s="3" t="s">
        <v>4303</v>
      </c>
      <c r="F1885" s="3" t="s">
        <v>4491</v>
      </c>
      <c r="G1885" s="10" t="s">
        <v>4563</v>
      </c>
      <c r="H1885" s="9" t="s">
        <v>13</v>
      </c>
      <c r="I1885" s="9" t="s">
        <v>4564</v>
      </c>
    </row>
    <row r="1886" customFormat="false" ht="15.75" hidden="false" customHeight="false" outlineLevel="0" collapsed="false">
      <c r="B1886" s="7" t="n">
        <v>46221</v>
      </c>
      <c r="C1886" s="3" t="s">
        <v>4565</v>
      </c>
      <c r="D1886" s="3" t="s">
        <v>4014</v>
      </c>
      <c r="E1886" s="3" t="s">
        <v>4303</v>
      </c>
      <c r="F1886" s="3" t="s">
        <v>4491</v>
      </c>
      <c r="G1886" s="10" t="s">
        <v>4563</v>
      </c>
      <c r="H1886" s="9" t="s">
        <v>13</v>
      </c>
      <c r="I1886" s="9" t="s">
        <v>4566</v>
      </c>
    </row>
    <row r="1887" customFormat="false" ht="15.75" hidden="false" customHeight="false" outlineLevel="0" collapsed="false">
      <c r="B1887" s="7" t="n">
        <v>46221</v>
      </c>
      <c r="C1887" s="3" t="s">
        <v>4567</v>
      </c>
      <c r="D1887" s="3" t="s">
        <v>4014</v>
      </c>
      <c r="E1887" s="3" t="s">
        <v>4303</v>
      </c>
      <c r="F1887" s="3" t="s">
        <v>4491</v>
      </c>
      <c r="G1887" s="10" t="s">
        <v>4563</v>
      </c>
      <c r="H1887" s="9" t="s">
        <v>13</v>
      </c>
      <c r="I1887" s="9" t="s">
        <v>4566</v>
      </c>
    </row>
    <row r="1888" customFormat="false" ht="15.75" hidden="false" customHeight="false" outlineLevel="0" collapsed="false">
      <c r="B1888" s="7" t="n">
        <v>46221</v>
      </c>
      <c r="C1888" s="3" t="s">
        <v>4568</v>
      </c>
      <c r="D1888" s="3" t="s">
        <v>4014</v>
      </c>
      <c r="E1888" s="3" t="s">
        <v>4303</v>
      </c>
      <c r="F1888" s="3" t="s">
        <v>4491</v>
      </c>
      <c r="G1888" s="12" t="str">
        <f aca="false">HYPERLINK("https://www.inaturalist.org/people/omerweiner","omerweiner")</f>
        <v>omerweiner</v>
      </c>
      <c r="H1888" s="9" t="s">
        <v>13</v>
      </c>
      <c r="I1888" s="13" t="s">
        <v>4569</v>
      </c>
    </row>
    <row r="1889" customFormat="false" ht="15.75" hidden="false" customHeight="false" outlineLevel="0" collapsed="false">
      <c r="B1889" s="7" t="n">
        <v>46221</v>
      </c>
      <c r="C1889" s="3" t="s">
        <v>4570</v>
      </c>
      <c r="D1889" s="3" t="s">
        <v>4014</v>
      </c>
      <c r="E1889" s="3" t="s">
        <v>4303</v>
      </c>
      <c r="F1889" s="3" t="s">
        <v>4491</v>
      </c>
      <c r="G1889" s="10" t="s">
        <v>4563</v>
      </c>
      <c r="H1889" s="9" t="s">
        <v>13</v>
      </c>
      <c r="I1889" s="9" t="s">
        <v>4571</v>
      </c>
    </row>
    <row r="1890" customFormat="false" ht="15.75" hidden="false" customHeight="false" outlineLevel="0" collapsed="false">
      <c r="B1890" s="7" t="n">
        <v>46221</v>
      </c>
      <c r="C1890" s="3" t="s">
        <v>4572</v>
      </c>
      <c r="D1890" s="3" t="s">
        <v>4014</v>
      </c>
      <c r="E1890" s="3" t="s">
        <v>4303</v>
      </c>
      <c r="F1890" s="3" t="s">
        <v>4491</v>
      </c>
      <c r="G1890" s="10" t="s">
        <v>4563</v>
      </c>
      <c r="H1890" s="9" t="s">
        <v>13</v>
      </c>
      <c r="I1890" s="9" t="s">
        <v>4571</v>
      </c>
    </row>
    <row r="1891" customFormat="false" ht="15.75" hidden="false" customHeight="false" outlineLevel="0" collapsed="false">
      <c r="B1891" s="7" t="n">
        <v>46221</v>
      </c>
      <c r="C1891" s="3" t="s">
        <v>4573</v>
      </c>
      <c r="D1891" s="3" t="s">
        <v>4014</v>
      </c>
      <c r="E1891" s="3" t="s">
        <v>4303</v>
      </c>
      <c r="F1891" s="3" t="s">
        <v>4491</v>
      </c>
      <c r="G1891" s="10" t="s">
        <v>4563</v>
      </c>
      <c r="H1891" s="9" t="s">
        <v>13</v>
      </c>
      <c r="I1891" s="9" t="s">
        <v>4571</v>
      </c>
    </row>
    <row r="1892" customFormat="false" ht="15.75" hidden="false" customHeight="false" outlineLevel="0" collapsed="false">
      <c r="B1892" s="7" t="n">
        <v>46221</v>
      </c>
      <c r="C1892" s="3" t="s">
        <v>4574</v>
      </c>
      <c r="D1892" s="3" t="s">
        <v>4014</v>
      </c>
      <c r="E1892" s="3" t="s">
        <v>4303</v>
      </c>
      <c r="F1892" s="3" t="s">
        <v>4491</v>
      </c>
      <c r="G1892" s="10" t="s">
        <v>4575</v>
      </c>
      <c r="H1892" s="9" t="s">
        <v>13</v>
      </c>
      <c r="I1892" s="9" t="s">
        <v>4576</v>
      </c>
    </row>
    <row r="1893" customFormat="false" ht="15.75" hidden="false" customHeight="false" outlineLevel="0" collapsed="false">
      <c r="B1893" s="7" t="n">
        <v>46221</v>
      </c>
      <c r="C1893" s="3" t="s">
        <v>4577</v>
      </c>
      <c r="D1893" s="3" t="s">
        <v>4014</v>
      </c>
      <c r="E1893" s="3" t="s">
        <v>4578</v>
      </c>
      <c r="F1893" s="3" t="s">
        <v>4579</v>
      </c>
      <c r="G1893" s="8" t="s">
        <v>4580</v>
      </c>
      <c r="H1893" s="9" t="s">
        <v>13</v>
      </c>
      <c r="I1893" s="9" t="s">
        <v>4581</v>
      </c>
    </row>
    <row r="1894" customFormat="false" ht="15.75" hidden="false" customHeight="false" outlineLevel="0" collapsed="false">
      <c r="B1894" s="7" t="n">
        <v>46221</v>
      </c>
      <c r="C1894" s="3" t="s">
        <v>4582</v>
      </c>
      <c r="D1894" s="3" t="s">
        <v>4014</v>
      </c>
      <c r="E1894" s="3" t="s">
        <v>4578</v>
      </c>
      <c r="F1894" s="3" t="s">
        <v>4579</v>
      </c>
      <c r="G1894" s="8" t="s">
        <v>4583</v>
      </c>
      <c r="H1894" s="9" t="s">
        <v>13</v>
      </c>
      <c r="I1894" s="9" t="s">
        <v>4584</v>
      </c>
    </row>
    <row r="1895" customFormat="false" ht="15.75" hidden="false" customHeight="false" outlineLevel="0" collapsed="false">
      <c r="B1895" s="7" t="n">
        <v>46221</v>
      </c>
      <c r="C1895" s="3" t="s">
        <v>4585</v>
      </c>
      <c r="D1895" s="3" t="s">
        <v>4014</v>
      </c>
      <c r="E1895" s="3" t="s">
        <v>4578</v>
      </c>
      <c r="F1895" s="3" t="s">
        <v>4579</v>
      </c>
      <c r="G1895" s="8" t="s">
        <v>4583</v>
      </c>
      <c r="H1895" s="9" t="s">
        <v>13</v>
      </c>
      <c r="I1895" s="9" t="s">
        <v>4584</v>
      </c>
    </row>
    <row r="1896" customFormat="false" ht="15.75" hidden="false" customHeight="false" outlineLevel="0" collapsed="false">
      <c r="B1896" s="7" t="n">
        <v>46221</v>
      </c>
      <c r="C1896" s="3" t="s">
        <v>4586</v>
      </c>
      <c r="D1896" s="3" t="s">
        <v>4014</v>
      </c>
      <c r="E1896" s="3" t="s">
        <v>4578</v>
      </c>
      <c r="F1896" s="3" t="s">
        <v>4579</v>
      </c>
      <c r="G1896" s="8" t="s">
        <v>4587</v>
      </c>
      <c r="H1896" s="9" t="s">
        <v>13</v>
      </c>
      <c r="I1896" s="9" t="s">
        <v>4588</v>
      </c>
    </row>
    <row r="1897" customFormat="false" ht="15.75" hidden="false" customHeight="false" outlineLevel="0" collapsed="false">
      <c r="B1897" s="7" t="n">
        <v>46221</v>
      </c>
      <c r="C1897" s="3" t="s">
        <v>4589</v>
      </c>
      <c r="D1897" s="3" t="s">
        <v>4014</v>
      </c>
      <c r="E1897" s="3" t="s">
        <v>4578</v>
      </c>
      <c r="F1897" s="3" t="s">
        <v>4579</v>
      </c>
      <c r="G1897" s="10" t="s">
        <v>4590</v>
      </c>
      <c r="H1897" s="9" t="s">
        <v>13</v>
      </c>
      <c r="I1897" s="9" t="s">
        <v>4591</v>
      </c>
    </row>
    <row r="1898" customFormat="false" ht="15.75" hidden="false" customHeight="false" outlineLevel="0" collapsed="false">
      <c r="B1898" s="7" t="n">
        <v>46221</v>
      </c>
      <c r="C1898" s="3" t="s">
        <v>4592</v>
      </c>
      <c r="D1898" s="3" t="s">
        <v>4014</v>
      </c>
      <c r="E1898" s="3" t="s">
        <v>4578</v>
      </c>
      <c r="F1898" s="3" t="s">
        <v>4579</v>
      </c>
      <c r="G1898" s="8" t="s">
        <v>4593</v>
      </c>
      <c r="H1898" s="9" t="s">
        <v>13</v>
      </c>
      <c r="I1898" s="9" t="s">
        <v>4594</v>
      </c>
    </row>
    <row r="1899" customFormat="false" ht="15.75" hidden="false" customHeight="false" outlineLevel="0" collapsed="false">
      <c r="B1899" s="7" t="n">
        <v>46221</v>
      </c>
      <c r="C1899" s="3" t="s">
        <v>4595</v>
      </c>
      <c r="D1899" s="3" t="s">
        <v>4014</v>
      </c>
      <c r="E1899" s="3" t="s">
        <v>4578</v>
      </c>
      <c r="F1899" s="3" t="s">
        <v>4579</v>
      </c>
      <c r="G1899" s="10" t="s">
        <v>4596</v>
      </c>
      <c r="H1899" s="9" t="s">
        <v>13</v>
      </c>
      <c r="I1899" s="9" t="s">
        <v>4597</v>
      </c>
    </row>
    <row r="1900" customFormat="false" ht="15.75" hidden="false" customHeight="false" outlineLevel="0" collapsed="false">
      <c r="B1900" s="7" t="n">
        <v>46221</v>
      </c>
      <c r="C1900" s="3" t="s">
        <v>4598</v>
      </c>
      <c r="D1900" s="3" t="s">
        <v>4014</v>
      </c>
      <c r="E1900" s="3" t="s">
        <v>4578</v>
      </c>
      <c r="F1900" s="3" t="s">
        <v>4579</v>
      </c>
      <c r="G1900" s="10" t="s">
        <v>4596</v>
      </c>
      <c r="H1900" s="9" t="s">
        <v>13</v>
      </c>
      <c r="I1900" s="9" t="s">
        <v>4597</v>
      </c>
    </row>
    <row r="1901" customFormat="false" ht="15.75" hidden="false" customHeight="false" outlineLevel="0" collapsed="false">
      <c r="B1901" s="7" t="n">
        <v>46221</v>
      </c>
      <c r="C1901" s="3" t="s">
        <v>4599</v>
      </c>
      <c r="D1901" s="3" t="s">
        <v>4014</v>
      </c>
      <c r="E1901" s="3" t="s">
        <v>4578</v>
      </c>
      <c r="F1901" s="3" t="s">
        <v>4579</v>
      </c>
      <c r="G1901" s="11" t="s">
        <v>4600</v>
      </c>
      <c r="H1901" s="9" t="s">
        <v>13</v>
      </c>
      <c r="I1901" s="9" t="s">
        <v>4601</v>
      </c>
    </row>
    <row r="1902" customFormat="false" ht="15.75" hidden="false" customHeight="false" outlineLevel="0" collapsed="false">
      <c r="B1902" s="7" t="n">
        <v>46221</v>
      </c>
      <c r="C1902" s="3" t="s">
        <v>4602</v>
      </c>
      <c r="D1902" s="3" t="s">
        <v>4014</v>
      </c>
      <c r="E1902" s="3" t="s">
        <v>4578</v>
      </c>
      <c r="F1902" s="3" t="s">
        <v>4579</v>
      </c>
      <c r="G1902" s="10" t="s">
        <v>4603</v>
      </c>
      <c r="H1902" s="9" t="s">
        <v>13</v>
      </c>
      <c r="I1902" s="9" t="s">
        <v>4604</v>
      </c>
    </row>
    <row r="1903" customFormat="false" ht="15.75" hidden="false" customHeight="false" outlineLevel="0" collapsed="false">
      <c r="B1903" s="7" t="n">
        <v>46221</v>
      </c>
      <c r="C1903" s="3" t="s">
        <v>4605</v>
      </c>
      <c r="D1903" s="3" t="s">
        <v>4014</v>
      </c>
      <c r="E1903" s="3" t="s">
        <v>4578</v>
      </c>
      <c r="F1903" s="3" t="s">
        <v>4579</v>
      </c>
      <c r="G1903" s="10" t="s">
        <v>4606</v>
      </c>
      <c r="H1903" s="9" t="s">
        <v>13</v>
      </c>
      <c r="I1903" s="9" t="s">
        <v>4607</v>
      </c>
    </row>
    <row r="1904" customFormat="false" ht="15.75" hidden="false" customHeight="false" outlineLevel="0" collapsed="false">
      <c r="B1904" s="7" t="n">
        <v>46221</v>
      </c>
      <c r="C1904" s="3" t="s">
        <v>4608</v>
      </c>
      <c r="D1904" s="3" t="s">
        <v>4014</v>
      </c>
      <c r="E1904" s="3" t="s">
        <v>4578</v>
      </c>
      <c r="F1904" s="3" t="s">
        <v>4579</v>
      </c>
      <c r="G1904" s="8" t="s">
        <v>4609</v>
      </c>
      <c r="H1904" s="9" t="s">
        <v>13</v>
      </c>
      <c r="I1904" s="9" t="s">
        <v>4610</v>
      </c>
    </row>
    <row r="1905" customFormat="false" ht="15.75" hidden="false" customHeight="false" outlineLevel="0" collapsed="false">
      <c r="B1905" s="7" t="n">
        <v>46221</v>
      </c>
      <c r="C1905" s="3" t="s">
        <v>4611</v>
      </c>
      <c r="D1905" s="3" t="s">
        <v>4014</v>
      </c>
      <c r="E1905" s="3" t="s">
        <v>4578</v>
      </c>
      <c r="F1905" s="3" t="s">
        <v>4579</v>
      </c>
      <c r="G1905" s="8" t="s">
        <v>4612</v>
      </c>
      <c r="H1905" s="9" t="s">
        <v>13</v>
      </c>
      <c r="I1905" s="9" t="s">
        <v>4613</v>
      </c>
    </row>
    <row r="1906" customFormat="false" ht="15.75" hidden="false" customHeight="false" outlineLevel="0" collapsed="false">
      <c r="B1906" s="7" t="n">
        <v>46221</v>
      </c>
      <c r="C1906" s="3" t="s">
        <v>4614</v>
      </c>
      <c r="D1906" s="3" t="s">
        <v>4014</v>
      </c>
      <c r="E1906" s="3" t="s">
        <v>4578</v>
      </c>
      <c r="F1906" s="3" t="s">
        <v>4579</v>
      </c>
      <c r="G1906" s="10" t="s">
        <v>4615</v>
      </c>
      <c r="H1906" s="9" t="s">
        <v>13</v>
      </c>
      <c r="I1906" s="9" t="s">
        <v>4616</v>
      </c>
    </row>
    <row r="1907" customFormat="false" ht="15.75" hidden="false" customHeight="false" outlineLevel="0" collapsed="false">
      <c r="B1907" s="7" t="n">
        <v>46221</v>
      </c>
      <c r="C1907" s="3" t="s">
        <v>4617</v>
      </c>
      <c r="D1907" s="3" t="s">
        <v>4014</v>
      </c>
      <c r="E1907" s="3" t="s">
        <v>4578</v>
      </c>
      <c r="F1907" s="3" t="s">
        <v>4579</v>
      </c>
      <c r="G1907" s="10" t="s">
        <v>4600</v>
      </c>
      <c r="H1907" s="9" t="s">
        <v>13</v>
      </c>
      <c r="I1907" s="9" t="s">
        <v>4618</v>
      </c>
    </row>
    <row r="1908" customFormat="false" ht="15.75" hidden="false" customHeight="false" outlineLevel="0" collapsed="false">
      <c r="B1908" s="7" t="n">
        <v>46221</v>
      </c>
      <c r="C1908" s="3" t="s">
        <v>4619</v>
      </c>
      <c r="D1908" s="3" t="s">
        <v>4014</v>
      </c>
      <c r="E1908" s="3" t="s">
        <v>4578</v>
      </c>
      <c r="F1908" s="3" t="s">
        <v>4579</v>
      </c>
      <c r="G1908" s="10" t="s">
        <v>4620</v>
      </c>
      <c r="H1908" s="9" t="s">
        <v>13</v>
      </c>
      <c r="I1908" s="9" t="s">
        <v>4621</v>
      </c>
    </row>
    <row r="1909" customFormat="false" ht="15.75" hidden="false" customHeight="false" outlineLevel="0" collapsed="false">
      <c r="B1909" s="7" t="n">
        <v>46221</v>
      </c>
      <c r="C1909" s="3" t="s">
        <v>4622</v>
      </c>
      <c r="D1909" s="3" t="s">
        <v>4014</v>
      </c>
      <c r="E1909" s="3" t="s">
        <v>4578</v>
      </c>
      <c r="F1909" s="3" t="s">
        <v>4579</v>
      </c>
      <c r="G1909" s="10" t="s">
        <v>4623</v>
      </c>
      <c r="H1909" s="9" t="s">
        <v>13</v>
      </c>
      <c r="I1909" s="9" t="s">
        <v>4624</v>
      </c>
    </row>
    <row r="1910" customFormat="false" ht="15.75" hidden="false" customHeight="false" outlineLevel="0" collapsed="false">
      <c r="B1910" s="7" t="n">
        <v>46221</v>
      </c>
      <c r="C1910" s="3" t="s">
        <v>4625</v>
      </c>
      <c r="D1910" s="3" t="s">
        <v>4014</v>
      </c>
      <c r="E1910" s="3" t="s">
        <v>4578</v>
      </c>
      <c r="F1910" s="3" t="s">
        <v>4579</v>
      </c>
      <c r="G1910" s="10" t="s">
        <v>4626</v>
      </c>
      <c r="H1910" s="9" t="s">
        <v>13</v>
      </c>
      <c r="I1910" s="9" t="s">
        <v>4627</v>
      </c>
    </row>
    <row r="1911" customFormat="false" ht="15.75" hidden="false" customHeight="false" outlineLevel="0" collapsed="false">
      <c r="B1911" s="7" t="n">
        <v>46221</v>
      </c>
      <c r="C1911" s="3" t="s">
        <v>4628</v>
      </c>
      <c r="D1911" s="3" t="s">
        <v>4014</v>
      </c>
      <c r="E1911" s="3" t="s">
        <v>4578</v>
      </c>
      <c r="F1911" s="3" t="s">
        <v>4579</v>
      </c>
      <c r="G1911" s="10" t="s">
        <v>4629</v>
      </c>
      <c r="H1911" s="9" t="s">
        <v>13</v>
      </c>
      <c r="I1911" s="9" t="s">
        <v>4630</v>
      </c>
    </row>
    <row r="1912" customFormat="false" ht="15.75" hidden="false" customHeight="false" outlineLevel="0" collapsed="false">
      <c r="B1912" s="7" t="n">
        <v>46221</v>
      </c>
      <c r="C1912" s="3" t="s">
        <v>4631</v>
      </c>
      <c r="D1912" s="3" t="s">
        <v>4014</v>
      </c>
      <c r="E1912" s="3" t="s">
        <v>4578</v>
      </c>
      <c r="F1912" s="3" t="s">
        <v>4579</v>
      </c>
      <c r="G1912" s="10" t="s">
        <v>4632</v>
      </c>
      <c r="H1912" s="9" t="s">
        <v>13</v>
      </c>
      <c r="I1912" s="9" t="s">
        <v>4633</v>
      </c>
    </row>
    <row r="1913" customFormat="false" ht="15.75" hidden="false" customHeight="false" outlineLevel="0" collapsed="false">
      <c r="B1913" s="7" t="n">
        <v>46221</v>
      </c>
      <c r="C1913" s="3" t="s">
        <v>4634</v>
      </c>
      <c r="D1913" s="3" t="s">
        <v>4014</v>
      </c>
      <c r="E1913" s="3" t="s">
        <v>4578</v>
      </c>
      <c r="F1913" s="3" t="s">
        <v>4579</v>
      </c>
      <c r="G1913" s="10" t="s">
        <v>4635</v>
      </c>
      <c r="H1913" s="9" t="s">
        <v>13</v>
      </c>
      <c r="I1913" s="9" t="s">
        <v>4636</v>
      </c>
    </row>
    <row r="1914" customFormat="false" ht="15.75" hidden="false" customHeight="false" outlineLevel="0" collapsed="false">
      <c r="B1914" s="7" t="n">
        <v>46221</v>
      </c>
      <c r="C1914" s="3" t="s">
        <v>4637</v>
      </c>
      <c r="D1914" s="3" t="s">
        <v>4014</v>
      </c>
      <c r="E1914" s="3" t="s">
        <v>4578</v>
      </c>
      <c r="F1914" s="3" t="s">
        <v>4579</v>
      </c>
      <c r="G1914" s="10" t="s">
        <v>4638</v>
      </c>
      <c r="H1914" s="9" t="s">
        <v>13</v>
      </c>
      <c r="I1914" s="9" t="s">
        <v>4639</v>
      </c>
    </row>
    <row r="1915" customFormat="false" ht="15.75" hidden="false" customHeight="false" outlineLevel="0" collapsed="false">
      <c r="B1915" s="7" t="n">
        <v>46221</v>
      </c>
      <c r="C1915" s="3" t="s">
        <v>4640</v>
      </c>
      <c r="D1915" s="3" t="s">
        <v>4014</v>
      </c>
      <c r="E1915" s="3" t="s">
        <v>4578</v>
      </c>
      <c r="F1915" s="3" t="s">
        <v>4579</v>
      </c>
      <c r="G1915" s="10" t="s">
        <v>4638</v>
      </c>
      <c r="H1915" s="9" t="s">
        <v>13</v>
      </c>
      <c r="I1915" s="9" t="s">
        <v>4639</v>
      </c>
    </row>
    <row r="1916" customFormat="false" ht="15.75" hidden="false" customHeight="false" outlineLevel="0" collapsed="false">
      <c r="B1916" s="7" t="n">
        <v>46221</v>
      </c>
      <c r="C1916" s="3" t="s">
        <v>4641</v>
      </c>
      <c r="D1916" s="3" t="s">
        <v>4014</v>
      </c>
      <c r="E1916" s="3" t="s">
        <v>4578</v>
      </c>
      <c r="F1916" s="3" t="s">
        <v>4579</v>
      </c>
      <c r="G1916" s="8" t="s">
        <v>4642</v>
      </c>
      <c r="H1916" s="9" t="s">
        <v>13</v>
      </c>
      <c r="I1916" s="9" t="s">
        <v>4643</v>
      </c>
    </row>
    <row r="1917" customFormat="false" ht="15.75" hidden="false" customHeight="false" outlineLevel="0" collapsed="false">
      <c r="B1917" s="7" t="n">
        <v>46221</v>
      </c>
      <c r="C1917" s="3" t="s">
        <v>4644</v>
      </c>
      <c r="D1917" s="3" t="s">
        <v>4014</v>
      </c>
      <c r="E1917" s="3" t="s">
        <v>4578</v>
      </c>
      <c r="F1917" s="3" t="s">
        <v>4579</v>
      </c>
      <c r="G1917" s="10" t="s">
        <v>1275</v>
      </c>
      <c r="H1917" s="9" t="s">
        <v>13</v>
      </c>
      <c r="I1917" s="9" t="s">
        <v>4645</v>
      </c>
    </row>
    <row r="1918" customFormat="false" ht="15.75" hidden="false" customHeight="false" outlineLevel="0" collapsed="false">
      <c r="B1918" s="7" t="n">
        <v>46221</v>
      </c>
      <c r="C1918" s="3" t="s">
        <v>4646</v>
      </c>
      <c r="D1918" s="3" t="s">
        <v>4014</v>
      </c>
      <c r="E1918" s="3" t="s">
        <v>4578</v>
      </c>
      <c r="F1918" s="3" t="s">
        <v>4579</v>
      </c>
      <c r="G1918" s="10" t="s">
        <v>4647</v>
      </c>
      <c r="H1918" s="9" t="s">
        <v>13</v>
      </c>
      <c r="I1918" s="9" t="s">
        <v>4648</v>
      </c>
    </row>
    <row r="1919" customFormat="false" ht="15.75" hidden="false" customHeight="false" outlineLevel="0" collapsed="false">
      <c r="B1919" s="7" t="n">
        <v>46221</v>
      </c>
      <c r="C1919" s="3" t="s">
        <v>4649</v>
      </c>
      <c r="D1919" s="3" t="s">
        <v>4014</v>
      </c>
      <c r="E1919" s="3" t="s">
        <v>4578</v>
      </c>
      <c r="F1919" s="3" t="s">
        <v>4579</v>
      </c>
      <c r="G1919" s="8" t="s">
        <v>4650</v>
      </c>
      <c r="H1919" s="9" t="s">
        <v>13</v>
      </c>
      <c r="I1919" s="9" t="s">
        <v>4651</v>
      </c>
    </row>
    <row r="1920" customFormat="false" ht="15.75" hidden="false" customHeight="false" outlineLevel="0" collapsed="false">
      <c r="B1920" s="7" t="n">
        <v>46221</v>
      </c>
      <c r="C1920" s="3" t="s">
        <v>4652</v>
      </c>
      <c r="D1920" s="3" t="s">
        <v>4014</v>
      </c>
      <c r="E1920" s="3" t="s">
        <v>4578</v>
      </c>
      <c r="F1920" s="3" t="s">
        <v>4579</v>
      </c>
      <c r="G1920" s="10" t="s">
        <v>4653</v>
      </c>
      <c r="H1920" s="9" t="s">
        <v>13</v>
      </c>
      <c r="I1920" s="9" t="s">
        <v>4654</v>
      </c>
    </row>
    <row r="1921" customFormat="false" ht="15.75" hidden="false" customHeight="false" outlineLevel="0" collapsed="false">
      <c r="B1921" s="7" t="n">
        <v>46221</v>
      </c>
      <c r="C1921" s="3" t="s">
        <v>4655</v>
      </c>
      <c r="D1921" s="3" t="s">
        <v>4014</v>
      </c>
      <c r="E1921" s="3" t="s">
        <v>4578</v>
      </c>
      <c r="F1921" s="3" t="s">
        <v>4579</v>
      </c>
      <c r="G1921" s="10" t="s">
        <v>950</v>
      </c>
      <c r="H1921" s="9" t="s">
        <v>13</v>
      </c>
      <c r="I1921" s="9" t="s">
        <v>4656</v>
      </c>
    </row>
    <row r="1922" customFormat="false" ht="15.75" hidden="false" customHeight="false" outlineLevel="0" collapsed="false">
      <c r="B1922" s="7" t="n">
        <v>46221</v>
      </c>
      <c r="C1922" s="3" t="s">
        <v>4657</v>
      </c>
      <c r="D1922" s="3" t="s">
        <v>4014</v>
      </c>
      <c r="E1922" s="3" t="s">
        <v>4578</v>
      </c>
      <c r="F1922" s="3" t="s">
        <v>4579</v>
      </c>
      <c r="G1922" s="10" t="s">
        <v>4658</v>
      </c>
      <c r="H1922" s="9" t="s">
        <v>13</v>
      </c>
      <c r="I1922" s="9" t="s">
        <v>4659</v>
      </c>
    </row>
    <row r="1923" customFormat="false" ht="15.75" hidden="false" customHeight="false" outlineLevel="0" collapsed="false">
      <c r="B1923" s="7" t="n">
        <v>46221</v>
      </c>
      <c r="C1923" s="3" t="s">
        <v>4660</v>
      </c>
      <c r="D1923" s="3" t="s">
        <v>4014</v>
      </c>
      <c r="E1923" s="3" t="s">
        <v>4578</v>
      </c>
      <c r="F1923" s="3" t="s">
        <v>4579</v>
      </c>
      <c r="G1923" s="10" t="s">
        <v>4647</v>
      </c>
      <c r="H1923" s="9" t="s">
        <v>13</v>
      </c>
      <c r="I1923" s="9" t="s">
        <v>4661</v>
      </c>
    </row>
    <row r="1924" customFormat="false" ht="15.75" hidden="false" customHeight="false" outlineLevel="0" collapsed="false">
      <c r="B1924" s="7" t="n">
        <v>46221</v>
      </c>
      <c r="C1924" s="3" t="s">
        <v>4662</v>
      </c>
      <c r="D1924" s="3" t="s">
        <v>4014</v>
      </c>
      <c r="E1924" s="3" t="s">
        <v>4578</v>
      </c>
      <c r="F1924" s="3" t="s">
        <v>4579</v>
      </c>
      <c r="G1924" s="10" t="s">
        <v>4663</v>
      </c>
      <c r="H1924" s="9" t="s">
        <v>13</v>
      </c>
      <c r="I1924" s="9" t="s">
        <v>4664</v>
      </c>
    </row>
    <row r="1925" customFormat="false" ht="15.75" hidden="false" customHeight="false" outlineLevel="0" collapsed="false">
      <c r="B1925" s="7" t="n">
        <v>46221</v>
      </c>
      <c r="C1925" s="3" t="s">
        <v>4665</v>
      </c>
      <c r="D1925" s="3" t="s">
        <v>4014</v>
      </c>
      <c r="E1925" s="3" t="s">
        <v>4578</v>
      </c>
      <c r="F1925" s="3" t="s">
        <v>4579</v>
      </c>
      <c r="G1925" s="10" t="s">
        <v>4666</v>
      </c>
      <c r="H1925" s="9" t="s">
        <v>13</v>
      </c>
      <c r="I1925" s="9" t="s">
        <v>4667</v>
      </c>
    </row>
    <row r="1926" customFormat="false" ht="15.75" hidden="false" customHeight="false" outlineLevel="0" collapsed="false">
      <c r="B1926" s="7" t="n">
        <v>46221</v>
      </c>
      <c r="C1926" s="3" t="s">
        <v>4668</v>
      </c>
      <c r="D1926" s="3" t="s">
        <v>4014</v>
      </c>
      <c r="E1926" s="3" t="s">
        <v>4578</v>
      </c>
      <c r="F1926" s="3" t="s">
        <v>4579</v>
      </c>
      <c r="G1926" s="10" t="s">
        <v>4600</v>
      </c>
      <c r="H1926" s="9" t="s">
        <v>13</v>
      </c>
      <c r="I1926" s="9" t="s">
        <v>4669</v>
      </c>
    </row>
    <row r="1927" customFormat="false" ht="15.75" hidden="false" customHeight="false" outlineLevel="0" collapsed="false">
      <c r="B1927" s="7" t="n">
        <v>46221</v>
      </c>
      <c r="C1927" s="3" t="s">
        <v>4670</v>
      </c>
      <c r="D1927" s="3" t="s">
        <v>4014</v>
      </c>
      <c r="E1927" s="3" t="s">
        <v>4578</v>
      </c>
      <c r="F1927" s="3" t="s">
        <v>4579</v>
      </c>
      <c r="G1927" s="10" t="s">
        <v>4671</v>
      </c>
      <c r="H1927" s="9" t="s">
        <v>13</v>
      </c>
      <c r="I1927" s="9" t="s">
        <v>4672</v>
      </c>
    </row>
    <row r="1928" customFormat="false" ht="15.75" hidden="false" customHeight="false" outlineLevel="0" collapsed="false">
      <c r="B1928" s="7" t="n">
        <v>46221</v>
      </c>
      <c r="C1928" s="3" t="s">
        <v>4673</v>
      </c>
      <c r="D1928" s="3" t="s">
        <v>4014</v>
      </c>
      <c r="E1928" s="3" t="s">
        <v>4578</v>
      </c>
      <c r="F1928" s="3" t="s">
        <v>4674</v>
      </c>
      <c r="G1928" s="10" t="s">
        <v>4675</v>
      </c>
      <c r="H1928" s="9" t="s">
        <v>13</v>
      </c>
      <c r="I1928" s="9" t="s">
        <v>4676</v>
      </c>
    </row>
    <row r="1929" customFormat="false" ht="15.75" hidden="false" customHeight="false" outlineLevel="0" collapsed="false">
      <c r="B1929" s="7" t="n">
        <v>46221</v>
      </c>
      <c r="C1929" s="3" t="s">
        <v>4677</v>
      </c>
      <c r="D1929" s="3" t="s">
        <v>4014</v>
      </c>
      <c r="E1929" s="3" t="s">
        <v>4578</v>
      </c>
      <c r="F1929" s="3" t="s">
        <v>4674</v>
      </c>
      <c r="G1929" s="8" t="s">
        <v>4678</v>
      </c>
      <c r="H1929" s="9" t="s">
        <v>13</v>
      </c>
      <c r="I1929" s="9" t="s">
        <v>4679</v>
      </c>
    </row>
    <row r="1930" customFormat="false" ht="15.75" hidden="false" customHeight="false" outlineLevel="0" collapsed="false">
      <c r="B1930" s="7" t="n">
        <v>46221</v>
      </c>
      <c r="C1930" s="3" t="s">
        <v>4680</v>
      </c>
      <c r="D1930" s="3" t="s">
        <v>4014</v>
      </c>
      <c r="E1930" s="3" t="s">
        <v>4578</v>
      </c>
      <c r="F1930" s="3" t="s">
        <v>4674</v>
      </c>
      <c r="G1930" s="8" t="s">
        <v>4681</v>
      </c>
      <c r="H1930" s="9" t="s">
        <v>13</v>
      </c>
      <c r="I1930" s="9" t="s">
        <v>4682</v>
      </c>
    </row>
    <row r="1931" customFormat="false" ht="15.75" hidden="false" customHeight="false" outlineLevel="0" collapsed="false">
      <c r="B1931" s="7" t="n">
        <v>46221</v>
      </c>
      <c r="C1931" s="3" t="s">
        <v>4683</v>
      </c>
      <c r="D1931" s="3" t="s">
        <v>4014</v>
      </c>
      <c r="E1931" s="3" t="s">
        <v>4578</v>
      </c>
      <c r="F1931" s="3" t="s">
        <v>4674</v>
      </c>
      <c r="G1931" s="8" t="s">
        <v>4681</v>
      </c>
      <c r="H1931" s="9" t="s">
        <v>13</v>
      </c>
      <c r="I1931" s="9" t="s">
        <v>4682</v>
      </c>
    </row>
    <row r="1932" customFormat="false" ht="15.75" hidden="false" customHeight="false" outlineLevel="0" collapsed="false">
      <c r="B1932" s="7" t="n">
        <v>46221</v>
      </c>
      <c r="C1932" s="3" t="s">
        <v>4684</v>
      </c>
      <c r="D1932" s="3" t="s">
        <v>4014</v>
      </c>
      <c r="E1932" s="3" t="s">
        <v>4578</v>
      </c>
      <c r="F1932" s="3" t="s">
        <v>4674</v>
      </c>
      <c r="G1932" s="10" t="s">
        <v>4502</v>
      </c>
      <c r="H1932" s="9" t="s">
        <v>13</v>
      </c>
      <c r="I1932" s="9" t="s">
        <v>4685</v>
      </c>
    </row>
    <row r="1933" customFormat="false" ht="15.75" hidden="false" customHeight="false" outlineLevel="0" collapsed="false">
      <c r="B1933" s="7" t="n">
        <v>46221</v>
      </c>
      <c r="C1933" s="3" t="s">
        <v>4686</v>
      </c>
      <c r="D1933" s="3" t="s">
        <v>4014</v>
      </c>
      <c r="E1933" s="3" t="s">
        <v>4578</v>
      </c>
      <c r="F1933" s="3" t="s">
        <v>4674</v>
      </c>
      <c r="G1933" s="10" t="s">
        <v>4687</v>
      </c>
      <c r="H1933" s="9" t="s">
        <v>13</v>
      </c>
      <c r="I1933" s="9" t="s">
        <v>4688</v>
      </c>
    </row>
    <row r="1934" customFormat="false" ht="15.75" hidden="false" customHeight="false" outlineLevel="0" collapsed="false">
      <c r="B1934" s="7" t="n">
        <v>46221</v>
      </c>
      <c r="C1934" s="3" t="s">
        <v>4689</v>
      </c>
      <c r="D1934" s="3" t="s">
        <v>4014</v>
      </c>
      <c r="E1934" s="3" t="s">
        <v>4578</v>
      </c>
      <c r="F1934" s="3" t="s">
        <v>4674</v>
      </c>
      <c r="G1934" s="10" t="s">
        <v>4687</v>
      </c>
      <c r="H1934" s="9" t="s">
        <v>13</v>
      </c>
      <c r="I1934" s="9" t="s">
        <v>4688</v>
      </c>
    </row>
    <row r="1935" customFormat="false" ht="15.75" hidden="false" customHeight="false" outlineLevel="0" collapsed="false">
      <c r="B1935" s="7" t="n">
        <v>46221</v>
      </c>
      <c r="C1935" s="3" t="s">
        <v>4690</v>
      </c>
      <c r="D1935" s="3" t="s">
        <v>4014</v>
      </c>
      <c r="E1935" s="3" t="s">
        <v>4578</v>
      </c>
      <c r="F1935" s="3" t="s">
        <v>4674</v>
      </c>
      <c r="G1935" s="8" t="s">
        <v>4691</v>
      </c>
      <c r="H1935" s="9" t="s">
        <v>13</v>
      </c>
      <c r="I1935" s="9" t="s">
        <v>4692</v>
      </c>
    </row>
    <row r="1936" customFormat="false" ht="15.75" hidden="false" customHeight="false" outlineLevel="0" collapsed="false">
      <c r="B1936" s="7" t="n">
        <v>46221</v>
      </c>
      <c r="C1936" s="3" t="s">
        <v>4693</v>
      </c>
      <c r="D1936" s="3" t="s">
        <v>4014</v>
      </c>
      <c r="E1936" s="3" t="s">
        <v>4578</v>
      </c>
      <c r="F1936" s="3" t="s">
        <v>4674</v>
      </c>
      <c r="G1936" s="10" t="s">
        <v>4694</v>
      </c>
      <c r="H1936" s="9" t="s">
        <v>13</v>
      </c>
      <c r="I1936" s="9" t="s">
        <v>4695</v>
      </c>
    </row>
    <row r="1937" customFormat="false" ht="15.75" hidden="false" customHeight="false" outlineLevel="0" collapsed="false">
      <c r="B1937" s="7" t="n">
        <v>46221</v>
      </c>
      <c r="C1937" s="3" t="s">
        <v>4696</v>
      </c>
      <c r="D1937" s="3" t="s">
        <v>4014</v>
      </c>
      <c r="E1937" s="3" t="s">
        <v>4578</v>
      </c>
      <c r="F1937" s="3" t="s">
        <v>4674</v>
      </c>
      <c r="G1937" s="10" t="s">
        <v>4675</v>
      </c>
      <c r="H1937" s="9" t="s">
        <v>13</v>
      </c>
      <c r="I1937" s="9" t="s">
        <v>4697</v>
      </c>
    </row>
    <row r="1938" customFormat="false" ht="15.75" hidden="false" customHeight="false" outlineLevel="0" collapsed="false">
      <c r="B1938" s="7" t="n">
        <v>46221</v>
      </c>
      <c r="C1938" s="3" t="s">
        <v>4698</v>
      </c>
      <c r="D1938" s="3" t="s">
        <v>4014</v>
      </c>
      <c r="E1938" s="3" t="s">
        <v>4578</v>
      </c>
      <c r="F1938" s="3" t="s">
        <v>4674</v>
      </c>
      <c r="G1938" s="10" t="s">
        <v>4699</v>
      </c>
      <c r="H1938" s="9" t="s">
        <v>13</v>
      </c>
      <c r="I1938" s="9" t="s">
        <v>4700</v>
      </c>
    </row>
    <row r="1939" customFormat="false" ht="15.75" hidden="false" customHeight="false" outlineLevel="0" collapsed="false">
      <c r="B1939" s="7" t="n">
        <v>46221</v>
      </c>
      <c r="C1939" s="3" t="s">
        <v>4701</v>
      </c>
      <c r="D1939" s="3" t="s">
        <v>4014</v>
      </c>
      <c r="E1939" s="3" t="s">
        <v>4578</v>
      </c>
      <c r="F1939" s="3" t="s">
        <v>4674</v>
      </c>
      <c r="G1939" s="10" t="s">
        <v>4702</v>
      </c>
      <c r="H1939" s="9" t="s">
        <v>13</v>
      </c>
      <c r="I1939" s="9" t="s">
        <v>4703</v>
      </c>
    </row>
    <row r="1940" customFormat="false" ht="15.75" hidden="false" customHeight="false" outlineLevel="0" collapsed="false">
      <c r="B1940" s="7" t="n">
        <v>46221</v>
      </c>
      <c r="C1940" s="3" t="s">
        <v>4704</v>
      </c>
      <c r="D1940" s="3" t="s">
        <v>4014</v>
      </c>
      <c r="E1940" s="3" t="s">
        <v>4578</v>
      </c>
      <c r="F1940" s="3" t="s">
        <v>4674</v>
      </c>
      <c r="G1940" s="10" t="s">
        <v>4705</v>
      </c>
      <c r="H1940" s="9" t="s">
        <v>13</v>
      </c>
      <c r="I1940" s="9" t="s">
        <v>4706</v>
      </c>
    </row>
    <row r="1941" customFormat="false" ht="15.75" hidden="false" customHeight="false" outlineLevel="0" collapsed="false">
      <c r="B1941" s="7" t="n">
        <v>46221</v>
      </c>
      <c r="C1941" s="3" t="s">
        <v>4707</v>
      </c>
      <c r="D1941" s="3" t="s">
        <v>4014</v>
      </c>
      <c r="E1941" s="3" t="s">
        <v>4578</v>
      </c>
      <c r="F1941" s="3" t="s">
        <v>4674</v>
      </c>
      <c r="G1941" s="10" t="s">
        <v>4708</v>
      </c>
      <c r="H1941" s="9" t="s">
        <v>13</v>
      </c>
      <c r="I1941" s="9" t="s">
        <v>4709</v>
      </c>
    </row>
    <row r="1942" customFormat="false" ht="15.75" hidden="false" customHeight="false" outlineLevel="0" collapsed="false">
      <c r="B1942" s="7" t="n">
        <v>46221</v>
      </c>
      <c r="C1942" s="3" t="s">
        <v>4710</v>
      </c>
      <c r="D1942" s="3" t="s">
        <v>4014</v>
      </c>
      <c r="E1942" s="3" t="s">
        <v>4578</v>
      </c>
      <c r="F1942" s="3" t="s">
        <v>4674</v>
      </c>
      <c r="G1942" s="10" t="s">
        <v>4711</v>
      </c>
      <c r="H1942" s="9" t="s">
        <v>13</v>
      </c>
      <c r="I1942" s="9" t="s">
        <v>4712</v>
      </c>
    </row>
    <row r="1943" customFormat="false" ht="15.75" hidden="false" customHeight="false" outlineLevel="0" collapsed="false">
      <c r="B1943" s="7" t="n">
        <v>46221</v>
      </c>
      <c r="C1943" s="3" t="s">
        <v>4713</v>
      </c>
      <c r="D1943" s="3" t="s">
        <v>4014</v>
      </c>
      <c r="E1943" s="3" t="s">
        <v>4578</v>
      </c>
      <c r="F1943" s="3" t="s">
        <v>4674</v>
      </c>
      <c r="G1943" s="8" t="s">
        <v>4714</v>
      </c>
      <c r="H1943" s="9" t="s">
        <v>13</v>
      </c>
      <c r="I1943" s="9" t="s">
        <v>4715</v>
      </c>
    </row>
    <row r="1944" customFormat="false" ht="15.75" hidden="false" customHeight="false" outlineLevel="0" collapsed="false">
      <c r="B1944" s="7" t="n">
        <v>46221</v>
      </c>
      <c r="C1944" s="3" t="s">
        <v>4716</v>
      </c>
      <c r="D1944" s="3" t="s">
        <v>4014</v>
      </c>
      <c r="E1944" s="3" t="s">
        <v>4578</v>
      </c>
      <c r="F1944" s="3" t="s">
        <v>4674</v>
      </c>
      <c r="G1944" s="10" t="s">
        <v>4717</v>
      </c>
      <c r="H1944" s="9" t="s">
        <v>13</v>
      </c>
      <c r="I1944" s="9" t="s">
        <v>4718</v>
      </c>
    </row>
    <row r="1945" customFormat="false" ht="15.75" hidden="false" customHeight="false" outlineLevel="0" collapsed="false">
      <c r="B1945" s="7" t="n">
        <v>46221</v>
      </c>
      <c r="C1945" s="3" t="s">
        <v>4719</v>
      </c>
      <c r="D1945" s="3" t="s">
        <v>4014</v>
      </c>
      <c r="E1945" s="3" t="s">
        <v>4578</v>
      </c>
      <c r="F1945" s="3" t="s">
        <v>4674</v>
      </c>
      <c r="G1945" s="10" t="s">
        <v>4720</v>
      </c>
      <c r="H1945" s="9" t="s">
        <v>13</v>
      </c>
      <c r="I1945" s="9" t="s">
        <v>4721</v>
      </c>
    </row>
    <row r="1946" customFormat="false" ht="15.75" hidden="false" customHeight="false" outlineLevel="0" collapsed="false">
      <c r="B1946" s="7" t="n">
        <v>46221</v>
      </c>
      <c r="C1946" s="3" t="s">
        <v>4722</v>
      </c>
      <c r="D1946" s="3" t="s">
        <v>4014</v>
      </c>
      <c r="E1946" s="3" t="s">
        <v>4578</v>
      </c>
      <c r="F1946" s="3" t="s">
        <v>4674</v>
      </c>
      <c r="G1946" s="10" t="s">
        <v>4720</v>
      </c>
      <c r="H1946" s="9" t="s">
        <v>13</v>
      </c>
      <c r="I1946" s="9" t="s">
        <v>4721</v>
      </c>
    </row>
    <row r="1947" customFormat="false" ht="15.75" hidden="false" customHeight="false" outlineLevel="0" collapsed="false">
      <c r="B1947" s="7" t="n">
        <v>46221</v>
      </c>
      <c r="C1947" s="3" t="s">
        <v>4723</v>
      </c>
      <c r="D1947" s="3" t="s">
        <v>4014</v>
      </c>
      <c r="E1947" s="3" t="s">
        <v>4578</v>
      </c>
      <c r="F1947" s="3" t="s">
        <v>4674</v>
      </c>
      <c r="G1947" s="10" t="s">
        <v>4724</v>
      </c>
      <c r="H1947" s="9" t="s">
        <v>13</v>
      </c>
      <c r="I1947" s="9" t="s">
        <v>4725</v>
      </c>
    </row>
    <row r="1948" customFormat="false" ht="15.75" hidden="false" customHeight="false" outlineLevel="0" collapsed="false">
      <c r="B1948" s="7" t="n">
        <v>46221</v>
      </c>
      <c r="C1948" s="3" t="s">
        <v>4726</v>
      </c>
      <c r="D1948" s="3" t="s">
        <v>4014</v>
      </c>
      <c r="E1948" s="3" t="s">
        <v>4578</v>
      </c>
      <c r="F1948" s="3" t="s">
        <v>4674</v>
      </c>
      <c r="G1948" s="8" t="s">
        <v>4727</v>
      </c>
      <c r="H1948" s="9" t="s">
        <v>13</v>
      </c>
      <c r="I1948" s="9" t="s">
        <v>4728</v>
      </c>
    </row>
    <row r="1949" customFormat="false" ht="15.75" hidden="false" customHeight="false" outlineLevel="0" collapsed="false">
      <c r="B1949" s="7" t="n">
        <v>46221</v>
      </c>
      <c r="C1949" s="3" t="s">
        <v>4729</v>
      </c>
      <c r="D1949" s="3" t="s">
        <v>4014</v>
      </c>
      <c r="E1949" s="3" t="s">
        <v>4578</v>
      </c>
      <c r="F1949" s="3" t="s">
        <v>4674</v>
      </c>
      <c r="G1949" s="8" t="s">
        <v>4730</v>
      </c>
      <c r="H1949" s="9" t="s">
        <v>13</v>
      </c>
      <c r="I1949" s="9" t="s">
        <v>4731</v>
      </c>
    </row>
    <row r="1950" customFormat="false" ht="15.75" hidden="false" customHeight="false" outlineLevel="0" collapsed="false">
      <c r="B1950" s="7" t="n">
        <v>46221</v>
      </c>
      <c r="C1950" s="3" t="s">
        <v>4732</v>
      </c>
      <c r="D1950" s="3" t="s">
        <v>4014</v>
      </c>
      <c r="E1950" s="3" t="s">
        <v>4578</v>
      </c>
      <c r="F1950" s="3" t="s">
        <v>4674</v>
      </c>
      <c r="G1950" s="10" t="s">
        <v>4733</v>
      </c>
      <c r="H1950" s="9" t="s">
        <v>13</v>
      </c>
      <c r="I1950" s="9" t="s">
        <v>4734</v>
      </c>
    </row>
    <row r="1951" customFormat="false" ht="15.75" hidden="false" customHeight="false" outlineLevel="0" collapsed="false">
      <c r="B1951" s="7" t="n">
        <v>46221</v>
      </c>
      <c r="C1951" s="3" t="s">
        <v>4735</v>
      </c>
      <c r="D1951" s="3" t="s">
        <v>4014</v>
      </c>
      <c r="E1951" s="3" t="s">
        <v>4578</v>
      </c>
      <c r="F1951" s="3" t="s">
        <v>4674</v>
      </c>
      <c r="G1951" s="10" t="s">
        <v>4733</v>
      </c>
      <c r="H1951" s="9" t="s">
        <v>13</v>
      </c>
      <c r="I1951" s="9" t="s">
        <v>4734</v>
      </c>
    </row>
    <row r="1952" customFormat="false" ht="15.75" hidden="false" customHeight="false" outlineLevel="0" collapsed="false">
      <c r="B1952" s="7" t="n">
        <v>46221</v>
      </c>
      <c r="C1952" s="3" t="s">
        <v>4736</v>
      </c>
      <c r="D1952" s="3" t="s">
        <v>4014</v>
      </c>
      <c r="E1952" s="3" t="s">
        <v>4578</v>
      </c>
      <c r="F1952" s="3" t="s">
        <v>4674</v>
      </c>
      <c r="G1952" s="10" t="s">
        <v>4737</v>
      </c>
      <c r="H1952" s="9" t="s">
        <v>13</v>
      </c>
      <c r="I1952" s="9" t="s">
        <v>4738</v>
      </c>
    </row>
    <row r="1953" customFormat="false" ht="15.75" hidden="false" customHeight="false" outlineLevel="0" collapsed="false">
      <c r="B1953" s="7" t="n">
        <v>46221</v>
      </c>
      <c r="C1953" s="3" t="s">
        <v>4739</v>
      </c>
      <c r="D1953" s="3" t="s">
        <v>4014</v>
      </c>
      <c r="E1953" s="3" t="s">
        <v>4578</v>
      </c>
      <c r="F1953" s="3" t="s">
        <v>4674</v>
      </c>
      <c r="G1953" s="10" t="s">
        <v>4740</v>
      </c>
      <c r="H1953" s="9" t="s">
        <v>13</v>
      </c>
      <c r="I1953" s="9" t="s">
        <v>4741</v>
      </c>
    </row>
    <row r="1954" customFormat="false" ht="15.75" hidden="false" customHeight="false" outlineLevel="0" collapsed="false">
      <c r="B1954" s="7" t="n">
        <v>46221</v>
      </c>
      <c r="C1954" s="3" t="s">
        <v>4742</v>
      </c>
      <c r="D1954" s="3" t="s">
        <v>4014</v>
      </c>
      <c r="E1954" s="3" t="s">
        <v>4578</v>
      </c>
      <c r="F1954" s="3" t="s">
        <v>4674</v>
      </c>
      <c r="G1954" s="10" t="s">
        <v>4740</v>
      </c>
      <c r="H1954" s="9" t="s">
        <v>13</v>
      </c>
      <c r="I1954" s="9" t="s">
        <v>4741</v>
      </c>
    </row>
    <row r="1955" customFormat="false" ht="15.75" hidden="false" customHeight="false" outlineLevel="0" collapsed="false">
      <c r="B1955" s="7" t="n">
        <v>46221</v>
      </c>
      <c r="C1955" s="3" t="s">
        <v>4743</v>
      </c>
      <c r="D1955" s="3" t="s">
        <v>4014</v>
      </c>
      <c r="E1955" s="3" t="s">
        <v>4578</v>
      </c>
      <c r="F1955" s="3" t="s">
        <v>4674</v>
      </c>
      <c r="G1955" s="8" t="s">
        <v>3640</v>
      </c>
      <c r="H1955" s="9" t="s">
        <v>13</v>
      </c>
      <c r="I1955" s="9" t="s">
        <v>4744</v>
      </c>
    </row>
    <row r="1956" customFormat="false" ht="15.75" hidden="false" customHeight="false" outlineLevel="0" collapsed="false">
      <c r="B1956" s="7" t="n">
        <v>46221</v>
      </c>
      <c r="C1956" s="3" t="s">
        <v>4745</v>
      </c>
      <c r="D1956" s="3" t="s">
        <v>4014</v>
      </c>
      <c r="E1956" s="3" t="s">
        <v>4578</v>
      </c>
      <c r="F1956" s="3" t="s">
        <v>4674</v>
      </c>
      <c r="G1956" s="10" t="s">
        <v>4746</v>
      </c>
      <c r="H1956" s="9" t="s">
        <v>13</v>
      </c>
      <c r="I1956" s="9" t="s">
        <v>4747</v>
      </c>
    </row>
    <row r="1957" customFormat="false" ht="15.75" hidden="false" customHeight="false" outlineLevel="0" collapsed="false">
      <c r="B1957" s="7" t="n">
        <v>46221</v>
      </c>
      <c r="C1957" s="3" t="s">
        <v>4748</v>
      </c>
      <c r="D1957" s="3" t="s">
        <v>4014</v>
      </c>
      <c r="E1957" s="3" t="s">
        <v>4578</v>
      </c>
      <c r="F1957" s="3" t="s">
        <v>4674</v>
      </c>
      <c r="G1957" s="8" t="s">
        <v>4749</v>
      </c>
      <c r="H1957" s="9" t="s">
        <v>13</v>
      </c>
      <c r="I1957" s="9" t="s">
        <v>4750</v>
      </c>
    </row>
    <row r="1958" customFormat="false" ht="15.75" hidden="false" customHeight="false" outlineLevel="0" collapsed="false">
      <c r="B1958" s="7" t="n">
        <v>46221</v>
      </c>
      <c r="C1958" s="3" t="s">
        <v>4751</v>
      </c>
      <c r="D1958" s="3" t="s">
        <v>4014</v>
      </c>
      <c r="E1958" s="3" t="s">
        <v>4578</v>
      </c>
      <c r="F1958" s="3" t="s">
        <v>4674</v>
      </c>
      <c r="G1958" s="10" t="s">
        <v>4752</v>
      </c>
      <c r="H1958" s="9" t="s">
        <v>13</v>
      </c>
      <c r="I1958" s="9" t="s">
        <v>4753</v>
      </c>
    </row>
    <row r="1959" customFormat="false" ht="15.75" hidden="false" customHeight="false" outlineLevel="0" collapsed="false">
      <c r="B1959" s="7" t="n">
        <v>46221</v>
      </c>
      <c r="C1959" s="3" t="s">
        <v>4754</v>
      </c>
      <c r="D1959" s="3" t="s">
        <v>4014</v>
      </c>
      <c r="E1959" s="3" t="s">
        <v>4578</v>
      </c>
      <c r="F1959" s="3" t="s">
        <v>4674</v>
      </c>
      <c r="G1959" s="10" t="s">
        <v>4755</v>
      </c>
      <c r="H1959" s="9" t="s">
        <v>13</v>
      </c>
      <c r="I1959" s="9" t="s">
        <v>4756</v>
      </c>
    </row>
    <row r="1960" customFormat="false" ht="15.75" hidden="false" customHeight="false" outlineLevel="0" collapsed="false">
      <c r="B1960" s="7" t="n">
        <v>46221</v>
      </c>
      <c r="C1960" s="3" t="s">
        <v>4757</v>
      </c>
      <c r="D1960" s="3" t="s">
        <v>4014</v>
      </c>
      <c r="E1960" s="3" t="s">
        <v>4578</v>
      </c>
      <c r="F1960" s="3" t="s">
        <v>4674</v>
      </c>
      <c r="G1960" s="10" t="s">
        <v>4758</v>
      </c>
      <c r="H1960" s="9" t="s">
        <v>13</v>
      </c>
      <c r="I1960" s="9" t="s">
        <v>4759</v>
      </c>
    </row>
    <row r="1961" customFormat="false" ht="15.75" hidden="false" customHeight="false" outlineLevel="0" collapsed="false">
      <c r="B1961" s="7" t="n">
        <v>46221</v>
      </c>
      <c r="C1961" s="3" t="s">
        <v>4760</v>
      </c>
      <c r="D1961" s="3" t="s">
        <v>4014</v>
      </c>
      <c r="E1961" s="3" t="s">
        <v>4578</v>
      </c>
      <c r="F1961" s="3" t="s">
        <v>4674</v>
      </c>
      <c r="G1961" s="10" t="s">
        <v>4761</v>
      </c>
      <c r="H1961" s="9" t="s">
        <v>13</v>
      </c>
      <c r="I1961" s="9" t="s">
        <v>4762</v>
      </c>
    </row>
    <row r="1962" customFormat="false" ht="15.75" hidden="false" customHeight="false" outlineLevel="0" collapsed="false">
      <c r="B1962" s="7" t="n">
        <v>46221</v>
      </c>
      <c r="C1962" s="3" t="s">
        <v>4763</v>
      </c>
      <c r="D1962" s="3" t="s">
        <v>4014</v>
      </c>
      <c r="E1962" s="3" t="s">
        <v>4578</v>
      </c>
      <c r="F1962" s="3" t="s">
        <v>4674</v>
      </c>
      <c r="G1962" s="10" t="s">
        <v>1583</v>
      </c>
      <c r="H1962" s="9" t="s">
        <v>13</v>
      </c>
      <c r="I1962" s="9" t="s">
        <v>4764</v>
      </c>
    </row>
    <row r="1963" customFormat="false" ht="15.75" hidden="false" customHeight="false" outlineLevel="0" collapsed="false">
      <c r="B1963" s="7" t="n">
        <v>46221</v>
      </c>
      <c r="C1963" s="3" t="s">
        <v>4765</v>
      </c>
      <c r="D1963" s="3" t="s">
        <v>4014</v>
      </c>
      <c r="E1963" s="3" t="s">
        <v>4578</v>
      </c>
      <c r="F1963" s="3" t="s">
        <v>4766</v>
      </c>
      <c r="G1963" s="10" t="s">
        <v>4767</v>
      </c>
      <c r="H1963" s="9" t="s">
        <v>13</v>
      </c>
      <c r="I1963" s="9" t="s">
        <v>4768</v>
      </c>
    </row>
    <row r="1964" customFormat="false" ht="15.75" hidden="false" customHeight="false" outlineLevel="0" collapsed="false">
      <c r="B1964" s="7" t="n">
        <v>46236</v>
      </c>
      <c r="C1964" s="3" t="s">
        <v>4769</v>
      </c>
      <c r="D1964" s="3" t="s">
        <v>4014</v>
      </c>
      <c r="E1964" s="3" t="s">
        <v>4770</v>
      </c>
      <c r="F1964" s="3" t="s">
        <v>4771</v>
      </c>
      <c r="G1964" s="10" t="s">
        <v>4772</v>
      </c>
      <c r="H1964" s="9" t="s">
        <v>13</v>
      </c>
      <c r="I1964" s="9" t="s">
        <v>4773</v>
      </c>
    </row>
    <row r="1965" customFormat="false" ht="15.75" hidden="false" customHeight="false" outlineLevel="0" collapsed="false">
      <c r="B1965" s="7" t="n">
        <v>46236</v>
      </c>
      <c r="C1965" s="3" t="s">
        <v>4774</v>
      </c>
      <c r="D1965" s="3" t="s">
        <v>4014</v>
      </c>
      <c r="E1965" s="3" t="s">
        <v>4770</v>
      </c>
      <c r="F1965" s="3" t="s">
        <v>4771</v>
      </c>
      <c r="G1965" s="10" t="s">
        <v>4775</v>
      </c>
      <c r="H1965" s="9" t="s">
        <v>13</v>
      </c>
      <c r="I1965" s="9" t="s">
        <v>4776</v>
      </c>
    </row>
    <row r="1966" customFormat="false" ht="15.75" hidden="false" customHeight="false" outlineLevel="0" collapsed="false">
      <c r="B1966" s="7" t="n">
        <v>46236</v>
      </c>
      <c r="C1966" s="3" t="s">
        <v>4777</v>
      </c>
      <c r="D1966" s="3" t="s">
        <v>4014</v>
      </c>
      <c r="E1966" s="3" t="s">
        <v>4770</v>
      </c>
      <c r="F1966" s="3" t="s">
        <v>4771</v>
      </c>
      <c r="G1966" s="10" t="s">
        <v>4775</v>
      </c>
      <c r="H1966" s="9" t="s">
        <v>13</v>
      </c>
      <c r="I1966" s="9" t="s">
        <v>4778</v>
      </c>
    </row>
    <row r="1967" customFormat="false" ht="15.75" hidden="false" customHeight="false" outlineLevel="0" collapsed="false">
      <c r="B1967" s="7" t="n">
        <v>46221</v>
      </c>
      <c r="C1967" s="3" t="s">
        <v>4779</v>
      </c>
      <c r="D1967" s="3" t="s">
        <v>4014</v>
      </c>
      <c r="E1967" s="3" t="s">
        <v>4578</v>
      </c>
      <c r="F1967" s="3" t="s">
        <v>4766</v>
      </c>
      <c r="G1967" s="10" t="s">
        <v>4780</v>
      </c>
      <c r="H1967" s="9" t="s">
        <v>13</v>
      </c>
      <c r="I1967" s="9" t="s">
        <v>4781</v>
      </c>
    </row>
    <row r="1968" customFormat="false" ht="15.75" hidden="false" customHeight="false" outlineLevel="0" collapsed="false">
      <c r="B1968" s="7" t="n">
        <v>46236</v>
      </c>
      <c r="C1968" s="3" t="s">
        <v>4782</v>
      </c>
      <c r="D1968" s="3" t="s">
        <v>4014</v>
      </c>
      <c r="E1968" s="3" t="s">
        <v>4770</v>
      </c>
      <c r="F1968" s="3" t="s">
        <v>4771</v>
      </c>
      <c r="G1968" s="10" t="s">
        <v>4772</v>
      </c>
      <c r="H1968" s="9" t="s">
        <v>13</v>
      </c>
      <c r="I1968" s="9" t="s">
        <v>4783</v>
      </c>
    </row>
    <row r="1969" customFormat="false" ht="15.75" hidden="false" customHeight="false" outlineLevel="0" collapsed="false">
      <c r="B1969" s="7" t="n">
        <v>46236</v>
      </c>
      <c r="C1969" s="3" t="s">
        <v>4784</v>
      </c>
      <c r="D1969" s="3" t="s">
        <v>4014</v>
      </c>
      <c r="E1969" s="3" t="s">
        <v>4770</v>
      </c>
      <c r="F1969" s="3" t="s">
        <v>4771</v>
      </c>
      <c r="G1969" s="10" t="s">
        <v>4772</v>
      </c>
      <c r="H1969" s="9" t="s">
        <v>13</v>
      </c>
      <c r="I1969" s="9" t="s">
        <v>4783</v>
      </c>
    </row>
    <row r="1970" customFormat="false" ht="15.75" hidden="false" customHeight="false" outlineLevel="0" collapsed="false">
      <c r="B1970" s="7" t="n">
        <v>46236</v>
      </c>
      <c r="C1970" s="3" t="s">
        <v>4785</v>
      </c>
      <c r="D1970" s="3" t="s">
        <v>4014</v>
      </c>
      <c r="E1970" s="3" t="s">
        <v>4770</v>
      </c>
      <c r="F1970" s="3" t="s">
        <v>4771</v>
      </c>
      <c r="G1970" s="10" t="s">
        <v>4786</v>
      </c>
      <c r="H1970" s="9" t="s">
        <v>13</v>
      </c>
      <c r="I1970" s="9" t="s">
        <v>4787</v>
      </c>
    </row>
    <row r="1971" customFormat="false" ht="15.75" hidden="false" customHeight="false" outlineLevel="0" collapsed="false">
      <c r="B1971" s="7" t="n">
        <v>46221</v>
      </c>
      <c r="C1971" s="3" t="s">
        <v>4788</v>
      </c>
      <c r="D1971" s="3" t="s">
        <v>4014</v>
      </c>
      <c r="E1971" s="3" t="s">
        <v>4578</v>
      </c>
      <c r="F1971" s="3" t="s">
        <v>4766</v>
      </c>
      <c r="G1971" s="10" t="s">
        <v>4789</v>
      </c>
      <c r="H1971" s="9" t="s">
        <v>13</v>
      </c>
      <c r="I1971" s="9" t="s">
        <v>4790</v>
      </c>
    </row>
    <row r="1972" customFormat="false" ht="15.75" hidden="false" customHeight="false" outlineLevel="0" collapsed="false">
      <c r="B1972" s="7" t="n">
        <v>46221</v>
      </c>
      <c r="C1972" s="3" t="s">
        <v>4791</v>
      </c>
      <c r="D1972" s="3" t="s">
        <v>4014</v>
      </c>
      <c r="E1972" s="3" t="s">
        <v>4578</v>
      </c>
      <c r="F1972" s="3" t="s">
        <v>4766</v>
      </c>
      <c r="G1972" s="10" t="s">
        <v>4792</v>
      </c>
      <c r="H1972" s="9" t="s">
        <v>13</v>
      </c>
      <c r="I1972" s="9" t="s">
        <v>4793</v>
      </c>
    </row>
    <row r="1973" customFormat="false" ht="15.75" hidden="false" customHeight="false" outlineLevel="0" collapsed="false">
      <c r="B1973" s="7" t="n">
        <v>46221</v>
      </c>
      <c r="C1973" s="3" t="s">
        <v>4794</v>
      </c>
      <c r="D1973" s="3" t="s">
        <v>4014</v>
      </c>
      <c r="E1973" s="3" t="s">
        <v>4578</v>
      </c>
      <c r="F1973" s="3" t="s">
        <v>4766</v>
      </c>
      <c r="G1973" s="10" t="s">
        <v>4795</v>
      </c>
      <c r="H1973" s="9" t="s">
        <v>13</v>
      </c>
      <c r="I1973" s="9" t="s">
        <v>4796</v>
      </c>
    </row>
    <row r="1974" customFormat="false" ht="15.75" hidden="false" customHeight="false" outlineLevel="0" collapsed="false">
      <c r="B1974" s="7" t="n">
        <v>46221</v>
      </c>
      <c r="C1974" s="3" t="s">
        <v>4797</v>
      </c>
      <c r="D1974" s="3" t="s">
        <v>4014</v>
      </c>
      <c r="E1974" s="3" t="s">
        <v>4578</v>
      </c>
      <c r="F1974" s="3" t="s">
        <v>4766</v>
      </c>
      <c r="G1974" s="8" t="s">
        <v>4798</v>
      </c>
      <c r="H1974" s="9" t="s">
        <v>13</v>
      </c>
      <c r="I1974" s="9" t="s">
        <v>4799</v>
      </c>
    </row>
    <row r="1975" customFormat="false" ht="15.75" hidden="false" customHeight="false" outlineLevel="0" collapsed="false">
      <c r="B1975" s="7" t="n">
        <v>46221</v>
      </c>
      <c r="C1975" s="3" t="s">
        <v>4800</v>
      </c>
      <c r="D1975" s="3" t="s">
        <v>4014</v>
      </c>
      <c r="E1975" s="3" t="s">
        <v>4578</v>
      </c>
      <c r="F1975" s="3" t="s">
        <v>4766</v>
      </c>
      <c r="G1975" s="10" t="s">
        <v>4801</v>
      </c>
      <c r="H1975" s="9" t="s">
        <v>13</v>
      </c>
      <c r="I1975" s="9" t="s">
        <v>4802</v>
      </c>
    </row>
    <row r="1976" customFormat="false" ht="15.75" hidden="false" customHeight="false" outlineLevel="0" collapsed="false">
      <c r="B1976" s="7" t="n">
        <v>46236</v>
      </c>
      <c r="C1976" s="3" t="s">
        <v>4803</v>
      </c>
      <c r="D1976" s="3" t="s">
        <v>4014</v>
      </c>
      <c r="E1976" s="3" t="s">
        <v>4770</v>
      </c>
      <c r="F1976" s="3" t="s">
        <v>4771</v>
      </c>
      <c r="G1976" s="10" t="s">
        <v>4804</v>
      </c>
      <c r="H1976" s="9" t="s">
        <v>13</v>
      </c>
      <c r="I1976" s="9" t="s">
        <v>4805</v>
      </c>
    </row>
    <row r="1977" customFormat="false" ht="15.75" hidden="false" customHeight="false" outlineLevel="0" collapsed="false">
      <c r="B1977" s="7" t="n">
        <v>46236</v>
      </c>
      <c r="C1977" s="3" t="s">
        <v>4806</v>
      </c>
      <c r="D1977" s="3" t="s">
        <v>4014</v>
      </c>
      <c r="E1977" s="3" t="s">
        <v>4770</v>
      </c>
      <c r="F1977" s="3" t="s">
        <v>4771</v>
      </c>
      <c r="G1977" s="10" t="s">
        <v>4807</v>
      </c>
      <c r="H1977" s="9" t="s">
        <v>13</v>
      </c>
      <c r="I1977" s="9" t="s">
        <v>4808</v>
      </c>
    </row>
    <row r="1978" customFormat="false" ht="15.75" hidden="false" customHeight="false" outlineLevel="0" collapsed="false">
      <c r="B1978" s="7" t="n">
        <v>46236</v>
      </c>
      <c r="C1978" s="3" t="s">
        <v>4809</v>
      </c>
      <c r="D1978" s="3" t="s">
        <v>4014</v>
      </c>
      <c r="E1978" s="3" t="s">
        <v>4770</v>
      </c>
      <c r="F1978" s="3" t="s">
        <v>4771</v>
      </c>
      <c r="G1978" s="10" t="s">
        <v>4807</v>
      </c>
      <c r="H1978" s="9" t="s">
        <v>13</v>
      </c>
      <c r="I1978" s="9" t="s">
        <v>4808</v>
      </c>
    </row>
    <row r="1979" customFormat="false" ht="15.75" hidden="false" customHeight="false" outlineLevel="0" collapsed="false">
      <c r="B1979" s="7" t="n">
        <v>46236</v>
      </c>
      <c r="C1979" s="3" t="s">
        <v>4810</v>
      </c>
      <c r="D1979" s="3" t="s">
        <v>4014</v>
      </c>
      <c r="E1979" s="3" t="s">
        <v>4770</v>
      </c>
      <c r="F1979" s="3" t="s">
        <v>4771</v>
      </c>
      <c r="G1979" s="10" t="s">
        <v>4811</v>
      </c>
      <c r="H1979" s="9" t="s">
        <v>13</v>
      </c>
      <c r="I1979" s="9" t="s">
        <v>4812</v>
      </c>
    </row>
    <row r="1980" customFormat="false" ht="15.75" hidden="false" customHeight="false" outlineLevel="0" collapsed="false">
      <c r="B1980" s="7" t="n">
        <v>46236</v>
      </c>
      <c r="C1980" s="3" t="s">
        <v>4813</v>
      </c>
      <c r="D1980" s="3" t="s">
        <v>4014</v>
      </c>
      <c r="E1980" s="3" t="s">
        <v>4770</v>
      </c>
      <c r="F1980" s="3" t="s">
        <v>4771</v>
      </c>
      <c r="G1980" s="10" t="s">
        <v>4814</v>
      </c>
      <c r="H1980" s="9" t="s">
        <v>13</v>
      </c>
      <c r="I1980" s="9" t="s">
        <v>4815</v>
      </c>
    </row>
    <row r="1981" customFormat="false" ht="15.75" hidden="false" customHeight="false" outlineLevel="0" collapsed="false">
      <c r="B1981" s="7" t="n">
        <v>46236</v>
      </c>
      <c r="C1981" s="3" t="s">
        <v>4816</v>
      </c>
      <c r="D1981" s="3" t="s">
        <v>4014</v>
      </c>
      <c r="E1981" s="3" t="s">
        <v>4770</v>
      </c>
      <c r="F1981" s="3" t="s">
        <v>4771</v>
      </c>
      <c r="G1981" s="10" t="s">
        <v>4817</v>
      </c>
      <c r="H1981" s="9" t="s">
        <v>13</v>
      </c>
      <c r="I1981" s="9" t="s">
        <v>4818</v>
      </c>
    </row>
    <row r="1982" customFormat="false" ht="15.75" hidden="false" customHeight="false" outlineLevel="0" collapsed="false">
      <c r="B1982" s="7" t="n">
        <v>46236</v>
      </c>
      <c r="C1982" s="3" t="s">
        <v>4819</v>
      </c>
      <c r="D1982" s="3" t="s">
        <v>4014</v>
      </c>
      <c r="E1982" s="3" t="s">
        <v>4770</v>
      </c>
      <c r="F1982" s="3" t="s">
        <v>4771</v>
      </c>
      <c r="G1982" s="10" t="s">
        <v>4699</v>
      </c>
      <c r="H1982" s="9" t="s">
        <v>13</v>
      </c>
      <c r="I1982" s="9" t="s">
        <v>4820</v>
      </c>
    </row>
    <row r="1983" customFormat="false" ht="15.75" hidden="false" customHeight="false" outlineLevel="0" collapsed="false">
      <c r="B1983" s="7" t="n">
        <v>46221</v>
      </c>
      <c r="C1983" s="3" t="s">
        <v>4821</v>
      </c>
      <c r="D1983" s="3" t="s">
        <v>4014</v>
      </c>
      <c r="E1983" s="3" t="s">
        <v>4578</v>
      </c>
      <c r="F1983" s="3" t="s">
        <v>4766</v>
      </c>
      <c r="G1983" s="10" t="s">
        <v>4822</v>
      </c>
      <c r="H1983" s="9" t="s">
        <v>13</v>
      </c>
      <c r="I1983" s="9" t="s">
        <v>4823</v>
      </c>
    </row>
    <row r="1984" customFormat="false" ht="15.75" hidden="false" customHeight="false" outlineLevel="0" collapsed="false">
      <c r="B1984" s="7" t="n">
        <v>46221</v>
      </c>
      <c r="C1984" s="3" t="s">
        <v>4824</v>
      </c>
      <c r="D1984" s="3" t="s">
        <v>4014</v>
      </c>
      <c r="E1984" s="3" t="s">
        <v>4578</v>
      </c>
      <c r="F1984" s="3" t="s">
        <v>4766</v>
      </c>
      <c r="G1984" s="10" t="s">
        <v>4822</v>
      </c>
      <c r="H1984" s="9" t="s">
        <v>13</v>
      </c>
      <c r="I1984" s="9" t="s">
        <v>4823</v>
      </c>
    </row>
    <row r="1985" customFormat="false" ht="15.75" hidden="false" customHeight="false" outlineLevel="0" collapsed="false">
      <c r="B1985" s="7" t="n">
        <v>46221</v>
      </c>
      <c r="C1985" s="3" t="s">
        <v>4825</v>
      </c>
      <c r="D1985" s="3" t="s">
        <v>4014</v>
      </c>
      <c r="E1985" s="3" t="s">
        <v>4578</v>
      </c>
      <c r="F1985" s="3" t="s">
        <v>4766</v>
      </c>
      <c r="G1985" s="10" t="s">
        <v>4822</v>
      </c>
      <c r="H1985" s="9" t="s">
        <v>13</v>
      </c>
      <c r="I1985" s="9" t="s">
        <v>4823</v>
      </c>
    </row>
    <row r="1986" customFormat="false" ht="15.75" hidden="false" customHeight="false" outlineLevel="0" collapsed="false">
      <c r="B1986" s="7" t="n">
        <v>46221</v>
      </c>
      <c r="C1986" s="3" t="s">
        <v>4826</v>
      </c>
      <c r="D1986" s="3" t="s">
        <v>4014</v>
      </c>
      <c r="E1986" s="3" t="s">
        <v>4578</v>
      </c>
      <c r="F1986" s="3" t="s">
        <v>4766</v>
      </c>
      <c r="G1986" s="10" t="s">
        <v>4822</v>
      </c>
      <c r="H1986" s="9" t="s">
        <v>13</v>
      </c>
      <c r="I1986" s="9" t="s">
        <v>4823</v>
      </c>
    </row>
    <row r="1987" customFormat="false" ht="15.75" hidden="false" customHeight="false" outlineLevel="0" collapsed="false">
      <c r="B1987" s="7" t="n">
        <v>46221</v>
      </c>
      <c r="C1987" s="3" t="s">
        <v>4827</v>
      </c>
      <c r="D1987" s="3" t="s">
        <v>4014</v>
      </c>
      <c r="E1987" s="3" t="s">
        <v>4578</v>
      </c>
      <c r="F1987" s="3" t="s">
        <v>4766</v>
      </c>
      <c r="G1987" s="10" t="s">
        <v>4828</v>
      </c>
      <c r="H1987" s="9" t="s">
        <v>13</v>
      </c>
      <c r="I1987" s="9" t="s">
        <v>4829</v>
      </c>
    </row>
    <row r="1988" customFormat="false" ht="15.75" hidden="false" customHeight="false" outlineLevel="0" collapsed="false">
      <c r="B1988" s="7" t="n">
        <v>46236</v>
      </c>
      <c r="C1988" s="3" t="s">
        <v>4830</v>
      </c>
      <c r="D1988" s="3" t="s">
        <v>4014</v>
      </c>
      <c r="E1988" s="3" t="s">
        <v>4770</v>
      </c>
      <c r="F1988" s="3" t="s">
        <v>4771</v>
      </c>
      <c r="G1988" s="10" t="s">
        <v>4699</v>
      </c>
      <c r="H1988" s="9" t="s">
        <v>13</v>
      </c>
      <c r="I1988" s="9" t="s">
        <v>4820</v>
      </c>
    </row>
    <row r="1989" customFormat="false" ht="15.75" hidden="false" customHeight="false" outlineLevel="0" collapsed="false">
      <c r="B1989" s="7" t="n">
        <v>46236</v>
      </c>
      <c r="C1989" s="3" t="s">
        <v>4831</v>
      </c>
      <c r="D1989" s="3" t="s">
        <v>4014</v>
      </c>
      <c r="E1989" s="3" t="s">
        <v>4770</v>
      </c>
      <c r="F1989" s="3" t="s">
        <v>4771</v>
      </c>
      <c r="G1989" s="8" t="s">
        <v>4832</v>
      </c>
      <c r="H1989" s="9" t="s">
        <v>13</v>
      </c>
      <c r="I1989" s="9" t="s">
        <v>4833</v>
      </c>
    </row>
    <row r="1990" customFormat="false" ht="15.75" hidden="false" customHeight="false" outlineLevel="0" collapsed="false">
      <c r="B1990" s="7" t="n">
        <v>46236</v>
      </c>
      <c r="C1990" s="3" t="s">
        <v>4834</v>
      </c>
      <c r="D1990" s="3" t="s">
        <v>4014</v>
      </c>
      <c r="E1990" s="3" t="s">
        <v>4770</v>
      </c>
      <c r="F1990" s="3" t="s">
        <v>4771</v>
      </c>
      <c r="G1990" s="10" t="s">
        <v>4835</v>
      </c>
      <c r="H1990" s="9" t="s">
        <v>13</v>
      </c>
      <c r="I1990" s="9" t="s">
        <v>4836</v>
      </c>
    </row>
    <row r="1991" customFormat="false" ht="15.75" hidden="false" customHeight="false" outlineLevel="0" collapsed="false">
      <c r="B1991" s="7" t="n">
        <v>46221</v>
      </c>
      <c r="C1991" s="3" t="s">
        <v>4837</v>
      </c>
      <c r="D1991" s="3" t="s">
        <v>4014</v>
      </c>
      <c r="E1991" s="3" t="s">
        <v>4578</v>
      </c>
      <c r="F1991" s="3" t="s">
        <v>4766</v>
      </c>
      <c r="G1991" s="10" t="s">
        <v>4838</v>
      </c>
      <c r="H1991" s="9" t="s">
        <v>13</v>
      </c>
      <c r="I1991" s="9" t="s">
        <v>4839</v>
      </c>
    </row>
    <row r="1992" customFormat="false" ht="15.75" hidden="false" customHeight="false" outlineLevel="0" collapsed="false">
      <c r="B1992" s="7" t="n">
        <v>46236</v>
      </c>
      <c r="C1992" s="3" t="s">
        <v>4840</v>
      </c>
      <c r="D1992" s="3" t="s">
        <v>4014</v>
      </c>
      <c r="E1992" s="3" t="s">
        <v>4770</v>
      </c>
      <c r="F1992" s="3" t="s">
        <v>4771</v>
      </c>
      <c r="G1992" s="10" t="s">
        <v>4841</v>
      </c>
      <c r="H1992" s="9" t="s">
        <v>13</v>
      </c>
      <c r="I1992" s="9" t="s">
        <v>4842</v>
      </c>
    </row>
    <row r="1993" customFormat="false" ht="15.75" hidden="false" customHeight="false" outlineLevel="0" collapsed="false">
      <c r="B1993" s="7" t="n">
        <v>46236</v>
      </c>
      <c r="C1993" s="3" t="s">
        <v>4843</v>
      </c>
      <c r="D1993" s="3" t="s">
        <v>4014</v>
      </c>
      <c r="E1993" s="3" t="s">
        <v>4770</v>
      </c>
      <c r="F1993" s="3" t="s">
        <v>4771</v>
      </c>
      <c r="G1993" s="10" t="s">
        <v>4841</v>
      </c>
      <c r="H1993" s="9" t="s">
        <v>13</v>
      </c>
      <c r="I1993" s="9" t="s">
        <v>4842</v>
      </c>
    </row>
    <row r="1994" customFormat="false" ht="15.75" hidden="false" customHeight="false" outlineLevel="0" collapsed="false">
      <c r="B1994" s="7" t="n">
        <v>46236</v>
      </c>
      <c r="C1994" s="3" t="s">
        <v>4844</v>
      </c>
      <c r="D1994" s="3" t="s">
        <v>4014</v>
      </c>
      <c r="E1994" s="3" t="s">
        <v>4770</v>
      </c>
      <c r="F1994" s="3" t="s">
        <v>4771</v>
      </c>
      <c r="G1994" s="10" t="s">
        <v>4841</v>
      </c>
      <c r="H1994" s="9" t="s">
        <v>13</v>
      </c>
      <c r="I1994" s="9" t="s">
        <v>4842</v>
      </c>
    </row>
    <row r="1995" customFormat="false" ht="15.75" hidden="false" customHeight="false" outlineLevel="0" collapsed="false">
      <c r="B1995" s="7" t="n">
        <v>46221</v>
      </c>
      <c r="C1995" s="3" t="s">
        <v>4845</v>
      </c>
      <c r="D1995" s="3" t="s">
        <v>4014</v>
      </c>
      <c r="E1995" s="3" t="s">
        <v>4578</v>
      </c>
      <c r="F1995" s="3" t="s">
        <v>4766</v>
      </c>
      <c r="G1995" s="10" t="s">
        <v>4838</v>
      </c>
      <c r="H1995" s="9" t="s">
        <v>13</v>
      </c>
      <c r="I1995" s="9" t="s">
        <v>4846</v>
      </c>
    </row>
    <row r="1996" customFormat="false" ht="15.75" hidden="false" customHeight="false" outlineLevel="0" collapsed="false">
      <c r="B1996" s="7" t="n">
        <v>46236</v>
      </c>
      <c r="C1996" s="3" t="s">
        <v>4847</v>
      </c>
      <c r="D1996" s="3" t="s">
        <v>4014</v>
      </c>
      <c r="E1996" s="3" t="s">
        <v>4770</v>
      </c>
      <c r="F1996" s="3" t="s">
        <v>4771</v>
      </c>
      <c r="G1996" s="10" t="s">
        <v>4848</v>
      </c>
      <c r="H1996" s="9" t="s">
        <v>13</v>
      </c>
      <c r="I1996" s="9" t="s">
        <v>4849</v>
      </c>
    </row>
    <row r="1997" customFormat="false" ht="15.75" hidden="false" customHeight="false" outlineLevel="0" collapsed="false">
      <c r="B1997" s="7" t="n">
        <v>46236</v>
      </c>
      <c r="C1997" s="3" t="s">
        <v>4850</v>
      </c>
      <c r="D1997" s="3" t="s">
        <v>4014</v>
      </c>
      <c r="E1997" s="3" t="s">
        <v>4770</v>
      </c>
      <c r="F1997" s="3" t="s">
        <v>4771</v>
      </c>
      <c r="G1997" s="10" t="s">
        <v>4848</v>
      </c>
      <c r="H1997" s="9" t="s">
        <v>13</v>
      </c>
      <c r="I1997" s="9" t="s">
        <v>4849</v>
      </c>
    </row>
    <row r="1998" customFormat="false" ht="15.75" hidden="false" customHeight="false" outlineLevel="0" collapsed="false">
      <c r="B1998" s="7" t="n">
        <v>46221</v>
      </c>
      <c r="C1998" s="3" t="s">
        <v>4851</v>
      </c>
      <c r="D1998" s="3" t="s">
        <v>4014</v>
      </c>
      <c r="E1998" s="3" t="s">
        <v>4852</v>
      </c>
      <c r="F1998" s="3" t="s">
        <v>4853</v>
      </c>
      <c r="G1998" s="8" t="s">
        <v>100</v>
      </c>
      <c r="H1998" s="9" t="s">
        <v>13</v>
      </c>
      <c r="I1998" s="9" t="s">
        <v>4854</v>
      </c>
    </row>
    <row r="1999" customFormat="false" ht="15.75" hidden="false" customHeight="false" outlineLevel="0" collapsed="false">
      <c r="B1999" s="7" t="n">
        <v>46221</v>
      </c>
      <c r="C1999" s="3" t="s">
        <v>4855</v>
      </c>
      <c r="D1999" s="3" t="s">
        <v>4014</v>
      </c>
      <c r="E1999" s="3" t="s">
        <v>4852</v>
      </c>
      <c r="F1999" s="3" t="s">
        <v>4853</v>
      </c>
      <c r="G1999" s="10" t="s">
        <v>4856</v>
      </c>
      <c r="H1999" s="9" t="s">
        <v>13</v>
      </c>
      <c r="I1999" s="9" t="s">
        <v>4857</v>
      </c>
    </row>
    <row r="2000" customFormat="false" ht="15.75" hidden="false" customHeight="false" outlineLevel="0" collapsed="false">
      <c r="B2000" s="7" t="n">
        <v>46221</v>
      </c>
      <c r="C2000" s="3" t="s">
        <v>4858</v>
      </c>
      <c r="D2000" s="3" t="s">
        <v>4014</v>
      </c>
      <c r="E2000" s="3" t="s">
        <v>4852</v>
      </c>
      <c r="F2000" s="3" t="s">
        <v>4853</v>
      </c>
      <c r="G2000" s="10" t="s">
        <v>4856</v>
      </c>
      <c r="H2000" s="9" t="s">
        <v>13</v>
      </c>
      <c r="I2000" s="9" t="s">
        <v>4857</v>
      </c>
    </row>
    <row r="2001" customFormat="false" ht="15.75" hidden="false" customHeight="false" outlineLevel="0" collapsed="false">
      <c r="B2001" s="7" t="n">
        <v>46221</v>
      </c>
      <c r="C2001" s="3" t="s">
        <v>4859</v>
      </c>
      <c r="D2001" s="3" t="s">
        <v>4014</v>
      </c>
      <c r="E2001" s="3" t="s">
        <v>4852</v>
      </c>
      <c r="F2001" s="3" t="s">
        <v>4853</v>
      </c>
      <c r="G2001" s="10" t="s">
        <v>4860</v>
      </c>
      <c r="H2001" s="9" t="s">
        <v>13</v>
      </c>
      <c r="I2001" s="9" t="s">
        <v>4861</v>
      </c>
    </row>
    <row r="2002" customFormat="false" ht="15.75" hidden="false" customHeight="false" outlineLevel="0" collapsed="false">
      <c r="B2002" s="7" t="n">
        <v>46221</v>
      </c>
      <c r="C2002" s="3" t="s">
        <v>4862</v>
      </c>
      <c r="D2002" s="3" t="s">
        <v>4014</v>
      </c>
      <c r="E2002" s="3" t="s">
        <v>4852</v>
      </c>
      <c r="F2002" s="3" t="s">
        <v>4853</v>
      </c>
      <c r="G2002" s="8" t="s">
        <v>4863</v>
      </c>
      <c r="H2002" s="9" t="s">
        <v>13</v>
      </c>
      <c r="I2002" s="9" t="s">
        <v>4864</v>
      </c>
    </row>
    <row r="2003" customFormat="false" ht="15.75" hidden="false" customHeight="false" outlineLevel="0" collapsed="false">
      <c r="B2003" s="7" t="n">
        <v>46221</v>
      </c>
      <c r="C2003" s="3" t="s">
        <v>4865</v>
      </c>
      <c r="D2003" s="3" t="s">
        <v>4014</v>
      </c>
      <c r="E2003" s="3" t="s">
        <v>4852</v>
      </c>
      <c r="F2003" s="3" t="s">
        <v>4853</v>
      </c>
      <c r="G2003" s="8" t="s">
        <v>4863</v>
      </c>
      <c r="H2003" s="9" t="s">
        <v>13</v>
      </c>
      <c r="I2003" s="9" t="s">
        <v>4864</v>
      </c>
    </row>
    <row r="2004" customFormat="false" ht="15.75" hidden="false" customHeight="false" outlineLevel="0" collapsed="false">
      <c r="B2004" s="7" t="n">
        <v>46221</v>
      </c>
      <c r="C2004" s="3" t="s">
        <v>4866</v>
      </c>
      <c r="D2004" s="3" t="s">
        <v>4014</v>
      </c>
      <c r="E2004" s="3" t="s">
        <v>4852</v>
      </c>
      <c r="F2004" s="3" t="s">
        <v>4853</v>
      </c>
      <c r="G2004" s="8" t="s">
        <v>4867</v>
      </c>
      <c r="H2004" s="9" t="s">
        <v>13</v>
      </c>
      <c r="I2004" s="9" t="s">
        <v>4868</v>
      </c>
    </row>
    <row r="2005" customFormat="false" ht="15.75" hidden="false" customHeight="false" outlineLevel="0" collapsed="false">
      <c r="B2005" s="7" t="n">
        <v>46221</v>
      </c>
      <c r="C2005" s="3" t="s">
        <v>4869</v>
      </c>
      <c r="D2005" s="3" t="s">
        <v>4014</v>
      </c>
      <c r="E2005" s="3" t="s">
        <v>4852</v>
      </c>
      <c r="F2005" s="3" t="s">
        <v>4853</v>
      </c>
      <c r="G2005" s="8" t="s">
        <v>4870</v>
      </c>
      <c r="H2005" s="9" t="s">
        <v>13</v>
      </c>
      <c r="I2005" s="9" t="s">
        <v>4871</v>
      </c>
    </row>
    <row r="2006" customFormat="false" ht="15.75" hidden="false" customHeight="false" outlineLevel="0" collapsed="false">
      <c r="B2006" s="7" t="n">
        <v>46221</v>
      </c>
      <c r="C2006" s="3" t="s">
        <v>4872</v>
      </c>
      <c r="D2006" s="3" t="s">
        <v>4014</v>
      </c>
      <c r="E2006" s="3" t="s">
        <v>4852</v>
      </c>
      <c r="F2006" s="3" t="s">
        <v>4853</v>
      </c>
      <c r="G2006" s="8" t="s">
        <v>4870</v>
      </c>
      <c r="H2006" s="9" t="s">
        <v>13</v>
      </c>
      <c r="I2006" s="9" t="s">
        <v>4873</v>
      </c>
    </row>
    <row r="2007" customFormat="false" ht="15.75" hidden="false" customHeight="false" outlineLevel="0" collapsed="false">
      <c r="B2007" s="7" t="n">
        <v>46221</v>
      </c>
      <c r="C2007" s="3" t="s">
        <v>4874</v>
      </c>
      <c r="D2007" s="3" t="s">
        <v>4014</v>
      </c>
      <c r="E2007" s="3" t="s">
        <v>4852</v>
      </c>
      <c r="F2007" s="3" t="s">
        <v>4853</v>
      </c>
      <c r="G2007" s="8" t="s">
        <v>4875</v>
      </c>
      <c r="H2007" s="9" t="s">
        <v>13</v>
      </c>
      <c r="I2007" s="9" t="s">
        <v>4876</v>
      </c>
    </row>
    <row r="2008" customFormat="false" ht="15.75" hidden="false" customHeight="false" outlineLevel="0" collapsed="false">
      <c r="B2008" s="7" t="n">
        <v>46221</v>
      </c>
      <c r="C2008" s="3" t="s">
        <v>4877</v>
      </c>
      <c r="D2008" s="3" t="s">
        <v>4014</v>
      </c>
      <c r="E2008" s="3" t="s">
        <v>4852</v>
      </c>
      <c r="F2008" s="3" t="s">
        <v>4853</v>
      </c>
      <c r="G2008" s="8" t="s">
        <v>4875</v>
      </c>
      <c r="H2008" s="9" t="s">
        <v>13</v>
      </c>
      <c r="I2008" s="9" t="s">
        <v>4876</v>
      </c>
    </row>
    <row r="2009" customFormat="false" ht="15.75" hidden="false" customHeight="false" outlineLevel="0" collapsed="false">
      <c r="B2009" s="7" t="n">
        <v>46221</v>
      </c>
      <c r="C2009" s="3" t="s">
        <v>4878</v>
      </c>
      <c r="D2009" s="3" t="s">
        <v>4014</v>
      </c>
      <c r="E2009" s="3" t="s">
        <v>4852</v>
      </c>
      <c r="F2009" s="3" t="s">
        <v>4853</v>
      </c>
      <c r="G2009" s="8" t="s">
        <v>4875</v>
      </c>
      <c r="H2009" s="9" t="s">
        <v>13</v>
      </c>
      <c r="I2009" s="9" t="s">
        <v>4876</v>
      </c>
    </row>
    <row r="2010" customFormat="false" ht="15.75" hidden="false" customHeight="false" outlineLevel="0" collapsed="false">
      <c r="B2010" s="7" t="n">
        <v>46221</v>
      </c>
      <c r="C2010" s="3" t="s">
        <v>4879</v>
      </c>
      <c r="D2010" s="3" t="s">
        <v>4014</v>
      </c>
      <c r="E2010" s="3" t="s">
        <v>4852</v>
      </c>
      <c r="F2010" s="3" t="s">
        <v>4853</v>
      </c>
      <c r="G2010" s="10" t="s">
        <v>4880</v>
      </c>
      <c r="H2010" s="9" t="s">
        <v>13</v>
      </c>
      <c r="I2010" s="9" t="s">
        <v>4881</v>
      </c>
    </row>
    <row r="2011" customFormat="false" ht="15.75" hidden="false" customHeight="false" outlineLevel="0" collapsed="false">
      <c r="B2011" s="7" t="n">
        <v>46221</v>
      </c>
      <c r="C2011" s="3" t="s">
        <v>4882</v>
      </c>
      <c r="D2011" s="3" t="s">
        <v>4014</v>
      </c>
      <c r="E2011" s="3" t="s">
        <v>4852</v>
      </c>
      <c r="F2011" s="3" t="s">
        <v>4853</v>
      </c>
      <c r="G2011" s="10" t="s">
        <v>4883</v>
      </c>
      <c r="H2011" s="9" t="s">
        <v>13</v>
      </c>
      <c r="I2011" s="9" t="s">
        <v>4884</v>
      </c>
    </row>
    <row r="2012" customFormat="false" ht="15.75" hidden="false" customHeight="false" outlineLevel="0" collapsed="false">
      <c r="B2012" s="7" t="n">
        <v>46221</v>
      </c>
      <c r="C2012" s="3" t="s">
        <v>4885</v>
      </c>
      <c r="D2012" s="3" t="s">
        <v>4014</v>
      </c>
      <c r="E2012" s="3" t="s">
        <v>4852</v>
      </c>
      <c r="F2012" s="3" t="s">
        <v>4853</v>
      </c>
      <c r="G2012" s="10" t="s">
        <v>4883</v>
      </c>
      <c r="H2012" s="9" t="s">
        <v>13</v>
      </c>
      <c r="I2012" s="9" t="s">
        <v>4884</v>
      </c>
    </row>
    <row r="2013" customFormat="false" ht="15.75" hidden="false" customHeight="false" outlineLevel="0" collapsed="false">
      <c r="B2013" s="7" t="n">
        <v>46221</v>
      </c>
      <c r="C2013" s="3" t="s">
        <v>4886</v>
      </c>
      <c r="D2013" s="3" t="s">
        <v>4014</v>
      </c>
      <c r="E2013" s="3" t="s">
        <v>4852</v>
      </c>
      <c r="F2013" s="3" t="s">
        <v>4853</v>
      </c>
      <c r="G2013" s="10" t="s">
        <v>4887</v>
      </c>
      <c r="H2013" s="9" t="s">
        <v>13</v>
      </c>
      <c r="I2013" s="9" t="s">
        <v>4888</v>
      </c>
    </row>
    <row r="2014" customFormat="false" ht="15.75" hidden="false" customHeight="false" outlineLevel="0" collapsed="false">
      <c r="B2014" s="7" t="n">
        <v>46221</v>
      </c>
      <c r="C2014" s="3" t="s">
        <v>4889</v>
      </c>
      <c r="D2014" s="3" t="s">
        <v>4014</v>
      </c>
      <c r="E2014" s="3" t="s">
        <v>4852</v>
      </c>
      <c r="F2014" s="3" t="s">
        <v>4853</v>
      </c>
      <c r="G2014" s="10" t="s">
        <v>4887</v>
      </c>
      <c r="H2014" s="9" t="s">
        <v>13</v>
      </c>
      <c r="I2014" s="9" t="s">
        <v>4890</v>
      </c>
    </row>
    <row r="2015" customFormat="false" ht="15.75" hidden="false" customHeight="false" outlineLevel="0" collapsed="false">
      <c r="B2015" s="7" t="n">
        <v>46221</v>
      </c>
      <c r="C2015" s="3" t="s">
        <v>4891</v>
      </c>
      <c r="D2015" s="3" t="s">
        <v>4014</v>
      </c>
      <c r="E2015" s="3" t="s">
        <v>4852</v>
      </c>
      <c r="F2015" s="3" t="s">
        <v>4853</v>
      </c>
      <c r="G2015" s="10" t="s">
        <v>4883</v>
      </c>
      <c r="H2015" s="9" t="s">
        <v>13</v>
      </c>
      <c r="I2015" s="9" t="s">
        <v>4892</v>
      </c>
    </row>
    <row r="2016" customFormat="false" ht="15.75" hidden="false" customHeight="false" outlineLevel="0" collapsed="false">
      <c r="B2016" s="7" t="n">
        <v>46221</v>
      </c>
      <c r="C2016" s="3" t="s">
        <v>4893</v>
      </c>
      <c r="D2016" s="3" t="s">
        <v>4014</v>
      </c>
      <c r="E2016" s="3" t="s">
        <v>4852</v>
      </c>
      <c r="F2016" s="3" t="s">
        <v>4853</v>
      </c>
      <c r="G2016" s="10" t="s">
        <v>4883</v>
      </c>
      <c r="H2016" s="9" t="s">
        <v>13</v>
      </c>
      <c r="I2016" s="9" t="s">
        <v>4892</v>
      </c>
    </row>
    <row r="2017" customFormat="false" ht="15.75" hidden="false" customHeight="false" outlineLevel="0" collapsed="false">
      <c r="B2017" s="7" t="n">
        <v>46221</v>
      </c>
      <c r="C2017" s="3" t="s">
        <v>4894</v>
      </c>
      <c r="D2017" s="3" t="s">
        <v>4014</v>
      </c>
      <c r="E2017" s="3" t="s">
        <v>4852</v>
      </c>
      <c r="F2017" s="3" t="s">
        <v>4853</v>
      </c>
      <c r="G2017" s="10" t="s">
        <v>4883</v>
      </c>
      <c r="H2017" s="9" t="s">
        <v>13</v>
      </c>
      <c r="I2017" s="9" t="s">
        <v>4892</v>
      </c>
    </row>
    <row r="2018" customFormat="false" ht="15.75" hidden="false" customHeight="false" outlineLevel="0" collapsed="false">
      <c r="B2018" s="7" t="n">
        <v>46221</v>
      </c>
      <c r="C2018" s="3" t="s">
        <v>4895</v>
      </c>
      <c r="D2018" s="3" t="s">
        <v>4014</v>
      </c>
      <c r="E2018" s="3" t="s">
        <v>4852</v>
      </c>
      <c r="F2018" s="3" t="s">
        <v>4853</v>
      </c>
      <c r="G2018" s="10" t="s">
        <v>4896</v>
      </c>
      <c r="H2018" s="9" t="s">
        <v>13</v>
      </c>
      <c r="I2018" s="9" t="s">
        <v>4897</v>
      </c>
    </row>
    <row r="2019" customFormat="false" ht="15.75" hidden="false" customHeight="false" outlineLevel="0" collapsed="false">
      <c r="B2019" s="7" t="n">
        <v>46221</v>
      </c>
      <c r="C2019" s="3" t="s">
        <v>4898</v>
      </c>
      <c r="D2019" s="3" t="s">
        <v>4014</v>
      </c>
      <c r="E2019" s="3" t="s">
        <v>4852</v>
      </c>
      <c r="F2019" s="3" t="s">
        <v>4853</v>
      </c>
      <c r="G2019" s="10" t="s">
        <v>4899</v>
      </c>
      <c r="H2019" s="9" t="s">
        <v>13</v>
      </c>
      <c r="I2019" s="9" t="s">
        <v>4900</v>
      </c>
    </row>
    <row r="2020" customFormat="false" ht="15.75" hidden="false" customHeight="false" outlineLevel="0" collapsed="false">
      <c r="B2020" s="7" t="n">
        <v>46221</v>
      </c>
      <c r="C2020" s="3" t="s">
        <v>4901</v>
      </c>
      <c r="D2020" s="3" t="s">
        <v>4014</v>
      </c>
      <c r="E2020" s="3" t="s">
        <v>4852</v>
      </c>
      <c r="F2020" s="3" t="s">
        <v>4853</v>
      </c>
      <c r="G2020" s="10" t="s">
        <v>4902</v>
      </c>
      <c r="H2020" s="9" t="s">
        <v>13</v>
      </c>
      <c r="I2020" s="9" t="s">
        <v>4903</v>
      </c>
    </row>
    <row r="2021" customFormat="false" ht="15.75" hidden="false" customHeight="false" outlineLevel="0" collapsed="false">
      <c r="B2021" s="7" t="n">
        <v>46221</v>
      </c>
      <c r="C2021" s="3" t="s">
        <v>4904</v>
      </c>
      <c r="D2021" s="3" t="s">
        <v>4014</v>
      </c>
      <c r="E2021" s="3" t="s">
        <v>4852</v>
      </c>
      <c r="F2021" s="3" t="s">
        <v>4853</v>
      </c>
      <c r="G2021" s="10" t="s">
        <v>4902</v>
      </c>
      <c r="H2021" s="9" t="s">
        <v>13</v>
      </c>
      <c r="I2021" s="9" t="s">
        <v>4903</v>
      </c>
    </row>
    <row r="2022" customFormat="false" ht="15.75" hidden="false" customHeight="false" outlineLevel="0" collapsed="false">
      <c r="B2022" s="7" t="n">
        <v>46221</v>
      </c>
      <c r="C2022" s="3" t="s">
        <v>4905</v>
      </c>
      <c r="D2022" s="3" t="s">
        <v>4014</v>
      </c>
      <c r="E2022" s="3" t="s">
        <v>4852</v>
      </c>
      <c r="F2022" s="3" t="s">
        <v>4853</v>
      </c>
      <c r="G2022" s="10" t="s">
        <v>4906</v>
      </c>
      <c r="H2022" s="9" t="s">
        <v>13</v>
      </c>
      <c r="I2022" s="9" t="s">
        <v>4907</v>
      </c>
    </row>
    <row r="2023" customFormat="false" ht="15.75" hidden="false" customHeight="false" outlineLevel="0" collapsed="false">
      <c r="B2023" s="7" t="n">
        <v>46221</v>
      </c>
      <c r="C2023" s="3" t="s">
        <v>4908</v>
      </c>
      <c r="D2023" s="3" t="s">
        <v>4014</v>
      </c>
      <c r="E2023" s="3" t="s">
        <v>4852</v>
      </c>
      <c r="F2023" s="3" t="s">
        <v>4853</v>
      </c>
      <c r="G2023" s="10" t="s">
        <v>4906</v>
      </c>
      <c r="H2023" s="9" t="s">
        <v>13</v>
      </c>
      <c r="I2023" s="9" t="s">
        <v>4907</v>
      </c>
    </row>
    <row r="2024" customFormat="false" ht="15.75" hidden="false" customHeight="false" outlineLevel="0" collapsed="false">
      <c r="B2024" s="7" t="n">
        <v>46221</v>
      </c>
      <c r="C2024" s="3" t="s">
        <v>4909</v>
      </c>
      <c r="D2024" s="3" t="s">
        <v>4014</v>
      </c>
      <c r="E2024" s="3" t="s">
        <v>4852</v>
      </c>
      <c r="F2024" s="3" t="s">
        <v>4853</v>
      </c>
      <c r="G2024" s="10" t="s">
        <v>4887</v>
      </c>
      <c r="H2024" s="9" t="s">
        <v>13</v>
      </c>
      <c r="I2024" s="9" t="s">
        <v>4910</v>
      </c>
    </row>
    <row r="2025" customFormat="false" ht="15.75" hidden="false" customHeight="false" outlineLevel="0" collapsed="false">
      <c r="B2025" s="7" t="n">
        <v>46221</v>
      </c>
      <c r="C2025" s="3" t="s">
        <v>4911</v>
      </c>
      <c r="D2025" s="3" t="s">
        <v>4014</v>
      </c>
      <c r="E2025" s="3" t="s">
        <v>4852</v>
      </c>
      <c r="F2025" s="3" t="s">
        <v>4853</v>
      </c>
      <c r="G2025" s="8" t="s">
        <v>4912</v>
      </c>
      <c r="H2025" s="9" t="s">
        <v>13</v>
      </c>
      <c r="I2025" s="9" t="s">
        <v>4913</v>
      </c>
    </row>
    <row r="2026" customFormat="false" ht="15.75" hidden="false" customHeight="false" outlineLevel="0" collapsed="false">
      <c r="B2026" s="7" t="n">
        <v>46221</v>
      </c>
      <c r="C2026" s="3" t="s">
        <v>4914</v>
      </c>
      <c r="D2026" s="3" t="s">
        <v>4014</v>
      </c>
      <c r="E2026" s="3" t="s">
        <v>4852</v>
      </c>
      <c r="F2026" s="3" t="s">
        <v>4853</v>
      </c>
      <c r="G2026" s="8" t="s">
        <v>4915</v>
      </c>
      <c r="H2026" s="9" t="s">
        <v>13</v>
      </c>
      <c r="I2026" s="9" t="s">
        <v>4916</v>
      </c>
    </row>
    <row r="2027" customFormat="false" ht="15.75" hidden="false" customHeight="false" outlineLevel="0" collapsed="false">
      <c r="B2027" s="7" t="n">
        <v>46221</v>
      </c>
      <c r="C2027" s="3" t="s">
        <v>4917</v>
      </c>
      <c r="D2027" s="3" t="s">
        <v>4014</v>
      </c>
      <c r="E2027" s="3" t="s">
        <v>4852</v>
      </c>
      <c r="F2027" s="3" t="s">
        <v>4853</v>
      </c>
      <c r="G2027" s="10" t="s">
        <v>4918</v>
      </c>
      <c r="H2027" s="9" t="s">
        <v>13</v>
      </c>
      <c r="I2027" s="9" t="s">
        <v>4919</v>
      </c>
    </row>
    <row r="2028" customFormat="false" ht="15.75" hidden="false" customHeight="false" outlineLevel="0" collapsed="false">
      <c r="B2028" s="7" t="n">
        <v>46221</v>
      </c>
      <c r="C2028" s="3" t="s">
        <v>4920</v>
      </c>
      <c r="D2028" s="3" t="s">
        <v>4014</v>
      </c>
      <c r="E2028" s="3" t="s">
        <v>4852</v>
      </c>
      <c r="F2028" s="3" t="s">
        <v>4853</v>
      </c>
      <c r="G2028" s="10" t="s">
        <v>4918</v>
      </c>
      <c r="H2028" s="9" t="s">
        <v>13</v>
      </c>
      <c r="I2028" s="9" t="s">
        <v>4921</v>
      </c>
    </row>
    <row r="2029" customFormat="false" ht="15.75" hidden="false" customHeight="false" outlineLevel="0" collapsed="false">
      <c r="B2029" s="7" t="n">
        <v>46221</v>
      </c>
      <c r="C2029" s="3" t="s">
        <v>4922</v>
      </c>
      <c r="D2029" s="3" t="s">
        <v>4014</v>
      </c>
      <c r="E2029" s="3" t="s">
        <v>4852</v>
      </c>
      <c r="F2029" s="3" t="s">
        <v>4853</v>
      </c>
      <c r="G2029" s="10" t="s">
        <v>4918</v>
      </c>
      <c r="H2029" s="9" t="s">
        <v>13</v>
      </c>
      <c r="I2029" s="9" t="s">
        <v>4923</v>
      </c>
    </row>
    <row r="2030" customFormat="false" ht="15.75" hidden="false" customHeight="false" outlineLevel="0" collapsed="false">
      <c r="B2030" s="7" t="n">
        <v>46221</v>
      </c>
      <c r="C2030" s="3" t="s">
        <v>4924</v>
      </c>
      <c r="D2030" s="3" t="s">
        <v>4014</v>
      </c>
      <c r="E2030" s="3" t="s">
        <v>4852</v>
      </c>
      <c r="F2030" s="3" t="s">
        <v>4853</v>
      </c>
      <c r="G2030" s="10" t="s">
        <v>4925</v>
      </c>
      <c r="H2030" s="9" t="s">
        <v>13</v>
      </c>
      <c r="I2030" s="9" t="s">
        <v>4926</v>
      </c>
    </row>
    <row r="2031" customFormat="false" ht="15.75" hidden="false" customHeight="false" outlineLevel="0" collapsed="false">
      <c r="B2031" s="7" t="n">
        <v>46221</v>
      </c>
      <c r="C2031" s="3" t="s">
        <v>4927</v>
      </c>
      <c r="D2031" s="3" t="s">
        <v>4014</v>
      </c>
      <c r="E2031" s="3" t="s">
        <v>4852</v>
      </c>
      <c r="F2031" s="3" t="s">
        <v>4853</v>
      </c>
      <c r="G2031" s="10" t="s">
        <v>4928</v>
      </c>
      <c r="H2031" s="9" t="s">
        <v>13</v>
      </c>
      <c r="I2031" s="9" t="s">
        <v>4929</v>
      </c>
    </row>
    <row r="2032" customFormat="false" ht="15.75" hidden="false" customHeight="false" outlineLevel="0" collapsed="false">
      <c r="B2032" s="7" t="n">
        <v>46221</v>
      </c>
      <c r="C2032" s="3" t="s">
        <v>4930</v>
      </c>
      <c r="D2032" s="3" t="s">
        <v>4014</v>
      </c>
      <c r="E2032" s="3" t="s">
        <v>4852</v>
      </c>
      <c r="F2032" s="3" t="s">
        <v>4853</v>
      </c>
      <c r="G2032" s="10" t="s">
        <v>2131</v>
      </c>
      <c r="H2032" s="9" t="s">
        <v>13</v>
      </c>
      <c r="I2032" s="9" t="s">
        <v>4931</v>
      </c>
    </row>
    <row r="2033" customFormat="false" ht="15.75" hidden="false" customHeight="false" outlineLevel="0" collapsed="false">
      <c r="B2033" s="7" t="n">
        <v>46236</v>
      </c>
      <c r="C2033" s="3" t="s">
        <v>4932</v>
      </c>
      <c r="D2033" s="3" t="s">
        <v>4014</v>
      </c>
      <c r="E2033" s="3" t="s">
        <v>4770</v>
      </c>
      <c r="F2033" s="3" t="s">
        <v>4771</v>
      </c>
      <c r="G2033" s="10" t="s">
        <v>4811</v>
      </c>
      <c r="H2033" s="9" t="s">
        <v>13</v>
      </c>
      <c r="I2033" s="9" t="s">
        <v>4933</v>
      </c>
    </row>
    <row r="2034" customFormat="false" ht="15.75" hidden="false" customHeight="false" outlineLevel="0" collapsed="false">
      <c r="B2034" s="7" t="n">
        <v>46236</v>
      </c>
      <c r="C2034" s="3" t="s">
        <v>4934</v>
      </c>
      <c r="D2034" s="3" t="s">
        <v>4014</v>
      </c>
      <c r="E2034" s="3" t="s">
        <v>4770</v>
      </c>
      <c r="F2034" s="3" t="s">
        <v>4771</v>
      </c>
      <c r="G2034" s="10" t="s">
        <v>4935</v>
      </c>
      <c r="H2034" s="9" t="s">
        <v>13</v>
      </c>
      <c r="I2034" s="9" t="s">
        <v>4936</v>
      </c>
    </row>
    <row r="2035" customFormat="false" ht="15.75" hidden="false" customHeight="false" outlineLevel="0" collapsed="false">
      <c r="B2035" s="7" t="n">
        <v>46236</v>
      </c>
      <c r="C2035" s="3" t="s">
        <v>4937</v>
      </c>
      <c r="D2035" s="3" t="s">
        <v>4014</v>
      </c>
      <c r="E2035" s="3" t="s">
        <v>4770</v>
      </c>
      <c r="F2035" s="3" t="s">
        <v>4771</v>
      </c>
      <c r="G2035" s="10" t="s">
        <v>4935</v>
      </c>
      <c r="H2035" s="9" t="s">
        <v>13</v>
      </c>
      <c r="I2035" s="9" t="s">
        <v>4938</v>
      </c>
    </row>
    <row r="2036" customFormat="false" ht="15.75" hidden="false" customHeight="false" outlineLevel="0" collapsed="false">
      <c r="B2036" s="7" t="n">
        <v>46236</v>
      </c>
      <c r="C2036" s="3" t="s">
        <v>4939</v>
      </c>
      <c r="D2036" s="3" t="s">
        <v>4014</v>
      </c>
      <c r="E2036" s="3" t="s">
        <v>4770</v>
      </c>
      <c r="F2036" s="3" t="s">
        <v>4771</v>
      </c>
      <c r="G2036" s="10" t="s">
        <v>4940</v>
      </c>
      <c r="H2036" s="9" t="s">
        <v>13</v>
      </c>
      <c r="I2036" s="9" t="s">
        <v>4941</v>
      </c>
    </row>
    <row r="2037" customFormat="false" ht="15.75" hidden="false" customHeight="false" outlineLevel="0" collapsed="false">
      <c r="B2037" s="7" t="n">
        <v>46221</v>
      </c>
      <c r="C2037" s="3" t="s">
        <v>4942</v>
      </c>
      <c r="D2037" s="3" t="s">
        <v>4014</v>
      </c>
      <c r="E2037" s="3" t="s">
        <v>4852</v>
      </c>
      <c r="F2037" s="3" t="s">
        <v>4943</v>
      </c>
      <c r="G2037" s="10" t="s">
        <v>4944</v>
      </c>
      <c r="H2037" s="9" t="s">
        <v>13</v>
      </c>
      <c r="I2037" s="9" t="s">
        <v>4945</v>
      </c>
    </row>
    <row r="2038" customFormat="false" ht="15.75" hidden="false" customHeight="false" outlineLevel="0" collapsed="false">
      <c r="B2038" s="7" t="n">
        <v>46236</v>
      </c>
      <c r="C2038" s="3" t="s">
        <v>4946</v>
      </c>
      <c r="D2038" s="3" t="s">
        <v>4014</v>
      </c>
      <c r="E2038" s="3" t="s">
        <v>4770</v>
      </c>
      <c r="F2038" s="3" t="s">
        <v>4771</v>
      </c>
      <c r="G2038" s="10" t="s">
        <v>4947</v>
      </c>
      <c r="H2038" s="9" t="s">
        <v>13</v>
      </c>
      <c r="I2038" s="9" t="s">
        <v>4948</v>
      </c>
    </row>
    <row r="2039" customFormat="false" ht="15.75" hidden="false" customHeight="false" outlineLevel="0" collapsed="false">
      <c r="B2039" s="7" t="n">
        <v>46236</v>
      </c>
      <c r="C2039" s="3" t="s">
        <v>4949</v>
      </c>
      <c r="D2039" s="3" t="s">
        <v>4014</v>
      </c>
      <c r="E2039" s="3" t="s">
        <v>4770</v>
      </c>
      <c r="F2039" s="3" t="s">
        <v>4771</v>
      </c>
      <c r="G2039" s="10" t="s">
        <v>4947</v>
      </c>
      <c r="H2039" s="9" t="s">
        <v>13</v>
      </c>
      <c r="I2039" s="9" t="s">
        <v>4948</v>
      </c>
    </row>
    <row r="2040" customFormat="false" ht="15.75" hidden="false" customHeight="false" outlineLevel="0" collapsed="false">
      <c r="B2040" s="7" t="n">
        <v>46236</v>
      </c>
      <c r="C2040" s="3" t="s">
        <v>4950</v>
      </c>
      <c r="D2040" s="3" t="s">
        <v>4014</v>
      </c>
      <c r="E2040" s="3" t="s">
        <v>4770</v>
      </c>
      <c r="F2040" s="3" t="s">
        <v>4771</v>
      </c>
      <c r="G2040" s="10" t="s">
        <v>4947</v>
      </c>
      <c r="H2040" s="9" t="s">
        <v>13</v>
      </c>
      <c r="I2040" s="9" t="s">
        <v>4951</v>
      </c>
    </row>
    <row r="2041" customFormat="false" ht="15.75" hidden="false" customHeight="false" outlineLevel="0" collapsed="false">
      <c r="B2041" s="7" t="n">
        <v>46221</v>
      </c>
      <c r="C2041" s="3" t="s">
        <v>4952</v>
      </c>
      <c r="D2041" s="3" t="s">
        <v>4014</v>
      </c>
      <c r="E2041" s="3" t="s">
        <v>4852</v>
      </c>
      <c r="F2041" s="3" t="s">
        <v>4943</v>
      </c>
      <c r="G2041" s="10" t="s">
        <v>4953</v>
      </c>
      <c r="H2041" s="9" t="s">
        <v>13</v>
      </c>
      <c r="I2041" s="9" t="s">
        <v>4954</v>
      </c>
    </row>
    <row r="2042" customFormat="false" ht="15.75" hidden="false" customHeight="false" outlineLevel="0" collapsed="false">
      <c r="B2042" s="7" t="n">
        <v>46236</v>
      </c>
      <c r="C2042" s="3" t="s">
        <v>4955</v>
      </c>
      <c r="D2042" s="3" t="s">
        <v>4014</v>
      </c>
      <c r="E2042" s="3" t="s">
        <v>4770</v>
      </c>
      <c r="F2042" s="3" t="s">
        <v>4771</v>
      </c>
      <c r="G2042" s="10" t="s">
        <v>4947</v>
      </c>
      <c r="H2042" s="9" t="s">
        <v>13</v>
      </c>
      <c r="I2042" s="9" t="s">
        <v>4956</v>
      </c>
    </row>
    <row r="2043" customFormat="false" ht="15.75" hidden="false" customHeight="false" outlineLevel="0" collapsed="false">
      <c r="B2043" s="7" t="n">
        <v>46236</v>
      </c>
      <c r="C2043" s="3" t="s">
        <v>4957</v>
      </c>
      <c r="D2043" s="3" t="s">
        <v>4014</v>
      </c>
      <c r="E2043" s="3" t="s">
        <v>4770</v>
      </c>
      <c r="F2043" s="3" t="s">
        <v>4771</v>
      </c>
      <c r="G2043" s="10" t="s">
        <v>4958</v>
      </c>
      <c r="H2043" s="9" t="s">
        <v>13</v>
      </c>
      <c r="I2043" s="9" t="s">
        <v>4959</v>
      </c>
    </row>
    <row r="2044" customFormat="false" ht="15.75" hidden="false" customHeight="false" outlineLevel="0" collapsed="false">
      <c r="B2044" s="7" t="n">
        <v>46236</v>
      </c>
      <c r="C2044" s="3" t="s">
        <v>4960</v>
      </c>
      <c r="D2044" s="3" t="s">
        <v>4014</v>
      </c>
      <c r="E2044" s="3" t="s">
        <v>4770</v>
      </c>
      <c r="F2044" s="3" t="s">
        <v>4771</v>
      </c>
      <c r="G2044" s="10" t="s">
        <v>4947</v>
      </c>
      <c r="H2044" s="9" t="s">
        <v>13</v>
      </c>
      <c r="I2044" s="9" t="s">
        <v>4961</v>
      </c>
    </row>
    <row r="2045" customFormat="false" ht="15.75" hidden="false" customHeight="false" outlineLevel="0" collapsed="false">
      <c r="B2045" s="7" t="n">
        <v>46221</v>
      </c>
      <c r="C2045" s="3" t="s">
        <v>4962</v>
      </c>
      <c r="D2045" s="3" t="s">
        <v>4014</v>
      </c>
      <c r="E2045" s="3" t="s">
        <v>4852</v>
      </c>
      <c r="F2045" s="3" t="s">
        <v>4943</v>
      </c>
      <c r="G2045" s="10" t="s">
        <v>4953</v>
      </c>
      <c r="H2045" s="9" t="s">
        <v>13</v>
      </c>
      <c r="I2045" s="9" t="s">
        <v>4963</v>
      </c>
    </row>
    <row r="2046" customFormat="false" ht="15.75" hidden="false" customHeight="false" outlineLevel="0" collapsed="false">
      <c r="B2046" s="7" t="n">
        <v>46236</v>
      </c>
      <c r="C2046" s="3" t="s">
        <v>4964</v>
      </c>
      <c r="D2046" s="3" t="s">
        <v>4014</v>
      </c>
      <c r="E2046" s="3" t="s">
        <v>4770</v>
      </c>
      <c r="F2046" s="3" t="s">
        <v>4771</v>
      </c>
      <c r="G2046" s="10" t="s">
        <v>4965</v>
      </c>
      <c r="H2046" s="9" t="s">
        <v>13</v>
      </c>
      <c r="I2046" s="9" t="s">
        <v>4966</v>
      </c>
    </row>
    <row r="2047" customFormat="false" ht="15.75" hidden="false" customHeight="false" outlineLevel="0" collapsed="false">
      <c r="B2047" s="7" t="n">
        <v>46236</v>
      </c>
      <c r="C2047" s="3" t="s">
        <v>4967</v>
      </c>
      <c r="D2047" s="3" t="s">
        <v>4014</v>
      </c>
      <c r="E2047" s="3" t="s">
        <v>4770</v>
      </c>
      <c r="F2047" s="3" t="s">
        <v>4771</v>
      </c>
      <c r="G2047" s="10" t="s">
        <v>4965</v>
      </c>
      <c r="H2047" s="9" t="s">
        <v>13</v>
      </c>
      <c r="I2047" s="9" t="s">
        <v>4966</v>
      </c>
    </row>
    <row r="2048" customFormat="false" ht="15.75" hidden="false" customHeight="false" outlineLevel="0" collapsed="false">
      <c r="B2048" s="7" t="n">
        <v>46236</v>
      </c>
      <c r="C2048" s="3" t="s">
        <v>4968</v>
      </c>
      <c r="D2048" s="3" t="s">
        <v>4014</v>
      </c>
      <c r="E2048" s="3" t="s">
        <v>4770</v>
      </c>
      <c r="F2048" s="3" t="s">
        <v>4771</v>
      </c>
      <c r="G2048" s="10" t="s">
        <v>4969</v>
      </c>
      <c r="H2048" s="9" t="s">
        <v>13</v>
      </c>
      <c r="I2048" s="9" t="s">
        <v>4970</v>
      </c>
    </row>
    <row r="2049" customFormat="false" ht="15.75" hidden="false" customHeight="false" outlineLevel="0" collapsed="false">
      <c r="B2049" s="7" t="n">
        <v>46221</v>
      </c>
      <c r="C2049" s="3" t="s">
        <v>4971</v>
      </c>
      <c r="D2049" s="3" t="s">
        <v>4014</v>
      </c>
      <c r="E2049" s="3" t="s">
        <v>4852</v>
      </c>
      <c r="F2049" s="3" t="s">
        <v>4943</v>
      </c>
      <c r="G2049" s="10" t="s">
        <v>4953</v>
      </c>
      <c r="H2049" s="9" t="s">
        <v>13</v>
      </c>
      <c r="I2049" s="9" t="s">
        <v>4963</v>
      </c>
    </row>
    <row r="2050" customFormat="false" ht="15.75" hidden="false" customHeight="false" outlineLevel="0" collapsed="false">
      <c r="B2050" s="7" t="n">
        <v>46236</v>
      </c>
      <c r="C2050" s="3" t="s">
        <v>4972</v>
      </c>
      <c r="D2050" s="3" t="s">
        <v>4014</v>
      </c>
      <c r="E2050" s="3" t="s">
        <v>4770</v>
      </c>
      <c r="F2050" s="3" t="s">
        <v>4771</v>
      </c>
      <c r="G2050" s="10" t="s">
        <v>4969</v>
      </c>
      <c r="H2050" s="9" t="s">
        <v>13</v>
      </c>
      <c r="I2050" s="9" t="s">
        <v>4970</v>
      </c>
    </row>
    <row r="2051" customFormat="false" ht="15.75" hidden="false" customHeight="false" outlineLevel="0" collapsed="false">
      <c r="B2051" s="7" t="n">
        <v>46236</v>
      </c>
      <c r="C2051" s="3" t="s">
        <v>4973</v>
      </c>
      <c r="D2051" s="3" t="s">
        <v>4014</v>
      </c>
      <c r="E2051" s="3" t="s">
        <v>4770</v>
      </c>
      <c r="F2051" s="3" t="s">
        <v>4771</v>
      </c>
      <c r="G2051" s="10" t="s">
        <v>4969</v>
      </c>
      <c r="H2051" s="9" t="s">
        <v>13</v>
      </c>
      <c r="I2051" s="9" t="s">
        <v>4974</v>
      </c>
    </row>
    <row r="2052" customFormat="false" ht="15.75" hidden="false" customHeight="false" outlineLevel="0" collapsed="false">
      <c r="B2052" s="7" t="n">
        <v>46236</v>
      </c>
      <c r="C2052" s="3" t="s">
        <v>4975</v>
      </c>
      <c r="D2052" s="3" t="s">
        <v>4014</v>
      </c>
      <c r="E2052" s="3" t="s">
        <v>4770</v>
      </c>
      <c r="F2052" s="3" t="s">
        <v>4771</v>
      </c>
      <c r="G2052" s="10" t="s">
        <v>4969</v>
      </c>
      <c r="H2052" s="9" t="s">
        <v>13</v>
      </c>
      <c r="I2052" s="9" t="s">
        <v>4974</v>
      </c>
    </row>
    <row r="2053" customFormat="false" ht="15.75" hidden="false" customHeight="false" outlineLevel="0" collapsed="false">
      <c r="B2053" s="7" t="n">
        <v>46221</v>
      </c>
      <c r="C2053" s="3" t="s">
        <v>4976</v>
      </c>
      <c r="D2053" s="3" t="s">
        <v>4014</v>
      </c>
      <c r="E2053" s="3" t="s">
        <v>4852</v>
      </c>
      <c r="F2053" s="3" t="s">
        <v>4943</v>
      </c>
      <c r="G2053" s="10" t="s">
        <v>4953</v>
      </c>
      <c r="H2053" s="9" t="s">
        <v>13</v>
      </c>
      <c r="I2053" s="9" t="s">
        <v>4977</v>
      </c>
    </row>
    <row r="2054" customFormat="false" ht="15.75" hidden="false" customHeight="false" outlineLevel="0" collapsed="false">
      <c r="B2054" s="7" t="n">
        <v>46236</v>
      </c>
      <c r="C2054" s="3" t="s">
        <v>4978</v>
      </c>
      <c r="D2054" s="3" t="s">
        <v>4014</v>
      </c>
      <c r="E2054" s="3" t="s">
        <v>4770</v>
      </c>
      <c r="F2054" s="3" t="s">
        <v>4771</v>
      </c>
      <c r="G2054" s="10" t="s">
        <v>4811</v>
      </c>
      <c r="H2054" s="9" t="s">
        <v>13</v>
      </c>
      <c r="I2054" s="9" t="s">
        <v>4979</v>
      </c>
    </row>
    <row r="2055" customFormat="false" ht="15.75" hidden="false" customHeight="false" outlineLevel="0" collapsed="false">
      <c r="B2055" s="7" t="n">
        <v>46236</v>
      </c>
      <c r="C2055" s="3" t="s">
        <v>4980</v>
      </c>
      <c r="D2055" s="3" t="s">
        <v>4014</v>
      </c>
      <c r="E2055" s="3" t="s">
        <v>4770</v>
      </c>
      <c r="F2055" s="3" t="s">
        <v>4771</v>
      </c>
      <c r="G2055" s="8" t="s">
        <v>4981</v>
      </c>
      <c r="H2055" s="9" t="s">
        <v>13</v>
      </c>
      <c r="I2055" s="9" t="s">
        <v>4982</v>
      </c>
    </row>
    <row r="2056" customFormat="false" ht="15.75" hidden="false" customHeight="false" outlineLevel="0" collapsed="false">
      <c r="B2056" s="7" t="n">
        <v>46236</v>
      </c>
      <c r="C2056" s="3" t="s">
        <v>4983</v>
      </c>
      <c r="D2056" s="3" t="s">
        <v>4014</v>
      </c>
      <c r="E2056" s="3" t="s">
        <v>4770</v>
      </c>
      <c r="F2056" s="3" t="s">
        <v>4771</v>
      </c>
      <c r="G2056" s="8" t="s">
        <v>4981</v>
      </c>
      <c r="H2056" s="9" t="s">
        <v>13</v>
      </c>
      <c r="I2056" s="9" t="s">
        <v>4984</v>
      </c>
    </row>
    <row r="2057" customFormat="false" ht="15.75" hidden="false" customHeight="false" outlineLevel="0" collapsed="false">
      <c r="B2057" s="7" t="n">
        <v>46221</v>
      </c>
      <c r="C2057" s="3" t="s">
        <v>4985</v>
      </c>
      <c r="D2057" s="3" t="s">
        <v>4014</v>
      </c>
      <c r="E2057" s="3" t="s">
        <v>4852</v>
      </c>
      <c r="F2057" s="3" t="s">
        <v>4943</v>
      </c>
      <c r="G2057" s="10" t="s">
        <v>4953</v>
      </c>
      <c r="H2057" s="9" t="s">
        <v>13</v>
      </c>
      <c r="I2057" s="9" t="s">
        <v>4977</v>
      </c>
    </row>
    <row r="2058" customFormat="false" ht="15.75" hidden="false" customHeight="false" outlineLevel="0" collapsed="false">
      <c r="B2058" s="7" t="n">
        <v>46236</v>
      </c>
      <c r="C2058" s="3" t="s">
        <v>4986</v>
      </c>
      <c r="D2058" s="3" t="s">
        <v>4014</v>
      </c>
      <c r="E2058" s="3" t="s">
        <v>4770</v>
      </c>
      <c r="F2058" s="3" t="s">
        <v>4771</v>
      </c>
      <c r="G2058" s="10" t="s">
        <v>4987</v>
      </c>
      <c r="H2058" s="9" t="s">
        <v>13</v>
      </c>
      <c r="I2058" s="9" t="s">
        <v>4988</v>
      </c>
    </row>
    <row r="2059" customFormat="false" ht="15.75" hidden="false" customHeight="false" outlineLevel="0" collapsed="false">
      <c r="B2059" s="7" t="n">
        <v>46236</v>
      </c>
      <c r="C2059" s="3" t="s">
        <v>4989</v>
      </c>
      <c r="D2059" s="3" t="s">
        <v>4014</v>
      </c>
      <c r="E2059" s="3" t="s">
        <v>4770</v>
      </c>
      <c r="F2059" s="3" t="s">
        <v>4771</v>
      </c>
      <c r="G2059" s="10" t="s">
        <v>4987</v>
      </c>
      <c r="H2059" s="9" t="s">
        <v>13</v>
      </c>
      <c r="I2059" s="9" t="s">
        <v>4990</v>
      </c>
    </row>
    <row r="2060" customFormat="false" ht="15.75" hidden="false" customHeight="false" outlineLevel="0" collapsed="false">
      <c r="B2060" s="7" t="n">
        <v>46236</v>
      </c>
      <c r="C2060" s="3" t="s">
        <v>4991</v>
      </c>
      <c r="D2060" s="3" t="s">
        <v>4014</v>
      </c>
      <c r="E2060" s="3" t="s">
        <v>4770</v>
      </c>
      <c r="F2060" s="3" t="s">
        <v>4771</v>
      </c>
      <c r="G2060" s="10" t="s">
        <v>4987</v>
      </c>
      <c r="H2060" s="9" t="s">
        <v>13</v>
      </c>
      <c r="I2060" s="9" t="s">
        <v>4992</v>
      </c>
    </row>
    <row r="2061" customFormat="false" ht="15.75" hidden="false" customHeight="false" outlineLevel="0" collapsed="false">
      <c r="B2061" s="7" t="n">
        <v>46221</v>
      </c>
      <c r="C2061" s="3" t="s">
        <v>4993</v>
      </c>
      <c r="D2061" s="3" t="s">
        <v>4014</v>
      </c>
      <c r="E2061" s="3" t="s">
        <v>4852</v>
      </c>
      <c r="F2061" s="3" t="s">
        <v>4943</v>
      </c>
      <c r="G2061" s="10" t="s">
        <v>4953</v>
      </c>
      <c r="H2061" s="9" t="s">
        <v>13</v>
      </c>
      <c r="I2061" s="9" t="s">
        <v>4977</v>
      </c>
    </row>
    <row r="2062" customFormat="false" ht="15.75" hidden="false" customHeight="false" outlineLevel="0" collapsed="false">
      <c r="B2062" s="7" t="n">
        <v>46236</v>
      </c>
      <c r="C2062" s="3" t="s">
        <v>4994</v>
      </c>
      <c r="D2062" s="3" t="s">
        <v>4014</v>
      </c>
      <c r="E2062" s="3" t="s">
        <v>4770</v>
      </c>
      <c r="F2062" s="3" t="s">
        <v>4771</v>
      </c>
      <c r="G2062" s="10" t="s">
        <v>4995</v>
      </c>
      <c r="H2062" s="9" t="s">
        <v>13</v>
      </c>
      <c r="I2062" s="9" t="s">
        <v>4996</v>
      </c>
    </row>
    <row r="2063" customFormat="false" ht="15.75" hidden="false" customHeight="false" outlineLevel="0" collapsed="false">
      <c r="B2063" s="7" t="n">
        <v>46236</v>
      </c>
      <c r="C2063" s="3" t="s">
        <v>4997</v>
      </c>
      <c r="D2063" s="3" t="s">
        <v>4014</v>
      </c>
      <c r="E2063" s="3" t="s">
        <v>4770</v>
      </c>
      <c r="F2063" s="3" t="s">
        <v>4771</v>
      </c>
      <c r="G2063" s="10" t="s">
        <v>4841</v>
      </c>
      <c r="H2063" s="9" t="s">
        <v>13</v>
      </c>
      <c r="I2063" s="9" t="s">
        <v>4998</v>
      </c>
    </row>
    <row r="2064" customFormat="false" ht="15.75" hidden="false" customHeight="false" outlineLevel="0" collapsed="false">
      <c r="B2064" s="7" t="n">
        <v>46236</v>
      </c>
      <c r="C2064" s="3" t="s">
        <v>4999</v>
      </c>
      <c r="D2064" s="3" t="s">
        <v>4014</v>
      </c>
      <c r="E2064" s="3" t="s">
        <v>4770</v>
      </c>
      <c r="F2064" s="3" t="s">
        <v>4771</v>
      </c>
      <c r="G2064" s="10" t="s">
        <v>5000</v>
      </c>
      <c r="H2064" s="9" t="s">
        <v>13</v>
      </c>
      <c r="I2064" s="9" t="s">
        <v>5001</v>
      </c>
    </row>
    <row r="2065" customFormat="false" ht="15.75" hidden="false" customHeight="false" outlineLevel="0" collapsed="false">
      <c r="B2065" s="7" t="n">
        <v>46221</v>
      </c>
      <c r="C2065" s="3" t="s">
        <v>5002</v>
      </c>
      <c r="D2065" s="3" t="s">
        <v>4014</v>
      </c>
      <c r="E2065" s="3" t="s">
        <v>4852</v>
      </c>
      <c r="F2065" s="3" t="s">
        <v>4943</v>
      </c>
      <c r="G2065" s="10" t="s">
        <v>5003</v>
      </c>
      <c r="H2065" s="9" t="s">
        <v>13</v>
      </c>
      <c r="I2065" s="9" t="s">
        <v>5004</v>
      </c>
    </row>
    <row r="2066" customFormat="false" ht="15.75" hidden="false" customHeight="false" outlineLevel="0" collapsed="false">
      <c r="B2066" s="7" t="n">
        <v>46236</v>
      </c>
      <c r="C2066" s="3" t="s">
        <v>5005</v>
      </c>
      <c r="D2066" s="3" t="s">
        <v>4014</v>
      </c>
      <c r="E2066" s="3" t="s">
        <v>4770</v>
      </c>
      <c r="F2066" s="3" t="s">
        <v>4771</v>
      </c>
      <c r="G2066" s="10" t="s">
        <v>4935</v>
      </c>
      <c r="H2066" s="9" t="s">
        <v>13</v>
      </c>
      <c r="I2066" s="9" t="s">
        <v>5006</v>
      </c>
    </row>
    <row r="2067" customFormat="false" ht="15.75" hidden="false" customHeight="false" outlineLevel="0" collapsed="false">
      <c r="B2067" s="7" t="n">
        <v>46236</v>
      </c>
      <c r="C2067" s="3" t="s">
        <v>5007</v>
      </c>
      <c r="D2067" s="3" t="s">
        <v>4014</v>
      </c>
      <c r="E2067" s="3" t="s">
        <v>4770</v>
      </c>
      <c r="F2067" s="3" t="s">
        <v>4771</v>
      </c>
      <c r="G2067" s="10" t="s">
        <v>5008</v>
      </c>
      <c r="H2067" s="9" t="s">
        <v>13</v>
      </c>
      <c r="I2067" s="9" t="s">
        <v>5009</v>
      </c>
    </row>
    <row r="2068" customFormat="false" ht="15.75" hidden="false" customHeight="false" outlineLevel="0" collapsed="false">
      <c r="B2068" s="7" t="n">
        <v>46221</v>
      </c>
      <c r="C2068" s="3" t="s">
        <v>5010</v>
      </c>
      <c r="D2068" s="3" t="s">
        <v>4014</v>
      </c>
      <c r="E2068" s="3" t="s">
        <v>5011</v>
      </c>
      <c r="F2068" s="3" t="s">
        <v>5012</v>
      </c>
      <c r="G2068" s="10" t="s">
        <v>5013</v>
      </c>
      <c r="H2068" s="9" t="s">
        <v>13</v>
      </c>
      <c r="I2068" s="9" t="s">
        <v>5014</v>
      </c>
    </row>
    <row r="2069" customFormat="false" ht="15.75" hidden="false" customHeight="false" outlineLevel="0" collapsed="false">
      <c r="B2069" s="7" t="n">
        <v>46221</v>
      </c>
      <c r="C2069" s="3" t="s">
        <v>5015</v>
      </c>
      <c r="D2069" s="3" t="s">
        <v>4014</v>
      </c>
      <c r="E2069" s="3" t="s">
        <v>5011</v>
      </c>
      <c r="F2069" s="3" t="s">
        <v>5012</v>
      </c>
      <c r="G2069" s="10" t="s">
        <v>5016</v>
      </c>
      <c r="H2069" s="9" t="s">
        <v>13</v>
      </c>
      <c r="I2069" s="9" t="s">
        <v>5017</v>
      </c>
    </row>
    <row r="2070" customFormat="false" ht="15.75" hidden="false" customHeight="false" outlineLevel="0" collapsed="false">
      <c r="B2070" s="7" t="n">
        <v>46221</v>
      </c>
      <c r="C2070" s="3" t="s">
        <v>5018</v>
      </c>
      <c r="D2070" s="3" t="s">
        <v>4014</v>
      </c>
      <c r="E2070" s="3" t="s">
        <v>5011</v>
      </c>
      <c r="F2070" s="3" t="s">
        <v>5012</v>
      </c>
      <c r="G2070" s="10" t="s">
        <v>5019</v>
      </c>
      <c r="H2070" s="9" t="s">
        <v>13</v>
      </c>
      <c r="I2070" s="9" t="s">
        <v>5020</v>
      </c>
    </row>
    <row r="2071" customFormat="false" ht="15.75" hidden="false" customHeight="false" outlineLevel="0" collapsed="false">
      <c r="B2071" s="7" t="n">
        <v>46221</v>
      </c>
      <c r="C2071" s="3" t="s">
        <v>5021</v>
      </c>
      <c r="D2071" s="3" t="s">
        <v>4014</v>
      </c>
      <c r="E2071" s="3" t="s">
        <v>5011</v>
      </c>
      <c r="F2071" s="3" t="s">
        <v>5012</v>
      </c>
      <c r="G2071" s="10" t="s">
        <v>5022</v>
      </c>
      <c r="H2071" s="9" t="s">
        <v>13</v>
      </c>
      <c r="I2071" s="9" t="s">
        <v>5023</v>
      </c>
    </row>
    <row r="2072" customFormat="false" ht="15.75" hidden="false" customHeight="false" outlineLevel="0" collapsed="false">
      <c r="B2072" s="7" t="n">
        <v>46221</v>
      </c>
      <c r="C2072" s="3" t="s">
        <v>5024</v>
      </c>
      <c r="D2072" s="3" t="s">
        <v>4014</v>
      </c>
      <c r="E2072" s="3" t="s">
        <v>5011</v>
      </c>
      <c r="F2072" s="3" t="s">
        <v>5012</v>
      </c>
      <c r="G2072" s="8" t="s">
        <v>5025</v>
      </c>
      <c r="H2072" s="9" t="s">
        <v>13</v>
      </c>
      <c r="I2072" s="9" t="s">
        <v>5026</v>
      </c>
    </row>
    <row r="2073" customFormat="false" ht="15.75" hidden="false" customHeight="false" outlineLevel="0" collapsed="false">
      <c r="B2073" s="7" t="n">
        <v>46221</v>
      </c>
      <c r="C2073" s="3" t="s">
        <v>5027</v>
      </c>
      <c r="D2073" s="3" t="s">
        <v>4014</v>
      </c>
      <c r="E2073" s="3" t="s">
        <v>5011</v>
      </c>
      <c r="F2073" s="3" t="s">
        <v>5012</v>
      </c>
      <c r="G2073" s="8" t="s">
        <v>5025</v>
      </c>
      <c r="H2073" s="9" t="s">
        <v>13</v>
      </c>
      <c r="I2073" s="9" t="s">
        <v>5028</v>
      </c>
    </row>
    <row r="2074" customFormat="false" ht="15.75" hidden="false" customHeight="false" outlineLevel="0" collapsed="false">
      <c r="B2074" s="7" t="n">
        <v>46221</v>
      </c>
      <c r="C2074" s="3" t="s">
        <v>5029</v>
      </c>
      <c r="D2074" s="3" t="s">
        <v>4014</v>
      </c>
      <c r="E2074" s="3" t="s">
        <v>5011</v>
      </c>
      <c r="F2074" s="3" t="s">
        <v>5012</v>
      </c>
      <c r="G2074" s="10" t="s">
        <v>5030</v>
      </c>
      <c r="H2074" s="9" t="s">
        <v>13</v>
      </c>
      <c r="I2074" s="9" t="s">
        <v>5031</v>
      </c>
    </row>
    <row r="2075" customFormat="false" ht="15.75" hidden="false" customHeight="false" outlineLevel="0" collapsed="false">
      <c r="B2075" s="7" t="n">
        <v>46221</v>
      </c>
      <c r="C2075" s="3" t="s">
        <v>5032</v>
      </c>
      <c r="D2075" s="3" t="s">
        <v>4014</v>
      </c>
      <c r="E2075" s="3" t="s">
        <v>5011</v>
      </c>
      <c r="F2075" s="3" t="s">
        <v>5012</v>
      </c>
      <c r="G2075" s="10" t="s">
        <v>5033</v>
      </c>
      <c r="H2075" s="9" t="s">
        <v>13</v>
      </c>
      <c r="I2075" s="9" t="s">
        <v>5034</v>
      </c>
    </row>
    <row r="2076" customFormat="false" ht="15.75" hidden="false" customHeight="false" outlineLevel="0" collapsed="false">
      <c r="B2076" s="7" t="n">
        <v>46221</v>
      </c>
      <c r="C2076" s="3" t="s">
        <v>5035</v>
      </c>
      <c r="D2076" s="3" t="s">
        <v>4014</v>
      </c>
      <c r="E2076" s="3" t="s">
        <v>5011</v>
      </c>
      <c r="F2076" s="3" t="s">
        <v>5012</v>
      </c>
      <c r="G2076" s="10" t="s">
        <v>5033</v>
      </c>
      <c r="H2076" s="9" t="s">
        <v>13</v>
      </c>
      <c r="I2076" s="9" t="s">
        <v>5034</v>
      </c>
    </row>
    <row r="2077" customFormat="false" ht="15.75" hidden="false" customHeight="false" outlineLevel="0" collapsed="false">
      <c r="B2077" s="7" t="n">
        <v>46221</v>
      </c>
      <c r="C2077" s="3" t="s">
        <v>5036</v>
      </c>
      <c r="D2077" s="3" t="s">
        <v>4014</v>
      </c>
      <c r="E2077" s="3" t="s">
        <v>5011</v>
      </c>
      <c r="F2077" s="3" t="s">
        <v>5012</v>
      </c>
      <c r="G2077" s="10" t="s">
        <v>5037</v>
      </c>
      <c r="H2077" s="9" t="s">
        <v>13</v>
      </c>
      <c r="I2077" s="9" t="s">
        <v>5038</v>
      </c>
    </row>
    <row r="2078" customFormat="false" ht="15.75" hidden="false" customHeight="false" outlineLevel="0" collapsed="false">
      <c r="B2078" s="7" t="n">
        <v>46221</v>
      </c>
      <c r="C2078" s="3" t="s">
        <v>5039</v>
      </c>
      <c r="D2078" s="3" t="s">
        <v>4014</v>
      </c>
      <c r="E2078" s="3" t="s">
        <v>5011</v>
      </c>
      <c r="F2078" s="3" t="s">
        <v>5012</v>
      </c>
      <c r="G2078" s="10" t="s">
        <v>5040</v>
      </c>
      <c r="H2078" s="9" t="s">
        <v>13</v>
      </c>
      <c r="I2078" s="9" t="s">
        <v>5041</v>
      </c>
    </row>
    <row r="2079" customFormat="false" ht="15.75" hidden="false" customHeight="false" outlineLevel="0" collapsed="false">
      <c r="B2079" s="7" t="n">
        <v>46221</v>
      </c>
      <c r="C2079" s="3" t="s">
        <v>5042</v>
      </c>
      <c r="D2079" s="3" t="s">
        <v>4014</v>
      </c>
      <c r="E2079" s="3" t="s">
        <v>5011</v>
      </c>
      <c r="F2079" s="3" t="s">
        <v>5012</v>
      </c>
      <c r="G2079" s="10" t="s">
        <v>5043</v>
      </c>
      <c r="H2079" s="9" t="s">
        <v>13</v>
      </c>
      <c r="I2079" s="9" t="s">
        <v>5044</v>
      </c>
    </row>
    <row r="2080" customFormat="false" ht="15.75" hidden="false" customHeight="false" outlineLevel="0" collapsed="false">
      <c r="B2080" s="7" t="n">
        <v>46221</v>
      </c>
      <c r="C2080" s="3" t="s">
        <v>5045</v>
      </c>
      <c r="D2080" s="3" t="s">
        <v>4014</v>
      </c>
      <c r="E2080" s="3" t="s">
        <v>5011</v>
      </c>
      <c r="F2080" s="3" t="s">
        <v>5012</v>
      </c>
      <c r="G2080" s="10" t="s">
        <v>5022</v>
      </c>
      <c r="H2080" s="9" t="s">
        <v>13</v>
      </c>
      <c r="I2080" s="9" t="s">
        <v>5046</v>
      </c>
    </row>
    <row r="2081" customFormat="false" ht="15.75" hidden="false" customHeight="false" outlineLevel="0" collapsed="false">
      <c r="B2081" s="7" t="n">
        <v>46221</v>
      </c>
      <c r="C2081" s="3" t="s">
        <v>5047</v>
      </c>
      <c r="D2081" s="3" t="s">
        <v>4014</v>
      </c>
      <c r="E2081" s="3" t="s">
        <v>5011</v>
      </c>
      <c r="F2081" s="3" t="s">
        <v>5012</v>
      </c>
      <c r="G2081" s="10" t="s">
        <v>5048</v>
      </c>
      <c r="H2081" s="9" t="s">
        <v>13</v>
      </c>
      <c r="I2081" s="9" t="s">
        <v>5049</v>
      </c>
    </row>
    <row r="2082" customFormat="false" ht="15.75" hidden="false" customHeight="false" outlineLevel="0" collapsed="false">
      <c r="B2082" s="7" t="n">
        <v>46221</v>
      </c>
      <c r="C2082" s="3" t="s">
        <v>5050</v>
      </c>
      <c r="D2082" s="3" t="s">
        <v>4014</v>
      </c>
      <c r="E2082" s="3" t="s">
        <v>5011</v>
      </c>
      <c r="F2082" s="3" t="s">
        <v>5012</v>
      </c>
      <c r="G2082" s="8" t="s">
        <v>5051</v>
      </c>
      <c r="H2082" s="9" t="s">
        <v>13</v>
      </c>
      <c r="I2082" s="9" t="s">
        <v>5052</v>
      </c>
    </row>
    <row r="2083" customFormat="false" ht="15.75" hidden="false" customHeight="false" outlineLevel="0" collapsed="false">
      <c r="B2083" s="7" t="n">
        <v>46221</v>
      </c>
      <c r="C2083" s="3" t="s">
        <v>5053</v>
      </c>
      <c r="D2083" s="3" t="s">
        <v>4014</v>
      </c>
      <c r="E2083" s="3" t="s">
        <v>5011</v>
      </c>
      <c r="F2083" s="3" t="s">
        <v>5012</v>
      </c>
      <c r="G2083" s="8" t="s">
        <v>5051</v>
      </c>
      <c r="H2083" s="9" t="s">
        <v>13</v>
      </c>
      <c r="I2083" s="9" t="s">
        <v>5052</v>
      </c>
    </row>
    <row r="2084" customFormat="false" ht="15.75" hidden="false" customHeight="false" outlineLevel="0" collapsed="false">
      <c r="B2084" s="7" t="n">
        <v>46221</v>
      </c>
      <c r="C2084" s="3" t="s">
        <v>5054</v>
      </c>
      <c r="D2084" s="3" t="s">
        <v>4014</v>
      </c>
      <c r="E2084" s="3" t="s">
        <v>5011</v>
      </c>
      <c r="F2084" s="3" t="s">
        <v>5012</v>
      </c>
      <c r="G2084" s="10" t="s">
        <v>5055</v>
      </c>
      <c r="H2084" s="9" t="s">
        <v>13</v>
      </c>
      <c r="I2084" s="9" t="s">
        <v>5056</v>
      </c>
    </row>
    <row r="2085" customFormat="false" ht="15.75" hidden="false" customHeight="false" outlineLevel="0" collapsed="false">
      <c r="B2085" s="7" t="n">
        <v>46221</v>
      </c>
      <c r="C2085" s="3" t="s">
        <v>5057</v>
      </c>
      <c r="D2085" s="3" t="s">
        <v>4014</v>
      </c>
      <c r="E2085" s="3" t="s">
        <v>5011</v>
      </c>
      <c r="F2085" s="3" t="s">
        <v>5012</v>
      </c>
      <c r="G2085" s="10" t="s">
        <v>5058</v>
      </c>
      <c r="H2085" s="9" t="s">
        <v>13</v>
      </c>
      <c r="I2085" s="9" t="s">
        <v>5059</v>
      </c>
    </row>
    <row r="2086" customFormat="false" ht="15.75" hidden="false" customHeight="false" outlineLevel="0" collapsed="false">
      <c r="B2086" s="7" t="n">
        <v>46221</v>
      </c>
      <c r="C2086" s="3" t="s">
        <v>5060</v>
      </c>
      <c r="D2086" s="3" t="s">
        <v>4014</v>
      </c>
      <c r="E2086" s="3" t="s">
        <v>5011</v>
      </c>
      <c r="F2086" s="3" t="s">
        <v>5012</v>
      </c>
      <c r="G2086" s="10" t="s">
        <v>5058</v>
      </c>
      <c r="H2086" s="9" t="s">
        <v>13</v>
      </c>
      <c r="I2086" s="9" t="s">
        <v>5059</v>
      </c>
    </row>
    <row r="2087" customFormat="false" ht="15.75" hidden="false" customHeight="false" outlineLevel="0" collapsed="false">
      <c r="B2087" s="7" t="n">
        <v>46221</v>
      </c>
      <c r="C2087" s="3" t="s">
        <v>5061</v>
      </c>
      <c r="D2087" s="3" t="s">
        <v>4014</v>
      </c>
      <c r="E2087" s="3" t="s">
        <v>5011</v>
      </c>
      <c r="F2087" s="3" t="s">
        <v>5012</v>
      </c>
      <c r="G2087" s="10" t="s">
        <v>5062</v>
      </c>
      <c r="H2087" s="9" t="s">
        <v>13</v>
      </c>
      <c r="I2087" s="9" t="s">
        <v>5063</v>
      </c>
    </row>
    <row r="2088" customFormat="false" ht="15.75" hidden="false" customHeight="false" outlineLevel="0" collapsed="false">
      <c r="B2088" s="7" t="n">
        <v>46221</v>
      </c>
      <c r="C2088" s="3" t="s">
        <v>5064</v>
      </c>
      <c r="D2088" s="3" t="s">
        <v>4014</v>
      </c>
      <c r="E2088" s="3" t="s">
        <v>5011</v>
      </c>
      <c r="F2088" s="3" t="s">
        <v>5012</v>
      </c>
      <c r="G2088" s="10" t="s">
        <v>5065</v>
      </c>
      <c r="H2088" s="9" t="s">
        <v>13</v>
      </c>
      <c r="I2088" s="9" t="s">
        <v>5066</v>
      </c>
    </row>
    <row r="2089" customFormat="false" ht="15.75" hidden="false" customHeight="false" outlineLevel="0" collapsed="false">
      <c r="B2089" s="7" t="n">
        <v>46221</v>
      </c>
      <c r="C2089" s="3" t="s">
        <v>5067</v>
      </c>
      <c r="D2089" s="3" t="s">
        <v>4014</v>
      </c>
      <c r="E2089" s="3" t="s">
        <v>5011</v>
      </c>
      <c r="F2089" s="3" t="s">
        <v>5012</v>
      </c>
      <c r="G2089" s="10" t="s">
        <v>5068</v>
      </c>
      <c r="H2089" s="9" t="s">
        <v>13</v>
      </c>
      <c r="I2089" s="9" t="s">
        <v>5069</v>
      </c>
    </row>
    <row r="2090" customFormat="false" ht="15.75" hidden="false" customHeight="false" outlineLevel="0" collapsed="false">
      <c r="B2090" s="7" t="n">
        <v>46221</v>
      </c>
      <c r="C2090" s="3" t="s">
        <v>5070</v>
      </c>
      <c r="D2090" s="3" t="s">
        <v>4014</v>
      </c>
      <c r="E2090" s="3" t="s">
        <v>5011</v>
      </c>
      <c r="F2090" s="3" t="s">
        <v>5012</v>
      </c>
      <c r="G2090" s="10" t="s">
        <v>5071</v>
      </c>
      <c r="H2090" s="9" t="s">
        <v>13</v>
      </c>
      <c r="I2090" s="9" t="s">
        <v>5072</v>
      </c>
    </row>
    <row r="2091" customFormat="false" ht="15.75" hidden="false" customHeight="false" outlineLevel="0" collapsed="false">
      <c r="B2091" s="7" t="n">
        <v>46221</v>
      </c>
      <c r="C2091" s="3" t="s">
        <v>5073</v>
      </c>
      <c r="D2091" s="3" t="s">
        <v>4014</v>
      </c>
      <c r="E2091" s="3" t="s">
        <v>5011</v>
      </c>
      <c r="F2091" s="3" t="s">
        <v>5012</v>
      </c>
      <c r="G2091" s="10" t="s">
        <v>5074</v>
      </c>
      <c r="H2091" s="9" t="s">
        <v>13</v>
      </c>
      <c r="I2091" s="9" t="s">
        <v>5075</v>
      </c>
    </row>
    <row r="2092" customFormat="false" ht="15.75" hidden="false" customHeight="false" outlineLevel="0" collapsed="false">
      <c r="B2092" s="7" t="n">
        <v>46221</v>
      </c>
      <c r="C2092" s="3" t="s">
        <v>5076</v>
      </c>
      <c r="D2092" s="3" t="s">
        <v>4014</v>
      </c>
      <c r="E2092" s="3" t="s">
        <v>5011</v>
      </c>
      <c r="F2092" s="3" t="s">
        <v>5012</v>
      </c>
      <c r="G2092" s="10" t="s">
        <v>5077</v>
      </c>
      <c r="H2092" s="9" t="s">
        <v>13</v>
      </c>
      <c r="I2092" s="9" t="s">
        <v>5078</v>
      </c>
    </row>
    <row r="2093" customFormat="false" ht="15.75" hidden="false" customHeight="false" outlineLevel="0" collapsed="false">
      <c r="B2093" s="7" t="n">
        <v>46221</v>
      </c>
      <c r="C2093" s="3" t="s">
        <v>5079</v>
      </c>
      <c r="D2093" s="3" t="s">
        <v>4014</v>
      </c>
      <c r="E2093" s="3" t="s">
        <v>5011</v>
      </c>
      <c r="F2093" s="3" t="s">
        <v>5012</v>
      </c>
      <c r="G2093" s="10" t="s">
        <v>5080</v>
      </c>
      <c r="H2093" s="9" t="s">
        <v>13</v>
      </c>
      <c r="I2093" s="9" t="s">
        <v>5081</v>
      </c>
    </row>
    <row r="2094" customFormat="false" ht="15.75" hidden="false" customHeight="false" outlineLevel="0" collapsed="false">
      <c r="B2094" s="7" t="n">
        <v>46221</v>
      </c>
      <c r="C2094" s="3" t="s">
        <v>5082</v>
      </c>
      <c r="D2094" s="3" t="s">
        <v>4014</v>
      </c>
      <c r="E2094" s="3" t="s">
        <v>5011</v>
      </c>
      <c r="F2094" s="3" t="s">
        <v>5012</v>
      </c>
      <c r="G2094" s="10" t="s">
        <v>5080</v>
      </c>
      <c r="H2094" s="9" t="s">
        <v>13</v>
      </c>
      <c r="I2094" s="9" t="s">
        <v>5081</v>
      </c>
    </row>
    <row r="2095" customFormat="false" ht="15.75" hidden="false" customHeight="false" outlineLevel="0" collapsed="false">
      <c r="B2095" s="7" t="n">
        <v>46221</v>
      </c>
      <c r="C2095" s="3" t="s">
        <v>5083</v>
      </c>
      <c r="D2095" s="3" t="s">
        <v>4014</v>
      </c>
      <c r="E2095" s="3" t="s">
        <v>5011</v>
      </c>
      <c r="F2095" s="3" t="s">
        <v>5012</v>
      </c>
      <c r="G2095" s="10" t="s">
        <v>5080</v>
      </c>
      <c r="H2095" s="9" t="s">
        <v>13</v>
      </c>
      <c r="I2095" s="9" t="s">
        <v>5084</v>
      </c>
    </row>
    <row r="2096" customFormat="false" ht="15.75" hidden="false" customHeight="false" outlineLevel="0" collapsed="false">
      <c r="B2096" s="7" t="n">
        <v>46221</v>
      </c>
      <c r="C2096" s="3" t="s">
        <v>5085</v>
      </c>
      <c r="D2096" s="3" t="s">
        <v>4014</v>
      </c>
      <c r="E2096" s="3" t="s">
        <v>5011</v>
      </c>
      <c r="F2096" s="3" t="s">
        <v>5012</v>
      </c>
      <c r="G2096" s="10" t="s">
        <v>5080</v>
      </c>
      <c r="H2096" s="9" t="s">
        <v>13</v>
      </c>
      <c r="I2096" s="9" t="s">
        <v>5084</v>
      </c>
    </row>
    <row r="2097" customFormat="false" ht="15.75" hidden="false" customHeight="false" outlineLevel="0" collapsed="false">
      <c r="B2097" s="7" t="n">
        <v>46221</v>
      </c>
      <c r="C2097" s="3" t="s">
        <v>5086</v>
      </c>
      <c r="D2097" s="3" t="s">
        <v>4014</v>
      </c>
      <c r="E2097" s="3" t="s">
        <v>5011</v>
      </c>
      <c r="F2097" s="3" t="s">
        <v>5012</v>
      </c>
      <c r="G2097" s="10" t="s">
        <v>5080</v>
      </c>
      <c r="H2097" s="9" t="s">
        <v>13</v>
      </c>
      <c r="I2097" s="9" t="s">
        <v>5087</v>
      </c>
    </row>
    <row r="2098" customFormat="false" ht="15.75" hidden="false" customHeight="false" outlineLevel="0" collapsed="false">
      <c r="B2098" s="7" t="n">
        <v>46221</v>
      </c>
      <c r="C2098" s="3" t="s">
        <v>5088</v>
      </c>
      <c r="D2098" s="3" t="s">
        <v>4014</v>
      </c>
      <c r="E2098" s="3" t="s">
        <v>5011</v>
      </c>
      <c r="F2098" s="3" t="s">
        <v>5012</v>
      </c>
      <c r="G2098" s="10" t="s">
        <v>5080</v>
      </c>
      <c r="H2098" s="9" t="s">
        <v>13</v>
      </c>
      <c r="I2098" s="9" t="s">
        <v>5087</v>
      </c>
    </row>
    <row r="2099" customFormat="false" ht="15.75" hidden="false" customHeight="false" outlineLevel="0" collapsed="false">
      <c r="B2099" s="7" t="n">
        <v>46221</v>
      </c>
      <c r="C2099" s="3" t="s">
        <v>5089</v>
      </c>
      <c r="D2099" s="3" t="s">
        <v>4014</v>
      </c>
      <c r="E2099" s="3" t="s">
        <v>5011</v>
      </c>
      <c r="F2099" s="3" t="s">
        <v>5012</v>
      </c>
      <c r="G2099" s="10" t="s">
        <v>5080</v>
      </c>
      <c r="H2099" s="9" t="s">
        <v>13</v>
      </c>
      <c r="I2099" s="9" t="s">
        <v>5087</v>
      </c>
    </row>
    <row r="2100" customFormat="false" ht="15.75" hidden="false" customHeight="false" outlineLevel="0" collapsed="false">
      <c r="B2100" s="7" t="n">
        <v>46221</v>
      </c>
      <c r="C2100" s="3" t="s">
        <v>5090</v>
      </c>
      <c r="D2100" s="3" t="s">
        <v>4014</v>
      </c>
      <c r="E2100" s="3" t="s">
        <v>5011</v>
      </c>
      <c r="F2100" s="3" t="s">
        <v>5012</v>
      </c>
      <c r="G2100" s="8" t="s">
        <v>5091</v>
      </c>
      <c r="H2100" s="9" t="s">
        <v>13</v>
      </c>
      <c r="I2100" s="9" t="s">
        <v>5092</v>
      </c>
    </row>
    <row r="2101" customFormat="false" ht="15.75" hidden="false" customHeight="false" outlineLevel="0" collapsed="false">
      <c r="B2101" s="7" t="n">
        <v>46221</v>
      </c>
      <c r="C2101" s="3" t="s">
        <v>5093</v>
      </c>
      <c r="D2101" s="3" t="s">
        <v>4014</v>
      </c>
      <c r="E2101" s="3" t="s">
        <v>5011</v>
      </c>
      <c r="F2101" s="3" t="s">
        <v>5012</v>
      </c>
      <c r="G2101" s="10" t="s">
        <v>5094</v>
      </c>
      <c r="H2101" s="9" t="s">
        <v>13</v>
      </c>
      <c r="I2101" s="9" t="s">
        <v>5095</v>
      </c>
    </row>
    <row r="2102" customFormat="false" ht="15.75" hidden="false" customHeight="false" outlineLevel="0" collapsed="false">
      <c r="B2102" s="7" t="n">
        <v>46221</v>
      </c>
      <c r="C2102" s="3" t="s">
        <v>5096</v>
      </c>
      <c r="D2102" s="3" t="s">
        <v>4014</v>
      </c>
      <c r="E2102" s="3" t="s">
        <v>5011</v>
      </c>
      <c r="F2102" s="3" t="s">
        <v>5012</v>
      </c>
      <c r="G2102" s="10" t="s">
        <v>5094</v>
      </c>
      <c r="H2102" s="9" t="s">
        <v>13</v>
      </c>
      <c r="I2102" s="9" t="s">
        <v>5097</v>
      </c>
    </row>
    <row r="2103" customFormat="false" ht="15.75" hidden="false" customHeight="false" outlineLevel="0" collapsed="false">
      <c r="B2103" s="7" t="n">
        <v>46222</v>
      </c>
      <c r="C2103" s="3" t="s">
        <v>5098</v>
      </c>
      <c r="D2103" s="3" t="s">
        <v>5099</v>
      </c>
      <c r="E2103" s="3" t="s">
        <v>5100</v>
      </c>
      <c r="F2103" s="3" t="s">
        <v>5101</v>
      </c>
      <c r="G2103" s="10" t="str">
        <f aca="false">HYPERLINK("https://www.inaturalist.org/people/nandani_bridglal","nandani_bridglal")</f>
        <v>nandani_bridglal</v>
      </c>
      <c r="H2103" s="9" t="s">
        <v>13</v>
      </c>
      <c r="I2103" s="9" t="s">
        <v>5102</v>
      </c>
    </row>
    <row r="2104" customFormat="false" ht="15.75" hidden="false" customHeight="false" outlineLevel="0" collapsed="false">
      <c r="B2104" s="7" t="n">
        <v>46222</v>
      </c>
      <c r="C2104" s="3" t="s">
        <v>5103</v>
      </c>
      <c r="D2104" s="3" t="s">
        <v>5099</v>
      </c>
      <c r="E2104" s="3" t="s">
        <v>5100</v>
      </c>
      <c r="F2104" s="3" t="s">
        <v>5101</v>
      </c>
      <c r="G2104" s="10" t="str">
        <f aca="false">HYPERLINK("https://www.inaturalist.org/people/kavinthefield","kavinthefield")</f>
        <v>kavinthefield</v>
      </c>
      <c r="H2104" s="9" t="s">
        <v>13</v>
      </c>
      <c r="I2104" s="9" t="s">
        <v>5104</v>
      </c>
    </row>
    <row r="2105" customFormat="false" ht="15.75" hidden="false" customHeight="false" outlineLevel="0" collapsed="false">
      <c r="B2105" s="7" t="n">
        <v>46222</v>
      </c>
      <c r="C2105" s="3" t="s">
        <v>5105</v>
      </c>
      <c r="D2105" s="3" t="s">
        <v>5099</v>
      </c>
      <c r="E2105" s="3" t="s">
        <v>5100</v>
      </c>
      <c r="F2105" s="3" t="s">
        <v>5101</v>
      </c>
      <c r="G2105" s="10" t="str">
        <f aca="false">HYPERLINK("https://www.inaturalist.org/people/lkc57","lkc57")</f>
        <v>lkc57</v>
      </c>
      <c r="H2105" s="9" t="s">
        <v>13</v>
      </c>
      <c r="I2105" s="9" t="s">
        <v>5106</v>
      </c>
    </row>
    <row r="2106" customFormat="false" ht="15.75" hidden="false" customHeight="false" outlineLevel="0" collapsed="false">
      <c r="B2106" s="7" t="n">
        <v>46222</v>
      </c>
      <c r="C2106" s="3" t="s">
        <v>5107</v>
      </c>
      <c r="D2106" s="3" t="s">
        <v>5099</v>
      </c>
      <c r="E2106" s="3" t="s">
        <v>5100</v>
      </c>
      <c r="F2106" s="3" t="s">
        <v>5101</v>
      </c>
      <c r="G2106" s="10" t="str">
        <f aca="false">HYPERLINK("https://www.inaturalist.org/people/lkc57","lkc57")</f>
        <v>lkc57</v>
      </c>
      <c r="H2106" s="9" t="s">
        <v>13</v>
      </c>
      <c r="I2106" s="9" t="s">
        <v>5108</v>
      </c>
    </row>
    <row r="2107" customFormat="false" ht="15.75" hidden="false" customHeight="false" outlineLevel="0" collapsed="false">
      <c r="B2107" s="7" t="n">
        <v>46222</v>
      </c>
      <c r="C2107" s="3" t="s">
        <v>5109</v>
      </c>
      <c r="D2107" s="3" t="s">
        <v>5099</v>
      </c>
      <c r="E2107" s="3" t="s">
        <v>5100</v>
      </c>
      <c r="F2107" s="3" t="s">
        <v>5101</v>
      </c>
      <c r="G2107" s="10" t="str">
        <f aca="false">HYPERLINK("https://www.inaturalist.org/people/kavinthefield","kavinthefield")</f>
        <v>kavinthefield</v>
      </c>
      <c r="H2107" s="9" t="s">
        <v>13</v>
      </c>
      <c r="I2107" s="9" t="s">
        <v>5110</v>
      </c>
    </row>
    <row r="2108" customFormat="false" ht="15.75" hidden="false" customHeight="false" outlineLevel="0" collapsed="false">
      <c r="B2108" s="7" t="n">
        <v>46222</v>
      </c>
      <c r="C2108" s="3" t="s">
        <v>5111</v>
      </c>
      <c r="D2108" s="3" t="s">
        <v>5099</v>
      </c>
      <c r="E2108" s="3" t="s">
        <v>5100</v>
      </c>
      <c r="F2108" s="3" t="s">
        <v>5101</v>
      </c>
      <c r="G2108" s="10" t="str">
        <f aca="false">HYPERLINK("https://www.inaturalist.org/people/kavinthefield","kavinthefield")</f>
        <v>kavinthefield</v>
      </c>
      <c r="H2108" s="9" t="s">
        <v>13</v>
      </c>
      <c r="I2108" s="9" t="s">
        <v>5112</v>
      </c>
    </row>
    <row r="2109" customFormat="false" ht="15.75" hidden="false" customHeight="false" outlineLevel="0" collapsed="false">
      <c r="B2109" s="7" t="n">
        <v>46222</v>
      </c>
      <c r="C2109" s="3" t="s">
        <v>5113</v>
      </c>
      <c r="D2109" s="3" t="s">
        <v>5099</v>
      </c>
      <c r="E2109" s="3" t="s">
        <v>5100</v>
      </c>
      <c r="F2109" s="3" t="s">
        <v>5101</v>
      </c>
      <c r="G2109" s="10" t="str">
        <f aca="false">HYPERLINK("https://www.inaturalist.org/people/lkc57","lkc57")</f>
        <v>lkc57</v>
      </c>
      <c r="H2109" s="9" t="s">
        <v>13</v>
      </c>
      <c r="I2109" s="9" t="s">
        <v>5114</v>
      </c>
    </row>
    <row r="2110" customFormat="false" ht="15.75" hidden="false" customHeight="false" outlineLevel="0" collapsed="false">
      <c r="B2110" s="7" t="n">
        <v>46222</v>
      </c>
      <c r="C2110" s="3" t="s">
        <v>5115</v>
      </c>
      <c r="D2110" s="3" t="s">
        <v>5099</v>
      </c>
      <c r="E2110" s="3" t="s">
        <v>5100</v>
      </c>
      <c r="F2110" s="3" t="s">
        <v>5101</v>
      </c>
      <c r="G2110" s="10" t="str">
        <f aca="false">HYPERLINK("https://www.inaturalist.org/people/kavinthefield","kavinthefield")</f>
        <v>kavinthefield</v>
      </c>
      <c r="H2110" s="9" t="s">
        <v>13</v>
      </c>
      <c r="I2110" s="9" t="s">
        <v>5116</v>
      </c>
    </row>
    <row r="2111" customFormat="false" ht="15.75" hidden="false" customHeight="false" outlineLevel="0" collapsed="false">
      <c r="B2111" s="7" t="n">
        <v>46222</v>
      </c>
      <c r="C2111" s="3" t="s">
        <v>5117</v>
      </c>
      <c r="D2111" s="3" t="s">
        <v>5099</v>
      </c>
      <c r="E2111" s="3" t="s">
        <v>5100</v>
      </c>
      <c r="F2111" s="3" t="s">
        <v>5101</v>
      </c>
      <c r="G2111" s="10" t="str">
        <f aca="false">HYPERLINK("https://www.inaturalist.org/people/fabrizio_migliore26","fabrizio_migliore26")</f>
        <v>fabrizio_migliore26</v>
      </c>
      <c r="H2111" s="9" t="s">
        <v>13</v>
      </c>
      <c r="I2111" s="9" t="s">
        <v>5118</v>
      </c>
    </row>
    <row r="2112" customFormat="false" ht="15.75" hidden="false" customHeight="false" outlineLevel="0" collapsed="false">
      <c r="B2112" s="7" t="n">
        <v>46222</v>
      </c>
      <c r="C2112" s="3" t="s">
        <v>5119</v>
      </c>
      <c r="D2112" s="3" t="s">
        <v>5099</v>
      </c>
      <c r="E2112" s="3" t="s">
        <v>5100</v>
      </c>
      <c r="F2112" s="3" t="s">
        <v>5101</v>
      </c>
      <c r="G2112" s="10" t="str">
        <f aca="false">HYPERLINK("https://www.inaturalist.org/people/ethanol_casas","ethanol_casas")</f>
        <v>ethanol_casas</v>
      </c>
      <c r="H2112" s="9" t="s">
        <v>13</v>
      </c>
      <c r="I2112" s="9" t="s">
        <v>5120</v>
      </c>
    </row>
    <row r="2113" customFormat="false" ht="15.75" hidden="false" customHeight="false" outlineLevel="0" collapsed="false">
      <c r="B2113" s="7" t="n">
        <v>46222</v>
      </c>
      <c r="C2113" s="3" t="s">
        <v>5121</v>
      </c>
      <c r="D2113" s="3" t="s">
        <v>5099</v>
      </c>
      <c r="E2113" s="3" t="s">
        <v>5100</v>
      </c>
      <c r="F2113" s="3" t="s">
        <v>5101</v>
      </c>
      <c r="G2113" s="10" t="str">
        <f aca="false">HYPERLINK("https://www.inaturalist.org/people/saidns","saidns")</f>
        <v>saidns</v>
      </c>
      <c r="H2113" s="9" t="s">
        <v>13</v>
      </c>
      <c r="I2113" s="9" t="s">
        <v>5122</v>
      </c>
    </row>
    <row r="2114" customFormat="false" ht="15.75" hidden="false" customHeight="false" outlineLevel="0" collapsed="false">
      <c r="B2114" s="7" t="n">
        <v>46222</v>
      </c>
      <c r="C2114" s="3" t="s">
        <v>5123</v>
      </c>
      <c r="D2114" s="3" t="s">
        <v>5099</v>
      </c>
      <c r="E2114" s="3" t="s">
        <v>5100</v>
      </c>
      <c r="F2114" s="3" t="s">
        <v>5101</v>
      </c>
      <c r="G2114" s="10" t="str">
        <f aca="false">HYPERLINK("https://www.inaturalist.org/people/nickmoore91","nickmoore91")</f>
        <v>nickmoore91</v>
      </c>
      <c r="H2114" s="9" t="s">
        <v>13</v>
      </c>
      <c r="I2114" s="9" t="s">
        <v>5124</v>
      </c>
    </row>
    <row r="2115" customFormat="false" ht="15.75" hidden="false" customHeight="false" outlineLevel="0" collapsed="false">
      <c r="B2115" s="7" t="n">
        <v>46222</v>
      </c>
      <c r="C2115" s="3" t="s">
        <v>5125</v>
      </c>
      <c r="D2115" s="3" t="s">
        <v>5099</v>
      </c>
      <c r="E2115" s="3" t="s">
        <v>5100</v>
      </c>
      <c r="F2115" s="3" t="s">
        <v>5101</v>
      </c>
      <c r="G2115" s="10" t="str">
        <f aca="false">HYPERLINK("https://www.inaturalist.org/people/amydeacontt","amydeacontt")</f>
        <v>amydeacontt</v>
      </c>
      <c r="H2115" s="9" t="s">
        <v>13</v>
      </c>
      <c r="I2115" s="9" t="s">
        <v>5126</v>
      </c>
    </row>
    <row r="2116" customFormat="false" ht="15.75" hidden="false" customHeight="false" outlineLevel="0" collapsed="false">
      <c r="B2116" s="7" t="n">
        <v>46222</v>
      </c>
      <c r="C2116" s="3" t="s">
        <v>5127</v>
      </c>
      <c r="D2116" s="3" t="s">
        <v>5099</v>
      </c>
      <c r="E2116" s="3" t="s">
        <v>5100</v>
      </c>
      <c r="F2116" s="3" t="s">
        <v>5101</v>
      </c>
      <c r="G2116" s="10" t="str">
        <f aca="false">HYPERLINK("https://www.inaturalist.org/people/lkc57","lkc57")</f>
        <v>lkc57</v>
      </c>
      <c r="H2116" s="9" t="s">
        <v>13</v>
      </c>
      <c r="I2116" s="9" t="s">
        <v>5128</v>
      </c>
    </row>
    <row r="2117" customFormat="false" ht="15.75" hidden="false" customHeight="false" outlineLevel="0" collapsed="false">
      <c r="B2117" s="7" t="n">
        <v>46222</v>
      </c>
      <c r="C2117" s="3" t="s">
        <v>5129</v>
      </c>
      <c r="D2117" s="3" t="s">
        <v>5099</v>
      </c>
      <c r="E2117" s="3" t="s">
        <v>5100</v>
      </c>
      <c r="F2117" s="3" t="s">
        <v>5101</v>
      </c>
      <c r="G2117" s="10" t="str">
        <f aca="false">HYPERLINK("https://www.inaturalist.org/people/ethanol_casas","ethanol_casas")</f>
        <v>ethanol_casas</v>
      </c>
      <c r="H2117" s="9" t="s">
        <v>13</v>
      </c>
      <c r="I2117" s="9" t="s">
        <v>5130</v>
      </c>
    </row>
    <row r="2118" customFormat="false" ht="15.75" hidden="false" customHeight="false" outlineLevel="0" collapsed="false">
      <c r="B2118" s="7" t="n">
        <v>46222</v>
      </c>
      <c r="C2118" s="3" t="s">
        <v>5131</v>
      </c>
      <c r="D2118" s="3" t="s">
        <v>5099</v>
      </c>
      <c r="E2118" s="3" t="s">
        <v>5100</v>
      </c>
      <c r="F2118" s="3" t="s">
        <v>5101</v>
      </c>
      <c r="G2118" s="10" t="str">
        <f aca="false">HYPERLINK("https://www.inaturalist.org/people/ethanol_casas","ethanol_casas")</f>
        <v>ethanol_casas</v>
      </c>
      <c r="H2118" s="9" t="s">
        <v>13</v>
      </c>
      <c r="I2118" s="9" t="s">
        <v>5132</v>
      </c>
    </row>
    <row r="2119" customFormat="false" ht="15.75" hidden="false" customHeight="false" outlineLevel="0" collapsed="false">
      <c r="B2119" s="7" t="n">
        <v>46222</v>
      </c>
      <c r="C2119" s="3" t="s">
        <v>5133</v>
      </c>
      <c r="D2119" s="3" t="s">
        <v>5099</v>
      </c>
      <c r="E2119" s="3" t="s">
        <v>5100</v>
      </c>
      <c r="F2119" s="3" t="s">
        <v>5101</v>
      </c>
      <c r="G2119" s="10" t="str">
        <f aca="false">HYPERLINK("https://www.inaturalist.org/people/perezblancoja","perezblancoja")</f>
        <v>perezblancoja</v>
      </c>
      <c r="H2119" s="9" t="s">
        <v>13</v>
      </c>
      <c r="I2119" s="9" t="s">
        <v>5134</v>
      </c>
    </row>
    <row r="2120" customFormat="false" ht="15.75" hidden="false" customHeight="false" outlineLevel="0" collapsed="false">
      <c r="B2120" s="7" t="n">
        <v>46222</v>
      </c>
      <c r="C2120" s="3" t="s">
        <v>5135</v>
      </c>
      <c r="D2120" s="3" t="s">
        <v>5099</v>
      </c>
      <c r="E2120" s="3" t="s">
        <v>5100</v>
      </c>
      <c r="F2120" s="3" t="s">
        <v>5101</v>
      </c>
      <c r="G2120" s="10" t="str">
        <f aca="false">HYPERLINK("https://www.inaturalist.org/people/ethanol_casas","ethanol_casas")</f>
        <v>ethanol_casas</v>
      </c>
      <c r="H2120" s="9" t="s">
        <v>13</v>
      </c>
      <c r="I2120" s="9" t="s">
        <v>5136</v>
      </c>
    </row>
    <row r="2121" customFormat="false" ht="15.75" hidden="false" customHeight="false" outlineLevel="0" collapsed="false">
      <c r="B2121" s="7" t="n">
        <v>46222</v>
      </c>
      <c r="C2121" s="3" t="s">
        <v>5137</v>
      </c>
      <c r="D2121" s="3" t="s">
        <v>5099</v>
      </c>
      <c r="E2121" s="3" t="s">
        <v>5100</v>
      </c>
      <c r="F2121" s="3" t="s">
        <v>5101</v>
      </c>
      <c r="G2121" s="10" t="str">
        <f aca="false">HYPERLINK("https://www.inaturalist.org/people/kavinthefield","kavinthefield")</f>
        <v>kavinthefield</v>
      </c>
      <c r="H2121" s="9" t="s">
        <v>13</v>
      </c>
      <c r="I2121" s="9" t="s">
        <v>5138</v>
      </c>
    </row>
    <row r="2122" customFormat="false" ht="15.75" hidden="false" customHeight="false" outlineLevel="0" collapsed="false">
      <c r="B2122" s="7" t="n">
        <v>46222</v>
      </c>
      <c r="C2122" s="3" t="s">
        <v>5139</v>
      </c>
      <c r="D2122" s="3" t="s">
        <v>5099</v>
      </c>
      <c r="E2122" s="3" t="s">
        <v>5100</v>
      </c>
      <c r="F2122" s="3" t="s">
        <v>5101</v>
      </c>
      <c r="G2122" s="10" t="str">
        <f aca="false">HYPERLINK("https://www.inaturalist.org/people/saifudeen_muhammad","saifudeen_muhammad")</f>
        <v>saifudeen_muhammad</v>
      </c>
      <c r="H2122" s="9" t="s">
        <v>13</v>
      </c>
      <c r="I2122" s="9" t="s">
        <v>5140</v>
      </c>
    </row>
    <row r="2123" customFormat="false" ht="15.75" hidden="false" customHeight="false" outlineLevel="0" collapsed="false">
      <c r="B2123" s="7" t="n">
        <v>46222</v>
      </c>
      <c r="C2123" s="3" t="s">
        <v>5141</v>
      </c>
      <c r="D2123" s="3" t="s">
        <v>5099</v>
      </c>
      <c r="E2123" s="3" t="s">
        <v>5100</v>
      </c>
      <c r="F2123" s="3" t="s">
        <v>5101</v>
      </c>
      <c r="G2123" s="10" t="str">
        <f aca="false">HYPERLINK("https://www.inaturalist.org/people/drwstk","drwstk")</f>
        <v>drwstk</v>
      </c>
      <c r="H2123" s="9" t="s">
        <v>13</v>
      </c>
      <c r="I2123" s="9" t="s">
        <v>5142</v>
      </c>
    </row>
    <row r="2124" customFormat="false" ht="15.75" hidden="false" customHeight="false" outlineLevel="0" collapsed="false">
      <c r="B2124" s="7" t="n">
        <v>46222</v>
      </c>
      <c r="C2124" s="3" t="s">
        <v>5143</v>
      </c>
      <c r="D2124" s="3" t="s">
        <v>5099</v>
      </c>
      <c r="E2124" s="3" t="s">
        <v>5100</v>
      </c>
      <c r="F2124" s="3" t="s">
        <v>5101</v>
      </c>
      <c r="G2124" s="10" t="str">
        <f aca="false">HYPERLINK("https://www.inaturalist.org/people/kavinthefield","kavinthefield")</f>
        <v>kavinthefield</v>
      </c>
      <c r="H2124" s="9" t="s">
        <v>13</v>
      </c>
      <c r="I2124" s="9" t="s">
        <v>5144</v>
      </c>
    </row>
    <row r="2125" customFormat="false" ht="15.75" hidden="false" customHeight="false" outlineLevel="0" collapsed="false">
      <c r="B2125" s="7" t="n">
        <v>46222</v>
      </c>
      <c r="C2125" s="3" t="s">
        <v>5145</v>
      </c>
      <c r="D2125" s="3" t="s">
        <v>5099</v>
      </c>
      <c r="E2125" s="3" t="s">
        <v>5100</v>
      </c>
      <c r="F2125" s="3" t="s">
        <v>5101</v>
      </c>
      <c r="G2125" s="10" t="str">
        <f aca="false">HYPERLINK("https://www.inaturalist.org/people/kavinthefield","kavinthefield")</f>
        <v>kavinthefield</v>
      </c>
      <c r="H2125" s="9" t="s">
        <v>13</v>
      </c>
      <c r="I2125" s="9" t="s">
        <v>5146</v>
      </c>
    </row>
    <row r="2126" customFormat="false" ht="15.75" hidden="false" customHeight="false" outlineLevel="0" collapsed="false">
      <c r="B2126" s="7" t="n">
        <v>46222</v>
      </c>
      <c r="C2126" s="3" t="s">
        <v>5147</v>
      </c>
      <c r="D2126" s="3" t="s">
        <v>5099</v>
      </c>
      <c r="E2126" s="3" t="s">
        <v>5100</v>
      </c>
      <c r="F2126" s="3" t="s">
        <v>5101</v>
      </c>
      <c r="G2126" s="10" t="str">
        <f aca="false">HYPERLINK("https://www.inaturalist.org/people/fabrizio_migliore26","fabrizio_migliore26")</f>
        <v>fabrizio_migliore26</v>
      </c>
      <c r="H2126" s="9" t="s">
        <v>13</v>
      </c>
      <c r="I2126" s="9" t="s">
        <v>5148</v>
      </c>
    </row>
    <row r="2127" customFormat="false" ht="15.75" hidden="false" customHeight="false" outlineLevel="0" collapsed="false">
      <c r="B2127" s="7" t="n">
        <v>46222</v>
      </c>
      <c r="C2127" s="3" t="s">
        <v>5149</v>
      </c>
      <c r="D2127" s="3" t="s">
        <v>5099</v>
      </c>
      <c r="E2127" s="3" t="s">
        <v>5100</v>
      </c>
      <c r="F2127" s="3" t="s">
        <v>5101</v>
      </c>
      <c r="G2127" s="10" t="str">
        <f aca="false">HYPERLINK("https://www.inaturalist.org/people/kavinthefield","kavinthefield")</f>
        <v>kavinthefield</v>
      </c>
      <c r="H2127" s="9" t="s">
        <v>13</v>
      </c>
      <c r="I2127" s="9" t="s">
        <v>5150</v>
      </c>
    </row>
    <row r="2128" customFormat="false" ht="15.75" hidden="false" customHeight="false" outlineLevel="0" collapsed="false">
      <c r="B2128" s="7" t="n">
        <v>46222</v>
      </c>
      <c r="C2128" s="3" t="s">
        <v>5151</v>
      </c>
      <c r="D2128" s="3" t="s">
        <v>5099</v>
      </c>
      <c r="E2128" s="3" t="s">
        <v>5100</v>
      </c>
      <c r="F2128" s="3" t="s">
        <v>5101</v>
      </c>
      <c r="G2128" s="10" t="str">
        <f aca="false">HYPERLINK("https://www.inaturalist.org/people/g_ramsundar","g_ramsundar")</f>
        <v>g_ramsundar</v>
      </c>
      <c r="H2128" s="9" t="s">
        <v>13</v>
      </c>
      <c r="I2128" s="9" t="s">
        <v>5152</v>
      </c>
    </row>
    <row r="2129" customFormat="false" ht="15.75" hidden="false" customHeight="false" outlineLevel="0" collapsed="false">
      <c r="B2129" s="7" t="n">
        <v>46222</v>
      </c>
      <c r="C2129" s="3" t="s">
        <v>5153</v>
      </c>
      <c r="D2129" s="3" t="s">
        <v>5099</v>
      </c>
      <c r="E2129" s="3" t="s">
        <v>5100</v>
      </c>
      <c r="F2129" s="3" t="s">
        <v>5101</v>
      </c>
      <c r="G2129" s="10" t="str">
        <f aca="false">HYPERLINK("https://www.inaturalist.org/people/kavinthefield","kavinthefield")</f>
        <v>kavinthefield</v>
      </c>
      <c r="H2129" s="9" t="s">
        <v>13</v>
      </c>
      <c r="I2129" s="9" t="s">
        <v>5154</v>
      </c>
    </row>
    <row r="2130" customFormat="false" ht="15.75" hidden="false" customHeight="false" outlineLevel="0" collapsed="false">
      <c r="B2130" s="7" t="n">
        <v>46222</v>
      </c>
      <c r="C2130" s="3" t="s">
        <v>5155</v>
      </c>
      <c r="D2130" s="3" t="s">
        <v>5099</v>
      </c>
      <c r="E2130" s="3" t="s">
        <v>5100</v>
      </c>
      <c r="F2130" s="3" t="s">
        <v>5101</v>
      </c>
      <c r="G2130" s="10" t="str">
        <f aca="false">HYPERLINK("https://www.inaturalist.org/people/sw3","sw3")</f>
        <v>sw3</v>
      </c>
      <c r="H2130" s="9" t="s">
        <v>13</v>
      </c>
      <c r="I2130" s="9" t="s">
        <v>5156</v>
      </c>
    </row>
    <row r="2131" customFormat="false" ht="15.75" hidden="false" customHeight="false" outlineLevel="0" collapsed="false">
      <c r="B2131" s="7" t="n">
        <v>46222</v>
      </c>
      <c r="C2131" s="3" t="s">
        <v>5157</v>
      </c>
      <c r="D2131" s="3" t="s">
        <v>5099</v>
      </c>
      <c r="E2131" s="3" t="s">
        <v>5100</v>
      </c>
      <c r="F2131" s="3" t="s">
        <v>5101</v>
      </c>
      <c r="G2131" s="10" t="str">
        <f aca="false">HYPERLINK("https://www.inaturalist.org/people/sw3","sw3")</f>
        <v>sw3</v>
      </c>
      <c r="H2131" s="9" t="s">
        <v>13</v>
      </c>
      <c r="I2131" s="9" t="s">
        <v>5158</v>
      </c>
    </row>
    <row r="2132" customFormat="false" ht="15.75" hidden="false" customHeight="false" outlineLevel="0" collapsed="false">
      <c r="B2132" s="7" t="n">
        <v>46222</v>
      </c>
      <c r="C2132" s="3" t="s">
        <v>5159</v>
      </c>
      <c r="D2132" s="3" t="s">
        <v>5099</v>
      </c>
      <c r="E2132" s="3" t="s">
        <v>5100</v>
      </c>
      <c r="F2132" s="3" t="s">
        <v>5101</v>
      </c>
      <c r="G2132" s="10" t="str">
        <f aca="false">HYPERLINK("https://www.inaturalist.org/people/alfredcrew","alfredcrew")</f>
        <v>alfredcrew</v>
      </c>
      <c r="H2132" s="9" t="s">
        <v>13</v>
      </c>
      <c r="I2132" s="9" t="s">
        <v>5160</v>
      </c>
    </row>
    <row r="2133" customFormat="false" ht="15.75" hidden="false" customHeight="false" outlineLevel="0" collapsed="false">
      <c r="B2133" s="7" t="n">
        <v>46222</v>
      </c>
      <c r="C2133" s="3" t="s">
        <v>5161</v>
      </c>
      <c r="D2133" s="3" t="s">
        <v>5099</v>
      </c>
      <c r="E2133" s="3" t="s">
        <v>5100</v>
      </c>
      <c r="F2133" s="3" t="s">
        <v>5101</v>
      </c>
      <c r="G2133" s="10" t="str">
        <f aca="false">HYPERLINK("https://www.inaturalist.org/people/mewl23","mewl23")</f>
        <v>mewl23</v>
      </c>
      <c r="H2133" s="9" t="s">
        <v>13</v>
      </c>
      <c r="I2133" s="9" t="s">
        <v>5162</v>
      </c>
    </row>
    <row r="2134" customFormat="false" ht="15.75" hidden="false" customHeight="false" outlineLevel="0" collapsed="false">
      <c r="B2134" s="7" t="n">
        <v>46222</v>
      </c>
      <c r="C2134" s="3" t="s">
        <v>5163</v>
      </c>
      <c r="D2134" s="3" t="s">
        <v>5099</v>
      </c>
      <c r="E2134" s="3" t="s">
        <v>5100</v>
      </c>
      <c r="F2134" s="3" t="s">
        <v>5101</v>
      </c>
      <c r="G2134" s="10" t="str">
        <f aca="false">HYPERLINK("https://www.inaturalist.org/people/saifudeen_muhammad","saifudeen_muhammad")</f>
        <v>saifudeen_muhammad</v>
      </c>
      <c r="H2134" s="9" t="s">
        <v>13</v>
      </c>
      <c r="I2134" s="9" t="s">
        <v>5164</v>
      </c>
    </row>
    <row r="2135" customFormat="false" ht="15.75" hidden="false" customHeight="false" outlineLevel="0" collapsed="false">
      <c r="B2135" s="7" t="n">
        <v>46222</v>
      </c>
      <c r="C2135" s="3" t="s">
        <v>5165</v>
      </c>
      <c r="D2135" s="3" t="s">
        <v>5099</v>
      </c>
      <c r="E2135" s="3" t="s">
        <v>5100</v>
      </c>
      <c r="F2135" s="3" t="s">
        <v>5101</v>
      </c>
      <c r="G2135" s="10" t="str">
        <f aca="false">HYPERLINK("https://www.inaturalist.org/people/brystrange","brystrange")</f>
        <v>brystrange</v>
      </c>
      <c r="H2135" s="9" t="s">
        <v>13</v>
      </c>
      <c r="I2135" s="9" t="s">
        <v>5166</v>
      </c>
    </row>
    <row r="2136" customFormat="false" ht="15.75" hidden="false" customHeight="false" outlineLevel="0" collapsed="false">
      <c r="B2136" s="7" t="n">
        <v>46222</v>
      </c>
      <c r="C2136" s="3" t="s">
        <v>5167</v>
      </c>
      <c r="D2136" s="3" t="s">
        <v>5099</v>
      </c>
      <c r="E2136" s="3" t="s">
        <v>5100</v>
      </c>
      <c r="F2136" s="3" t="s">
        <v>5101</v>
      </c>
      <c r="G2136" s="10" t="str">
        <f aca="false">HYPERLINK("https://www.inaturalist.org/people/jbelmont_","jbelmont_")</f>
        <v>jbelmont_</v>
      </c>
      <c r="H2136" s="9" t="s">
        <v>13</v>
      </c>
      <c r="I2136" s="9" t="s">
        <v>5168</v>
      </c>
    </row>
    <row r="2137" customFormat="false" ht="15.75" hidden="false" customHeight="false" outlineLevel="0" collapsed="false">
      <c r="B2137" s="7" t="n">
        <v>46222</v>
      </c>
      <c r="C2137" s="3" t="s">
        <v>5169</v>
      </c>
      <c r="D2137" s="3" t="s">
        <v>5099</v>
      </c>
      <c r="E2137" s="3" t="s">
        <v>5100</v>
      </c>
      <c r="F2137" s="3" t="s">
        <v>5101</v>
      </c>
      <c r="G2137" s="10" t="str">
        <f aca="false">HYPERLINK("https://www.inaturalist.org/people/mewl23","mewl23")</f>
        <v>mewl23</v>
      </c>
      <c r="H2137" s="9" t="s">
        <v>13</v>
      </c>
      <c r="I2137" s="9" t="s">
        <v>5170</v>
      </c>
    </row>
    <row r="2138" customFormat="false" ht="15.75" hidden="false" customHeight="false" outlineLevel="0" collapsed="false">
      <c r="B2138" s="7" t="n">
        <v>46222</v>
      </c>
      <c r="C2138" s="3" t="s">
        <v>5171</v>
      </c>
      <c r="D2138" s="3" t="s">
        <v>5099</v>
      </c>
      <c r="E2138" s="3" t="s">
        <v>5100</v>
      </c>
      <c r="F2138" s="3" t="s">
        <v>5172</v>
      </c>
      <c r="G2138" s="10" t="str">
        <f aca="false">HYPERLINK("https://www.inaturalist.org/people/nirelharmon","nirelharmon")</f>
        <v>nirelharmon</v>
      </c>
      <c r="H2138" s="9" t="s">
        <v>13</v>
      </c>
      <c r="I2138" s="9" t="s">
        <v>5173</v>
      </c>
    </row>
    <row r="2139" customFormat="false" ht="15.75" hidden="false" customHeight="false" outlineLevel="0" collapsed="false">
      <c r="B2139" s="7" t="n">
        <v>46222</v>
      </c>
      <c r="C2139" s="3" t="s">
        <v>5174</v>
      </c>
      <c r="D2139" s="3" t="s">
        <v>5099</v>
      </c>
      <c r="E2139" s="3" t="s">
        <v>5100</v>
      </c>
      <c r="F2139" s="3" t="s">
        <v>5172</v>
      </c>
      <c r="G2139" s="10" t="str">
        <f aca="false">HYPERLINK("https://www.inaturalist.org/people/freek51885","freek51885")</f>
        <v>freek51885</v>
      </c>
      <c r="H2139" s="9" t="s">
        <v>13</v>
      </c>
      <c r="I2139" s="9" t="s">
        <v>5175</v>
      </c>
    </row>
    <row r="2140" customFormat="false" ht="15.75" hidden="false" customHeight="false" outlineLevel="0" collapsed="false">
      <c r="B2140" s="7" t="n">
        <v>46222</v>
      </c>
      <c r="C2140" s="3" t="s">
        <v>5176</v>
      </c>
      <c r="D2140" s="3" t="s">
        <v>5099</v>
      </c>
      <c r="E2140" s="3" t="s">
        <v>5100</v>
      </c>
      <c r="F2140" s="3" t="s">
        <v>5172</v>
      </c>
      <c r="G2140" s="10" t="str">
        <f aca="false">HYPERLINK("https://www.inaturalist.org/people/lucky_1660","lucky_1660")</f>
        <v>lucky_1660</v>
      </c>
      <c r="H2140" s="9" t="s">
        <v>13</v>
      </c>
      <c r="I2140" s="9" t="s">
        <v>5177</v>
      </c>
    </row>
    <row r="2141" customFormat="false" ht="15.75" hidden="false" customHeight="false" outlineLevel="0" collapsed="false">
      <c r="B2141" s="7" t="n">
        <v>46222</v>
      </c>
      <c r="C2141" s="3" t="s">
        <v>5178</v>
      </c>
      <c r="D2141" s="3" t="s">
        <v>5099</v>
      </c>
      <c r="E2141" s="3" t="s">
        <v>5100</v>
      </c>
      <c r="F2141" s="3" t="s">
        <v>5172</v>
      </c>
      <c r="G2141" s="10" t="str">
        <f aca="false">HYPERLINK("https://www.inaturalist.org/people/james81711","james81711")</f>
        <v>james81711</v>
      </c>
      <c r="H2141" s="9" t="s">
        <v>13</v>
      </c>
      <c r="I2141" s="9" t="s">
        <v>5179</v>
      </c>
    </row>
    <row r="2142" customFormat="false" ht="15.75" hidden="false" customHeight="false" outlineLevel="0" collapsed="false">
      <c r="B2142" s="7" t="n">
        <v>46222</v>
      </c>
      <c r="C2142" s="3" t="s">
        <v>5180</v>
      </c>
      <c r="D2142" s="3" t="s">
        <v>5099</v>
      </c>
      <c r="E2142" s="3" t="s">
        <v>5100</v>
      </c>
      <c r="F2142" s="3" t="s">
        <v>5172</v>
      </c>
      <c r="G2142" s="10" t="str">
        <f aca="false">HYPERLINK("https://www.inaturalist.org/people/liambee","liambee")</f>
        <v>liambee</v>
      </c>
      <c r="H2142" s="9" t="s">
        <v>13</v>
      </c>
      <c r="I2142" s="9" t="s">
        <v>5181</v>
      </c>
    </row>
    <row r="2143" customFormat="false" ht="15.75" hidden="false" customHeight="false" outlineLevel="0" collapsed="false">
      <c r="B2143" s="7" t="n">
        <v>46222</v>
      </c>
      <c r="C2143" s="3" t="s">
        <v>5182</v>
      </c>
      <c r="D2143" s="3" t="s">
        <v>5099</v>
      </c>
      <c r="E2143" s="3" t="s">
        <v>5100</v>
      </c>
      <c r="F2143" s="3" t="s">
        <v>5172</v>
      </c>
      <c r="G2143" s="10" t="str">
        <f aca="false">HYPERLINK("https://www.inaturalist.org/people/johndreynolds","johndreynolds")</f>
        <v>johndreynolds</v>
      </c>
      <c r="H2143" s="9" t="s">
        <v>13</v>
      </c>
      <c r="I2143" s="9" t="s">
        <v>5183</v>
      </c>
    </row>
    <row r="2144" customFormat="false" ht="15.75" hidden="false" customHeight="false" outlineLevel="0" collapsed="false">
      <c r="B2144" s="7" t="n">
        <v>46222</v>
      </c>
      <c r="C2144" s="3" t="s">
        <v>5184</v>
      </c>
      <c r="D2144" s="3" t="s">
        <v>5099</v>
      </c>
      <c r="E2144" s="3" t="s">
        <v>5100</v>
      </c>
      <c r="F2144" s="3" t="s">
        <v>5172</v>
      </c>
      <c r="G2144" s="10" t="str">
        <f aca="false">HYPERLINK("https://www.inaturalist.org/people/frogman44","frogman44")</f>
        <v>frogman44</v>
      </c>
      <c r="H2144" s="9" t="s">
        <v>13</v>
      </c>
      <c r="I2144" s="9" t="s">
        <v>5185</v>
      </c>
    </row>
    <row r="2145" customFormat="false" ht="15.75" hidden="false" customHeight="false" outlineLevel="0" collapsed="false">
      <c r="B2145" s="7" t="n">
        <v>46222</v>
      </c>
      <c r="C2145" s="3" t="s">
        <v>5186</v>
      </c>
      <c r="D2145" s="3" t="s">
        <v>5099</v>
      </c>
      <c r="E2145" s="3" t="s">
        <v>5100</v>
      </c>
      <c r="F2145" s="3" t="s">
        <v>5172</v>
      </c>
      <c r="G2145" s="10" t="str">
        <f aca="false">HYPERLINK("https://www.inaturalist.org/people/lanceolatus","lanceolatus")</f>
        <v>lanceolatus</v>
      </c>
      <c r="H2145" s="9" t="s">
        <v>13</v>
      </c>
      <c r="I2145" s="9" t="s">
        <v>5187</v>
      </c>
    </row>
    <row r="2146" customFormat="false" ht="15.75" hidden="false" customHeight="false" outlineLevel="0" collapsed="false">
      <c r="B2146" s="7" t="n">
        <v>46222</v>
      </c>
      <c r="C2146" s="3" t="s">
        <v>5188</v>
      </c>
      <c r="D2146" s="3" t="s">
        <v>5099</v>
      </c>
      <c r="E2146" s="3" t="s">
        <v>5100</v>
      </c>
      <c r="F2146" s="3" t="s">
        <v>5172</v>
      </c>
      <c r="G2146" s="10" t="str">
        <f aca="false">HYPERLINK("https://www.inaturalist.org/people/magiesrb","magiesrb")</f>
        <v>magiesrb</v>
      </c>
      <c r="H2146" s="9" t="s">
        <v>13</v>
      </c>
      <c r="I2146" s="9" t="s">
        <v>5189</v>
      </c>
    </row>
    <row r="2147" customFormat="false" ht="15.75" hidden="false" customHeight="false" outlineLevel="0" collapsed="false">
      <c r="B2147" s="7" t="n">
        <v>46222</v>
      </c>
      <c r="C2147" s="3" t="s">
        <v>5190</v>
      </c>
      <c r="D2147" s="3" t="s">
        <v>5099</v>
      </c>
      <c r="E2147" s="3" t="s">
        <v>5100</v>
      </c>
      <c r="F2147" s="3" t="s">
        <v>5172</v>
      </c>
      <c r="G2147" s="10" t="str">
        <f aca="false">HYPERLINK("https://www.inaturalist.org/people/tyler_shaffer","tyler_shaffer")</f>
        <v>tyler_shaffer</v>
      </c>
      <c r="H2147" s="9" t="s">
        <v>13</v>
      </c>
      <c r="I2147" s="9" t="s">
        <v>5191</v>
      </c>
    </row>
    <row r="2148" customFormat="false" ht="15.75" hidden="false" customHeight="false" outlineLevel="0" collapsed="false">
      <c r="B2148" s="7" t="n">
        <v>46222</v>
      </c>
      <c r="C2148" s="3" t="s">
        <v>5192</v>
      </c>
      <c r="D2148" s="3" t="s">
        <v>5099</v>
      </c>
      <c r="E2148" s="3" t="s">
        <v>5100</v>
      </c>
      <c r="F2148" s="3" t="s">
        <v>5172</v>
      </c>
      <c r="G2148" s="10" t="str">
        <f aca="false">HYPERLINK("https://www.inaturalist.org/people/angel_matamoros","angel_matamoros")</f>
        <v>angel_matamoros</v>
      </c>
      <c r="H2148" s="9" t="s">
        <v>13</v>
      </c>
      <c r="I2148" s="9" t="s">
        <v>5193</v>
      </c>
    </row>
    <row r="2149" customFormat="false" ht="15.75" hidden="false" customHeight="false" outlineLevel="0" collapsed="false">
      <c r="B2149" s="7" t="n">
        <v>46222</v>
      </c>
      <c r="C2149" s="3" t="s">
        <v>5194</v>
      </c>
      <c r="D2149" s="3" t="s">
        <v>5099</v>
      </c>
      <c r="E2149" s="3" t="s">
        <v>5100</v>
      </c>
      <c r="F2149" s="3" t="s">
        <v>5172</v>
      </c>
      <c r="G2149" s="10" t="str">
        <f aca="false">HYPERLINK("https://www.inaturalist.org/people/villalobos_alejandro","villalobos_alejandro")</f>
        <v>villalobos_alejandro</v>
      </c>
      <c r="H2149" s="9" t="s">
        <v>13</v>
      </c>
      <c r="I2149" s="9" t="s">
        <v>5195</v>
      </c>
    </row>
    <row r="2150" customFormat="false" ht="15.75" hidden="false" customHeight="false" outlineLevel="0" collapsed="false">
      <c r="B2150" s="7" t="n">
        <v>46222</v>
      </c>
      <c r="C2150" s="3" t="s">
        <v>5196</v>
      </c>
      <c r="D2150" s="3" t="s">
        <v>5099</v>
      </c>
      <c r="E2150" s="3" t="s">
        <v>5100</v>
      </c>
      <c r="F2150" s="3" t="s">
        <v>5172</v>
      </c>
      <c r="G2150" s="10" t="str">
        <f aca="false">HYPERLINK("https://www.inaturalist.org/people/rkostecke","rkostecke")</f>
        <v>rkostecke</v>
      </c>
      <c r="H2150" s="9" t="s">
        <v>13</v>
      </c>
      <c r="I2150" s="9" t="s">
        <v>5197</v>
      </c>
    </row>
    <row r="2151" customFormat="false" ht="15.75" hidden="false" customHeight="false" outlineLevel="0" collapsed="false">
      <c r="B2151" s="7" t="n">
        <v>46222</v>
      </c>
      <c r="C2151" s="3" t="s">
        <v>5198</v>
      </c>
      <c r="D2151" s="3" t="s">
        <v>5099</v>
      </c>
      <c r="E2151" s="3" t="s">
        <v>5100</v>
      </c>
      <c r="F2151" s="3" t="s">
        <v>5172</v>
      </c>
      <c r="G2151" s="10" t="str">
        <f aca="false">HYPERLINK("https://www.inaturalist.org/people/tk-421","tk-421")</f>
        <v>tk-421</v>
      </c>
      <c r="H2151" s="9" t="s">
        <v>13</v>
      </c>
      <c r="I2151" s="9" t="s">
        <v>5199</v>
      </c>
    </row>
    <row r="2152" customFormat="false" ht="15.75" hidden="false" customHeight="false" outlineLevel="0" collapsed="false">
      <c r="B2152" s="7" t="n">
        <v>46222</v>
      </c>
      <c r="C2152" s="3" t="s">
        <v>5200</v>
      </c>
      <c r="D2152" s="3" t="s">
        <v>5099</v>
      </c>
      <c r="E2152" s="3" t="s">
        <v>5100</v>
      </c>
      <c r="F2152" s="3" t="s">
        <v>5172</v>
      </c>
      <c r="G2152" s="10" t="str">
        <f aca="false">HYPERLINK("https://www.inaturalist.org/people/tk-421","tk-421")</f>
        <v>tk-421</v>
      </c>
      <c r="H2152" s="9" t="s">
        <v>13</v>
      </c>
      <c r="I2152" s="9" t="s">
        <v>5201</v>
      </c>
    </row>
    <row r="2153" customFormat="false" ht="15.75" hidden="false" customHeight="false" outlineLevel="0" collapsed="false">
      <c r="B2153" s="7" t="n">
        <v>46222</v>
      </c>
      <c r="C2153" s="3" t="s">
        <v>5202</v>
      </c>
      <c r="D2153" s="3" t="s">
        <v>5099</v>
      </c>
      <c r="E2153" s="3" t="s">
        <v>5100</v>
      </c>
      <c r="F2153" s="3" t="s">
        <v>5172</v>
      </c>
      <c r="G2153" s="10" t="str">
        <f aca="false">HYPERLINK("https://www.inaturalist.org/people/rkostecke","rkostecke")</f>
        <v>rkostecke</v>
      </c>
      <c r="H2153" s="9" t="s">
        <v>13</v>
      </c>
      <c r="I2153" s="9" t="s">
        <v>5203</v>
      </c>
    </row>
    <row r="2154" customFormat="false" ht="15.75" hidden="false" customHeight="false" outlineLevel="0" collapsed="false">
      <c r="B2154" s="7" t="n">
        <v>46222</v>
      </c>
      <c r="C2154" s="3" t="s">
        <v>5204</v>
      </c>
      <c r="D2154" s="3" t="s">
        <v>5099</v>
      </c>
      <c r="E2154" s="3" t="s">
        <v>5100</v>
      </c>
      <c r="F2154" s="3" t="s">
        <v>5172</v>
      </c>
      <c r="G2154" s="10" t="str">
        <f aca="false">HYPERLINK("https://www.inaturalist.org/people/rkostecke","rkostecke")</f>
        <v>rkostecke</v>
      </c>
      <c r="H2154" s="9" t="s">
        <v>13</v>
      </c>
      <c r="I2154" s="9" t="s">
        <v>5205</v>
      </c>
    </row>
    <row r="2155" customFormat="false" ht="15.75" hidden="false" customHeight="false" outlineLevel="0" collapsed="false">
      <c r="B2155" s="7" t="n">
        <v>46222</v>
      </c>
      <c r="C2155" s="3" t="s">
        <v>5206</v>
      </c>
      <c r="D2155" s="3" t="s">
        <v>5099</v>
      </c>
      <c r="E2155" s="3" t="s">
        <v>5100</v>
      </c>
      <c r="F2155" s="3" t="s">
        <v>5172</v>
      </c>
      <c r="G2155" s="10" t="str">
        <f aca="false">HYPERLINK("https://www.inaturalist.org/people/coreyhusic","coreyhusic")</f>
        <v>coreyhusic</v>
      </c>
      <c r="H2155" s="9" t="s">
        <v>13</v>
      </c>
      <c r="I2155" s="9" t="s">
        <v>5207</v>
      </c>
    </row>
    <row r="2156" customFormat="false" ht="15.75" hidden="false" customHeight="false" outlineLevel="0" collapsed="false">
      <c r="B2156" s="7" t="n">
        <v>46222</v>
      </c>
      <c r="C2156" s="3" t="s">
        <v>5208</v>
      </c>
      <c r="D2156" s="3" t="s">
        <v>5099</v>
      </c>
      <c r="E2156" s="3" t="s">
        <v>5100</v>
      </c>
      <c r="F2156" s="3" t="s">
        <v>5172</v>
      </c>
      <c r="G2156" s="10" t="str">
        <f aca="false">HYPERLINK("https://www.inaturalist.org/people/clparmele","clparmele")</f>
        <v>clparmele</v>
      </c>
      <c r="H2156" s="9" t="s">
        <v>13</v>
      </c>
      <c r="I2156" s="9" t="s">
        <v>5209</v>
      </c>
    </row>
    <row r="2157" customFormat="false" ht="15.75" hidden="false" customHeight="false" outlineLevel="0" collapsed="false">
      <c r="B2157" s="7" t="n">
        <v>46222</v>
      </c>
      <c r="C2157" s="3" t="s">
        <v>5210</v>
      </c>
      <c r="D2157" s="3" t="s">
        <v>5099</v>
      </c>
      <c r="E2157" s="3" t="s">
        <v>5100</v>
      </c>
      <c r="F2157" s="3" t="s">
        <v>5172</v>
      </c>
      <c r="G2157" s="10" t="str">
        <f aca="false">HYPERLINK("https://www.inaturalist.org/people/louis66335","louis66335")</f>
        <v>louis66335</v>
      </c>
      <c r="H2157" s="9" t="s">
        <v>13</v>
      </c>
      <c r="I2157" s="9" t="s">
        <v>5211</v>
      </c>
    </row>
    <row r="2158" customFormat="false" ht="15.75" hidden="false" customHeight="false" outlineLevel="0" collapsed="false">
      <c r="B2158" s="7" t="n">
        <v>46222</v>
      </c>
      <c r="C2158" s="3" t="s">
        <v>5212</v>
      </c>
      <c r="D2158" s="3" t="s">
        <v>5099</v>
      </c>
      <c r="E2158" s="3" t="s">
        <v>5100</v>
      </c>
      <c r="F2158" s="3" t="s">
        <v>5172</v>
      </c>
      <c r="G2158" s="10" t="str">
        <f aca="false">HYPERLINK("https://www.inaturalist.org/people/jefflc","jefflc")</f>
        <v>jefflc</v>
      </c>
      <c r="H2158" s="9" t="s">
        <v>13</v>
      </c>
      <c r="I2158" s="9" t="s">
        <v>5213</v>
      </c>
    </row>
    <row r="2159" customFormat="false" ht="15.75" hidden="false" customHeight="false" outlineLevel="0" collapsed="false">
      <c r="B2159" s="7" t="n">
        <v>46222</v>
      </c>
      <c r="C2159" s="3" t="s">
        <v>5214</v>
      </c>
      <c r="D2159" s="3" t="s">
        <v>5099</v>
      </c>
      <c r="E2159" s="3" t="s">
        <v>5100</v>
      </c>
      <c r="F2159" s="3" t="s">
        <v>5172</v>
      </c>
      <c r="G2159" s="10" t="str">
        <f aca="false">HYPERLINK("https://www.inaturalist.org/people/funkyskunky","funkyskunky")</f>
        <v>funkyskunky</v>
      </c>
      <c r="H2159" s="9" t="s">
        <v>13</v>
      </c>
      <c r="I2159" s="9" t="s">
        <v>5215</v>
      </c>
    </row>
    <row r="2160" customFormat="false" ht="15.75" hidden="false" customHeight="false" outlineLevel="0" collapsed="false">
      <c r="B2160" s="7" t="n">
        <v>46222</v>
      </c>
      <c r="C2160" s="3" t="s">
        <v>5216</v>
      </c>
      <c r="D2160" s="3" t="s">
        <v>5099</v>
      </c>
      <c r="E2160" s="3" t="s">
        <v>5100</v>
      </c>
      <c r="F2160" s="3" t="s">
        <v>5172</v>
      </c>
      <c r="G2160" s="10" t="str">
        <f aca="false">HYPERLINK("https://www.inaturalist.org/people/littlepancake","littlepancake")</f>
        <v>littlepancake</v>
      </c>
      <c r="H2160" s="9" t="s">
        <v>13</v>
      </c>
      <c r="I2160" s="9" t="s">
        <v>5217</v>
      </c>
    </row>
    <row r="2161" customFormat="false" ht="15.75" hidden="false" customHeight="false" outlineLevel="0" collapsed="false">
      <c r="B2161" s="7" t="n">
        <v>46222</v>
      </c>
      <c r="C2161" s="3" t="s">
        <v>5218</v>
      </c>
      <c r="D2161" s="3" t="s">
        <v>5099</v>
      </c>
      <c r="E2161" s="3" t="s">
        <v>5100</v>
      </c>
      <c r="F2161" s="3" t="s">
        <v>5172</v>
      </c>
      <c r="G2161" s="10" t="str">
        <f aca="false">HYPERLINK("https://www.inaturalist.org/people/feall","feall")</f>
        <v>feall</v>
      </c>
      <c r="H2161" s="9" t="s">
        <v>13</v>
      </c>
      <c r="I2161" s="9" t="s">
        <v>5219</v>
      </c>
    </row>
    <row r="2162" customFormat="false" ht="15.75" hidden="false" customHeight="false" outlineLevel="0" collapsed="false">
      <c r="B2162" s="7" t="n">
        <v>46222</v>
      </c>
      <c r="C2162" s="3" t="s">
        <v>5220</v>
      </c>
      <c r="D2162" s="3" t="s">
        <v>5099</v>
      </c>
      <c r="E2162" s="3" t="s">
        <v>5100</v>
      </c>
      <c r="F2162" s="3" t="s">
        <v>5172</v>
      </c>
      <c r="G2162" s="10" t="str">
        <f aca="false">HYPERLINK("https://www.inaturalist.org/people/xaver6","xaver6")</f>
        <v>xaver6</v>
      </c>
      <c r="H2162" s="9" t="s">
        <v>13</v>
      </c>
      <c r="I2162" s="9" t="s">
        <v>5221</v>
      </c>
    </row>
    <row r="2163" customFormat="false" ht="15.75" hidden="false" customHeight="false" outlineLevel="0" collapsed="false">
      <c r="B2163" s="7" t="n">
        <v>46222</v>
      </c>
      <c r="C2163" s="3" t="s">
        <v>5222</v>
      </c>
      <c r="D2163" s="3" t="s">
        <v>5099</v>
      </c>
      <c r="E2163" s="3" t="s">
        <v>5100</v>
      </c>
      <c r="F2163" s="3" t="s">
        <v>5172</v>
      </c>
      <c r="G2163" s="10" t="str">
        <f aca="false">HYPERLINK("https://www.inaturalist.org/people/garme","garme")</f>
        <v>garme</v>
      </c>
      <c r="H2163" s="9" t="s">
        <v>13</v>
      </c>
      <c r="I2163" s="9" t="s">
        <v>5223</v>
      </c>
    </row>
    <row r="2164" customFormat="false" ht="15.75" hidden="false" customHeight="false" outlineLevel="0" collapsed="false">
      <c r="B2164" s="7" t="n">
        <v>46222</v>
      </c>
      <c r="C2164" s="3" t="s">
        <v>5224</v>
      </c>
      <c r="D2164" s="3" t="s">
        <v>5099</v>
      </c>
      <c r="E2164" s="3" t="s">
        <v>5100</v>
      </c>
      <c r="F2164" s="3" t="s">
        <v>5172</v>
      </c>
      <c r="G2164" s="10" t="str">
        <f aca="false">HYPERLINK("https://www.inaturalist.org/people/langechris","langechris")</f>
        <v>langechris</v>
      </c>
      <c r="H2164" s="9" t="s">
        <v>13</v>
      </c>
      <c r="I2164" s="9" t="s">
        <v>5225</v>
      </c>
    </row>
    <row r="2165" customFormat="false" ht="15.75" hidden="false" customHeight="false" outlineLevel="0" collapsed="false">
      <c r="B2165" s="7" t="n">
        <v>46222</v>
      </c>
      <c r="C2165" s="3" t="s">
        <v>5226</v>
      </c>
      <c r="D2165" s="3" t="s">
        <v>5099</v>
      </c>
      <c r="E2165" s="3" t="s">
        <v>5100</v>
      </c>
      <c r="F2165" s="3" t="s">
        <v>5172</v>
      </c>
      <c r="G2165" s="10" t="str">
        <f aca="false">HYPERLINK("https://www.inaturalist.org/people/cloudedsulphur","cloudedsulphur")</f>
        <v>cloudedsulphur</v>
      </c>
      <c r="H2165" s="9" t="s">
        <v>13</v>
      </c>
      <c r="I2165" s="9" t="s">
        <v>5227</v>
      </c>
    </row>
    <row r="2166" customFormat="false" ht="15.75" hidden="false" customHeight="false" outlineLevel="0" collapsed="false">
      <c r="B2166" s="7" t="n">
        <v>46222</v>
      </c>
      <c r="C2166" s="3" t="s">
        <v>5228</v>
      </c>
      <c r="D2166" s="3" t="s">
        <v>5099</v>
      </c>
      <c r="E2166" s="3" t="s">
        <v>5100</v>
      </c>
      <c r="F2166" s="3" t="s">
        <v>5172</v>
      </c>
      <c r="G2166" s="10" t="str">
        <f aca="false">HYPERLINK("https://www.inaturalist.org/people/jganjay","jganjay")</f>
        <v>jganjay</v>
      </c>
      <c r="H2166" s="9" t="s">
        <v>13</v>
      </c>
      <c r="I2166" s="9" t="s">
        <v>5229</v>
      </c>
    </row>
    <row r="2167" customFormat="false" ht="15.75" hidden="false" customHeight="false" outlineLevel="0" collapsed="false">
      <c r="B2167" s="7" t="n">
        <v>46222</v>
      </c>
      <c r="C2167" s="3" t="s">
        <v>5230</v>
      </c>
      <c r="D2167" s="3" t="s">
        <v>5099</v>
      </c>
      <c r="E2167" s="3" t="s">
        <v>5100</v>
      </c>
      <c r="F2167" s="3" t="s">
        <v>5172</v>
      </c>
      <c r="G2167" s="10" t="str">
        <f aca="false">HYPERLINK("https://www.inaturalist.org/people/bug2024","bug2024")</f>
        <v>bug2024</v>
      </c>
      <c r="H2167" s="9" t="s">
        <v>13</v>
      </c>
      <c r="I2167" s="9" t="s">
        <v>5231</v>
      </c>
    </row>
    <row r="2168" customFormat="false" ht="15.75" hidden="false" customHeight="false" outlineLevel="0" collapsed="false">
      <c r="B2168" s="7" t="n">
        <v>46222</v>
      </c>
      <c r="C2168" s="3" t="s">
        <v>5232</v>
      </c>
      <c r="D2168" s="3" t="s">
        <v>5099</v>
      </c>
      <c r="E2168" s="3" t="s">
        <v>5100</v>
      </c>
      <c r="F2168" s="3" t="s">
        <v>5172</v>
      </c>
      <c r="G2168" s="10" t="str">
        <f aca="false">HYPERLINK("https://www.inaturalist.org/people/a-wren","a-wren")</f>
        <v>a-wren</v>
      </c>
      <c r="H2168" s="9" t="s">
        <v>13</v>
      </c>
      <c r="I2168" s="9" t="s">
        <v>5233</v>
      </c>
    </row>
    <row r="2169" customFormat="false" ht="15.75" hidden="false" customHeight="false" outlineLevel="0" collapsed="false">
      <c r="B2169" s="7" t="n">
        <v>46222</v>
      </c>
      <c r="C2169" s="3" t="s">
        <v>5234</v>
      </c>
      <c r="D2169" s="3" t="s">
        <v>5099</v>
      </c>
      <c r="E2169" s="3" t="s">
        <v>5100</v>
      </c>
      <c r="F2169" s="3" t="s">
        <v>5172</v>
      </c>
      <c r="G2169" s="10" t="str">
        <f aca="false">HYPERLINK("https://www.inaturalist.org/people/zanderpritchett","zanderpritchett")</f>
        <v>zanderpritchett</v>
      </c>
      <c r="H2169" s="9" t="s">
        <v>13</v>
      </c>
      <c r="I2169" s="9" t="s">
        <v>5235</v>
      </c>
    </row>
    <row r="2170" customFormat="false" ht="15.75" hidden="false" customHeight="false" outlineLevel="0" collapsed="false">
      <c r="B2170" s="7" t="n">
        <v>46222</v>
      </c>
      <c r="C2170" s="3" t="s">
        <v>5236</v>
      </c>
      <c r="D2170" s="3" t="s">
        <v>5099</v>
      </c>
      <c r="E2170" s="3" t="s">
        <v>5100</v>
      </c>
      <c r="F2170" s="3" t="s">
        <v>5172</v>
      </c>
      <c r="G2170" s="10" t="str">
        <f aca="false">HYPERLINK("https://www.inaturalist.org/people/lucky_1660","lucky_1660")</f>
        <v>lucky_1660</v>
      </c>
      <c r="H2170" s="9" t="s">
        <v>13</v>
      </c>
      <c r="I2170" s="9" t="s">
        <v>5237</v>
      </c>
    </row>
    <row r="2171" customFormat="false" ht="15.75" hidden="false" customHeight="false" outlineLevel="0" collapsed="false">
      <c r="B2171" s="7" t="n">
        <v>46222</v>
      </c>
      <c r="C2171" s="3" t="s">
        <v>5238</v>
      </c>
      <c r="D2171" s="3" t="s">
        <v>5099</v>
      </c>
      <c r="E2171" s="3" t="s">
        <v>5100</v>
      </c>
      <c r="F2171" s="3" t="s">
        <v>5172</v>
      </c>
      <c r="G2171" s="10" t="str">
        <f aca="false">HYPERLINK("https://www.inaturalist.org/people/robin40367","robin40367")</f>
        <v>robin40367</v>
      </c>
      <c r="H2171" s="9" t="s">
        <v>13</v>
      </c>
      <c r="I2171" s="9" t="s">
        <v>5239</v>
      </c>
    </row>
    <row r="2172" customFormat="false" ht="15.75" hidden="false" customHeight="false" outlineLevel="0" collapsed="false">
      <c r="B2172" s="7" t="n">
        <v>46222</v>
      </c>
      <c r="C2172" s="3" t="s">
        <v>5240</v>
      </c>
      <c r="D2172" s="3" t="s">
        <v>5099</v>
      </c>
      <c r="E2172" s="3" t="s">
        <v>5100</v>
      </c>
      <c r="F2172" s="3" t="s">
        <v>5172</v>
      </c>
      <c r="G2172" s="10" t="str">
        <f aca="false">HYPERLINK("https://www.inaturalist.org/people/randylast","randylast")</f>
        <v>randylast</v>
      </c>
      <c r="H2172" s="9" t="s">
        <v>13</v>
      </c>
      <c r="I2172" s="9" t="s">
        <v>5241</v>
      </c>
    </row>
    <row r="2173" customFormat="false" ht="15.75" hidden="false" customHeight="false" outlineLevel="0" collapsed="false">
      <c r="B2173" s="7" t="n">
        <v>46222</v>
      </c>
      <c r="C2173" s="3" t="s">
        <v>5242</v>
      </c>
      <c r="D2173" s="3" t="s">
        <v>5099</v>
      </c>
      <c r="E2173" s="3" t="s">
        <v>5100</v>
      </c>
      <c r="F2173" s="3" t="s">
        <v>5243</v>
      </c>
      <c r="G2173" s="10" t="str">
        <f aca="false">HYPERLINK("https://www.inaturalist.org/people/leifis","leifis")</f>
        <v>leifis</v>
      </c>
      <c r="H2173" s="9" t="s">
        <v>13</v>
      </c>
      <c r="I2173" s="9" t="s">
        <v>5244</v>
      </c>
    </row>
    <row r="2174" customFormat="false" ht="15.75" hidden="false" customHeight="false" outlineLevel="0" collapsed="false">
      <c r="B2174" s="7" t="n">
        <v>46222</v>
      </c>
      <c r="C2174" s="3" t="s">
        <v>5245</v>
      </c>
      <c r="D2174" s="3" t="s">
        <v>5099</v>
      </c>
      <c r="E2174" s="3" t="s">
        <v>5100</v>
      </c>
      <c r="F2174" s="3" t="s">
        <v>5243</v>
      </c>
      <c r="G2174" s="10" t="str">
        <f aca="false">HYPERLINK("https://www.inaturalist.org/people/yetsinvinces","yetsinvinces")</f>
        <v>yetsinvinces</v>
      </c>
      <c r="H2174" s="9" t="s">
        <v>13</v>
      </c>
      <c r="I2174" s="9" t="s">
        <v>5246</v>
      </c>
    </row>
    <row r="2175" customFormat="false" ht="15.75" hidden="false" customHeight="false" outlineLevel="0" collapsed="false">
      <c r="B2175" s="7" t="n">
        <v>46222</v>
      </c>
      <c r="C2175" s="3" t="s">
        <v>5247</v>
      </c>
      <c r="D2175" s="3" t="s">
        <v>5099</v>
      </c>
      <c r="E2175" s="3" t="s">
        <v>5100</v>
      </c>
      <c r="F2175" s="3" t="s">
        <v>5243</v>
      </c>
      <c r="G2175" s="10" t="str">
        <f aca="false">HYPERLINK("https://www.inaturalist.org/people/santiagotacuri","santiagotacuri")</f>
        <v>santiagotacuri</v>
      </c>
      <c r="H2175" s="9" t="s">
        <v>13</v>
      </c>
      <c r="I2175" s="9" t="s">
        <v>5248</v>
      </c>
    </row>
    <row r="2176" customFormat="false" ht="15.75" hidden="false" customHeight="false" outlineLevel="0" collapsed="false">
      <c r="B2176" s="7" t="n">
        <v>46222</v>
      </c>
      <c r="C2176" s="3" t="s">
        <v>5249</v>
      </c>
      <c r="D2176" s="3" t="s">
        <v>5099</v>
      </c>
      <c r="E2176" s="3" t="s">
        <v>5100</v>
      </c>
      <c r="F2176" s="3" t="s">
        <v>5243</v>
      </c>
      <c r="G2176" s="10" t="str">
        <f aca="false">HYPERLINK("https://www.inaturalist.org/people/garcia_adriana","garcia_adriana")</f>
        <v>garcia_adriana</v>
      </c>
      <c r="H2176" s="9" t="s">
        <v>13</v>
      </c>
      <c r="I2176" s="9" t="s">
        <v>5250</v>
      </c>
    </row>
    <row r="2177" customFormat="false" ht="15.75" hidden="false" customHeight="false" outlineLevel="0" collapsed="false">
      <c r="B2177" s="7" t="n">
        <v>46222</v>
      </c>
      <c r="C2177" s="3" t="s">
        <v>5251</v>
      </c>
      <c r="D2177" s="3" t="s">
        <v>5099</v>
      </c>
      <c r="E2177" s="3" t="s">
        <v>5100</v>
      </c>
      <c r="F2177" s="3" t="s">
        <v>5243</v>
      </c>
      <c r="G2177" s="10" t="str">
        <f aca="false">HYPERLINK("https://www.inaturalist.org/people/bustos_samantha11","bustos_samantha11")</f>
        <v>bustos_samantha11</v>
      </c>
      <c r="H2177" s="9" t="s">
        <v>13</v>
      </c>
      <c r="I2177" s="9" t="s">
        <v>5252</v>
      </c>
    </row>
    <row r="2178" customFormat="false" ht="15.75" hidden="false" customHeight="false" outlineLevel="0" collapsed="false">
      <c r="B2178" s="7" t="n">
        <v>46222</v>
      </c>
      <c r="C2178" s="3" t="s">
        <v>5253</v>
      </c>
      <c r="D2178" s="3" t="s">
        <v>5099</v>
      </c>
      <c r="E2178" s="3" t="s">
        <v>5100</v>
      </c>
      <c r="F2178" s="3" t="s">
        <v>5243</v>
      </c>
      <c r="G2178" s="10" t="str">
        <f aca="false">HYPERLINK("https://www.inaturalist.org/people/existe","existe")</f>
        <v>existe</v>
      </c>
      <c r="H2178" s="9" t="s">
        <v>13</v>
      </c>
      <c r="I2178" s="9" t="s">
        <v>5254</v>
      </c>
    </row>
    <row r="2179" customFormat="false" ht="15.75" hidden="false" customHeight="false" outlineLevel="0" collapsed="false">
      <c r="B2179" s="7" t="n">
        <v>46222</v>
      </c>
      <c r="C2179" s="3" t="s">
        <v>5255</v>
      </c>
      <c r="D2179" s="3" t="s">
        <v>5099</v>
      </c>
      <c r="E2179" s="3" t="s">
        <v>5100</v>
      </c>
      <c r="F2179" s="3" t="s">
        <v>5243</v>
      </c>
      <c r="G2179" s="10" t="str">
        <f aca="false">HYPERLINK("https://www.inaturalist.org/people/mishell_medina","mishell_medina")</f>
        <v>mishell_medina</v>
      </c>
      <c r="H2179" s="9" t="s">
        <v>13</v>
      </c>
      <c r="I2179" s="9" t="s">
        <v>5256</v>
      </c>
    </row>
    <row r="2180" customFormat="false" ht="15.75" hidden="false" customHeight="false" outlineLevel="0" collapsed="false">
      <c r="B2180" s="7" t="n">
        <v>46222</v>
      </c>
      <c r="C2180" s="3" t="s">
        <v>5257</v>
      </c>
      <c r="D2180" s="3" t="s">
        <v>5099</v>
      </c>
      <c r="E2180" s="3" t="s">
        <v>5100</v>
      </c>
      <c r="F2180" s="3" t="s">
        <v>5243</v>
      </c>
      <c r="G2180" s="10" t="str">
        <f aca="false">HYPERLINK("https://www.inaturalist.org/people/benjaminnavas","benjaminnavas")</f>
        <v>benjaminnavas</v>
      </c>
      <c r="H2180" s="9" t="s">
        <v>13</v>
      </c>
      <c r="I2180" s="9" t="s">
        <v>5258</v>
      </c>
    </row>
    <row r="2181" customFormat="false" ht="15.75" hidden="false" customHeight="false" outlineLevel="0" collapsed="false">
      <c r="B2181" s="7" t="n">
        <v>46222</v>
      </c>
      <c r="C2181" s="3" t="s">
        <v>5259</v>
      </c>
      <c r="D2181" s="3" t="s">
        <v>5099</v>
      </c>
      <c r="E2181" s="3" t="s">
        <v>5100</v>
      </c>
      <c r="F2181" s="3" t="s">
        <v>5243</v>
      </c>
      <c r="G2181" s="10" t="str">
        <f aca="false">HYPERLINK("https://www.inaturalist.org/people/camilatrujillom","camilatrujillom")</f>
        <v>camilatrujillom</v>
      </c>
      <c r="H2181" s="9" t="s">
        <v>13</v>
      </c>
      <c r="I2181" s="9" t="s">
        <v>5260</v>
      </c>
    </row>
    <row r="2182" customFormat="false" ht="15.75" hidden="false" customHeight="false" outlineLevel="0" collapsed="false">
      <c r="B2182" s="7" t="n">
        <v>46222</v>
      </c>
      <c r="C2182" s="3" t="s">
        <v>5261</v>
      </c>
      <c r="D2182" s="3" t="s">
        <v>5099</v>
      </c>
      <c r="E2182" s="3" t="s">
        <v>5100</v>
      </c>
      <c r="F2182" s="3" t="s">
        <v>5243</v>
      </c>
      <c r="G2182" s="10" t="str">
        <f aca="false">HYPERLINK("https://www.inaturalist.org/people/selva300","selva300")</f>
        <v>selva300</v>
      </c>
      <c r="H2182" s="9" t="s">
        <v>13</v>
      </c>
      <c r="I2182" s="9" t="s">
        <v>5262</v>
      </c>
    </row>
    <row r="2183" customFormat="false" ht="15.75" hidden="false" customHeight="false" outlineLevel="0" collapsed="false">
      <c r="B2183" s="7" t="n">
        <v>46222</v>
      </c>
      <c r="C2183" s="3" t="s">
        <v>5263</v>
      </c>
      <c r="D2183" s="3" t="s">
        <v>5099</v>
      </c>
      <c r="E2183" s="3" t="s">
        <v>5100</v>
      </c>
      <c r="F2183" s="3" t="s">
        <v>5243</v>
      </c>
      <c r="G2183" s="10" t="str">
        <f aca="false">HYPERLINK("https://www.inaturalist.org/people/selva300","selva300")</f>
        <v>selva300</v>
      </c>
      <c r="H2183" s="9" t="s">
        <v>13</v>
      </c>
      <c r="I2183" s="9" t="s">
        <v>5264</v>
      </c>
    </row>
    <row r="2184" customFormat="false" ht="15.75" hidden="false" customHeight="false" outlineLevel="0" collapsed="false">
      <c r="B2184" s="7" t="n">
        <v>46222</v>
      </c>
      <c r="C2184" s="3" t="s">
        <v>5265</v>
      </c>
      <c r="D2184" s="3" t="s">
        <v>5099</v>
      </c>
      <c r="E2184" s="3" t="s">
        <v>5100</v>
      </c>
      <c r="F2184" s="3" t="s">
        <v>5243</v>
      </c>
      <c r="G2184" s="10" t="str">
        <f aca="false">HYPERLINK("https://www.inaturalist.org/people/simondbc","simondbc")</f>
        <v>simondbc</v>
      </c>
      <c r="H2184" s="9" t="s">
        <v>13</v>
      </c>
      <c r="I2184" s="9" t="s">
        <v>5266</v>
      </c>
    </row>
    <row r="2185" customFormat="false" ht="15.75" hidden="false" customHeight="false" outlineLevel="0" collapsed="false">
      <c r="B2185" s="7" t="n">
        <v>46222</v>
      </c>
      <c r="C2185" s="3" t="s">
        <v>5267</v>
      </c>
      <c r="D2185" s="3" t="s">
        <v>5099</v>
      </c>
      <c r="E2185" s="3" t="s">
        <v>5100</v>
      </c>
      <c r="F2185" s="3" t="s">
        <v>5243</v>
      </c>
      <c r="G2185" s="10" t="str">
        <f aca="false">HYPERLINK("https://www.inaturalist.org/people/ivan1412","ivan1412")</f>
        <v>ivan1412</v>
      </c>
      <c r="H2185" s="9" t="s">
        <v>13</v>
      </c>
      <c r="I2185" s="9" t="s">
        <v>5268</v>
      </c>
    </row>
    <row r="2186" customFormat="false" ht="15.75" hidden="false" customHeight="false" outlineLevel="0" collapsed="false">
      <c r="B2186" s="7" t="n">
        <v>46222</v>
      </c>
      <c r="C2186" s="3" t="s">
        <v>5269</v>
      </c>
      <c r="D2186" s="3" t="s">
        <v>5099</v>
      </c>
      <c r="E2186" s="3" t="s">
        <v>5100</v>
      </c>
      <c r="F2186" s="3" t="s">
        <v>5243</v>
      </c>
      <c r="G2186" s="10" t="str">
        <f aca="false">HYPERLINK("https://www.inaturalist.org/people/benjaminnavas","benjaminnavas")</f>
        <v>benjaminnavas</v>
      </c>
      <c r="H2186" s="9" t="s">
        <v>13</v>
      </c>
      <c r="I2186" s="9" t="s">
        <v>5270</v>
      </c>
    </row>
    <row r="2187" customFormat="false" ht="15.75" hidden="false" customHeight="false" outlineLevel="0" collapsed="false">
      <c r="B2187" s="7" t="n">
        <v>46222</v>
      </c>
      <c r="C2187" s="3" t="s">
        <v>5271</v>
      </c>
      <c r="D2187" s="3" t="s">
        <v>5099</v>
      </c>
      <c r="E2187" s="3" t="s">
        <v>5100</v>
      </c>
      <c r="F2187" s="3" t="s">
        <v>5243</v>
      </c>
      <c r="G2187" s="10" t="str">
        <f aca="false">HYPERLINK("https://www.inaturalist.org/people/diego51882","diego51882")</f>
        <v>diego51882</v>
      </c>
      <c r="H2187" s="9" t="s">
        <v>13</v>
      </c>
      <c r="I2187" s="9" t="s">
        <v>5272</v>
      </c>
    </row>
    <row r="2188" customFormat="false" ht="15.75" hidden="false" customHeight="false" outlineLevel="0" collapsed="false">
      <c r="B2188" s="7" t="n">
        <v>46222</v>
      </c>
      <c r="C2188" s="3" t="s">
        <v>5273</v>
      </c>
      <c r="D2188" s="3" t="s">
        <v>5099</v>
      </c>
      <c r="E2188" s="3" t="s">
        <v>5100</v>
      </c>
      <c r="F2188" s="3" t="s">
        <v>5243</v>
      </c>
      <c r="G2188" s="10" t="str">
        <f aca="false">HYPERLINK("https://www.inaturalist.org/people/ivan1412","ivan1412")</f>
        <v>ivan1412</v>
      </c>
      <c r="H2188" s="9" t="s">
        <v>13</v>
      </c>
      <c r="I2188" s="9" t="s">
        <v>5274</v>
      </c>
    </row>
    <row r="2189" customFormat="false" ht="15.75" hidden="false" customHeight="false" outlineLevel="0" collapsed="false">
      <c r="B2189" s="7" t="n">
        <v>46222</v>
      </c>
      <c r="C2189" s="3" t="s">
        <v>5275</v>
      </c>
      <c r="D2189" s="3" t="s">
        <v>5099</v>
      </c>
      <c r="E2189" s="3" t="s">
        <v>5100</v>
      </c>
      <c r="F2189" s="3" t="s">
        <v>5243</v>
      </c>
      <c r="G2189" s="10" t="str">
        <f aca="false">HYPERLINK("https://www.inaturalist.org/people/pmonge95","pmonge95")</f>
        <v>pmonge95</v>
      </c>
      <c r="H2189" s="9" t="s">
        <v>13</v>
      </c>
      <c r="I2189" s="9" t="s">
        <v>5276</v>
      </c>
    </row>
    <row r="2190" customFormat="false" ht="15.75" hidden="false" customHeight="false" outlineLevel="0" collapsed="false">
      <c r="B2190" s="7" t="n">
        <v>46222</v>
      </c>
      <c r="C2190" s="3" t="s">
        <v>5277</v>
      </c>
      <c r="D2190" s="3" t="s">
        <v>5099</v>
      </c>
      <c r="E2190" s="3" t="s">
        <v>5100</v>
      </c>
      <c r="F2190" s="3" t="s">
        <v>5243</v>
      </c>
      <c r="G2190" s="10" t="str">
        <f aca="false">HYPERLINK("https://www.inaturalist.org/people/juancsanchez","juancsanchez")</f>
        <v>juancsanchez</v>
      </c>
      <c r="H2190" s="9" t="s">
        <v>13</v>
      </c>
      <c r="I2190" s="9" t="s">
        <v>5278</v>
      </c>
    </row>
    <row r="2191" customFormat="false" ht="15.75" hidden="false" customHeight="false" outlineLevel="0" collapsed="false">
      <c r="B2191" s="7" t="n">
        <v>46222</v>
      </c>
      <c r="C2191" s="3" t="s">
        <v>5279</v>
      </c>
      <c r="D2191" s="3" t="s">
        <v>5099</v>
      </c>
      <c r="E2191" s="3" t="s">
        <v>5100</v>
      </c>
      <c r="F2191" s="3" t="s">
        <v>5243</v>
      </c>
      <c r="G2191" s="10" t="str">
        <f aca="false">HYPERLINK("https://www.inaturalist.org/people/jonathan_janse","jonathan_janse")</f>
        <v>jonathan_janse</v>
      </c>
      <c r="H2191" s="9" t="s">
        <v>13</v>
      </c>
      <c r="I2191" s="9" t="s">
        <v>5280</v>
      </c>
    </row>
    <row r="2192" customFormat="false" ht="15.75" hidden="false" customHeight="false" outlineLevel="0" collapsed="false">
      <c r="B2192" s="7" t="n">
        <v>46222</v>
      </c>
      <c r="C2192" s="3" t="s">
        <v>5281</v>
      </c>
      <c r="D2192" s="3" t="s">
        <v>5099</v>
      </c>
      <c r="E2192" s="3" t="s">
        <v>5100</v>
      </c>
      <c r="F2192" s="3" t="s">
        <v>5243</v>
      </c>
      <c r="G2192" s="10" t="str">
        <f aca="false">HYPERLINK("https://www.inaturalist.org/people/emilia_guevara","emilia_guevara")</f>
        <v>emilia_guevara</v>
      </c>
      <c r="H2192" s="9" t="s">
        <v>13</v>
      </c>
      <c r="I2192" s="9" t="s">
        <v>5282</v>
      </c>
    </row>
    <row r="2193" customFormat="false" ht="15.75" hidden="false" customHeight="false" outlineLevel="0" collapsed="false">
      <c r="B2193" s="7" t="n">
        <v>46222</v>
      </c>
      <c r="C2193" s="3" t="s">
        <v>5283</v>
      </c>
      <c r="D2193" s="3" t="s">
        <v>5099</v>
      </c>
      <c r="E2193" s="3" t="s">
        <v>5100</v>
      </c>
      <c r="F2193" s="3" t="s">
        <v>5243</v>
      </c>
      <c r="G2193" s="10" t="str">
        <f aca="false">HYPERLINK("https://www.inaturalist.org/people/ivan1412","ivan1412")</f>
        <v>ivan1412</v>
      </c>
      <c r="H2193" s="9" t="s">
        <v>13</v>
      </c>
      <c r="I2193" s="9" t="s">
        <v>5284</v>
      </c>
    </row>
    <row r="2194" customFormat="false" ht="15.75" hidden="false" customHeight="false" outlineLevel="0" collapsed="false">
      <c r="B2194" s="7" t="n">
        <v>46222</v>
      </c>
      <c r="C2194" s="3" t="s">
        <v>5285</v>
      </c>
      <c r="D2194" s="3" t="s">
        <v>5099</v>
      </c>
      <c r="E2194" s="3" t="s">
        <v>5100</v>
      </c>
      <c r="F2194" s="3" t="s">
        <v>5243</v>
      </c>
      <c r="G2194" s="10" t="str">
        <f aca="false">HYPERLINK("https://www.inaturalist.org/people/tereza84858","tereza84858")</f>
        <v>tereza84858</v>
      </c>
      <c r="H2194" s="9" t="s">
        <v>13</v>
      </c>
      <c r="I2194" s="9" t="s">
        <v>5286</v>
      </c>
    </row>
    <row r="2195" customFormat="false" ht="15.75" hidden="false" customHeight="false" outlineLevel="0" collapsed="false">
      <c r="B2195" s="7" t="n">
        <v>46222</v>
      </c>
      <c r="C2195" s="3" t="s">
        <v>5287</v>
      </c>
      <c r="D2195" s="3" t="s">
        <v>5099</v>
      </c>
      <c r="E2195" s="3" t="s">
        <v>5100</v>
      </c>
      <c r="F2195" s="3" t="s">
        <v>5243</v>
      </c>
      <c r="G2195" s="10" t="str">
        <f aca="false">HYPERLINK("https://www.inaturalist.org/people/antonellagudino","antonellagudino")</f>
        <v>antonellagudino</v>
      </c>
      <c r="H2195" s="9" t="s">
        <v>13</v>
      </c>
      <c r="I2195" s="9" t="s">
        <v>5288</v>
      </c>
    </row>
    <row r="2196" customFormat="false" ht="15.75" hidden="false" customHeight="false" outlineLevel="0" collapsed="false">
      <c r="B2196" s="7" t="n">
        <v>46222</v>
      </c>
      <c r="C2196" s="3" t="s">
        <v>5289</v>
      </c>
      <c r="D2196" s="3" t="s">
        <v>5099</v>
      </c>
      <c r="E2196" s="3" t="s">
        <v>5100</v>
      </c>
      <c r="F2196" s="3" t="s">
        <v>5243</v>
      </c>
      <c r="G2196" s="10" t="str">
        <f aca="false">HYPERLINK("https://www.inaturalist.org/people/juliocgereda","juliocgereda")</f>
        <v>juliocgereda</v>
      </c>
      <c r="H2196" s="9" t="s">
        <v>13</v>
      </c>
      <c r="I2196" s="9" t="s">
        <v>5290</v>
      </c>
    </row>
    <row r="2197" customFormat="false" ht="15.75" hidden="false" customHeight="false" outlineLevel="0" collapsed="false">
      <c r="B2197" s="7" t="n">
        <v>46222</v>
      </c>
      <c r="C2197" s="3" t="s">
        <v>5291</v>
      </c>
      <c r="D2197" s="3" t="s">
        <v>5099</v>
      </c>
      <c r="E2197" s="3" t="s">
        <v>5100</v>
      </c>
      <c r="F2197" s="3" t="s">
        <v>5243</v>
      </c>
      <c r="G2197" s="10" t="str">
        <f aca="false">HYPERLINK("https://www.inaturalist.org/people/noelia37121","noelia37121")</f>
        <v>noelia37121</v>
      </c>
      <c r="H2197" s="9" t="s">
        <v>13</v>
      </c>
      <c r="I2197" s="9" t="s">
        <v>5292</v>
      </c>
    </row>
    <row r="2198" customFormat="false" ht="15.75" hidden="false" customHeight="false" outlineLevel="0" collapsed="false">
      <c r="B2198" s="7" t="n">
        <v>46222</v>
      </c>
      <c r="C2198" s="3" t="s">
        <v>5293</v>
      </c>
      <c r="D2198" s="3" t="s">
        <v>5099</v>
      </c>
      <c r="E2198" s="3" t="s">
        <v>5100</v>
      </c>
      <c r="F2198" s="3" t="s">
        <v>5243</v>
      </c>
      <c r="G2198" s="10" t="str">
        <f aca="false">HYPERLINK("https://www.inaturalist.org/people/agbentley77","agbentley77")</f>
        <v>agbentley77</v>
      </c>
      <c r="H2198" s="9" t="s">
        <v>13</v>
      </c>
      <c r="I2198" s="9" t="s">
        <v>5294</v>
      </c>
    </row>
    <row r="2199" customFormat="false" ht="15.75" hidden="false" customHeight="false" outlineLevel="0" collapsed="false">
      <c r="B2199" s="7" t="n">
        <v>46222</v>
      </c>
      <c r="C2199" s="3" t="s">
        <v>5295</v>
      </c>
      <c r="D2199" s="3" t="s">
        <v>5099</v>
      </c>
      <c r="E2199" s="3" t="s">
        <v>5100</v>
      </c>
      <c r="F2199" s="3" t="s">
        <v>5243</v>
      </c>
      <c r="G2199" s="10" t="str">
        <f aca="false">HYPERLINK("https://www.inaturalist.org/people/sheyvinu","sheyvinu")</f>
        <v>sheyvinu</v>
      </c>
      <c r="H2199" s="9" t="s">
        <v>13</v>
      </c>
      <c r="I2199" s="9" t="s">
        <v>5296</v>
      </c>
    </row>
    <row r="2200" customFormat="false" ht="15.75" hidden="false" customHeight="false" outlineLevel="0" collapsed="false">
      <c r="B2200" s="7" t="n">
        <v>46222</v>
      </c>
      <c r="C2200" s="3" t="s">
        <v>5297</v>
      </c>
      <c r="D2200" s="3" t="s">
        <v>5099</v>
      </c>
      <c r="E2200" s="3" t="s">
        <v>5100</v>
      </c>
      <c r="F2200" s="3" t="s">
        <v>5243</v>
      </c>
      <c r="G2200" s="10" t="str">
        <f aca="false">HYPERLINK("https://www.inaturalist.org/people/huayranico","huayranico")</f>
        <v>huayranico</v>
      </c>
      <c r="H2200" s="9" t="s">
        <v>13</v>
      </c>
      <c r="I2200" s="9" t="s">
        <v>5298</v>
      </c>
    </row>
    <row r="2201" customFormat="false" ht="15.75" hidden="false" customHeight="false" outlineLevel="0" collapsed="false">
      <c r="B2201" s="7" t="n">
        <v>46222</v>
      </c>
      <c r="C2201" s="3" t="s">
        <v>5299</v>
      </c>
      <c r="D2201" s="3" t="s">
        <v>5099</v>
      </c>
      <c r="E2201" s="3" t="s">
        <v>5100</v>
      </c>
      <c r="F2201" s="3" t="s">
        <v>5243</v>
      </c>
      <c r="G2201" s="10" t="str">
        <f aca="false">HYPERLINK("https://www.inaturalist.org/people/katherine-jimenez","katherine-jimenez")</f>
        <v>katherine-jimenez</v>
      </c>
      <c r="H2201" s="9" t="s">
        <v>13</v>
      </c>
      <c r="I2201" s="9" t="s">
        <v>5300</v>
      </c>
    </row>
    <row r="2202" customFormat="false" ht="15.75" hidden="false" customHeight="false" outlineLevel="0" collapsed="false">
      <c r="B2202" s="7" t="n">
        <v>46222</v>
      </c>
      <c r="C2202" s="3" t="s">
        <v>5301</v>
      </c>
      <c r="D2202" s="3" t="s">
        <v>5099</v>
      </c>
      <c r="E2202" s="3" t="s">
        <v>5100</v>
      </c>
      <c r="F2202" s="3" t="s">
        <v>5243</v>
      </c>
      <c r="G2202" s="10" t="str">
        <f aca="false">HYPERLINK("https://www.inaturalist.org/people/agbentley77","agbentley77")</f>
        <v>agbentley77</v>
      </c>
      <c r="H2202" s="9" t="s">
        <v>13</v>
      </c>
      <c r="I2202" s="9" t="s">
        <v>5302</v>
      </c>
    </row>
    <row r="2203" customFormat="false" ht="15.75" hidden="false" customHeight="false" outlineLevel="0" collapsed="false">
      <c r="B2203" s="7" t="n">
        <v>46222</v>
      </c>
      <c r="C2203" s="3" t="s">
        <v>5303</v>
      </c>
      <c r="D2203" s="3" t="s">
        <v>5099</v>
      </c>
      <c r="E2203" s="3" t="s">
        <v>5100</v>
      </c>
      <c r="F2203" s="3" t="s">
        <v>5243</v>
      </c>
      <c r="G2203" s="10" t="str">
        <f aca="false">HYPERLINK("https://www.inaturalist.org/people/lilianaconstante","lilianaconstante")</f>
        <v>lilianaconstante</v>
      </c>
      <c r="H2203" s="9" t="s">
        <v>13</v>
      </c>
      <c r="I2203" s="9" t="s">
        <v>5304</v>
      </c>
    </row>
    <row r="2204" customFormat="false" ht="15.75" hidden="false" customHeight="false" outlineLevel="0" collapsed="false">
      <c r="B2204" s="7" t="n">
        <v>46222</v>
      </c>
      <c r="C2204" s="3" t="s">
        <v>5305</v>
      </c>
      <c r="D2204" s="3" t="s">
        <v>5099</v>
      </c>
      <c r="E2204" s="3" t="s">
        <v>5100</v>
      </c>
      <c r="F2204" s="3" t="s">
        <v>5243</v>
      </c>
      <c r="G2204" s="10" t="str">
        <f aca="false">HYPERLINK("https://www.inaturalist.org/people/emerson53856","emerson53856")</f>
        <v>emerson53856</v>
      </c>
      <c r="H2204" s="9" t="s">
        <v>13</v>
      </c>
      <c r="I2204" s="9" t="s">
        <v>5306</v>
      </c>
    </row>
    <row r="2205" customFormat="false" ht="15.75" hidden="false" customHeight="false" outlineLevel="0" collapsed="false">
      <c r="B2205" s="7" t="n">
        <v>46222</v>
      </c>
      <c r="C2205" s="3" t="s">
        <v>5307</v>
      </c>
      <c r="D2205" s="3" t="s">
        <v>5099</v>
      </c>
      <c r="E2205" s="3" t="s">
        <v>5100</v>
      </c>
      <c r="F2205" s="3" t="s">
        <v>5243</v>
      </c>
      <c r="G2205" s="10" t="str">
        <f aca="false">HYPERLINK("https://www.inaturalist.org/people/jairogahona","jairogahona")</f>
        <v>jairogahona</v>
      </c>
      <c r="H2205" s="9" t="s">
        <v>13</v>
      </c>
      <c r="I2205" s="9" t="s">
        <v>5308</v>
      </c>
    </row>
    <row r="2206" customFormat="false" ht="15.75" hidden="false" customHeight="false" outlineLevel="0" collapsed="false">
      <c r="B2206" s="7" t="n">
        <v>46222</v>
      </c>
      <c r="C2206" s="3" t="s">
        <v>5309</v>
      </c>
      <c r="D2206" s="3" t="s">
        <v>5099</v>
      </c>
      <c r="E2206" s="3" t="s">
        <v>5100</v>
      </c>
      <c r="F2206" s="3" t="s">
        <v>5243</v>
      </c>
      <c r="G2206" s="10" t="str">
        <f aca="false">HYPERLINK("https://www.inaturalist.org/people/lilianaconstante","lilianaconstante")</f>
        <v>lilianaconstante</v>
      </c>
      <c r="H2206" s="9" t="s">
        <v>13</v>
      </c>
      <c r="I2206" s="9" t="s">
        <v>5310</v>
      </c>
    </row>
    <row r="2207" customFormat="false" ht="15.75" hidden="false" customHeight="false" outlineLevel="0" collapsed="false">
      <c r="B2207" s="7" t="n">
        <v>46222</v>
      </c>
      <c r="C2207" s="3" t="s">
        <v>5311</v>
      </c>
      <c r="D2207" s="3" t="s">
        <v>5099</v>
      </c>
      <c r="E2207" s="3" t="s">
        <v>5100</v>
      </c>
      <c r="F2207" s="3" t="s">
        <v>5243</v>
      </c>
      <c r="G2207" s="10" t="str">
        <f aca="false">HYPERLINK("https://www.inaturalist.org/people/modimosenmo","modimosenmo")</f>
        <v>modimosenmo</v>
      </c>
      <c r="H2207" s="9" t="s">
        <v>13</v>
      </c>
      <c r="I2207" s="9" t="s">
        <v>5312</v>
      </c>
    </row>
    <row r="2208" customFormat="false" ht="15.75" hidden="false" customHeight="false" outlineLevel="0" collapsed="false">
      <c r="B2208" s="7" t="n">
        <v>46222</v>
      </c>
      <c r="C2208" s="3" t="s">
        <v>5313</v>
      </c>
      <c r="D2208" s="3" t="s">
        <v>5099</v>
      </c>
      <c r="E2208" s="3" t="s">
        <v>5314</v>
      </c>
      <c r="F2208" s="3" t="s">
        <v>5315</v>
      </c>
      <c r="G2208" s="10" t="str">
        <f aca="false">HYPERLINK("https://www.inaturalist.org/people/n_binns","n_binns")</f>
        <v>n_binns</v>
      </c>
      <c r="H2208" s="9" t="s">
        <v>13</v>
      </c>
      <c r="I2208" s="9" t="s">
        <v>5316</v>
      </c>
    </row>
    <row r="2209" customFormat="false" ht="15.75" hidden="false" customHeight="false" outlineLevel="0" collapsed="false">
      <c r="B2209" s="7" t="n">
        <v>46222</v>
      </c>
      <c r="C2209" s="3" t="s">
        <v>5317</v>
      </c>
      <c r="D2209" s="3" t="s">
        <v>5099</v>
      </c>
      <c r="E2209" s="3" t="s">
        <v>5314</v>
      </c>
      <c r="F2209" s="3" t="s">
        <v>5315</v>
      </c>
      <c r="G2209" s="10" t="str">
        <f aca="false">HYPERLINK("https://www.inaturalist.org/people/n_binns","n_binns")</f>
        <v>n_binns</v>
      </c>
      <c r="H2209" s="9" t="s">
        <v>13</v>
      </c>
      <c r="I2209" s="9" t="s">
        <v>5318</v>
      </c>
    </row>
    <row r="2210" customFormat="false" ht="15.75" hidden="false" customHeight="false" outlineLevel="0" collapsed="false">
      <c r="B2210" s="7" t="n">
        <v>46222</v>
      </c>
      <c r="C2210" s="3" t="s">
        <v>5319</v>
      </c>
      <c r="D2210" s="3" t="s">
        <v>5099</v>
      </c>
      <c r="E2210" s="3" t="s">
        <v>5314</v>
      </c>
      <c r="F2210" s="3" t="s">
        <v>5315</v>
      </c>
      <c r="G2210" s="10" t="str">
        <f aca="false">HYPERLINK("https://www.inaturalist.org/people/n_binns","n_binns")</f>
        <v>n_binns</v>
      </c>
      <c r="H2210" s="9" t="s">
        <v>13</v>
      </c>
      <c r="I2210" s="9" t="s">
        <v>5320</v>
      </c>
    </row>
    <row r="2211" customFormat="false" ht="15.75" hidden="false" customHeight="false" outlineLevel="0" collapsed="false">
      <c r="B2211" s="7" t="n">
        <v>46222</v>
      </c>
      <c r="C2211" s="3" t="s">
        <v>5321</v>
      </c>
      <c r="D2211" s="3" t="s">
        <v>5099</v>
      </c>
      <c r="E2211" s="3" t="s">
        <v>5314</v>
      </c>
      <c r="F2211" s="3" t="s">
        <v>5315</v>
      </c>
      <c r="G2211" s="10" t="str">
        <f aca="false">HYPERLINK("https://www.inaturalist.org/people/dannys_alejandra","dannys_alejandra")</f>
        <v>dannys_alejandra</v>
      </c>
      <c r="H2211" s="9" t="s">
        <v>13</v>
      </c>
      <c r="I2211" s="9" t="s">
        <v>5322</v>
      </c>
    </row>
    <row r="2212" customFormat="false" ht="15.75" hidden="false" customHeight="false" outlineLevel="0" collapsed="false">
      <c r="B2212" s="7" t="n">
        <v>46222</v>
      </c>
      <c r="C2212" s="3" t="s">
        <v>5323</v>
      </c>
      <c r="D2212" s="3" t="s">
        <v>5099</v>
      </c>
      <c r="E2212" s="3" t="s">
        <v>5314</v>
      </c>
      <c r="F2212" s="3" t="s">
        <v>5315</v>
      </c>
      <c r="G2212" s="10" t="str">
        <f aca="false">HYPERLINK("https://www.inaturalist.org/people/alessandraguimaraes","alessandraguimaraes")</f>
        <v>alessandraguimaraes</v>
      </c>
      <c r="H2212" s="9" t="s">
        <v>13</v>
      </c>
      <c r="I2212" s="9" t="s">
        <v>5324</v>
      </c>
    </row>
    <row r="2213" customFormat="false" ht="15.75" hidden="false" customHeight="false" outlineLevel="0" collapsed="false">
      <c r="B2213" s="7" t="n">
        <v>46222</v>
      </c>
      <c r="C2213" s="3" t="s">
        <v>5325</v>
      </c>
      <c r="D2213" s="3" t="s">
        <v>5099</v>
      </c>
      <c r="E2213" s="3" t="s">
        <v>5314</v>
      </c>
      <c r="F2213" s="3" t="s">
        <v>5315</v>
      </c>
      <c r="G2213" s="10" t="str">
        <f aca="false">HYPERLINK("https://www.inaturalist.org/people/estefany_genes","estefany_genes")</f>
        <v>estefany_genes</v>
      </c>
      <c r="H2213" s="9" t="s">
        <v>13</v>
      </c>
      <c r="I2213" s="9" t="s">
        <v>5326</v>
      </c>
    </row>
    <row r="2214" customFormat="false" ht="15.75" hidden="false" customHeight="false" outlineLevel="0" collapsed="false">
      <c r="B2214" s="7" t="n">
        <v>46222</v>
      </c>
      <c r="C2214" s="3" t="s">
        <v>5327</v>
      </c>
      <c r="D2214" s="3" t="s">
        <v>5099</v>
      </c>
      <c r="E2214" s="3" t="s">
        <v>5314</v>
      </c>
      <c r="F2214" s="3" t="s">
        <v>5315</v>
      </c>
      <c r="G2214" s="10" t="str">
        <f aca="false">HYPERLINK("https://www.inaturalist.org/people/carlosrangel-biocis","carlosrangel-biocis")</f>
        <v>carlosrangel-biocis</v>
      </c>
      <c r="H2214" s="9" t="s">
        <v>13</v>
      </c>
      <c r="I2214" s="9" t="s">
        <v>5328</v>
      </c>
    </row>
    <row r="2215" customFormat="false" ht="15.75" hidden="false" customHeight="false" outlineLevel="0" collapsed="false">
      <c r="B2215" s="7" t="n">
        <v>46222</v>
      </c>
      <c r="C2215" s="3" t="s">
        <v>5329</v>
      </c>
      <c r="D2215" s="3" t="s">
        <v>5099</v>
      </c>
      <c r="E2215" s="3" t="s">
        <v>5314</v>
      </c>
      <c r="F2215" s="3" t="s">
        <v>5315</v>
      </c>
      <c r="G2215" s="10" t="str">
        <f aca="false">HYPERLINK("https://www.inaturalist.org/people/rudi-diesel","rudi-diesel")</f>
        <v>rudi-diesel</v>
      </c>
      <c r="H2215" s="9" t="s">
        <v>13</v>
      </c>
      <c r="I2215" s="9" t="s">
        <v>5330</v>
      </c>
    </row>
    <row r="2216" customFormat="false" ht="15.75" hidden="false" customHeight="false" outlineLevel="0" collapsed="false">
      <c r="B2216" s="7" t="n">
        <v>46222</v>
      </c>
      <c r="C2216" s="3" t="s">
        <v>5331</v>
      </c>
      <c r="D2216" s="3" t="s">
        <v>5099</v>
      </c>
      <c r="E2216" s="3" t="s">
        <v>5314</v>
      </c>
      <c r="F2216" s="3" t="s">
        <v>5315</v>
      </c>
      <c r="G2216" s="10" t="str">
        <f aca="false">HYPERLINK("https://www.inaturalist.org/people/mangelamaya17","mangelamaya17")</f>
        <v>mangelamaya17</v>
      </c>
      <c r="H2216" s="9" t="s">
        <v>13</v>
      </c>
      <c r="I2216" s="9" t="s">
        <v>5332</v>
      </c>
    </row>
    <row r="2217" customFormat="false" ht="15.75" hidden="false" customHeight="false" outlineLevel="0" collapsed="false">
      <c r="B2217" s="7" t="n">
        <v>46222</v>
      </c>
      <c r="C2217" s="3" t="s">
        <v>5333</v>
      </c>
      <c r="D2217" s="3" t="s">
        <v>5099</v>
      </c>
      <c r="E2217" s="3" t="s">
        <v>5314</v>
      </c>
      <c r="F2217" s="3" t="s">
        <v>5315</v>
      </c>
      <c r="G2217" s="10" t="str">
        <f aca="false">HYPERLINK("https://www.inaturalist.org/people/carlosrangel-biocis","carlosrangel-biocis")</f>
        <v>carlosrangel-biocis</v>
      </c>
      <c r="H2217" s="9" t="s">
        <v>13</v>
      </c>
      <c r="I2217" s="9" t="s">
        <v>5334</v>
      </c>
    </row>
    <row r="2218" customFormat="false" ht="15.75" hidden="false" customHeight="false" outlineLevel="0" collapsed="false">
      <c r="B2218" s="7" t="n">
        <v>46222</v>
      </c>
      <c r="C2218" s="3" t="s">
        <v>5335</v>
      </c>
      <c r="D2218" s="3" t="s">
        <v>5099</v>
      </c>
      <c r="E2218" s="3" t="s">
        <v>5314</v>
      </c>
      <c r="F2218" s="3" t="s">
        <v>5315</v>
      </c>
      <c r="G2218" s="10" t="str">
        <f aca="false">HYPERLINK("https://www.inaturalist.org/people/jupals","jupals")</f>
        <v>jupals</v>
      </c>
      <c r="H2218" s="9" t="s">
        <v>13</v>
      </c>
      <c r="I2218" s="9" t="s">
        <v>5336</v>
      </c>
    </row>
    <row r="2219" customFormat="false" ht="15.75" hidden="false" customHeight="false" outlineLevel="0" collapsed="false">
      <c r="B2219" s="7" t="n">
        <v>46222</v>
      </c>
      <c r="C2219" s="3" t="s">
        <v>5337</v>
      </c>
      <c r="D2219" s="3" t="s">
        <v>5099</v>
      </c>
      <c r="E2219" s="3" t="s">
        <v>5314</v>
      </c>
      <c r="F2219" s="3" t="s">
        <v>5315</v>
      </c>
      <c r="G2219" s="10" t="str">
        <f aca="false">HYPERLINK("https://www.inaturalist.org/people/mikedboyd","mikedboyd")</f>
        <v>mikedboyd</v>
      </c>
      <c r="H2219" s="9" t="s">
        <v>13</v>
      </c>
      <c r="I2219" s="9" t="s">
        <v>5338</v>
      </c>
    </row>
    <row r="2220" customFormat="false" ht="15.75" hidden="false" customHeight="false" outlineLevel="0" collapsed="false">
      <c r="B2220" s="7" t="n">
        <v>46222</v>
      </c>
      <c r="C2220" s="3" t="s">
        <v>5339</v>
      </c>
      <c r="D2220" s="3" t="s">
        <v>5099</v>
      </c>
      <c r="E2220" s="3" t="s">
        <v>5314</v>
      </c>
      <c r="F2220" s="3" t="s">
        <v>5315</v>
      </c>
      <c r="G2220" s="10" t="str">
        <f aca="false">HYPERLINK("https://www.inaturalist.org/people/sebastian_jimenez","sebastian_jimenez")</f>
        <v>sebastian_jimenez</v>
      </c>
      <c r="H2220" s="9" t="s">
        <v>13</v>
      </c>
      <c r="I2220" s="9" t="s">
        <v>5340</v>
      </c>
    </row>
    <row r="2221" customFormat="false" ht="15.75" hidden="false" customHeight="false" outlineLevel="0" collapsed="false">
      <c r="B2221" s="7" t="n">
        <v>46222</v>
      </c>
      <c r="C2221" s="3" t="s">
        <v>5341</v>
      </c>
      <c r="D2221" s="3" t="s">
        <v>5099</v>
      </c>
      <c r="E2221" s="3" t="s">
        <v>5314</v>
      </c>
      <c r="F2221" s="3" t="s">
        <v>5315</v>
      </c>
      <c r="G2221" s="10" t="str">
        <f aca="false">HYPERLINK("https://www.inaturalist.org/people/adelal","adelal")</f>
        <v>adelal</v>
      </c>
      <c r="H2221" s="9" t="s">
        <v>13</v>
      </c>
      <c r="I2221" s="9" t="s">
        <v>5342</v>
      </c>
    </row>
    <row r="2222" customFormat="false" ht="15.75" hidden="false" customHeight="false" outlineLevel="0" collapsed="false">
      <c r="B2222" s="7" t="n">
        <v>46222</v>
      </c>
      <c r="C2222" s="3" t="s">
        <v>5343</v>
      </c>
      <c r="D2222" s="3" t="s">
        <v>5099</v>
      </c>
      <c r="E2222" s="3" t="s">
        <v>5314</v>
      </c>
      <c r="F2222" s="3" t="s">
        <v>5315</v>
      </c>
      <c r="G2222" s="10" t="str">
        <f aca="false">HYPERLINK("https://www.inaturalist.org/people/alejataf","alejataf")</f>
        <v>alejataf</v>
      </c>
      <c r="H2222" s="9" t="s">
        <v>13</v>
      </c>
      <c r="I2222" s="9" t="s">
        <v>5344</v>
      </c>
    </row>
    <row r="2223" customFormat="false" ht="15.75" hidden="false" customHeight="false" outlineLevel="0" collapsed="false">
      <c r="B2223" s="7" t="n">
        <v>46222</v>
      </c>
      <c r="C2223" s="3" t="s">
        <v>5345</v>
      </c>
      <c r="D2223" s="3" t="s">
        <v>5099</v>
      </c>
      <c r="E2223" s="3" t="s">
        <v>5314</v>
      </c>
      <c r="F2223" s="3" t="s">
        <v>5315</v>
      </c>
      <c r="G2223" s="10" t="str">
        <f aca="false">HYPERLINK("https://www.inaturalist.org/people/josealmenarez","josealmenarez")</f>
        <v>josealmenarez</v>
      </c>
      <c r="H2223" s="9" t="s">
        <v>13</v>
      </c>
      <c r="I2223" s="9" t="s">
        <v>5346</v>
      </c>
    </row>
    <row r="2224" customFormat="false" ht="15.75" hidden="false" customHeight="false" outlineLevel="0" collapsed="false">
      <c r="B2224" s="7" t="n">
        <v>46222</v>
      </c>
      <c r="C2224" s="3" t="s">
        <v>5347</v>
      </c>
      <c r="D2224" s="3" t="s">
        <v>5099</v>
      </c>
      <c r="E2224" s="3" t="s">
        <v>5314</v>
      </c>
      <c r="F2224" s="3" t="s">
        <v>5315</v>
      </c>
      <c r="G2224" s="10" t="str">
        <f aca="false">HYPERLINK("https://www.inaturalist.org/people/arenast","arenast")</f>
        <v>arenast</v>
      </c>
      <c r="H2224" s="9" t="s">
        <v>13</v>
      </c>
      <c r="I2224" s="9" t="s">
        <v>5348</v>
      </c>
    </row>
    <row r="2225" customFormat="false" ht="15.75" hidden="false" customHeight="false" outlineLevel="0" collapsed="false">
      <c r="B2225" s="7" t="n">
        <v>46222</v>
      </c>
      <c r="C2225" s="3" t="s">
        <v>5349</v>
      </c>
      <c r="D2225" s="3" t="s">
        <v>5099</v>
      </c>
      <c r="E2225" s="3" t="s">
        <v>5314</v>
      </c>
      <c r="F2225" s="3" t="s">
        <v>5315</v>
      </c>
      <c r="G2225" s="10" t="str">
        <f aca="false">HYPERLINK("https://www.inaturalist.org/people/nlserrano","nlserrano")</f>
        <v>nlserrano</v>
      </c>
      <c r="H2225" s="9" t="s">
        <v>13</v>
      </c>
      <c r="I2225" s="9" t="s">
        <v>5350</v>
      </c>
    </row>
    <row r="2226" customFormat="false" ht="15.75" hidden="false" customHeight="false" outlineLevel="0" collapsed="false">
      <c r="B2226" s="7" t="n">
        <v>46222</v>
      </c>
      <c r="C2226" s="3" t="s">
        <v>5351</v>
      </c>
      <c r="D2226" s="3" t="s">
        <v>5099</v>
      </c>
      <c r="E2226" s="3" t="s">
        <v>5314</v>
      </c>
      <c r="F2226" s="3" t="s">
        <v>5315</v>
      </c>
      <c r="G2226" s="10" t="str">
        <f aca="false">HYPERLINK("https://www.inaturalist.org/people/d200504l","d200504l")</f>
        <v>d200504l</v>
      </c>
      <c r="H2226" s="9" t="s">
        <v>13</v>
      </c>
      <c r="I2226" s="9" t="s">
        <v>5352</v>
      </c>
    </row>
    <row r="2227" customFormat="false" ht="15.75" hidden="false" customHeight="false" outlineLevel="0" collapsed="false">
      <c r="B2227" s="7" t="n">
        <v>46222</v>
      </c>
      <c r="C2227" s="3" t="s">
        <v>5353</v>
      </c>
      <c r="D2227" s="3" t="s">
        <v>5099</v>
      </c>
      <c r="E2227" s="3" t="s">
        <v>5314</v>
      </c>
      <c r="F2227" s="3" t="s">
        <v>5315</v>
      </c>
      <c r="G2227" s="10" t="str">
        <f aca="false">HYPERLINK("https://www.inaturalist.org/people/mferriol","mferriol")</f>
        <v>mferriol</v>
      </c>
      <c r="H2227" s="9" t="s">
        <v>13</v>
      </c>
      <c r="I2227" s="9" t="s">
        <v>5354</v>
      </c>
    </row>
    <row r="2228" customFormat="false" ht="15.75" hidden="false" customHeight="false" outlineLevel="0" collapsed="false">
      <c r="B2228" s="7" t="n">
        <v>46222</v>
      </c>
      <c r="C2228" s="3" t="s">
        <v>5355</v>
      </c>
      <c r="D2228" s="3" t="s">
        <v>5099</v>
      </c>
      <c r="E2228" s="3" t="s">
        <v>5314</v>
      </c>
      <c r="F2228" s="3" t="s">
        <v>5315</v>
      </c>
      <c r="G2228" s="10" t="str">
        <f aca="false">HYPERLINK("https://www.inaturalist.org/people/nadia_mejia","nadia_mejia")</f>
        <v>nadia_mejia</v>
      </c>
      <c r="H2228" s="9" t="s">
        <v>13</v>
      </c>
      <c r="I2228" s="9" t="s">
        <v>5356</v>
      </c>
    </row>
    <row r="2229" customFormat="false" ht="15.75" hidden="false" customHeight="false" outlineLevel="0" collapsed="false">
      <c r="B2229" s="7" t="n">
        <v>46222</v>
      </c>
      <c r="C2229" s="3" t="s">
        <v>5357</v>
      </c>
      <c r="D2229" s="3" t="s">
        <v>5099</v>
      </c>
      <c r="E2229" s="3" t="s">
        <v>5314</v>
      </c>
      <c r="F2229" s="3" t="s">
        <v>5315</v>
      </c>
      <c r="G2229" s="10" t="str">
        <f aca="false">HYPERLINK("https://www.inaturalist.org/people/sebastianbarandica","sebastianbarandica")</f>
        <v>sebastianbarandica</v>
      </c>
      <c r="H2229" s="9" t="s">
        <v>13</v>
      </c>
      <c r="I2229" s="9" t="s">
        <v>5358</v>
      </c>
    </row>
    <row r="2230" customFormat="false" ht="15.75" hidden="false" customHeight="false" outlineLevel="0" collapsed="false">
      <c r="B2230" s="7" t="n">
        <v>46222</v>
      </c>
      <c r="C2230" s="3" t="s">
        <v>5359</v>
      </c>
      <c r="D2230" s="3" t="s">
        <v>5099</v>
      </c>
      <c r="E2230" s="3" t="s">
        <v>5314</v>
      </c>
      <c r="F2230" s="3" t="s">
        <v>5315</v>
      </c>
      <c r="G2230" s="10" t="str">
        <f aca="false">HYPERLINK("https://www.inaturalist.org/people/felipe_barrerao","felipe_barrerao")</f>
        <v>felipe_barrerao</v>
      </c>
      <c r="H2230" s="9" t="s">
        <v>13</v>
      </c>
      <c r="I2230" s="9" t="s">
        <v>5360</v>
      </c>
    </row>
    <row r="2231" customFormat="false" ht="15.75" hidden="false" customHeight="false" outlineLevel="0" collapsed="false">
      <c r="B2231" s="7" t="n">
        <v>46222</v>
      </c>
      <c r="C2231" s="3" t="s">
        <v>5361</v>
      </c>
      <c r="D2231" s="3" t="s">
        <v>5099</v>
      </c>
      <c r="E2231" s="3" t="s">
        <v>5314</v>
      </c>
      <c r="F2231" s="3" t="s">
        <v>5315</v>
      </c>
      <c r="G2231" s="10" t="str">
        <f aca="false">HYPERLINK("https://www.inaturalist.org/people/ddavilareyes","ddavilareyes")</f>
        <v>ddavilareyes</v>
      </c>
      <c r="H2231" s="9" t="s">
        <v>13</v>
      </c>
      <c r="I2231" s="9" t="s">
        <v>5362</v>
      </c>
    </row>
    <row r="2232" customFormat="false" ht="15.75" hidden="false" customHeight="false" outlineLevel="0" collapsed="false">
      <c r="B2232" s="7" t="n">
        <v>46222</v>
      </c>
      <c r="C2232" s="3" t="s">
        <v>5363</v>
      </c>
      <c r="D2232" s="3" t="s">
        <v>5099</v>
      </c>
      <c r="E2232" s="3" t="s">
        <v>5314</v>
      </c>
      <c r="F2232" s="3" t="s">
        <v>5315</v>
      </c>
      <c r="G2232" s="10" t="str">
        <f aca="false">HYPERLINK("https://www.inaturalist.org/people/ddavilareyes","ddavilareyes")</f>
        <v>ddavilareyes</v>
      </c>
      <c r="H2232" s="9" t="s">
        <v>13</v>
      </c>
      <c r="I2232" s="9" t="s">
        <v>5364</v>
      </c>
    </row>
    <row r="2233" customFormat="false" ht="15.75" hidden="false" customHeight="false" outlineLevel="0" collapsed="false">
      <c r="B2233" s="7" t="n">
        <v>46222</v>
      </c>
      <c r="C2233" s="3" t="s">
        <v>5365</v>
      </c>
      <c r="D2233" s="3" t="s">
        <v>5099</v>
      </c>
      <c r="E2233" s="3" t="s">
        <v>5314</v>
      </c>
      <c r="F2233" s="3" t="s">
        <v>5315</v>
      </c>
      <c r="G2233" s="10" t="str">
        <f aca="false">HYPERLINK("https://www.inaturalist.org/people/khristimantis","khristimantis")</f>
        <v>khristimantis</v>
      </c>
      <c r="H2233" s="9" t="s">
        <v>13</v>
      </c>
      <c r="I2233" s="9" t="s">
        <v>5366</v>
      </c>
    </row>
    <row r="2234" customFormat="false" ht="15.75" hidden="false" customHeight="false" outlineLevel="0" collapsed="false">
      <c r="B2234" s="7" t="n">
        <v>46222</v>
      </c>
      <c r="C2234" s="3" t="s">
        <v>5367</v>
      </c>
      <c r="D2234" s="3" t="s">
        <v>5099</v>
      </c>
      <c r="E2234" s="3" t="s">
        <v>5314</v>
      </c>
      <c r="F2234" s="3" t="s">
        <v>5315</v>
      </c>
      <c r="G2234" s="10" t="str">
        <f aca="false">HYPERLINK("https://www.inaturalist.org/people/khristimantis","khristimantis")</f>
        <v>khristimantis</v>
      </c>
      <c r="H2234" s="9" t="s">
        <v>13</v>
      </c>
      <c r="I2234" s="9" t="s">
        <v>5368</v>
      </c>
    </row>
    <row r="2235" customFormat="false" ht="15.75" hidden="false" customHeight="false" outlineLevel="0" collapsed="false">
      <c r="B2235" s="7" t="n">
        <v>46222</v>
      </c>
      <c r="C2235" s="3" t="s">
        <v>5369</v>
      </c>
      <c r="D2235" s="3" t="s">
        <v>5099</v>
      </c>
      <c r="E2235" s="3" t="s">
        <v>5314</v>
      </c>
      <c r="F2235" s="3" t="s">
        <v>5315</v>
      </c>
      <c r="G2235" s="10" t="str">
        <f aca="false">HYPERLINK("https://www.inaturalist.org/people/pecosvalleydiamond","pecosvalleydiamond")</f>
        <v>pecosvalleydiamond</v>
      </c>
      <c r="H2235" s="9" t="s">
        <v>13</v>
      </c>
      <c r="I2235" s="9" t="s">
        <v>5370</v>
      </c>
    </row>
    <row r="2236" customFormat="false" ht="15.75" hidden="false" customHeight="false" outlineLevel="0" collapsed="false">
      <c r="B2236" s="7" t="n">
        <v>46222</v>
      </c>
      <c r="C2236" s="3" t="s">
        <v>5371</v>
      </c>
      <c r="D2236" s="3" t="s">
        <v>5099</v>
      </c>
      <c r="E2236" s="3" t="s">
        <v>5314</v>
      </c>
      <c r="F2236" s="3" t="s">
        <v>5315</v>
      </c>
      <c r="G2236" s="10" t="str">
        <f aca="false">HYPERLINK("https://www.inaturalist.org/people/felipe_barrerao","felipe_barrerao")</f>
        <v>felipe_barrerao</v>
      </c>
      <c r="H2236" s="9" t="s">
        <v>13</v>
      </c>
      <c r="I2236" s="9" t="s">
        <v>5372</v>
      </c>
    </row>
    <row r="2237" customFormat="false" ht="15.75" hidden="false" customHeight="false" outlineLevel="0" collapsed="false">
      <c r="B2237" s="7" t="n">
        <v>46222</v>
      </c>
      <c r="C2237" s="3" t="s">
        <v>5373</v>
      </c>
      <c r="D2237" s="3" t="s">
        <v>5099</v>
      </c>
      <c r="E2237" s="3" t="s">
        <v>5314</v>
      </c>
      <c r="F2237" s="3" t="s">
        <v>5315</v>
      </c>
      <c r="G2237" s="10" t="str">
        <f aca="false">HYPERLINK("https://www.inaturalist.org/people/jessica_klotz","jessica_klotz")</f>
        <v>jessica_klotz</v>
      </c>
      <c r="H2237" s="9" t="s">
        <v>13</v>
      </c>
      <c r="I2237" s="9" t="s">
        <v>5374</v>
      </c>
    </row>
    <row r="2238" customFormat="false" ht="15.75" hidden="false" customHeight="false" outlineLevel="0" collapsed="false">
      <c r="B2238" s="7" t="n">
        <v>46222</v>
      </c>
      <c r="C2238" s="3" t="s">
        <v>5375</v>
      </c>
      <c r="D2238" s="3" t="s">
        <v>5099</v>
      </c>
      <c r="E2238" s="3" t="s">
        <v>5314</v>
      </c>
      <c r="F2238" s="3" t="s">
        <v>5315</v>
      </c>
      <c r="G2238" s="10" t="str">
        <f aca="false">HYPERLINK("https://www.inaturalist.org/people/feria-rosa","feria-rosa")</f>
        <v>feria-rosa</v>
      </c>
      <c r="H2238" s="9" t="s">
        <v>13</v>
      </c>
      <c r="I2238" s="9" t="s">
        <v>5376</v>
      </c>
    </row>
    <row r="2239" customFormat="false" ht="15.75" hidden="false" customHeight="false" outlineLevel="0" collapsed="false">
      <c r="B2239" s="7" t="n">
        <v>46222</v>
      </c>
      <c r="C2239" s="3" t="s">
        <v>5377</v>
      </c>
      <c r="D2239" s="3" t="s">
        <v>5099</v>
      </c>
      <c r="E2239" s="3" t="s">
        <v>5314</v>
      </c>
      <c r="F2239" s="3" t="s">
        <v>5315</v>
      </c>
      <c r="G2239" s="10" t="str">
        <f aca="false">HYPERLINK("https://www.inaturalist.org/people/aleeea","aleeea")</f>
        <v>aleeea</v>
      </c>
      <c r="H2239" s="9" t="s">
        <v>13</v>
      </c>
      <c r="I2239" s="9" t="s">
        <v>5378</v>
      </c>
    </row>
    <row r="2240" customFormat="false" ht="15.75" hidden="false" customHeight="false" outlineLevel="0" collapsed="false">
      <c r="B2240" s="7" t="n">
        <v>46222</v>
      </c>
      <c r="C2240" s="3" t="s">
        <v>5379</v>
      </c>
      <c r="D2240" s="3" t="s">
        <v>5099</v>
      </c>
      <c r="E2240" s="3" t="s">
        <v>5314</v>
      </c>
      <c r="F2240" s="3" t="s">
        <v>5315</v>
      </c>
      <c r="G2240" s="10" t="str">
        <f aca="false">HYPERLINK("https://www.inaturalist.org/people/sebpardo","sebpardo")</f>
        <v>sebpardo</v>
      </c>
      <c r="H2240" s="9" t="s">
        <v>13</v>
      </c>
      <c r="I2240" s="9" t="s">
        <v>5380</v>
      </c>
    </row>
    <row r="2241" customFormat="false" ht="15.75" hidden="false" customHeight="false" outlineLevel="0" collapsed="false">
      <c r="B2241" s="7" t="n">
        <v>46222</v>
      </c>
      <c r="C2241" s="3" t="s">
        <v>5381</v>
      </c>
      <c r="D2241" s="3" t="s">
        <v>5099</v>
      </c>
      <c r="E2241" s="3" t="s">
        <v>5314</v>
      </c>
      <c r="F2241" s="3" t="s">
        <v>5315</v>
      </c>
      <c r="G2241" s="10" t="str">
        <f aca="false">HYPERLINK("https://www.inaturalist.org/people/linamary","linamary")</f>
        <v>linamary</v>
      </c>
      <c r="H2241" s="9" t="s">
        <v>13</v>
      </c>
      <c r="I2241" s="9" t="s">
        <v>5382</v>
      </c>
    </row>
    <row r="2242" customFormat="false" ht="15.75" hidden="false" customHeight="false" outlineLevel="0" collapsed="false">
      <c r="B2242" s="7" t="n">
        <v>46222</v>
      </c>
      <c r="C2242" s="3" t="s">
        <v>5383</v>
      </c>
      <c r="D2242" s="3" t="s">
        <v>5099</v>
      </c>
      <c r="E2242" s="3" t="s">
        <v>5314</v>
      </c>
      <c r="F2242" s="3" t="s">
        <v>5315</v>
      </c>
      <c r="G2242" s="10" t="str">
        <f aca="false">HYPERLINK("https://www.inaturalist.org/people/bjyepes","bjyepes")</f>
        <v>bjyepes</v>
      </c>
      <c r="H2242" s="9" t="s">
        <v>13</v>
      </c>
      <c r="I2242" s="9" t="s">
        <v>5384</v>
      </c>
    </row>
    <row r="2243" customFormat="false" ht="15.75" hidden="false" customHeight="false" outlineLevel="0" collapsed="false">
      <c r="B2243" s="7" t="n">
        <v>46222</v>
      </c>
      <c r="C2243" s="3" t="s">
        <v>5385</v>
      </c>
      <c r="D2243" s="3" t="s">
        <v>5099</v>
      </c>
      <c r="E2243" s="3" t="s">
        <v>5314</v>
      </c>
      <c r="F2243" s="3" t="s">
        <v>5386</v>
      </c>
      <c r="G2243" s="10" t="str">
        <f aca="false">HYPERLINK("https://www.inaturalist.org/people/f_fleming-ochoverde","f_fleming-ochoverde")</f>
        <v>f_fleming-ochoverde</v>
      </c>
      <c r="H2243" s="9" t="s">
        <v>13</v>
      </c>
      <c r="I2243" s="9" t="s">
        <v>5387</v>
      </c>
    </row>
    <row r="2244" customFormat="false" ht="15.75" hidden="false" customHeight="false" outlineLevel="0" collapsed="false">
      <c r="B2244" s="7" t="n">
        <v>46222</v>
      </c>
      <c r="C2244" s="3" t="s">
        <v>5388</v>
      </c>
      <c r="D2244" s="3" t="s">
        <v>5099</v>
      </c>
      <c r="E2244" s="3" t="s">
        <v>5314</v>
      </c>
      <c r="F2244" s="3" t="s">
        <v>5386</v>
      </c>
      <c r="G2244" s="10" t="str">
        <f aca="false">HYPERLINK("https://www.inaturalist.org/people/annetacea","annetacea")</f>
        <v>annetacea</v>
      </c>
      <c r="H2244" s="9" t="s">
        <v>13</v>
      </c>
      <c r="I2244" s="9" t="s">
        <v>5389</v>
      </c>
    </row>
    <row r="2245" customFormat="false" ht="15.75" hidden="false" customHeight="false" outlineLevel="0" collapsed="false">
      <c r="B2245" s="7" t="n">
        <v>46222</v>
      </c>
      <c r="C2245" s="3" t="s">
        <v>5390</v>
      </c>
      <c r="D2245" s="3" t="s">
        <v>5099</v>
      </c>
      <c r="E2245" s="3" t="s">
        <v>5314</v>
      </c>
      <c r="F2245" s="3" t="s">
        <v>5386</v>
      </c>
      <c r="G2245" s="10" t="str">
        <f aca="false">HYPERLINK("https://www.inaturalist.org/people/pecosvalleydiamond","pecosvalleydiamond")</f>
        <v>pecosvalleydiamond</v>
      </c>
      <c r="H2245" s="9" t="s">
        <v>13</v>
      </c>
      <c r="I2245" s="9" t="s">
        <v>5391</v>
      </c>
    </row>
    <row r="2246" customFormat="false" ht="15.75" hidden="false" customHeight="false" outlineLevel="0" collapsed="false">
      <c r="B2246" s="7" t="n">
        <v>46222</v>
      </c>
      <c r="C2246" s="3" t="s">
        <v>5392</v>
      </c>
      <c r="D2246" s="3" t="s">
        <v>5099</v>
      </c>
      <c r="E2246" s="3" t="s">
        <v>5314</v>
      </c>
      <c r="F2246" s="3" t="s">
        <v>5386</v>
      </c>
      <c r="G2246" s="10" t="str">
        <f aca="false">HYPERLINK("https://www.inaturalist.org/people/noahdore","noahdore")</f>
        <v>noahdore</v>
      </c>
      <c r="H2246" s="9" t="s">
        <v>13</v>
      </c>
      <c r="I2246" s="9" t="s">
        <v>5393</v>
      </c>
    </row>
    <row r="2247" customFormat="false" ht="15.75" hidden="false" customHeight="false" outlineLevel="0" collapsed="false">
      <c r="B2247" s="7" t="n">
        <v>46222</v>
      </c>
      <c r="C2247" s="3" t="s">
        <v>5394</v>
      </c>
      <c r="D2247" s="3" t="s">
        <v>5099</v>
      </c>
      <c r="E2247" s="3" t="s">
        <v>5314</v>
      </c>
      <c r="F2247" s="3" t="s">
        <v>5386</v>
      </c>
      <c r="G2247" s="10" t="str">
        <f aca="false">HYPERLINK("https://www.inaturalist.org/people/pedro_nahuat","pedro_nahuat")</f>
        <v>pedro_nahuat</v>
      </c>
      <c r="H2247" s="9" t="s">
        <v>13</v>
      </c>
      <c r="I2247" s="9" t="s">
        <v>5395</v>
      </c>
    </row>
    <row r="2248" customFormat="false" ht="15.75" hidden="false" customHeight="false" outlineLevel="0" collapsed="false">
      <c r="B2248" s="7" t="n">
        <v>46222</v>
      </c>
      <c r="C2248" s="3" t="s">
        <v>5396</v>
      </c>
      <c r="D2248" s="3" t="s">
        <v>5099</v>
      </c>
      <c r="E2248" s="3" t="s">
        <v>5314</v>
      </c>
      <c r="F2248" s="3" t="s">
        <v>5386</v>
      </c>
      <c r="G2248" s="10" t="str">
        <f aca="false">HYPERLINK("https://www.inaturalist.org/people/amarzee","amarzee")</f>
        <v>amarzee</v>
      </c>
      <c r="H2248" s="9" t="s">
        <v>13</v>
      </c>
      <c r="I2248" s="9" t="s">
        <v>5397</v>
      </c>
    </row>
    <row r="2249" customFormat="false" ht="15.75" hidden="false" customHeight="false" outlineLevel="0" collapsed="false">
      <c r="B2249" s="7" t="n">
        <v>46222</v>
      </c>
      <c r="C2249" s="3" t="s">
        <v>5398</v>
      </c>
      <c r="D2249" s="3" t="s">
        <v>5099</v>
      </c>
      <c r="E2249" s="3" t="s">
        <v>5314</v>
      </c>
      <c r="F2249" s="3" t="s">
        <v>5386</v>
      </c>
      <c r="G2249" s="10" t="str">
        <f aca="false">HYPERLINK("https://www.inaturalist.org/people/edwinmolano","edwinmolano")</f>
        <v>edwinmolano</v>
      </c>
      <c r="H2249" s="9" t="s">
        <v>13</v>
      </c>
      <c r="I2249" s="9" t="s">
        <v>5399</v>
      </c>
    </row>
    <row r="2250" customFormat="false" ht="15.75" hidden="false" customHeight="false" outlineLevel="0" collapsed="false">
      <c r="B2250" s="7" t="n">
        <v>46222</v>
      </c>
      <c r="C2250" s="3" t="s">
        <v>5400</v>
      </c>
      <c r="D2250" s="3" t="s">
        <v>5099</v>
      </c>
      <c r="E2250" s="3" t="s">
        <v>5314</v>
      </c>
      <c r="F2250" s="3" t="s">
        <v>5386</v>
      </c>
      <c r="G2250" s="10" t="str">
        <f aca="false">HYPERLINK("https://www.inaturalist.org/people/atravia","atravia")</f>
        <v>atravia</v>
      </c>
      <c r="H2250" s="9" t="s">
        <v>13</v>
      </c>
      <c r="I2250" s="9" t="s">
        <v>5401</v>
      </c>
    </row>
    <row r="2251" customFormat="false" ht="15.75" hidden="false" customHeight="false" outlineLevel="0" collapsed="false">
      <c r="B2251" s="7" t="n">
        <v>46222</v>
      </c>
      <c r="C2251" s="3" t="s">
        <v>5402</v>
      </c>
      <c r="D2251" s="3" t="s">
        <v>5099</v>
      </c>
      <c r="E2251" s="3" t="s">
        <v>5314</v>
      </c>
      <c r="F2251" s="3" t="s">
        <v>5386</v>
      </c>
      <c r="G2251" s="10" t="str">
        <f aca="false">HYPERLINK("https://www.inaturalist.org/people/gioelemoro","gioelemoro")</f>
        <v>gioelemoro</v>
      </c>
      <c r="H2251" s="9" t="s">
        <v>13</v>
      </c>
      <c r="I2251" s="9" t="s">
        <v>5403</v>
      </c>
    </row>
    <row r="2252" customFormat="false" ht="15.75" hidden="false" customHeight="false" outlineLevel="0" collapsed="false">
      <c r="B2252" s="7" t="n">
        <v>46222</v>
      </c>
      <c r="C2252" s="3" t="s">
        <v>5404</v>
      </c>
      <c r="D2252" s="3" t="s">
        <v>5099</v>
      </c>
      <c r="E2252" s="3" t="s">
        <v>5314</v>
      </c>
      <c r="F2252" s="3" t="s">
        <v>5386</v>
      </c>
      <c r="G2252" s="10" t="str">
        <f aca="false">HYPERLINK("https://www.inaturalist.org/people/caleb_morales_g","caleb_morales_g")</f>
        <v>caleb_morales_g</v>
      </c>
      <c r="H2252" s="9" t="s">
        <v>13</v>
      </c>
      <c r="I2252" s="9" t="s">
        <v>5405</v>
      </c>
    </row>
    <row r="2253" customFormat="false" ht="15.75" hidden="false" customHeight="false" outlineLevel="0" collapsed="false">
      <c r="B2253" s="7" t="n">
        <v>46222</v>
      </c>
      <c r="C2253" s="3" t="s">
        <v>5406</v>
      </c>
      <c r="D2253" s="3" t="s">
        <v>5099</v>
      </c>
      <c r="E2253" s="3" t="s">
        <v>5314</v>
      </c>
      <c r="F2253" s="3" t="s">
        <v>5386</v>
      </c>
      <c r="G2253" s="10" t="str">
        <f aca="false">HYPERLINK("https://www.inaturalist.org/people/alexheffernan","alexheffernan")</f>
        <v>alexheffernan</v>
      </c>
      <c r="H2253" s="9" t="s">
        <v>13</v>
      </c>
      <c r="I2253" s="9" t="s">
        <v>5407</v>
      </c>
    </row>
    <row r="2254" customFormat="false" ht="15.75" hidden="false" customHeight="false" outlineLevel="0" collapsed="false">
      <c r="B2254" s="7" t="n">
        <v>46222</v>
      </c>
      <c r="C2254" s="3" t="s">
        <v>5408</v>
      </c>
      <c r="D2254" s="3" t="s">
        <v>5099</v>
      </c>
      <c r="E2254" s="3" t="s">
        <v>5314</v>
      </c>
      <c r="F2254" s="3" t="s">
        <v>5386</v>
      </c>
      <c r="G2254" s="10" t="str">
        <f aca="false">HYPERLINK("https://www.inaturalist.org/people/alexheffernan","alexheffernan")</f>
        <v>alexheffernan</v>
      </c>
      <c r="H2254" s="9" t="s">
        <v>13</v>
      </c>
      <c r="I2254" s="9" t="s">
        <v>5409</v>
      </c>
    </row>
    <row r="2255" customFormat="false" ht="15.75" hidden="false" customHeight="false" outlineLevel="0" collapsed="false">
      <c r="B2255" s="7" t="n">
        <v>46222</v>
      </c>
      <c r="C2255" s="3" t="s">
        <v>5410</v>
      </c>
      <c r="D2255" s="3" t="s">
        <v>5099</v>
      </c>
      <c r="E2255" s="3" t="s">
        <v>5314</v>
      </c>
      <c r="F2255" s="3" t="s">
        <v>5386</v>
      </c>
      <c r="G2255" s="10" t="str">
        <f aca="false">HYPERLINK("https://www.inaturalist.org/people/alexheffernan","alexheffernan")</f>
        <v>alexheffernan</v>
      </c>
      <c r="H2255" s="9" t="s">
        <v>13</v>
      </c>
      <c r="I2255" s="9" t="s">
        <v>5411</v>
      </c>
    </row>
    <row r="2256" customFormat="false" ht="15.75" hidden="false" customHeight="false" outlineLevel="0" collapsed="false">
      <c r="B2256" s="7" t="n">
        <v>46222</v>
      </c>
      <c r="C2256" s="3" t="s">
        <v>5412</v>
      </c>
      <c r="D2256" s="3" t="s">
        <v>5099</v>
      </c>
      <c r="E2256" s="3" t="s">
        <v>5314</v>
      </c>
      <c r="F2256" s="3" t="s">
        <v>5386</v>
      </c>
      <c r="G2256" s="10" t="str">
        <f aca="false">HYPERLINK("https://www.inaturalist.org/people/alexheffernan","alexheffernan")</f>
        <v>alexheffernan</v>
      </c>
      <c r="H2256" s="9" t="s">
        <v>13</v>
      </c>
      <c r="I2256" s="9" t="s">
        <v>5413</v>
      </c>
    </row>
    <row r="2257" customFormat="false" ht="15.75" hidden="false" customHeight="false" outlineLevel="0" collapsed="false">
      <c r="B2257" s="7" t="n">
        <v>46222</v>
      </c>
      <c r="C2257" s="3" t="s">
        <v>5414</v>
      </c>
      <c r="D2257" s="3" t="s">
        <v>5099</v>
      </c>
      <c r="E2257" s="3" t="s">
        <v>5314</v>
      </c>
      <c r="F2257" s="3" t="s">
        <v>5386</v>
      </c>
      <c r="G2257" s="10" t="str">
        <f aca="false">HYPERLINK("https://www.inaturalist.org/people/zorek","zorek")</f>
        <v>zorek</v>
      </c>
      <c r="H2257" s="9" t="s">
        <v>13</v>
      </c>
      <c r="I2257" s="9" t="s">
        <v>5415</v>
      </c>
    </row>
    <row r="2258" customFormat="false" ht="15.75" hidden="false" customHeight="false" outlineLevel="0" collapsed="false">
      <c r="B2258" s="7" t="n">
        <v>46222</v>
      </c>
      <c r="C2258" s="3" t="s">
        <v>5416</v>
      </c>
      <c r="D2258" s="3" t="s">
        <v>5099</v>
      </c>
      <c r="E2258" s="3" t="s">
        <v>5314</v>
      </c>
      <c r="F2258" s="3" t="s">
        <v>5386</v>
      </c>
      <c r="G2258" s="10" t="str">
        <f aca="false">HYPERLINK("https://www.inaturalist.org/people/jase-t-r","jase-t-r")</f>
        <v>jase-t-r</v>
      </c>
      <c r="H2258" s="9" t="s">
        <v>13</v>
      </c>
      <c r="I2258" s="9" t="s">
        <v>5417</v>
      </c>
    </row>
    <row r="2259" customFormat="false" ht="15.75" hidden="false" customHeight="false" outlineLevel="0" collapsed="false">
      <c r="B2259" s="7" t="n">
        <v>46222</v>
      </c>
      <c r="C2259" s="3" t="s">
        <v>5418</v>
      </c>
      <c r="D2259" s="3" t="s">
        <v>5099</v>
      </c>
      <c r="E2259" s="3" t="s">
        <v>5314</v>
      </c>
      <c r="F2259" s="3" t="s">
        <v>5386</v>
      </c>
      <c r="G2259" s="10" t="str">
        <f aca="false">HYPERLINK("https://www.inaturalist.org/people/arnaud_aury","arnaud_aury")</f>
        <v>arnaud_aury</v>
      </c>
      <c r="H2259" s="9" t="s">
        <v>13</v>
      </c>
      <c r="I2259" s="9" t="s">
        <v>5419</v>
      </c>
    </row>
    <row r="2260" customFormat="false" ht="15.75" hidden="false" customHeight="false" outlineLevel="0" collapsed="false">
      <c r="B2260" s="7" t="n">
        <v>46222</v>
      </c>
      <c r="C2260" s="3" t="s">
        <v>5420</v>
      </c>
      <c r="D2260" s="3" t="s">
        <v>5099</v>
      </c>
      <c r="E2260" s="3" t="s">
        <v>5314</v>
      </c>
      <c r="F2260" s="3" t="s">
        <v>5386</v>
      </c>
      <c r="G2260" s="10" t="str">
        <f aca="false">HYPERLINK("https://www.inaturalist.org/people/edwinmolano","edwinmolano")</f>
        <v>edwinmolano</v>
      </c>
      <c r="H2260" s="9" t="s">
        <v>13</v>
      </c>
      <c r="I2260" s="9" t="s">
        <v>5421</v>
      </c>
    </row>
    <row r="2261" customFormat="false" ht="15.75" hidden="false" customHeight="false" outlineLevel="0" collapsed="false">
      <c r="B2261" s="7" t="n">
        <v>46222</v>
      </c>
      <c r="C2261" s="3" t="s">
        <v>5422</v>
      </c>
      <c r="D2261" s="3" t="s">
        <v>5099</v>
      </c>
      <c r="E2261" s="3" t="s">
        <v>5314</v>
      </c>
      <c r="F2261" s="3" t="s">
        <v>5386</v>
      </c>
      <c r="G2261" s="10" t="str">
        <f aca="false">HYPERLINK("https://www.inaturalist.org/people/dirtbagbirder","dirtbagbirder")</f>
        <v>dirtbagbirder</v>
      </c>
      <c r="H2261" s="9" t="s">
        <v>13</v>
      </c>
      <c r="I2261" s="9" t="s">
        <v>5423</v>
      </c>
    </row>
    <row r="2262" customFormat="false" ht="15.75" hidden="false" customHeight="false" outlineLevel="0" collapsed="false">
      <c r="B2262" s="7" t="n">
        <v>46222</v>
      </c>
      <c r="C2262" s="3" t="s">
        <v>5424</v>
      </c>
      <c r="D2262" s="3" t="s">
        <v>5099</v>
      </c>
      <c r="E2262" s="3" t="s">
        <v>5314</v>
      </c>
      <c r="F2262" s="3" t="s">
        <v>5386</v>
      </c>
      <c r="G2262" s="10" t="str">
        <f aca="false">HYPERLINK("https://www.inaturalist.org/people/noahdore","noahdore")</f>
        <v>noahdore</v>
      </c>
      <c r="H2262" s="9" t="s">
        <v>13</v>
      </c>
      <c r="I2262" s="9" t="s">
        <v>5425</v>
      </c>
    </row>
    <row r="2263" customFormat="false" ht="15.75" hidden="false" customHeight="false" outlineLevel="0" collapsed="false">
      <c r="B2263" s="7" t="n">
        <v>46222</v>
      </c>
      <c r="C2263" s="3" t="s">
        <v>5426</v>
      </c>
      <c r="D2263" s="3" t="s">
        <v>5099</v>
      </c>
      <c r="E2263" s="3" t="s">
        <v>5314</v>
      </c>
      <c r="F2263" s="3" t="s">
        <v>5386</v>
      </c>
      <c r="G2263" s="10" t="str">
        <f aca="false">HYPERLINK("https://www.inaturalist.org/people/castillo02","castillo02")</f>
        <v>castillo02</v>
      </c>
      <c r="H2263" s="9" t="s">
        <v>13</v>
      </c>
      <c r="I2263" s="9" t="s">
        <v>5427</v>
      </c>
    </row>
    <row r="2264" customFormat="false" ht="15.75" hidden="false" customHeight="false" outlineLevel="0" collapsed="false">
      <c r="B2264" s="7" t="n">
        <v>46222</v>
      </c>
      <c r="C2264" s="3" t="s">
        <v>5428</v>
      </c>
      <c r="D2264" s="3" t="s">
        <v>5099</v>
      </c>
      <c r="E2264" s="3" t="s">
        <v>5314</v>
      </c>
      <c r="F2264" s="3" t="s">
        <v>5386</v>
      </c>
      <c r="G2264" s="10" t="str">
        <f aca="false">HYPERLINK("https://www.inaturalist.org/people/micrathene","micrathene")</f>
        <v>micrathene</v>
      </c>
      <c r="H2264" s="9" t="s">
        <v>13</v>
      </c>
      <c r="I2264" s="9" t="s">
        <v>5429</v>
      </c>
    </row>
    <row r="2265" customFormat="false" ht="15.75" hidden="false" customHeight="false" outlineLevel="0" collapsed="false">
      <c r="B2265" s="7" t="n">
        <v>46222</v>
      </c>
      <c r="C2265" s="3" t="s">
        <v>5430</v>
      </c>
      <c r="D2265" s="3" t="s">
        <v>5099</v>
      </c>
      <c r="E2265" s="3" t="s">
        <v>5314</v>
      </c>
      <c r="F2265" s="3" t="s">
        <v>5386</v>
      </c>
      <c r="G2265" s="10" t="str">
        <f aca="false">HYPERLINK("https://www.inaturalist.org/people/coobrien","coobrien")</f>
        <v>coobrien</v>
      </c>
      <c r="H2265" s="9" t="s">
        <v>13</v>
      </c>
      <c r="I2265" s="9" t="s">
        <v>5431</v>
      </c>
    </row>
    <row r="2266" customFormat="false" ht="15.75" hidden="false" customHeight="false" outlineLevel="0" collapsed="false">
      <c r="B2266" s="7" t="n">
        <v>46222</v>
      </c>
      <c r="C2266" s="3" t="s">
        <v>5432</v>
      </c>
      <c r="D2266" s="3" t="s">
        <v>5099</v>
      </c>
      <c r="E2266" s="3" t="s">
        <v>5314</v>
      </c>
      <c r="F2266" s="3" t="s">
        <v>5386</v>
      </c>
      <c r="G2266" s="10" t="str">
        <f aca="false">HYPERLINK("https://www.inaturalist.org/people/chance2crowns","chance2crowns")</f>
        <v>chance2crowns</v>
      </c>
      <c r="H2266" s="9" t="s">
        <v>13</v>
      </c>
      <c r="I2266" s="9" t="s">
        <v>5433</v>
      </c>
    </row>
    <row r="2267" customFormat="false" ht="15.75" hidden="false" customHeight="false" outlineLevel="0" collapsed="false">
      <c r="B2267" s="7" t="n">
        <v>46222</v>
      </c>
      <c r="C2267" s="3" t="s">
        <v>5434</v>
      </c>
      <c r="D2267" s="3" t="s">
        <v>5099</v>
      </c>
      <c r="E2267" s="3" t="s">
        <v>5314</v>
      </c>
      <c r="F2267" s="3" t="s">
        <v>5386</v>
      </c>
      <c r="G2267" s="10" t="str">
        <f aca="false">HYPERLINK("https://www.inaturalist.org/people/sleepyhyrax","sleepyhyrax")</f>
        <v>sleepyhyrax</v>
      </c>
      <c r="H2267" s="9" t="s">
        <v>13</v>
      </c>
      <c r="I2267" s="9" t="s">
        <v>5435</v>
      </c>
    </row>
    <row r="2268" customFormat="false" ht="15.75" hidden="false" customHeight="false" outlineLevel="0" collapsed="false">
      <c r="B2268" s="7" t="n">
        <v>46222</v>
      </c>
      <c r="C2268" s="3" t="s">
        <v>5436</v>
      </c>
      <c r="D2268" s="3" t="s">
        <v>5099</v>
      </c>
      <c r="E2268" s="3" t="s">
        <v>5314</v>
      </c>
      <c r="F2268" s="3" t="s">
        <v>5386</v>
      </c>
      <c r="G2268" s="10" t="str">
        <f aca="false">HYPERLINK("https://www.inaturalist.org/people/coobrien","coobrien")</f>
        <v>coobrien</v>
      </c>
      <c r="H2268" s="9" t="s">
        <v>13</v>
      </c>
      <c r="I2268" s="9" t="s">
        <v>5437</v>
      </c>
    </row>
    <row r="2269" customFormat="false" ht="15.75" hidden="false" customHeight="false" outlineLevel="0" collapsed="false">
      <c r="B2269" s="7" t="n">
        <v>46222</v>
      </c>
      <c r="C2269" s="3" t="s">
        <v>5438</v>
      </c>
      <c r="D2269" s="3" t="s">
        <v>5099</v>
      </c>
      <c r="E2269" s="3" t="s">
        <v>5314</v>
      </c>
      <c r="F2269" s="3" t="s">
        <v>5386</v>
      </c>
      <c r="G2269" s="10" t="str">
        <f aca="false">HYPERLINK("https://www.inaturalist.org/people/mason_s","mason_s")</f>
        <v>mason_s</v>
      </c>
      <c r="H2269" s="9" t="s">
        <v>13</v>
      </c>
      <c r="I2269" s="9" t="s">
        <v>5439</v>
      </c>
    </row>
    <row r="2270" customFormat="false" ht="15.75" hidden="false" customHeight="false" outlineLevel="0" collapsed="false">
      <c r="B2270" s="7" t="n">
        <v>46222</v>
      </c>
      <c r="C2270" s="3" t="s">
        <v>5440</v>
      </c>
      <c r="D2270" s="3" t="s">
        <v>5099</v>
      </c>
      <c r="E2270" s="3" t="s">
        <v>5314</v>
      </c>
      <c r="F2270" s="3" t="s">
        <v>5386</v>
      </c>
      <c r="G2270" s="10" t="str">
        <f aca="false">HYPERLINK("https://www.inaturalist.org/people/javierdavid","javierdavid")</f>
        <v>javierdavid</v>
      </c>
      <c r="H2270" s="9" t="s">
        <v>13</v>
      </c>
      <c r="I2270" s="9" t="s">
        <v>5441</v>
      </c>
    </row>
    <row r="2271" customFormat="false" ht="15.75" hidden="false" customHeight="false" outlineLevel="0" collapsed="false">
      <c r="B2271" s="7" t="n">
        <v>46222</v>
      </c>
      <c r="C2271" s="3" t="s">
        <v>5442</v>
      </c>
      <c r="D2271" s="3" t="s">
        <v>5099</v>
      </c>
      <c r="E2271" s="3" t="s">
        <v>5314</v>
      </c>
      <c r="F2271" s="3" t="s">
        <v>5386</v>
      </c>
      <c r="G2271" s="10" t="str">
        <f aca="false">HYPERLINK("https://www.inaturalist.org/people/ecologistassupata","ecologistassupata")</f>
        <v>ecologistassupata</v>
      </c>
      <c r="H2271" s="9" t="s">
        <v>13</v>
      </c>
      <c r="I2271" s="9" t="s">
        <v>5443</v>
      </c>
    </row>
    <row r="2272" customFormat="false" ht="15.75" hidden="false" customHeight="false" outlineLevel="0" collapsed="false">
      <c r="B2272" s="7" t="n">
        <v>46222</v>
      </c>
      <c r="C2272" s="3" t="s">
        <v>5444</v>
      </c>
      <c r="D2272" s="3" t="s">
        <v>5099</v>
      </c>
      <c r="E2272" s="3" t="s">
        <v>5314</v>
      </c>
      <c r="F2272" s="3" t="s">
        <v>5386</v>
      </c>
      <c r="G2272" s="10" t="str">
        <f aca="false">HYPERLINK("https://www.inaturalist.org/people/maxthedog777","maxthedog777")</f>
        <v>maxthedog777</v>
      </c>
      <c r="H2272" s="9" t="s">
        <v>13</v>
      </c>
      <c r="I2272" s="9" t="s">
        <v>5445</v>
      </c>
    </row>
    <row r="2273" customFormat="false" ht="15.75" hidden="false" customHeight="false" outlineLevel="0" collapsed="false">
      <c r="B2273" s="7" t="n">
        <v>46222</v>
      </c>
      <c r="C2273" s="3" t="s">
        <v>5446</v>
      </c>
      <c r="D2273" s="3" t="s">
        <v>5099</v>
      </c>
      <c r="E2273" s="3" t="s">
        <v>5314</v>
      </c>
      <c r="F2273" s="3" t="s">
        <v>5386</v>
      </c>
      <c r="G2273" s="10" t="str">
        <f aca="false">HYPERLINK("https://www.inaturalist.org/people/imlichentoday","imlichentoday")</f>
        <v>imlichentoday</v>
      </c>
      <c r="H2273" s="9" t="s">
        <v>13</v>
      </c>
      <c r="I2273" s="9" t="s">
        <v>5447</v>
      </c>
    </row>
    <row r="2274" customFormat="false" ht="15.75" hidden="false" customHeight="false" outlineLevel="0" collapsed="false">
      <c r="B2274" s="7" t="n">
        <v>46222</v>
      </c>
      <c r="C2274" s="3" t="s">
        <v>5448</v>
      </c>
      <c r="D2274" s="3" t="s">
        <v>5099</v>
      </c>
      <c r="E2274" s="3" t="s">
        <v>5314</v>
      </c>
      <c r="F2274" s="3" t="s">
        <v>5386</v>
      </c>
      <c r="G2274" s="10" t="str">
        <f aca="false">HYPERLINK("https://www.inaturalist.org/people/tjfrancisco","tjfrancisco")</f>
        <v>tjfrancisco</v>
      </c>
      <c r="H2274" s="9" t="s">
        <v>13</v>
      </c>
      <c r="I2274" s="9" t="s">
        <v>5449</v>
      </c>
    </row>
    <row r="2275" customFormat="false" ht="15.75" hidden="false" customHeight="false" outlineLevel="0" collapsed="false">
      <c r="B2275" s="7" t="n">
        <v>46222</v>
      </c>
      <c r="C2275" s="3" t="s">
        <v>5450</v>
      </c>
      <c r="D2275" s="3" t="s">
        <v>5099</v>
      </c>
      <c r="E2275" s="3" t="s">
        <v>5314</v>
      </c>
      <c r="F2275" s="3" t="s">
        <v>5386</v>
      </c>
      <c r="G2275" s="10" t="str">
        <f aca="false">HYPERLINK("https://www.inaturalist.org/people/micrathene","micrathene")</f>
        <v>micrathene</v>
      </c>
      <c r="H2275" s="9" t="s">
        <v>13</v>
      </c>
      <c r="I2275" s="9" t="s">
        <v>5451</v>
      </c>
    </row>
    <row r="2276" customFormat="false" ht="15.75" hidden="false" customHeight="false" outlineLevel="0" collapsed="false">
      <c r="B2276" s="7" t="n">
        <v>46222</v>
      </c>
      <c r="C2276" s="3" t="s">
        <v>5452</v>
      </c>
      <c r="D2276" s="3" t="s">
        <v>5099</v>
      </c>
      <c r="E2276" s="3" t="s">
        <v>5314</v>
      </c>
      <c r="F2276" s="3" t="s">
        <v>5386</v>
      </c>
      <c r="G2276" s="10" t="str">
        <f aca="false">HYPERLINK("https://www.inaturalist.org/people/antho2005","antho2005")</f>
        <v>antho2005</v>
      </c>
      <c r="H2276" s="9" t="s">
        <v>13</v>
      </c>
      <c r="I2276" s="9" t="s">
        <v>5453</v>
      </c>
    </row>
    <row r="2277" customFormat="false" ht="15.75" hidden="false" customHeight="false" outlineLevel="0" collapsed="false">
      <c r="B2277" s="7" t="n">
        <v>46222</v>
      </c>
      <c r="C2277" s="3" t="s">
        <v>5454</v>
      </c>
      <c r="D2277" s="3" t="s">
        <v>5099</v>
      </c>
      <c r="E2277" s="3" t="s">
        <v>5314</v>
      </c>
      <c r="F2277" s="3" t="s">
        <v>5386</v>
      </c>
      <c r="G2277" s="10" t="str">
        <f aca="false">HYPERLINK("https://www.inaturalist.org/people/giel_photography","giel_photography")</f>
        <v>giel_photography</v>
      </c>
      <c r="H2277" s="9" t="s">
        <v>13</v>
      </c>
      <c r="I2277" s="9" t="s">
        <v>5455</v>
      </c>
    </row>
    <row r="2278" customFormat="false" ht="15.75" hidden="false" customHeight="false" outlineLevel="0" collapsed="false">
      <c r="B2278" s="7" t="n">
        <v>46222</v>
      </c>
      <c r="C2278" s="3" t="s">
        <v>5456</v>
      </c>
      <c r="D2278" s="3" t="s">
        <v>5099</v>
      </c>
      <c r="E2278" s="3" t="s">
        <v>5457</v>
      </c>
      <c r="F2278" s="3" t="s">
        <v>5458</v>
      </c>
      <c r="G2278" s="10" t="str">
        <f aca="false">HYPERLINK("https://www.inaturalist.org/people/paulomateusms","paulomateusms")</f>
        <v>paulomateusms</v>
      </c>
      <c r="H2278" s="9" t="s">
        <v>13</v>
      </c>
      <c r="I2278" s="9" t="s">
        <v>5459</v>
      </c>
    </row>
    <row r="2279" customFormat="false" ht="15.75" hidden="false" customHeight="false" outlineLevel="0" collapsed="false">
      <c r="B2279" s="7" t="n">
        <v>46222</v>
      </c>
      <c r="C2279" s="3" t="s">
        <v>5460</v>
      </c>
      <c r="D2279" s="3" t="s">
        <v>5099</v>
      </c>
      <c r="E2279" s="3" t="s">
        <v>5457</v>
      </c>
      <c r="F2279" s="3" t="s">
        <v>5458</v>
      </c>
      <c r="G2279" s="10" t="str">
        <f aca="false">HYPERLINK("https://www.inaturalist.org/people/abraao_arthur_253","abraao_arthur_253")</f>
        <v>abraao_arthur_253</v>
      </c>
      <c r="H2279" s="9" t="s">
        <v>13</v>
      </c>
      <c r="I2279" s="9" t="s">
        <v>5461</v>
      </c>
    </row>
    <row r="2280" customFormat="false" ht="15.75" hidden="false" customHeight="false" outlineLevel="0" collapsed="false">
      <c r="B2280" s="7" t="n">
        <v>46222</v>
      </c>
      <c r="C2280" s="3" t="s">
        <v>5462</v>
      </c>
      <c r="D2280" s="3" t="s">
        <v>5099</v>
      </c>
      <c r="E2280" s="3" t="s">
        <v>5457</v>
      </c>
      <c r="F2280" s="3" t="s">
        <v>5458</v>
      </c>
      <c r="G2280" s="10" t="str">
        <f aca="false">HYPERLINK("https://www.inaturalist.org/people/nonato_","nonato_")</f>
        <v>nonato_</v>
      </c>
      <c r="H2280" s="9" t="s">
        <v>13</v>
      </c>
      <c r="I2280" s="9" t="s">
        <v>5463</v>
      </c>
    </row>
    <row r="2281" customFormat="false" ht="15.75" hidden="false" customHeight="false" outlineLevel="0" collapsed="false">
      <c r="B2281" s="7" t="n">
        <v>46222</v>
      </c>
      <c r="C2281" s="3" t="s">
        <v>5464</v>
      </c>
      <c r="D2281" s="3" t="s">
        <v>5099</v>
      </c>
      <c r="E2281" s="3" t="s">
        <v>5457</v>
      </c>
      <c r="F2281" s="3" t="s">
        <v>5458</v>
      </c>
      <c r="G2281" s="10" t="str">
        <f aca="false">HYPERLINK("https://www.inaturalist.org/people/jadersonmartins","jadersonmartins")</f>
        <v>jadersonmartins</v>
      </c>
      <c r="H2281" s="9" t="s">
        <v>13</v>
      </c>
      <c r="I2281" s="9" t="s">
        <v>5465</v>
      </c>
    </row>
    <row r="2282" customFormat="false" ht="15.75" hidden="false" customHeight="false" outlineLevel="0" collapsed="false">
      <c r="B2282" s="7" t="n">
        <v>46222</v>
      </c>
      <c r="C2282" s="3" t="s">
        <v>5466</v>
      </c>
      <c r="D2282" s="3" t="s">
        <v>5099</v>
      </c>
      <c r="E2282" s="3" t="s">
        <v>5457</v>
      </c>
      <c r="F2282" s="3" t="s">
        <v>5458</v>
      </c>
      <c r="G2282" s="10" t="str">
        <f aca="false">HYPERLINK("https://www.inaturalist.org/people/daniel_lucas1","daniel_lucas1")</f>
        <v>daniel_lucas1</v>
      </c>
      <c r="H2282" s="9" t="s">
        <v>13</v>
      </c>
      <c r="I2282" s="9" t="s">
        <v>5467</v>
      </c>
    </row>
    <row r="2283" customFormat="false" ht="15.75" hidden="false" customHeight="false" outlineLevel="0" collapsed="false">
      <c r="B2283" s="7" t="n">
        <v>46222</v>
      </c>
      <c r="C2283" s="3" t="s">
        <v>5468</v>
      </c>
      <c r="D2283" s="3" t="s">
        <v>5099</v>
      </c>
      <c r="E2283" s="3" t="s">
        <v>5457</v>
      </c>
      <c r="F2283" s="3" t="s">
        <v>5458</v>
      </c>
      <c r="G2283" s="10" t="str">
        <f aca="false">HYPERLINK("https://www.inaturalist.org/people/fredericosonntag","fredericosonntag")</f>
        <v>fredericosonntag</v>
      </c>
      <c r="H2283" s="9" t="s">
        <v>13</v>
      </c>
      <c r="I2283" s="9" t="s">
        <v>5469</v>
      </c>
    </row>
    <row r="2284" customFormat="false" ht="15.75" hidden="false" customHeight="false" outlineLevel="0" collapsed="false">
      <c r="B2284" s="7" t="n">
        <v>46222</v>
      </c>
      <c r="C2284" s="3" t="s">
        <v>5470</v>
      </c>
      <c r="D2284" s="3" t="s">
        <v>5099</v>
      </c>
      <c r="E2284" s="3" t="s">
        <v>5457</v>
      </c>
      <c r="F2284" s="3" t="s">
        <v>5458</v>
      </c>
      <c r="G2284" s="10" t="str">
        <f aca="false">HYPERLINK("https://www.inaturalist.org/people/pedrocallado","pedrocallado")</f>
        <v>pedrocallado</v>
      </c>
      <c r="H2284" s="9" t="s">
        <v>13</v>
      </c>
      <c r="I2284" s="9" t="s">
        <v>5471</v>
      </c>
    </row>
    <row r="2285" customFormat="false" ht="15.75" hidden="false" customHeight="false" outlineLevel="0" collapsed="false">
      <c r="B2285" s="7" t="n">
        <v>46222</v>
      </c>
      <c r="C2285" s="3" t="s">
        <v>5472</v>
      </c>
      <c r="D2285" s="3" t="s">
        <v>5099</v>
      </c>
      <c r="E2285" s="3" t="s">
        <v>5457</v>
      </c>
      <c r="F2285" s="3" t="s">
        <v>5458</v>
      </c>
      <c r="G2285" s="10" t="str">
        <f aca="false">HYPERLINK("https://www.inaturalist.org/people/bielbirdwatcher","bielbirdwatcher")</f>
        <v>bielbirdwatcher</v>
      </c>
      <c r="H2285" s="9" t="s">
        <v>13</v>
      </c>
      <c r="I2285" s="9" t="s">
        <v>5473</v>
      </c>
    </row>
    <row r="2286" customFormat="false" ht="15.75" hidden="false" customHeight="false" outlineLevel="0" collapsed="false">
      <c r="B2286" s="7" t="n">
        <v>46222</v>
      </c>
      <c r="C2286" s="3" t="s">
        <v>5474</v>
      </c>
      <c r="D2286" s="3" t="s">
        <v>5099</v>
      </c>
      <c r="E2286" s="3" t="s">
        <v>5457</v>
      </c>
      <c r="F2286" s="3" t="s">
        <v>5458</v>
      </c>
      <c r="G2286" s="10" t="str">
        <f aca="false">HYPERLINK("https://www.inaturalist.org/people/lucasbotelho","lucasbotelho")</f>
        <v>lucasbotelho</v>
      </c>
      <c r="H2286" s="9" t="s">
        <v>13</v>
      </c>
      <c r="I2286" s="9" t="s">
        <v>5475</v>
      </c>
    </row>
    <row r="2287" customFormat="false" ht="15.75" hidden="false" customHeight="false" outlineLevel="0" collapsed="false">
      <c r="B2287" s="7" t="n">
        <v>46222</v>
      </c>
      <c r="C2287" s="3" t="s">
        <v>5476</v>
      </c>
      <c r="D2287" s="3" t="s">
        <v>5099</v>
      </c>
      <c r="E2287" s="3" t="s">
        <v>5457</v>
      </c>
      <c r="F2287" s="3" t="s">
        <v>5458</v>
      </c>
      <c r="G2287" s="10" t="str">
        <f aca="false">HYPERLINK("https://www.inaturalist.org/people/amandae_","amandae_")</f>
        <v>amandae_</v>
      </c>
      <c r="H2287" s="9" t="s">
        <v>13</v>
      </c>
      <c r="I2287" s="9" t="s">
        <v>5477</v>
      </c>
    </row>
    <row r="2288" customFormat="false" ht="15.75" hidden="false" customHeight="false" outlineLevel="0" collapsed="false">
      <c r="B2288" s="7" t="n">
        <v>46222</v>
      </c>
      <c r="C2288" s="3" t="s">
        <v>5478</v>
      </c>
      <c r="D2288" s="3" t="s">
        <v>5099</v>
      </c>
      <c r="E2288" s="3" t="s">
        <v>5457</v>
      </c>
      <c r="F2288" s="3" t="s">
        <v>5458</v>
      </c>
      <c r="G2288" s="10" t="str">
        <f aca="false">HYPERLINK("https://www.inaturalist.org/people/thethas","thethas")</f>
        <v>thethas</v>
      </c>
      <c r="H2288" s="9" t="s">
        <v>13</v>
      </c>
      <c r="I2288" s="9" t="s">
        <v>5479</v>
      </c>
    </row>
    <row r="2289" customFormat="false" ht="15.75" hidden="false" customHeight="false" outlineLevel="0" collapsed="false">
      <c r="B2289" s="7" t="n">
        <v>46222</v>
      </c>
      <c r="C2289" s="3" t="s">
        <v>5480</v>
      </c>
      <c r="D2289" s="3" t="s">
        <v>5099</v>
      </c>
      <c r="E2289" s="3" t="s">
        <v>5457</v>
      </c>
      <c r="F2289" s="3" t="s">
        <v>5458</v>
      </c>
      <c r="G2289" s="10" t="str">
        <f aca="false">HYPERLINK("https://www.inaturalist.org/people/vitorbird","vitorbird")</f>
        <v>vitorbird</v>
      </c>
      <c r="H2289" s="9" t="s">
        <v>13</v>
      </c>
      <c r="I2289" s="9" t="s">
        <v>5481</v>
      </c>
    </row>
    <row r="2290" customFormat="false" ht="15.75" hidden="false" customHeight="false" outlineLevel="0" collapsed="false">
      <c r="B2290" s="7" t="n">
        <v>46222</v>
      </c>
      <c r="C2290" s="3" t="s">
        <v>5482</v>
      </c>
      <c r="D2290" s="3" t="s">
        <v>5099</v>
      </c>
      <c r="E2290" s="3" t="s">
        <v>5457</v>
      </c>
      <c r="F2290" s="3" t="s">
        <v>5458</v>
      </c>
      <c r="G2290" s="10" t="str">
        <f aca="false">HYPERLINK("https://www.inaturalist.org/people/jonasfilho","jonasfilho")</f>
        <v>jonasfilho</v>
      </c>
      <c r="H2290" s="9" t="s">
        <v>13</v>
      </c>
      <c r="I2290" s="9" t="s">
        <v>5483</v>
      </c>
    </row>
    <row r="2291" customFormat="false" ht="15.75" hidden="false" customHeight="false" outlineLevel="0" collapsed="false">
      <c r="B2291" s="7" t="n">
        <v>46222</v>
      </c>
      <c r="C2291" s="3" t="s">
        <v>5484</v>
      </c>
      <c r="D2291" s="3" t="s">
        <v>5099</v>
      </c>
      <c r="E2291" s="3" t="s">
        <v>5457</v>
      </c>
      <c r="F2291" s="3" t="s">
        <v>5458</v>
      </c>
      <c r="G2291" s="10" t="str">
        <f aca="false">HYPERLINK("https://www.inaturalist.org/people/jadersonmartins","jadersonmartins")</f>
        <v>jadersonmartins</v>
      </c>
      <c r="H2291" s="9" t="s">
        <v>13</v>
      </c>
      <c r="I2291" s="9" t="s">
        <v>5485</v>
      </c>
    </row>
    <row r="2292" customFormat="false" ht="15.75" hidden="false" customHeight="false" outlineLevel="0" collapsed="false">
      <c r="B2292" s="7" t="n">
        <v>46222</v>
      </c>
      <c r="C2292" s="3" t="s">
        <v>5486</v>
      </c>
      <c r="D2292" s="3" t="s">
        <v>5099</v>
      </c>
      <c r="E2292" s="3" t="s">
        <v>5457</v>
      </c>
      <c r="F2292" s="3" t="s">
        <v>5458</v>
      </c>
      <c r="G2292" s="10" t="str">
        <f aca="false">HYPERLINK("https://www.inaturalist.org/people/rafaelduarte","rafaelduarte")</f>
        <v>rafaelduarte</v>
      </c>
      <c r="H2292" s="9" t="s">
        <v>13</v>
      </c>
      <c r="I2292" s="9" t="s">
        <v>5487</v>
      </c>
    </row>
    <row r="2293" customFormat="false" ht="15.75" hidden="false" customHeight="false" outlineLevel="0" collapsed="false">
      <c r="B2293" s="7" t="n">
        <v>46222</v>
      </c>
      <c r="C2293" s="3" t="s">
        <v>5488</v>
      </c>
      <c r="D2293" s="3" t="s">
        <v>5099</v>
      </c>
      <c r="E2293" s="3" t="s">
        <v>5457</v>
      </c>
      <c r="F2293" s="3" t="s">
        <v>5458</v>
      </c>
      <c r="G2293" s="10" t="str">
        <f aca="false">HYPERLINK("https://www.inaturalist.org/people/marcosdantasvs","marcosdantasvs")</f>
        <v>marcosdantasvs</v>
      </c>
      <c r="H2293" s="9" t="s">
        <v>13</v>
      </c>
      <c r="I2293" s="9" t="s">
        <v>5489</v>
      </c>
    </row>
    <row r="2294" customFormat="false" ht="15.75" hidden="false" customHeight="false" outlineLevel="0" collapsed="false">
      <c r="B2294" s="7" t="n">
        <v>46222</v>
      </c>
      <c r="C2294" s="3" t="s">
        <v>5490</v>
      </c>
      <c r="D2294" s="3" t="s">
        <v>5099</v>
      </c>
      <c r="E2294" s="3" t="s">
        <v>5457</v>
      </c>
      <c r="F2294" s="3" t="s">
        <v>5458</v>
      </c>
      <c r="G2294" s="10" t="str">
        <f aca="false">HYPERLINK("https://www.inaturalist.org/people/marciocampelo","marciocampelo")</f>
        <v>marciocampelo</v>
      </c>
      <c r="H2294" s="9" t="s">
        <v>13</v>
      </c>
      <c r="I2294" s="9" t="s">
        <v>5491</v>
      </c>
    </row>
    <row r="2295" customFormat="false" ht="15.75" hidden="false" customHeight="false" outlineLevel="0" collapsed="false">
      <c r="B2295" s="7" t="n">
        <v>46222</v>
      </c>
      <c r="C2295" s="3" t="s">
        <v>5492</v>
      </c>
      <c r="D2295" s="3" t="s">
        <v>5099</v>
      </c>
      <c r="E2295" s="3" t="s">
        <v>5457</v>
      </c>
      <c r="F2295" s="3" t="s">
        <v>5458</v>
      </c>
      <c r="G2295" s="10" t="str">
        <f aca="false">HYPERLINK("https://www.inaturalist.org/people/joaoabraao","joaoabraao")</f>
        <v>joaoabraao</v>
      </c>
      <c r="H2295" s="9" t="s">
        <v>13</v>
      </c>
      <c r="I2295" s="9" t="s">
        <v>5493</v>
      </c>
    </row>
    <row r="2296" customFormat="false" ht="15.75" hidden="false" customHeight="false" outlineLevel="0" collapsed="false">
      <c r="B2296" s="7" t="n">
        <v>46222</v>
      </c>
      <c r="C2296" s="3" t="s">
        <v>5494</v>
      </c>
      <c r="D2296" s="3" t="s">
        <v>5099</v>
      </c>
      <c r="E2296" s="3" t="s">
        <v>5457</v>
      </c>
      <c r="F2296" s="3" t="s">
        <v>5458</v>
      </c>
      <c r="G2296" s="10" t="str">
        <f aca="false">HYPERLINK("https://www.inaturalist.org/people/pedrohmartins","pedrohmartins")</f>
        <v>pedrohmartins</v>
      </c>
      <c r="H2296" s="9" t="s">
        <v>13</v>
      </c>
      <c r="I2296" s="9" t="s">
        <v>5495</v>
      </c>
    </row>
    <row r="2297" customFormat="false" ht="15.75" hidden="false" customHeight="false" outlineLevel="0" collapsed="false">
      <c r="B2297" s="7" t="n">
        <v>46222</v>
      </c>
      <c r="C2297" s="3" t="s">
        <v>5496</v>
      </c>
      <c r="D2297" s="3" t="s">
        <v>5099</v>
      </c>
      <c r="E2297" s="3" t="s">
        <v>5457</v>
      </c>
      <c r="F2297" s="3" t="s">
        <v>5458</v>
      </c>
      <c r="G2297" s="10" t="str">
        <f aca="false">HYPERLINK("https://www.inaturalist.org/people/rosanasobral","rosanasobral")</f>
        <v>rosanasobral</v>
      </c>
      <c r="H2297" s="9" t="s">
        <v>13</v>
      </c>
      <c r="I2297" s="9" t="s">
        <v>5497</v>
      </c>
    </row>
    <row r="2298" customFormat="false" ht="15.75" hidden="false" customHeight="false" outlineLevel="0" collapsed="false">
      <c r="B2298" s="7" t="n">
        <v>46222</v>
      </c>
      <c r="C2298" s="3" t="s">
        <v>5498</v>
      </c>
      <c r="D2298" s="3" t="s">
        <v>5099</v>
      </c>
      <c r="E2298" s="3" t="s">
        <v>5457</v>
      </c>
      <c r="F2298" s="3" t="s">
        <v>5458</v>
      </c>
      <c r="G2298" s="10" t="str">
        <f aca="false">HYPERLINK("https://www.inaturalist.org/people/marciocampelo","marciocampelo")</f>
        <v>marciocampelo</v>
      </c>
      <c r="H2298" s="9" t="s">
        <v>13</v>
      </c>
      <c r="I2298" s="9" t="s">
        <v>5499</v>
      </c>
    </row>
    <row r="2299" customFormat="false" ht="15.75" hidden="false" customHeight="false" outlineLevel="0" collapsed="false">
      <c r="B2299" s="7" t="n">
        <v>46222</v>
      </c>
      <c r="C2299" s="3" t="s">
        <v>5500</v>
      </c>
      <c r="D2299" s="3" t="s">
        <v>5099</v>
      </c>
      <c r="E2299" s="3" t="s">
        <v>5457</v>
      </c>
      <c r="F2299" s="3" t="s">
        <v>5458</v>
      </c>
      <c r="G2299" s="10" t="str">
        <f aca="false">HYPERLINK("https://www.inaturalist.org/people/gl_ribeiro","gl_ribeiro")</f>
        <v>gl_ribeiro</v>
      </c>
      <c r="H2299" s="9" t="s">
        <v>13</v>
      </c>
      <c r="I2299" s="9" t="s">
        <v>5501</v>
      </c>
    </row>
    <row r="2300" customFormat="false" ht="15.75" hidden="false" customHeight="false" outlineLevel="0" collapsed="false">
      <c r="B2300" s="7" t="n">
        <v>46222</v>
      </c>
      <c r="C2300" s="3" t="s">
        <v>5502</v>
      </c>
      <c r="D2300" s="3" t="s">
        <v>5099</v>
      </c>
      <c r="E2300" s="3" t="s">
        <v>5457</v>
      </c>
      <c r="F2300" s="3" t="s">
        <v>5458</v>
      </c>
      <c r="G2300" s="10" t="str">
        <f aca="false">HYPERLINK("https://www.inaturalist.org/people/geraldomorais","geraldomorais")</f>
        <v>geraldomorais</v>
      </c>
      <c r="H2300" s="9" t="s">
        <v>13</v>
      </c>
      <c r="I2300" s="9" t="s">
        <v>5503</v>
      </c>
    </row>
    <row r="2301" customFormat="false" ht="15.75" hidden="false" customHeight="false" outlineLevel="0" collapsed="false">
      <c r="B2301" s="7" t="n">
        <v>46222</v>
      </c>
      <c r="C2301" s="3" t="s">
        <v>5504</v>
      </c>
      <c r="D2301" s="3" t="s">
        <v>5099</v>
      </c>
      <c r="E2301" s="3" t="s">
        <v>5457</v>
      </c>
      <c r="F2301" s="3" t="s">
        <v>5458</v>
      </c>
      <c r="G2301" s="10" t="str">
        <f aca="false">HYPERLINK("https://www.inaturalist.org/people/nonato_","nonato_")</f>
        <v>nonato_</v>
      </c>
      <c r="H2301" s="9" t="s">
        <v>13</v>
      </c>
      <c r="I2301" s="9" t="s">
        <v>5505</v>
      </c>
    </row>
    <row r="2302" customFormat="false" ht="15.75" hidden="false" customHeight="false" outlineLevel="0" collapsed="false">
      <c r="B2302" s="7" t="n">
        <v>46222</v>
      </c>
      <c r="C2302" s="3" t="s">
        <v>5506</v>
      </c>
      <c r="D2302" s="3" t="s">
        <v>5099</v>
      </c>
      <c r="E2302" s="3" t="s">
        <v>5457</v>
      </c>
      <c r="F2302" s="3" t="s">
        <v>5458</v>
      </c>
      <c r="G2302" s="10" t="str">
        <f aca="false">HYPERLINK("https://www.inaturalist.org/people/thiago4jazz","thiago4jazz")</f>
        <v>thiago4jazz</v>
      </c>
      <c r="H2302" s="9" t="s">
        <v>13</v>
      </c>
      <c r="I2302" s="9" t="s">
        <v>5507</v>
      </c>
    </row>
    <row r="2303" customFormat="false" ht="15.75" hidden="false" customHeight="false" outlineLevel="0" collapsed="false">
      <c r="B2303" s="7" t="n">
        <v>46222</v>
      </c>
      <c r="C2303" s="3" t="s">
        <v>5508</v>
      </c>
      <c r="D2303" s="3" t="s">
        <v>5099</v>
      </c>
      <c r="E2303" s="3" t="s">
        <v>5457</v>
      </c>
      <c r="F2303" s="3" t="s">
        <v>5458</v>
      </c>
      <c r="G2303" s="10" t="str">
        <f aca="false">HYPERLINK("https://www.inaturalist.org/people/marcostt","marcostt")</f>
        <v>marcostt</v>
      </c>
      <c r="H2303" s="9" t="s">
        <v>13</v>
      </c>
      <c r="I2303" s="9" t="s">
        <v>5509</v>
      </c>
    </row>
    <row r="2304" customFormat="false" ht="15.75" hidden="false" customHeight="false" outlineLevel="0" collapsed="false">
      <c r="B2304" s="7" t="n">
        <v>46222</v>
      </c>
      <c r="C2304" s="3" t="s">
        <v>5510</v>
      </c>
      <c r="D2304" s="3" t="s">
        <v>5099</v>
      </c>
      <c r="E2304" s="3" t="s">
        <v>5457</v>
      </c>
      <c r="F2304" s="3" t="s">
        <v>5458</v>
      </c>
      <c r="G2304" s="10" t="str">
        <f aca="false">HYPERLINK("https://www.inaturalist.org/people/willianderson_lima","willianderson_lima")</f>
        <v>willianderson_lima</v>
      </c>
      <c r="H2304" s="9" t="s">
        <v>13</v>
      </c>
      <c r="I2304" s="9" t="s">
        <v>5511</v>
      </c>
    </row>
    <row r="2305" customFormat="false" ht="15.75" hidden="false" customHeight="false" outlineLevel="0" collapsed="false">
      <c r="B2305" s="7" t="n">
        <v>46222</v>
      </c>
      <c r="C2305" s="3" t="s">
        <v>5512</v>
      </c>
      <c r="D2305" s="3" t="s">
        <v>5099</v>
      </c>
      <c r="E2305" s="3" t="s">
        <v>5457</v>
      </c>
      <c r="F2305" s="3" t="s">
        <v>5458</v>
      </c>
      <c r="G2305" s="10" t="str">
        <f aca="false">HYPERLINK("https://www.inaturalist.org/people/john_ntr","john_ntr")</f>
        <v>john_ntr</v>
      </c>
      <c r="H2305" s="9" t="s">
        <v>13</v>
      </c>
      <c r="I2305" s="9" t="s">
        <v>5513</v>
      </c>
    </row>
    <row r="2306" customFormat="false" ht="15.75" hidden="false" customHeight="false" outlineLevel="0" collapsed="false">
      <c r="B2306" s="7" t="n">
        <v>46222</v>
      </c>
      <c r="C2306" s="3" t="s">
        <v>5514</v>
      </c>
      <c r="D2306" s="3" t="s">
        <v>5099</v>
      </c>
      <c r="E2306" s="3" t="s">
        <v>5457</v>
      </c>
      <c r="F2306" s="3" t="s">
        <v>5458</v>
      </c>
      <c r="G2306" s="10" t="str">
        <f aca="false">HYPERLINK("https://www.inaturalist.org/people/feitosamlb","feitosamlb")</f>
        <v>feitosamlb</v>
      </c>
      <c r="H2306" s="9" t="s">
        <v>13</v>
      </c>
      <c r="I2306" s="9" t="s">
        <v>5515</v>
      </c>
    </row>
    <row r="2307" customFormat="false" ht="15.75" hidden="false" customHeight="false" outlineLevel="0" collapsed="false">
      <c r="B2307" s="7" t="n">
        <v>46222</v>
      </c>
      <c r="C2307" s="3" t="s">
        <v>5516</v>
      </c>
      <c r="D2307" s="3" t="s">
        <v>5099</v>
      </c>
      <c r="E2307" s="3" t="s">
        <v>5457</v>
      </c>
      <c r="F2307" s="3" t="s">
        <v>5458</v>
      </c>
      <c r="G2307" s="10" t="str">
        <f aca="false">HYPERLINK("https://www.inaturalist.org/people/sandres","sandres")</f>
        <v>sandres</v>
      </c>
      <c r="H2307" s="9" t="s">
        <v>13</v>
      </c>
      <c r="I2307" s="9" t="s">
        <v>5517</v>
      </c>
    </row>
    <row r="2308" customFormat="false" ht="15.75" hidden="false" customHeight="false" outlineLevel="0" collapsed="false">
      <c r="B2308" s="7" t="n">
        <v>46222</v>
      </c>
      <c r="C2308" s="3" t="s">
        <v>5518</v>
      </c>
      <c r="D2308" s="3" t="s">
        <v>5099</v>
      </c>
      <c r="E2308" s="3" t="s">
        <v>5457</v>
      </c>
      <c r="F2308" s="3" t="s">
        <v>5458</v>
      </c>
      <c r="G2308" s="10" t="str">
        <f aca="false">HYPERLINK("https://www.inaturalist.org/people/eduardovieira17","eduardovieira17")</f>
        <v>eduardovieira17</v>
      </c>
      <c r="H2308" s="9" t="s">
        <v>13</v>
      </c>
      <c r="I2308" s="9" t="s">
        <v>5519</v>
      </c>
    </row>
    <row r="2309" customFormat="false" ht="15.75" hidden="false" customHeight="false" outlineLevel="0" collapsed="false">
      <c r="B2309" s="7" t="n">
        <v>46222</v>
      </c>
      <c r="C2309" s="3" t="s">
        <v>5520</v>
      </c>
      <c r="D2309" s="3" t="s">
        <v>5099</v>
      </c>
      <c r="E2309" s="3" t="s">
        <v>5457</v>
      </c>
      <c r="F2309" s="3" t="s">
        <v>5458</v>
      </c>
      <c r="G2309" s="10" t="str">
        <f aca="false">HYPERLINK("https://www.inaturalist.org/people/gracebalves","gracebalves")</f>
        <v>gracebalves</v>
      </c>
      <c r="H2309" s="9" t="s">
        <v>13</v>
      </c>
      <c r="I2309" s="9" t="s">
        <v>5521</v>
      </c>
    </row>
    <row r="2310" customFormat="false" ht="15.75" hidden="false" customHeight="false" outlineLevel="0" collapsed="false">
      <c r="B2310" s="7" t="n">
        <v>46222</v>
      </c>
      <c r="C2310" s="3" t="s">
        <v>5522</v>
      </c>
      <c r="D2310" s="3" t="s">
        <v>5099</v>
      </c>
      <c r="E2310" s="3" t="s">
        <v>5457</v>
      </c>
      <c r="F2310" s="3" t="s">
        <v>5458</v>
      </c>
      <c r="G2310" s="10" t="str">
        <f aca="false">HYPERLINK("https://www.inaturalist.org/people/mlagares","mlagares")</f>
        <v>mlagares</v>
      </c>
      <c r="H2310" s="9" t="s">
        <v>13</v>
      </c>
      <c r="I2310" s="9" t="s">
        <v>5523</v>
      </c>
    </row>
    <row r="2311" customFormat="false" ht="15.75" hidden="false" customHeight="false" outlineLevel="0" collapsed="false">
      <c r="B2311" s="7" t="n">
        <v>46222</v>
      </c>
      <c r="C2311" s="3" t="s">
        <v>5524</v>
      </c>
      <c r="D2311" s="3" t="s">
        <v>5099</v>
      </c>
      <c r="E2311" s="3" t="s">
        <v>5457</v>
      </c>
      <c r="F2311" s="3" t="s">
        <v>5458</v>
      </c>
      <c r="G2311" s="10" t="str">
        <f aca="false">HYPERLINK("https://www.inaturalist.org/people/idaliobio","idaliobio")</f>
        <v>idaliobio</v>
      </c>
      <c r="H2311" s="9" t="s">
        <v>13</v>
      </c>
      <c r="I2311" s="9" t="s">
        <v>5525</v>
      </c>
    </row>
    <row r="2312" customFormat="false" ht="15.75" hidden="false" customHeight="false" outlineLevel="0" collapsed="false">
      <c r="B2312" s="7" t="n">
        <v>46222</v>
      </c>
      <c r="C2312" s="3" t="s">
        <v>5526</v>
      </c>
      <c r="D2312" s="3" t="s">
        <v>5099</v>
      </c>
      <c r="E2312" s="3" t="s">
        <v>5457</v>
      </c>
      <c r="F2312" s="3" t="s">
        <v>5458</v>
      </c>
      <c r="G2312" s="10" t="str">
        <f aca="false">HYPERLINK("https://www.inaturalist.org/people/celiomoura","celiomoura")</f>
        <v>celiomoura</v>
      </c>
      <c r="H2312" s="9" t="s">
        <v>13</v>
      </c>
      <c r="I2312" s="9" t="s">
        <v>5527</v>
      </c>
    </row>
    <row r="2313" customFormat="false" ht="15.75" hidden="false" customHeight="false" outlineLevel="0" collapsed="false">
      <c r="B2313" s="7" t="n">
        <v>46222</v>
      </c>
      <c r="C2313" s="3" t="s">
        <v>5528</v>
      </c>
      <c r="D2313" s="3" t="s">
        <v>5099</v>
      </c>
      <c r="E2313" s="3" t="s">
        <v>5529</v>
      </c>
      <c r="F2313" s="3" t="s">
        <v>5530</v>
      </c>
      <c r="G2313" s="10" t="str">
        <f aca="false">HYPERLINK("https://www.inaturalist.org/people/shaun3000","shaun3000")</f>
        <v>shaun3000</v>
      </c>
      <c r="H2313" s="9" t="s">
        <v>13</v>
      </c>
      <c r="I2313" s="9" t="s">
        <v>5531</v>
      </c>
    </row>
    <row r="2314" customFormat="false" ht="15.75" hidden="false" customHeight="false" outlineLevel="0" collapsed="false">
      <c r="B2314" s="7" t="n">
        <v>46222</v>
      </c>
      <c r="C2314" s="3" t="s">
        <v>5532</v>
      </c>
      <c r="D2314" s="3" t="s">
        <v>5099</v>
      </c>
      <c r="E2314" s="3" t="s">
        <v>5529</v>
      </c>
      <c r="F2314" s="3" t="s">
        <v>5530</v>
      </c>
      <c r="G2314" s="10" t="str">
        <f aca="false">HYPERLINK("https://www.inaturalist.org/people/muddphoto","muddphoto")</f>
        <v>muddphoto</v>
      </c>
      <c r="H2314" s="9" t="s">
        <v>13</v>
      </c>
      <c r="I2314" s="9" t="s">
        <v>5533</v>
      </c>
    </row>
    <row r="2315" customFormat="false" ht="15.75" hidden="false" customHeight="false" outlineLevel="0" collapsed="false">
      <c r="B2315" s="7" t="n">
        <v>46222</v>
      </c>
      <c r="C2315" s="3" t="s">
        <v>5534</v>
      </c>
      <c r="D2315" s="3" t="s">
        <v>5099</v>
      </c>
      <c r="E2315" s="3" t="s">
        <v>5529</v>
      </c>
      <c r="F2315" s="3" t="s">
        <v>5530</v>
      </c>
      <c r="G2315" s="10" t="str">
        <f aca="false">HYPERLINK("https://www.inaturalist.org/people/jamaicanmango","jamaicanmango")</f>
        <v>jamaicanmango</v>
      </c>
      <c r="H2315" s="9" t="s">
        <v>13</v>
      </c>
      <c r="I2315" s="9" t="s">
        <v>5535</v>
      </c>
    </row>
    <row r="2316" customFormat="false" ht="15.75" hidden="false" customHeight="false" outlineLevel="0" collapsed="false">
      <c r="B2316" s="7" t="n">
        <v>46222</v>
      </c>
      <c r="C2316" s="3" t="s">
        <v>5536</v>
      </c>
      <c r="D2316" s="3" t="s">
        <v>5099</v>
      </c>
      <c r="E2316" s="3" t="s">
        <v>5529</v>
      </c>
      <c r="F2316" s="3" t="s">
        <v>5530</v>
      </c>
      <c r="G2316" s="10" t="str">
        <f aca="false">HYPERLINK("https://www.inaturalist.org/people/muddphoto","muddphoto")</f>
        <v>muddphoto</v>
      </c>
      <c r="H2316" s="9" t="s">
        <v>13</v>
      </c>
      <c r="I2316" s="9" t="s">
        <v>5537</v>
      </c>
    </row>
    <row r="2317" customFormat="false" ht="15.75" hidden="false" customHeight="false" outlineLevel="0" collapsed="false">
      <c r="B2317" s="7" t="n">
        <v>46222</v>
      </c>
      <c r="C2317" s="3" t="s">
        <v>5538</v>
      </c>
      <c r="D2317" s="3" t="s">
        <v>5099</v>
      </c>
      <c r="E2317" s="3" t="s">
        <v>5529</v>
      </c>
      <c r="F2317" s="3" t="s">
        <v>5530</v>
      </c>
      <c r="G2317" s="10" t="str">
        <f aca="false">HYPERLINK("https://www.inaturalist.org/people/muddphoto","muddphoto")</f>
        <v>muddphoto</v>
      </c>
      <c r="H2317" s="9" t="s">
        <v>13</v>
      </c>
      <c r="I2317" s="9" t="s">
        <v>5539</v>
      </c>
    </row>
    <row r="2318" customFormat="false" ht="15.75" hidden="false" customHeight="false" outlineLevel="0" collapsed="false">
      <c r="B2318" s="7" t="n">
        <v>46222</v>
      </c>
      <c r="C2318" s="3" t="s">
        <v>5540</v>
      </c>
      <c r="D2318" s="3" t="s">
        <v>5099</v>
      </c>
      <c r="E2318" s="3" t="s">
        <v>5529</v>
      </c>
      <c r="F2318" s="3" t="s">
        <v>5530</v>
      </c>
      <c r="G2318" s="10" t="str">
        <f aca="false">HYPERLINK("https://www.inaturalist.org/people/muddphoto","muddphoto")</f>
        <v>muddphoto</v>
      </c>
      <c r="H2318" s="9" t="s">
        <v>13</v>
      </c>
      <c r="I2318" s="9" t="s">
        <v>5541</v>
      </c>
    </row>
    <row r="2319" customFormat="false" ht="15.75" hidden="false" customHeight="false" outlineLevel="0" collapsed="false">
      <c r="B2319" s="7" t="n">
        <v>46222</v>
      </c>
      <c r="C2319" s="3" t="s">
        <v>5542</v>
      </c>
      <c r="D2319" s="3" t="s">
        <v>5099</v>
      </c>
      <c r="E2319" s="3" t="s">
        <v>5529</v>
      </c>
      <c r="F2319" s="3" t="s">
        <v>5530</v>
      </c>
      <c r="G2319" s="10" t="str">
        <f aca="false">HYPERLINK("https://www.inaturalist.org/people/muddphoto","muddphoto")</f>
        <v>muddphoto</v>
      </c>
      <c r="H2319" s="9" t="s">
        <v>13</v>
      </c>
      <c r="I2319" s="9" t="s">
        <v>5543</v>
      </c>
    </row>
    <row r="2320" customFormat="false" ht="15.75" hidden="false" customHeight="false" outlineLevel="0" collapsed="false">
      <c r="B2320" s="7" t="n">
        <v>46222</v>
      </c>
      <c r="C2320" s="3" t="s">
        <v>5544</v>
      </c>
      <c r="D2320" s="3" t="s">
        <v>5099</v>
      </c>
      <c r="E2320" s="3" t="s">
        <v>5529</v>
      </c>
      <c r="F2320" s="3" t="s">
        <v>5530</v>
      </c>
      <c r="G2320" s="10" t="str">
        <f aca="false">HYPERLINK("https://www.inaturalist.org/people/mynewt","mynewt")</f>
        <v>mynewt</v>
      </c>
      <c r="H2320" s="9" t="s">
        <v>13</v>
      </c>
      <c r="I2320" s="9" t="s">
        <v>5545</v>
      </c>
    </row>
    <row r="2321" customFormat="false" ht="15.75" hidden="false" customHeight="false" outlineLevel="0" collapsed="false">
      <c r="B2321" s="7" t="n">
        <v>46222</v>
      </c>
      <c r="C2321" s="3" t="s">
        <v>5546</v>
      </c>
      <c r="D2321" s="3" t="s">
        <v>5099</v>
      </c>
      <c r="E2321" s="3" t="s">
        <v>5529</v>
      </c>
      <c r="F2321" s="3" t="s">
        <v>5530</v>
      </c>
      <c r="G2321" s="10" t="str">
        <f aca="false">HYPERLINK("https://www.inaturalist.org/people/greenbeing","greenbeing")</f>
        <v>greenbeing</v>
      </c>
      <c r="H2321" s="9" t="s">
        <v>13</v>
      </c>
      <c r="I2321" s="9" t="s">
        <v>5547</v>
      </c>
    </row>
    <row r="2322" customFormat="false" ht="15.75" hidden="false" customHeight="false" outlineLevel="0" collapsed="false">
      <c r="B2322" s="7" t="n">
        <v>46222</v>
      </c>
      <c r="C2322" s="3" t="s">
        <v>5548</v>
      </c>
      <c r="D2322" s="3" t="s">
        <v>5099</v>
      </c>
      <c r="E2322" s="3" t="s">
        <v>5529</v>
      </c>
      <c r="F2322" s="3" t="s">
        <v>5530</v>
      </c>
      <c r="G2322" s="10" t="str">
        <f aca="false">HYPERLINK("https://www.inaturalist.org/people/jamaicanmango","jamaicanmango")</f>
        <v>jamaicanmango</v>
      </c>
      <c r="H2322" s="9" t="s">
        <v>13</v>
      </c>
      <c r="I2322" s="9" t="s">
        <v>5549</v>
      </c>
    </row>
    <row r="2323" customFormat="false" ht="15.75" hidden="false" customHeight="false" outlineLevel="0" collapsed="false">
      <c r="B2323" s="7" t="n">
        <v>46222</v>
      </c>
      <c r="C2323" s="3" t="s">
        <v>5550</v>
      </c>
      <c r="D2323" s="3" t="s">
        <v>5099</v>
      </c>
      <c r="E2323" s="3" t="s">
        <v>5529</v>
      </c>
      <c r="F2323" s="3" t="s">
        <v>5530</v>
      </c>
      <c r="G2323" s="10" t="str">
        <f aca="false">HYPERLINK("https://www.inaturalist.org/people/muddphoto","muddphoto")</f>
        <v>muddphoto</v>
      </c>
      <c r="H2323" s="9" t="s">
        <v>13</v>
      </c>
      <c r="I2323" s="9" t="s">
        <v>5551</v>
      </c>
    </row>
    <row r="2324" customFormat="false" ht="15.75" hidden="false" customHeight="false" outlineLevel="0" collapsed="false">
      <c r="B2324" s="7" t="n">
        <v>46222</v>
      </c>
      <c r="C2324" s="3" t="s">
        <v>5552</v>
      </c>
      <c r="D2324" s="3" t="s">
        <v>5099</v>
      </c>
      <c r="E2324" s="3" t="s">
        <v>5529</v>
      </c>
      <c r="F2324" s="3" t="s">
        <v>5530</v>
      </c>
      <c r="G2324" s="10" t="str">
        <f aca="false">HYPERLINK("https://www.inaturalist.org/people/muddphoto","muddphoto")</f>
        <v>muddphoto</v>
      </c>
      <c r="H2324" s="9" t="s">
        <v>13</v>
      </c>
      <c r="I2324" s="9" t="s">
        <v>5553</v>
      </c>
    </row>
    <row r="2325" customFormat="false" ht="15.75" hidden="false" customHeight="false" outlineLevel="0" collapsed="false">
      <c r="B2325" s="7" t="n">
        <v>46222</v>
      </c>
      <c r="C2325" s="3" t="s">
        <v>5554</v>
      </c>
      <c r="D2325" s="3" t="s">
        <v>5099</v>
      </c>
      <c r="E2325" s="3" t="s">
        <v>5529</v>
      </c>
      <c r="F2325" s="3" t="s">
        <v>5530</v>
      </c>
      <c r="G2325" s="10" t="str">
        <f aca="false">HYPERLINK("https://www.inaturalist.org/people/gratefulreb","gratefulreb")</f>
        <v>gratefulreb</v>
      </c>
      <c r="H2325" s="9" t="s">
        <v>13</v>
      </c>
      <c r="I2325" s="9" t="s">
        <v>5555</v>
      </c>
    </row>
    <row r="2326" customFormat="false" ht="15.75" hidden="false" customHeight="false" outlineLevel="0" collapsed="false">
      <c r="B2326" s="7" t="n">
        <v>46222</v>
      </c>
      <c r="C2326" s="3" t="s">
        <v>5556</v>
      </c>
      <c r="D2326" s="3" t="s">
        <v>5099</v>
      </c>
      <c r="E2326" s="3" t="s">
        <v>5529</v>
      </c>
      <c r="F2326" s="3" t="s">
        <v>5530</v>
      </c>
      <c r="G2326" s="10" t="str">
        <f aca="false">HYPERLINK("https://www.inaturalist.org/people/muddphoto","muddphoto")</f>
        <v>muddphoto</v>
      </c>
      <c r="H2326" s="9" t="s">
        <v>13</v>
      </c>
      <c r="I2326" s="9" t="s">
        <v>5557</v>
      </c>
    </row>
    <row r="2327" customFormat="false" ht="15.75" hidden="false" customHeight="false" outlineLevel="0" collapsed="false">
      <c r="B2327" s="7" t="n">
        <v>46222</v>
      </c>
      <c r="C2327" s="3" t="s">
        <v>5558</v>
      </c>
      <c r="D2327" s="3" t="s">
        <v>5099</v>
      </c>
      <c r="E2327" s="3" t="s">
        <v>5529</v>
      </c>
      <c r="F2327" s="3" t="s">
        <v>5530</v>
      </c>
      <c r="G2327" s="10" t="str">
        <f aca="false">HYPERLINK("https://www.inaturalist.org/people/muddphoto","muddphoto")</f>
        <v>muddphoto</v>
      </c>
      <c r="H2327" s="9" t="s">
        <v>13</v>
      </c>
      <c r="I2327" s="9" t="s">
        <v>5559</v>
      </c>
    </row>
    <row r="2328" customFormat="false" ht="15.75" hidden="false" customHeight="false" outlineLevel="0" collapsed="false">
      <c r="B2328" s="7" t="n">
        <v>46222</v>
      </c>
      <c r="C2328" s="3" t="s">
        <v>5560</v>
      </c>
      <c r="D2328" s="3" t="s">
        <v>5099</v>
      </c>
      <c r="E2328" s="3" t="s">
        <v>5529</v>
      </c>
      <c r="F2328" s="3" t="s">
        <v>5530</v>
      </c>
      <c r="G2328" s="10" t="str">
        <f aca="false">HYPERLINK("https://www.inaturalist.org/people/jamaicanmango","jamaicanmango")</f>
        <v>jamaicanmango</v>
      </c>
      <c r="H2328" s="9" t="s">
        <v>13</v>
      </c>
      <c r="I2328" s="9" t="s">
        <v>5561</v>
      </c>
    </row>
    <row r="2329" customFormat="false" ht="15.75" hidden="false" customHeight="false" outlineLevel="0" collapsed="false">
      <c r="B2329" s="7" t="n">
        <v>46222</v>
      </c>
      <c r="C2329" s="3" t="s">
        <v>5562</v>
      </c>
      <c r="D2329" s="3" t="s">
        <v>5099</v>
      </c>
      <c r="E2329" s="3" t="s">
        <v>5529</v>
      </c>
      <c r="F2329" s="3" t="s">
        <v>5530</v>
      </c>
      <c r="G2329" s="10" t="str">
        <f aca="false">HYPERLINK("https://www.inaturalist.org/people/kathrynliz","kathrynliz")</f>
        <v>kathrynliz</v>
      </c>
      <c r="H2329" s="9" t="s">
        <v>13</v>
      </c>
      <c r="I2329" s="9" t="s">
        <v>5563</v>
      </c>
    </row>
    <row r="2330" customFormat="false" ht="15.75" hidden="false" customHeight="false" outlineLevel="0" collapsed="false">
      <c r="B2330" s="7" t="n">
        <v>46222</v>
      </c>
      <c r="C2330" s="3" t="s">
        <v>5564</v>
      </c>
      <c r="D2330" s="3" t="s">
        <v>5099</v>
      </c>
      <c r="E2330" s="3" t="s">
        <v>5529</v>
      </c>
      <c r="F2330" s="3" t="s">
        <v>5530</v>
      </c>
      <c r="G2330" s="10" t="str">
        <f aca="false">HYPERLINK("https://www.inaturalist.org/people/spirula","spirula")</f>
        <v>spirula</v>
      </c>
      <c r="H2330" s="9" t="s">
        <v>13</v>
      </c>
      <c r="I2330" s="9" t="s">
        <v>5565</v>
      </c>
    </row>
    <row r="2331" customFormat="false" ht="15.75" hidden="false" customHeight="false" outlineLevel="0" collapsed="false">
      <c r="B2331" s="7" t="n">
        <v>46222</v>
      </c>
      <c r="C2331" s="3" t="s">
        <v>5566</v>
      </c>
      <c r="D2331" s="3" t="s">
        <v>5099</v>
      </c>
      <c r="E2331" s="3" t="s">
        <v>5529</v>
      </c>
      <c r="F2331" s="3" t="s">
        <v>5530</v>
      </c>
      <c r="G2331" s="10" t="str">
        <f aca="false">HYPERLINK("https://www.inaturalist.org/people/judeabrown","judeabrown")</f>
        <v>judeabrown</v>
      </c>
      <c r="H2331" s="9" t="s">
        <v>13</v>
      </c>
      <c r="I2331" s="9" t="s">
        <v>5567</v>
      </c>
    </row>
    <row r="2332" customFormat="false" ht="15.75" hidden="false" customHeight="false" outlineLevel="0" collapsed="false">
      <c r="B2332" s="7" t="n">
        <v>46222</v>
      </c>
      <c r="C2332" s="3" t="s">
        <v>5568</v>
      </c>
      <c r="D2332" s="3" t="s">
        <v>5099</v>
      </c>
      <c r="E2332" s="3" t="s">
        <v>5529</v>
      </c>
      <c r="F2332" s="3" t="s">
        <v>5530</v>
      </c>
      <c r="G2332" s="10" t="str">
        <f aca="false">HYPERLINK("https://www.inaturalist.org/people/vehlir","vehlir")</f>
        <v>vehlir</v>
      </c>
      <c r="H2332" s="9" t="s">
        <v>13</v>
      </c>
      <c r="I2332" s="9" t="s">
        <v>5569</v>
      </c>
    </row>
    <row r="2333" customFormat="false" ht="15.75" hidden="false" customHeight="false" outlineLevel="0" collapsed="false">
      <c r="B2333" s="7" t="n">
        <v>46222</v>
      </c>
      <c r="C2333" s="3" t="s">
        <v>5570</v>
      </c>
      <c r="D2333" s="3" t="s">
        <v>5099</v>
      </c>
      <c r="E2333" s="3" t="s">
        <v>5529</v>
      </c>
      <c r="F2333" s="3" t="s">
        <v>5530</v>
      </c>
      <c r="G2333" s="10" t="str">
        <f aca="false">HYPERLINK("https://www.inaturalist.org/people/muddphoto","muddphoto")</f>
        <v>muddphoto</v>
      </c>
      <c r="H2333" s="9" t="s">
        <v>13</v>
      </c>
      <c r="I2333" s="9" t="s">
        <v>5571</v>
      </c>
    </row>
    <row r="2334" customFormat="false" ht="15.75" hidden="false" customHeight="false" outlineLevel="0" collapsed="false">
      <c r="B2334" s="7" t="n">
        <v>46222</v>
      </c>
      <c r="C2334" s="3" t="s">
        <v>5572</v>
      </c>
      <c r="D2334" s="3" t="s">
        <v>5099</v>
      </c>
      <c r="E2334" s="3" t="s">
        <v>5529</v>
      </c>
      <c r="F2334" s="3" t="s">
        <v>5530</v>
      </c>
      <c r="G2334" s="10" t="str">
        <f aca="false">HYPERLINK("https://www.inaturalist.org/people/damanyc","damanyc")</f>
        <v>damanyc</v>
      </c>
      <c r="H2334" s="9" t="s">
        <v>13</v>
      </c>
      <c r="I2334" s="9" t="s">
        <v>5573</v>
      </c>
    </row>
    <row r="2335" customFormat="false" ht="15.75" hidden="false" customHeight="false" outlineLevel="0" collapsed="false">
      <c r="B2335" s="7" t="n">
        <v>46222</v>
      </c>
      <c r="C2335" s="3" t="s">
        <v>5574</v>
      </c>
      <c r="D2335" s="3" t="s">
        <v>5099</v>
      </c>
      <c r="E2335" s="3" t="s">
        <v>5529</v>
      </c>
      <c r="F2335" s="3" t="s">
        <v>5530</v>
      </c>
      <c r="G2335" s="10" t="str">
        <f aca="false">HYPERLINK("https://www.inaturalist.org/people/damionwhyte","damionwhyte")</f>
        <v>damionwhyte</v>
      </c>
      <c r="H2335" s="9" t="s">
        <v>13</v>
      </c>
      <c r="I2335" s="9" t="s">
        <v>5575</v>
      </c>
    </row>
    <row r="2336" customFormat="false" ht="15.75" hidden="false" customHeight="false" outlineLevel="0" collapsed="false">
      <c r="B2336" s="7" t="n">
        <v>46222</v>
      </c>
      <c r="C2336" s="3" t="s">
        <v>5576</v>
      </c>
      <c r="D2336" s="3" t="s">
        <v>5099</v>
      </c>
      <c r="E2336" s="3" t="s">
        <v>5529</v>
      </c>
      <c r="F2336" s="3" t="s">
        <v>5530</v>
      </c>
      <c r="G2336" s="10" t="str">
        <f aca="false">HYPERLINK("https://www.inaturalist.org/people/damionwhyte","damionwhyte")</f>
        <v>damionwhyte</v>
      </c>
      <c r="H2336" s="9" t="s">
        <v>13</v>
      </c>
      <c r="I2336" s="9" t="s">
        <v>5577</v>
      </c>
    </row>
    <row r="2337" customFormat="false" ht="15.75" hidden="false" customHeight="false" outlineLevel="0" collapsed="false">
      <c r="B2337" s="7" t="n">
        <v>46222</v>
      </c>
      <c r="C2337" s="3" t="s">
        <v>5578</v>
      </c>
      <c r="D2337" s="3" t="s">
        <v>5099</v>
      </c>
      <c r="E2337" s="3" t="s">
        <v>5529</v>
      </c>
      <c r="F2337" s="3" t="s">
        <v>5530</v>
      </c>
      <c r="G2337" s="10" t="str">
        <f aca="false">HYPERLINK("https://www.inaturalist.org/people/marshall_plum","marshall_plum")</f>
        <v>marshall_plum</v>
      </c>
      <c r="H2337" s="9" t="s">
        <v>13</v>
      </c>
      <c r="I2337" s="9" t="s">
        <v>5579</v>
      </c>
    </row>
    <row r="2338" customFormat="false" ht="15.75" hidden="false" customHeight="false" outlineLevel="0" collapsed="false">
      <c r="B2338" s="7" t="n">
        <v>46222</v>
      </c>
      <c r="C2338" s="3" t="s">
        <v>5580</v>
      </c>
      <c r="D2338" s="3" t="s">
        <v>5099</v>
      </c>
      <c r="E2338" s="3" t="s">
        <v>5529</v>
      </c>
      <c r="F2338" s="3" t="s">
        <v>5530</v>
      </c>
      <c r="G2338" s="10" t="str">
        <f aca="false">HYPERLINK("https://www.inaturalist.org/people/damionwhyte","damionwhyte")</f>
        <v>damionwhyte</v>
      </c>
      <c r="H2338" s="9" t="s">
        <v>13</v>
      </c>
      <c r="I2338" s="9" t="s">
        <v>5581</v>
      </c>
    </row>
    <row r="2339" customFormat="false" ht="15.75" hidden="false" customHeight="false" outlineLevel="0" collapsed="false">
      <c r="B2339" s="7" t="n">
        <v>46222</v>
      </c>
      <c r="C2339" s="3" t="s">
        <v>5582</v>
      </c>
      <c r="D2339" s="3" t="s">
        <v>5099</v>
      </c>
      <c r="E2339" s="3" t="s">
        <v>5529</v>
      </c>
      <c r="F2339" s="3" t="s">
        <v>5530</v>
      </c>
      <c r="G2339" s="10" t="str">
        <f aca="false">HYPERLINK("https://www.inaturalist.org/people/mattdull","mattdull")</f>
        <v>mattdull</v>
      </c>
      <c r="H2339" s="9" t="s">
        <v>13</v>
      </c>
      <c r="I2339" s="9" t="s">
        <v>5583</v>
      </c>
    </row>
    <row r="2340" customFormat="false" ht="15.75" hidden="false" customHeight="false" outlineLevel="0" collapsed="false">
      <c r="B2340" s="7" t="n">
        <v>46222</v>
      </c>
      <c r="C2340" s="3" t="s">
        <v>5584</v>
      </c>
      <c r="D2340" s="3" t="s">
        <v>5099</v>
      </c>
      <c r="E2340" s="3" t="s">
        <v>5529</v>
      </c>
      <c r="F2340" s="3" t="s">
        <v>5530</v>
      </c>
      <c r="G2340" s="10" t="str">
        <f aca="false">HYPERLINK("https://www.inaturalist.org/people/attinella","attinella")</f>
        <v>attinella</v>
      </c>
      <c r="H2340" s="9" t="s">
        <v>13</v>
      </c>
      <c r="I2340" s="9" t="s">
        <v>5585</v>
      </c>
    </row>
    <row r="2341" customFormat="false" ht="15.75" hidden="false" customHeight="false" outlineLevel="0" collapsed="false">
      <c r="B2341" s="7" t="n">
        <v>46222</v>
      </c>
      <c r="C2341" s="3" t="s">
        <v>5586</v>
      </c>
      <c r="D2341" s="3" t="s">
        <v>5099</v>
      </c>
      <c r="E2341" s="3" t="s">
        <v>5529</v>
      </c>
      <c r="F2341" s="3" t="s">
        <v>5530</v>
      </c>
      <c r="G2341" s="10" t="str">
        <f aca="false">HYPERLINK("https://www.inaturalist.org/people/ventana","ventana")</f>
        <v>ventana</v>
      </c>
      <c r="H2341" s="9" t="s">
        <v>13</v>
      </c>
      <c r="I2341" s="9" t="s">
        <v>5587</v>
      </c>
    </row>
    <row r="2342" customFormat="false" ht="15.75" hidden="false" customHeight="false" outlineLevel="0" collapsed="false">
      <c r="B2342" s="7" t="n">
        <v>46222</v>
      </c>
      <c r="C2342" s="3" t="s">
        <v>5588</v>
      </c>
      <c r="D2342" s="3" t="s">
        <v>5099</v>
      </c>
      <c r="E2342" s="3" t="s">
        <v>5529</v>
      </c>
      <c r="F2342" s="3" t="s">
        <v>5530</v>
      </c>
      <c r="G2342" s="10" t="str">
        <f aca="false">HYPERLINK("https://www.inaturalist.org/people/muddphoto","muddphoto")</f>
        <v>muddphoto</v>
      </c>
      <c r="H2342" s="9" t="s">
        <v>13</v>
      </c>
      <c r="I2342" s="9" t="s">
        <v>5589</v>
      </c>
    </row>
    <row r="2343" customFormat="false" ht="15.75" hidden="false" customHeight="false" outlineLevel="0" collapsed="false">
      <c r="B2343" s="7" t="n">
        <v>46222</v>
      </c>
      <c r="C2343" s="3" t="s">
        <v>5590</v>
      </c>
      <c r="D2343" s="3" t="s">
        <v>5099</v>
      </c>
      <c r="E2343" s="3" t="s">
        <v>5529</v>
      </c>
      <c r="F2343" s="3" t="s">
        <v>5530</v>
      </c>
      <c r="G2343" s="10" t="str">
        <f aca="false">HYPERLINK("https://www.inaturalist.org/people/spirula","spirula")</f>
        <v>spirula</v>
      </c>
      <c r="H2343" s="9" t="s">
        <v>13</v>
      </c>
      <c r="I2343" s="9" t="s">
        <v>5591</v>
      </c>
    </row>
    <row r="2344" customFormat="false" ht="15.75" hidden="false" customHeight="false" outlineLevel="0" collapsed="false">
      <c r="B2344" s="7" t="n">
        <v>46222</v>
      </c>
      <c r="C2344" s="3" t="s">
        <v>5592</v>
      </c>
      <c r="D2344" s="3" t="s">
        <v>5099</v>
      </c>
      <c r="E2344" s="3" t="s">
        <v>5529</v>
      </c>
      <c r="F2344" s="3" t="s">
        <v>5530</v>
      </c>
      <c r="G2344" s="10" t="str">
        <f aca="false">HYPERLINK("https://www.inaturalist.org/people/memetopia","memetopia")</f>
        <v>memetopia</v>
      </c>
      <c r="H2344" s="9" t="s">
        <v>13</v>
      </c>
      <c r="I2344" s="9" t="s">
        <v>5593</v>
      </c>
    </row>
    <row r="2345" customFormat="false" ht="15.75" hidden="false" customHeight="false" outlineLevel="0" collapsed="false">
      <c r="B2345" s="7" t="n">
        <v>46222</v>
      </c>
      <c r="C2345" s="3" t="s">
        <v>5594</v>
      </c>
      <c r="D2345" s="3" t="s">
        <v>5099</v>
      </c>
      <c r="E2345" s="3" t="s">
        <v>5529</v>
      </c>
      <c r="F2345" s="3" t="s">
        <v>5530</v>
      </c>
      <c r="G2345" s="10" t="str">
        <f aca="false">HYPERLINK("https://www.inaturalist.org/people/damionwhyte","damionwhyte")</f>
        <v>damionwhyte</v>
      </c>
      <c r="H2345" s="9" t="s">
        <v>13</v>
      </c>
      <c r="I2345" s="9" t="s">
        <v>5595</v>
      </c>
    </row>
    <row r="2346" customFormat="false" ht="15.75" hidden="false" customHeight="false" outlineLevel="0" collapsed="false">
      <c r="B2346" s="7" t="n">
        <v>46222</v>
      </c>
      <c r="C2346" s="3" t="s">
        <v>5596</v>
      </c>
      <c r="D2346" s="3" t="s">
        <v>5099</v>
      </c>
      <c r="E2346" s="3" t="s">
        <v>5529</v>
      </c>
      <c r="F2346" s="3" t="s">
        <v>5530</v>
      </c>
      <c r="G2346" s="10" t="str">
        <f aca="false">HYPERLINK("https://www.inaturalist.org/people/muddphoto","muddphoto")</f>
        <v>muddphoto</v>
      </c>
      <c r="H2346" s="9" t="s">
        <v>13</v>
      </c>
      <c r="I2346" s="9" t="s">
        <v>5597</v>
      </c>
    </row>
    <row r="2347" customFormat="false" ht="15.75" hidden="false" customHeight="false" outlineLevel="0" collapsed="false">
      <c r="B2347" s="7" t="n">
        <v>46222</v>
      </c>
      <c r="C2347" s="3" t="s">
        <v>5598</v>
      </c>
      <c r="D2347" s="3" t="s">
        <v>5099</v>
      </c>
      <c r="E2347" s="3" t="s">
        <v>5529</v>
      </c>
      <c r="F2347" s="3" t="s">
        <v>5530</v>
      </c>
      <c r="G2347" s="10" t="str">
        <f aca="false">HYPERLINK("https://www.inaturalist.org/people/muddphoto","muddphoto")</f>
        <v>muddphoto</v>
      </c>
      <c r="H2347" s="9" t="s">
        <v>13</v>
      </c>
      <c r="I2347" s="9" t="s">
        <v>5599</v>
      </c>
    </row>
    <row r="2348" customFormat="false" ht="15.75" hidden="false" customHeight="false" outlineLevel="0" collapsed="false">
      <c r="B2348" s="7" t="n">
        <v>46222</v>
      </c>
      <c r="C2348" s="3" t="s">
        <v>5600</v>
      </c>
      <c r="D2348" s="3" t="s">
        <v>5099</v>
      </c>
      <c r="E2348" s="3" t="s">
        <v>5529</v>
      </c>
      <c r="F2348" s="3" t="s">
        <v>5601</v>
      </c>
      <c r="G2348" s="10" t="str">
        <f aca="false">HYPERLINK("https://www.inaturalist.org/people/smejiadu","smejiadu")</f>
        <v>smejiadu</v>
      </c>
      <c r="H2348" s="9" t="s">
        <v>13</v>
      </c>
      <c r="I2348" s="9" t="s">
        <v>5602</v>
      </c>
    </row>
    <row r="2349" customFormat="false" ht="15.75" hidden="false" customHeight="false" outlineLevel="0" collapsed="false">
      <c r="B2349" s="7" t="n">
        <v>46222</v>
      </c>
      <c r="C2349" s="3" t="s">
        <v>5603</v>
      </c>
      <c r="D2349" s="3" t="s">
        <v>5099</v>
      </c>
      <c r="E2349" s="3" t="s">
        <v>5529</v>
      </c>
      <c r="F2349" s="3" t="s">
        <v>5601</v>
      </c>
      <c r="G2349" s="10" t="str">
        <f aca="false">HYPERLINK("https://www.inaturalist.org/people/hector_cayetano","hector_cayetano")</f>
        <v>hector_cayetano</v>
      </c>
      <c r="H2349" s="9" t="s">
        <v>13</v>
      </c>
      <c r="I2349" s="9" t="s">
        <v>5604</v>
      </c>
    </row>
    <row r="2350" customFormat="false" ht="15.75" hidden="false" customHeight="false" outlineLevel="0" collapsed="false">
      <c r="B2350" s="7" t="n">
        <v>46222</v>
      </c>
      <c r="C2350" s="3" t="s">
        <v>5605</v>
      </c>
      <c r="D2350" s="3" t="s">
        <v>5099</v>
      </c>
      <c r="E2350" s="3" t="s">
        <v>5529</v>
      </c>
      <c r="F2350" s="3" t="s">
        <v>5601</v>
      </c>
      <c r="G2350" s="10" t="str">
        <f aca="false">HYPERLINK("https://www.inaturalist.org/people/carlosvejar","carlosvejar")</f>
        <v>carlosvejar</v>
      </c>
      <c r="H2350" s="9" t="s">
        <v>13</v>
      </c>
      <c r="I2350" s="9" t="s">
        <v>5606</v>
      </c>
    </row>
    <row r="2351" customFormat="false" ht="15.75" hidden="false" customHeight="false" outlineLevel="0" collapsed="false">
      <c r="B2351" s="7" t="n">
        <v>46222</v>
      </c>
      <c r="C2351" s="3" t="s">
        <v>5607</v>
      </c>
      <c r="D2351" s="3" t="s">
        <v>5099</v>
      </c>
      <c r="E2351" s="3" t="s">
        <v>5529</v>
      </c>
      <c r="F2351" s="3" t="s">
        <v>5601</v>
      </c>
      <c r="G2351" s="10" t="str">
        <f aca="false">HYPERLINK("https://www.inaturalist.org/people/gustavogonzalezduran","gustavogonzalezduran")</f>
        <v>gustavogonzalezduran</v>
      </c>
      <c r="H2351" s="9" t="s">
        <v>13</v>
      </c>
      <c r="I2351" s="9" t="s">
        <v>5608</v>
      </c>
    </row>
    <row r="2352" customFormat="false" ht="15.75" hidden="false" customHeight="false" outlineLevel="0" collapsed="false">
      <c r="B2352" s="7" t="n">
        <v>46222</v>
      </c>
      <c r="C2352" s="3" t="s">
        <v>5609</v>
      </c>
      <c r="D2352" s="3" t="s">
        <v>5099</v>
      </c>
      <c r="E2352" s="3" t="s">
        <v>5529</v>
      </c>
      <c r="F2352" s="3" t="s">
        <v>5601</v>
      </c>
      <c r="G2352" s="10" t="str">
        <f aca="false">HYPERLINK("https://www.inaturalist.org/people/sab_alfred","sab_alfred")</f>
        <v>sab_alfred</v>
      </c>
      <c r="H2352" s="9" t="s">
        <v>13</v>
      </c>
      <c r="I2352" s="9" t="s">
        <v>5610</v>
      </c>
    </row>
    <row r="2353" customFormat="false" ht="15.75" hidden="false" customHeight="false" outlineLevel="0" collapsed="false">
      <c r="B2353" s="7" t="n">
        <v>46222</v>
      </c>
      <c r="C2353" s="3" t="s">
        <v>5611</v>
      </c>
      <c r="D2353" s="3" t="s">
        <v>5099</v>
      </c>
      <c r="E2353" s="3" t="s">
        <v>5529</v>
      </c>
      <c r="F2353" s="3" t="s">
        <v>5601</v>
      </c>
      <c r="G2353" s="10" t="str">
        <f aca="false">HYPERLINK("https://www.inaturalist.org/people/possiblynessie","possiblynessie")</f>
        <v>possiblynessie</v>
      </c>
      <c r="H2353" s="9" t="s">
        <v>13</v>
      </c>
      <c r="I2353" s="9" t="s">
        <v>5612</v>
      </c>
    </row>
    <row r="2354" customFormat="false" ht="15.75" hidden="false" customHeight="false" outlineLevel="0" collapsed="false">
      <c r="B2354" s="7" t="n">
        <v>46222</v>
      </c>
      <c r="C2354" s="3" t="s">
        <v>5613</v>
      </c>
      <c r="D2354" s="3" t="s">
        <v>5099</v>
      </c>
      <c r="E2354" s="3" t="s">
        <v>5529</v>
      </c>
      <c r="F2354" s="3" t="s">
        <v>5601</v>
      </c>
      <c r="G2354" s="10" t="str">
        <f aca="false">HYPERLINK("https://www.inaturalist.org/people/luisguillermomx","luisguillermomx")</f>
        <v>luisguillermomx</v>
      </c>
      <c r="H2354" s="9" t="s">
        <v>13</v>
      </c>
      <c r="I2354" s="9" t="s">
        <v>5614</v>
      </c>
    </row>
    <row r="2355" customFormat="false" ht="15.75" hidden="false" customHeight="false" outlineLevel="0" collapsed="false">
      <c r="B2355" s="7" t="n">
        <v>46222</v>
      </c>
      <c r="C2355" s="3" t="s">
        <v>5615</v>
      </c>
      <c r="D2355" s="3" t="s">
        <v>5099</v>
      </c>
      <c r="E2355" s="3" t="s">
        <v>5529</v>
      </c>
      <c r="F2355" s="3" t="s">
        <v>5601</v>
      </c>
      <c r="G2355" s="10" t="str">
        <f aca="false">HYPERLINK("https://www.inaturalist.org/people/alejandroaa6000","alejandroaa6000")</f>
        <v>alejandroaa6000</v>
      </c>
      <c r="H2355" s="9" t="s">
        <v>13</v>
      </c>
      <c r="I2355" s="9" t="s">
        <v>5616</v>
      </c>
    </row>
    <row r="2356" customFormat="false" ht="15.75" hidden="false" customHeight="false" outlineLevel="0" collapsed="false">
      <c r="B2356" s="7" t="n">
        <v>46222</v>
      </c>
      <c r="C2356" s="3" t="s">
        <v>5617</v>
      </c>
      <c r="D2356" s="3" t="s">
        <v>5099</v>
      </c>
      <c r="E2356" s="3" t="s">
        <v>5529</v>
      </c>
      <c r="F2356" s="3" t="s">
        <v>5601</v>
      </c>
      <c r="G2356" s="10" t="str">
        <f aca="false">HYPERLINK("https://www.inaturalist.org/people/joevechinski","joevechinski")</f>
        <v>joevechinski</v>
      </c>
      <c r="H2356" s="9" t="s">
        <v>13</v>
      </c>
      <c r="I2356" s="9" t="s">
        <v>5618</v>
      </c>
    </row>
    <row r="2357" customFormat="false" ht="15.75" hidden="false" customHeight="false" outlineLevel="0" collapsed="false">
      <c r="B2357" s="7" t="n">
        <v>46222</v>
      </c>
      <c r="C2357" s="3" t="s">
        <v>5619</v>
      </c>
      <c r="D2357" s="3" t="s">
        <v>5099</v>
      </c>
      <c r="E2357" s="3" t="s">
        <v>5529</v>
      </c>
      <c r="F2357" s="3" t="s">
        <v>5601</v>
      </c>
      <c r="G2357" s="10" t="str">
        <f aca="false">HYPERLINK("https://www.inaturalist.org/people/dani_drn_a","dani_drn_a")</f>
        <v>dani_drn_a</v>
      </c>
      <c r="H2357" s="9" t="s">
        <v>13</v>
      </c>
      <c r="I2357" s="9" t="s">
        <v>5620</v>
      </c>
    </row>
    <row r="2358" customFormat="false" ht="15.75" hidden="false" customHeight="false" outlineLevel="0" collapsed="false">
      <c r="B2358" s="7" t="n">
        <v>46222</v>
      </c>
      <c r="C2358" s="3" t="s">
        <v>5621</v>
      </c>
      <c r="D2358" s="3" t="s">
        <v>5099</v>
      </c>
      <c r="E2358" s="3" t="s">
        <v>5529</v>
      </c>
      <c r="F2358" s="3" t="s">
        <v>5601</v>
      </c>
      <c r="G2358" s="10" t="str">
        <f aca="false">HYPERLINK("https://www.inaturalist.org/people/pdmortensen","pdmortensen")</f>
        <v>pdmortensen</v>
      </c>
      <c r="H2358" s="9" t="s">
        <v>13</v>
      </c>
      <c r="I2358" s="9" t="s">
        <v>5622</v>
      </c>
    </row>
    <row r="2359" customFormat="false" ht="15.75" hidden="false" customHeight="false" outlineLevel="0" collapsed="false">
      <c r="B2359" s="7" t="n">
        <v>46222</v>
      </c>
      <c r="C2359" s="3" t="s">
        <v>5623</v>
      </c>
      <c r="D2359" s="3" t="s">
        <v>5099</v>
      </c>
      <c r="E2359" s="3" t="s">
        <v>5529</v>
      </c>
      <c r="F2359" s="3" t="s">
        <v>5601</v>
      </c>
      <c r="G2359" s="10" t="str">
        <f aca="false">HYPERLINK("https://www.inaturalist.org/people/cvargish","cvargish")</f>
        <v>cvargish</v>
      </c>
      <c r="H2359" s="9" t="s">
        <v>13</v>
      </c>
      <c r="I2359" s="9" t="s">
        <v>5624</v>
      </c>
    </row>
    <row r="2360" customFormat="false" ht="15.75" hidden="false" customHeight="false" outlineLevel="0" collapsed="false">
      <c r="B2360" s="7" t="n">
        <v>46222</v>
      </c>
      <c r="C2360" s="3" t="s">
        <v>5625</v>
      </c>
      <c r="D2360" s="3" t="s">
        <v>5099</v>
      </c>
      <c r="E2360" s="3" t="s">
        <v>5529</v>
      </c>
      <c r="F2360" s="3" t="s">
        <v>5601</v>
      </c>
      <c r="G2360" s="10" t="str">
        <f aca="false">HYPERLINK("https://www.inaturalist.org/people/ryanandrews","ryanandrews")</f>
        <v>ryanandrews</v>
      </c>
      <c r="H2360" s="9" t="s">
        <v>13</v>
      </c>
      <c r="I2360" s="9" t="s">
        <v>5626</v>
      </c>
    </row>
    <row r="2361" customFormat="false" ht="15.75" hidden="false" customHeight="false" outlineLevel="0" collapsed="false">
      <c r="B2361" s="7" t="n">
        <v>46222</v>
      </c>
      <c r="C2361" s="3" t="s">
        <v>5627</v>
      </c>
      <c r="D2361" s="3" t="s">
        <v>5099</v>
      </c>
      <c r="E2361" s="3" t="s">
        <v>5529</v>
      </c>
      <c r="F2361" s="3" t="s">
        <v>5601</v>
      </c>
      <c r="G2361" s="10" t="str">
        <f aca="false">HYPERLINK("https://www.inaturalist.org/people/lvandali","lvandali")</f>
        <v>lvandali</v>
      </c>
      <c r="H2361" s="9" t="s">
        <v>13</v>
      </c>
      <c r="I2361" s="9" t="s">
        <v>5628</v>
      </c>
    </row>
    <row r="2362" customFormat="false" ht="15.75" hidden="false" customHeight="false" outlineLevel="0" collapsed="false">
      <c r="B2362" s="7" t="n">
        <v>46222</v>
      </c>
      <c r="C2362" s="3" t="s">
        <v>5629</v>
      </c>
      <c r="D2362" s="3" t="s">
        <v>5099</v>
      </c>
      <c r="E2362" s="3" t="s">
        <v>5529</v>
      </c>
      <c r="F2362" s="3" t="s">
        <v>5601</v>
      </c>
      <c r="G2362" s="10" t="str">
        <f aca="false">HYPERLINK("https://www.inaturalist.org/people/jmeerman","jmeerman")</f>
        <v>jmeerman</v>
      </c>
      <c r="H2362" s="9" t="s">
        <v>13</v>
      </c>
      <c r="I2362" s="9" t="s">
        <v>5630</v>
      </c>
    </row>
    <row r="2363" customFormat="false" ht="15.75" hidden="false" customHeight="false" outlineLevel="0" collapsed="false">
      <c r="B2363" s="7" t="n">
        <v>46222</v>
      </c>
      <c r="C2363" s="3" t="s">
        <v>5631</v>
      </c>
      <c r="D2363" s="3" t="s">
        <v>5099</v>
      </c>
      <c r="E2363" s="3" t="s">
        <v>5529</v>
      </c>
      <c r="F2363" s="3" t="s">
        <v>5601</v>
      </c>
      <c r="G2363" s="10" t="str">
        <f aca="false">HYPERLINK("https://www.inaturalist.org/people/atwbirdie","atwbirdie")</f>
        <v>atwbirdie</v>
      </c>
      <c r="H2363" s="9" t="s">
        <v>13</v>
      </c>
      <c r="I2363" s="9" t="s">
        <v>5632</v>
      </c>
    </row>
    <row r="2364" customFormat="false" ht="15.75" hidden="false" customHeight="false" outlineLevel="0" collapsed="false">
      <c r="B2364" s="7" t="n">
        <v>46222</v>
      </c>
      <c r="C2364" s="3" t="s">
        <v>5633</v>
      </c>
      <c r="D2364" s="3" t="s">
        <v>5099</v>
      </c>
      <c r="E2364" s="3" t="s">
        <v>5529</v>
      </c>
      <c r="F2364" s="3" t="s">
        <v>5601</v>
      </c>
      <c r="G2364" s="10" t="str">
        <f aca="false">HYPERLINK("https://www.inaturalist.org/people/pedro_nahuat","pedro_nahuat")</f>
        <v>pedro_nahuat</v>
      </c>
      <c r="H2364" s="9" t="s">
        <v>13</v>
      </c>
      <c r="I2364" s="9" t="s">
        <v>5634</v>
      </c>
    </row>
    <row r="2365" customFormat="false" ht="15.75" hidden="false" customHeight="false" outlineLevel="0" collapsed="false">
      <c r="B2365" s="7" t="n">
        <v>46222</v>
      </c>
      <c r="C2365" s="3" t="s">
        <v>5635</v>
      </c>
      <c r="D2365" s="3" t="s">
        <v>5099</v>
      </c>
      <c r="E2365" s="3" t="s">
        <v>5529</v>
      </c>
      <c r="F2365" s="3" t="s">
        <v>5601</v>
      </c>
      <c r="G2365" s="10" t="str">
        <f aca="false">HYPERLINK("https://www.inaturalist.org/people/dani_drn_a","dani_drn_a")</f>
        <v>dani_drn_a</v>
      </c>
      <c r="H2365" s="9" t="s">
        <v>13</v>
      </c>
      <c r="I2365" s="9" t="s">
        <v>5636</v>
      </c>
    </row>
    <row r="2366" customFormat="false" ht="15.75" hidden="false" customHeight="false" outlineLevel="0" collapsed="false">
      <c r="B2366" s="7" t="n">
        <v>46222</v>
      </c>
      <c r="C2366" s="3" t="s">
        <v>5637</v>
      </c>
      <c r="D2366" s="3" t="s">
        <v>5099</v>
      </c>
      <c r="E2366" s="3" t="s">
        <v>5529</v>
      </c>
      <c r="F2366" s="3" t="s">
        <v>5601</v>
      </c>
      <c r="G2366" s="10" t="str">
        <f aca="false">HYPERLINK("https://www.inaturalist.org/people/dani_drn_a","dani_drn_a")</f>
        <v>dani_drn_a</v>
      </c>
      <c r="H2366" s="9" t="s">
        <v>13</v>
      </c>
      <c r="I2366" s="9" t="s">
        <v>5638</v>
      </c>
    </row>
    <row r="2367" customFormat="false" ht="15.75" hidden="false" customHeight="false" outlineLevel="0" collapsed="false">
      <c r="B2367" s="7" t="n">
        <v>46222</v>
      </c>
      <c r="C2367" s="3" t="s">
        <v>5639</v>
      </c>
      <c r="D2367" s="3" t="s">
        <v>5099</v>
      </c>
      <c r="E2367" s="3" t="s">
        <v>5529</v>
      </c>
      <c r="F2367" s="3" t="s">
        <v>5601</v>
      </c>
      <c r="G2367" s="10" t="str">
        <f aca="false">HYPERLINK("https://www.inaturalist.org/people/lavinia_lavin","lavinia_lavin")</f>
        <v>lavinia_lavin</v>
      </c>
      <c r="H2367" s="9" t="s">
        <v>13</v>
      </c>
      <c r="I2367" s="9" t="s">
        <v>5640</v>
      </c>
    </row>
    <row r="2368" customFormat="false" ht="15.75" hidden="false" customHeight="false" outlineLevel="0" collapsed="false">
      <c r="B2368" s="7" t="n">
        <v>46222</v>
      </c>
      <c r="C2368" s="3" t="s">
        <v>5641</v>
      </c>
      <c r="D2368" s="3" t="s">
        <v>5099</v>
      </c>
      <c r="E2368" s="3" t="s">
        <v>5529</v>
      </c>
      <c r="F2368" s="3" t="s">
        <v>5601</v>
      </c>
      <c r="G2368" s="10" t="str">
        <f aca="false">HYPERLINK("https://www.inaturalist.org/people/dani_drn_a","dani_drn_a")</f>
        <v>dani_drn_a</v>
      </c>
      <c r="H2368" s="9" t="s">
        <v>13</v>
      </c>
      <c r="I2368" s="9" t="s">
        <v>5642</v>
      </c>
    </row>
    <row r="2369" customFormat="false" ht="15.75" hidden="false" customHeight="false" outlineLevel="0" collapsed="false">
      <c r="B2369" s="7" t="n">
        <v>46222</v>
      </c>
      <c r="C2369" s="3" t="s">
        <v>5643</v>
      </c>
      <c r="D2369" s="3" t="s">
        <v>5099</v>
      </c>
      <c r="E2369" s="3" t="s">
        <v>5529</v>
      </c>
      <c r="F2369" s="3" t="s">
        <v>5601</v>
      </c>
      <c r="G2369" s="10" t="str">
        <f aca="false">HYPERLINK("https://www.inaturalist.org/people/dani_drn_a","dani_drn_a")</f>
        <v>dani_drn_a</v>
      </c>
      <c r="H2369" s="9" t="s">
        <v>13</v>
      </c>
      <c r="I2369" s="9" t="s">
        <v>5644</v>
      </c>
    </row>
    <row r="2370" customFormat="false" ht="15.75" hidden="false" customHeight="false" outlineLevel="0" collapsed="false">
      <c r="B2370" s="7" t="n">
        <v>46222</v>
      </c>
      <c r="C2370" s="3" t="s">
        <v>5645</v>
      </c>
      <c r="D2370" s="3" t="s">
        <v>5099</v>
      </c>
      <c r="E2370" s="3" t="s">
        <v>5529</v>
      </c>
      <c r="F2370" s="3" t="s">
        <v>5601</v>
      </c>
      <c r="G2370" s="10" t="str">
        <f aca="false">HYPERLINK("https://www.inaturalist.org/people/barbyescaler","barbyescaler")</f>
        <v>barbyescaler</v>
      </c>
      <c r="H2370" s="9" t="s">
        <v>13</v>
      </c>
      <c r="I2370" s="9" t="s">
        <v>5646</v>
      </c>
    </row>
    <row r="2371" customFormat="false" ht="15.75" hidden="false" customHeight="false" outlineLevel="0" collapsed="false">
      <c r="B2371" s="7" t="n">
        <v>46222</v>
      </c>
      <c r="C2371" s="3" t="s">
        <v>5647</v>
      </c>
      <c r="D2371" s="3" t="s">
        <v>5099</v>
      </c>
      <c r="E2371" s="3" t="s">
        <v>5529</v>
      </c>
      <c r="F2371" s="3" t="s">
        <v>5601</v>
      </c>
      <c r="G2371" s="10" t="str">
        <f aca="false">HYPERLINK("https://www.inaturalist.org/people/ronimartinez","ronimartinez")</f>
        <v>ronimartinez</v>
      </c>
      <c r="H2371" s="9" t="s">
        <v>13</v>
      </c>
      <c r="I2371" s="9" t="s">
        <v>5648</v>
      </c>
    </row>
    <row r="2372" customFormat="false" ht="15.75" hidden="false" customHeight="false" outlineLevel="0" collapsed="false">
      <c r="B2372" s="7" t="n">
        <v>46222</v>
      </c>
      <c r="C2372" s="3" t="s">
        <v>5649</v>
      </c>
      <c r="D2372" s="3" t="s">
        <v>5099</v>
      </c>
      <c r="E2372" s="3" t="s">
        <v>5529</v>
      </c>
      <c r="F2372" s="3" t="s">
        <v>5601</v>
      </c>
      <c r="G2372" s="10" t="str">
        <f aca="false">HYPERLINK("https://www.inaturalist.org/people/cwolf92","cwolf92")</f>
        <v>cwolf92</v>
      </c>
      <c r="H2372" s="9" t="s">
        <v>13</v>
      </c>
      <c r="I2372" s="9" t="s">
        <v>5650</v>
      </c>
    </row>
    <row r="2373" customFormat="false" ht="15.75" hidden="false" customHeight="false" outlineLevel="0" collapsed="false">
      <c r="B2373" s="7" t="n">
        <v>46222</v>
      </c>
      <c r="C2373" s="3" t="s">
        <v>5651</v>
      </c>
      <c r="D2373" s="3" t="s">
        <v>5099</v>
      </c>
      <c r="E2373" s="3" t="s">
        <v>5529</v>
      </c>
      <c r="F2373" s="3" t="s">
        <v>5601</v>
      </c>
      <c r="G2373" s="10" t="str">
        <f aca="false">HYPERLINK("https://www.inaturalist.org/people/clovismarion","clovismarion")</f>
        <v>clovismarion</v>
      </c>
      <c r="H2373" s="9" t="s">
        <v>13</v>
      </c>
      <c r="I2373" s="9" t="s">
        <v>5652</v>
      </c>
    </row>
    <row r="2374" customFormat="false" ht="15.75" hidden="false" customHeight="false" outlineLevel="0" collapsed="false">
      <c r="B2374" s="7" t="n">
        <v>46222</v>
      </c>
      <c r="C2374" s="3" t="s">
        <v>5653</v>
      </c>
      <c r="D2374" s="3" t="s">
        <v>5099</v>
      </c>
      <c r="E2374" s="3" t="s">
        <v>5529</v>
      </c>
      <c r="F2374" s="3" t="s">
        <v>5601</v>
      </c>
      <c r="G2374" s="10" t="str">
        <f aca="false">HYPERLINK("https://www.inaturalist.org/people/brobin","brobin")</f>
        <v>brobin</v>
      </c>
      <c r="H2374" s="9" t="s">
        <v>13</v>
      </c>
      <c r="I2374" s="9" t="s">
        <v>5654</v>
      </c>
    </row>
    <row r="2375" customFormat="false" ht="15.75" hidden="false" customHeight="false" outlineLevel="0" collapsed="false">
      <c r="B2375" s="7" t="n">
        <v>46222</v>
      </c>
      <c r="C2375" s="3" t="s">
        <v>5655</v>
      </c>
      <c r="D2375" s="3" t="s">
        <v>5099</v>
      </c>
      <c r="E2375" s="3" t="s">
        <v>5529</v>
      </c>
      <c r="F2375" s="3" t="s">
        <v>5601</v>
      </c>
      <c r="G2375" s="10" t="str">
        <f aca="false">HYPERLINK("https://www.inaturalist.org/people/brobin","brobin")</f>
        <v>brobin</v>
      </c>
      <c r="H2375" s="9" t="s">
        <v>13</v>
      </c>
      <c r="I2375" s="9" t="s">
        <v>5656</v>
      </c>
    </row>
    <row r="2376" customFormat="false" ht="15.75" hidden="false" customHeight="false" outlineLevel="0" collapsed="false">
      <c r="B2376" s="7" t="n">
        <v>46222</v>
      </c>
      <c r="C2376" s="3" t="s">
        <v>5657</v>
      </c>
      <c r="D2376" s="3" t="s">
        <v>5099</v>
      </c>
      <c r="E2376" s="3" t="s">
        <v>5529</v>
      </c>
      <c r="F2376" s="3" t="s">
        <v>5601</v>
      </c>
      <c r="G2376" s="10" t="str">
        <f aca="false">HYPERLINK("https://www.inaturalist.org/people/dianahews","dianahews")</f>
        <v>dianahews</v>
      </c>
      <c r="H2376" s="9" t="s">
        <v>13</v>
      </c>
      <c r="I2376" s="9" t="s">
        <v>5658</v>
      </c>
    </row>
    <row r="2377" customFormat="false" ht="15.75" hidden="false" customHeight="false" outlineLevel="0" collapsed="false">
      <c r="B2377" s="7" t="n">
        <v>46222</v>
      </c>
      <c r="C2377" s="3" t="s">
        <v>5659</v>
      </c>
      <c r="D2377" s="3" t="s">
        <v>5099</v>
      </c>
      <c r="E2377" s="3" t="s">
        <v>5529</v>
      </c>
      <c r="F2377" s="3" t="s">
        <v>5601</v>
      </c>
      <c r="G2377" s="10" t="str">
        <f aca="false">HYPERLINK("https://www.inaturalist.org/people/edwinlhp","edwinlhp")</f>
        <v>edwinlhp</v>
      </c>
      <c r="H2377" s="9" t="s">
        <v>13</v>
      </c>
      <c r="I2377" s="9" t="s">
        <v>5660</v>
      </c>
    </row>
    <row r="2378" customFormat="false" ht="15.75" hidden="false" customHeight="false" outlineLevel="0" collapsed="false">
      <c r="B2378" s="7" t="n">
        <v>46222</v>
      </c>
      <c r="C2378" s="3" t="s">
        <v>5661</v>
      </c>
      <c r="D2378" s="3" t="s">
        <v>5099</v>
      </c>
      <c r="E2378" s="3" t="s">
        <v>5529</v>
      </c>
      <c r="F2378" s="3" t="s">
        <v>5601</v>
      </c>
      <c r="G2378" s="10" t="str">
        <f aca="false">HYPERLINK("https://www.inaturalist.org/people/cleeb","cleeb")</f>
        <v>cleeb</v>
      </c>
      <c r="H2378" s="9" t="s">
        <v>13</v>
      </c>
      <c r="I2378" s="9" t="s">
        <v>5662</v>
      </c>
    </row>
    <row r="2379" customFormat="false" ht="15.75" hidden="false" customHeight="false" outlineLevel="0" collapsed="false">
      <c r="B2379" s="7" t="n">
        <v>46222</v>
      </c>
      <c r="C2379" s="3" t="s">
        <v>5663</v>
      </c>
      <c r="D2379" s="3" t="s">
        <v>5099</v>
      </c>
      <c r="E2379" s="3" t="s">
        <v>5529</v>
      </c>
      <c r="F2379" s="3" t="s">
        <v>5601</v>
      </c>
      <c r="G2379" s="10" t="str">
        <f aca="false">HYPERLINK("https://www.inaturalist.org/people/crowlene69420","crowlene69420")</f>
        <v>crowlene69420</v>
      </c>
      <c r="H2379" s="9" t="s">
        <v>13</v>
      </c>
      <c r="I2379" s="9" t="s">
        <v>5664</v>
      </c>
    </row>
    <row r="2380" customFormat="false" ht="15.75" hidden="false" customHeight="false" outlineLevel="0" collapsed="false">
      <c r="B2380" s="7" t="n">
        <v>46222</v>
      </c>
      <c r="C2380" s="3" t="s">
        <v>5665</v>
      </c>
      <c r="D2380" s="3" t="s">
        <v>5099</v>
      </c>
      <c r="E2380" s="3" t="s">
        <v>5529</v>
      </c>
      <c r="F2380" s="3" t="s">
        <v>5601</v>
      </c>
      <c r="G2380" s="10" t="str">
        <f aca="false">HYPERLINK("https://www.inaturalist.org/people/matt_rock","matt_rock")</f>
        <v>matt_rock</v>
      </c>
      <c r="H2380" s="9" t="s">
        <v>13</v>
      </c>
      <c r="I2380" s="9" t="s">
        <v>5666</v>
      </c>
    </row>
    <row r="2381" customFormat="false" ht="15.75" hidden="false" customHeight="false" outlineLevel="0" collapsed="false">
      <c r="B2381" s="7" t="n">
        <v>46222</v>
      </c>
      <c r="C2381" s="3" t="s">
        <v>5667</v>
      </c>
      <c r="D2381" s="3" t="s">
        <v>5099</v>
      </c>
      <c r="E2381" s="3" t="s">
        <v>5529</v>
      </c>
      <c r="F2381" s="3" t="s">
        <v>5601</v>
      </c>
      <c r="G2381" s="10" t="str">
        <f aca="false">HYPERLINK("https://www.inaturalist.org/people/isabelgiraldo","isabelgiraldo")</f>
        <v>isabelgiraldo</v>
      </c>
      <c r="H2381" s="9" t="s">
        <v>13</v>
      </c>
      <c r="I2381" s="9" t="s">
        <v>5668</v>
      </c>
    </row>
    <row r="2382" customFormat="false" ht="15.75" hidden="false" customHeight="false" outlineLevel="0" collapsed="false">
      <c r="B2382" s="7" t="n">
        <v>46222</v>
      </c>
      <c r="C2382" s="3" t="s">
        <v>5669</v>
      </c>
      <c r="D2382" s="3" t="s">
        <v>5099</v>
      </c>
      <c r="E2382" s="3" t="s">
        <v>5529</v>
      </c>
      <c r="F2382" s="3" t="s">
        <v>5601</v>
      </c>
      <c r="G2382" s="10" t="str">
        <f aca="false">HYPERLINK("https://www.inaturalist.org/people/hmheinz","hmheinz")</f>
        <v>hmheinz</v>
      </c>
      <c r="H2382" s="9" t="s">
        <v>13</v>
      </c>
      <c r="I2382" s="9" t="s">
        <v>5670</v>
      </c>
    </row>
    <row r="2383" customFormat="false" ht="15.75" hidden="false" customHeight="false" outlineLevel="0" collapsed="false">
      <c r="B2383" s="7" t="n">
        <v>46222</v>
      </c>
      <c r="C2383" s="3" t="s">
        <v>5671</v>
      </c>
      <c r="D2383" s="3" t="s">
        <v>5099</v>
      </c>
      <c r="E2383" s="3" t="s">
        <v>5672</v>
      </c>
      <c r="F2383" s="3" t="s">
        <v>5673</v>
      </c>
      <c r="G2383" s="10" t="str">
        <f aca="false">HYPERLINK("https://www.inaturalist.org/people/suraj_rai","suraj_rai")</f>
        <v>suraj_rai</v>
      </c>
      <c r="H2383" s="9" t="s">
        <v>13</v>
      </c>
      <c r="I2383" s="9" t="s">
        <v>5674</v>
      </c>
    </row>
    <row r="2384" customFormat="false" ht="15.75" hidden="false" customHeight="false" outlineLevel="0" collapsed="false">
      <c r="B2384" s="7" t="n">
        <v>46222</v>
      </c>
      <c r="C2384" s="3" t="s">
        <v>5675</v>
      </c>
      <c r="D2384" s="3" t="s">
        <v>5099</v>
      </c>
      <c r="E2384" s="3" t="s">
        <v>5672</v>
      </c>
      <c r="F2384" s="3" t="s">
        <v>5673</v>
      </c>
      <c r="G2384" s="10" t="str">
        <f aca="false">HYPERLINK("https://www.inaturalist.org/people/jafarayappally","jafarayappally")</f>
        <v>jafarayappally</v>
      </c>
      <c r="H2384" s="9" t="s">
        <v>13</v>
      </c>
      <c r="I2384" s="9" t="s">
        <v>5676</v>
      </c>
    </row>
    <row r="2385" customFormat="false" ht="15.75" hidden="false" customHeight="false" outlineLevel="0" collapsed="false">
      <c r="B2385" s="7" t="n">
        <v>46222</v>
      </c>
      <c r="C2385" s="3" t="s">
        <v>5677</v>
      </c>
      <c r="D2385" s="3" t="s">
        <v>5099</v>
      </c>
      <c r="E2385" s="3" t="s">
        <v>5672</v>
      </c>
      <c r="F2385" s="3" t="s">
        <v>5673</v>
      </c>
      <c r="G2385" s="10" t="str">
        <f aca="false">HYPERLINK("https://www.inaturalist.org/people/jukkajantunen","jukkajantunen")</f>
        <v>jukkajantunen</v>
      </c>
      <c r="H2385" s="9" t="s">
        <v>13</v>
      </c>
      <c r="I2385" s="9" t="s">
        <v>5678</v>
      </c>
    </row>
    <row r="2386" customFormat="false" ht="15.75" hidden="false" customHeight="false" outlineLevel="0" collapsed="false">
      <c r="B2386" s="7" t="n">
        <v>46222</v>
      </c>
      <c r="C2386" s="3" t="s">
        <v>5679</v>
      </c>
      <c r="D2386" s="3" t="s">
        <v>5099</v>
      </c>
      <c r="E2386" s="3" t="s">
        <v>5672</v>
      </c>
      <c r="F2386" s="3" t="s">
        <v>5673</v>
      </c>
      <c r="G2386" s="10" t="str">
        <f aca="false">HYPERLINK("https://www.inaturalist.org/people/jukkajantunen","jukkajantunen")</f>
        <v>jukkajantunen</v>
      </c>
      <c r="H2386" s="9" t="s">
        <v>13</v>
      </c>
      <c r="I2386" s="9" t="s">
        <v>5680</v>
      </c>
    </row>
    <row r="2387" customFormat="false" ht="15.75" hidden="false" customHeight="false" outlineLevel="0" collapsed="false">
      <c r="B2387" s="7" t="n">
        <v>46222</v>
      </c>
      <c r="C2387" s="3" t="s">
        <v>5681</v>
      </c>
      <c r="D2387" s="3" t="s">
        <v>5099</v>
      </c>
      <c r="E2387" s="3" t="s">
        <v>5672</v>
      </c>
      <c r="F2387" s="3" t="s">
        <v>5673</v>
      </c>
      <c r="G2387" s="10" t="str">
        <f aca="false">HYPERLINK("https://www.inaturalist.org/people/saxifraga13","saxifraga13")</f>
        <v>saxifraga13</v>
      </c>
      <c r="H2387" s="9" t="s">
        <v>13</v>
      </c>
      <c r="I2387" s="9" t="s">
        <v>5682</v>
      </c>
    </row>
    <row r="2388" customFormat="false" ht="15.75" hidden="false" customHeight="false" outlineLevel="0" collapsed="false">
      <c r="B2388" s="7" t="n">
        <v>46222</v>
      </c>
      <c r="C2388" s="3" t="s">
        <v>5683</v>
      </c>
      <c r="D2388" s="3" t="s">
        <v>5099</v>
      </c>
      <c r="E2388" s="3" t="s">
        <v>5672</v>
      </c>
      <c r="F2388" s="3" t="s">
        <v>5673</v>
      </c>
      <c r="G2388" s="10" t="str">
        <f aca="false">HYPERLINK("https://www.inaturalist.org/people/myworldofbirdphotography","myworldofbirdphotography")</f>
        <v>myworldofbirdphotography</v>
      </c>
      <c r="H2388" s="9" t="s">
        <v>13</v>
      </c>
      <c r="I2388" s="9" t="s">
        <v>5684</v>
      </c>
    </row>
    <row r="2389" customFormat="false" ht="15.75" hidden="false" customHeight="false" outlineLevel="0" collapsed="false">
      <c r="B2389" s="7" t="n">
        <v>46222</v>
      </c>
      <c r="C2389" s="3" t="s">
        <v>5685</v>
      </c>
      <c r="D2389" s="3" t="s">
        <v>5099</v>
      </c>
      <c r="E2389" s="3" t="s">
        <v>5672</v>
      </c>
      <c r="F2389" s="3" t="s">
        <v>5673</v>
      </c>
      <c r="G2389" s="10" t="str">
        <f aca="false">HYPERLINK("https://www.inaturalist.org/people/jmeerman","jmeerman")</f>
        <v>jmeerman</v>
      </c>
      <c r="H2389" s="9" t="s">
        <v>13</v>
      </c>
      <c r="I2389" s="9" t="s">
        <v>5686</v>
      </c>
    </row>
    <row r="2390" customFormat="false" ht="15.75" hidden="false" customHeight="false" outlineLevel="0" collapsed="false">
      <c r="B2390" s="7" t="n">
        <v>46222</v>
      </c>
      <c r="C2390" s="3" t="s">
        <v>5687</v>
      </c>
      <c r="D2390" s="3" t="s">
        <v>5099</v>
      </c>
      <c r="E2390" s="3" t="s">
        <v>5672</v>
      </c>
      <c r="F2390" s="3" t="s">
        <v>5673</v>
      </c>
      <c r="G2390" s="10" t="str">
        <f aca="false">HYPERLINK("https://www.inaturalist.org/people/pgkaestner","pgkaestner")</f>
        <v>pgkaestner</v>
      </c>
      <c r="H2390" s="9" t="s">
        <v>13</v>
      </c>
      <c r="I2390" s="9" t="s">
        <v>5688</v>
      </c>
    </row>
    <row r="2391" customFormat="false" ht="15.75" hidden="false" customHeight="false" outlineLevel="0" collapsed="false">
      <c r="B2391" s="7" t="n">
        <v>46222</v>
      </c>
      <c r="C2391" s="3" t="s">
        <v>5689</v>
      </c>
      <c r="D2391" s="3" t="s">
        <v>5099</v>
      </c>
      <c r="E2391" s="3" t="s">
        <v>5672</v>
      </c>
      <c r="F2391" s="3" t="s">
        <v>5673</v>
      </c>
      <c r="G2391" s="10" t="str">
        <f aca="false">HYPERLINK("https://www.inaturalist.org/people/victoria_cuthbert","victoria_cuthbert")</f>
        <v>victoria_cuthbert</v>
      </c>
      <c r="H2391" s="9" t="s">
        <v>13</v>
      </c>
      <c r="I2391" s="9" t="s">
        <v>5690</v>
      </c>
    </row>
    <row r="2392" customFormat="false" ht="15.75" hidden="false" customHeight="false" outlineLevel="0" collapsed="false">
      <c r="B2392" s="7" t="n">
        <v>46222</v>
      </c>
      <c r="C2392" s="3" t="s">
        <v>5691</v>
      </c>
      <c r="D2392" s="3" t="s">
        <v>5099</v>
      </c>
      <c r="E2392" s="3" t="s">
        <v>5672</v>
      </c>
      <c r="F2392" s="3" t="s">
        <v>5673</v>
      </c>
      <c r="G2392" s="10" t="str">
        <f aca="false">HYPERLINK("https://www.inaturalist.org/people/pongo10","pongo10")</f>
        <v>pongo10</v>
      </c>
      <c r="H2392" s="9" t="s">
        <v>13</v>
      </c>
      <c r="I2392" s="9" t="s">
        <v>5692</v>
      </c>
    </row>
    <row r="2393" customFormat="false" ht="15.75" hidden="false" customHeight="false" outlineLevel="0" collapsed="false">
      <c r="B2393" s="7" t="n">
        <v>46222</v>
      </c>
      <c r="C2393" s="3" t="s">
        <v>5693</v>
      </c>
      <c r="D2393" s="3" t="s">
        <v>5099</v>
      </c>
      <c r="E2393" s="3" t="s">
        <v>5672</v>
      </c>
      <c r="F2393" s="3" t="s">
        <v>5673</v>
      </c>
      <c r="G2393" s="10" t="str">
        <f aca="false">HYPERLINK("https://www.inaturalist.org/people/pongo10","pongo10")</f>
        <v>pongo10</v>
      </c>
      <c r="H2393" s="9" t="s">
        <v>13</v>
      </c>
      <c r="I2393" s="9" t="s">
        <v>5694</v>
      </c>
    </row>
    <row r="2394" customFormat="false" ht="15.75" hidden="false" customHeight="false" outlineLevel="0" collapsed="false">
      <c r="B2394" s="7" t="n">
        <v>46222</v>
      </c>
      <c r="C2394" s="3" t="s">
        <v>5695</v>
      </c>
      <c r="D2394" s="3" t="s">
        <v>5099</v>
      </c>
      <c r="E2394" s="3" t="s">
        <v>5672</v>
      </c>
      <c r="F2394" s="3" t="s">
        <v>5673</v>
      </c>
      <c r="G2394" s="10" t="str">
        <f aca="false">HYPERLINK("https://www.inaturalist.org/people/denisnikitenko","denisnikitenko")</f>
        <v>denisnikitenko</v>
      </c>
      <c r="H2394" s="9" t="s">
        <v>13</v>
      </c>
      <c r="I2394" s="9" t="s">
        <v>5696</v>
      </c>
    </row>
    <row r="2395" customFormat="false" ht="15.75" hidden="false" customHeight="false" outlineLevel="0" collapsed="false">
      <c r="B2395" s="7" t="n">
        <v>46222</v>
      </c>
      <c r="C2395" s="3" t="s">
        <v>5697</v>
      </c>
      <c r="D2395" s="3" t="s">
        <v>5099</v>
      </c>
      <c r="E2395" s="3" t="s">
        <v>5672</v>
      </c>
      <c r="F2395" s="3" t="s">
        <v>5673</v>
      </c>
      <c r="G2395" s="10" t="str">
        <f aca="false">HYPERLINK("https://www.inaturalist.org/people/denisnikitenko","denisnikitenko")</f>
        <v>denisnikitenko</v>
      </c>
      <c r="H2395" s="9" t="s">
        <v>13</v>
      </c>
      <c r="I2395" s="9" t="s">
        <v>5698</v>
      </c>
    </row>
    <row r="2396" customFormat="false" ht="15.75" hidden="false" customHeight="false" outlineLevel="0" collapsed="false">
      <c r="B2396" s="7" t="n">
        <v>46222</v>
      </c>
      <c r="C2396" s="3" t="s">
        <v>5699</v>
      </c>
      <c r="D2396" s="3" t="s">
        <v>5099</v>
      </c>
      <c r="E2396" s="3" t="s">
        <v>5672</v>
      </c>
      <c r="F2396" s="3" t="s">
        <v>5673</v>
      </c>
      <c r="G2396" s="10" t="str">
        <f aca="false">HYPERLINK("https://www.inaturalist.org/people/denisnikitenko","denisnikitenko")</f>
        <v>denisnikitenko</v>
      </c>
      <c r="H2396" s="9" t="s">
        <v>13</v>
      </c>
      <c r="I2396" s="9" t="s">
        <v>5700</v>
      </c>
    </row>
    <row r="2397" customFormat="false" ht="15.75" hidden="false" customHeight="false" outlineLevel="0" collapsed="false">
      <c r="B2397" s="7" t="n">
        <v>46222</v>
      </c>
      <c r="C2397" s="3" t="s">
        <v>5701</v>
      </c>
      <c r="D2397" s="3" t="s">
        <v>5099</v>
      </c>
      <c r="E2397" s="3" t="s">
        <v>5672</v>
      </c>
      <c r="F2397" s="3" t="s">
        <v>5673</v>
      </c>
      <c r="G2397" s="10" t="str">
        <f aca="false">HYPERLINK("https://www.inaturalist.org/people/denisnikitenko","denisnikitenko")</f>
        <v>denisnikitenko</v>
      </c>
      <c r="H2397" s="9" t="s">
        <v>13</v>
      </c>
      <c r="I2397" s="9" t="s">
        <v>5702</v>
      </c>
    </row>
    <row r="2398" customFormat="false" ht="15.75" hidden="false" customHeight="false" outlineLevel="0" collapsed="false">
      <c r="B2398" s="7" t="n">
        <v>46222</v>
      </c>
      <c r="C2398" s="3" t="s">
        <v>5703</v>
      </c>
      <c r="D2398" s="3" t="s">
        <v>5099</v>
      </c>
      <c r="E2398" s="3" t="s">
        <v>5672</v>
      </c>
      <c r="F2398" s="3" t="s">
        <v>5673</v>
      </c>
      <c r="G2398" s="10" t="str">
        <f aca="false">HYPERLINK("https://www.inaturalist.org/people/denisnikitenko","denisnikitenko")</f>
        <v>denisnikitenko</v>
      </c>
      <c r="H2398" s="9" t="s">
        <v>13</v>
      </c>
      <c r="I2398" s="9" t="s">
        <v>5704</v>
      </c>
    </row>
    <row r="2399" customFormat="false" ht="15.75" hidden="false" customHeight="false" outlineLevel="0" collapsed="false">
      <c r="B2399" s="7" t="n">
        <v>46222</v>
      </c>
      <c r="C2399" s="3" t="s">
        <v>5705</v>
      </c>
      <c r="D2399" s="3" t="s">
        <v>5099</v>
      </c>
      <c r="E2399" s="3" t="s">
        <v>5672</v>
      </c>
      <c r="F2399" s="3" t="s">
        <v>5673</v>
      </c>
      <c r="G2399" s="10" t="str">
        <f aca="false">HYPERLINK("https://www.inaturalist.org/people/denisnikitenko","denisnikitenko")</f>
        <v>denisnikitenko</v>
      </c>
      <c r="H2399" s="9" t="s">
        <v>13</v>
      </c>
      <c r="I2399" s="9" t="s">
        <v>5706</v>
      </c>
    </row>
    <row r="2400" customFormat="false" ht="15.75" hidden="false" customHeight="false" outlineLevel="0" collapsed="false">
      <c r="B2400" s="7" t="n">
        <v>46222</v>
      </c>
      <c r="C2400" s="3" t="s">
        <v>5707</v>
      </c>
      <c r="D2400" s="3" t="s">
        <v>5099</v>
      </c>
      <c r="E2400" s="3" t="s">
        <v>5672</v>
      </c>
      <c r="F2400" s="3" t="s">
        <v>5673</v>
      </c>
      <c r="G2400" s="10" t="str">
        <f aca="false">HYPERLINK("https://www.inaturalist.org/people/denisnikitenko","denisnikitenko")</f>
        <v>denisnikitenko</v>
      </c>
      <c r="H2400" s="9" t="s">
        <v>13</v>
      </c>
      <c r="I2400" s="9" t="s">
        <v>5708</v>
      </c>
    </row>
    <row r="2401" customFormat="false" ht="15.75" hidden="false" customHeight="false" outlineLevel="0" collapsed="false">
      <c r="B2401" s="7" t="n">
        <v>46222</v>
      </c>
      <c r="C2401" s="3" t="s">
        <v>5709</v>
      </c>
      <c r="D2401" s="3" t="s">
        <v>5099</v>
      </c>
      <c r="E2401" s="3" t="s">
        <v>5672</v>
      </c>
      <c r="F2401" s="3" t="s">
        <v>5673</v>
      </c>
      <c r="G2401" s="10" t="str">
        <f aca="false">HYPERLINK("https://www.inaturalist.org/people/denisnikitenko","denisnikitenko")</f>
        <v>denisnikitenko</v>
      </c>
      <c r="H2401" s="9" t="s">
        <v>13</v>
      </c>
      <c r="I2401" s="9" t="s">
        <v>5710</v>
      </c>
    </row>
    <row r="2402" customFormat="false" ht="15.75" hidden="false" customHeight="false" outlineLevel="0" collapsed="false">
      <c r="B2402" s="7" t="n">
        <v>46222</v>
      </c>
      <c r="C2402" s="3" t="s">
        <v>5711</v>
      </c>
      <c r="D2402" s="3" t="s">
        <v>5099</v>
      </c>
      <c r="E2402" s="3" t="s">
        <v>5672</v>
      </c>
      <c r="F2402" s="3" t="s">
        <v>5673</v>
      </c>
      <c r="G2402" s="10" t="str">
        <f aca="false">HYPERLINK("https://www.inaturalist.org/people/denisnikitenko","denisnikitenko")</f>
        <v>denisnikitenko</v>
      </c>
      <c r="H2402" s="9" t="s">
        <v>13</v>
      </c>
      <c r="I2402" s="9" t="s">
        <v>5712</v>
      </c>
    </row>
    <row r="2403" customFormat="false" ht="15.75" hidden="false" customHeight="false" outlineLevel="0" collapsed="false">
      <c r="B2403" s="7" t="n">
        <v>46222</v>
      </c>
      <c r="C2403" s="3" t="s">
        <v>5713</v>
      </c>
      <c r="D2403" s="3" t="s">
        <v>5099</v>
      </c>
      <c r="E2403" s="3" t="s">
        <v>5672</v>
      </c>
      <c r="F2403" s="3" t="s">
        <v>5673</v>
      </c>
      <c r="G2403" s="10" t="str">
        <f aca="false">HYPERLINK("https://www.inaturalist.org/people/denisnikitenko","denisnikitenko")</f>
        <v>denisnikitenko</v>
      </c>
      <c r="H2403" s="9" t="s">
        <v>13</v>
      </c>
      <c r="I2403" s="9" t="s">
        <v>5714</v>
      </c>
    </row>
    <row r="2404" customFormat="false" ht="15.75" hidden="false" customHeight="false" outlineLevel="0" collapsed="false">
      <c r="B2404" s="7" t="n">
        <v>46222</v>
      </c>
      <c r="C2404" s="3" t="s">
        <v>5715</v>
      </c>
      <c r="D2404" s="3" t="s">
        <v>5099</v>
      </c>
      <c r="E2404" s="3" t="s">
        <v>5672</v>
      </c>
      <c r="F2404" s="3" t="s">
        <v>5673</v>
      </c>
      <c r="G2404" s="10" t="str">
        <f aca="false">HYPERLINK("https://www.inaturalist.org/people/denisnikitenko","denisnikitenko")</f>
        <v>denisnikitenko</v>
      </c>
      <c r="H2404" s="9" t="s">
        <v>13</v>
      </c>
      <c r="I2404" s="9" t="s">
        <v>5716</v>
      </c>
    </row>
    <row r="2405" customFormat="false" ht="15.75" hidden="false" customHeight="false" outlineLevel="0" collapsed="false">
      <c r="B2405" s="7" t="n">
        <v>46222</v>
      </c>
      <c r="C2405" s="3" t="s">
        <v>5717</v>
      </c>
      <c r="D2405" s="3" t="s">
        <v>5099</v>
      </c>
      <c r="E2405" s="3" t="s">
        <v>5672</v>
      </c>
      <c r="F2405" s="3" t="s">
        <v>5673</v>
      </c>
      <c r="G2405" s="10" t="str">
        <f aca="false">HYPERLINK("https://www.inaturalist.org/people/denisnikitenko","denisnikitenko")</f>
        <v>denisnikitenko</v>
      </c>
      <c r="H2405" s="9" t="s">
        <v>13</v>
      </c>
      <c r="I2405" s="9" t="s">
        <v>5718</v>
      </c>
    </row>
    <row r="2406" customFormat="false" ht="15.75" hidden="false" customHeight="false" outlineLevel="0" collapsed="false">
      <c r="B2406" s="7" t="n">
        <v>46222</v>
      </c>
      <c r="C2406" s="3" t="s">
        <v>5719</v>
      </c>
      <c r="D2406" s="3" t="s">
        <v>5099</v>
      </c>
      <c r="E2406" s="3" t="s">
        <v>5672</v>
      </c>
      <c r="F2406" s="3" t="s">
        <v>5673</v>
      </c>
      <c r="G2406" s="10" t="str">
        <f aca="false">HYPERLINK("https://www.inaturalist.org/people/sam_ei_jones","sam_ei_jones")</f>
        <v>sam_ei_jones</v>
      </c>
      <c r="H2406" s="9" t="s">
        <v>13</v>
      </c>
      <c r="I2406" s="9" t="s">
        <v>5720</v>
      </c>
    </row>
    <row r="2407" customFormat="false" ht="15.75" hidden="false" customHeight="false" outlineLevel="0" collapsed="false">
      <c r="B2407" s="7" t="n">
        <v>46222</v>
      </c>
      <c r="C2407" s="3" t="s">
        <v>5721</v>
      </c>
      <c r="D2407" s="3" t="s">
        <v>5099</v>
      </c>
      <c r="E2407" s="3" t="s">
        <v>5672</v>
      </c>
      <c r="F2407" s="3" t="s">
        <v>5673</v>
      </c>
      <c r="G2407" s="10" t="str">
        <f aca="false">HYPERLINK("https://www.inaturalist.org/people/karlos69","karlos69")</f>
        <v>karlos69</v>
      </c>
      <c r="H2407" s="9" t="s">
        <v>13</v>
      </c>
      <c r="I2407" s="9" t="s">
        <v>5722</v>
      </c>
    </row>
    <row r="2408" customFormat="false" ht="15.75" hidden="false" customHeight="false" outlineLevel="0" collapsed="false">
      <c r="B2408" s="7" t="n">
        <v>46222</v>
      </c>
      <c r="C2408" s="3" t="s">
        <v>5723</v>
      </c>
      <c r="D2408" s="3" t="s">
        <v>5099</v>
      </c>
      <c r="E2408" s="3" t="s">
        <v>5672</v>
      </c>
      <c r="F2408" s="3" t="s">
        <v>5673</v>
      </c>
      <c r="G2408" s="10" t="str">
        <f aca="false">HYPERLINK("https://www.inaturalist.org/people/sam_ei_jones","sam_ei_jones")</f>
        <v>sam_ei_jones</v>
      </c>
      <c r="H2408" s="9" t="s">
        <v>13</v>
      </c>
      <c r="I2408" s="9" t="s">
        <v>5724</v>
      </c>
    </row>
    <row r="2409" customFormat="false" ht="15.75" hidden="false" customHeight="false" outlineLevel="0" collapsed="false">
      <c r="B2409" s="7" t="n">
        <v>46222</v>
      </c>
      <c r="C2409" s="3" t="s">
        <v>5725</v>
      </c>
      <c r="D2409" s="3" t="s">
        <v>5099</v>
      </c>
      <c r="E2409" s="3" t="s">
        <v>5672</v>
      </c>
      <c r="F2409" s="3" t="s">
        <v>5673</v>
      </c>
      <c r="G2409" s="10" t="str">
        <f aca="false">HYPERLINK("https://www.inaturalist.org/people/joeybom","joeybom")</f>
        <v>joeybom</v>
      </c>
      <c r="H2409" s="9" t="s">
        <v>13</v>
      </c>
      <c r="I2409" s="9" t="s">
        <v>5726</v>
      </c>
    </row>
    <row r="2410" customFormat="false" ht="15.75" hidden="false" customHeight="false" outlineLevel="0" collapsed="false">
      <c r="B2410" s="7" t="n">
        <v>46222</v>
      </c>
      <c r="C2410" s="3" t="s">
        <v>5727</v>
      </c>
      <c r="D2410" s="3" t="s">
        <v>5099</v>
      </c>
      <c r="E2410" s="3" t="s">
        <v>5672</v>
      </c>
      <c r="F2410" s="3" t="s">
        <v>5673</v>
      </c>
      <c r="G2410" s="10" t="str">
        <f aca="false">HYPERLINK("https://www.inaturalist.org/people/patrickdebeuf","patrickdebeuf")</f>
        <v>patrickdebeuf</v>
      </c>
      <c r="H2410" s="9" t="s">
        <v>13</v>
      </c>
      <c r="I2410" s="9" t="s">
        <v>5728</v>
      </c>
    </row>
    <row r="2411" customFormat="false" ht="15.75" hidden="false" customHeight="false" outlineLevel="0" collapsed="false">
      <c r="B2411" s="7" t="n">
        <v>46222</v>
      </c>
      <c r="C2411" s="3" t="s">
        <v>5729</v>
      </c>
      <c r="D2411" s="3" t="s">
        <v>5099</v>
      </c>
      <c r="E2411" s="3" t="s">
        <v>5672</v>
      </c>
      <c r="F2411" s="3" t="s">
        <v>5673</v>
      </c>
      <c r="G2411" s="10" t="str">
        <f aca="false">HYPERLINK("https://www.inaturalist.org/people/lwestgeest1955","lwestgeest1955")</f>
        <v>lwestgeest1955</v>
      </c>
      <c r="H2411" s="9" t="s">
        <v>13</v>
      </c>
      <c r="I2411" s="9" t="s">
        <v>5730</v>
      </c>
    </row>
    <row r="2412" customFormat="false" ht="15.75" hidden="false" customHeight="false" outlineLevel="0" collapsed="false">
      <c r="B2412" s="7" t="n">
        <v>46222</v>
      </c>
      <c r="C2412" s="3" t="s">
        <v>5731</v>
      </c>
      <c r="D2412" s="3" t="s">
        <v>5099</v>
      </c>
      <c r="E2412" s="3" t="s">
        <v>5672</v>
      </c>
      <c r="F2412" s="3" t="s">
        <v>5673</v>
      </c>
      <c r="G2412" s="10" t="str">
        <f aca="false">HYPERLINK("https://www.inaturalist.org/people/etsukokurokawa","etsukokurokawa")</f>
        <v>etsukokurokawa</v>
      </c>
      <c r="H2412" s="9" t="s">
        <v>13</v>
      </c>
      <c r="I2412" s="9" t="s">
        <v>5732</v>
      </c>
    </row>
    <row r="2413" customFormat="false" ht="15.75" hidden="false" customHeight="false" outlineLevel="0" collapsed="false">
      <c r="B2413" s="7" t="n">
        <v>46222</v>
      </c>
      <c r="C2413" s="3" t="s">
        <v>5733</v>
      </c>
      <c r="D2413" s="3" t="s">
        <v>5099</v>
      </c>
      <c r="E2413" s="3" t="s">
        <v>5672</v>
      </c>
      <c r="F2413" s="3" t="s">
        <v>5673</v>
      </c>
      <c r="G2413" s="10" t="str">
        <f aca="false">HYPERLINK("https://www.inaturalist.org/people/joeybom","joeybom")</f>
        <v>joeybom</v>
      </c>
      <c r="H2413" s="9" t="s">
        <v>13</v>
      </c>
      <c r="I2413" s="9" t="s">
        <v>5734</v>
      </c>
    </row>
    <row r="2414" customFormat="false" ht="15.75" hidden="false" customHeight="false" outlineLevel="0" collapsed="false">
      <c r="B2414" s="7" t="n">
        <v>46222</v>
      </c>
      <c r="C2414" s="3" t="s">
        <v>5735</v>
      </c>
      <c r="D2414" s="3" t="s">
        <v>5099</v>
      </c>
      <c r="E2414" s="3" t="s">
        <v>5672</v>
      </c>
      <c r="F2414" s="3" t="s">
        <v>5673</v>
      </c>
      <c r="G2414" s="10" t="str">
        <f aca="false">HYPERLINK("https://www.inaturalist.org/people/vladimir8hula","vladimir8hula")</f>
        <v>vladimir8hula</v>
      </c>
      <c r="H2414" s="9" t="s">
        <v>13</v>
      </c>
      <c r="I2414" s="9" t="s">
        <v>5736</v>
      </c>
    </row>
    <row r="2415" customFormat="false" ht="15.75" hidden="false" customHeight="false" outlineLevel="0" collapsed="false">
      <c r="B2415" s="7" t="n">
        <v>46222</v>
      </c>
      <c r="C2415" s="3" t="s">
        <v>5737</v>
      </c>
      <c r="D2415" s="3" t="s">
        <v>5099</v>
      </c>
      <c r="E2415" s="3" t="s">
        <v>5672</v>
      </c>
      <c r="F2415" s="3" t="s">
        <v>5673</v>
      </c>
      <c r="G2415" s="10" t="str">
        <f aca="false">HYPERLINK("https://www.inaturalist.org/people/pkocare1","pkocare1")</f>
        <v>pkocare1</v>
      </c>
      <c r="H2415" s="9" t="s">
        <v>13</v>
      </c>
      <c r="I2415" s="9" t="s">
        <v>5738</v>
      </c>
    </row>
    <row r="2416" customFormat="false" ht="15.75" hidden="false" customHeight="false" outlineLevel="0" collapsed="false">
      <c r="B2416" s="7" t="n">
        <v>46222</v>
      </c>
      <c r="C2416" s="3" t="s">
        <v>5739</v>
      </c>
      <c r="D2416" s="3" t="s">
        <v>5099</v>
      </c>
      <c r="E2416" s="3" t="s">
        <v>5672</v>
      </c>
      <c r="F2416" s="3" t="s">
        <v>5673</v>
      </c>
      <c r="G2416" s="10" t="str">
        <f aca="false">HYPERLINK("https://www.inaturalist.org/people/pkocare1","pkocare1")</f>
        <v>pkocare1</v>
      </c>
      <c r="H2416" s="9" t="s">
        <v>13</v>
      </c>
      <c r="I2416" s="9" t="s">
        <v>5740</v>
      </c>
    </row>
    <row r="2417" customFormat="false" ht="15.75" hidden="false" customHeight="false" outlineLevel="0" collapsed="false">
      <c r="B2417" s="7" t="n">
        <v>46222</v>
      </c>
      <c r="C2417" s="3" t="s">
        <v>5741</v>
      </c>
      <c r="D2417" s="3" t="s">
        <v>5099</v>
      </c>
      <c r="E2417" s="3" t="s">
        <v>5672</v>
      </c>
      <c r="F2417" s="3" t="s">
        <v>5673</v>
      </c>
      <c r="G2417" s="10" t="str">
        <f aca="false">HYPERLINK("https://www.inaturalist.org/people/vpetrov","vpetrov")</f>
        <v>vpetrov</v>
      </c>
      <c r="H2417" s="9" t="s">
        <v>13</v>
      </c>
      <c r="I2417" s="9" t="s">
        <v>5742</v>
      </c>
    </row>
    <row r="2418" customFormat="false" ht="15.75" hidden="false" customHeight="false" outlineLevel="0" collapsed="false">
      <c r="B2418" s="7" t="n">
        <v>46222</v>
      </c>
      <c r="C2418" s="3" t="s">
        <v>5743</v>
      </c>
      <c r="D2418" s="3" t="s">
        <v>5099</v>
      </c>
      <c r="E2418" s="3" t="s">
        <v>5672</v>
      </c>
      <c r="F2418" s="3" t="s">
        <v>5744</v>
      </c>
      <c r="G2418" s="10" t="str">
        <f aca="false">HYPERLINK("https://www.inaturalist.org/people/jukkajantunen","jukkajantunen")</f>
        <v>jukkajantunen</v>
      </c>
      <c r="H2418" s="9" t="s">
        <v>13</v>
      </c>
      <c r="I2418" s="9" t="s">
        <v>5745</v>
      </c>
    </row>
    <row r="2419" customFormat="false" ht="15.75" hidden="false" customHeight="false" outlineLevel="0" collapsed="false">
      <c r="B2419" s="7" t="n">
        <v>46222</v>
      </c>
      <c r="C2419" s="3" t="s">
        <v>5746</v>
      </c>
      <c r="D2419" s="3" t="s">
        <v>5099</v>
      </c>
      <c r="E2419" s="3" t="s">
        <v>5672</v>
      </c>
      <c r="F2419" s="3" t="s">
        <v>5744</v>
      </c>
      <c r="G2419" s="10" t="str">
        <f aca="false">HYPERLINK("https://www.inaturalist.org/people/steveparr","steveparr")</f>
        <v>steveparr</v>
      </c>
      <c r="H2419" s="9" t="s">
        <v>13</v>
      </c>
      <c r="I2419" s="9" t="s">
        <v>5747</v>
      </c>
    </row>
    <row r="2420" customFormat="false" ht="15.75" hidden="false" customHeight="false" outlineLevel="0" collapsed="false">
      <c r="B2420" s="7" t="n">
        <v>46222</v>
      </c>
      <c r="C2420" s="3" t="s">
        <v>5748</v>
      </c>
      <c r="D2420" s="3" t="s">
        <v>5099</v>
      </c>
      <c r="E2420" s="3" t="s">
        <v>5672</v>
      </c>
      <c r="F2420" s="3" t="s">
        <v>5744</v>
      </c>
      <c r="G2420" s="10" t="str">
        <f aca="false">HYPERLINK("https://www.inaturalist.org/people/pyxis","pyxis")</f>
        <v>pyxis</v>
      </c>
      <c r="H2420" s="9" t="s">
        <v>13</v>
      </c>
      <c r="I2420" s="9" t="s">
        <v>5749</v>
      </c>
    </row>
    <row r="2421" customFormat="false" ht="15.75" hidden="false" customHeight="false" outlineLevel="0" collapsed="false">
      <c r="B2421" s="7" t="n">
        <v>46222</v>
      </c>
      <c r="C2421" s="3" t="s">
        <v>5750</v>
      </c>
      <c r="D2421" s="3" t="s">
        <v>5099</v>
      </c>
      <c r="E2421" s="3" t="s">
        <v>5672</v>
      </c>
      <c r="F2421" s="3" t="s">
        <v>5744</v>
      </c>
      <c r="G2421" s="10" t="str">
        <f aca="false">HYPERLINK("https://www.inaturalist.org/people/pyxis","pyxis")</f>
        <v>pyxis</v>
      </c>
      <c r="H2421" s="9" t="s">
        <v>13</v>
      </c>
      <c r="I2421" s="9" t="s">
        <v>5751</v>
      </c>
    </row>
    <row r="2422" customFormat="false" ht="15.75" hidden="false" customHeight="false" outlineLevel="0" collapsed="false">
      <c r="B2422" s="7" t="n">
        <v>46222</v>
      </c>
      <c r="C2422" s="3" t="s">
        <v>5752</v>
      </c>
      <c r="D2422" s="3" t="s">
        <v>5099</v>
      </c>
      <c r="E2422" s="3" t="s">
        <v>5672</v>
      </c>
      <c r="F2422" s="3" t="s">
        <v>5744</v>
      </c>
      <c r="G2422" s="10" t="str">
        <f aca="false">HYPERLINK("https://www.inaturalist.org/people/thijsvalkenburg","thijsvalkenburg")</f>
        <v>thijsvalkenburg</v>
      </c>
      <c r="H2422" s="9" t="s">
        <v>13</v>
      </c>
      <c r="I2422" s="9" t="s">
        <v>5753</v>
      </c>
    </row>
    <row r="2423" customFormat="false" ht="15.75" hidden="false" customHeight="false" outlineLevel="0" collapsed="false">
      <c r="B2423" s="7" t="n">
        <v>46222</v>
      </c>
      <c r="C2423" s="3" t="s">
        <v>5754</v>
      </c>
      <c r="D2423" s="3" t="s">
        <v>5099</v>
      </c>
      <c r="E2423" s="3" t="s">
        <v>5672</v>
      </c>
      <c r="F2423" s="3" t="s">
        <v>5744</v>
      </c>
      <c r="G2423" s="10" t="str">
        <f aca="false">HYPERLINK("https://www.inaturalist.org/people/thijsvalkenburg","thijsvalkenburg")</f>
        <v>thijsvalkenburg</v>
      </c>
      <c r="H2423" s="9" t="s">
        <v>13</v>
      </c>
      <c r="I2423" s="9" t="s">
        <v>5755</v>
      </c>
    </row>
    <row r="2424" customFormat="false" ht="15.75" hidden="false" customHeight="false" outlineLevel="0" collapsed="false">
      <c r="B2424" s="7" t="n">
        <v>46222</v>
      </c>
      <c r="C2424" s="3" t="s">
        <v>5756</v>
      </c>
      <c r="D2424" s="3" t="s">
        <v>5099</v>
      </c>
      <c r="E2424" s="3" t="s">
        <v>5672</v>
      </c>
      <c r="F2424" s="3" t="s">
        <v>5744</v>
      </c>
      <c r="G2424" s="10" t="str">
        <f aca="false">HYPERLINK("https://www.inaturalist.org/people/thijsvalkenburg","thijsvalkenburg")</f>
        <v>thijsvalkenburg</v>
      </c>
      <c r="H2424" s="9" t="s">
        <v>13</v>
      </c>
      <c r="I2424" s="9" t="s">
        <v>5757</v>
      </c>
    </row>
    <row r="2425" customFormat="false" ht="15.75" hidden="false" customHeight="false" outlineLevel="0" collapsed="false">
      <c r="B2425" s="7" t="n">
        <v>46222</v>
      </c>
      <c r="C2425" s="3" t="s">
        <v>5758</v>
      </c>
      <c r="D2425" s="3" t="s">
        <v>5099</v>
      </c>
      <c r="E2425" s="3" t="s">
        <v>5672</v>
      </c>
      <c r="F2425" s="3" t="s">
        <v>5744</v>
      </c>
      <c r="G2425" s="10" t="str">
        <f aca="false">HYPERLINK("https://www.inaturalist.org/people/thijsvalkenburg","thijsvalkenburg")</f>
        <v>thijsvalkenburg</v>
      </c>
      <c r="H2425" s="9" t="s">
        <v>13</v>
      </c>
      <c r="I2425" s="9" t="s">
        <v>5759</v>
      </c>
    </row>
    <row r="2426" customFormat="false" ht="15.75" hidden="false" customHeight="false" outlineLevel="0" collapsed="false">
      <c r="B2426" s="7" t="n">
        <v>46222</v>
      </c>
      <c r="C2426" s="3" t="s">
        <v>5760</v>
      </c>
      <c r="D2426" s="3" t="s">
        <v>5099</v>
      </c>
      <c r="E2426" s="3" t="s">
        <v>5672</v>
      </c>
      <c r="F2426" s="3" t="s">
        <v>5744</v>
      </c>
      <c r="G2426" s="10" t="str">
        <f aca="false">HYPERLINK("https://www.inaturalist.org/people/pongo10","pongo10")</f>
        <v>pongo10</v>
      </c>
      <c r="H2426" s="9" t="s">
        <v>13</v>
      </c>
      <c r="I2426" s="9" t="s">
        <v>5761</v>
      </c>
    </row>
    <row r="2427" customFormat="false" ht="15.75" hidden="false" customHeight="false" outlineLevel="0" collapsed="false">
      <c r="B2427" s="7" t="n">
        <v>46222</v>
      </c>
      <c r="C2427" s="3" t="s">
        <v>5762</v>
      </c>
      <c r="D2427" s="3" t="s">
        <v>5099</v>
      </c>
      <c r="E2427" s="3" t="s">
        <v>5672</v>
      </c>
      <c r="F2427" s="3" t="s">
        <v>5744</v>
      </c>
      <c r="G2427" s="10" t="str">
        <f aca="false">HYPERLINK("https://www.inaturalist.org/people/benluneau","benluneau")</f>
        <v>benluneau</v>
      </c>
      <c r="H2427" s="9" t="s">
        <v>13</v>
      </c>
      <c r="I2427" s="9" t="s">
        <v>5763</v>
      </c>
    </row>
    <row r="2428" customFormat="false" ht="15.75" hidden="false" customHeight="false" outlineLevel="0" collapsed="false">
      <c r="B2428" s="7" t="n">
        <v>46222</v>
      </c>
      <c r="C2428" s="3" t="s">
        <v>5764</v>
      </c>
      <c r="D2428" s="3" t="s">
        <v>5099</v>
      </c>
      <c r="E2428" s="3" t="s">
        <v>5672</v>
      </c>
      <c r="F2428" s="3" t="s">
        <v>5744</v>
      </c>
      <c r="G2428" s="10" t="str">
        <f aca="false">HYPERLINK("https://www.inaturalist.org/people/benluneau","benluneau")</f>
        <v>benluneau</v>
      </c>
      <c r="H2428" s="9" t="s">
        <v>13</v>
      </c>
      <c r="I2428" s="9" t="s">
        <v>5765</v>
      </c>
    </row>
    <row r="2429" customFormat="false" ht="15.75" hidden="false" customHeight="false" outlineLevel="0" collapsed="false">
      <c r="B2429" s="7" t="n">
        <v>46222</v>
      </c>
      <c r="C2429" s="3" t="s">
        <v>5766</v>
      </c>
      <c r="D2429" s="3" t="s">
        <v>5099</v>
      </c>
      <c r="E2429" s="3" t="s">
        <v>5672</v>
      </c>
      <c r="F2429" s="3" t="s">
        <v>5744</v>
      </c>
      <c r="G2429" s="10" t="str">
        <f aca="false">HYPERLINK("https://www.inaturalist.org/people/benluneau","benluneau")</f>
        <v>benluneau</v>
      </c>
      <c r="H2429" s="9" t="s">
        <v>13</v>
      </c>
      <c r="I2429" s="9" t="s">
        <v>5767</v>
      </c>
    </row>
    <row r="2430" customFormat="false" ht="15.75" hidden="false" customHeight="false" outlineLevel="0" collapsed="false">
      <c r="B2430" s="7" t="n">
        <v>46222</v>
      </c>
      <c r="C2430" s="3" t="s">
        <v>5768</v>
      </c>
      <c r="D2430" s="3" t="s">
        <v>5099</v>
      </c>
      <c r="E2430" s="3" t="s">
        <v>5672</v>
      </c>
      <c r="F2430" s="3" t="s">
        <v>5744</v>
      </c>
      <c r="G2430" s="10" t="str">
        <f aca="false">HYPERLINK("https://www.inaturalist.org/people/tristan_cln","tristan_cln")</f>
        <v>tristan_cln</v>
      </c>
      <c r="H2430" s="9" t="s">
        <v>13</v>
      </c>
      <c r="I2430" s="9" t="s">
        <v>5769</v>
      </c>
    </row>
    <row r="2431" customFormat="false" ht="15.75" hidden="false" customHeight="false" outlineLevel="0" collapsed="false">
      <c r="B2431" s="7" t="n">
        <v>46222</v>
      </c>
      <c r="C2431" s="3" t="s">
        <v>5770</v>
      </c>
      <c r="D2431" s="3" t="s">
        <v>5099</v>
      </c>
      <c r="E2431" s="3" t="s">
        <v>5672</v>
      </c>
      <c r="F2431" s="3" t="s">
        <v>5744</v>
      </c>
      <c r="G2431" s="10" t="str">
        <f aca="false">HYPERLINK("https://www.inaturalist.org/people/sicista_siculica","sicista_siculica")</f>
        <v>sicista_siculica</v>
      </c>
      <c r="H2431" s="9" t="s">
        <v>13</v>
      </c>
      <c r="I2431" s="9" t="s">
        <v>5771</v>
      </c>
    </row>
    <row r="2432" customFormat="false" ht="15.75" hidden="false" customHeight="false" outlineLevel="0" collapsed="false">
      <c r="B2432" s="7" t="n">
        <v>46222</v>
      </c>
      <c r="C2432" s="3" t="s">
        <v>5772</v>
      </c>
      <c r="D2432" s="3" t="s">
        <v>5099</v>
      </c>
      <c r="E2432" s="3" t="s">
        <v>5672</v>
      </c>
      <c r="F2432" s="3" t="s">
        <v>5744</v>
      </c>
      <c r="G2432" s="10" t="str">
        <f aca="false">HYPERLINK("https://www.inaturalist.org/people/sicista_siculica","sicista_siculica")</f>
        <v>sicista_siculica</v>
      </c>
      <c r="H2432" s="9" t="s">
        <v>13</v>
      </c>
      <c r="I2432" s="9" t="s">
        <v>5773</v>
      </c>
    </row>
    <row r="2433" customFormat="false" ht="15.75" hidden="false" customHeight="false" outlineLevel="0" collapsed="false">
      <c r="B2433" s="7" t="n">
        <v>46222</v>
      </c>
      <c r="C2433" s="3" t="s">
        <v>5774</v>
      </c>
      <c r="D2433" s="3" t="s">
        <v>5099</v>
      </c>
      <c r="E2433" s="3" t="s">
        <v>5672</v>
      </c>
      <c r="F2433" s="3" t="s">
        <v>5744</v>
      </c>
      <c r="G2433" s="10" t="str">
        <f aca="false">HYPERLINK("https://www.inaturalist.org/people/denisnikitenko","denisnikitenko")</f>
        <v>denisnikitenko</v>
      </c>
      <c r="H2433" s="9" t="s">
        <v>13</v>
      </c>
      <c r="I2433" s="9" t="s">
        <v>5775</v>
      </c>
    </row>
    <row r="2434" customFormat="false" ht="15.75" hidden="false" customHeight="false" outlineLevel="0" collapsed="false">
      <c r="B2434" s="7" t="n">
        <v>46222</v>
      </c>
      <c r="C2434" s="3" t="s">
        <v>5776</v>
      </c>
      <c r="D2434" s="3" t="s">
        <v>5099</v>
      </c>
      <c r="E2434" s="3" t="s">
        <v>5672</v>
      </c>
      <c r="F2434" s="3" t="s">
        <v>5744</v>
      </c>
      <c r="G2434" s="10" t="str">
        <f aca="false">HYPERLINK("https://www.inaturalist.org/people/denisnikitenko","denisnikitenko")</f>
        <v>denisnikitenko</v>
      </c>
      <c r="H2434" s="9" t="s">
        <v>13</v>
      </c>
      <c r="I2434" s="9" t="s">
        <v>5777</v>
      </c>
    </row>
    <row r="2435" customFormat="false" ht="15.75" hidden="false" customHeight="false" outlineLevel="0" collapsed="false">
      <c r="B2435" s="7" t="n">
        <v>46222</v>
      </c>
      <c r="C2435" s="3" t="s">
        <v>5778</v>
      </c>
      <c r="D2435" s="3" t="s">
        <v>5099</v>
      </c>
      <c r="E2435" s="3" t="s">
        <v>5672</v>
      </c>
      <c r="F2435" s="3" t="s">
        <v>5744</v>
      </c>
      <c r="G2435" s="10" t="str">
        <f aca="false">HYPERLINK("https://www.inaturalist.org/people/denisnikitenko","denisnikitenko")</f>
        <v>denisnikitenko</v>
      </c>
      <c r="H2435" s="9" t="s">
        <v>13</v>
      </c>
      <c r="I2435" s="9" t="s">
        <v>5779</v>
      </c>
    </row>
    <row r="2436" customFormat="false" ht="15.75" hidden="false" customHeight="false" outlineLevel="0" collapsed="false">
      <c r="B2436" s="7" t="n">
        <v>46222</v>
      </c>
      <c r="C2436" s="3" t="s">
        <v>5780</v>
      </c>
      <c r="D2436" s="3" t="s">
        <v>5099</v>
      </c>
      <c r="E2436" s="3" t="s">
        <v>5672</v>
      </c>
      <c r="F2436" s="3" t="s">
        <v>5744</v>
      </c>
      <c r="G2436" s="10" t="str">
        <f aca="false">HYPERLINK("https://www.inaturalist.org/people/emanon","emanon")</f>
        <v>emanon</v>
      </c>
      <c r="H2436" s="9" t="s">
        <v>13</v>
      </c>
      <c r="I2436" s="9" t="s">
        <v>5781</v>
      </c>
    </row>
    <row r="2437" customFormat="false" ht="15.75" hidden="false" customHeight="false" outlineLevel="0" collapsed="false">
      <c r="B2437" s="7" t="n">
        <v>46222</v>
      </c>
      <c r="C2437" s="3" t="s">
        <v>5782</v>
      </c>
      <c r="D2437" s="3" t="s">
        <v>5099</v>
      </c>
      <c r="E2437" s="3" t="s">
        <v>5672</v>
      </c>
      <c r="F2437" s="3" t="s">
        <v>5744</v>
      </c>
      <c r="G2437" s="10" t="str">
        <f aca="false">HYPERLINK("https://www.inaturalist.org/people/patrickdebeuf","patrickdebeuf")</f>
        <v>patrickdebeuf</v>
      </c>
      <c r="H2437" s="9" t="s">
        <v>13</v>
      </c>
      <c r="I2437" s="9" t="s">
        <v>5783</v>
      </c>
    </row>
    <row r="2438" customFormat="false" ht="15.75" hidden="false" customHeight="false" outlineLevel="0" collapsed="false">
      <c r="B2438" s="7" t="n">
        <v>46222</v>
      </c>
      <c r="C2438" s="3" t="s">
        <v>5784</v>
      </c>
      <c r="D2438" s="3" t="s">
        <v>5099</v>
      </c>
      <c r="E2438" s="3" t="s">
        <v>5672</v>
      </c>
      <c r="F2438" s="3" t="s">
        <v>5744</v>
      </c>
      <c r="G2438" s="10" t="str">
        <f aca="false">HYPERLINK("https://www.inaturalist.org/people/patrickdebeuf","patrickdebeuf")</f>
        <v>patrickdebeuf</v>
      </c>
      <c r="H2438" s="9" t="s">
        <v>13</v>
      </c>
      <c r="I2438" s="9" t="s">
        <v>5785</v>
      </c>
    </row>
    <row r="2439" customFormat="false" ht="15.75" hidden="false" customHeight="false" outlineLevel="0" collapsed="false">
      <c r="B2439" s="7" t="n">
        <v>46222</v>
      </c>
      <c r="C2439" s="3" t="s">
        <v>5786</v>
      </c>
      <c r="D2439" s="3" t="s">
        <v>5099</v>
      </c>
      <c r="E2439" s="3" t="s">
        <v>5672</v>
      </c>
      <c r="F2439" s="3" t="s">
        <v>5744</v>
      </c>
      <c r="G2439" s="10" t="str">
        <f aca="false">HYPERLINK("https://www.inaturalist.org/people/denisnikitenko","denisnikitenko")</f>
        <v>denisnikitenko</v>
      </c>
      <c r="H2439" s="9" t="s">
        <v>13</v>
      </c>
      <c r="I2439" s="9" t="s">
        <v>5787</v>
      </c>
    </row>
    <row r="2440" customFormat="false" ht="15.75" hidden="false" customHeight="false" outlineLevel="0" collapsed="false">
      <c r="B2440" s="7" t="n">
        <v>46222</v>
      </c>
      <c r="C2440" s="3" t="s">
        <v>5788</v>
      </c>
      <c r="D2440" s="3" t="s">
        <v>5099</v>
      </c>
      <c r="E2440" s="3" t="s">
        <v>5672</v>
      </c>
      <c r="F2440" s="3" t="s">
        <v>5744</v>
      </c>
      <c r="G2440" s="10" t="str">
        <f aca="false">HYPERLINK("https://www.inaturalist.org/people/denisnikitenko","denisnikitenko")</f>
        <v>denisnikitenko</v>
      </c>
      <c r="H2440" s="9" t="s">
        <v>13</v>
      </c>
      <c r="I2440" s="9" t="s">
        <v>5789</v>
      </c>
    </row>
    <row r="2441" customFormat="false" ht="15.75" hidden="false" customHeight="false" outlineLevel="0" collapsed="false">
      <c r="B2441" s="7" t="n">
        <v>46222</v>
      </c>
      <c r="C2441" s="3" t="s">
        <v>5790</v>
      </c>
      <c r="D2441" s="3" t="s">
        <v>5099</v>
      </c>
      <c r="E2441" s="3" t="s">
        <v>5672</v>
      </c>
      <c r="F2441" s="3" t="s">
        <v>5744</v>
      </c>
      <c r="G2441" s="10" t="str">
        <f aca="false">HYPERLINK("https://www.inaturalist.org/people/lwestgeest1955","lwestgeest1955")</f>
        <v>lwestgeest1955</v>
      </c>
      <c r="H2441" s="9" t="s">
        <v>13</v>
      </c>
      <c r="I2441" s="9" t="s">
        <v>5791</v>
      </c>
    </row>
    <row r="2442" customFormat="false" ht="15.75" hidden="false" customHeight="false" outlineLevel="0" collapsed="false">
      <c r="B2442" s="7" t="n">
        <v>46222</v>
      </c>
      <c r="C2442" s="3" t="s">
        <v>5792</v>
      </c>
      <c r="D2442" s="3" t="s">
        <v>5099</v>
      </c>
      <c r="E2442" s="3" t="s">
        <v>5672</v>
      </c>
      <c r="F2442" s="3" t="s">
        <v>5744</v>
      </c>
      <c r="G2442" s="10" t="str">
        <f aca="false">HYPERLINK("https://www.inaturalist.org/people/kenbehrens","kenbehrens")</f>
        <v>kenbehrens</v>
      </c>
      <c r="H2442" s="9" t="s">
        <v>13</v>
      </c>
      <c r="I2442" s="9" t="s">
        <v>5793</v>
      </c>
    </row>
    <row r="2443" customFormat="false" ht="15.75" hidden="false" customHeight="false" outlineLevel="0" collapsed="false">
      <c r="B2443" s="7" t="n">
        <v>46222</v>
      </c>
      <c r="C2443" s="3" t="s">
        <v>5794</v>
      </c>
      <c r="D2443" s="3" t="s">
        <v>5099</v>
      </c>
      <c r="E2443" s="3" t="s">
        <v>5672</v>
      </c>
      <c r="F2443" s="3" t="s">
        <v>5744</v>
      </c>
      <c r="G2443" s="10" t="str">
        <f aca="false">HYPERLINK("https://www.inaturalist.org/people/kenbehrens","kenbehrens")</f>
        <v>kenbehrens</v>
      </c>
      <c r="H2443" s="9" t="s">
        <v>13</v>
      </c>
      <c r="I2443" s="9" t="s">
        <v>5795</v>
      </c>
    </row>
    <row r="2444" customFormat="false" ht="15.75" hidden="false" customHeight="false" outlineLevel="0" collapsed="false">
      <c r="B2444" s="7" t="n">
        <v>46222</v>
      </c>
      <c r="C2444" s="3" t="s">
        <v>5796</v>
      </c>
      <c r="D2444" s="3" t="s">
        <v>5099</v>
      </c>
      <c r="E2444" s="3" t="s">
        <v>5672</v>
      </c>
      <c r="F2444" s="3" t="s">
        <v>5744</v>
      </c>
      <c r="G2444" s="10" t="str">
        <f aca="false">HYPERLINK("https://www.inaturalist.org/people/victoria_cuthbert","victoria_cuthbert")</f>
        <v>victoria_cuthbert</v>
      </c>
      <c r="H2444" s="9" t="s">
        <v>13</v>
      </c>
      <c r="I2444" s="9" t="s">
        <v>5797</v>
      </c>
    </row>
    <row r="2445" customFormat="false" ht="15.75" hidden="false" customHeight="false" outlineLevel="0" collapsed="false">
      <c r="B2445" s="7" t="n">
        <v>46222</v>
      </c>
      <c r="C2445" s="3" t="s">
        <v>5798</v>
      </c>
      <c r="D2445" s="3" t="s">
        <v>5099</v>
      </c>
      <c r="E2445" s="3" t="s">
        <v>5672</v>
      </c>
      <c r="F2445" s="3" t="s">
        <v>5744</v>
      </c>
      <c r="G2445" s="10" t="str">
        <f aca="false">HYPERLINK("https://www.inaturalist.org/people/victoria_cuthbert","victoria_cuthbert")</f>
        <v>victoria_cuthbert</v>
      </c>
      <c r="H2445" s="9" t="s">
        <v>13</v>
      </c>
      <c r="I2445" s="9" t="s">
        <v>5799</v>
      </c>
    </row>
    <row r="2446" customFormat="false" ht="15.75" hidden="false" customHeight="false" outlineLevel="0" collapsed="false">
      <c r="B2446" s="7" t="n">
        <v>46222</v>
      </c>
      <c r="C2446" s="3" t="s">
        <v>5800</v>
      </c>
      <c r="D2446" s="3" t="s">
        <v>5099</v>
      </c>
      <c r="E2446" s="3" t="s">
        <v>5672</v>
      </c>
      <c r="F2446" s="3" t="s">
        <v>5744</v>
      </c>
      <c r="G2446" s="10" t="str">
        <f aca="false">HYPERLINK("https://www.inaturalist.org/people/victoria_cuthbert","victoria_cuthbert")</f>
        <v>victoria_cuthbert</v>
      </c>
      <c r="H2446" s="9" t="s">
        <v>13</v>
      </c>
      <c r="I2446" s="9" t="s">
        <v>5801</v>
      </c>
    </row>
    <row r="2447" customFormat="false" ht="15.75" hidden="false" customHeight="false" outlineLevel="0" collapsed="false">
      <c r="B2447" s="7" t="n">
        <v>46222</v>
      </c>
      <c r="C2447" s="3" t="s">
        <v>5802</v>
      </c>
      <c r="D2447" s="3" t="s">
        <v>5099</v>
      </c>
      <c r="E2447" s="3" t="s">
        <v>5672</v>
      </c>
      <c r="F2447" s="3" t="s">
        <v>5744</v>
      </c>
      <c r="G2447" s="10" t="str">
        <f aca="false">HYPERLINK("https://www.inaturalist.org/people/pkocare1","pkocare1")</f>
        <v>pkocare1</v>
      </c>
      <c r="H2447" s="9" t="s">
        <v>13</v>
      </c>
      <c r="I2447" s="9" t="s">
        <v>5803</v>
      </c>
    </row>
    <row r="2448" customFormat="false" ht="15.75" hidden="false" customHeight="false" outlineLevel="0" collapsed="false">
      <c r="B2448" s="7" t="n">
        <v>46222</v>
      </c>
      <c r="C2448" s="3" t="s">
        <v>5804</v>
      </c>
      <c r="D2448" s="3" t="s">
        <v>5099</v>
      </c>
      <c r="E2448" s="3" t="s">
        <v>5672</v>
      </c>
      <c r="F2448" s="3" t="s">
        <v>5744</v>
      </c>
      <c r="G2448" s="10" t="str">
        <f aca="false">HYPERLINK("https://www.inaturalist.org/people/pkocare1","pkocare1")</f>
        <v>pkocare1</v>
      </c>
      <c r="H2448" s="9" t="s">
        <v>13</v>
      </c>
      <c r="I2448" s="9" t="s">
        <v>5805</v>
      </c>
    </row>
    <row r="2449" customFormat="false" ht="15.75" hidden="false" customHeight="false" outlineLevel="0" collapsed="false">
      <c r="B2449" s="7" t="n">
        <v>46222</v>
      </c>
      <c r="C2449" s="3" t="s">
        <v>5806</v>
      </c>
      <c r="D2449" s="3" t="s">
        <v>5099</v>
      </c>
      <c r="E2449" s="3" t="s">
        <v>5672</v>
      </c>
      <c r="F2449" s="3" t="s">
        <v>5744</v>
      </c>
      <c r="G2449" s="10" t="str">
        <f aca="false">HYPERLINK("https://www.inaturalist.org/people/pkocare1","pkocare1")</f>
        <v>pkocare1</v>
      </c>
      <c r="H2449" s="9" t="s">
        <v>13</v>
      </c>
      <c r="I2449" s="9" t="s">
        <v>5807</v>
      </c>
    </row>
    <row r="2450" customFormat="false" ht="15.75" hidden="false" customHeight="false" outlineLevel="0" collapsed="false">
      <c r="B2450" s="7" t="n">
        <v>46222</v>
      </c>
      <c r="C2450" s="3" t="s">
        <v>5808</v>
      </c>
      <c r="D2450" s="3" t="s">
        <v>5099</v>
      </c>
      <c r="E2450" s="3" t="s">
        <v>5672</v>
      </c>
      <c r="F2450" s="3" t="s">
        <v>5744</v>
      </c>
      <c r="G2450" s="10" t="str">
        <f aca="false">HYPERLINK("https://www.inaturalist.org/people/matis_mallocher","matis_mallocher")</f>
        <v>matis_mallocher</v>
      </c>
      <c r="H2450" s="9" t="s">
        <v>13</v>
      </c>
      <c r="I2450" s="9" t="s">
        <v>5809</v>
      </c>
    </row>
    <row r="2451" customFormat="false" ht="15.75" hidden="false" customHeight="false" outlineLevel="0" collapsed="false">
      <c r="B2451" s="7" t="n">
        <v>46222</v>
      </c>
      <c r="C2451" s="3" t="s">
        <v>5810</v>
      </c>
      <c r="D2451" s="3" t="s">
        <v>5099</v>
      </c>
      <c r="E2451" s="3" t="s">
        <v>5672</v>
      </c>
      <c r="F2451" s="3" t="s">
        <v>5744</v>
      </c>
      <c r="G2451" s="10" t="str">
        <f aca="false">HYPERLINK("https://www.inaturalist.org/people/matis_mallocher","matis_mallocher")</f>
        <v>matis_mallocher</v>
      </c>
      <c r="H2451" s="9" t="s">
        <v>13</v>
      </c>
      <c r="I2451" s="9" t="s">
        <v>5811</v>
      </c>
    </row>
    <row r="2452" customFormat="false" ht="15.75" hidden="false" customHeight="false" outlineLevel="0" collapsed="false">
      <c r="B2452" s="7" t="n">
        <v>46222</v>
      </c>
      <c r="C2452" s="3" t="s">
        <v>5812</v>
      </c>
      <c r="D2452" s="3" t="s">
        <v>5099</v>
      </c>
      <c r="E2452" s="3" t="s">
        <v>5672</v>
      </c>
      <c r="F2452" s="3" t="s">
        <v>5744</v>
      </c>
      <c r="G2452" s="10" t="str">
        <f aca="false">HYPERLINK("https://www.inaturalist.org/people/etsukokurokawa","etsukokurokawa")</f>
        <v>etsukokurokawa</v>
      </c>
      <c r="H2452" s="9" t="s">
        <v>13</v>
      </c>
      <c r="I2452" s="9" t="s">
        <v>5813</v>
      </c>
    </row>
    <row r="2453" customFormat="false" ht="15.75" hidden="false" customHeight="false" outlineLevel="0" collapsed="false">
      <c r="B2453" s="7" t="n">
        <v>46222</v>
      </c>
      <c r="C2453" s="3" t="s">
        <v>5814</v>
      </c>
      <c r="D2453" s="3" t="s">
        <v>5099</v>
      </c>
      <c r="E2453" s="3" t="s">
        <v>5815</v>
      </c>
      <c r="F2453" s="3" t="s">
        <v>5816</v>
      </c>
      <c r="G2453" s="10" t="str">
        <f aca="false">HYPERLINK("https://www.inaturalist.org/people/ivancastellanos77920","ivancastellanos77920")</f>
        <v>ivancastellanos77920</v>
      </c>
      <c r="H2453" s="9" t="s">
        <v>13</v>
      </c>
      <c r="I2453" s="9" t="s">
        <v>5817</v>
      </c>
    </row>
    <row r="2454" customFormat="false" ht="15.75" hidden="false" customHeight="false" outlineLevel="0" collapsed="false">
      <c r="B2454" s="7" t="n">
        <v>46222</v>
      </c>
      <c r="C2454" s="3" t="s">
        <v>5818</v>
      </c>
      <c r="D2454" s="3" t="s">
        <v>5099</v>
      </c>
      <c r="E2454" s="3" t="s">
        <v>5815</v>
      </c>
      <c r="F2454" s="3" t="s">
        <v>5816</v>
      </c>
      <c r="G2454" s="10" t="str">
        <f aca="false">HYPERLINK("https://www.inaturalist.org/people/hectorsando","hectorsando")</f>
        <v>hectorsando</v>
      </c>
      <c r="H2454" s="9" t="s">
        <v>13</v>
      </c>
      <c r="I2454" s="9" t="s">
        <v>5819</v>
      </c>
    </row>
    <row r="2455" customFormat="false" ht="15.75" hidden="false" customHeight="false" outlineLevel="0" collapsed="false">
      <c r="B2455" s="7" t="n">
        <v>46222</v>
      </c>
      <c r="C2455" s="3" t="s">
        <v>5820</v>
      </c>
      <c r="D2455" s="3" t="s">
        <v>5099</v>
      </c>
      <c r="E2455" s="3" t="s">
        <v>5815</v>
      </c>
      <c r="F2455" s="3" t="s">
        <v>5816</v>
      </c>
      <c r="G2455" s="10" t="str">
        <f aca="false">HYPERLINK("https://www.inaturalist.org/people/eddy20636","eddy20636")</f>
        <v>eddy20636</v>
      </c>
      <c r="H2455" s="9" t="s">
        <v>13</v>
      </c>
      <c r="I2455" s="9" t="s">
        <v>5821</v>
      </c>
    </row>
    <row r="2456" customFormat="false" ht="15.75" hidden="false" customHeight="false" outlineLevel="0" collapsed="false">
      <c r="B2456" s="7" t="n">
        <v>46222</v>
      </c>
      <c r="C2456" s="3" t="s">
        <v>5822</v>
      </c>
      <c r="D2456" s="3" t="s">
        <v>5099</v>
      </c>
      <c r="E2456" s="3" t="s">
        <v>5815</v>
      </c>
      <c r="F2456" s="3" t="s">
        <v>5816</v>
      </c>
      <c r="G2456" s="10" t="str">
        <f aca="false">HYPERLINK("https://www.inaturalist.org/people/luisverdin","luisverdin")</f>
        <v>luisverdin</v>
      </c>
      <c r="H2456" s="9" t="s">
        <v>13</v>
      </c>
      <c r="I2456" s="9" t="s">
        <v>5823</v>
      </c>
    </row>
    <row r="2457" customFormat="false" ht="15.75" hidden="false" customHeight="false" outlineLevel="0" collapsed="false">
      <c r="B2457" s="7" t="n">
        <v>46222</v>
      </c>
      <c r="C2457" s="3" t="s">
        <v>5824</v>
      </c>
      <c r="D2457" s="3" t="s">
        <v>5099</v>
      </c>
      <c r="E2457" s="3" t="s">
        <v>5815</v>
      </c>
      <c r="F2457" s="3" t="s">
        <v>5816</v>
      </c>
      <c r="G2457" s="10" t="str">
        <f aca="false">HYPERLINK("https://www.inaturalist.org/people/olser1983","olser1983")</f>
        <v>olser1983</v>
      </c>
      <c r="H2457" s="9" t="s">
        <v>13</v>
      </c>
      <c r="I2457" s="9" t="s">
        <v>5825</v>
      </c>
    </row>
    <row r="2458" customFormat="false" ht="15.75" hidden="false" customHeight="false" outlineLevel="0" collapsed="false">
      <c r="B2458" s="7" t="n">
        <v>46222</v>
      </c>
      <c r="C2458" s="3" t="s">
        <v>5826</v>
      </c>
      <c r="D2458" s="3" t="s">
        <v>5099</v>
      </c>
      <c r="E2458" s="3" t="s">
        <v>5815</v>
      </c>
      <c r="F2458" s="3" t="s">
        <v>5816</v>
      </c>
      <c r="G2458" s="10" t="str">
        <f aca="false">HYPERLINK("https://www.inaturalist.org/people/eldaaurora","eldaaurora")</f>
        <v>eldaaurora</v>
      </c>
      <c r="H2458" s="9" t="s">
        <v>13</v>
      </c>
      <c r="I2458" s="9" t="s">
        <v>5827</v>
      </c>
    </row>
    <row r="2459" customFormat="false" ht="15.75" hidden="false" customHeight="false" outlineLevel="0" collapsed="false">
      <c r="B2459" s="7" t="n">
        <v>46222</v>
      </c>
      <c r="C2459" s="3" t="s">
        <v>5828</v>
      </c>
      <c r="D2459" s="3" t="s">
        <v>5099</v>
      </c>
      <c r="E2459" s="3" t="s">
        <v>5815</v>
      </c>
      <c r="F2459" s="3" t="s">
        <v>5816</v>
      </c>
      <c r="G2459" s="10" t="str">
        <f aca="false">HYPERLINK("https://www.inaturalist.org/people/jauregui","jauregui")</f>
        <v>jauregui</v>
      </c>
      <c r="H2459" s="9" t="s">
        <v>13</v>
      </c>
      <c r="I2459" s="9" t="s">
        <v>5829</v>
      </c>
    </row>
    <row r="2460" customFormat="false" ht="15.75" hidden="false" customHeight="false" outlineLevel="0" collapsed="false">
      <c r="B2460" s="7" t="n">
        <v>46222</v>
      </c>
      <c r="C2460" s="3" t="s">
        <v>5830</v>
      </c>
      <c r="D2460" s="3" t="s">
        <v>5099</v>
      </c>
      <c r="E2460" s="3" t="s">
        <v>5815</v>
      </c>
      <c r="F2460" s="3" t="s">
        <v>5816</v>
      </c>
      <c r="G2460" s="10" t="str">
        <f aca="false">HYPERLINK("https://www.inaturalist.org/people/nathanzrate","nathanzrate")</f>
        <v>nathanzrate</v>
      </c>
      <c r="H2460" s="9" t="s">
        <v>13</v>
      </c>
      <c r="I2460" s="9" t="s">
        <v>5831</v>
      </c>
    </row>
    <row r="2461" customFormat="false" ht="15.75" hidden="false" customHeight="false" outlineLevel="0" collapsed="false">
      <c r="B2461" s="7" t="n">
        <v>46222</v>
      </c>
      <c r="C2461" s="3" t="s">
        <v>5832</v>
      </c>
      <c r="D2461" s="3" t="s">
        <v>5099</v>
      </c>
      <c r="E2461" s="3" t="s">
        <v>5815</v>
      </c>
      <c r="F2461" s="3" t="s">
        <v>5816</v>
      </c>
      <c r="G2461" s="10" t="str">
        <f aca="false">HYPERLINK("https://www.inaturalist.org/people/kuadra2012","kuadra2012")</f>
        <v>kuadra2012</v>
      </c>
      <c r="H2461" s="9" t="s">
        <v>13</v>
      </c>
      <c r="I2461" s="9" t="s">
        <v>5833</v>
      </c>
    </row>
    <row r="2462" customFormat="false" ht="15.75" hidden="false" customHeight="false" outlineLevel="0" collapsed="false">
      <c r="B2462" s="7" t="n">
        <v>46222</v>
      </c>
      <c r="C2462" s="3" t="s">
        <v>5834</v>
      </c>
      <c r="D2462" s="3" t="s">
        <v>5099</v>
      </c>
      <c r="E2462" s="3" t="s">
        <v>5815</v>
      </c>
      <c r="F2462" s="3" t="s">
        <v>5816</v>
      </c>
      <c r="G2462" s="10" t="str">
        <f aca="false">HYPERLINK("https://www.inaturalist.org/people/clarissa-ch","clarissa-ch")</f>
        <v>clarissa-ch</v>
      </c>
      <c r="H2462" s="9" t="s">
        <v>13</v>
      </c>
      <c r="I2462" s="9" t="s">
        <v>5835</v>
      </c>
    </row>
    <row r="2463" customFormat="false" ht="15.75" hidden="false" customHeight="false" outlineLevel="0" collapsed="false">
      <c r="B2463" s="7" t="n">
        <v>46222</v>
      </c>
      <c r="C2463" s="3" t="s">
        <v>5836</v>
      </c>
      <c r="D2463" s="3" t="s">
        <v>5099</v>
      </c>
      <c r="E2463" s="3" t="s">
        <v>5815</v>
      </c>
      <c r="F2463" s="3" t="s">
        <v>5816</v>
      </c>
      <c r="G2463" s="10" t="str">
        <f aca="false">HYPERLINK("https://www.inaturalist.org/people/paulmtz24","paulmtz24")</f>
        <v>paulmtz24</v>
      </c>
      <c r="H2463" s="9" t="s">
        <v>13</v>
      </c>
      <c r="I2463" s="9" t="s">
        <v>5837</v>
      </c>
    </row>
    <row r="2464" customFormat="false" ht="15.75" hidden="false" customHeight="false" outlineLevel="0" collapsed="false">
      <c r="B2464" s="7" t="n">
        <v>46222</v>
      </c>
      <c r="C2464" s="3" t="s">
        <v>5838</v>
      </c>
      <c r="D2464" s="3" t="s">
        <v>5099</v>
      </c>
      <c r="E2464" s="3" t="s">
        <v>5815</v>
      </c>
      <c r="F2464" s="3" t="s">
        <v>5816</v>
      </c>
      <c r="G2464" s="10" t="str">
        <f aca="false">HYPERLINK("https://www.inaturalist.org/people/ivancastellanos77920","ivancastellanos77920")</f>
        <v>ivancastellanos77920</v>
      </c>
      <c r="H2464" s="9" t="s">
        <v>13</v>
      </c>
      <c r="I2464" s="9" t="s">
        <v>5839</v>
      </c>
    </row>
    <row r="2465" customFormat="false" ht="15.75" hidden="false" customHeight="false" outlineLevel="0" collapsed="false">
      <c r="B2465" s="7" t="n">
        <v>46222</v>
      </c>
      <c r="C2465" s="3" t="s">
        <v>5840</v>
      </c>
      <c r="D2465" s="3" t="s">
        <v>5099</v>
      </c>
      <c r="E2465" s="3" t="s">
        <v>5815</v>
      </c>
      <c r="F2465" s="3" t="s">
        <v>5816</v>
      </c>
      <c r="G2465" s="10" t="str">
        <f aca="false">HYPERLINK("https://www.inaturalist.org/people/fannymay","fannymay")</f>
        <v>fannymay</v>
      </c>
      <c r="H2465" s="9" t="s">
        <v>13</v>
      </c>
      <c r="I2465" s="9" t="s">
        <v>5841</v>
      </c>
    </row>
    <row r="2466" customFormat="false" ht="15.75" hidden="false" customHeight="false" outlineLevel="0" collapsed="false">
      <c r="B2466" s="7" t="n">
        <v>46222</v>
      </c>
      <c r="C2466" s="3" t="s">
        <v>5842</v>
      </c>
      <c r="D2466" s="3" t="s">
        <v>5099</v>
      </c>
      <c r="E2466" s="3" t="s">
        <v>5815</v>
      </c>
      <c r="F2466" s="3" t="s">
        <v>5816</v>
      </c>
      <c r="G2466" s="10" t="str">
        <f aca="false">HYPERLINK("https://www.inaturalist.org/people/alf_auerbach","alf_auerbach")</f>
        <v>alf_auerbach</v>
      </c>
      <c r="H2466" s="9" t="s">
        <v>13</v>
      </c>
      <c r="I2466" s="9" t="s">
        <v>5843</v>
      </c>
    </row>
    <row r="2467" customFormat="false" ht="15.75" hidden="false" customHeight="false" outlineLevel="0" collapsed="false">
      <c r="B2467" s="7" t="n">
        <v>46222</v>
      </c>
      <c r="C2467" s="3" t="s">
        <v>5844</v>
      </c>
      <c r="D2467" s="3" t="s">
        <v>5099</v>
      </c>
      <c r="E2467" s="3" t="s">
        <v>5815</v>
      </c>
      <c r="F2467" s="3" t="s">
        <v>5816</v>
      </c>
      <c r="G2467" s="10" t="str">
        <f aca="false">HYPERLINK("https://www.inaturalist.org/people/hectorsando","hectorsando")</f>
        <v>hectorsando</v>
      </c>
      <c r="H2467" s="9" t="s">
        <v>13</v>
      </c>
      <c r="I2467" s="9" t="s">
        <v>5845</v>
      </c>
    </row>
    <row r="2468" customFormat="false" ht="15.75" hidden="false" customHeight="false" outlineLevel="0" collapsed="false">
      <c r="B2468" s="7" t="n">
        <v>46222</v>
      </c>
      <c r="C2468" s="3" t="s">
        <v>5846</v>
      </c>
      <c r="D2468" s="3" t="s">
        <v>5099</v>
      </c>
      <c r="E2468" s="3" t="s">
        <v>5815</v>
      </c>
      <c r="F2468" s="3" t="s">
        <v>5816</v>
      </c>
      <c r="G2468" s="10" t="str">
        <f aca="false">HYPERLINK("https://www.inaturalist.org/people/alejandra_zam","alejandra_zam")</f>
        <v>alejandra_zam</v>
      </c>
      <c r="H2468" s="9" t="s">
        <v>13</v>
      </c>
      <c r="I2468" s="9" t="s">
        <v>5847</v>
      </c>
    </row>
    <row r="2469" customFormat="false" ht="15.75" hidden="false" customHeight="false" outlineLevel="0" collapsed="false">
      <c r="B2469" s="7" t="n">
        <v>46222</v>
      </c>
      <c r="C2469" s="3" t="s">
        <v>5848</v>
      </c>
      <c r="D2469" s="3" t="s">
        <v>5099</v>
      </c>
      <c r="E2469" s="3" t="s">
        <v>5815</v>
      </c>
      <c r="F2469" s="3" t="s">
        <v>5816</v>
      </c>
      <c r="G2469" s="10" t="str">
        <f aca="false">HYPERLINK("https://www.inaturalist.org/people/zak_nicol2005","zak_nicol2005")</f>
        <v>zak_nicol2005</v>
      </c>
      <c r="H2469" s="9" t="s">
        <v>13</v>
      </c>
      <c r="I2469" s="9" t="s">
        <v>5849</v>
      </c>
    </row>
    <row r="2470" customFormat="false" ht="15.75" hidden="false" customHeight="false" outlineLevel="0" collapsed="false">
      <c r="B2470" s="7" t="n">
        <v>46222</v>
      </c>
      <c r="C2470" s="3" t="s">
        <v>5850</v>
      </c>
      <c r="D2470" s="3" t="s">
        <v>5099</v>
      </c>
      <c r="E2470" s="3" t="s">
        <v>5815</v>
      </c>
      <c r="F2470" s="3" t="s">
        <v>5816</v>
      </c>
      <c r="G2470" s="10" t="str">
        <f aca="false">HYPERLINK("https://www.inaturalist.org/people/grevaladez","grevaladez")</f>
        <v>grevaladez</v>
      </c>
      <c r="H2470" s="9" t="s">
        <v>13</v>
      </c>
      <c r="I2470" s="9" t="s">
        <v>5851</v>
      </c>
    </row>
    <row r="2471" customFormat="false" ht="15.75" hidden="false" customHeight="false" outlineLevel="0" collapsed="false">
      <c r="B2471" s="7" t="n">
        <v>46222</v>
      </c>
      <c r="C2471" s="3" t="s">
        <v>5852</v>
      </c>
      <c r="D2471" s="3" t="s">
        <v>5099</v>
      </c>
      <c r="E2471" s="3" t="s">
        <v>5815</v>
      </c>
      <c r="F2471" s="3" t="s">
        <v>5816</v>
      </c>
      <c r="G2471" s="10" t="str">
        <f aca="false">HYPERLINK("https://www.inaturalist.org/people/mariana_ranchlife","mariana_ranchlife")</f>
        <v>mariana_ranchlife</v>
      </c>
      <c r="H2471" s="9" t="s">
        <v>13</v>
      </c>
      <c r="I2471" s="9" t="s">
        <v>5853</v>
      </c>
    </row>
    <row r="2472" customFormat="false" ht="15.75" hidden="false" customHeight="false" outlineLevel="0" collapsed="false">
      <c r="B2472" s="7" t="n">
        <v>46222</v>
      </c>
      <c r="C2472" s="3" t="s">
        <v>5854</v>
      </c>
      <c r="D2472" s="3" t="s">
        <v>5099</v>
      </c>
      <c r="E2472" s="3" t="s">
        <v>5815</v>
      </c>
      <c r="F2472" s="3" t="s">
        <v>5816</v>
      </c>
      <c r="G2472" s="10" t="str">
        <f aca="false">HYPERLINK("https://www.inaturalist.org/people/sharky_palacios","sharky_palacios")</f>
        <v>sharky_palacios</v>
      </c>
      <c r="H2472" s="9" t="s">
        <v>13</v>
      </c>
      <c r="I2472" s="9" t="s">
        <v>5855</v>
      </c>
    </row>
    <row r="2473" customFormat="false" ht="15.75" hidden="false" customHeight="false" outlineLevel="0" collapsed="false">
      <c r="B2473" s="7" t="n">
        <v>46222</v>
      </c>
      <c r="C2473" s="3" t="s">
        <v>5856</v>
      </c>
      <c r="D2473" s="3" t="s">
        <v>5099</v>
      </c>
      <c r="E2473" s="3" t="s">
        <v>5815</v>
      </c>
      <c r="F2473" s="3" t="s">
        <v>5816</v>
      </c>
      <c r="G2473" s="10" t="str">
        <f aca="false">HYPERLINK("https://www.inaturalist.org/people/erandiceza31","erandiceza31")</f>
        <v>erandiceza31</v>
      </c>
      <c r="H2473" s="9" t="s">
        <v>13</v>
      </c>
      <c r="I2473" s="9" t="s">
        <v>5857</v>
      </c>
    </row>
    <row r="2474" customFormat="false" ht="15.75" hidden="false" customHeight="false" outlineLevel="0" collapsed="false">
      <c r="B2474" s="7" t="n">
        <v>46222</v>
      </c>
      <c r="C2474" s="3" t="s">
        <v>5858</v>
      </c>
      <c r="D2474" s="3" t="s">
        <v>5099</v>
      </c>
      <c r="E2474" s="3" t="s">
        <v>5815</v>
      </c>
      <c r="F2474" s="3" t="s">
        <v>5816</v>
      </c>
      <c r="G2474" s="10" t="str">
        <f aca="false">HYPERLINK("https://www.inaturalist.org/people/carolyn1012","carolyn1012")</f>
        <v>carolyn1012</v>
      </c>
      <c r="H2474" s="9" t="s">
        <v>13</v>
      </c>
      <c r="I2474" s="9" t="s">
        <v>5859</v>
      </c>
    </row>
    <row r="2475" customFormat="false" ht="15.75" hidden="false" customHeight="false" outlineLevel="0" collapsed="false">
      <c r="B2475" s="7" t="n">
        <v>46222</v>
      </c>
      <c r="C2475" s="3" t="s">
        <v>5860</v>
      </c>
      <c r="D2475" s="3" t="s">
        <v>5099</v>
      </c>
      <c r="E2475" s="3" t="s">
        <v>5815</v>
      </c>
      <c r="F2475" s="3" t="s">
        <v>5816</v>
      </c>
      <c r="G2475" s="10" t="str">
        <f aca="false">HYPERLINK("https://www.inaturalist.org/people/marcosbora","marcosbora")</f>
        <v>marcosbora</v>
      </c>
      <c r="H2475" s="9" t="s">
        <v>13</v>
      </c>
      <c r="I2475" s="9" t="s">
        <v>5861</v>
      </c>
    </row>
    <row r="2476" customFormat="false" ht="15.75" hidden="false" customHeight="false" outlineLevel="0" collapsed="false">
      <c r="B2476" s="7" t="n">
        <v>46222</v>
      </c>
      <c r="C2476" s="3" t="s">
        <v>5862</v>
      </c>
      <c r="D2476" s="3" t="s">
        <v>5099</v>
      </c>
      <c r="E2476" s="3" t="s">
        <v>5815</v>
      </c>
      <c r="F2476" s="3" t="s">
        <v>5816</v>
      </c>
      <c r="G2476" s="10" t="str">
        <f aca="false">HYPERLINK("https://www.inaturalist.org/people/axelvasquez20","axelvasquez20")</f>
        <v>axelvasquez20</v>
      </c>
      <c r="H2476" s="9" t="s">
        <v>13</v>
      </c>
      <c r="I2476" s="9" t="s">
        <v>5863</v>
      </c>
    </row>
    <row r="2477" customFormat="false" ht="15.75" hidden="false" customHeight="false" outlineLevel="0" collapsed="false">
      <c r="B2477" s="7" t="n">
        <v>46222</v>
      </c>
      <c r="C2477" s="3" t="s">
        <v>5864</v>
      </c>
      <c r="D2477" s="3" t="s">
        <v>5099</v>
      </c>
      <c r="E2477" s="3" t="s">
        <v>5815</v>
      </c>
      <c r="F2477" s="3" t="s">
        <v>5816</v>
      </c>
      <c r="G2477" s="10" t="str">
        <f aca="false">HYPERLINK("https://www.inaturalist.org/people/sansores_josecarlos","sansores_josecarlos")</f>
        <v>sansores_josecarlos</v>
      </c>
      <c r="H2477" s="9" t="s">
        <v>13</v>
      </c>
      <c r="I2477" s="9" t="s">
        <v>5865</v>
      </c>
    </row>
    <row r="2478" customFormat="false" ht="15.75" hidden="false" customHeight="false" outlineLevel="0" collapsed="false">
      <c r="B2478" s="7" t="n">
        <v>46222</v>
      </c>
      <c r="C2478" s="3" t="s">
        <v>5866</v>
      </c>
      <c r="D2478" s="3" t="s">
        <v>5099</v>
      </c>
      <c r="E2478" s="3" t="s">
        <v>5815</v>
      </c>
      <c r="F2478" s="3" t="s">
        <v>5816</v>
      </c>
      <c r="G2478" s="10" t="str">
        <f aca="false">HYPERLINK("https://www.inaturalist.org/people/nickvolpe","nickvolpe")</f>
        <v>nickvolpe</v>
      </c>
      <c r="H2478" s="9" t="s">
        <v>13</v>
      </c>
      <c r="I2478" s="9" t="s">
        <v>5867</v>
      </c>
    </row>
    <row r="2479" customFormat="false" ht="15.75" hidden="false" customHeight="false" outlineLevel="0" collapsed="false">
      <c r="B2479" s="7" t="n">
        <v>46222</v>
      </c>
      <c r="C2479" s="3" t="s">
        <v>5868</v>
      </c>
      <c r="D2479" s="3" t="s">
        <v>5099</v>
      </c>
      <c r="E2479" s="3" t="s">
        <v>5815</v>
      </c>
      <c r="F2479" s="3" t="s">
        <v>5816</v>
      </c>
      <c r="G2479" s="10" t="str">
        <f aca="false">HYPERLINK("https://www.inaturalist.org/people/ivancastellanos77920","ivancastellanos77920")</f>
        <v>ivancastellanos77920</v>
      </c>
      <c r="H2479" s="9" t="s">
        <v>13</v>
      </c>
      <c r="I2479" s="9" t="s">
        <v>5869</v>
      </c>
    </row>
    <row r="2480" customFormat="false" ht="15.75" hidden="false" customHeight="false" outlineLevel="0" collapsed="false">
      <c r="B2480" s="7" t="n">
        <v>46222</v>
      </c>
      <c r="C2480" s="3" t="s">
        <v>5870</v>
      </c>
      <c r="D2480" s="3" t="s">
        <v>5099</v>
      </c>
      <c r="E2480" s="3" t="s">
        <v>5815</v>
      </c>
      <c r="F2480" s="3" t="s">
        <v>5816</v>
      </c>
      <c r="G2480" s="10" t="str">
        <f aca="false">HYPERLINK("https://www.inaturalist.org/people/gabrielleariceaga","gabrielleariceaga")</f>
        <v>gabrielleariceaga</v>
      </c>
      <c r="H2480" s="9" t="s">
        <v>13</v>
      </c>
      <c r="I2480" s="9" t="s">
        <v>5871</v>
      </c>
    </row>
    <row r="2481" customFormat="false" ht="15.75" hidden="false" customHeight="false" outlineLevel="0" collapsed="false">
      <c r="B2481" s="7" t="n">
        <v>46222</v>
      </c>
      <c r="C2481" s="3" t="s">
        <v>5872</v>
      </c>
      <c r="D2481" s="3" t="s">
        <v>5099</v>
      </c>
      <c r="E2481" s="3" t="s">
        <v>5815</v>
      </c>
      <c r="F2481" s="3" t="s">
        <v>5816</v>
      </c>
      <c r="G2481" s="10" t="str">
        <f aca="false">HYPERLINK("https://www.inaturalist.org/people/gabrielleariceaga","gabrielleariceaga")</f>
        <v>gabrielleariceaga</v>
      </c>
      <c r="H2481" s="9" t="s">
        <v>13</v>
      </c>
      <c r="I2481" s="9" t="s">
        <v>5873</v>
      </c>
    </row>
    <row r="2482" customFormat="false" ht="15.75" hidden="false" customHeight="false" outlineLevel="0" collapsed="false">
      <c r="B2482" s="7" t="n">
        <v>46222</v>
      </c>
      <c r="C2482" s="3" t="s">
        <v>5874</v>
      </c>
      <c r="D2482" s="3" t="s">
        <v>5099</v>
      </c>
      <c r="E2482" s="3" t="s">
        <v>5815</v>
      </c>
      <c r="F2482" s="3" t="s">
        <v>5816</v>
      </c>
      <c r="G2482" s="10" t="str">
        <f aca="false">HYPERLINK("https://www.inaturalist.org/people/ianmonroy","ianmonroy")</f>
        <v>ianmonroy</v>
      </c>
      <c r="H2482" s="9" t="s">
        <v>13</v>
      </c>
      <c r="I2482" s="9" t="s">
        <v>5875</v>
      </c>
    </row>
    <row r="2483" customFormat="false" ht="15.75" hidden="false" customHeight="false" outlineLevel="0" collapsed="false">
      <c r="B2483" s="7" t="n">
        <v>46222</v>
      </c>
      <c r="C2483" s="3" t="s">
        <v>5876</v>
      </c>
      <c r="D2483" s="3" t="s">
        <v>5099</v>
      </c>
      <c r="E2483" s="3" t="s">
        <v>5815</v>
      </c>
      <c r="F2483" s="3" t="s">
        <v>5816</v>
      </c>
      <c r="G2483" s="10" t="str">
        <f aca="false">HYPERLINK("https://www.inaturalist.org/people/paty_ibanez","paty_ibanez")</f>
        <v>paty_ibanez</v>
      </c>
      <c r="H2483" s="9" t="s">
        <v>13</v>
      </c>
      <c r="I2483" s="9" t="s">
        <v>5877</v>
      </c>
    </row>
    <row r="2484" customFormat="false" ht="15.75" hidden="false" customHeight="false" outlineLevel="0" collapsed="false">
      <c r="B2484" s="7" t="n">
        <v>46222</v>
      </c>
      <c r="C2484" s="3" t="s">
        <v>5878</v>
      </c>
      <c r="D2484" s="3" t="s">
        <v>5099</v>
      </c>
      <c r="E2484" s="3" t="s">
        <v>5815</v>
      </c>
      <c r="F2484" s="3" t="s">
        <v>5816</v>
      </c>
      <c r="G2484" s="10" t="str">
        <f aca="false">HYPERLINK("https://www.inaturalist.org/people/lyn_navarrete","lyn_navarrete")</f>
        <v>lyn_navarrete</v>
      </c>
      <c r="H2484" s="9" t="s">
        <v>13</v>
      </c>
      <c r="I2484" s="9" t="s">
        <v>5879</v>
      </c>
    </row>
    <row r="2485" customFormat="false" ht="15.75" hidden="false" customHeight="false" outlineLevel="0" collapsed="false">
      <c r="B2485" s="7" t="n">
        <v>46222</v>
      </c>
      <c r="C2485" s="3" t="s">
        <v>5880</v>
      </c>
      <c r="D2485" s="3" t="s">
        <v>5099</v>
      </c>
      <c r="E2485" s="3" t="s">
        <v>5815</v>
      </c>
      <c r="F2485" s="3" t="s">
        <v>5816</v>
      </c>
      <c r="G2485" s="10" t="str">
        <f aca="false">HYPERLINK("https://www.inaturalist.org/people/franciscanto","franciscanto")</f>
        <v>franciscanto</v>
      </c>
      <c r="H2485" s="9" t="s">
        <v>13</v>
      </c>
      <c r="I2485" s="9" t="s">
        <v>5881</v>
      </c>
    </row>
    <row r="2486" customFormat="false" ht="15.75" hidden="false" customHeight="false" outlineLevel="0" collapsed="false">
      <c r="B2486" s="7" t="n">
        <v>46222</v>
      </c>
      <c r="C2486" s="3" t="s">
        <v>5882</v>
      </c>
      <c r="D2486" s="3" t="s">
        <v>5099</v>
      </c>
      <c r="E2486" s="3" t="s">
        <v>5815</v>
      </c>
      <c r="F2486" s="3" t="s">
        <v>5816</v>
      </c>
      <c r="G2486" s="10" t="str">
        <f aca="false">HYPERLINK("https://www.inaturalist.org/people/sabine52863","sabine52863")</f>
        <v>sabine52863</v>
      </c>
      <c r="H2486" s="9" t="s">
        <v>13</v>
      </c>
      <c r="I2486" s="9" t="s">
        <v>5883</v>
      </c>
    </row>
    <row r="2487" customFormat="false" ht="15.75" hidden="false" customHeight="false" outlineLevel="0" collapsed="false">
      <c r="B2487" s="7" t="n">
        <v>46222</v>
      </c>
      <c r="C2487" s="3" t="s">
        <v>5884</v>
      </c>
      <c r="D2487" s="3" t="s">
        <v>5099</v>
      </c>
      <c r="E2487" s="3" t="s">
        <v>5815</v>
      </c>
      <c r="F2487" s="3" t="s">
        <v>5816</v>
      </c>
      <c r="G2487" s="10" t="str">
        <f aca="false">HYPERLINK("https://www.inaturalist.org/people/axelvasquez20","axelvasquez20")</f>
        <v>axelvasquez20</v>
      </c>
      <c r="H2487" s="9" t="s">
        <v>13</v>
      </c>
      <c r="I2487" s="9" t="s">
        <v>5885</v>
      </c>
    </row>
    <row r="2488" customFormat="false" ht="15.75" hidden="false" customHeight="false" outlineLevel="0" collapsed="false">
      <c r="B2488" s="7" t="n">
        <v>46222</v>
      </c>
      <c r="C2488" s="3" t="s">
        <v>5886</v>
      </c>
      <c r="D2488" s="3" t="s">
        <v>5099</v>
      </c>
      <c r="E2488" s="3" t="s">
        <v>5815</v>
      </c>
      <c r="F2488" s="3" t="s">
        <v>5887</v>
      </c>
      <c r="G2488" s="10" t="str">
        <f aca="false">HYPERLINK("https://www.inaturalist.org/people/leslie1400","leslie1400")</f>
        <v>leslie1400</v>
      </c>
      <c r="H2488" s="9" t="s">
        <v>13</v>
      </c>
      <c r="I2488" s="9" t="s">
        <v>5888</v>
      </c>
    </row>
    <row r="2489" customFormat="false" ht="15.75" hidden="false" customHeight="false" outlineLevel="0" collapsed="false">
      <c r="B2489" s="7" t="n">
        <v>46222</v>
      </c>
      <c r="C2489" s="3" t="s">
        <v>5889</v>
      </c>
      <c r="D2489" s="3" t="s">
        <v>5099</v>
      </c>
      <c r="E2489" s="3" t="s">
        <v>5815</v>
      </c>
      <c r="F2489" s="3" t="s">
        <v>5887</v>
      </c>
      <c r="G2489" s="10" t="str">
        <f aca="false">HYPERLINK("https://www.inaturalist.org/people/alfonsojon","alfonsojon")</f>
        <v>alfonsojon</v>
      </c>
      <c r="H2489" s="9" t="s">
        <v>13</v>
      </c>
      <c r="I2489" s="9" t="s">
        <v>5890</v>
      </c>
    </row>
    <row r="2490" customFormat="false" ht="15.75" hidden="false" customHeight="false" outlineLevel="0" collapsed="false">
      <c r="B2490" s="7" t="n">
        <v>46222</v>
      </c>
      <c r="C2490" s="3" t="s">
        <v>5891</v>
      </c>
      <c r="D2490" s="3" t="s">
        <v>5099</v>
      </c>
      <c r="E2490" s="3" t="s">
        <v>5815</v>
      </c>
      <c r="F2490" s="3" t="s">
        <v>5887</v>
      </c>
      <c r="G2490" s="10" t="str">
        <f aca="false">HYPERLINK("https://www.inaturalist.org/people/oliver_g_jones","oliver_g_jones")</f>
        <v>oliver_g_jones</v>
      </c>
      <c r="H2490" s="9" t="s">
        <v>13</v>
      </c>
      <c r="I2490" s="9" t="s">
        <v>5892</v>
      </c>
    </row>
    <row r="2491" customFormat="false" ht="15.75" hidden="false" customHeight="false" outlineLevel="0" collapsed="false">
      <c r="B2491" s="7" t="n">
        <v>46222</v>
      </c>
      <c r="C2491" s="3" t="s">
        <v>5893</v>
      </c>
      <c r="D2491" s="3" t="s">
        <v>5099</v>
      </c>
      <c r="E2491" s="3" t="s">
        <v>5815</v>
      </c>
      <c r="F2491" s="3" t="s">
        <v>5887</v>
      </c>
      <c r="G2491" s="10" t="str">
        <f aca="false">HYPERLINK("https://www.inaturalist.org/people/julienviglione","julienviglione")</f>
        <v>julienviglione</v>
      </c>
      <c r="H2491" s="9" t="s">
        <v>13</v>
      </c>
      <c r="I2491" s="9" t="s">
        <v>5894</v>
      </c>
    </row>
    <row r="2492" customFormat="false" ht="15.75" hidden="false" customHeight="false" outlineLevel="0" collapsed="false">
      <c r="B2492" s="7" t="n">
        <v>46222</v>
      </c>
      <c r="C2492" s="3" t="s">
        <v>5895</v>
      </c>
      <c r="D2492" s="3" t="s">
        <v>5099</v>
      </c>
      <c r="E2492" s="3" t="s">
        <v>5815</v>
      </c>
      <c r="F2492" s="3" t="s">
        <v>5887</v>
      </c>
      <c r="G2492" s="10" t="str">
        <f aca="false">HYPERLINK("https://www.inaturalist.org/people/fabian45739","fabian45739")</f>
        <v>fabian45739</v>
      </c>
      <c r="H2492" s="9" t="s">
        <v>13</v>
      </c>
      <c r="I2492" s="9" t="s">
        <v>5896</v>
      </c>
    </row>
    <row r="2493" customFormat="false" ht="15.75" hidden="false" customHeight="false" outlineLevel="0" collapsed="false">
      <c r="B2493" s="7" t="n">
        <v>46222</v>
      </c>
      <c r="C2493" s="3" t="s">
        <v>5897</v>
      </c>
      <c r="D2493" s="3" t="s">
        <v>5099</v>
      </c>
      <c r="E2493" s="3" t="s">
        <v>5815</v>
      </c>
      <c r="F2493" s="3" t="s">
        <v>5887</v>
      </c>
      <c r="G2493" s="10" t="str">
        <f aca="false">HYPERLINK("https://www.inaturalist.org/people/jwheat100","jwheat100")</f>
        <v>jwheat100</v>
      </c>
      <c r="H2493" s="9" t="s">
        <v>13</v>
      </c>
      <c r="I2493" s="9" t="s">
        <v>5898</v>
      </c>
    </row>
    <row r="2494" customFormat="false" ht="15.75" hidden="false" customHeight="false" outlineLevel="0" collapsed="false">
      <c r="B2494" s="7" t="n">
        <v>46222</v>
      </c>
      <c r="C2494" s="3" t="s">
        <v>5899</v>
      </c>
      <c r="D2494" s="3" t="s">
        <v>5099</v>
      </c>
      <c r="E2494" s="3" t="s">
        <v>5815</v>
      </c>
      <c r="F2494" s="3" t="s">
        <v>5887</v>
      </c>
      <c r="G2494" s="10" t="str">
        <f aca="false">HYPERLINK("https://www.inaturalist.org/people/esquiresmith","esquiresmith")</f>
        <v>esquiresmith</v>
      </c>
      <c r="H2494" s="9" t="s">
        <v>13</v>
      </c>
      <c r="I2494" s="9" t="s">
        <v>5900</v>
      </c>
    </row>
    <row r="2495" customFormat="false" ht="15.75" hidden="false" customHeight="false" outlineLevel="0" collapsed="false">
      <c r="B2495" s="7" t="n">
        <v>46222</v>
      </c>
      <c r="C2495" s="3" t="s">
        <v>5901</v>
      </c>
      <c r="D2495" s="3" t="s">
        <v>5099</v>
      </c>
      <c r="E2495" s="3" t="s">
        <v>5815</v>
      </c>
      <c r="F2495" s="3" t="s">
        <v>5887</v>
      </c>
      <c r="G2495" s="10" t="str">
        <f aca="false">HYPERLINK("https://www.inaturalist.org/people/ashelley954","ashelley954")</f>
        <v>ashelley954</v>
      </c>
      <c r="H2495" s="9" t="s">
        <v>13</v>
      </c>
      <c r="I2495" s="9" t="s">
        <v>5902</v>
      </c>
    </row>
    <row r="2496" customFormat="false" ht="15.75" hidden="false" customHeight="false" outlineLevel="0" collapsed="false">
      <c r="B2496" s="7" t="n">
        <v>46222</v>
      </c>
      <c r="C2496" s="3" t="s">
        <v>5903</v>
      </c>
      <c r="D2496" s="3" t="s">
        <v>5099</v>
      </c>
      <c r="E2496" s="3" t="s">
        <v>5815</v>
      </c>
      <c r="F2496" s="3" t="s">
        <v>5887</v>
      </c>
      <c r="G2496" s="10" t="str">
        <f aca="false">HYPERLINK("https://www.inaturalist.org/people/evanoco","evanoco")</f>
        <v>evanoco</v>
      </c>
      <c r="H2496" s="9" t="s">
        <v>13</v>
      </c>
      <c r="I2496" s="9" t="s">
        <v>5904</v>
      </c>
    </row>
    <row r="2497" customFormat="false" ht="15.75" hidden="false" customHeight="false" outlineLevel="0" collapsed="false">
      <c r="B2497" s="7" t="n">
        <v>46222</v>
      </c>
      <c r="C2497" s="3" t="s">
        <v>5905</v>
      </c>
      <c r="D2497" s="3" t="s">
        <v>5099</v>
      </c>
      <c r="E2497" s="3" t="s">
        <v>5815</v>
      </c>
      <c r="F2497" s="3" t="s">
        <v>5887</v>
      </c>
      <c r="G2497" s="10" t="str">
        <f aca="false">HYPERLINK("https://www.inaturalist.org/people/lavaer","lavaer")</f>
        <v>lavaer</v>
      </c>
      <c r="H2497" s="9" t="s">
        <v>13</v>
      </c>
      <c r="I2497" s="9" t="s">
        <v>5906</v>
      </c>
    </row>
    <row r="2498" customFormat="false" ht="15.75" hidden="false" customHeight="false" outlineLevel="0" collapsed="false">
      <c r="B2498" s="7" t="n">
        <v>46222</v>
      </c>
      <c r="C2498" s="3" t="s">
        <v>5907</v>
      </c>
      <c r="D2498" s="3" t="s">
        <v>5099</v>
      </c>
      <c r="E2498" s="3" t="s">
        <v>5815</v>
      </c>
      <c r="F2498" s="3" t="s">
        <v>5887</v>
      </c>
      <c r="G2498" s="10" t="str">
        <f aca="false">HYPERLINK("https://www.inaturalist.org/people/stevenmcgrath","stevenmcgrath")</f>
        <v>stevenmcgrath</v>
      </c>
      <c r="H2498" s="9" t="s">
        <v>13</v>
      </c>
      <c r="I2498" s="9" t="s">
        <v>5908</v>
      </c>
    </row>
    <row r="2499" customFormat="false" ht="15.75" hidden="false" customHeight="false" outlineLevel="0" collapsed="false">
      <c r="B2499" s="7" t="n">
        <v>46222</v>
      </c>
      <c r="C2499" s="3" t="s">
        <v>5909</v>
      </c>
      <c r="D2499" s="3" t="s">
        <v>5099</v>
      </c>
      <c r="E2499" s="3" t="s">
        <v>5815</v>
      </c>
      <c r="F2499" s="3" t="s">
        <v>5887</v>
      </c>
      <c r="G2499" s="10" t="str">
        <f aca="false">HYPERLINK("https://www.inaturalist.org/people/jupiters_rings","jupiters_rings")</f>
        <v>jupiters_rings</v>
      </c>
      <c r="H2499" s="9" t="s">
        <v>13</v>
      </c>
      <c r="I2499" s="9" t="s">
        <v>5910</v>
      </c>
    </row>
    <row r="2500" customFormat="false" ht="15.75" hidden="false" customHeight="false" outlineLevel="0" collapsed="false">
      <c r="B2500" s="7" t="n">
        <v>46222</v>
      </c>
      <c r="C2500" s="3" t="s">
        <v>5911</v>
      </c>
      <c r="D2500" s="3" t="s">
        <v>5099</v>
      </c>
      <c r="E2500" s="3" t="s">
        <v>5815</v>
      </c>
      <c r="F2500" s="3" t="s">
        <v>5887</v>
      </c>
      <c r="G2500" s="10" t="str">
        <f aca="false">HYPERLINK("https://www.inaturalist.org/people/joecarney","joecarney")</f>
        <v>joecarney</v>
      </c>
      <c r="H2500" s="9" t="s">
        <v>13</v>
      </c>
      <c r="I2500" s="9" t="s">
        <v>5912</v>
      </c>
    </row>
    <row r="2501" customFormat="false" ht="15.75" hidden="false" customHeight="false" outlineLevel="0" collapsed="false">
      <c r="B2501" s="7" t="n">
        <v>46222</v>
      </c>
      <c r="C2501" s="3" t="s">
        <v>5913</v>
      </c>
      <c r="D2501" s="3" t="s">
        <v>5099</v>
      </c>
      <c r="E2501" s="3" t="s">
        <v>5815</v>
      </c>
      <c r="F2501" s="3" t="s">
        <v>5887</v>
      </c>
      <c r="G2501" s="10" t="str">
        <f aca="false">HYPERLINK("https://www.inaturalist.org/people/pclewi","pclewi")</f>
        <v>pclewi</v>
      </c>
      <c r="H2501" s="9" t="s">
        <v>13</v>
      </c>
      <c r="I2501" s="9" t="s">
        <v>5914</v>
      </c>
    </row>
    <row r="2502" customFormat="false" ht="15.75" hidden="false" customHeight="false" outlineLevel="0" collapsed="false">
      <c r="B2502" s="7" t="n">
        <v>46222</v>
      </c>
      <c r="C2502" s="3" t="s">
        <v>5915</v>
      </c>
      <c r="D2502" s="3" t="s">
        <v>5099</v>
      </c>
      <c r="E2502" s="3" t="s">
        <v>5815</v>
      </c>
      <c r="F2502" s="3" t="s">
        <v>5887</v>
      </c>
      <c r="G2502" s="10" t="str">
        <f aca="false">HYPERLINK("https://www.inaturalist.org/people/kaysea10","kaysea10")</f>
        <v>kaysea10</v>
      </c>
      <c r="H2502" s="9" t="s">
        <v>13</v>
      </c>
      <c r="I2502" s="9" t="s">
        <v>5916</v>
      </c>
    </row>
    <row r="2503" customFormat="false" ht="15.75" hidden="false" customHeight="false" outlineLevel="0" collapsed="false">
      <c r="B2503" s="7" t="n">
        <v>46222</v>
      </c>
      <c r="C2503" s="3" t="s">
        <v>5917</v>
      </c>
      <c r="D2503" s="3" t="s">
        <v>5099</v>
      </c>
      <c r="E2503" s="3" t="s">
        <v>5815</v>
      </c>
      <c r="F2503" s="3" t="s">
        <v>5887</v>
      </c>
      <c r="G2503" s="10" t="str">
        <f aca="false">HYPERLINK("https://www.inaturalist.org/people/yanosky85","yanosky85")</f>
        <v>yanosky85</v>
      </c>
      <c r="H2503" s="9" t="s">
        <v>13</v>
      </c>
      <c r="I2503" s="9" t="s">
        <v>5918</v>
      </c>
    </row>
    <row r="2504" customFormat="false" ht="15.75" hidden="false" customHeight="false" outlineLevel="0" collapsed="false">
      <c r="B2504" s="7" t="n">
        <v>46222</v>
      </c>
      <c r="C2504" s="3" t="s">
        <v>5919</v>
      </c>
      <c r="D2504" s="3" t="s">
        <v>5099</v>
      </c>
      <c r="E2504" s="3" t="s">
        <v>5815</v>
      </c>
      <c r="F2504" s="3" t="s">
        <v>5887</v>
      </c>
      <c r="G2504" s="10" t="str">
        <f aca="false">HYPERLINK("https://www.inaturalist.org/people/el_gallo","el_gallo")</f>
        <v>el_gallo</v>
      </c>
      <c r="H2504" s="9" t="s">
        <v>13</v>
      </c>
      <c r="I2504" s="9" t="s">
        <v>5920</v>
      </c>
    </row>
    <row r="2505" customFormat="false" ht="15.75" hidden="false" customHeight="false" outlineLevel="0" collapsed="false">
      <c r="B2505" s="7" t="n">
        <v>46222</v>
      </c>
      <c r="C2505" s="3" t="s">
        <v>5921</v>
      </c>
      <c r="D2505" s="3" t="s">
        <v>5099</v>
      </c>
      <c r="E2505" s="3" t="s">
        <v>5815</v>
      </c>
      <c r="F2505" s="3" t="s">
        <v>5887</v>
      </c>
      <c r="G2505" s="10" t="str">
        <f aca="false">HYPERLINK("https://www.inaturalist.org/people/katieeatsants","katieeatsants")</f>
        <v>katieeatsants</v>
      </c>
      <c r="H2505" s="9" t="s">
        <v>13</v>
      </c>
      <c r="I2505" s="9" t="s">
        <v>5922</v>
      </c>
    </row>
    <row r="2506" customFormat="false" ht="15.75" hidden="false" customHeight="false" outlineLevel="0" collapsed="false">
      <c r="B2506" s="7" t="n">
        <v>46222</v>
      </c>
      <c r="C2506" s="3" t="s">
        <v>5923</v>
      </c>
      <c r="D2506" s="3" t="s">
        <v>5099</v>
      </c>
      <c r="E2506" s="3" t="s">
        <v>5815</v>
      </c>
      <c r="F2506" s="3" t="s">
        <v>5887</v>
      </c>
      <c r="G2506" s="10" t="str">
        <f aca="false">HYPERLINK("https://www.inaturalist.org/people/lgarriga","lgarriga")</f>
        <v>lgarriga</v>
      </c>
      <c r="H2506" s="9" t="s">
        <v>13</v>
      </c>
      <c r="I2506" s="9" t="s">
        <v>5924</v>
      </c>
    </row>
    <row r="2507" customFormat="false" ht="15.75" hidden="false" customHeight="false" outlineLevel="0" collapsed="false">
      <c r="B2507" s="7" t="n">
        <v>46222</v>
      </c>
      <c r="C2507" s="3" t="s">
        <v>5925</v>
      </c>
      <c r="D2507" s="3" t="s">
        <v>5099</v>
      </c>
      <c r="E2507" s="3" t="s">
        <v>5815</v>
      </c>
      <c r="F2507" s="3" t="s">
        <v>5887</v>
      </c>
      <c r="G2507" s="10" t="str">
        <f aca="false">HYPERLINK("https://www.inaturalist.org/people/oliver_g_jones","oliver_g_jones")</f>
        <v>oliver_g_jones</v>
      </c>
      <c r="H2507" s="9" t="s">
        <v>13</v>
      </c>
      <c r="I2507" s="9" t="s">
        <v>5926</v>
      </c>
    </row>
    <row r="2508" customFormat="false" ht="15.75" hidden="false" customHeight="false" outlineLevel="0" collapsed="false">
      <c r="B2508" s="7" t="n">
        <v>46222</v>
      </c>
      <c r="C2508" s="3" t="s">
        <v>5927</v>
      </c>
      <c r="D2508" s="3" t="s">
        <v>5099</v>
      </c>
      <c r="E2508" s="3" t="s">
        <v>5815</v>
      </c>
      <c r="F2508" s="3" t="s">
        <v>5887</v>
      </c>
      <c r="G2508" s="10" t="str">
        <f aca="false">HYPERLINK("https://www.inaturalist.org/people/phx09","phx09")</f>
        <v>phx09</v>
      </c>
      <c r="H2508" s="9" t="s">
        <v>13</v>
      </c>
      <c r="I2508" s="9" t="s">
        <v>5928</v>
      </c>
    </row>
    <row r="2509" customFormat="false" ht="15.75" hidden="false" customHeight="false" outlineLevel="0" collapsed="false">
      <c r="B2509" s="7" t="n">
        <v>46222</v>
      </c>
      <c r="C2509" s="3" t="s">
        <v>5929</v>
      </c>
      <c r="D2509" s="3" t="s">
        <v>5099</v>
      </c>
      <c r="E2509" s="3" t="s">
        <v>5815</v>
      </c>
      <c r="F2509" s="3" t="s">
        <v>5887</v>
      </c>
      <c r="G2509" s="10" t="str">
        <f aca="false">HYPERLINK("https://www.inaturalist.org/people/jeremycoleman","jeremycoleman")</f>
        <v>jeremycoleman</v>
      </c>
      <c r="H2509" s="9" t="s">
        <v>13</v>
      </c>
      <c r="I2509" s="9" t="s">
        <v>5930</v>
      </c>
    </row>
    <row r="2510" customFormat="false" ht="15.75" hidden="false" customHeight="false" outlineLevel="0" collapsed="false">
      <c r="B2510" s="7" t="n">
        <v>46222</v>
      </c>
      <c r="C2510" s="3" t="s">
        <v>5931</v>
      </c>
      <c r="D2510" s="3" t="s">
        <v>5099</v>
      </c>
      <c r="E2510" s="3" t="s">
        <v>5815</v>
      </c>
      <c r="F2510" s="3" t="s">
        <v>5887</v>
      </c>
      <c r="G2510" s="10" t="str">
        <f aca="false">HYPERLINK("https://www.inaturalist.org/people/e_ria3","e_ria3")</f>
        <v>e_ria3</v>
      </c>
      <c r="H2510" s="9" t="s">
        <v>13</v>
      </c>
      <c r="I2510" s="9" t="s">
        <v>5932</v>
      </c>
    </row>
    <row r="2511" customFormat="false" ht="15.75" hidden="false" customHeight="false" outlineLevel="0" collapsed="false">
      <c r="B2511" s="7" t="n">
        <v>46222</v>
      </c>
      <c r="C2511" s="3" t="s">
        <v>5933</v>
      </c>
      <c r="D2511" s="3" t="s">
        <v>5099</v>
      </c>
      <c r="E2511" s="3" t="s">
        <v>5815</v>
      </c>
      <c r="F2511" s="3" t="s">
        <v>5887</v>
      </c>
      <c r="G2511" s="10" t="str">
        <f aca="false">HYPERLINK("https://www.inaturalist.org/people/claybibby","claybibby")</f>
        <v>claybibby</v>
      </c>
      <c r="H2511" s="9" t="s">
        <v>13</v>
      </c>
      <c r="I2511" s="9" t="s">
        <v>5934</v>
      </c>
    </row>
    <row r="2512" customFormat="false" ht="15.75" hidden="false" customHeight="false" outlineLevel="0" collapsed="false">
      <c r="B2512" s="7" t="n">
        <v>46222</v>
      </c>
      <c r="C2512" s="3" t="s">
        <v>5935</v>
      </c>
      <c r="D2512" s="3" t="s">
        <v>5099</v>
      </c>
      <c r="E2512" s="3" t="s">
        <v>5815</v>
      </c>
      <c r="F2512" s="3" t="s">
        <v>5887</v>
      </c>
      <c r="G2512" s="10" t="str">
        <f aca="false">HYPERLINK("https://www.inaturalist.org/people/micah_riegner","micah_riegner")</f>
        <v>micah_riegner</v>
      </c>
      <c r="H2512" s="9" t="s">
        <v>13</v>
      </c>
      <c r="I2512" s="9" t="s">
        <v>5936</v>
      </c>
    </row>
    <row r="2513" customFormat="false" ht="15.75" hidden="false" customHeight="false" outlineLevel="0" collapsed="false">
      <c r="B2513" s="7" t="n">
        <v>46222</v>
      </c>
      <c r="C2513" s="3" t="s">
        <v>5937</v>
      </c>
      <c r="D2513" s="3" t="s">
        <v>5099</v>
      </c>
      <c r="E2513" s="3" t="s">
        <v>5815</v>
      </c>
      <c r="F2513" s="3" t="s">
        <v>5887</v>
      </c>
      <c r="G2513" s="10" t="str">
        <f aca="false">HYPERLINK("https://www.inaturalist.org/people/brittanymmason","brittanymmason")</f>
        <v>brittanymmason</v>
      </c>
      <c r="H2513" s="9" t="s">
        <v>13</v>
      </c>
      <c r="I2513" s="9" t="s">
        <v>5938</v>
      </c>
    </row>
    <row r="2514" customFormat="false" ht="15.75" hidden="false" customHeight="false" outlineLevel="0" collapsed="false">
      <c r="B2514" s="7" t="n">
        <v>46222</v>
      </c>
      <c r="C2514" s="3" t="s">
        <v>5939</v>
      </c>
      <c r="D2514" s="3" t="s">
        <v>5099</v>
      </c>
      <c r="E2514" s="3" t="s">
        <v>5815</v>
      </c>
      <c r="F2514" s="3" t="s">
        <v>5887</v>
      </c>
      <c r="G2514" s="10" t="str">
        <f aca="false">HYPERLINK("https://www.inaturalist.org/people/greengirrl","greengirrl")</f>
        <v>greengirrl</v>
      </c>
      <c r="H2514" s="9" t="s">
        <v>13</v>
      </c>
      <c r="I2514" s="9" t="s">
        <v>5940</v>
      </c>
    </row>
    <row r="2515" customFormat="false" ht="15.75" hidden="false" customHeight="false" outlineLevel="0" collapsed="false">
      <c r="B2515" s="7" t="n">
        <v>46222</v>
      </c>
      <c r="C2515" s="3" t="s">
        <v>5941</v>
      </c>
      <c r="D2515" s="3" t="s">
        <v>5099</v>
      </c>
      <c r="E2515" s="3" t="s">
        <v>5815</v>
      </c>
      <c r="F2515" s="3" t="s">
        <v>5887</v>
      </c>
      <c r="G2515" s="10" t="str">
        <f aca="false">HYPERLINK("https://www.inaturalist.org/people/hmdavis","hmdavis")</f>
        <v>hmdavis</v>
      </c>
      <c r="H2515" s="9" t="s">
        <v>13</v>
      </c>
      <c r="I2515" s="9" t="s">
        <v>5942</v>
      </c>
    </row>
    <row r="2516" customFormat="false" ht="15.75" hidden="false" customHeight="false" outlineLevel="0" collapsed="false">
      <c r="B2516" s="7" t="n">
        <v>46222</v>
      </c>
      <c r="C2516" s="3" t="s">
        <v>5943</v>
      </c>
      <c r="D2516" s="3" t="s">
        <v>5099</v>
      </c>
      <c r="E2516" s="3" t="s">
        <v>5815</v>
      </c>
      <c r="F2516" s="3" t="s">
        <v>5887</v>
      </c>
      <c r="G2516" s="10" t="str">
        <f aca="false">HYPERLINK("https://www.inaturalist.org/people/johnnyotter","johnnyotter")</f>
        <v>johnnyotter</v>
      </c>
      <c r="H2516" s="9" t="s">
        <v>13</v>
      </c>
      <c r="I2516" s="9" t="s">
        <v>5944</v>
      </c>
    </row>
    <row r="2517" customFormat="false" ht="15.75" hidden="false" customHeight="false" outlineLevel="0" collapsed="false">
      <c r="B2517" s="7" t="n">
        <v>46222</v>
      </c>
      <c r="C2517" s="3" t="s">
        <v>5945</v>
      </c>
      <c r="D2517" s="3" t="s">
        <v>5099</v>
      </c>
      <c r="E2517" s="3" t="s">
        <v>5815</v>
      </c>
      <c r="F2517" s="3" t="s">
        <v>5887</v>
      </c>
      <c r="G2517" s="10" t="str">
        <f aca="false">HYPERLINK("https://www.inaturalist.org/people/jvdwinden","jvdwinden")</f>
        <v>jvdwinden</v>
      </c>
      <c r="H2517" s="9" t="s">
        <v>13</v>
      </c>
      <c r="I2517" s="9" t="s">
        <v>5946</v>
      </c>
    </row>
    <row r="2518" customFormat="false" ht="15.75" hidden="false" customHeight="false" outlineLevel="0" collapsed="false">
      <c r="B2518" s="7" t="n">
        <v>46222</v>
      </c>
      <c r="C2518" s="3" t="s">
        <v>5947</v>
      </c>
      <c r="D2518" s="3" t="s">
        <v>5099</v>
      </c>
      <c r="E2518" s="3" t="s">
        <v>5815</v>
      </c>
      <c r="F2518" s="3" t="s">
        <v>5887</v>
      </c>
      <c r="G2518" s="10" t="str">
        <f aca="false">HYPERLINK("https://www.inaturalist.org/people/jvdwinden","jvdwinden")</f>
        <v>jvdwinden</v>
      </c>
      <c r="H2518" s="9" t="s">
        <v>13</v>
      </c>
      <c r="I2518" s="9" t="s">
        <v>5948</v>
      </c>
    </row>
    <row r="2519" customFormat="false" ht="15.75" hidden="false" customHeight="false" outlineLevel="0" collapsed="false">
      <c r="B2519" s="7" t="n">
        <v>46222</v>
      </c>
      <c r="C2519" s="3" t="s">
        <v>5949</v>
      </c>
      <c r="D2519" s="3" t="s">
        <v>5099</v>
      </c>
      <c r="E2519" s="3" t="s">
        <v>5815</v>
      </c>
      <c r="F2519" s="3" t="s">
        <v>5887</v>
      </c>
      <c r="G2519" s="10" t="str">
        <f aca="false">HYPERLINK("https://www.inaturalist.org/people/jvdwinden","jvdwinden")</f>
        <v>jvdwinden</v>
      </c>
      <c r="H2519" s="9" t="s">
        <v>13</v>
      </c>
      <c r="I2519" s="9" t="s">
        <v>5950</v>
      </c>
    </row>
    <row r="2520" customFormat="false" ht="15.75" hidden="false" customHeight="false" outlineLevel="0" collapsed="false">
      <c r="B2520" s="7" t="n">
        <v>46222</v>
      </c>
      <c r="C2520" s="3" t="s">
        <v>5951</v>
      </c>
      <c r="D2520" s="3" t="s">
        <v>5099</v>
      </c>
      <c r="E2520" s="3" t="s">
        <v>5815</v>
      </c>
      <c r="F2520" s="3" t="s">
        <v>5887</v>
      </c>
      <c r="G2520" s="10" t="str">
        <f aca="false">HYPERLINK("https://www.inaturalist.org/people/jvdwinden","jvdwinden")</f>
        <v>jvdwinden</v>
      </c>
      <c r="H2520" s="9" t="s">
        <v>13</v>
      </c>
      <c r="I2520" s="9" t="s">
        <v>5952</v>
      </c>
    </row>
    <row r="2521" customFormat="false" ht="15.75" hidden="false" customHeight="false" outlineLevel="0" collapsed="false">
      <c r="B2521" s="7" t="n">
        <v>46222</v>
      </c>
      <c r="C2521" s="3" t="s">
        <v>5953</v>
      </c>
      <c r="D2521" s="3" t="s">
        <v>5099</v>
      </c>
      <c r="E2521" s="3" t="s">
        <v>5815</v>
      </c>
      <c r="F2521" s="3" t="s">
        <v>5887</v>
      </c>
      <c r="G2521" s="10" t="str">
        <f aca="false">HYPERLINK("https://www.inaturalist.org/people/jvdwinden","jvdwinden")</f>
        <v>jvdwinden</v>
      </c>
      <c r="H2521" s="9" t="s">
        <v>13</v>
      </c>
      <c r="I2521" s="9" t="s">
        <v>5954</v>
      </c>
    </row>
    <row r="2522" customFormat="false" ht="15.75" hidden="false" customHeight="false" outlineLevel="0" collapsed="false">
      <c r="B2522" s="7" t="n">
        <v>46222</v>
      </c>
      <c r="C2522" s="3" t="s">
        <v>5955</v>
      </c>
      <c r="D2522" s="3" t="s">
        <v>5099</v>
      </c>
      <c r="E2522" s="3" t="s">
        <v>5815</v>
      </c>
      <c r="F2522" s="3" t="s">
        <v>5887</v>
      </c>
      <c r="G2522" s="10" t="str">
        <f aca="false">HYPERLINK("https://www.inaturalist.org/people/johnjnap","johnjnap")</f>
        <v>johnjnap</v>
      </c>
      <c r="H2522" s="9" t="s">
        <v>13</v>
      </c>
      <c r="I2522" s="9" t="s">
        <v>5956</v>
      </c>
    </row>
    <row r="2523" customFormat="false" ht="15.75" hidden="false" customHeight="false" outlineLevel="0" collapsed="false">
      <c r="B2523" s="7" t="n">
        <v>46269</v>
      </c>
      <c r="C2523" s="3" t="s">
        <v>5957</v>
      </c>
      <c r="D2523" s="3" t="s">
        <v>5958</v>
      </c>
      <c r="E2523" s="14" t="s">
        <v>5959</v>
      </c>
      <c r="F2523" s="3" t="s">
        <v>5960</v>
      </c>
      <c r="G2523" s="15" t="s">
        <v>5961</v>
      </c>
      <c r="H2523" s="9" t="s">
        <v>13</v>
      </c>
      <c r="I2523" s="9" t="s">
        <v>5962</v>
      </c>
    </row>
    <row r="2524" customFormat="false" ht="15.75" hidden="false" customHeight="false" outlineLevel="0" collapsed="false">
      <c r="B2524" s="7" t="n">
        <v>46269</v>
      </c>
      <c r="C2524" s="3" t="s">
        <v>5963</v>
      </c>
      <c r="D2524" s="3" t="s">
        <v>5958</v>
      </c>
      <c r="E2524" s="14" t="s">
        <v>5959</v>
      </c>
      <c r="F2524" s="3" t="s">
        <v>5960</v>
      </c>
      <c r="G2524" s="15" t="s">
        <v>5961</v>
      </c>
      <c r="H2524" s="9" t="s">
        <v>13</v>
      </c>
      <c r="I2524" s="9" t="s">
        <v>5962</v>
      </c>
    </row>
    <row r="2525" customFormat="false" ht="15.75" hidden="false" customHeight="false" outlineLevel="0" collapsed="false">
      <c r="B2525" s="7" t="n">
        <v>46269</v>
      </c>
      <c r="C2525" s="3" t="s">
        <v>5964</v>
      </c>
      <c r="D2525" s="3" t="s">
        <v>5958</v>
      </c>
      <c r="E2525" s="14" t="s">
        <v>5959</v>
      </c>
      <c r="F2525" s="3" t="s">
        <v>5960</v>
      </c>
      <c r="G2525" s="15" t="s">
        <v>5965</v>
      </c>
      <c r="H2525" s="9" t="s">
        <v>13</v>
      </c>
      <c r="I2525" s="9" t="s">
        <v>5966</v>
      </c>
    </row>
    <row r="2526" customFormat="false" ht="15.75" hidden="false" customHeight="false" outlineLevel="0" collapsed="false">
      <c r="B2526" s="7" t="n">
        <v>46269</v>
      </c>
      <c r="C2526" s="3" t="s">
        <v>5967</v>
      </c>
      <c r="D2526" s="3" t="s">
        <v>5958</v>
      </c>
      <c r="E2526" s="14" t="s">
        <v>5959</v>
      </c>
      <c r="F2526" s="3" t="s">
        <v>5960</v>
      </c>
      <c r="G2526" s="15" t="s">
        <v>3640</v>
      </c>
      <c r="H2526" s="9" t="s">
        <v>13</v>
      </c>
      <c r="I2526" s="9" t="s">
        <v>5968</v>
      </c>
    </row>
    <row r="2527" customFormat="false" ht="15.75" hidden="false" customHeight="false" outlineLevel="0" collapsed="false">
      <c r="B2527" s="7" t="n">
        <v>46269</v>
      </c>
      <c r="C2527" s="3" t="s">
        <v>5969</v>
      </c>
      <c r="D2527" s="3" t="s">
        <v>5958</v>
      </c>
      <c r="E2527" s="14" t="s">
        <v>5959</v>
      </c>
      <c r="F2527" s="3" t="s">
        <v>5960</v>
      </c>
      <c r="G2527" s="15" t="s">
        <v>5970</v>
      </c>
      <c r="H2527" s="9" t="s">
        <v>13</v>
      </c>
      <c r="I2527" s="9" t="s">
        <v>5971</v>
      </c>
    </row>
    <row r="2528" customFormat="false" ht="15.75" hidden="false" customHeight="false" outlineLevel="0" collapsed="false">
      <c r="B2528" s="7" t="n">
        <v>46269</v>
      </c>
      <c r="C2528" s="3" t="s">
        <v>5972</v>
      </c>
      <c r="D2528" s="3" t="s">
        <v>5958</v>
      </c>
      <c r="E2528" s="14" t="s">
        <v>5959</v>
      </c>
      <c r="F2528" s="3" t="s">
        <v>5960</v>
      </c>
      <c r="G2528" s="15" t="s">
        <v>5973</v>
      </c>
      <c r="H2528" s="9" t="s">
        <v>13</v>
      </c>
      <c r="I2528" s="9" t="s">
        <v>5974</v>
      </c>
    </row>
    <row r="2529" customFormat="false" ht="15.75" hidden="false" customHeight="false" outlineLevel="0" collapsed="false">
      <c r="B2529" s="7" t="n">
        <v>46269</v>
      </c>
      <c r="C2529" s="3" t="s">
        <v>5975</v>
      </c>
      <c r="D2529" s="3" t="s">
        <v>5958</v>
      </c>
      <c r="E2529" s="14" t="s">
        <v>5959</v>
      </c>
      <c r="F2529" s="3" t="s">
        <v>5960</v>
      </c>
      <c r="G2529" s="16" t="s">
        <v>2125</v>
      </c>
      <c r="H2529" s="9" t="s">
        <v>13</v>
      </c>
      <c r="I2529" s="9" t="s">
        <v>5976</v>
      </c>
    </row>
    <row r="2530" customFormat="false" ht="15.75" hidden="false" customHeight="false" outlineLevel="0" collapsed="false">
      <c r="B2530" s="7" t="n">
        <v>46269</v>
      </c>
      <c r="C2530" s="3" t="s">
        <v>5977</v>
      </c>
      <c r="D2530" s="3" t="s">
        <v>5958</v>
      </c>
      <c r="E2530" s="14" t="s">
        <v>5959</v>
      </c>
      <c r="F2530" s="3" t="s">
        <v>5960</v>
      </c>
      <c r="G2530" s="16" t="s">
        <v>5978</v>
      </c>
      <c r="H2530" s="9" t="s">
        <v>13</v>
      </c>
      <c r="I2530" s="9" t="s">
        <v>5979</v>
      </c>
    </row>
    <row r="2531" customFormat="false" ht="15.75" hidden="false" customHeight="false" outlineLevel="0" collapsed="false">
      <c r="B2531" s="7" t="n">
        <v>46269</v>
      </c>
      <c r="C2531" s="3" t="s">
        <v>5980</v>
      </c>
      <c r="D2531" s="3" t="s">
        <v>5958</v>
      </c>
      <c r="E2531" s="14" t="s">
        <v>5959</v>
      </c>
      <c r="F2531" s="3" t="s">
        <v>5960</v>
      </c>
      <c r="G2531" s="16" t="s">
        <v>5981</v>
      </c>
      <c r="H2531" s="9" t="s">
        <v>13</v>
      </c>
      <c r="I2531" s="9" t="s">
        <v>5982</v>
      </c>
    </row>
    <row r="2532" customFormat="false" ht="15.75" hidden="false" customHeight="false" outlineLevel="0" collapsed="false">
      <c r="B2532" s="7" t="n">
        <v>46269</v>
      </c>
      <c r="C2532" s="3" t="s">
        <v>5983</v>
      </c>
      <c r="D2532" s="3" t="s">
        <v>5958</v>
      </c>
      <c r="E2532" s="14" t="s">
        <v>5959</v>
      </c>
      <c r="F2532" s="3" t="s">
        <v>5960</v>
      </c>
      <c r="G2532" s="15" t="s">
        <v>5984</v>
      </c>
      <c r="H2532" s="9" t="s">
        <v>13</v>
      </c>
      <c r="I2532" s="9" t="s">
        <v>5985</v>
      </c>
    </row>
    <row r="2533" customFormat="false" ht="15.75" hidden="false" customHeight="false" outlineLevel="0" collapsed="false">
      <c r="B2533" s="7" t="n">
        <v>46269</v>
      </c>
      <c r="C2533" s="3" t="s">
        <v>5986</v>
      </c>
      <c r="D2533" s="3" t="s">
        <v>5958</v>
      </c>
      <c r="E2533" s="14" t="s">
        <v>5959</v>
      </c>
      <c r="F2533" s="3" t="s">
        <v>5960</v>
      </c>
      <c r="G2533" s="15" t="s">
        <v>5987</v>
      </c>
      <c r="H2533" s="9" t="s">
        <v>13</v>
      </c>
      <c r="I2533" s="9" t="s">
        <v>5988</v>
      </c>
    </row>
    <row r="2534" customFormat="false" ht="15.75" hidden="false" customHeight="false" outlineLevel="0" collapsed="false">
      <c r="B2534" s="7" t="n">
        <v>46269</v>
      </c>
      <c r="C2534" s="3" t="s">
        <v>5989</v>
      </c>
      <c r="D2534" s="3" t="s">
        <v>5958</v>
      </c>
      <c r="E2534" s="14" t="s">
        <v>5959</v>
      </c>
      <c r="F2534" s="3" t="s">
        <v>5960</v>
      </c>
      <c r="G2534" s="15" t="s">
        <v>5990</v>
      </c>
      <c r="H2534" s="9" t="s">
        <v>13</v>
      </c>
      <c r="I2534" s="9" t="s">
        <v>5991</v>
      </c>
    </row>
    <row r="2535" customFormat="false" ht="15.75" hidden="false" customHeight="false" outlineLevel="0" collapsed="false">
      <c r="B2535" s="7" t="n">
        <v>46269</v>
      </c>
      <c r="C2535" s="3" t="s">
        <v>5992</v>
      </c>
      <c r="D2535" s="3" t="s">
        <v>5958</v>
      </c>
      <c r="E2535" s="14" t="s">
        <v>5959</v>
      </c>
      <c r="F2535" s="3" t="s">
        <v>5960</v>
      </c>
      <c r="G2535" s="16" t="s">
        <v>5993</v>
      </c>
      <c r="H2535" s="9" t="s">
        <v>13</v>
      </c>
      <c r="I2535" s="9" t="s">
        <v>5994</v>
      </c>
    </row>
    <row r="2536" customFormat="false" ht="15.75" hidden="false" customHeight="false" outlineLevel="0" collapsed="false">
      <c r="B2536" s="7" t="n">
        <v>46269</v>
      </c>
      <c r="C2536" s="3" t="s">
        <v>5995</v>
      </c>
      <c r="D2536" s="3" t="s">
        <v>5958</v>
      </c>
      <c r="E2536" s="14" t="s">
        <v>5959</v>
      </c>
      <c r="F2536" s="3" t="s">
        <v>5960</v>
      </c>
      <c r="G2536" s="15" t="s">
        <v>5996</v>
      </c>
      <c r="H2536" s="9" t="s">
        <v>13</v>
      </c>
      <c r="I2536" s="9" t="s">
        <v>5997</v>
      </c>
    </row>
    <row r="2537" customFormat="false" ht="15.75" hidden="false" customHeight="false" outlineLevel="0" collapsed="false">
      <c r="B2537" s="7" t="n">
        <v>46269</v>
      </c>
      <c r="C2537" s="3" t="s">
        <v>5998</v>
      </c>
      <c r="D2537" s="3" t="s">
        <v>5958</v>
      </c>
      <c r="E2537" s="14" t="s">
        <v>5959</v>
      </c>
      <c r="F2537" s="3" t="s">
        <v>5960</v>
      </c>
      <c r="G2537" s="16" t="s">
        <v>2289</v>
      </c>
      <c r="H2537" s="9" t="s">
        <v>13</v>
      </c>
      <c r="I2537" s="9" t="s">
        <v>5999</v>
      </c>
    </row>
    <row r="2538" customFormat="false" ht="15.75" hidden="false" customHeight="false" outlineLevel="0" collapsed="false">
      <c r="B2538" s="7" t="n">
        <v>46269</v>
      </c>
      <c r="C2538" s="3" t="s">
        <v>6000</v>
      </c>
      <c r="D2538" s="3" t="s">
        <v>5958</v>
      </c>
      <c r="E2538" s="14" t="s">
        <v>5959</v>
      </c>
      <c r="F2538" s="3" t="s">
        <v>5960</v>
      </c>
      <c r="G2538" s="16" t="s">
        <v>2289</v>
      </c>
      <c r="H2538" s="9" t="s">
        <v>13</v>
      </c>
      <c r="I2538" s="9" t="s">
        <v>6001</v>
      </c>
    </row>
    <row r="2539" customFormat="false" ht="15.75" hidden="false" customHeight="false" outlineLevel="0" collapsed="false">
      <c r="B2539" s="7" t="n">
        <v>46269</v>
      </c>
      <c r="C2539" s="3" t="s">
        <v>6002</v>
      </c>
      <c r="D2539" s="3" t="s">
        <v>5958</v>
      </c>
      <c r="E2539" s="14" t="s">
        <v>5959</v>
      </c>
      <c r="F2539" s="3" t="s">
        <v>5960</v>
      </c>
      <c r="G2539" s="15" t="s">
        <v>6003</v>
      </c>
      <c r="H2539" s="9" t="s">
        <v>13</v>
      </c>
      <c r="I2539" s="9" t="s">
        <v>6004</v>
      </c>
    </row>
    <row r="2540" customFormat="false" ht="15.75" hidden="false" customHeight="false" outlineLevel="0" collapsed="false">
      <c r="B2540" s="7" t="n">
        <v>46269</v>
      </c>
      <c r="C2540" s="3" t="s">
        <v>6005</v>
      </c>
      <c r="D2540" s="3" t="s">
        <v>5958</v>
      </c>
      <c r="E2540" s="14" t="s">
        <v>5959</v>
      </c>
      <c r="F2540" s="3" t="s">
        <v>5960</v>
      </c>
      <c r="G2540" s="15" t="s">
        <v>6006</v>
      </c>
      <c r="H2540" s="9" t="s">
        <v>13</v>
      </c>
      <c r="I2540" s="9" t="s">
        <v>6007</v>
      </c>
    </row>
    <row r="2541" customFormat="false" ht="15.75" hidden="false" customHeight="false" outlineLevel="0" collapsed="false">
      <c r="B2541" s="7" t="n">
        <v>46269</v>
      </c>
      <c r="C2541" s="3" t="s">
        <v>6008</v>
      </c>
      <c r="D2541" s="3" t="s">
        <v>5958</v>
      </c>
      <c r="E2541" s="14" t="s">
        <v>5959</v>
      </c>
      <c r="F2541" s="3" t="s">
        <v>5960</v>
      </c>
      <c r="G2541" s="15" t="s">
        <v>2452</v>
      </c>
      <c r="H2541" s="9" t="s">
        <v>13</v>
      </c>
      <c r="I2541" s="9" t="s">
        <v>6009</v>
      </c>
    </row>
    <row r="2542" customFormat="false" ht="15.75" hidden="false" customHeight="false" outlineLevel="0" collapsed="false">
      <c r="B2542" s="7" t="n">
        <v>46269</v>
      </c>
      <c r="C2542" s="3" t="s">
        <v>6010</v>
      </c>
      <c r="D2542" s="3" t="s">
        <v>5958</v>
      </c>
      <c r="E2542" s="14" t="s">
        <v>5959</v>
      </c>
      <c r="F2542" s="3" t="s">
        <v>5960</v>
      </c>
      <c r="G2542" s="15" t="s">
        <v>2452</v>
      </c>
      <c r="H2542" s="9" t="s">
        <v>13</v>
      </c>
      <c r="I2542" s="9" t="s">
        <v>6009</v>
      </c>
    </row>
    <row r="2543" customFormat="false" ht="15.75" hidden="false" customHeight="false" outlineLevel="0" collapsed="false">
      <c r="B2543" s="7" t="n">
        <v>46269</v>
      </c>
      <c r="C2543" s="3" t="s">
        <v>6011</v>
      </c>
      <c r="D2543" s="3" t="s">
        <v>5958</v>
      </c>
      <c r="E2543" s="14" t="s">
        <v>5959</v>
      </c>
      <c r="F2543" s="3" t="s">
        <v>6012</v>
      </c>
      <c r="G2543" s="15" t="s">
        <v>6013</v>
      </c>
      <c r="H2543" s="9" t="s">
        <v>13</v>
      </c>
      <c r="I2543" s="9" t="s">
        <v>6014</v>
      </c>
    </row>
    <row r="2544" customFormat="false" ht="15.75" hidden="false" customHeight="false" outlineLevel="0" collapsed="false">
      <c r="B2544" s="7" t="n">
        <v>46269</v>
      </c>
      <c r="C2544" s="3" t="s">
        <v>6015</v>
      </c>
      <c r="D2544" s="3" t="s">
        <v>5958</v>
      </c>
      <c r="E2544" s="14" t="s">
        <v>5959</v>
      </c>
      <c r="F2544" s="3" t="s">
        <v>6012</v>
      </c>
      <c r="G2544" s="15" t="s">
        <v>6013</v>
      </c>
      <c r="H2544" s="9" t="s">
        <v>13</v>
      </c>
      <c r="I2544" s="9" t="s">
        <v>6014</v>
      </c>
    </row>
    <row r="2545" customFormat="false" ht="15.75" hidden="false" customHeight="false" outlineLevel="0" collapsed="false">
      <c r="B2545" s="7" t="n">
        <v>46269</v>
      </c>
      <c r="C2545" s="3" t="s">
        <v>6016</v>
      </c>
      <c r="D2545" s="3" t="s">
        <v>5958</v>
      </c>
      <c r="E2545" s="14" t="s">
        <v>5959</v>
      </c>
      <c r="F2545" s="3" t="s">
        <v>6012</v>
      </c>
      <c r="G2545" s="15" t="s">
        <v>6013</v>
      </c>
      <c r="H2545" s="9" t="s">
        <v>13</v>
      </c>
      <c r="I2545" s="9" t="s">
        <v>6014</v>
      </c>
    </row>
    <row r="2546" customFormat="false" ht="15.75" hidden="false" customHeight="false" outlineLevel="0" collapsed="false">
      <c r="B2546" s="7" t="n">
        <v>46269</v>
      </c>
      <c r="C2546" s="3" t="s">
        <v>6017</v>
      </c>
      <c r="D2546" s="3" t="s">
        <v>5958</v>
      </c>
      <c r="E2546" s="14" t="s">
        <v>5959</v>
      </c>
      <c r="F2546" s="3" t="s">
        <v>6012</v>
      </c>
      <c r="G2546" s="15" t="s">
        <v>6018</v>
      </c>
      <c r="H2546" s="9" t="s">
        <v>13</v>
      </c>
      <c r="I2546" s="9" t="s">
        <v>6019</v>
      </c>
    </row>
    <row r="2547" customFormat="false" ht="15.75" hidden="false" customHeight="false" outlineLevel="0" collapsed="false">
      <c r="B2547" s="7" t="n">
        <v>46269</v>
      </c>
      <c r="C2547" s="3" t="s">
        <v>6020</v>
      </c>
      <c r="D2547" s="3" t="s">
        <v>5958</v>
      </c>
      <c r="E2547" s="14" t="s">
        <v>5959</v>
      </c>
      <c r="F2547" s="3" t="s">
        <v>6012</v>
      </c>
      <c r="G2547" s="15" t="s">
        <v>6021</v>
      </c>
      <c r="H2547" s="9" t="s">
        <v>13</v>
      </c>
      <c r="I2547" s="9" t="s">
        <v>6022</v>
      </c>
    </row>
    <row r="2548" customFormat="false" ht="15.75" hidden="false" customHeight="false" outlineLevel="0" collapsed="false">
      <c r="B2548" s="7" t="n">
        <v>46269</v>
      </c>
      <c r="C2548" s="3" t="s">
        <v>6023</v>
      </c>
      <c r="D2548" s="3" t="s">
        <v>5958</v>
      </c>
      <c r="E2548" s="14" t="s">
        <v>5959</v>
      </c>
      <c r="F2548" s="3" t="s">
        <v>6012</v>
      </c>
      <c r="G2548" s="15" t="s">
        <v>6024</v>
      </c>
      <c r="H2548" s="9" t="s">
        <v>13</v>
      </c>
      <c r="I2548" s="9" t="s">
        <v>6025</v>
      </c>
    </row>
    <row r="2549" customFormat="false" ht="15.75" hidden="false" customHeight="false" outlineLevel="0" collapsed="false">
      <c r="B2549" s="7" t="n">
        <v>46269</v>
      </c>
      <c r="C2549" s="3" t="s">
        <v>6026</v>
      </c>
      <c r="D2549" s="3" t="s">
        <v>5958</v>
      </c>
      <c r="E2549" s="14" t="s">
        <v>5959</v>
      </c>
      <c r="F2549" s="3" t="s">
        <v>6012</v>
      </c>
      <c r="G2549" s="16" t="s">
        <v>6027</v>
      </c>
      <c r="H2549" s="9" t="s">
        <v>13</v>
      </c>
      <c r="I2549" s="9" t="s">
        <v>6028</v>
      </c>
    </row>
    <row r="2550" customFormat="false" ht="15.75" hidden="false" customHeight="false" outlineLevel="0" collapsed="false">
      <c r="B2550" s="7" t="n">
        <v>46269</v>
      </c>
      <c r="C2550" s="3" t="s">
        <v>6029</v>
      </c>
      <c r="D2550" s="3" t="s">
        <v>5958</v>
      </c>
      <c r="E2550" s="14" t="s">
        <v>5959</v>
      </c>
      <c r="F2550" s="3" t="s">
        <v>6012</v>
      </c>
      <c r="G2550" s="16" t="s">
        <v>6030</v>
      </c>
      <c r="H2550" s="9" t="s">
        <v>13</v>
      </c>
      <c r="I2550" s="9" t="s">
        <v>6031</v>
      </c>
    </row>
    <row r="2551" customFormat="false" ht="15.75" hidden="false" customHeight="false" outlineLevel="0" collapsed="false">
      <c r="B2551" s="7" t="n">
        <v>46269</v>
      </c>
      <c r="C2551" s="3" t="s">
        <v>6032</v>
      </c>
      <c r="D2551" s="3" t="s">
        <v>5958</v>
      </c>
      <c r="E2551" s="14" t="s">
        <v>5959</v>
      </c>
      <c r="F2551" s="3" t="s">
        <v>6012</v>
      </c>
      <c r="G2551" s="16" t="s">
        <v>6027</v>
      </c>
      <c r="H2551" s="9" t="s">
        <v>13</v>
      </c>
      <c r="I2551" s="9" t="s">
        <v>6033</v>
      </c>
    </row>
    <row r="2552" customFormat="false" ht="15.75" hidden="false" customHeight="false" outlineLevel="0" collapsed="false">
      <c r="B2552" s="7" t="n">
        <v>46269</v>
      </c>
      <c r="C2552" s="3" t="s">
        <v>6034</v>
      </c>
      <c r="D2552" s="3" t="s">
        <v>5958</v>
      </c>
      <c r="E2552" s="14" t="s">
        <v>5959</v>
      </c>
      <c r="F2552" s="3" t="s">
        <v>6012</v>
      </c>
      <c r="G2552" s="16" t="s">
        <v>6035</v>
      </c>
      <c r="H2552" s="9" t="s">
        <v>13</v>
      </c>
      <c r="I2552" s="9" t="s">
        <v>6036</v>
      </c>
    </row>
    <row r="2553" customFormat="false" ht="15.75" hidden="false" customHeight="false" outlineLevel="0" collapsed="false">
      <c r="B2553" s="7" t="n">
        <v>46269</v>
      </c>
      <c r="C2553" s="3" t="s">
        <v>6037</v>
      </c>
      <c r="D2553" s="3" t="s">
        <v>5958</v>
      </c>
      <c r="E2553" s="14" t="s">
        <v>5959</v>
      </c>
      <c r="F2553" s="3" t="s">
        <v>6012</v>
      </c>
      <c r="G2553" s="16" t="s">
        <v>2125</v>
      </c>
      <c r="H2553" s="9" t="s">
        <v>13</v>
      </c>
      <c r="I2553" s="9" t="s">
        <v>6038</v>
      </c>
    </row>
    <row r="2554" customFormat="false" ht="15.75" hidden="false" customHeight="false" outlineLevel="0" collapsed="false">
      <c r="B2554" s="7" t="n">
        <v>46269</v>
      </c>
      <c r="C2554" s="3" t="s">
        <v>6039</v>
      </c>
      <c r="D2554" s="3" t="s">
        <v>5958</v>
      </c>
      <c r="E2554" s="14" t="s">
        <v>5959</v>
      </c>
      <c r="F2554" s="3" t="s">
        <v>6012</v>
      </c>
      <c r="G2554" s="15" t="s">
        <v>6040</v>
      </c>
      <c r="H2554" s="9" t="s">
        <v>13</v>
      </c>
      <c r="I2554" s="9" t="s">
        <v>6041</v>
      </c>
    </row>
    <row r="2555" customFormat="false" ht="15.75" hidden="false" customHeight="false" outlineLevel="0" collapsed="false">
      <c r="B2555" s="7" t="n">
        <v>46269</v>
      </c>
      <c r="C2555" s="3" t="s">
        <v>6042</v>
      </c>
      <c r="D2555" s="3" t="s">
        <v>5958</v>
      </c>
      <c r="E2555" s="14" t="s">
        <v>5959</v>
      </c>
      <c r="F2555" s="3" t="s">
        <v>6012</v>
      </c>
      <c r="G2555" s="15" t="s">
        <v>6040</v>
      </c>
      <c r="H2555" s="9" t="s">
        <v>13</v>
      </c>
      <c r="I2555" s="9" t="s">
        <v>6043</v>
      </c>
    </row>
    <row r="2556" customFormat="false" ht="15.75" hidden="false" customHeight="false" outlineLevel="0" collapsed="false">
      <c r="B2556" s="7" t="n">
        <v>46269</v>
      </c>
      <c r="C2556" s="3" t="s">
        <v>6044</v>
      </c>
      <c r="D2556" s="3" t="s">
        <v>5958</v>
      </c>
      <c r="E2556" s="14" t="s">
        <v>5959</v>
      </c>
      <c r="F2556" s="3" t="s">
        <v>6012</v>
      </c>
      <c r="G2556" s="15" t="s">
        <v>6045</v>
      </c>
      <c r="H2556" s="9" t="s">
        <v>13</v>
      </c>
      <c r="I2556" s="9" t="s">
        <v>6046</v>
      </c>
    </row>
    <row r="2557" customFormat="false" ht="15.75" hidden="false" customHeight="false" outlineLevel="0" collapsed="false">
      <c r="B2557" s="7" t="n">
        <v>46269</v>
      </c>
      <c r="C2557" s="3" t="s">
        <v>6047</v>
      </c>
      <c r="D2557" s="3" t="s">
        <v>5958</v>
      </c>
      <c r="E2557" s="14" t="s">
        <v>5959</v>
      </c>
      <c r="F2557" s="3" t="s">
        <v>6012</v>
      </c>
      <c r="G2557" s="15" t="s">
        <v>6040</v>
      </c>
      <c r="H2557" s="9" t="s">
        <v>13</v>
      </c>
      <c r="I2557" s="9" t="s">
        <v>6048</v>
      </c>
    </row>
    <row r="2558" customFormat="false" ht="15.75" hidden="false" customHeight="false" outlineLevel="0" collapsed="false">
      <c r="B2558" s="7" t="n">
        <v>46269</v>
      </c>
      <c r="C2558" s="3" t="s">
        <v>6049</v>
      </c>
      <c r="D2558" s="3" t="s">
        <v>5958</v>
      </c>
      <c r="E2558" s="14" t="s">
        <v>5959</v>
      </c>
      <c r="F2558" s="3" t="s">
        <v>6012</v>
      </c>
      <c r="G2558" s="15" t="s">
        <v>6040</v>
      </c>
      <c r="H2558" s="9" t="s">
        <v>13</v>
      </c>
      <c r="I2558" s="9" t="s">
        <v>6048</v>
      </c>
    </row>
    <row r="2559" customFormat="false" ht="15.75" hidden="false" customHeight="false" outlineLevel="0" collapsed="false">
      <c r="B2559" s="7" t="n">
        <v>46269</v>
      </c>
      <c r="C2559" s="3" t="s">
        <v>6050</v>
      </c>
      <c r="D2559" s="3" t="s">
        <v>5958</v>
      </c>
      <c r="E2559" s="14" t="s">
        <v>5959</v>
      </c>
      <c r="F2559" s="3" t="s">
        <v>6012</v>
      </c>
      <c r="G2559" s="15" t="s">
        <v>6051</v>
      </c>
      <c r="H2559" s="9" t="s">
        <v>13</v>
      </c>
      <c r="I2559" s="9" t="s">
        <v>6052</v>
      </c>
    </row>
    <row r="2560" customFormat="false" ht="15.75" hidden="false" customHeight="false" outlineLevel="0" collapsed="false">
      <c r="B2560" s="7" t="n">
        <v>46269</v>
      </c>
      <c r="C2560" s="3" t="s">
        <v>6053</v>
      </c>
      <c r="D2560" s="3" t="s">
        <v>5958</v>
      </c>
      <c r="E2560" s="14" t="s">
        <v>5959</v>
      </c>
      <c r="F2560" s="3" t="s">
        <v>6012</v>
      </c>
      <c r="G2560" s="15" t="s">
        <v>6021</v>
      </c>
      <c r="H2560" s="9" t="s">
        <v>13</v>
      </c>
      <c r="I2560" s="9" t="s">
        <v>6054</v>
      </c>
    </row>
    <row r="2561" customFormat="false" ht="15.75" hidden="false" customHeight="false" outlineLevel="0" collapsed="false">
      <c r="B2561" s="7" t="n">
        <v>46269</v>
      </c>
      <c r="C2561" s="3" t="s">
        <v>6055</v>
      </c>
      <c r="D2561" s="3" t="s">
        <v>5958</v>
      </c>
      <c r="E2561" s="14" t="s">
        <v>5959</v>
      </c>
      <c r="F2561" s="3" t="s">
        <v>6012</v>
      </c>
      <c r="G2561" s="15" t="s">
        <v>6021</v>
      </c>
      <c r="H2561" s="9" t="s">
        <v>13</v>
      </c>
      <c r="I2561" s="9" t="s">
        <v>6056</v>
      </c>
    </row>
    <row r="2562" customFormat="false" ht="15.75" hidden="false" customHeight="false" outlineLevel="0" collapsed="false">
      <c r="B2562" s="7" t="n">
        <v>46269</v>
      </c>
      <c r="C2562" s="3" t="s">
        <v>6057</v>
      </c>
      <c r="D2562" s="3" t="s">
        <v>5958</v>
      </c>
      <c r="E2562" s="14" t="s">
        <v>5959</v>
      </c>
      <c r="F2562" s="3" t="s">
        <v>6012</v>
      </c>
      <c r="G2562" s="15" t="s">
        <v>2125</v>
      </c>
      <c r="H2562" s="9" t="s">
        <v>13</v>
      </c>
      <c r="I2562" s="9" t="s">
        <v>6058</v>
      </c>
    </row>
    <row r="2563" customFormat="false" ht="15.75" hidden="false" customHeight="false" outlineLevel="0" collapsed="false">
      <c r="B2563" s="7" t="n">
        <v>46269</v>
      </c>
      <c r="C2563" s="3" t="s">
        <v>6059</v>
      </c>
      <c r="D2563" s="3" t="s">
        <v>5958</v>
      </c>
      <c r="E2563" s="14" t="s">
        <v>5959</v>
      </c>
      <c r="F2563" s="3" t="s">
        <v>6060</v>
      </c>
      <c r="G2563" s="15" t="s">
        <v>2857</v>
      </c>
      <c r="H2563" s="9" t="s">
        <v>13</v>
      </c>
      <c r="I2563" s="9" t="s">
        <v>6061</v>
      </c>
    </row>
    <row r="2564" customFormat="false" ht="15.75" hidden="false" customHeight="false" outlineLevel="0" collapsed="false">
      <c r="B2564" s="7" t="n">
        <v>46269</v>
      </c>
      <c r="C2564" s="3" t="s">
        <v>6062</v>
      </c>
      <c r="D2564" s="3" t="s">
        <v>5958</v>
      </c>
      <c r="E2564" s="14" t="s">
        <v>5959</v>
      </c>
      <c r="F2564" s="3" t="s">
        <v>6060</v>
      </c>
      <c r="G2564" s="15" t="s">
        <v>6063</v>
      </c>
      <c r="H2564" s="9" t="s">
        <v>13</v>
      </c>
      <c r="I2564" s="9" t="s">
        <v>6064</v>
      </c>
    </row>
    <row r="2565" customFormat="false" ht="15.75" hidden="false" customHeight="false" outlineLevel="0" collapsed="false">
      <c r="B2565" s="7" t="n">
        <v>46269</v>
      </c>
      <c r="C2565" s="3" t="s">
        <v>6065</v>
      </c>
      <c r="D2565" s="3" t="s">
        <v>5958</v>
      </c>
      <c r="E2565" s="14" t="s">
        <v>5959</v>
      </c>
      <c r="F2565" s="3" t="s">
        <v>6060</v>
      </c>
      <c r="G2565" s="15" t="s">
        <v>467</v>
      </c>
      <c r="H2565" s="9" t="s">
        <v>13</v>
      </c>
      <c r="I2565" s="9" t="s">
        <v>6066</v>
      </c>
    </row>
    <row r="2566" customFormat="false" ht="15.75" hidden="false" customHeight="false" outlineLevel="0" collapsed="false">
      <c r="B2566" s="7" t="n">
        <v>46269</v>
      </c>
      <c r="C2566" s="3" t="s">
        <v>6067</v>
      </c>
      <c r="D2566" s="3" t="s">
        <v>5958</v>
      </c>
      <c r="E2566" s="14" t="s">
        <v>5959</v>
      </c>
      <c r="F2566" s="3" t="s">
        <v>6060</v>
      </c>
      <c r="G2566" s="15" t="s">
        <v>467</v>
      </c>
      <c r="H2566" s="9" t="s">
        <v>13</v>
      </c>
      <c r="I2566" s="9" t="s">
        <v>6066</v>
      </c>
    </row>
    <row r="2567" customFormat="false" ht="15.75" hidden="false" customHeight="false" outlineLevel="0" collapsed="false">
      <c r="B2567" s="7" t="n">
        <v>46269</v>
      </c>
      <c r="C2567" s="3" t="s">
        <v>6068</v>
      </c>
      <c r="D2567" s="3" t="s">
        <v>5958</v>
      </c>
      <c r="E2567" s="14" t="s">
        <v>5959</v>
      </c>
      <c r="F2567" s="3" t="s">
        <v>6060</v>
      </c>
      <c r="G2567" s="15" t="s">
        <v>6069</v>
      </c>
      <c r="H2567" s="9" t="s">
        <v>13</v>
      </c>
      <c r="I2567" s="17" t="s">
        <v>6070</v>
      </c>
    </row>
    <row r="2568" customFormat="false" ht="15.75" hidden="false" customHeight="false" outlineLevel="0" collapsed="false">
      <c r="B2568" s="7" t="n">
        <v>46269</v>
      </c>
      <c r="C2568" s="3" t="s">
        <v>6071</v>
      </c>
      <c r="D2568" s="3" t="s">
        <v>5958</v>
      </c>
      <c r="E2568" s="14" t="s">
        <v>5959</v>
      </c>
      <c r="F2568" s="3" t="s">
        <v>6060</v>
      </c>
      <c r="G2568" s="16" t="s">
        <v>6030</v>
      </c>
      <c r="H2568" s="9" t="s">
        <v>13</v>
      </c>
      <c r="I2568" s="9" t="s">
        <v>6072</v>
      </c>
    </row>
    <row r="2569" customFormat="false" ht="15.75" hidden="false" customHeight="false" outlineLevel="0" collapsed="false">
      <c r="B2569" s="7" t="n">
        <v>46269</v>
      </c>
      <c r="C2569" s="3" t="s">
        <v>6073</v>
      </c>
      <c r="D2569" s="3" t="s">
        <v>5958</v>
      </c>
      <c r="E2569" s="14" t="s">
        <v>5959</v>
      </c>
      <c r="F2569" s="3" t="s">
        <v>6060</v>
      </c>
      <c r="G2569" s="15" t="s">
        <v>6074</v>
      </c>
      <c r="H2569" s="9" t="s">
        <v>13</v>
      </c>
      <c r="I2569" s="9" t="s">
        <v>6075</v>
      </c>
    </row>
    <row r="2570" customFormat="false" ht="15.75" hidden="false" customHeight="false" outlineLevel="0" collapsed="false">
      <c r="B2570" s="7" t="n">
        <v>46269</v>
      </c>
      <c r="C2570" s="3" t="s">
        <v>6076</v>
      </c>
      <c r="D2570" s="3" t="s">
        <v>5958</v>
      </c>
      <c r="E2570" s="14" t="s">
        <v>5959</v>
      </c>
      <c r="F2570" s="3" t="s">
        <v>6060</v>
      </c>
      <c r="G2570" s="15" t="s">
        <v>6074</v>
      </c>
      <c r="H2570" s="9" t="s">
        <v>13</v>
      </c>
      <c r="I2570" s="9" t="s">
        <v>6075</v>
      </c>
    </row>
    <row r="2571" customFormat="false" ht="15.75" hidden="false" customHeight="false" outlineLevel="0" collapsed="false">
      <c r="B2571" s="7" t="n">
        <v>46269</v>
      </c>
      <c r="C2571" s="3" t="s">
        <v>6077</v>
      </c>
      <c r="D2571" s="3" t="s">
        <v>5958</v>
      </c>
      <c r="E2571" s="14" t="s">
        <v>5959</v>
      </c>
      <c r="F2571" s="3" t="s">
        <v>6060</v>
      </c>
      <c r="G2571" s="15" t="s">
        <v>6078</v>
      </c>
      <c r="H2571" s="9" t="s">
        <v>13</v>
      </c>
      <c r="I2571" s="9" t="s">
        <v>6079</v>
      </c>
    </row>
    <row r="2572" customFormat="false" ht="15.75" hidden="false" customHeight="false" outlineLevel="0" collapsed="false">
      <c r="B2572" s="7" t="n">
        <v>46269</v>
      </c>
      <c r="C2572" s="3" t="s">
        <v>6080</v>
      </c>
      <c r="D2572" s="3" t="s">
        <v>5958</v>
      </c>
      <c r="E2572" s="14" t="s">
        <v>5959</v>
      </c>
      <c r="F2572" s="3" t="s">
        <v>6060</v>
      </c>
      <c r="G2572" s="15" t="s">
        <v>6078</v>
      </c>
      <c r="H2572" s="9" t="s">
        <v>13</v>
      </c>
      <c r="I2572" s="9" t="s">
        <v>6081</v>
      </c>
    </row>
    <row r="2573" customFormat="false" ht="15.75" hidden="false" customHeight="false" outlineLevel="0" collapsed="false">
      <c r="B2573" s="7" t="n">
        <v>46269</v>
      </c>
      <c r="C2573" s="3" t="s">
        <v>6082</v>
      </c>
      <c r="D2573" s="3" t="s">
        <v>5958</v>
      </c>
      <c r="E2573" s="14" t="s">
        <v>5959</v>
      </c>
      <c r="F2573" s="3" t="s">
        <v>6060</v>
      </c>
      <c r="G2573" s="15" t="s">
        <v>6083</v>
      </c>
      <c r="H2573" s="9" t="s">
        <v>13</v>
      </c>
      <c r="I2573" s="9" t="s">
        <v>6084</v>
      </c>
    </row>
    <row r="2574" customFormat="false" ht="15.75" hidden="false" customHeight="false" outlineLevel="0" collapsed="false">
      <c r="B2574" s="7" t="n">
        <v>46269</v>
      </c>
      <c r="C2574" s="3" t="s">
        <v>6085</v>
      </c>
      <c r="D2574" s="3" t="s">
        <v>5958</v>
      </c>
      <c r="E2574" s="14" t="s">
        <v>5959</v>
      </c>
      <c r="F2574" s="3" t="s">
        <v>6060</v>
      </c>
      <c r="G2574" s="16" t="s">
        <v>2116</v>
      </c>
      <c r="H2574" s="9" t="s">
        <v>13</v>
      </c>
      <c r="I2574" s="9" t="s">
        <v>6086</v>
      </c>
    </row>
    <row r="2575" customFormat="false" ht="15.75" hidden="false" customHeight="false" outlineLevel="0" collapsed="false">
      <c r="B2575" s="7" t="n">
        <v>46269</v>
      </c>
      <c r="C2575" s="3" t="s">
        <v>6087</v>
      </c>
      <c r="D2575" s="3" t="s">
        <v>5958</v>
      </c>
      <c r="E2575" s="14" t="s">
        <v>5959</v>
      </c>
      <c r="F2575" s="3" t="s">
        <v>6060</v>
      </c>
      <c r="G2575" s="15" t="s">
        <v>6021</v>
      </c>
      <c r="H2575" s="9" t="s">
        <v>13</v>
      </c>
      <c r="I2575" s="9" t="s">
        <v>6088</v>
      </c>
    </row>
    <row r="2576" customFormat="false" ht="15.75" hidden="false" customHeight="false" outlineLevel="0" collapsed="false">
      <c r="B2576" s="7" t="n">
        <v>46269</v>
      </c>
      <c r="C2576" s="3" t="s">
        <v>6089</v>
      </c>
      <c r="D2576" s="3" t="s">
        <v>5958</v>
      </c>
      <c r="E2576" s="14" t="s">
        <v>5959</v>
      </c>
      <c r="F2576" s="3" t="s">
        <v>6060</v>
      </c>
      <c r="G2576" s="15" t="s">
        <v>2125</v>
      </c>
      <c r="H2576" s="9" t="s">
        <v>13</v>
      </c>
      <c r="I2576" s="9" t="s">
        <v>6090</v>
      </c>
    </row>
    <row r="2577" customFormat="false" ht="15.75" hidden="false" customHeight="false" outlineLevel="0" collapsed="false">
      <c r="B2577" s="7" t="n">
        <v>46269</v>
      </c>
      <c r="C2577" s="3" t="s">
        <v>6091</v>
      </c>
      <c r="D2577" s="3" t="s">
        <v>5958</v>
      </c>
      <c r="E2577" s="14" t="s">
        <v>5959</v>
      </c>
      <c r="F2577" s="3" t="s">
        <v>6060</v>
      </c>
      <c r="G2577" s="16" t="s">
        <v>2125</v>
      </c>
      <c r="H2577" s="9" t="s">
        <v>13</v>
      </c>
      <c r="I2577" s="9" t="s">
        <v>6092</v>
      </c>
    </row>
    <row r="2578" customFormat="false" ht="15.75" hidden="false" customHeight="false" outlineLevel="0" collapsed="false">
      <c r="B2578" s="7" t="n">
        <v>46269</v>
      </c>
      <c r="C2578" s="3" t="s">
        <v>6093</v>
      </c>
      <c r="D2578" s="3" t="s">
        <v>5958</v>
      </c>
      <c r="E2578" s="14" t="s">
        <v>5959</v>
      </c>
      <c r="F2578" s="3" t="s">
        <v>6060</v>
      </c>
      <c r="G2578" s="16" t="s">
        <v>2125</v>
      </c>
      <c r="H2578" s="9" t="s">
        <v>13</v>
      </c>
      <c r="I2578" s="9" t="s">
        <v>6094</v>
      </c>
    </row>
    <row r="2579" customFormat="false" ht="15.75" hidden="false" customHeight="false" outlineLevel="0" collapsed="false">
      <c r="B2579" s="7" t="n">
        <v>46269</v>
      </c>
      <c r="C2579" s="3" t="s">
        <v>6095</v>
      </c>
      <c r="D2579" s="3" t="s">
        <v>5958</v>
      </c>
      <c r="E2579" s="14" t="s">
        <v>5959</v>
      </c>
      <c r="F2579" s="3" t="s">
        <v>6060</v>
      </c>
      <c r="G2579" s="15" t="s">
        <v>6021</v>
      </c>
      <c r="H2579" s="9" t="s">
        <v>13</v>
      </c>
      <c r="I2579" s="9" t="s">
        <v>6096</v>
      </c>
    </row>
    <row r="2580" customFormat="false" ht="15.75" hidden="false" customHeight="false" outlineLevel="0" collapsed="false">
      <c r="B2580" s="7" t="n">
        <v>46269</v>
      </c>
      <c r="C2580" s="3" t="s">
        <v>6097</v>
      </c>
      <c r="D2580" s="3" t="s">
        <v>5958</v>
      </c>
      <c r="E2580" s="14" t="s">
        <v>5959</v>
      </c>
      <c r="F2580" s="3" t="s">
        <v>6060</v>
      </c>
      <c r="G2580" s="15" t="s">
        <v>6021</v>
      </c>
      <c r="H2580" s="9" t="s">
        <v>13</v>
      </c>
      <c r="I2580" s="9" t="s">
        <v>6098</v>
      </c>
    </row>
    <row r="2581" customFormat="false" ht="15.75" hidden="false" customHeight="false" outlineLevel="0" collapsed="false">
      <c r="B2581" s="7" t="n">
        <v>46269</v>
      </c>
      <c r="C2581" s="3" t="s">
        <v>6099</v>
      </c>
      <c r="D2581" s="3" t="s">
        <v>5958</v>
      </c>
      <c r="E2581" s="14" t="s">
        <v>5959</v>
      </c>
      <c r="F2581" s="3" t="s">
        <v>6060</v>
      </c>
      <c r="G2581" s="15" t="s">
        <v>6021</v>
      </c>
      <c r="H2581" s="9" t="s">
        <v>13</v>
      </c>
      <c r="I2581" s="9" t="s">
        <v>6100</v>
      </c>
    </row>
    <row r="2582" customFormat="false" ht="15.75" hidden="false" customHeight="false" outlineLevel="0" collapsed="false">
      <c r="B2582" s="7" t="n">
        <v>46269</v>
      </c>
      <c r="C2582" s="3" t="s">
        <v>6101</v>
      </c>
      <c r="D2582" s="3" t="s">
        <v>5958</v>
      </c>
      <c r="E2582" s="14" t="s">
        <v>5959</v>
      </c>
      <c r="F2582" s="3" t="s">
        <v>6060</v>
      </c>
      <c r="G2582" s="15" t="s">
        <v>6021</v>
      </c>
      <c r="H2582" s="9" t="s">
        <v>13</v>
      </c>
      <c r="I2582" s="9" t="s">
        <v>6102</v>
      </c>
    </row>
    <row r="2583" customFormat="false" ht="15.75" hidden="false" customHeight="false" outlineLevel="0" collapsed="false">
      <c r="B2583" s="7" t="n">
        <v>46269</v>
      </c>
      <c r="C2583" s="3" t="s">
        <v>6103</v>
      </c>
      <c r="D2583" s="3" t="s">
        <v>5958</v>
      </c>
      <c r="E2583" s="3" t="s">
        <v>6104</v>
      </c>
      <c r="F2583" s="3" t="s">
        <v>6105</v>
      </c>
      <c r="G2583" s="16" t="s">
        <v>2125</v>
      </c>
      <c r="H2583" s="9" t="s">
        <v>13</v>
      </c>
      <c r="I2583" s="9" t="s">
        <v>6106</v>
      </c>
    </row>
    <row r="2584" customFormat="false" ht="15.75" hidden="false" customHeight="false" outlineLevel="0" collapsed="false">
      <c r="B2584" s="7" t="n">
        <v>46269</v>
      </c>
      <c r="C2584" s="3" t="s">
        <v>6107</v>
      </c>
      <c r="D2584" s="3" t="s">
        <v>5958</v>
      </c>
      <c r="E2584" s="3" t="s">
        <v>6104</v>
      </c>
      <c r="F2584" s="3" t="s">
        <v>6105</v>
      </c>
      <c r="G2584" s="15" t="s">
        <v>964</v>
      </c>
      <c r="H2584" s="9" t="s">
        <v>13</v>
      </c>
      <c r="I2584" s="9" t="s">
        <v>6108</v>
      </c>
    </row>
    <row r="2585" customFormat="false" ht="15.75" hidden="false" customHeight="false" outlineLevel="0" collapsed="false">
      <c r="B2585" s="7" t="n">
        <v>46269</v>
      </c>
      <c r="C2585" s="3" t="s">
        <v>6109</v>
      </c>
      <c r="D2585" s="3" t="s">
        <v>5958</v>
      </c>
      <c r="E2585" s="3" t="s">
        <v>6104</v>
      </c>
      <c r="F2585" s="3" t="s">
        <v>6105</v>
      </c>
      <c r="G2585" s="15" t="s">
        <v>6021</v>
      </c>
      <c r="H2585" s="9" t="s">
        <v>13</v>
      </c>
      <c r="I2585" s="9" t="s">
        <v>6110</v>
      </c>
    </row>
    <row r="2586" customFormat="false" ht="15.75" hidden="false" customHeight="false" outlineLevel="0" collapsed="false">
      <c r="B2586" s="7" t="n">
        <v>46269</v>
      </c>
      <c r="C2586" s="3" t="s">
        <v>6111</v>
      </c>
      <c r="D2586" s="3" t="s">
        <v>5958</v>
      </c>
      <c r="E2586" s="3" t="s">
        <v>6104</v>
      </c>
      <c r="F2586" s="3" t="s">
        <v>6105</v>
      </c>
      <c r="G2586" s="15" t="s">
        <v>6021</v>
      </c>
      <c r="H2586" s="9" t="s">
        <v>13</v>
      </c>
      <c r="I2586" s="9" t="s">
        <v>6112</v>
      </c>
    </row>
    <row r="2587" customFormat="false" ht="15.75" hidden="false" customHeight="false" outlineLevel="0" collapsed="false">
      <c r="B2587" s="7" t="n">
        <v>46269</v>
      </c>
      <c r="C2587" s="3" t="s">
        <v>6113</v>
      </c>
      <c r="D2587" s="3" t="s">
        <v>5958</v>
      </c>
      <c r="E2587" s="3" t="s">
        <v>6104</v>
      </c>
      <c r="F2587" s="3" t="s">
        <v>6105</v>
      </c>
      <c r="G2587" s="15" t="s">
        <v>6021</v>
      </c>
      <c r="H2587" s="9" t="s">
        <v>13</v>
      </c>
      <c r="I2587" s="9" t="s">
        <v>6114</v>
      </c>
    </row>
    <row r="2588" customFormat="false" ht="15.75" hidden="false" customHeight="false" outlineLevel="0" collapsed="false">
      <c r="B2588" s="7" t="n">
        <v>46269</v>
      </c>
      <c r="C2588" s="3" t="s">
        <v>6115</v>
      </c>
      <c r="D2588" s="3" t="s">
        <v>5958</v>
      </c>
      <c r="E2588" s="3" t="s">
        <v>6104</v>
      </c>
      <c r="F2588" s="3" t="s">
        <v>6105</v>
      </c>
      <c r="G2588" s="15" t="s">
        <v>6021</v>
      </c>
      <c r="H2588" s="9" t="s">
        <v>13</v>
      </c>
      <c r="I2588" s="9" t="s">
        <v>6116</v>
      </c>
    </row>
    <row r="2589" customFormat="false" ht="15.75" hidden="false" customHeight="false" outlineLevel="0" collapsed="false">
      <c r="B2589" s="7" t="n">
        <v>46269</v>
      </c>
      <c r="C2589" s="3" t="s">
        <v>6117</v>
      </c>
      <c r="D2589" s="3" t="s">
        <v>5958</v>
      </c>
      <c r="E2589" s="3" t="s">
        <v>6104</v>
      </c>
      <c r="F2589" s="3" t="s">
        <v>6105</v>
      </c>
      <c r="G2589" s="15" t="s">
        <v>6021</v>
      </c>
      <c r="H2589" s="9" t="s">
        <v>13</v>
      </c>
      <c r="I2589" s="9" t="s">
        <v>6118</v>
      </c>
    </row>
    <row r="2590" customFormat="false" ht="15.75" hidden="false" customHeight="false" outlineLevel="0" collapsed="false">
      <c r="B2590" s="7" t="n">
        <v>46269</v>
      </c>
      <c r="C2590" s="3" t="s">
        <v>6119</v>
      </c>
      <c r="D2590" s="3" t="s">
        <v>5958</v>
      </c>
      <c r="E2590" s="3" t="s">
        <v>6104</v>
      </c>
      <c r="F2590" s="3" t="s">
        <v>6105</v>
      </c>
      <c r="G2590" s="15" t="s">
        <v>6120</v>
      </c>
      <c r="H2590" s="9" t="s">
        <v>13</v>
      </c>
      <c r="I2590" s="9" t="s">
        <v>6121</v>
      </c>
    </row>
    <row r="2591" customFormat="false" ht="15.75" hidden="false" customHeight="false" outlineLevel="0" collapsed="false">
      <c r="B2591" s="7" t="n">
        <v>46269</v>
      </c>
      <c r="C2591" s="3" t="s">
        <v>6122</v>
      </c>
      <c r="D2591" s="3" t="s">
        <v>5958</v>
      </c>
      <c r="E2591" s="3" t="s">
        <v>6104</v>
      </c>
      <c r="F2591" s="3" t="s">
        <v>6105</v>
      </c>
      <c r="G2591" s="15" t="s">
        <v>6120</v>
      </c>
      <c r="H2591" s="9" t="s">
        <v>13</v>
      </c>
      <c r="I2591" s="9" t="s">
        <v>6123</v>
      </c>
    </row>
    <row r="2592" customFormat="false" ht="15.75" hidden="false" customHeight="false" outlineLevel="0" collapsed="false">
      <c r="B2592" s="7" t="n">
        <v>46269</v>
      </c>
      <c r="C2592" s="3" t="s">
        <v>6124</v>
      </c>
      <c r="D2592" s="3" t="s">
        <v>5958</v>
      </c>
      <c r="E2592" s="3" t="s">
        <v>6104</v>
      </c>
      <c r="F2592" s="3" t="s">
        <v>6105</v>
      </c>
      <c r="G2592" s="15" t="s">
        <v>3484</v>
      </c>
      <c r="H2592" s="9" t="s">
        <v>13</v>
      </c>
      <c r="I2592" s="9" t="s">
        <v>6125</v>
      </c>
    </row>
    <row r="2593" customFormat="false" ht="15.75" hidden="false" customHeight="false" outlineLevel="0" collapsed="false">
      <c r="B2593" s="7" t="n">
        <v>46269</v>
      </c>
      <c r="C2593" s="3" t="s">
        <v>6126</v>
      </c>
      <c r="D2593" s="3" t="s">
        <v>5958</v>
      </c>
      <c r="E2593" s="3" t="s">
        <v>6104</v>
      </c>
      <c r="F2593" s="3" t="s">
        <v>6105</v>
      </c>
      <c r="G2593" s="15" t="s">
        <v>6021</v>
      </c>
      <c r="H2593" s="9" t="s">
        <v>13</v>
      </c>
      <c r="I2593" s="9" t="s">
        <v>6127</v>
      </c>
    </row>
    <row r="2594" customFormat="false" ht="15.75" hidden="false" customHeight="false" outlineLevel="0" collapsed="false">
      <c r="B2594" s="7" t="n">
        <v>46269</v>
      </c>
      <c r="C2594" s="3" t="s">
        <v>6128</v>
      </c>
      <c r="D2594" s="3" t="s">
        <v>5958</v>
      </c>
      <c r="E2594" s="3" t="s">
        <v>6104</v>
      </c>
      <c r="F2594" s="3" t="s">
        <v>6105</v>
      </c>
      <c r="G2594" s="15" t="s">
        <v>6021</v>
      </c>
      <c r="H2594" s="9" t="s">
        <v>13</v>
      </c>
      <c r="I2594" s="9" t="s">
        <v>6129</v>
      </c>
    </row>
    <row r="2595" customFormat="false" ht="15.75" hidden="false" customHeight="false" outlineLevel="0" collapsed="false">
      <c r="B2595" s="7" t="n">
        <v>46269</v>
      </c>
      <c r="C2595" s="3" t="s">
        <v>6130</v>
      </c>
      <c r="D2595" s="3" t="s">
        <v>5958</v>
      </c>
      <c r="E2595" s="3" t="s">
        <v>6104</v>
      </c>
      <c r="F2595" s="3" t="s">
        <v>6105</v>
      </c>
      <c r="G2595" s="15" t="s">
        <v>6021</v>
      </c>
      <c r="H2595" s="9" t="s">
        <v>13</v>
      </c>
      <c r="I2595" s="9" t="s">
        <v>6131</v>
      </c>
    </row>
    <row r="2596" customFormat="false" ht="15.75" hidden="false" customHeight="false" outlineLevel="0" collapsed="false">
      <c r="B2596" s="7" t="n">
        <v>46269</v>
      </c>
      <c r="C2596" s="3" t="s">
        <v>6132</v>
      </c>
      <c r="D2596" s="3" t="s">
        <v>5958</v>
      </c>
      <c r="E2596" s="3" t="s">
        <v>6104</v>
      </c>
      <c r="F2596" s="3" t="s">
        <v>6105</v>
      </c>
      <c r="G2596" s="15" t="s">
        <v>6021</v>
      </c>
      <c r="H2596" s="9" t="s">
        <v>13</v>
      </c>
      <c r="I2596" s="9" t="s">
        <v>6133</v>
      </c>
    </row>
    <row r="2597" customFormat="false" ht="15.75" hidden="false" customHeight="false" outlineLevel="0" collapsed="false">
      <c r="B2597" s="7" t="n">
        <v>46269</v>
      </c>
      <c r="C2597" s="3" t="s">
        <v>6134</v>
      </c>
      <c r="D2597" s="3" t="s">
        <v>5958</v>
      </c>
      <c r="E2597" s="3" t="s">
        <v>6104</v>
      </c>
      <c r="F2597" s="3" t="s">
        <v>6105</v>
      </c>
      <c r="G2597" s="15" t="s">
        <v>6021</v>
      </c>
      <c r="H2597" s="9" t="s">
        <v>13</v>
      </c>
      <c r="I2597" s="9" t="s">
        <v>6135</v>
      </c>
    </row>
    <row r="2598" customFormat="false" ht="15.75" hidden="false" customHeight="false" outlineLevel="0" collapsed="false">
      <c r="B2598" s="7" t="n">
        <v>46269</v>
      </c>
      <c r="C2598" s="3" t="s">
        <v>6136</v>
      </c>
      <c r="D2598" s="3" t="s">
        <v>5958</v>
      </c>
      <c r="E2598" s="3" t="s">
        <v>6104</v>
      </c>
      <c r="F2598" s="3" t="s">
        <v>6105</v>
      </c>
      <c r="G2598" s="15" t="s">
        <v>6021</v>
      </c>
      <c r="H2598" s="9" t="s">
        <v>13</v>
      </c>
      <c r="I2598" s="9" t="s">
        <v>6137</v>
      </c>
    </row>
    <row r="2599" customFormat="false" ht="15.75" hidden="false" customHeight="false" outlineLevel="0" collapsed="false">
      <c r="B2599" s="7" t="n">
        <v>46269</v>
      </c>
      <c r="C2599" s="3" t="s">
        <v>6138</v>
      </c>
      <c r="D2599" s="3" t="s">
        <v>5958</v>
      </c>
      <c r="E2599" s="3" t="s">
        <v>6104</v>
      </c>
      <c r="F2599" s="3" t="s">
        <v>6105</v>
      </c>
      <c r="G2599" s="15" t="s">
        <v>6021</v>
      </c>
      <c r="H2599" s="9" t="s">
        <v>13</v>
      </c>
      <c r="I2599" s="9" t="s">
        <v>6137</v>
      </c>
    </row>
    <row r="2600" customFormat="false" ht="15.75" hidden="false" customHeight="false" outlineLevel="0" collapsed="false">
      <c r="B2600" s="7" t="n">
        <v>46269</v>
      </c>
      <c r="C2600" s="3" t="s">
        <v>6139</v>
      </c>
      <c r="D2600" s="3" t="s">
        <v>5958</v>
      </c>
      <c r="E2600" s="3" t="s">
        <v>6104</v>
      </c>
      <c r="F2600" s="3" t="s">
        <v>6105</v>
      </c>
      <c r="G2600" s="15" t="s">
        <v>467</v>
      </c>
      <c r="H2600" s="9" t="s">
        <v>13</v>
      </c>
      <c r="I2600" s="9" t="s">
        <v>6140</v>
      </c>
    </row>
    <row r="2601" customFormat="false" ht="15.75" hidden="false" customHeight="false" outlineLevel="0" collapsed="false">
      <c r="B2601" s="7" t="n">
        <v>46269</v>
      </c>
      <c r="C2601" s="3" t="s">
        <v>6141</v>
      </c>
      <c r="D2601" s="3" t="s">
        <v>5958</v>
      </c>
      <c r="E2601" s="3" t="s">
        <v>6104</v>
      </c>
      <c r="F2601" s="3" t="s">
        <v>6142</v>
      </c>
      <c r="G2601" s="16" t="s">
        <v>6143</v>
      </c>
      <c r="H2601" s="9" t="s">
        <v>13</v>
      </c>
      <c r="I2601" s="9" t="s">
        <v>6144</v>
      </c>
    </row>
    <row r="2602" customFormat="false" ht="15.75" hidden="false" customHeight="false" outlineLevel="0" collapsed="false">
      <c r="B2602" s="7" t="n">
        <v>46269</v>
      </c>
      <c r="C2602" s="3" t="s">
        <v>6145</v>
      </c>
      <c r="D2602" s="3" t="s">
        <v>5958</v>
      </c>
      <c r="E2602" s="3" t="s">
        <v>6104</v>
      </c>
      <c r="F2602" s="3" t="s">
        <v>6142</v>
      </c>
      <c r="G2602" s="15" t="s">
        <v>6146</v>
      </c>
      <c r="H2602" s="9" t="s">
        <v>13</v>
      </c>
      <c r="I2602" s="9" t="s">
        <v>6147</v>
      </c>
    </row>
    <row r="2603" customFormat="false" ht="15.75" hidden="false" customHeight="false" outlineLevel="0" collapsed="false">
      <c r="B2603" s="7" t="n">
        <v>46269</v>
      </c>
      <c r="C2603" s="3" t="s">
        <v>6148</v>
      </c>
      <c r="D2603" s="3" t="s">
        <v>5958</v>
      </c>
      <c r="E2603" s="3" t="s">
        <v>6104</v>
      </c>
      <c r="F2603" s="3" t="s">
        <v>6142</v>
      </c>
      <c r="G2603" s="16" t="s">
        <v>6149</v>
      </c>
      <c r="H2603" s="9" t="s">
        <v>13</v>
      </c>
      <c r="I2603" s="9" t="s">
        <v>6150</v>
      </c>
    </row>
    <row r="2604" customFormat="false" ht="15.75" hidden="false" customHeight="false" outlineLevel="0" collapsed="false">
      <c r="B2604" s="7" t="n">
        <v>46269</v>
      </c>
      <c r="C2604" s="3" t="s">
        <v>6151</v>
      </c>
      <c r="D2604" s="3" t="s">
        <v>5958</v>
      </c>
      <c r="E2604" s="3" t="s">
        <v>6104</v>
      </c>
      <c r="F2604" s="3" t="s">
        <v>6142</v>
      </c>
      <c r="G2604" s="15" t="s">
        <v>3795</v>
      </c>
      <c r="H2604" s="9" t="s">
        <v>13</v>
      </c>
      <c r="I2604" s="9" t="s">
        <v>6152</v>
      </c>
    </row>
    <row r="2605" customFormat="false" ht="15.75" hidden="false" customHeight="false" outlineLevel="0" collapsed="false">
      <c r="B2605" s="7" t="n">
        <v>46269</v>
      </c>
      <c r="C2605" s="3" t="s">
        <v>6153</v>
      </c>
      <c r="D2605" s="3" t="s">
        <v>5958</v>
      </c>
      <c r="E2605" s="3" t="s">
        <v>6104</v>
      </c>
      <c r="F2605" s="3" t="s">
        <v>6142</v>
      </c>
      <c r="G2605" s="15" t="s">
        <v>2793</v>
      </c>
      <c r="H2605" s="9" t="s">
        <v>13</v>
      </c>
      <c r="I2605" s="9" t="s">
        <v>6154</v>
      </c>
    </row>
    <row r="2606" customFormat="false" ht="15.75" hidden="false" customHeight="false" outlineLevel="0" collapsed="false">
      <c r="B2606" s="7" t="n">
        <v>46269</v>
      </c>
      <c r="C2606" s="3" t="s">
        <v>6155</v>
      </c>
      <c r="D2606" s="3" t="s">
        <v>5958</v>
      </c>
      <c r="E2606" s="3" t="s">
        <v>6104</v>
      </c>
      <c r="F2606" s="3" t="s">
        <v>6142</v>
      </c>
      <c r="G2606" s="16" t="s">
        <v>6156</v>
      </c>
      <c r="H2606" s="9" t="s">
        <v>13</v>
      </c>
      <c r="I2606" s="9" t="s">
        <v>6157</v>
      </c>
    </row>
    <row r="2607" customFormat="false" ht="15.75" hidden="false" customHeight="false" outlineLevel="0" collapsed="false">
      <c r="B2607" s="7" t="n">
        <v>46269</v>
      </c>
      <c r="C2607" s="3" t="s">
        <v>6158</v>
      </c>
      <c r="D2607" s="3" t="s">
        <v>5958</v>
      </c>
      <c r="E2607" s="3" t="s">
        <v>6104</v>
      </c>
      <c r="F2607" s="3" t="s">
        <v>6142</v>
      </c>
      <c r="G2607" s="16" t="s">
        <v>3790</v>
      </c>
      <c r="H2607" s="9" t="s">
        <v>13</v>
      </c>
      <c r="I2607" s="9" t="s">
        <v>6159</v>
      </c>
    </row>
    <row r="2608" customFormat="false" ht="15.75" hidden="false" customHeight="false" outlineLevel="0" collapsed="false">
      <c r="B2608" s="7" t="n">
        <v>46269</v>
      </c>
      <c r="C2608" s="3" t="s">
        <v>6160</v>
      </c>
      <c r="D2608" s="3" t="s">
        <v>5958</v>
      </c>
      <c r="E2608" s="3" t="s">
        <v>6104</v>
      </c>
      <c r="F2608" s="3" t="s">
        <v>6142</v>
      </c>
      <c r="G2608" s="15" t="s">
        <v>6161</v>
      </c>
      <c r="H2608" s="9" t="s">
        <v>13</v>
      </c>
      <c r="I2608" s="9" t="s">
        <v>6162</v>
      </c>
    </row>
    <row r="2609" customFormat="false" ht="15.75" hidden="false" customHeight="false" outlineLevel="0" collapsed="false">
      <c r="B2609" s="7" t="n">
        <v>46269</v>
      </c>
      <c r="C2609" s="3" t="s">
        <v>6163</v>
      </c>
      <c r="D2609" s="3" t="s">
        <v>5958</v>
      </c>
      <c r="E2609" s="3" t="s">
        <v>6104</v>
      </c>
      <c r="F2609" s="3" t="s">
        <v>6142</v>
      </c>
      <c r="G2609" s="16" t="s">
        <v>6164</v>
      </c>
      <c r="H2609" s="9" t="s">
        <v>13</v>
      </c>
      <c r="I2609" s="9" t="s">
        <v>6165</v>
      </c>
    </row>
    <row r="2610" customFormat="false" ht="15.75" hidden="false" customHeight="false" outlineLevel="0" collapsed="false">
      <c r="B2610" s="7" t="n">
        <v>46269</v>
      </c>
      <c r="C2610" s="3" t="s">
        <v>6166</v>
      </c>
      <c r="D2610" s="3" t="s">
        <v>5958</v>
      </c>
      <c r="E2610" s="3" t="s">
        <v>6104</v>
      </c>
      <c r="F2610" s="3" t="s">
        <v>6142</v>
      </c>
      <c r="G2610" s="15" t="s">
        <v>6167</v>
      </c>
      <c r="H2610" s="9" t="s">
        <v>13</v>
      </c>
      <c r="I2610" s="9" t="s">
        <v>6168</v>
      </c>
    </row>
    <row r="2611" customFormat="false" ht="15.75" hidden="false" customHeight="false" outlineLevel="0" collapsed="false">
      <c r="B2611" s="7" t="n">
        <v>46269</v>
      </c>
      <c r="C2611" s="3" t="s">
        <v>6169</v>
      </c>
      <c r="D2611" s="3" t="s">
        <v>5958</v>
      </c>
      <c r="E2611" s="3" t="s">
        <v>6104</v>
      </c>
      <c r="F2611" s="3" t="s">
        <v>6142</v>
      </c>
      <c r="G2611" s="15" t="s">
        <v>6167</v>
      </c>
      <c r="H2611" s="9" t="s">
        <v>13</v>
      </c>
      <c r="I2611" s="9" t="s">
        <v>6168</v>
      </c>
    </row>
    <row r="2612" customFormat="false" ht="15.75" hidden="false" customHeight="false" outlineLevel="0" collapsed="false">
      <c r="B2612" s="7" t="n">
        <v>46269</v>
      </c>
      <c r="C2612" s="3" t="s">
        <v>6170</v>
      </c>
      <c r="D2612" s="3" t="s">
        <v>5958</v>
      </c>
      <c r="E2612" s="3" t="s">
        <v>6104</v>
      </c>
      <c r="F2612" s="3" t="s">
        <v>6142</v>
      </c>
      <c r="G2612" s="16" t="s">
        <v>6171</v>
      </c>
      <c r="H2612" s="9" t="s">
        <v>13</v>
      </c>
      <c r="I2612" s="9" t="s">
        <v>6172</v>
      </c>
    </row>
    <row r="2613" customFormat="false" ht="15.75" hidden="false" customHeight="false" outlineLevel="0" collapsed="false">
      <c r="B2613" s="7" t="n">
        <v>46269</v>
      </c>
      <c r="C2613" s="3" t="s">
        <v>6173</v>
      </c>
      <c r="D2613" s="3" t="s">
        <v>5958</v>
      </c>
      <c r="E2613" s="3" t="s">
        <v>6104</v>
      </c>
      <c r="F2613" s="3" t="s">
        <v>6142</v>
      </c>
      <c r="G2613" s="15" t="s">
        <v>6174</v>
      </c>
      <c r="H2613" s="9" t="s">
        <v>13</v>
      </c>
      <c r="I2613" s="9" t="s">
        <v>6175</v>
      </c>
    </row>
    <row r="2614" customFormat="false" ht="15.75" hidden="false" customHeight="false" outlineLevel="0" collapsed="false">
      <c r="B2614" s="7" t="n">
        <v>46269</v>
      </c>
      <c r="C2614" s="3" t="s">
        <v>6176</v>
      </c>
      <c r="D2614" s="3" t="s">
        <v>5958</v>
      </c>
      <c r="E2614" s="3" t="s">
        <v>6104</v>
      </c>
      <c r="F2614" s="3" t="s">
        <v>6142</v>
      </c>
      <c r="G2614" s="15" t="s">
        <v>6177</v>
      </c>
      <c r="H2614" s="9" t="s">
        <v>13</v>
      </c>
      <c r="I2614" s="9" t="s">
        <v>6178</v>
      </c>
    </row>
    <row r="2615" customFormat="false" ht="15.75" hidden="false" customHeight="false" outlineLevel="0" collapsed="false">
      <c r="B2615" s="7" t="n">
        <v>46269</v>
      </c>
      <c r="C2615" s="3" t="s">
        <v>6179</v>
      </c>
      <c r="D2615" s="3" t="s">
        <v>5958</v>
      </c>
      <c r="E2615" s="3" t="s">
        <v>6104</v>
      </c>
      <c r="F2615" s="3" t="s">
        <v>6142</v>
      </c>
      <c r="G2615" s="15" t="s">
        <v>6180</v>
      </c>
      <c r="H2615" s="9" t="s">
        <v>13</v>
      </c>
      <c r="I2615" s="9" t="s">
        <v>6181</v>
      </c>
    </row>
    <row r="2616" customFormat="false" ht="15.75" hidden="false" customHeight="false" outlineLevel="0" collapsed="false">
      <c r="B2616" s="7" t="n">
        <v>46269</v>
      </c>
      <c r="C2616" s="3" t="s">
        <v>6182</v>
      </c>
      <c r="D2616" s="3" t="s">
        <v>5958</v>
      </c>
      <c r="E2616" s="3" t="s">
        <v>6104</v>
      </c>
      <c r="F2616" s="3" t="s">
        <v>6142</v>
      </c>
      <c r="G2616" s="15" t="s">
        <v>6183</v>
      </c>
      <c r="H2616" s="9" t="s">
        <v>13</v>
      </c>
      <c r="I2616" s="9" t="s">
        <v>6184</v>
      </c>
    </row>
    <row r="2617" customFormat="false" ht="15.75" hidden="false" customHeight="false" outlineLevel="0" collapsed="false">
      <c r="B2617" s="7" t="n">
        <v>46269</v>
      </c>
      <c r="C2617" s="3" t="s">
        <v>6185</v>
      </c>
      <c r="D2617" s="3" t="s">
        <v>5958</v>
      </c>
      <c r="E2617" s="3" t="s">
        <v>6104</v>
      </c>
      <c r="F2617" s="3" t="s">
        <v>6142</v>
      </c>
      <c r="G2617" s="15" t="s">
        <v>6186</v>
      </c>
      <c r="H2617" s="9" t="s">
        <v>13</v>
      </c>
      <c r="I2617" s="9" t="s">
        <v>6187</v>
      </c>
    </row>
    <row r="2618" customFormat="false" ht="15.75" hidden="false" customHeight="false" outlineLevel="0" collapsed="false">
      <c r="B2618" s="7" t="n">
        <v>46269</v>
      </c>
      <c r="C2618" s="3" t="s">
        <v>6188</v>
      </c>
      <c r="D2618" s="3" t="s">
        <v>5958</v>
      </c>
      <c r="E2618" s="3" t="s">
        <v>6104</v>
      </c>
      <c r="F2618" s="3" t="s">
        <v>6142</v>
      </c>
      <c r="G2618" s="15" t="s">
        <v>6186</v>
      </c>
      <c r="H2618" s="9" t="s">
        <v>13</v>
      </c>
      <c r="I2618" s="9" t="s">
        <v>6187</v>
      </c>
    </row>
    <row r="2619" customFormat="false" ht="15.75" hidden="false" customHeight="false" outlineLevel="0" collapsed="false">
      <c r="B2619" s="7" t="n">
        <v>46269</v>
      </c>
      <c r="C2619" s="3" t="s">
        <v>6189</v>
      </c>
      <c r="D2619" s="3" t="s">
        <v>5958</v>
      </c>
      <c r="E2619" s="3" t="s">
        <v>6104</v>
      </c>
      <c r="F2619" s="3" t="s">
        <v>6142</v>
      </c>
      <c r="G2619" s="15" t="s">
        <v>2452</v>
      </c>
      <c r="H2619" s="9" t="s">
        <v>13</v>
      </c>
      <c r="I2619" s="9" t="s">
        <v>6190</v>
      </c>
    </row>
    <row r="2620" customFormat="false" ht="15.75" hidden="false" customHeight="false" outlineLevel="0" collapsed="false">
      <c r="B2620" s="7" t="n">
        <v>46269</v>
      </c>
      <c r="C2620" s="3" t="s">
        <v>6191</v>
      </c>
      <c r="D2620" s="3" t="s">
        <v>5958</v>
      </c>
      <c r="E2620" s="3" t="s">
        <v>6104</v>
      </c>
      <c r="F2620" s="3" t="s">
        <v>6142</v>
      </c>
      <c r="G2620" s="15" t="s">
        <v>6192</v>
      </c>
      <c r="H2620" s="9" t="s">
        <v>13</v>
      </c>
      <c r="I2620" s="9" t="s">
        <v>6193</v>
      </c>
    </row>
    <row r="2621" customFormat="false" ht="15.75" hidden="false" customHeight="false" outlineLevel="0" collapsed="false">
      <c r="B2621" s="7" t="n">
        <v>46269</v>
      </c>
      <c r="C2621" s="3" t="s">
        <v>6194</v>
      </c>
      <c r="D2621" s="3" t="s">
        <v>5958</v>
      </c>
      <c r="E2621" s="3" t="s">
        <v>6104</v>
      </c>
      <c r="F2621" s="3" t="s">
        <v>6142</v>
      </c>
      <c r="G2621" s="16" t="s">
        <v>6195</v>
      </c>
      <c r="H2621" s="9" t="s">
        <v>13</v>
      </c>
      <c r="I2621" s="9" t="s">
        <v>6196</v>
      </c>
    </row>
    <row r="2622" customFormat="false" ht="15.75" hidden="false" customHeight="false" outlineLevel="0" collapsed="false">
      <c r="B2622" s="7" t="n">
        <v>46269</v>
      </c>
      <c r="C2622" s="3" t="s">
        <v>6197</v>
      </c>
      <c r="D2622" s="3" t="s">
        <v>5958</v>
      </c>
      <c r="E2622" s="3" t="s">
        <v>6104</v>
      </c>
      <c r="F2622" s="3" t="s">
        <v>6142</v>
      </c>
      <c r="G2622" s="15" t="s">
        <v>6198</v>
      </c>
      <c r="H2622" s="9" t="s">
        <v>13</v>
      </c>
      <c r="I2622" s="9" t="s">
        <v>6199</v>
      </c>
    </row>
    <row r="2623" customFormat="false" ht="15.75" hidden="false" customHeight="false" outlineLevel="0" collapsed="false">
      <c r="B2623" s="7" t="n">
        <v>46269</v>
      </c>
      <c r="C2623" s="3" t="s">
        <v>6200</v>
      </c>
      <c r="D2623" s="3" t="s">
        <v>5958</v>
      </c>
      <c r="E2623" s="3" t="s">
        <v>6104</v>
      </c>
      <c r="F2623" s="3" t="s">
        <v>6201</v>
      </c>
      <c r="G2623" s="15" t="s">
        <v>6202</v>
      </c>
      <c r="H2623" s="9" t="s">
        <v>13</v>
      </c>
      <c r="I2623" s="9" t="s">
        <v>6203</v>
      </c>
    </row>
    <row r="2624" customFormat="false" ht="15.75" hidden="false" customHeight="false" outlineLevel="0" collapsed="false">
      <c r="B2624" s="7" t="n">
        <v>46269</v>
      </c>
      <c r="C2624" s="3" t="s">
        <v>6204</v>
      </c>
      <c r="D2624" s="3" t="s">
        <v>5958</v>
      </c>
      <c r="E2624" s="3" t="s">
        <v>6104</v>
      </c>
      <c r="F2624" s="3" t="s">
        <v>6201</v>
      </c>
      <c r="G2624" s="15" t="s">
        <v>6202</v>
      </c>
      <c r="H2624" s="9" t="s">
        <v>13</v>
      </c>
      <c r="I2624" s="9" t="s">
        <v>6203</v>
      </c>
    </row>
    <row r="2625" customFormat="false" ht="15.75" hidden="false" customHeight="false" outlineLevel="0" collapsed="false">
      <c r="B2625" s="7" t="n">
        <v>46269</v>
      </c>
      <c r="C2625" s="3" t="s">
        <v>6205</v>
      </c>
      <c r="D2625" s="3" t="s">
        <v>5958</v>
      </c>
      <c r="E2625" s="3" t="s">
        <v>6104</v>
      </c>
      <c r="F2625" s="3" t="s">
        <v>6201</v>
      </c>
      <c r="G2625" s="15" t="s">
        <v>2902</v>
      </c>
      <c r="H2625" s="9" t="s">
        <v>13</v>
      </c>
      <c r="I2625" s="9" t="s">
        <v>6206</v>
      </c>
    </row>
    <row r="2626" customFormat="false" ht="15.75" hidden="false" customHeight="false" outlineLevel="0" collapsed="false">
      <c r="B2626" s="7" t="n">
        <v>46269</v>
      </c>
      <c r="C2626" s="3" t="s">
        <v>6207</v>
      </c>
      <c r="D2626" s="3" t="s">
        <v>5958</v>
      </c>
      <c r="E2626" s="3" t="s">
        <v>6104</v>
      </c>
      <c r="F2626" s="3" t="s">
        <v>6201</v>
      </c>
      <c r="G2626" s="15" t="s">
        <v>3859</v>
      </c>
      <c r="H2626" s="9" t="s">
        <v>13</v>
      </c>
      <c r="I2626" s="9" t="s">
        <v>6208</v>
      </c>
    </row>
    <row r="2627" customFormat="false" ht="15.75" hidden="false" customHeight="false" outlineLevel="0" collapsed="false">
      <c r="B2627" s="7" t="n">
        <v>46269</v>
      </c>
      <c r="C2627" s="3" t="s">
        <v>6209</v>
      </c>
      <c r="D2627" s="3" t="s">
        <v>5958</v>
      </c>
      <c r="E2627" s="3" t="s">
        <v>6104</v>
      </c>
      <c r="F2627" s="3" t="s">
        <v>6201</v>
      </c>
      <c r="G2627" s="15" t="s">
        <v>6210</v>
      </c>
      <c r="H2627" s="9" t="s">
        <v>13</v>
      </c>
      <c r="I2627" s="9" t="s">
        <v>6211</v>
      </c>
    </row>
    <row r="2628" customFormat="false" ht="15.75" hidden="false" customHeight="false" outlineLevel="0" collapsed="false">
      <c r="B2628" s="7" t="n">
        <v>46269</v>
      </c>
      <c r="C2628" s="3" t="s">
        <v>6212</v>
      </c>
      <c r="D2628" s="3" t="s">
        <v>5958</v>
      </c>
      <c r="E2628" s="3" t="s">
        <v>6104</v>
      </c>
      <c r="F2628" s="3" t="s">
        <v>6201</v>
      </c>
      <c r="G2628" s="16" t="s">
        <v>6213</v>
      </c>
      <c r="H2628" s="9" t="s">
        <v>13</v>
      </c>
      <c r="I2628" s="9" t="s">
        <v>6214</v>
      </c>
    </row>
    <row r="2629" customFormat="false" ht="15.75" hidden="false" customHeight="false" outlineLevel="0" collapsed="false">
      <c r="B2629" s="7" t="n">
        <v>46269</v>
      </c>
      <c r="C2629" s="3" t="s">
        <v>6215</v>
      </c>
      <c r="D2629" s="3" t="s">
        <v>5958</v>
      </c>
      <c r="E2629" s="3" t="s">
        <v>6104</v>
      </c>
      <c r="F2629" s="3" t="s">
        <v>6201</v>
      </c>
      <c r="G2629" s="16" t="s">
        <v>6216</v>
      </c>
      <c r="H2629" s="9" t="s">
        <v>13</v>
      </c>
      <c r="I2629" s="9" t="s">
        <v>6217</v>
      </c>
    </row>
    <row r="2630" customFormat="false" ht="15.75" hidden="false" customHeight="false" outlineLevel="0" collapsed="false">
      <c r="B2630" s="7" t="n">
        <v>46269</v>
      </c>
      <c r="C2630" s="3" t="s">
        <v>6218</v>
      </c>
      <c r="D2630" s="3" t="s">
        <v>5958</v>
      </c>
      <c r="E2630" s="3" t="s">
        <v>6104</v>
      </c>
      <c r="F2630" s="3" t="s">
        <v>6201</v>
      </c>
      <c r="G2630" s="15" t="s">
        <v>2099</v>
      </c>
      <c r="H2630" s="9" t="s">
        <v>13</v>
      </c>
      <c r="I2630" s="9" t="s">
        <v>6219</v>
      </c>
    </row>
    <row r="2631" customFormat="false" ht="15.75" hidden="false" customHeight="false" outlineLevel="0" collapsed="false">
      <c r="B2631" s="7" t="n">
        <v>46269</v>
      </c>
      <c r="C2631" s="3" t="s">
        <v>6220</v>
      </c>
      <c r="D2631" s="3" t="s">
        <v>5958</v>
      </c>
      <c r="E2631" s="3" t="s">
        <v>6104</v>
      </c>
      <c r="F2631" s="3" t="s">
        <v>6201</v>
      </c>
      <c r="G2631" s="16" t="s">
        <v>6221</v>
      </c>
      <c r="H2631" s="9" t="s">
        <v>13</v>
      </c>
      <c r="I2631" s="9" t="s">
        <v>6222</v>
      </c>
    </row>
    <row r="2632" customFormat="false" ht="15.75" hidden="false" customHeight="false" outlineLevel="0" collapsed="false">
      <c r="B2632" s="7" t="n">
        <v>46269</v>
      </c>
      <c r="C2632" s="3" t="s">
        <v>6223</v>
      </c>
      <c r="D2632" s="3" t="s">
        <v>5958</v>
      </c>
      <c r="E2632" s="3" t="s">
        <v>6104</v>
      </c>
      <c r="F2632" s="3" t="s">
        <v>6201</v>
      </c>
      <c r="G2632" s="15" t="s">
        <v>467</v>
      </c>
      <c r="H2632" s="9" t="s">
        <v>13</v>
      </c>
      <c r="I2632" s="9" t="s">
        <v>6224</v>
      </c>
    </row>
    <row r="2633" customFormat="false" ht="15.75" hidden="false" customHeight="false" outlineLevel="0" collapsed="false">
      <c r="B2633" s="7" t="n">
        <v>46269</v>
      </c>
      <c r="C2633" s="3" t="s">
        <v>6225</v>
      </c>
      <c r="D2633" s="3" t="s">
        <v>5958</v>
      </c>
      <c r="E2633" s="3" t="s">
        <v>6104</v>
      </c>
      <c r="F2633" s="3" t="s">
        <v>6201</v>
      </c>
      <c r="G2633" s="15" t="s">
        <v>3470</v>
      </c>
      <c r="H2633" s="9" t="s">
        <v>13</v>
      </c>
      <c r="I2633" s="9" t="s">
        <v>6226</v>
      </c>
    </row>
    <row r="2634" customFormat="false" ht="15.75" hidden="false" customHeight="false" outlineLevel="0" collapsed="false">
      <c r="B2634" s="7" t="n">
        <v>46269</v>
      </c>
      <c r="C2634" s="3" t="s">
        <v>6227</v>
      </c>
      <c r="D2634" s="3" t="s">
        <v>5958</v>
      </c>
      <c r="E2634" s="3" t="s">
        <v>6104</v>
      </c>
      <c r="F2634" s="3" t="s">
        <v>6201</v>
      </c>
      <c r="G2634" s="15" t="s">
        <v>2793</v>
      </c>
      <c r="H2634" s="9" t="s">
        <v>13</v>
      </c>
      <c r="I2634" s="9" t="s">
        <v>6228</v>
      </c>
    </row>
    <row r="2635" customFormat="false" ht="15.75" hidden="false" customHeight="false" outlineLevel="0" collapsed="false">
      <c r="B2635" s="7" t="n">
        <v>46269</v>
      </c>
      <c r="C2635" s="3" t="s">
        <v>6229</v>
      </c>
      <c r="D2635" s="3" t="s">
        <v>5958</v>
      </c>
      <c r="E2635" s="3" t="s">
        <v>6104</v>
      </c>
      <c r="F2635" s="3" t="s">
        <v>6201</v>
      </c>
      <c r="G2635" s="15" t="s">
        <v>6230</v>
      </c>
      <c r="H2635" s="9" t="s">
        <v>13</v>
      </c>
      <c r="I2635" s="9" t="s">
        <v>6231</v>
      </c>
    </row>
    <row r="2636" customFormat="false" ht="15.75" hidden="false" customHeight="false" outlineLevel="0" collapsed="false">
      <c r="B2636" s="7" t="n">
        <v>46269</v>
      </c>
      <c r="C2636" s="3" t="s">
        <v>6232</v>
      </c>
      <c r="D2636" s="3" t="s">
        <v>5958</v>
      </c>
      <c r="E2636" s="3" t="s">
        <v>6104</v>
      </c>
      <c r="F2636" s="3" t="s">
        <v>6201</v>
      </c>
      <c r="G2636" s="16" t="s">
        <v>6233</v>
      </c>
      <c r="H2636" s="9" t="s">
        <v>13</v>
      </c>
      <c r="I2636" s="9" t="s">
        <v>6234</v>
      </c>
    </row>
    <row r="2637" customFormat="false" ht="15.75" hidden="false" customHeight="false" outlineLevel="0" collapsed="false">
      <c r="B2637" s="7" t="n">
        <v>46269</v>
      </c>
      <c r="C2637" s="3" t="s">
        <v>6235</v>
      </c>
      <c r="D2637" s="3" t="s">
        <v>5958</v>
      </c>
      <c r="E2637" s="3" t="s">
        <v>6104</v>
      </c>
      <c r="F2637" s="3" t="s">
        <v>6201</v>
      </c>
      <c r="G2637" s="16" t="s">
        <v>6236</v>
      </c>
      <c r="H2637" s="9" t="s">
        <v>13</v>
      </c>
      <c r="I2637" s="9" t="s">
        <v>6237</v>
      </c>
    </row>
    <row r="2638" customFormat="false" ht="15.75" hidden="false" customHeight="false" outlineLevel="0" collapsed="false">
      <c r="B2638" s="7" t="n">
        <v>46269</v>
      </c>
      <c r="C2638" s="3" t="s">
        <v>6238</v>
      </c>
      <c r="D2638" s="3" t="s">
        <v>5958</v>
      </c>
      <c r="E2638" s="3" t="s">
        <v>6104</v>
      </c>
      <c r="F2638" s="3" t="s">
        <v>6201</v>
      </c>
      <c r="G2638" s="15" t="s">
        <v>6239</v>
      </c>
      <c r="H2638" s="9" t="s">
        <v>13</v>
      </c>
      <c r="I2638" s="9" t="s">
        <v>6240</v>
      </c>
    </row>
    <row r="2639" customFormat="false" ht="15.75" hidden="false" customHeight="false" outlineLevel="0" collapsed="false">
      <c r="B2639" s="7" t="n">
        <v>46269</v>
      </c>
      <c r="C2639" s="3" t="s">
        <v>6241</v>
      </c>
      <c r="D2639" s="3" t="s">
        <v>5958</v>
      </c>
      <c r="E2639" s="3" t="s">
        <v>6104</v>
      </c>
      <c r="F2639" s="3" t="s">
        <v>6201</v>
      </c>
      <c r="G2639" s="15" t="s">
        <v>6242</v>
      </c>
      <c r="H2639" s="9" t="s">
        <v>13</v>
      </c>
      <c r="I2639" s="9" t="s">
        <v>6243</v>
      </c>
    </row>
    <row r="2640" customFormat="false" ht="15.75" hidden="false" customHeight="false" outlineLevel="0" collapsed="false">
      <c r="B2640" s="7" t="n">
        <v>46269</v>
      </c>
      <c r="C2640" s="3" t="s">
        <v>6244</v>
      </c>
      <c r="D2640" s="3" t="s">
        <v>5958</v>
      </c>
      <c r="E2640" s="3" t="s">
        <v>6104</v>
      </c>
      <c r="F2640" s="3" t="s">
        <v>6201</v>
      </c>
      <c r="G2640" s="15" t="s">
        <v>6245</v>
      </c>
      <c r="H2640" s="9" t="s">
        <v>13</v>
      </c>
      <c r="I2640" s="9" t="s">
        <v>6246</v>
      </c>
    </row>
    <row r="2641" customFormat="false" ht="15.75" hidden="false" customHeight="false" outlineLevel="0" collapsed="false">
      <c r="B2641" s="7" t="n">
        <v>46269</v>
      </c>
      <c r="C2641" s="3" t="s">
        <v>6247</v>
      </c>
      <c r="D2641" s="3" t="s">
        <v>5958</v>
      </c>
      <c r="E2641" s="3" t="s">
        <v>6104</v>
      </c>
      <c r="F2641" s="3" t="s">
        <v>6201</v>
      </c>
      <c r="G2641" s="15" t="s">
        <v>6248</v>
      </c>
      <c r="H2641" s="9" t="s">
        <v>13</v>
      </c>
      <c r="I2641" s="9" t="s">
        <v>6249</v>
      </c>
    </row>
    <row r="2642" customFormat="false" ht="15.75" hidden="false" customHeight="false" outlineLevel="0" collapsed="false">
      <c r="B2642" s="7" t="n">
        <v>46269</v>
      </c>
      <c r="C2642" s="3" t="s">
        <v>6250</v>
      </c>
      <c r="D2642" s="3" t="s">
        <v>5958</v>
      </c>
      <c r="E2642" s="3" t="s">
        <v>6104</v>
      </c>
      <c r="F2642" s="3" t="s">
        <v>6201</v>
      </c>
      <c r="G2642" s="15" t="s">
        <v>6251</v>
      </c>
      <c r="H2642" s="9" t="s">
        <v>13</v>
      </c>
      <c r="I2642" s="9" t="s">
        <v>6252</v>
      </c>
    </row>
    <row r="2643" customFormat="false" ht="15.75" hidden="false" customHeight="false" outlineLevel="0" collapsed="false">
      <c r="B2643" s="7" t="n">
        <v>46269</v>
      </c>
      <c r="C2643" s="3" t="s">
        <v>6253</v>
      </c>
      <c r="D2643" s="3" t="s">
        <v>5958</v>
      </c>
      <c r="E2643" s="3" t="s">
        <v>6254</v>
      </c>
      <c r="F2643" s="3" t="s">
        <v>6255</v>
      </c>
      <c r="G2643" s="15" t="s">
        <v>6256</v>
      </c>
      <c r="H2643" s="9" t="s">
        <v>13</v>
      </c>
      <c r="I2643" s="9" t="s">
        <v>6257</v>
      </c>
    </row>
    <row r="2644" customFormat="false" ht="15.75" hidden="false" customHeight="false" outlineLevel="0" collapsed="false">
      <c r="B2644" s="7" t="n">
        <v>46269</v>
      </c>
      <c r="C2644" s="3" t="s">
        <v>6258</v>
      </c>
      <c r="D2644" s="3" t="s">
        <v>5958</v>
      </c>
      <c r="E2644" s="3" t="s">
        <v>6254</v>
      </c>
      <c r="F2644" s="3" t="s">
        <v>6255</v>
      </c>
      <c r="G2644" s="16" t="s">
        <v>6259</v>
      </c>
      <c r="H2644" s="9" t="s">
        <v>13</v>
      </c>
      <c r="I2644" s="9" t="s">
        <v>6260</v>
      </c>
    </row>
    <row r="2645" customFormat="false" ht="15.75" hidden="false" customHeight="false" outlineLevel="0" collapsed="false">
      <c r="B2645" s="7" t="n">
        <v>46269</v>
      </c>
      <c r="C2645" s="3" t="s">
        <v>6261</v>
      </c>
      <c r="D2645" s="3" t="s">
        <v>5958</v>
      </c>
      <c r="E2645" s="3" t="s">
        <v>6254</v>
      </c>
      <c r="F2645" s="3" t="s">
        <v>6255</v>
      </c>
      <c r="G2645" s="15" t="s">
        <v>6262</v>
      </c>
      <c r="H2645" s="9" t="s">
        <v>13</v>
      </c>
      <c r="I2645" s="9" t="s">
        <v>6263</v>
      </c>
    </row>
    <row r="2646" customFormat="false" ht="15.75" hidden="false" customHeight="false" outlineLevel="0" collapsed="false">
      <c r="B2646" s="7" t="n">
        <v>46269</v>
      </c>
      <c r="C2646" s="3" t="s">
        <v>6264</v>
      </c>
      <c r="D2646" s="3" t="s">
        <v>5958</v>
      </c>
      <c r="E2646" s="3" t="s">
        <v>6254</v>
      </c>
      <c r="F2646" s="3" t="s">
        <v>6255</v>
      </c>
      <c r="G2646" s="16" t="s">
        <v>6265</v>
      </c>
      <c r="H2646" s="9" t="s">
        <v>13</v>
      </c>
      <c r="I2646" s="9" t="s">
        <v>6266</v>
      </c>
    </row>
    <row r="2647" customFormat="false" ht="15.75" hidden="false" customHeight="false" outlineLevel="0" collapsed="false">
      <c r="B2647" s="7" t="n">
        <v>46269</v>
      </c>
      <c r="C2647" s="3" t="s">
        <v>6267</v>
      </c>
      <c r="D2647" s="3" t="s">
        <v>5958</v>
      </c>
      <c r="E2647" s="3" t="s">
        <v>6254</v>
      </c>
      <c r="F2647" s="3" t="s">
        <v>6255</v>
      </c>
      <c r="G2647" s="15" t="s">
        <v>2770</v>
      </c>
      <c r="H2647" s="9" t="s">
        <v>13</v>
      </c>
      <c r="I2647" s="9" t="s">
        <v>6268</v>
      </c>
    </row>
    <row r="2648" customFormat="false" ht="15.75" hidden="false" customHeight="false" outlineLevel="0" collapsed="false">
      <c r="B2648" s="7" t="n">
        <v>46269</v>
      </c>
      <c r="C2648" s="3" t="s">
        <v>6269</v>
      </c>
      <c r="D2648" s="3" t="s">
        <v>5958</v>
      </c>
      <c r="E2648" s="3" t="s">
        <v>6254</v>
      </c>
      <c r="F2648" s="3" t="s">
        <v>6255</v>
      </c>
      <c r="G2648" s="15" t="s">
        <v>2444</v>
      </c>
      <c r="H2648" s="9" t="s">
        <v>13</v>
      </c>
      <c r="I2648" s="9" t="s">
        <v>6270</v>
      </c>
    </row>
    <row r="2649" customFormat="false" ht="15.75" hidden="false" customHeight="false" outlineLevel="0" collapsed="false">
      <c r="B2649" s="7" t="n">
        <v>46269</v>
      </c>
      <c r="C2649" s="3" t="s">
        <v>6271</v>
      </c>
      <c r="D2649" s="3" t="s">
        <v>5958</v>
      </c>
      <c r="E2649" s="3" t="s">
        <v>6254</v>
      </c>
      <c r="F2649" s="3" t="s">
        <v>6255</v>
      </c>
      <c r="G2649" s="15" t="s">
        <v>3502</v>
      </c>
      <c r="H2649" s="9" t="s">
        <v>13</v>
      </c>
      <c r="I2649" s="9" t="s">
        <v>6272</v>
      </c>
    </row>
    <row r="2650" customFormat="false" ht="15.75" hidden="false" customHeight="false" outlineLevel="0" collapsed="false">
      <c r="B2650" s="7" t="n">
        <v>46269</v>
      </c>
      <c r="C2650" s="3" t="s">
        <v>6273</v>
      </c>
      <c r="D2650" s="3" t="s">
        <v>5958</v>
      </c>
      <c r="E2650" s="3" t="s">
        <v>6254</v>
      </c>
      <c r="F2650" s="3" t="s">
        <v>6255</v>
      </c>
      <c r="G2650" s="15" t="s">
        <v>3502</v>
      </c>
      <c r="H2650" s="9" t="s">
        <v>13</v>
      </c>
      <c r="I2650" s="9" t="s">
        <v>6272</v>
      </c>
    </row>
    <row r="2651" customFormat="false" ht="15.75" hidden="false" customHeight="false" outlineLevel="0" collapsed="false">
      <c r="B2651" s="7" t="n">
        <v>46269</v>
      </c>
      <c r="C2651" s="3" t="s">
        <v>6274</v>
      </c>
      <c r="D2651" s="3" t="s">
        <v>5958</v>
      </c>
      <c r="E2651" s="3" t="s">
        <v>6254</v>
      </c>
      <c r="F2651" s="3" t="s">
        <v>6255</v>
      </c>
      <c r="G2651" s="15" t="s">
        <v>2770</v>
      </c>
      <c r="H2651" s="9" t="s">
        <v>13</v>
      </c>
      <c r="I2651" s="9" t="s">
        <v>6275</v>
      </c>
    </row>
    <row r="2652" customFormat="false" ht="15.75" hidden="false" customHeight="false" outlineLevel="0" collapsed="false">
      <c r="B2652" s="7" t="n">
        <v>46269</v>
      </c>
      <c r="C2652" s="3" t="s">
        <v>6276</v>
      </c>
      <c r="D2652" s="3" t="s">
        <v>5958</v>
      </c>
      <c r="E2652" s="3" t="s">
        <v>6254</v>
      </c>
      <c r="F2652" s="3" t="s">
        <v>6255</v>
      </c>
      <c r="G2652" s="15" t="s">
        <v>2770</v>
      </c>
      <c r="H2652" s="9" t="s">
        <v>13</v>
      </c>
      <c r="I2652" s="9" t="s">
        <v>6275</v>
      </c>
    </row>
    <row r="2653" customFormat="false" ht="15.75" hidden="false" customHeight="false" outlineLevel="0" collapsed="false">
      <c r="B2653" s="7" t="n">
        <v>46269</v>
      </c>
      <c r="C2653" s="3" t="s">
        <v>6277</v>
      </c>
      <c r="D2653" s="3" t="s">
        <v>5958</v>
      </c>
      <c r="E2653" s="3" t="s">
        <v>6254</v>
      </c>
      <c r="F2653" s="3" t="s">
        <v>6255</v>
      </c>
      <c r="G2653" s="16" t="s">
        <v>6278</v>
      </c>
      <c r="H2653" s="9" t="s">
        <v>13</v>
      </c>
      <c r="I2653" s="9" t="s">
        <v>6279</v>
      </c>
    </row>
    <row r="2654" customFormat="false" ht="15.75" hidden="false" customHeight="false" outlineLevel="0" collapsed="false">
      <c r="B2654" s="7" t="n">
        <v>46269</v>
      </c>
      <c r="C2654" s="3" t="s">
        <v>6280</v>
      </c>
      <c r="D2654" s="3" t="s">
        <v>5958</v>
      </c>
      <c r="E2654" s="3" t="s">
        <v>6254</v>
      </c>
      <c r="F2654" s="3" t="s">
        <v>6255</v>
      </c>
      <c r="G2654" s="15" t="s">
        <v>3242</v>
      </c>
      <c r="H2654" s="9" t="s">
        <v>13</v>
      </c>
      <c r="I2654" s="9" t="s">
        <v>6281</v>
      </c>
    </row>
    <row r="2655" customFormat="false" ht="15.75" hidden="false" customHeight="false" outlineLevel="0" collapsed="false">
      <c r="B2655" s="7" t="n">
        <v>46269</v>
      </c>
      <c r="C2655" s="3" t="s">
        <v>6282</v>
      </c>
      <c r="D2655" s="3" t="s">
        <v>5958</v>
      </c>
      <c r="E2655" s="3" t="s">
        <v>6254</v>
      </c>
      <c r="F2655" s="3" t="s">
        <v>6255</v>
      </c>
      <c r="G2655" s="15" t="s">
        <v>3242</v>
      </c>
      <c r="H2655" s="9" t="s">
        <v>13</v>
      </c>
      <c r="I2655" s="9" t="s">
        <v>6283</v>
      </c>
    </row>
    <row r="2656" customFormat="false" ht="15.75" hidden="false" customHeight="false" outlineLevel="0" collapsed="false">
      <c r="B2656" s="7" t="n">
        <v>46269</v>
      </c>
      <c r="C2656" s="3" t="s">
        <v>6284</v>
      </c>
      <c r="D2656" s="3" t="s">
        <v>5958</v>
      </c>
      <c r="E2656" s="3" t="s">
        <v>6254</v>
      </c>
      <c r="F2656" s="3" t="s">
        <v>6255</v>
      </c>
      <c r="G2656" s="15" t="s">
        <v>3656</v>
      </c>
      <c r="H2656" s="9" t="s">
        <v>13</v>
      </c>
      <c r="I2656" s="9" t="s">
        <v>6285</v>
      </c>
    </row>
    <row r="2657" customFormat="false" ht="15.75" hidden="false" customHeight="false" outlineLevel="0" collapsed="false">
      <c r="B2657" s="7" t="n">
        <v>46269</v>
      </c>
      <c r="C2657" s="3" t="s">
        <v>6286</v>
      </c>
      <c r="D2657" s="3" t="s">
        <v>5958</v>
      </c>
      <c r="E2657" s="3" t="s">
        <v>6254</v>
      </c>
      <c r="F2657" s="3" t="s">
        <v>6255</v>
      </c>
      <c r="G2657" s="15" t="s">
        <v>3242</v>
      </c>
      <c r="H2657" s="9" t="s">
        <v>13</v>
      </c>
      <c r="I2657" s="9" t="s">
        <v>6287</v>
      </c>
    </row>
    <row r="2658" customFormat="false" ht="15.75" hidden="false" customHeight="false" outlineLevel="0" collapsed="false">
      <c r="B2658" s="7" t="n">
        <v>46269</v>
      </c>
      <c r="C2658" s="3" t="s">
        <v>6288</v>
      </c>
      <c r="D2658" s="3" t="s">
        <v>5958</v>
      </c>
      <c r="E2658" s="3" t="s">
        <v>6254</v>
      </c>
      <c r="F2658" s="3" t="s">
        <v>6255</v>
      </c>
      <c r="G2658" s="16" t="s">
        <v>6289</v>
      </c>
      <c r="H2658" s="9" t="s">
        <v>13</v>
      </c>
      <c r="I2658" s="9" t="s">
        <v>6290</v>
      </c>
    </row>
    <row r="2659" customFormat="false" ht="15.75" hidden="false" customHeight="false" outlineLevel="0" collapsed="false">
      <c r="B2659" s="7" t="n">
        <v>46269</v>
      </c>
      <c r="C2659" s="3" t="s">
        <v>6291</v>
      </c>
      <c r="D2659" s="3" t="s">
        <v>5958</v>
      </c>
      <c r="E2659" s="3" t="s">
        <v>6254</v>
      </c>
      <c r="F2659" s="3" t="s">
        <v>6255</v>
      </c>
      <c r="G2659" s="15" t="s">
        <v>3403</v>
      </c>
      <c r="H2659" s="9" t="s">
        <v>13</v>
      </c>
      <c r="I2659" s="9" t="s">
        <v>6292</v>
      </c>
    </row>
    <row r="2660" customFormat="false" ht="15.75" hidden="false" customHeight="false" outlineLevel="0" collapsed="false">
      <c r="B2660" s="7" t="n">
        <v>46269</v>
      </c>
      <c r="C2660" s="3" t="s">
        <v>6293</v>
      </c>
      <c r="D2660" s="3" t="s">
        <v>5958</v>
      </c>
      <c r="E2660" s="3" t="s">
        <v>6254</v>
      </c>
      <c r="F2660" s="3" t="s">
        <v>6255</v>
      </c>
      <c r="G2660" s="15" t="s">
        <v>2479</v>
      </c>
      <c r="H2660" s="9" t="s">
        <v>13</v>
      </c>
      <c r="I2660" s="9" t="s">
        <v>6294</v>
      </c>
    </row>
    <row r="2661" customFormat="false" ht="15.75" hidden="false" customHeight="false" outlineLevel="0" collapsed="false">
      <c r="B2661" s="7" t="n">
        <v>46269</v>
      </c>
      <c r="C2661" s="3" t="s">
        <v>6295</v>
      </c>
      <c r="D2661" s="3" t="s">
        <v>5958</v>
      </c>
      <c r="E2661" s="3" t="s">
        <v>6254</v>
      </c>
      <c r="F2661" s="3" t="s">
        <v>6255</v>
      </c>
      <c r="G2661" s="15" t="s">
        <v>6296</v>
      </c>
      <c r="H2661" s="9" t="s">
        <v>13</v>
      </c>
      <c r="I2661" s="9" t="s">
        <v>6297</v>
      </c>
    </row>
    <row r="2662" customFormat="false" ht="15.75" hidden="false" customHeight="false" outlineLevel="0" collapsed="false">
      <c r="B2662" s="7" t="n">
        <v>46269</v>
      </c>
      <c r="C2662" s="3" t="s">
        <v>6298</v>
      </c>
      <c r="D2662" s="3" t="s">
        <v>5958</v>
      </c>
      <c r="E2662" s="3" t="s">
        <v>6254</v>
      </c>
      <c r="F2662" s="3" t="s">
        <v>6255</v>
      </c>
      <c r="G2662" s="15" t="s">
        <v>6299</v>
      </c>
      <c r="H2662" s="9" t="s">
        <v>13</v>
      </c>
      <c r="I2662" s="9" t="s">
        <v>6300</v>
      </c>
    </row>
    <row r="2663" customFormat="false" ht="15.75" hidden="false" customHeight="false" outlineLevel="0" collapsed="false">
      <c r="B2663" s="7" t="n">
        <v>46269</v>
      </c>
      <c r="C2663" s="3" t="s">
        <v>6301</v>
      </c>
      <c r="D2663" s="3" t="s">
        <v>5958</v>
      </c>
      <c r="E2663" s="3" t="s">
        <v>6254</v>
      </c>
      <c r="F2663" s="3" t="s">
        <v>6255</v>
      </c>
      <c r="G2663" s="15" t="s">
        <v>3497</v>
      </c>
      <c r="H2663" s="9" t="s">
        <v>13</v>
      </c>
      <c r="I2663" s="9" t="s">
        <v>6302</v>
      </c>
    </row>
    <row r="2664" customFormat="false" ht="15.75" hidden="false" customHeight="false" outlineLevel="0" collapsed="false">
      <c r="B2664" s="7" t="n">
        <v>46269</v>
      </c>
      <c r="C2664" s="3" t="s">
        <v>6303</v>
      </c>
      <c r="D2664" s="3" t="s">
        <v>5958</v>
      </c>
      <c r="E2664" s="3" t="s">
        <v>6254</v>
      </c>
      <c r="F2664" s="3" t="s">
        <v>6255</v>
      </c>
      <c r="G2664" s="15" t="s">
        <v>6304</v>
      </c>
      <c r="H2664" s="9" t="s">
        <v>13</v>
      </c>
      <c r="I2664" s="9" t="s">
        <v>6305</v>
      </c>
    </row>
    <row r="2665" customFormat="false" ht="15.75" hidden="false" customHeight="false" outlineLevel="0" collapsed="false">
      <c r="B2665" s="7" t="n">
        <v>46269</v>
      </c>
      <c r="C2665" s="3" t="s">
        <v>6306</v>
      </c>
      <c r="D2665" s="3" t="s">
        <v>5958</v>
      </c>
      <c r="E2665" s="3" t="s">
        <v>6254</v>
      </c>
      <c r="F2665" s="3" t="s">
        <v>6255</v>
      </c>
      <c r="G2665" s="16" t="s">
        <v>6307</v>
      </c>
      <c r="H2665" s="9" t="s">
        <v>13</v>
      </c>
      <c r="I2665" s="9" t="s">
        <v>6308</v>
      </c>
    </row>
    <row r="2666" customFormat="false" ht="15.75" hidden="false" customHeight="false" outlineLevel="0" collapsed="false">
      <c r="B2666" s="7" t="n">
        <v>46269</v>
      </c>
      <c r="C2666" s="3" t="s">
        <v>6309</v>
      </c>
      <c r="D2666" s="3" t="s">
        <v>5958</v>
      </c>
      <c r="E2666" s="3" t="s">
        <v>6254</v>
      </c>
      <c r="F2666" s="3" t="s">
        <v>6255</v>
      </c>
      <c r="G2666" s="15" t="s">
        <v>6251</v>
      </c>
      <c r="H2666" s="9" t="s">
        <v>13</v>
      </c>
      <c r="I2666" s="9" t="s">
        <v>6310</v>
      </c>
    </row>
    <row r="2667" customFormat="false" ht="15.75" hidden="false" customHeight="false" outlineLevel="0" collapsed="false">
      <c r="B2667" s="7" t="n">
        <v>46269</v>
      </c>
      <c r="C2667" s="3" t="s">
        <v>6311</v>
      </c>
      <c r="D2667" s="3" t="s">
        <v>5958</v>
      </c>
      <c r="E2667" s="3" t="s">
        <v>6254</v>
      </c>
      <c r="F2667" s="3" t="s">
        <v>6255</v>
      </c>
      <c r="G2667" s="16" t="s">
        <v>6312</v>
      </c>
      <c r="H2667" s="9" t="s">
        <v>13</v>
      </c>
      <c r="I2667" s="17" t="s">
        <v>6313</v>
      </c>
    </row>
    <row r="2668" customFormat="false" ht="15.75" hidden="false" customHeight="false" outlineLevel="0" collapsed="false">
      <c r="B2668" s="7" t="n">
        <v>46269</v>
      </c>
      <c r="C2668" s="3" t="s">
        <v>6314</v>
      </c>
      <c r="D2668" s="3" t="s">
        <v>5958</v>
      </c>
      <c r="E2668" s="3" t="s">
        <v>6254</v>
      </c>
      <c r="F2668" s="3" t="s">
        <v>6255</v>
      </c>
      <c r="G2668" s="15" t="s">
        <v>2444</v>
      </c>
      <c r="H2668" s="9" t="s">
        <v>13</v>
      </c>
      <c r="I2668" s="9" t="s">
        <v>6315</v>
      </c>
    </row>
    <row r="2669" customFormat="false" ht="15.75" hidden="false" customHeight="false" outlineLevel="0" collapsed="false">
      <c r="B2669" s="7" t="n">
        <v>46269</v>
      </c>
      <c r="C2669" s="3" t="s">
        <v>6316</v>
      </c>
      <c r="D2669" s="3" t="s">
        <v>5958</v>
      </c>
      <c r="E2669" s="3" t="s">
        <v>6254</v>
      </c>
      <c r="F2669" s="3" t="s">
        <v>6255</v>
      </c>
      <c r="G2669" s="15" t="s">
        <v>2444</v>
      </c>
      <c r="H2669" s="9" t="s">
        <v>13</v>
      </c>
      <c r="I2669" s="9" t="s">
        <v>6317</v>
      </c>
    </row>
    <row r="2670" customFormat="false" ht="15.75" hidden="false" customHeight="false" outlineLevel="0" collapsed="false">
      <c r="B2670" s="7" t="n">
        <v>46269</v>
      </c>
      <c r="C2670" s="3" t="s">
        <v>6318</v>
      </c>
      <c r="D2670" s="3" t="s">
        <v>5958</v>
      </c>
      <c r="E2670" s="3" t="s">
        <v>6254</v>
      </c>
      <c r="F2670" s="3" t="s">
        <v>6255</v>
      </c>
      <c r="G2670" s="15" t="s">
        <v>2444</v>
      </c>
      <c r="H2670" s="9" t="s">
        <v>13</v>
      </c>
      <c r="I2670" s="9" t="s">
        <v>6319</v>
      </c>
    </row>
    <row r="2671" customFormat="false" ht="15.75" hidden="false" customHeight="false" outlineLevel="0" collapsed="false">
      <c r="B2671" s="7" t="n">
        <v>46269</v>
      </c>
      <c r="C2671" s="3" t="s">
        <v>6320</v>
      </c>
      <c r="D2671" s="3" t="s">
        <v>5958</v>
      </c>
      <c r="E2671" s="3" t="s">
        <v>6254</v>
      </c>
      <c r="F2671" s="3" t="s">
        <v>6255</v>
      </c>
      <c r="G2671" s="16" t="s">
        <v>6321</v>
      </c>
      <c r="H2671" s="9" t="s">
        <v>13</v>
      </c>
      <c r="I2671" s="9" t="s">
        <v>6322</v>
      </c>
    </row>
    <row r="2672" customFormat="false" ht="15.75" hidden="false" customHeight="false" outlineLevel="0" collapsed="false">
      <c r="B2672" s="7" t="n">
        <v>46269</v>
      </c>
      <c r="C2672" s="3" t="s">
        <v>6323</v>
      </c>
      <c r="D2672" s="3" t="s">
        <v>5958</v>
      </c>
      <c r="E2672" s="3" t="s">
        <v>6254</v>
      </c>
      <c r="F2672" s="3" t="s">
        <v>6255</v>
      </c>
      <c r="G2672" s="15" t="s">
        <v>6324</v>
      </c>
      <c r="H2672" s="9" t="s">
        <v>13</v>
      </c>
      <c r="I2672" s="9" t="s">
        <v>6325</v>
      </c>
    </row>
    <row r="2673" customFormat="false" ht="15.75" hidden="false" customHeight="false" outlineLevel="0" collapsed="false">
      <c r="B2673" s="7" t="n">
        <v>46269</v>
      </c>
      <c r="C2673" s="3" t="s">
        <v>6326</v>
      </c>
      <c r="D2673" s="3" t="s">
        <v>5958</v>
      </c>
      <c r="E2673" s="3" t="s">
        <v>6254</v>
      </c>
      <c r="F2673" s="3" t="s">
        <v>6255</v>
      </c>
      <c r="G2673" s="15" t="s">
        <v>6327</v>
      </c>
      <c r="H2673" s="9" t="s">
        <v>13</v>
      </c>
      <c r="I2673" s="9" t="s">
        <v>6328</v>
      </c>
    </row>
    <row r="2674" customFormat="false" ht="15.75" hidden="false" customHeight="false" outlineLevel="0" collapsed="false">
      <c r="B2674" s="7" t="n">
        <v>46269</v>
      </c>
      <c r="C2674" s="3" t="s">
        <v>6329</v>
      </c>
      <c r="D2674" s="3" t="s">
        <v>5958</v>
      </c>
      <c r="E2674" s="3" t="s">
        <v>6254</v>
      </c>
      <c r="F2674" s="3" t="s">
        <v>6255</v>
      </c>
      <c r="G2674" s="16" t="s">
        <v>6330</v>
      </c>
      <c r="H2674" s="9" t="s">
        <v>13</v>
      </c>
      <c r="I2674" s="9" t="s">
        <v>6331</v>
      </c>
    </row>
    <row r="2675" customFormat="false" ht="15.75" hidden="false" customHeight="false" outlineLevel="0" collapsed="false">
      <c r="B2675" s="7" t="n">
        <v>46269</v>
      </c>
      <c r="C2675" s="3" t="s">
        <v>6332</v>
      </c>
      <c r="D2675" s="3" t="s">
        <v>5958</v>
      </c>
      <c r="E2675" s="3" t="s">
        <v>6254</v>
      </c>
      <c r="F2675" s="3" t="s">
        <v>6255</v>
      </c>
      <c r="G2675" s="16" t="s">
        <v>6333</v>
      </c>
      <c r="H2675" s="9" t="s">
        <v>13</v>
      </c>
      <c r="I2675" s="9" t="s">
        <v>6334</v>
      </c>
    </row>
    <row r="2676" customFormat="false" ht="15.75" hidden="false" customHeight="false" outlineLevel="0" collapsed="false">
      <c r="B2676" s="7" t="n">
        <v>46269</v>
      </c>
      <c r="C2676" s="3" t="s">
        <v>6335</v>
      </c>
      <c r="D2676" s="3" t="s">
        <v>5958</v>
      </c>
      <c r="E2676" s="3" t="s">
        <v>6254</v>
      </c>
      <c r="F2676" s="3" t="s">
        <v>6255</v>
      </c>
      <c r="G2676" s="16" t="s">
        <v>6333</v>
      </c>
      <c r="H2676" s="9" t="s">
        <v>13</v>
      </c>
      <c r="I2676" s="9" t="s">
        <v>6334</v>
      </c>
    </row>
    <row r="2677" customFormat="false" ht="15.75" hidden="false" customHeight="false" outlineLevel="0" collapsed="false">
      <c r="B2677" s="7" t="n">
        <v>46269</v>
      </c>
      <c r="C2677" s="3" t="s">
        <v>6336</v>
      </c>
      <c r="D2677" s="3" t="s">
        <v>5958</v>
      </c>
      <c r="E2677" s="3" t="s">
        <v>6254</v>
      </c>
      <c r="F2677" s="3" t="s">
        <v>6255</v>
      </c>
      <c r="G2677" s="15" t="s">
        <v>6337</v>
      </c>
      <c r="H2677" s="9" t="s">
        <v>13</v>
      </c>
      <c r="I2677" s="9" t="s">
        <v>6338</v>
      </c>
    </row>
    <row r="2678" customFormat="false" ht="15.75" hidden="false" customHeight="false" outlineLevel="0" collapsed="false">
      <c r="B2678" s="7" t="n">
        <v>46269</v>
      </c>
      <c r="C2678" s="3" t="s">
        <v>6339</v>
      </c>
      <c r="D2678" s="3" t="s">
        <v>5958</v>
      </c>
      <c r="E2678" s="3" t="s">
        <v>6254</v>
      </c>
      <c r="F2678" s="3" t="s">
        <v>6255</v>
      </c>
      <c r="G2678" s="15" t="s">
        <v>6340</v>
      </c>
      <c r="H2678" s="9" t="s">
        <v>13</v>
      </c>
      <c r="I2678" s="9" t="s">
        <v>6341</v>
      </c>
    </row>
    <row r="2679" customFormat="false" ht="15.75" hidden="false" customHeight="false" outlineLevel="0" collapsed="false">
      <c r="B2679" s="7" t="n">
        <v>46269</v>
      </c>
      <c r="C2679" s="3" t="s">
        <v>6342</v>
      </c>
      <c r="D2679" s="3" t="s">
        <v>5958</v>
      </c>
      <c r="E2679" s="3" t="s">
        <v>6254</v>
      </c>
      <c r="F2679" s="3" t="s">
        <v>6255</v>
      </c>
      <c r="G2679" s="15" t="s">
        <v>3511</v>
      </c>
      <c r="H2679" s="9" t="s">
        <v>13</v>
      </c>
      <c r="I2679" s="9" t="s">
        <v>6343</v>
      </c>
    </row>
    <row r="2680" customFormat="false" ht="15.75" hidden="false" customHeight="false" outlineLevel="0" collapsed="false">
      <c r="B2680" s="7" t="n">
        <v>46269</v>
      </c>
      <c r="C2680" s="3" t="s">
        <v>6344</v>
      </c>
      <c r="D2680" s="3" t="s">
        <v>5958</v>
      </c>
      <c r="E2680" s="3" t="s">
        <v>6254</v>
      </c>
      <c r="F2680" s="3" t="s">
        <v>6255</v>
      </c>
      <c r="G2680" s="16" t="s">
        <v>6345</v>
      </c>
      <c r="H2680" s="9" t="s">
        <v>13</v>
      </c>
      <c r="I2680" s="9" t="s">
        <v>6346</v>
      </c>
    </row>
    <row r="2681" customFormat="false" ht="15.75" hidden="false" customHeight="false" outlineLevel="0" collapsed="false">
      <c r="B2681" s="7" t="n">
        <v>46269</v>
      </c>
      <c r="C2681" s="3" t="s">
        <v>6347</v>
      </c>
      <c r="D2681" s="3" t="s">
        <v>5958</v>
      </c>
      <c r="E2681" s="3" t="s">
        <v>6254</v>
      </c>
      <c r="F2681" s="3" t="s">
        <v>6255</v>
      </c>
      <c r="G2681" s="15" t="s">
        <v>6348</v>
      </c>
      <c r="H2681" s="9" t="s">
        <v>13</v>
      </c>
      <c r="I2681" s="9" t="s">
        <v>6349</v>
      </c>
    </row>
    <row r="2682" customFormat="false" ht="15.75" hidden="false" customHeight="false" outlineLevel="0" collapsed="false">
      <c r="B2682" s="7" t="n">
        <v>46269</v>
      </c>
      <c r="C2682" s="3" t="s">
        <v>6350</v>
      </c>
      <c r="D2682" s="3" t="s">
        <v>5958</v>
      </c>
      <c r="E2682" s="3" t="s">
        <v>6254</v>
      </c>
      <c r="F2682" s="3" t="s">
        <v>6255</v>
      </c>
      <c r="G2682" s="16" t="s">
        <v>6351</v>
      </c>
      <c r="H2682" s="9" t="s">
        <v>13</v>
      </c>
      <c r="I2682" s="9" t="s">
        <v>6352</v>
      </c>
    </row>
    <row r="2683" customFormat="false" ht="15.75" hidden="false" customHeight="false" outlineLevel="0" collapsed="false">
      <c r="B2683" s="7" t="n">
        <v>46269</v>
      </c>
      <c r="C2683" s="3" t="s">
        <v>6353</v>
      </c>
      <c r="D2683" s="3" t="s">
        <v>5958</v>
      </c>
      <c r="E2683" s="3" t="s">
        <v>6254</v>
      </c>
      <c r="F2683" s="3" t="s">
        <v>6255</v>
      </c>
      <c r="G2683" s="15" t="s">
        <v>3877</v>
      </c>
      <c r="H2683" s="9" t="s">
        <v>13</v>
      </c>
      <c r="I2683" s="9" t="s">
        <v>6354</v>
      </c>
    </row>
    <row r="2684" customFormat="false" ht="15.75" hidden="false" customHeight="false" outlineLevel="0" collapsed="false">
      <c r="B2684" s="7" t="n">
        <v>46269</v>
      </c>
      <c r="C2684" s="3" t="s">
        <v>6355</v>
      </c>
      <c r="D2684" s="3" t="s">
        <v>5958</v>
      </c>
      <c r="E2684" s="3" t="s">
        <v>6254</v>
      </c>
      <c r="F2684" s="3" t="s">
        <v>6255</v>
      </c>
      <c r="G2684" s="15" t="s">
        <v>3903</v>
      </c>
      <c r="H2684" s="9" t="s">
        <v>13</v>
      </c>
      <c r="I2684" s="9" t="s">
        <v>6356</v>
      </c>
    </row>
    <row r="2685" customFormat="false" ht="15.75" hidden="false" customHeight="false" outlineLevel="0" collapsed="false">
      <c r="B2685" s="7" t="n">
        <v>46269</v>
      </c>
      <c r="C2685" s="3" t="s">
        <v>6357</v>
      </c>
      <c r="D2685" s="3" t="s">
        <v>5958</v>
      </c>
      <c r="E2685" s="3" t="s">
        <v>6254</v>
      </c>
      <c r="F2685" s="3" t="s">
        <v>6255</v>
      </c>
      <c r="G2685" s="15" t="s">
        <v>3470</v>
      </c>
      <c r="H2685" s="9" t="s">
        <v>13</v>
      </c>
      <c r="I2685" s="9" t="s">
        <v>6358</v>
      </c>
    </row>
    <row r="2686" customFormat="false" ht="15.75" hidden="false" customHeight="false" outlineLevel="0" collapsed="false">
      <c r="B2686" s="7" t="n">
        <v>46269</v>
      </c>
      <c r="C2686" s="3" t="s">
        <v>6359</v>
      </c>
      <c r="D2686" s="3" t="s">
        <v>5958</v>
      </c>
      <c r="E2686" s="3" t="s">
        <v>6254</v>
      </c>
      <c r="F2686" s="3" t="s">
        <v>6255</v>
      </c>
      <c r="G2686" s="15" t="s">
        <v>6360</v>
      </c>
      <c r="H2686" s="9" t="s">
        <v>13</v>
      </c>
      <c r="I2686" s="9" t="s">
        <v>6361</v>
      </c>
    </row>
    <row r="2687" customFormat="false" ht="15.75" hidden="false" customHeight="false" outlineLevel="0" collapsed="false">
      <c r="B2687" s="7" t="n">
        <v>46269</v>
      </c>
      <c r="C2687" s="3" t="s">
        <v>6362</v>
      </c>
      <c r="D2687" s="3" t="s">
        <v>5958</v>
      </c>
      <c r="E2687" s="3" t="s">
        <v>6254</v>
      </c>
      <c r="F2687" s="3" t="s">
        <v>6255</v>
      </c>
      <c r="G2687" s="16" t="s">
        <v>6363</v>
      </c>
      <c r="H2687" s="9" t="s">
        <v>13</v>
      </c>
      <c r="I2687" s="9" t="s">
        <v>6364</v>
      </c>
    </row>
    <row r="2688" customFormat="false" ht="15.75" hidden="false" customHeight="false" outlineLevel="0" collapsed="false">
      <c r="B2688" s="7" t="n">
        <v>46269</v>
      </c>
      <c r="C2688" s="3" t="s">
        <v>6365</v>
      </c>
      <c r="D2688" s="3" t="s">
        <v>5958</v>
      </c>
      <c r="E2688" s="3" t="s">
        <v>6254</v>
      </c>
      <c r="F2688" s="3" t="s">
        <v>6255</v>
      </c>
      <c r="G2688" s="15" t="s">
        <v>6366</v>
      </c>
      <c r="H2688" s="9" t="s">
        <v>13</v>
      </c>
      <c r="I2688" s="9" t="s">
        <v>6367</v>
      </c>
    </row>
    <row r="2689" customFormat="false" ht="15.75" hidden="false" customHeight="false" outlineLevel="0" collapsed="false">
      <c r="B2689" s="7" t="n">
        <v>46269</v>
      </c>
      <c r="C2689" s="3" t="s">
        <v>6368</v>
      </c>
      <c r="D2689" s="3" t="s">
        <v>5958</v>
      </c>
      <c r="E2689" s="3" t="s">
        <v>6254</v>
      </c>
      <c r="F2689" s="3" t="s">
        <v>6255</v>
      </c>
      <c r="G2689" s="15" t="s">
        <v>2192</v>
      </c>
      <c r="H2689" s="9" t="s">
        <v>13</v>
      </c>
      <c r="I2689" s="9" t="s">
        <v>6369</v>
      </c>
    </row>
    <row r="2690" customFormat="false" ht="15.75" hidden="false" customHeight="false" outlineLevel="0" collapsed="false">
      <c r="B2690" s="7" t="n">
        <v>46269</v>
      </c>
      <c r="C2690" s="3" t="s">
        <v>6370</v>
      </c>
      <c r="D2690" s="3" t="s">
        <v>5958</v>
      </c>
      <c r="E2690" s="3" t="s">
        <v>6254</v>
      </c>
      <c r="F2690" s="3" t="s">
        <v>6255</v>
      </c>
      <c r="G2690" s="15" t="s">
        <v>6371</v>
      </c>
      <c r="H2690" s="9" t="s">
        <v>13</v>
      </c>
      <c r="I2690" s="9" t="s">
        <v>6372</v>
      </c>
    </row>
    <row r="2691" customFormat="false" ht="15.75" hidden="false" customHeight="false" outlineLevel="0" collapsed="false">
      <c r="B2691" s="7" t="n">
        <v>46269</v>
      </c>
      <c r="C2691" s="3" t="s">
        <v>6373</v>
      </c>
      <c r="D2691" s="3" t="s">
        <v>5958</v>
      </c>
      <c r="E2691" s="3" t="s">
        <v>6254</v>
      </c>
      <c r="F2691" s="3" t="s">
        <v>6255</v>
      </c>
      <c r="G2691" s="16" t="s">
        <v>6374</v>
      </c>
      <c r="H2691" s="9" t="s">
        <v>13</v>
      </c>
      <c r="I2691" s="9" t="s">
        <v>6375</v>
      </c>
    </row>
    <row r="2692" customFormat="false" ht="15.75" hidden="false" customHeight="false" outlineLevel="0" collapsed="false">
      <c r="B2692" s="7" t="n">
        <v>46269</v>
      </c>
      <c r="C2692" s="3" t="s">
        <v>6376</v>
      </c>
      <c r="D2692" s="3" t="s">
        <v>5958</v>
      </c>
      <c r="E2692" s="3" t="s">
        <v>6254</v>
      </c>
      <c r="F2692" s="3" t="s">
        <v>6255</v>
      </c>
      <c r="G2692" s="16" t="s">
        <v>6374</v>
      </c>
      <c r="H2692" s="9" t="s">
        <v>13</v>
      </c>
      <c r="I2692" s="9" t="s">
        <v>6375</v>
      </c>
    </row>
    <row r="2693" customFormat="false" ht="15.75" hidden="false" customHeight="false" outlineLevel="0" collapsed="false">
      <c r="B2693" s="7" t="n">
        <v>46269</v>
      </c>
      <c r="C2693" s="3" t="s">
        <v>6377</v>
      </c>
      <c r="D2693" s="3" t="s">
        <v>5958</v>
      </c>
      <c r="E2693" s="3" t="s">
        <v>6254</v>
      </c>
      <c r="F2693" s="3" t="s">
        <v>6255</v>
      </c>
      <c r="G2693" s="15" t="s">
        <v>6378</v>
      </c>
      <c r="H2693" s="9" t="s">
        <v>13</v>
      </c>
      <c r="I2693" s="9" t="s">
        <v>6379</v>
      </c>
    </row>
    <row r="2694" customFormat="false" ht="15.75" hidden="false" customHeight="false" outlineLevel="0" collapsed="false">
      <c r="B2694" s="7" t="n">
        <v>46269</v>
      </c>
      <c r="C2694" s="3" t="s">
        <v>6380</v>
      </c>
      <c r="D2694" s="3" t="s">
        <v>5958</v>
      </c>
      <c r="E2694" s="3" t="s">
        <v>6254</v>
      </c>
      <c r="F2694" s="3" t="s">
        <v>6255</v>
      </c>
      <c r="G2694" s="16" t="s">
        <v>6381</v>
      </c>
      <c r="H2694" s="9" t="s">
        <v>13</v>
      </c>
      <c r="I2694" s="9" t="s">
        <v>6382</v>
      </c>
    </row>
    <row r="2695" customFormat="false" ht="15.75" hidden="false" customHeight="false" outlineLevel="0" collapsed="false">
      <c r="B2695" s="7" t="n">
        <v>46269</v>
      </c>
      <c r="C2695" s="3" t="s">
        <v>6383</v>
      </c>
      <c r="D2695" s="3" t="s">
        <v>5958</v>
      </c>
      <c r="E2695" s="3" t="s">
        <v>6254</v>
      </c>
      <c r="F2695" s="3" t="s">
        <v>6255</v>
      </c>
      <c r="G2695" s="16" t="s">
        <v>6384</v>
      </c>
      <c r="H2695" s="9" t="s">
        <v>13</v>
      </c>
      <c r="I2695" s="9" t="s">
        <v>6385</v>
      </c>
    </row>
    <row r="2696" customFormat="false" ht="15.75" hidden="false" customHeight="false" outlineLevel="0" collapsed="false">
      <c r="B2696" s="7" t="n">
        <v>46269</v>
      </c>
      <c r="C2696" s="3" t="s">
        <v>6386</v>
      </c>
      <c r="D2696" s="3" t="s">
        <v>5958</v>
      </c>
      <c r="E2696" s="3" t="s">
        <v>6254</v>
      </c>
      <c r="F2696" s="3" t="s">
        <v>6255</v>
      </c>
      <c r="G2696" s="15" t="s">
        <v>2444</v>
      </c>
      <c r="H2696" s="9" t="s">
        <v>13</v>
      </c>
      <c r="I2696" s="9" t="s">
        <v>6387</v>
      </c>
    </row>
    <row r="2697" customFormat="false" ht="15.75" hidden="false" customHeight="false" outlineLevel="0" collapsed="false">
      <c r="B2697" s="7" t="n">
        <v>46269</v>
      </c>
      <c r="C2697" s="3" t="s">
        <v>6388</v>
      </c>
      <c r="D2697" s="3" t="s">
        <v>5958</v>
      </c>
      <c r="E2697" s="3" t="s">
        <v>6254</v>
      </c>
      <c r="F2697" s="3" t="s">
        <v>6255</v>
      </c>
      <c r="G2697" s="16" t="s">
        <v>3259</v>
      </c>
      <c r="H2697" s="9" t="s">
        <v>13</v>
      </c>
      <c r="I2697" s="9" t="s">
        <v>6389</v>
      </c>
    </row>
    <row r="2698" customFormat="false" ht="15.75" hidden="false" customHeight="false" outlineLevel="0" collapsed="false">
      <c r="B2698" s="7" t="n">
        <v>46269</v>
      </c>
      <c r="C2698" s="3" t="s">
        <v>6390</v>
      </c>
      <c r="D2698" s="3" t="s">
        <v>5958</v>
      </c>
      <c r="E2698" s="3" t="s">
        <v>6254</v>
      </c>
      <c r="F2698" s="3" t="s">
        <v>6255</v>
      </c>
      <c r="G2698" s="15" t="s">
        <v>6391</v>
      </c>
      <c r="H2698" s="9" t="s">
        <v>13</v>
      </c>
      <c r="I2698" s="9" t="s">
        <v>6392</v>
      </c>
    </row>
    <row r="2699" customFormat="false" ht="15.75" hidden="false" customHeight="false" outlineLevel="0" collapsed="false">
      <c r="B2699" s="7" t="n">
        <v>46269</v>
      </c>
      <c r="C2699" s="3" t="s">
        <v>6393</v>
      </c>
      <c r="D2699" s="3" t="s">
        <v>5958</v>
      </c>
      <c r="E2699" s="3" t="s">
        <v>6254</v>
      </c>
      <c r="F2699" s="3" t="s">
        <v>6255</v>
      </c>
      <c r="G2699" s="15" t="s">
        <v>2281</v>
      </c>
      <c r="H2699" s="9" t="s">
        <v>13</v>
      </c>
      <c r="I2699" s="9" t="s">
        <v>6394</v>
      </c>
    </row>
    <row r="2700" customFormat="false" ht="15.75" hidden="false" customHeight="false" outlineLevel="0" collapsed="false">
      <c r="B2700" s="7" t="n">
        <v>46269</v>
      </c>
      <c r="C2700" s="3" t="s">
        <v>6395</v>
      </c>
      <c r="D2700" s="3" t="s">
        <v>5958</v>
      </c>
      <c r="E2700" s="3" t="s">
        <v>6254</v>
      </c>
      <c r="F2700" s="3" t="s">
        <v>6255</v>
      </c>
      <c r="G2700" s="16" t="s">
        <v>6396</v>
      </c>
      <c r="H2700" s="9" t="s">
        <v>13</v>
      </c>
      <c r="I2700" s="9" t="s">
        <v>6397</v>
      </c>
    </row>
    <row r="2701" customFormat="false" ht="15.75" hidden="false" customHeight="false" outlineLevel="0" collapsed="false">
      <c r="B2701" s="7" t="n">
        <v>46269</v>
      </c>
      <c r="C2701" s="3" t="s">
        <v>6398</v>
      </c>
      <c r="D2701" s="3" t="s">
        <v>5958</v>
      </c>
      <c r="E2701" s="3" t="s">
        <v>6254</v>
      </c>
      <c r="F2701" s="3" t="s">
        <v>6255</v>
      </c>
      <c r="G2701" s="16" t="s">
        <v>6399</v>
      </c>
      <c r="H2701" s="9" t="s">
        <v>13</v>
      </c>
      <c r="I2701" s="9" t="s">
        <v>6400</v>
      </c>
    </row>
    <row r="2702" customFormat="false" ht="15.75" hidden="false" customHeight="false" outlineLevel="0" collapsed="false">
      <c r="B2702" s="7" t="n">
        <v>46269</v>
      </c>
      <c r="C2702" s="3" t="s">
        <v>6401</v>
      </c>
      <c r="D2702" s="3" t="s">
        <v>5958</v>
      </c>
      <c r="E2702" s="3" t="s">
        <v>6254</v>
      </c>
      <c r="F2702" s="3" t="s">
        <v>6255</v>
      </c>
      <c r="G2702" s="15" t="s">
        <v>2397</v>
      </c>
      <c r="H2702" s="9" t="s">
        <v>13</v>
      </c>
      <c r="I2702" s="9" t="s">
        <v>6402</v>
      </c>
    </row>
    <row r="2703" customFormat="false" ht="15.75" hidden="false" customHeight="false" outlineLevel="0" collapsed="false">
      <c r="B2703" s="7" t="n">
        <v>46269</v>
      </c>
      <c r="C2703" s="3" t="s">
        <v>6403</v>
      </c>
      <c r="D2703" s="3" t="s">
        <v>5958</v>
      </c>
      <c r="E2703" s="3" t="s">
        <v>6404</v>
      </c>
      <c r="F2703" s="3" t="s">
        <v>6405</v>
      </c>
      <c r="G2703" s="15" t="s">
        <v>2438</v>
      </c>
      <c r="H2703" s="9" t="s">
        <v>13</v>
      </c>
      <c r="I2703" s="9" t="s">
        <v>6406</v>
      </c>
    </row>
    <row r="2704" customFormat="false" ht="15.75" hidden="false" customHeight="false" outlineLevel="0" collapsed="false">
      <c r="B2704" s="7" t="n">
        <v>46269</v>
      </c>
      <c r="C2704" s="3" t="s">
        <v>6407</v>
      </c>
      <c r="D2704" s="3" t="s">
        <v>5958</v>
      </c>
      <c r="E2704" s="3" t="s">
        <v>6404</v>
      </c>
      <c r="F2704" s="3" t="s">
        <v>6405</v>
      </c>
      <c r="G2704" s="15" t="s">
        <v>2438</v>
      </c>
      <c r="H2704" s="9" t="s">
        <v>13</v>
      </c>
      <c r="I2704" s="9" t="s">
        <v>6406</v>
      </c>
    </row>
    <row r="2705" customFormat="false" ht="15.75" hidden="false" customHeight="false" outlineLevel="0" collapsed="false">
      <c r="B2705" s="7" t="n">
        <v>46269</v>
      </c>
      <c r="C2705" s="3" t="s">
        <v>6408</v>
      </c>
      <c r="D2705" s="3" t="s">
        <v>5958</v>
      </c>
      <c r="E2705" s="3" t="s">
        <v>6404</v>
      </c>
      <c r="F2705" s="3" t="s">
        <v>6405</v>
      </c>
      <c r="G2705" s="15" t="s">
        <v>2200</v>
      </c>
      <c r="H2705" s="9" t="s">
        <v>13</v>
      </c>
      <c r="I2705" s="9" t="s">
        <v>6409</v>
      </c>
    </row>
    <row r="2706" customFormat="false" ht="15.75" hidden="false" customHeight="false" outlineLevel="0" collapsed="false">
      <c r="B2706" s="7" t="n">
        <v>46269</v>
      </c>
      <c r="C2706" s="3" t="s">
        <v>6410</v>
      </c>
      <c r="D2706" s="3" t="s">
        <v>5958</v>
      </c>
      <c r="E2706" s="3" t="s">
        <v>6404</v>
      </c>
      <c r="F2706" s="3" t="s">
        <v>6405</v>
      </c>
      <c r="G2706" s="16" t="s">
        <v>2231</v>
      </c>
      <c r="H2706" s="9" t="s">
        <v>13</v>
      </c>
      <c r="I2706" s="9" t="s">
        <v>6411</v>
      </c>
    </row>
    <row r="2707" customFormat="false" ht="15.75" hidden="false" customHeight="false" outlineLevel="0" collapsed="false">
      <c r="B2707" s="7" t="n">
        <v>46269</v>
      </c>
      <c r="C2707" s="3" t="s">
        <v>6412</v>
      </c>
      <c r="D2707" s="3" t="s">
        <v>5958</v>
      </c>
      <c r="E2707" s="3" t="s">
        <v>6404</v>
      </c>
      <c r="F2707" s="3" t="s">
        <v>6405</v>
      </c>
      <c r="G2707" s="15" t="s">
        <v>6413</v>
      </c>
      <c r="H2707" s="9" t="s">
        <v>13</v>
      </c>
      <c r="I2707" s="9" t="s">
        <v>6414</v>
      </c>
    </row>
    <row r="2708" customFormat="false" ht="15.75" hidden="false" customHeight="false" outlineLevel="0" collapsed="false">
      <c r="B2708" s="7" t="n">
        <v>46269</v>
      </c>
      <c r="C2708" s="3" t="s">
        <v>6415</v>
      </c>
      <c r="D2708" s="3" t="s">
        <v>5958</v>
      </c>
      <c r="E2708" s="3" t="s">
        <v>6404</v>
      </c>
      <c r="F2708" s="3" t="s">
        <v>6405</v>
      </c>
      <c r="G2708" s="15" t="s">
        <v>2589</v>
      </c>
      <c r="H2708" s="9" t="s">
        <v>13</v>
      </c>
      <c r="I2708" s="9" t="s">
        <v>6416</v>
      </c>
    </row>
    <row r="2709" customFormat="false" ht="15.75" hidden="false" customHeight="false" outlineLevel="0" collapsed="false">
      <c r="B2709" s="7" t="n">
        <v>46269</v>
      </c>
      <c r="C2709" s="3" t="s">
        <v>6417</v>
      </c>
      <c r="D2709" s="3" t="s">
        <v>5958</v>
      </c>
      <c r="E2709" s="3" t="s">
        <v>6404</v>
      </c>
      <c r="F2709" s="3" t="s">
        <v>6405</v>
      </c>
      <c r="G2709" s="15" t="s">
        <v>6418</v>
      </c>
      <c r="H2709" s="9" t="s">
        <v>13</v>
      </c>
      <c r="I2709" s="9" t="s">
        <v>6419</v>
      </c>
    </row>
    <row r="2710" customFormat="false" ht="15.75" hidden="false" customHeight="false" outlineLevel="0" collapsed="false">
      <c r="B2710" s="7" t="n">
        <v>46269</v>
      </c>
      <c r="C2710" s="3" t="s">
        <v>6420</v>
      </c>
      <c r="D2710" s="3" t="s">
        <v>5958</v>
      </c>
      <c r="E2710" s="3" t="s">
        <v>6404</v>
      </c>
      <c r="F2710" s="3" t="s">
        <v>6405</v>
      </c>
      <c r="G2710" s="15" t="s">
        <v>2200</v>
      </c>
      <c r="H2710" s="9" t="s">
        <v>13</v>
      </c>
      <c r="I2710" s="9" t="s">
        <v>6421</v>
      </c>
    </row>
    <row r="2711" customFormat="false" ht="15.75" hidden="false" customHeight="false" outlineLevel="0" collapsed="false">
      <c r="B2711" s="7" t="n">
        <v>46269</v>
      </c>
      <c r="C2711" s="3" t="s">
        <v>6422</v>
      </c>
      <c r="D2711" s="3" t="s">
        <v>5958</v>
      </c>
      <c r="E2711" s="3" t="s">
        <v>6404</v>
      </c>
      <c r="F2711" s="3" t="s">
        <v>6405</v>
      </c>
      <c r="G2711" s="15" t="s">
        <v>2200</v>
      </c>
      <c r="H2711" s="9" t="s">
        <v>13</v>
      </c>
      <c r="I2711" s="9" t="s">
        <v>6423</v>
      </c>
    </row>
    <row r="2712" customFormat="false" ht="15.75" hidden="false" customHeight="false" outlineLevel="0" collapsed="false">
      <c r="B2712" s="7" t="n">
        <v>46269</v>
      </c>
      <c r="C2712" s="3" t="s">
        <v>6424</v>
      </c>
      <c r="D2712" s="3" t="s">
        <v>5958</v>
      </c>
      <c r="E2712" s="3" t="s">
        <v>6404</v>
      </c>
      <c r="F2712" s="3" t="s">
        <v>6405</v>
      </c>
      <c r="G2712" s="15" t="s">
        <v>6425</v>
      </c>
      <c r="H2712" s="9" t="s">
        <v>13</v>
      </c>
      <c r="I2712" s="9" t="s">
        <v>6426</v>
      </c>
    </row>
    <row r="2713" customFormat="false" ht="15.75" hidden="false" customHeight="false" outlineLevel="0" collapsed="false">
      <c r="B2713" s="7" t="n">
        <v>46269</v>
      </c>
      <c r="C2713" s="3" t="s">
        <v>6427</v>
      </c>
      <c r="D2713" s="3" t="s">
        <v>5958</v>
      </c>
      <c r="E2713" s="3" t="s">
        <v>6404</v>
      </c>
      <c r="F2713" s="3" t="s">
        <v>6405</v>
      </c>
      <c r="G2713" s="15" t="s">
        <v>3423</v>
      </c>
      <c r="H2713" s="9" t="s">
        <v>13</v>
      </c>
      <c r="I2713" s="9" t="s">
        <v>6428</v>
      </c>
    </row>
    <row r="2714" customFormat="false" ht="15.75" hidden="false" customHeight="false" outlineLevel="0" collapsed="false">
      <c r="B2714" s="7" t="n">
        <v>46269</v>
      </c>
      <c r="C2714" s="3" t="s">
        <v>6429</v>
      </c>
      <c r="D2714" s="3" t="s">
        <v>5958</v>
      </c>
      <c r="E2714" s="3" t="s">
        <v>6404</v>
      </c>
      <c r="F2714" s="3" t="s">
        <v>6405</v>
      </c>
      <c r="G2714" s="15" t="s">
        <v>2793</v>
      </c>
      <c r="H2714" s="9" t="s">
        <v>13</v>
      </c>
      <c r="I2714" s="9" t="s">
        <v>6430</v>
      </c>
    </row>
    <row r="2715" customFormat="false" ht="15.75" hidden="false" customHeight="false" outlineLevel="0" collapsed="false">
      <c r="B2715" s="7" t="n">
        <v>46269</v>
      </c>
      <c r="C2715" s="3" t="s">
        <v>6431</v>
      </c>
      <c r="D2715" s="3" t="s">
        <v>5958</v>
      </c>
      <c r="E2715" s="3" t="s">
        <v>6404</v>
      </c>
      <c r="F2715" s="3" t="s">
        <v>6405</v>
      </c>
      <c r="G2715" s="15" t="s">
        <v>2680</v>
      </c>
      <c r="H2715" s="9" t="s">
        <v>13</v>
      </c>
      <c r="I2715" s="9" t="s">
        <v>6432</v>
      </c>
    </row>
    <row r="2716" customFormat="false" ht="15.75" hidden="false" customHeight="false" outlineLevel="0" collapsed="false">
      <c r="B2716" s="7" t="n">
        <v>46269</v>
      </c>
      <c r="C2716" s="3" t="s">
        <v>6433</v>
      </c>
      <c r="D2716" s="3" t="s">
        <v>5958</v>
      </c>
      <c r="E2716" s="3" t="s">
        <v>6404</v>
      </c>
      <c r="F2716" s="3" t="s">
        <v>6405</v>
      </c>
      <c r="G2716" s="15" t="s">
        <v>3616</v>
      </c>
      <c r="H2716" s="9" t="s">
        <v>13</v>
      </c>
      <c r="I2716" s="9" t="s">
        <v>6434</v>
      </c>
    </row>
    <row r="2717" customFormat="false" ht="15.75" hidden="false" customHeight="false" outlineLevel="0" collapsed="false">
      <c r="B2717" s="7" t="n">
        <v>46269</v>
      </c>
      <c r="C2717" s="3" t="s">
        <v>6435</v>
      </c>
      <c r="D2717" s="3" t="s">
        <v>5958</v>
      </c>
      <c r="E2717" s="3" t="s">
        <v>6404</v>
      </c>
      <c r="F2717" s="3" t="s">
        <v>6405</v>
      </c>
      <c r="G2717" s="15" t="s">
        <v>3616</v>
      </c>
      <c r="H2717" s="9" t="s">
        <v>13</v>
      </c>
      <c r="I2717" s="9" t="s">
        <v>6436</v>
      </c>
    </row>
    <row r="2718" customFormat="false" ht="15.75" hidden="false" customHeight="false" outlineLevel="0" collapsed="false">
      <c r="B2718" s="7" t="n">
        <v>46269</v>
      </c>
      <c r="C2718" s="3" t="s">
        <v>6437</v>
      </c>
      <c r="D2718" s="3" t="s">
        <v>5958</v>
      </c>
      <c r="E2718" s="3" t="s">
        <v>6404</v>
      </c>
      <c r="F2718" s="3" t="s">
        <v>6405</v>
      </c>
      <c r="G2718" s="15" t="s">
        <v>2452</v>
      </c>
      <c r="H2718" s="9" t="s">
        <v>13</v>
      </c>
      <c r="I2718" s="9" t="s">
        <v>6438</v>
      </c>
    </row>
    <row r="2719" customFormat="false" ht="15.75" hidden="false" customHeight="false" outlineLevel="0" collapsed="false">
      <c r="B2719" s="7" t="n">
        <v>46269</v>
      </c>
      <c r="C2719" s="3" t="s">
        <v>6439</v>
      </c>
      <c r="D2719" s="3" t="s">
        <v>5958</v>
      </c>
      <c r="E2719" s="3" t="s">
        <v>6404</v>
      </c>
      <c r="F2719" s="3" t="s">
        <v>6405</v>
      </c>
      <c r="G2719" s="15" t="s">
        <v>2452</v>
      </c>
      <c r="H2719" s="9" t="s">
        <v>13</v>
      </c>
      <c r="I2719" s="9" t="s">
        <v>6440</v>
      </c>
    </row>
    <row r="2720" customFormat="false" ht="15.75" hidden="false" customHeight="false" outlineLevel="0" collapsed="false">
      <c r="B2720" s="7" t="n">
        <v>46269</v>
      </c>
      <c r="C2720" s="3" t="s">
        <v>6441</v>
      </c>
      <c r="D2720" s="3" t="s">
        <v>5958</v>
      </c>
      <c r="E2720" s="3" t="s">
        <v>6404</v>
      </c>
      <c r="F2720" s="3" t="s">
        <v>6405</v>
      </c>
      <c r="G2720" s="16" t="s">
        <v>6442</v>
      </c>
      <c r="H2720" s="9" t="s">
        <v>13</v>
      </c>
      <c r="I2720" s="9" t="s">
        <v>6443</v>
      </c>
    </row>
    <row r="2721" customFormat="false" ht="15.75" hidden="false" customHeight="false" outlineLevel="0" collapsed="false">
      <c r="B2721" s="7" t="n">
        <v>46269</v>
      </c>
      <c r="C2721" s="3" t="s">
        <v>6444</v>
      </c>
      <c r="D2721" s="3" t="s">
        <v>5958</v>
      </c>
      <c r="E2721" s="3" t="s">
        <v>6404</v>
      </c>
      <c r="F2721" s="3" t="s">
        <v>6405</v>
      </c>
      <c r="G2721" s="16" t="s">
        <v>6445</v>
      </c>
      <c r="H2721" s="9" t="s">
        <v>13</v>
      </c>
      <c r="I2721" s="9" t="s">
        <v>6446</v>
      </c>
    </row>
    <row r="2722" customFormat="false" ht="15.75" hidden="false" customHeight="false" outlineLevel="0" collapsed="false">
      <c r="B2722" s="7" t="n">
        <v>46269</v>
      </c>
      <c r="C2722" s="3" t="s">
        <v>6447</v>
      </c>
      <c r="D2722" s="3" t="s">
        <v>5958</v>
      </c>
      <c r="E2722" s="3" t="s">
        <v>6404</v>
      </c>
      <c r="F2722" s="3" t="s">
        <v>6405</v>
      </c>
      <c r="G2722" s="15" t="s">
        <v>6448</v>
      </c>
      <c r="H2722" s="9" t="s">
        <v>13</v>
      </c>
      <c r="I2722" s="9" t="s">
        <v>6449</v>
      </c>
    </row>
    <row r="2723" customFormat="false" ht="15.75" hidden="false" customHeight="false" outlineLevel="0" collapsed="false">
      <c r="B2723" s="7" t="n">
        <v>46269</v>
      </c>
      <c r="C2723" s="3" t="s">
        <v>6450</v>
      </c>
      <c r="D2723" s="3" t="s">
        <v>5958</v>
      </c>
      <c r="E2723" s="3" t="s">
        <v>6404</v>
      </c>
      <c r="F2723" s="3" t="s">
        <v>6405</v>
      </c>
      <c r="G2723" s="16" t="s">
        <v>6451</v>
      </c>
      <c r="H2723" s="9" t="s">
        <v>13</v>
      </c>
      <c r="I2723" s="9" t="s">
        <v>6452</v>
      </c>
    </row>
    <row r="2724" customFormat="false" ht="15.75" hidden="false" customHeight="false" outlineLevel="0" collapsed="false">
      <c r="B2724" s="7" t="n">
        <v>46269</v>
      </c>
      <c r="C2724" s="3" t="s">
        <v>6453</v>
      </c>
      <c r="D2724" s="3" t="s">
        <v>5958</v>
      </c>
      <c r="E2724" s="3" t="s">
        <v>6404</v>
      </c>
      <c r="F2724" s="3" t="s">
        <v>6405</v>
      </c>
      <c r="G2724" s="15" t="s">
        <v>2218</v>
      </c>
      <c r="H2724" s="9" t="s">
        <v>13</v>
      </c>
      <c r="I2724" s="9" t="s">
        <v>6454</v>
      </c>
    </row>
    <row r="2725" customFormat="false" ht="15.75" hidden="false" customHeight="false" outlineLevel="0" collapsed="false">
      <c r="B2725" s="7" t="n">
        <v>46269</v>
      </c>
      <c r="C2725" s="3" t="s">
        <v>6455</v>
      </c>
      <c r="D2725" s="3" t="s">
        <v>5958</v>
      </c>
      <c r="E2725" s="3" t="s">
        <v>6404</v>
      </c>
      <c r="F2725" s="3" t="s">
        <v>6405</v>
      </c>
      <c r="G2725" s="15" t="s">
        <v>6456</v>
      </c>
      <c r="H2725" s="9" t="s">
        <v>13</v>
      </c>
      <c r="I2725" s="9" t="s">
        <v>6457</v>
      </c>
    </row>
    <row r="2726" customFormat="false" ht="15.75" hidden="false" customHeight="false" outlineLevel="0" collapsed="false">
      <c r="B2726" s="7" t="n">
        <v>46269</v>
      </c>
      <c r="C2726" s="3" t="s">
        <v>6458</v>
      </c>
      <c r="D2726" s="3" t="s">
        <v>5958</v>
      </c>
      <c r="E2726" s="3" t="s">
        <v>6404</v>
      </c>
      <c r="F2726" s="3" t="s">
        <v>6405</v>
      </c>
      <c r="G2726" s="15" t="s">
        <v>6413</v>
      </c>
      <c r="H2726" s="9" t="s">
        <v>13</v>
      </c>
      <c r="I2726" s="9" t="s">
        <v>6459</v>
      </c>
    </row>
    <row r="2727" customFormat="false" ht="15.75" hidden="false" customHeight="false" outlineLevel="0" collapsed="false">
      <c r="B2727" s="7" t="n">
        <v>46269</v>
      </c>
      <c r="C2727" s="3" t="s">
        <v>6460</v>
      </c>
      <c r="D2727" s="3" t="s">
        <v>5958</v>
      </c>
      <c r="E2727" s="3" t="s">
        <v>6404</v>
      </c>
      <c r="F2727" s="3" t="s">
        <v>6405</v>
      </c>
      <c r="G2727" s="16" t="s">
        <v>6461</v>
      </c>
      <c r="H2727" s="9" t="s">
        <v>13</v>
      </c>
      <c r="I2727" s="9" t="s">
        <v>6462</v>
      </c>
    </row>
    <row r="2728" customFormat="false" ht="15.75" hidden="false" customHeight="false" outlineLevel="0" collapsed="false">
      <c r="B2728" s="7" t="n">
        <v>46269</v>
      </c>
      <c r="C2728" s="3" t="s">
        <v>6463</v>
      </c>
      <c r="D2728" s="3" t="s">
        <v>5958</v>
      </c>
      <c r="E2728" s="3" t="s">
        <v>6404</v>
      </c>
      <c r="F2728" s="3" t="s">
        <v>6405</v>
      </c>
      <c r="G2728" s="15" t="s">
        <v>467</v>
      </c>
      <c r="H2728" s="9" t="s">
        <v>13</v>
      </c>
      <c r="I2728" s="9" t="s">
        <v>6464</v>
      </c>
    </row>
    <row r="2729" customFormat="false" ht="15.75" hidden="false" customHeight="false" outlineLevel="0" collapsed="false">
      <c r="B2729" s="7" t="n">
        <v>46269</v>
      </c>
      <c r="C2729" s="3" t="s">
        <v>6465</v>
      </c>
      <c r="D2729" s="3" t="s">
        <v>5958</v>
      </c>
      <c r="E2729" s="3" t="s">
        <v>6404</v>
      </c>
      <c r="F2729" s="3" t="s">
        <v>6405</v>
      </c>
      <c r="G2729" s="15" t="s">
        <v>6466</v>
      </c>
      <c r="H2729" s="9" t="s">
        <v>13</v>
      </c>
      <c r="I2729" s="9" t="s">
        <v>6467</v>
      </c>
    </row>
    <row r="2730" customFormat="false" ht="15.75" hidden="false" customHeight="false" outlineLevel="0" collapsed="false">
      <c r="B2730" s="7" t="n">
        <v>46269</v>
      </c>
      <c r="C2730" s="3" t="s">
        <v>6468</v>
      </c>
      <c r="D2730" s="3" t="s">
        <v>5958</v>
      </c>
      <c r="E2730" s="3" t="s">
        <v>6404</v>
      </c>
      <c r="F2730" s="3" t="s">
        <v>6405</v>
      </c>
      <c r="G2730" s="15" t="s">
        <v>6469</v>
      </c>
      <c r="H2730" s="9" t="s">
        <v>13</v>
      </c>
      <c r="I2730" s="9" t="s">
        <v>6470</v>
      </c>
    </row>
    <row r="2731" customFormat="false" ht="15.75" hidden="false" customHeight="false" outlineLevel="0" collapsed="false">
      <c r="B2731" s="7" t="n">
        <v>46269</v>
      </c>
      <c r="C2731" s="3" t="s">
        <v>6471</v>
      </c>
      <c r="D2731" s="3" t="s">
        <v>5958</v>
      </c>
      <c r="E2731" s="3" t="s">
        <v>6404</v>
      </c>
      <c r="F2731" s="3" t="s">
        <v>6405</v>
      </c>
      <c r="G2731" s="15" t="s">
        <v>6472</v>
      </c>
      <c r="H2731" s="9" t="s">
        <v>13</v>
      </c>
      <c r="I2731" s="9" t="s">
        <v>6473</v>
      </c>
    </row>
    <row r="2732" customFormat="false" ht="15.75" hidden="false" customHeight="false" outlineLevel="0" collapsed="false">
      <c r="B2732" s="7" t="n">
        <v>46269</v>
      </c>
      <c r="C2732" s="3" t="s">
        <v>6474</v>
      </c>
      <c r="D2732" s="3" t="s">
        <v>5958</v>
      </c>
      <c r="E2732" s="3" t="s">
        <v>6404</v>
      </c>
      <c r="F2732" s="3" t="s">
        <v>6405</v>
      </c>
      <c r="G2732" s="15" t="s">
        <v>2144</v>
      </c>
      <c r="H2732" s="9" t="s">
        <v>13</v>
      </c>
      <c r="I2732" s="9" t="s">
        <v>6475</v>
      </c>
    </row>
    <row r="2733" customFormat="false" ht="15.75" hidden="false" customHeight="false" outlineLevel="0" collapsed="false">
      <c r="B2733" s="7" t="n">
        <v>46269</v>
      </c>
      <c r="C2733" s="3" t="s">
        <v>6476</v>
      </c>
      <c r="D2733" s="3" t="s">
        <v>5958</v>
      </c>
      <c r="E2733" s="3" t="s">
        <v>6404</v>
      </c>
      <c r="F2733" s="3" t="s">
        <v>6405</v>
      </c>
      <c r="G2733" s="15" t="s">
        <v>467</v>
      </c>
      <c r="H2733" s="9" t="s">
        <v>13</v>
      </c>
      <c r="I2733" s="9" t="s">
        <v>6477</v>
      </c>
    </row>
    <row r="2734" customFormat="false" ht="15.75" hidden="false" customHeight="false" outlineLevel="0" collapsed="false">
      <c r="B2734" s="7" t="n">
        <v>46269</v>
      </c>
      <c r="C2734" s="3" t="s">
        <v>6478</v>
      </c>
      <c r="D2734" s="3" t="s">
        <v>5958</v>
      </c>
      <c r="E2734" s="3" t="s">
        <v>6404</v>
      </c>
      <c r="F2734" s="3" t="s">
        <v>6405</v>
      </c>
      <c r="G2734" s="15" t="s">
        <v>6479</v>
      </c>
      <c r="H2734" s="9" t="s">
        <v>13</v>
      </c>
      <c r="I2734" s="9" t="s">
        <v>6480</v>
      </c>
    </row>
    <row r="2735" customFormat="false" ht="15.75" hidden="false" customHeight="false" outlineLevel="0" collapsed="false">
      <c r="B2735" s="7" t="n">
        <v>46269</v>
      </c>
      <c r="C2735" s="3" t="s">
        <v>6481</v>
      </c>
      <c r="D2735" s="3" t="s">
        <v>5958</v>
      </c>
      <c r="E2735" s="3" t="s">
        <v>6404</v>
      </c>
      <c r="F2735" s="3" t="s">
        <v>6405</v>
      </c>
      <c r="G2735" s="15" t="s">
        <v>2131</v>
      </c>
      <c r="H2735" s="9" t="s">
        <v>13</v>
      </c>
      <c r="I2735" s="9" t="s">
        <v>6482</v>
      </c>
    </row>
    <row r="2736" customFormat="false" ht="15.75" hidden="false" customHeight="false" outlineLevel="0" collapsed="false">
      <c r="B2736" s="7" t="n">
        <v>46269</v>
      </c>
      <c r="C2736" s="3" t="s">
        <v>6483</v>
      </c>
      <c r="D2736" s="3" t="s">
        <v>5958</v>
      </c>
      <c r="E2736" s="3" t="s">
        <v>6404</v>
      </c>
      <c r="F2736" s="3" t="s">
        <v>6405</v>
      </c>
      <c r="G2736" s="15" t="s">
        <v>2726</v>
      </c>
      <c r="H2736" s="9" t="s">
        <v>13</v>
      </c>
      <c r="I2736" s="9" t="s">
        <v>6484</v>
      </c>
    </row>
    <row r="2737" customFormat="false" ht="15.75" hidden="false" customHeight="false" outlineLevel="0" collapsed="false">
      <c r="B2737" s="7" t="n">
        <v>46269</v>
      </c>
      <c r="C2737" s="3" t="s">
        <v>6485</v>
      </c>
      <c r="D2737" s="3" t="s">
        <v>5958</v>
      </c>
      <c r="E2737" s="14" t="s">
        <v>6486</v>
      </c>
      <c r="F2737" s="14" t="s">
        <v>6487</v>
      </c>
      <c r="G2737" s="15" t="s">
        <v>3511</v>
      </c>
      <c r="H2737" s="9" t="s">
        <v>13</v>
      </c>
      <c r="I2737" s="9" t="s">
        <v>6488</v>
      </c>
    </row>
    <row r="2738" customFormat="false" ht="15.75" hidden="false" customHeight="false" outlineLevel="0" collapsed="false">
      <c r="B2738" s="7" t="n">
        <v>46269</v>
      </c>
      <c r="C2738" s="3" t="s">
        <v>6489</v>
      </c>
      <c r="D2738" s="3" t="s">
        <v>5958</v>
      </c>
      <c r="E2738" s="14" t="s">
        <v>6486</v>
      </c>
      <c r="F2738" s="14" t="s">
        <v>6487</v>
      </c>
      <c r="G2738" s="15" t="s">
        <v>6490</v>
      </c>
      <c r="H2738" s="9" t="s">
        <v>13</v>
      </c>
      <c r="I2738" s="9" t="s">
        <v>6491</v>
      </c>
    </row>
    <row r="2739" customFormat="false" ht="15.75" hidden="false" customHeight="false" outlineLevel="0" collapsed="false">
      <c r="B2739" s="7" t="n">
        <v>46269</v>
      </c>
      <c r="C2739" s="3" t="s">
        <v>6492</v>
      </c>
      <c r="D2739" s="3" t="s">
        <v>5958</v>
      </c>
      <c r="E2739" s="14" t="s">
        <v>6486</v>
      </c>
      <c r="F2739" s="14" t="s">
        <v>6487</v>
      </c>
      <c r="G2739" s="15" t="s">
        <v>2827</v>
      </c>
      <c r="H2739" s="9" t="s">
        <v>13</v>
      </c>
      <c r="I2739" s="9" t="s">
        <v>6493</v>
      </c>
    </row>
    <row r="2740" customFormat="false" ht="15.75" hidden="false" customHeight="false" outlineLevel="0" collapsed="false">
      <c r="B2740" s="7" t="n">
        <v>46269</v>
      </c>
      <c r="C2740" s="3" t="s">
        <v>6494</v>
      </c>
      <c r="D2740" s="3" t="s">
        <v>5958</v>
      </c>
      <c r="E2740" s="14" t="s">
        <v>6486</v>
      </c>
      <c r="F2740" s="14" t="s">
        <v>6487</v>
      </c>
      <c r="G2740" s="15" t="s">
        <v>2827</v>
      </c>
      <c r="H2740" s="9" t="s">
        <v>13</v>
      </c>
      <c r="I2740" s="9" t="s">
        <v>6495</v>
      </c>
    </row>
    <row r="2741" customFormat="false" ht="15.75" hidden="false" customHeight="false" outlineLevel="0" collapsed="false">
      <c r="B2741" s="7" t="n">
        <v>46269</v>
      </c>
      <c r="C2741" s="3" t="s">
        <v>6496</v>
      </c>
      <c r="D2741" s="3" t="s">
        <v>5958</v>
      </c>
      <c r="E2741" s="14" t="s">
        <v>6486</v>
      </c>
      <c r="F2741" s="14" t="s">
        <v>6487</v>
      </c>
      <c r="G2741" s="15" t="s">
        <v>3470</v>
      </c>
      <c r="H2741" s="9" t="s">
        <v>13</v>
      </c>
      <c r="I2741" s="9" t="s">
        <v>6497</v>
      </c>
    </row>
    <row r="2742" customFormat="false" ht="15.75" hidden="false" customHeight="false" outlineLevel="0" collapsed="false">
      <c r="B2742" s="7" t="n">
        <v>46269</v>
      </c>
      <c r="C2742" s="3" t="s">
        <v>6498</v>
      </c>
      <c r="D2742" s="3" t="s">
        <v>5958</v>
      </c>
      <c r="E2742" s="14" t="s">
        <v>6486</v>
      </c>
      <c r="F2742" s="14" t="s">
        <v>6487</v>
      </c>
      <c r="G2742" s="15" t="s">
        <v>2144</v>
      </c>
      <c r="H2742" s="9" t="s">
        <v>13</v>
      </c>
      <c r="I2742" s="9" t="s">
        <v>6499</v>
      </c>
    </row>
    <row r="2743" customFormat="false" ht="15.75" hidden="false" customHeight="false" outlineLevel="0" collapsed="false">
      <c r="B2743" s="7" t="n">
        <v>46269</v>
      </c>
      <c r="C2743" s="3" t="s">
        <v>6500</v>
      </c>
      <c r="D2743" s="3" t="s">
        <v>5958</v>
      </c>
      <c r="E2743" s="14" t="s">
        <v>6486</v>
      </c>
      <c r="F2743" s="14" t="s">
        <v>6487</v>
      </c>
      <c r="G2743" s="15" t="s">
        <v>2444</v>
      </c>
      <c r="H2743" s="9" t="s">
        <v>13</v>
      </c>
      <c r="I2743" s="9" t="s">
        <v>6501</v>
      </c>
    </row>
    <row r="2744" customFormat="false" ht="15.75" hidden="false" customHeight="false" outlineLevel="0" collapsed="false">
      <c r="B2744" s="7" t="n">
        <v>46269</v>
      </c>
      <c r="C2744" s="3" t="s">
        <v>6502</v>
      </c>
      <c r="D2744" s="3" t="s">
        <v>5958</v>
      </c>
      <c r="E2744" s="14" t="s">
        <v>6486</v>
      </c>
      <c r="F2744" s="14" t="s">
        <v>6487</v>
      </c>
      <c r="G2744" s="16" t="s">
        <v>6503</v>
      </c>
      <c r="H2744" s="9" t="s">
        <v>13</v>
      </c>
      <c r="I2744" s="9" t="s">
        <v>6504</v>
      </c>
    </row>
    <row r="2745" customFormat="false" ht="15.75" hidden="false" customHeight="false" outlineLevel="0" collapsed="false">
      <c r="B2745" s="7" t="n">
        <v>46269</v>
      </c>
      <c r="C2745" s="3" t="s">
        <v>6505</v>
      </c>
      <c r="D2745" s="3" t="s">
        <v>5958</v>
      </c>
      <c r="E2745" s="14" t="s">
        <v>6486</v>
      </c>
      <c r="F2745" s="14" t="s">
        <v>6487</v>
      </c>
      <c r="G2745" s="16" t="s">
        <v>6503</v>
      </c>
      <c r="H2745" s="9" t="s">
        <v>13</v>
      </c>
      <c r="I2745" s="9" t="s">
        <v>6504</v>
      </c>
    </row>
    <row r="2746" customFormat="false" ht="15.75" hidden="false" customHeight="false" outlineLevel="0" collapsed="false">
      <c r="B2746" s="7" t="n">
        <v>46269</v>
      </c>
      <c r="C2746" s="3" t="s">
        <v>6506</v>
      </c>
      <c r="D2746" s="3" t="s">
        <v>5958</v>
      </c>
      <c r="E2746" s="14" t="s">
        <v>6486</v>
      </c>
      <c r="F2746" s="14" t="s">
        <v>6487</v>
      </c>
      <c r="G2746" s="15" t="s">
        <v>2452</v>
      </c>
      <c r="H2746" s="9" t="s">
        <v>13</v>
      </c>
      <c r="I2746" s="9" t="s">
        <v>6507</v>
      </c>
    </row>
    <row r="2747" customFormat="false" ht="15.75" hidden="false" customHeight="false" outlineLevel="0" collapsed="false">
      <c r="B2747" s="7" t="n">
        <v>46269</v>
      </c>
      <c r="C2747" s="3" t="s">
        <v>6508</v>
      </c>
      <c r="D2747" s="3" t="s">
        <v>5958</v>
      </c>
      <c r="E2747" s="14" t="s">
        <v>6486</v>
      </c>
      <c r="F2747" s="14" t="s">
        <v>6487</v>
      </c>
      <c r="G2747" s="15" t="s">
        <v>6177</v>
      </c>
      <c r="H2747" s="9" t="s">
        <v>13</v>
      </c>
      <c r="I2747" s="9" t="s">
        <v>6509</v>
      </c>
    </row>
    <row r="2748" customFormat="false" ht="15.75" hidden="false" customHeight="false" outlineLevel="0" collapsed="false">
      <c r="B2748" s="7" t="n">
        <v>46269</v>
      </c>
      <c r="C2748" s="3" t="s">
        <v>6510</v>
      </c>
      <c r="D2748" s="3" t="s">
        <v>5958</v>
      </c>
      <c r="E2748" s="14" t="s">
        <v>6486</v>
      </c>
      <c r="F2748" s="14" t="s">
        <v>6487</v>
      </c>
      <c r="G2748" s="15" t="s">
        <v>3524</v>
      </c>
      <c r="H2748" s="9" t="s">
        <v>13</v>
      </c>
      <c r="I2748" s="9" t="s">
        <v>6511</v>
      </c>
    </row>
    <row r="2749" customFormat="false" ht="15.75" hidden="false" customHeight="false" outlineLevel="0" collapsed="false">
      <c r="B2749" s="7" t="n">
        <v>46269</v>
      </c>
      <c r="C2749" s="3" t="s">
        <v>6512</v>
      </c>
      <c r="D2749" s="3" t="s">
        <v>5958</v>
      </c>
      <c r="E2749" s="14" t="s">
        <v>6486</v>
      </c>
      <c r="F2749" s="14" t="s">
        <v>6487</v>
      </c>
      <c r="G2749" s="16" t="s">
        <v>3952</v>
      </c>
      <c r="H2749" s="9" t="s">
        <v>13</v>
      </c>
      <c r="I2749" s="9" t="s">
        <v>6513</v>
      </c>
    </row>
    <row r="2750" customFormat="false" ht="15.75" hidden="false" customHeight="false" outlineLevel="0" collapsed="false">
      <c r="B2750" s="7" t="n">
        <v>46269</v>
      </c>
      <c r="C2750" s="3" t="s">
        <v>6514</v>
      </c>
      <c r="D2750" s="3" t="s">
        <v>5958</v>
      </c>
      <c r="E2750" s="14" t="s">
        <v>6486</v>
      </c>
      <c r="F2750" s="14" t="s">
        <v>6487</v>
      </c>
      <c r="G2750" s="15" t="s">
        <v>6515</v>
      </c>
      <c r="H2750" s="9" t="s">
        <v>13</v>
      </c>
      <c r="I2750" s="9" t="s">
        <v>6516</v>
      </c>
    </row>
    <row r="2751" customFormat="false" ht="15.75" hidden="false" customHeight="false" outlineLevel="0" collapsed="false">
      <c r="B2751" s="7" t="n">
        <v>46269</v>
      </c>
      <c r="C2751" s="3" t="s">
        <v>6517</v>
      </c>
      <c r="D2751" s="3" t="s">
        <v>5958</v>
      </c>
      <c r="E2751" s="14" t="s">
        <v>6486</v>
      </c>
      <c r="F2751" s="14" t="s">
        <v>6487</v>
      </c>
      <c r="G2751" s="15" t="s">
        <v>6518</v>
      </c>
      <c r="H2751" s="9" t="s">
        <v>13</v>
      </c>
      <c r="I2751" s="9" t="s">
        <v>6519</v>
      </c>
    </row>
    <row r="2752" customFormat="false" ht="15.75" hidden="false" customHeight="false" outlineLevel="0" collapsed="false">
      <c r="B2752" s="7" t="n">
        <v>46269</v>
      </c>
      <c r="C2752" s="3" t="s">
        <v>6520</v>
      </c>
      <c r="D2752" s="3" t="s">
        <v>5958</v>
      </c>
      <c r="E2752" s="14" t="s">
        <v>6486</v>
      </c>
      <c r="F2752" s="14" t="s">
        <v>6487</v>
      </c>
      <c r="G2752" s="16" t="s">
        <v>6521</v>
      </c>
      <c r="H2752" s="9" t="s">
        <v>13</v>
      </c>
      <c r="I2752" s="9" t="s">
        <v>6522</v>
      </c>
    </row>
    <row r="2753" customFormat="false" ht="15.75" hidden="false" customHeight="false" outlineLevel="0" collapsed="false">
      <c r="B2753" s="7" t="n">
        <v>46269</v>
      </c>
      <c r="C2753" s="3" t="s">
        <v>6523</v>
      </c>
      <c r="D2753" s="3" t="s">
        <v>5958</v>
      </c>
      <c r="E2753" s="14" t="s">
        <v>6486</v>
      </c>
      <c r="F2753" s="14" t="s">
        <v>6487</v>
      </c>
      <c r="G2753" s="15" t="s">
        <v>2144</v>
      </c>
      <c r="H2753" s="9" t="s">
        <v>13</v>
      </c>
      <c r="I2753" s="9" t="s">
        <v>6524</v>
      </c>
    </row>
    <row r="2754" customFormat="false" ht="15.75" hidden="false" customHeight="false" outlineLevel="0" collapsed="false">
      <c r="B2754" s="7" t="n">
        <v>46269</v>
      </c>
      <c r="C2754" s="3" t="s">
        <v>6525</v>
      </c>
      <c r="D2754" s="3" t="s">
        <v>5958</v>
      </c>
      <c r="E2754" s="14" t="s">
        <v>6486</v>
      </c>
      <c r="F2754" s="14" t="s">
        <v>6487</v>
      </c>
      <c r="G2754" s="15" t="s">
        <v>2218</v>
      </c>
      <c r="H2754" s="9" t="s">
        <v>13</v>
      </c>
      <c r="I2754" s="9" t="s">
        <v>6526</v>
      </c>
    </row>
    <row r="2755" customFormat="false" ht="15.75" hidden="false" customHeight="false" outlineLevel="0" collapsed="false">
      <c r="B2755" s="7" t="n">
        <v>46269</v>
      </c>
      <c r="C2755" s="3" t="s">
        <v>6527</v>
      </c>
      <c r="D2755" s="3" t="s">
        <v>5958</v>
      </c>
      <c r="E2755" s="14" t="s">
        <v>6486</v>
      </c>
      <c r="F2755" s="14" t="s">
        <v>6487</v>
      </c>
      <c r="G2755" s="15" t="s">
        <v>6479</v>
      </c>
      <c r="H2755" s="9" t="s">
        <v>13</v>
      </c>
      <c r="I2755" s="17" t="s">
        <v>6528</v>
      </c>
    </row>
    <row r="2756" customFormat="false" ht="15.75" hidden="false" customHeight="false" outlineLevel="0" collapsed="false">
      <c r="B2756" s="7" t="n">
        <v>46269</v>
      </c>
      <c r="C2756" s="3" t="s">
        <v>6529</v>
      </c>
      <c r="D2756" s="3" t="s">
        <v>5958</v>
      </c>
      <c r="E2756" s="14" t="s">
        <v>6486</v>
      </c>
      <c r="F2756" s="14" t="s">
        <v>6487</v>
      </c>
      <c r="G2756" s="15" t="s">
        <v>6530</v>
      </c>
      <c r="H2756" s="9" t="s">
        <v>13</v>
      </c>
      <c r="I2756" s="9" t="s">
        <v>6531</v>
      </c>
    </row>
    <row r="2757" customFormat="false" ht="15.75" hidden="false" customHeight="false" outlineLevel="0" collapsed="false">
      <c r="B2757" s="7" t="n">
        <v>46269</v>
      </c>
      <c r="C2757" s="3" t="s">
        <v>6532</v>
      </c>
      <c r="D2757" s="3" t="s">
        <v>5958</v>
      </c>
      <c r="E2757" s="14" t="s">
        <v>6486</v>
      </c>
      <c r="F2757" s="14" t="s">
        <v>6487</v>
      </c>
      <c r="G2757" s="15" t="s">
        <v>6533</v>
      </c>
      <c r="H2757" s="9" t="s">
        <v>13</v>
      </c>
      <c r="I2757" s="9" t="s">
        <v>6534</v>
      </c>
    </row>
    <row r="2758" customFormat="false" ht="15.75" hidden="false" customHeight="false" outlineLevel="0" collapsed="false">
      <c r="B2758" s="7" t="n">
        <v>46269</v>
      </c>
      <c r="C2758" s="3" t="s">
        <v>6535</v>
      </c>
      <c r="D2758" s="3" t="s">
        <v>5958</v>
      </c>
      <c r="E2758" s="14" t="s">
        <v>6486</v>
      </c>
      <c r="F2758" s="14" t="s">
        <v>6536</v>
      </c>
      <c r="G2758" s="15" t="s">
        <v>6537</v>
      </c>
      <c r="H2758" s="9" t="s">
        <v>13</v>
      </c>
      <c r="I2758" s="9" t="s">
        <v>6538</v>
      </c>
    </row>
    <row r="2759" customFormat="false" ht="15.75" hidden="false" customHeight="false" outlineLevel="0" collapsed="false">
      <c r="B2759" s="7" t="n">
        <v>46269</v>
      </c>
      <c r="C2759" s="3" t="s">
        <v>6539</v>
      </c>
      <c r="D2759" s="3" t="s">
        <v>5958</v>
      </c>
      <c r="E2759" s="14" t="s">
        <v>6486</v>
      </c>
      <c r="F2759" s="14" t="s">
        <v>6536</v>
      </c>
      <c r="G2759" s="15" t="s">
        <v>6537</v>
      </c>
      <c r="H2759" s="9" t="s">
        <v>13</v>
      </c>
      <c r="I2759" s="9" t="s">
        <v>6538</v>
      </c>
    </row>
    <row r="2760" customFormat="false" ht="15.75" hidden="false" customHeight="false" outlineLevel="0" collapsed="false">
      <c r="B2760" s="7" t="n">
        <v>46269</v>
      </c>
      <c r="C2760" s="3" t="s">
        <v>6540</v>
      </c>
      <c r="D2760" s="3" t="s">
        <v>5958</v>
      </c>
      <c r="E2760" s="14" t="s">
        <v>6486</v>
      </c>
      <c r="F2760" s="14" t="s">
        <v>6536</v>
      </c>
      <c r="G2760" s="15" t="s">
        <v>2083</v>
      </c>
      <c r="H2760" s="9" t="s">
        <v>13</v>
      </c>
      <c r="I2760" s="9" t="s">
        <v>6541</v>
      </c>
    </row>
    <row r="2761" customFormat="false" ht="15.75" hidden="false" customHeight="false" outlineLevel="0" collapsed="false">
      <c r="B2761" s="7" t="n">
        <v>46269</v>
      </c>
      <c r="C2761" s="3" t="s">
        <v>6542</v>
      </c>
      <c r="D2761" s="3" t="s">
        <v>5958</v>
      </c>
      <c r="E2761" s="14" t="s">
        <v>6486</v>
      </c>
      <c r="F2761" s="14" t="s">
        <v>6536</v>
      </c>
      <c r="G2761" s="15" t="s">
        <v>6543</v>
      </c>
      <c r="H2761" s="9" t="s">
        <v>13</v>
      </c>
      <c r="I2761" s="9" t="s">
        <v>6544</v>
      </c>
    </row>
    <row r="2762" customFormat="false" ht="15.75" hidden="false" customHeight="false" outlineLevel="0" collapsed="false">
      <c r="B2762" s="7" t="n">
        <v>46269</v>
      </c>
      <c r="C2762" s="3" t="s">
        <v>6545</v>
      </c>
      <c r="D2762" s="3" t="s">
        <v>5958</v>
      </c>
      <c r="E2762" s="14" t="s">
        <v>6486</v>
      </c>
      <c r="F2762" s="14" t="s">
        <v>6536</v>
      </c>
      <c r="G2762" s="15" t="s">
        <v>6543</v>
      </c>
      <c r="H2762" s="9" t="s">
        <v>13</v>
      </c>
      <c r="I2762" s="9" t="s">
        <v>6546</v>
      </c>
    </row>
    <row r="2763" customFormat="false" ht="15.75" hidden="false" customHeight="false" outlineLevel="0" collapsed="false">
      <c r="B2763" s="7" t="n">
        <v>46269</v>
      </c>
      <c r="C2763" s="3" t="s">
        <v>6547</v>
      </c>
      <c r="D2763" s="3" t="s">
        <v>5958</v>
      </c>
      <c r="E2763" s="14" t="s">
        <v>6486</v>
      </c>
      <c r="F2763" s="14" t="s">
        <v>6536</v>
      </c>
      <c r="G2763" s="15" t="s">
        <v>6543</v>
      </c>
      <c r="H2763" s="9" t="s">
        <v>13</v>
      </c>
      <c r="I2763" s="9" t="s">
        <v>6548</v>
      </c>
    </row>
    <row r="2764" customFormat="false" ht="15.75" hidden="false" customHeight="false" outlineLevel="0" collapsed="false">
      <c r="B2764" s="7" t="n">
        <v>46269</v>
      </c>
      <c r="C2764" s="3" t="s">
        <v>6549</v>
      </c>
      <c r="D2764" s="3" t="s">
        <v>5958</v>
      </c>
      <c r="E2764" s="14" t="s">
        <v>6486</v>
      </c>
      <c r="F2764" s="14" t="s">
        <v>6536</v>
      </c>
      <c r="G2764" s="16" t="s">
        <v>6550</v>
      </c>
      <c r="H2764" s="9" t="s">
        <v>13</v>
      </c>
      <c r="I2764" s="9" t="s">
        <v>6551</v>
      </c>
    </row>
    <row r="2765" customFormat="false" ht="15.75" hidden="false" customHeight="false" outlineLevel="0" collapsed="false">
      <c r="B2765" s="7" t="n">
        <v>46269</v>
      </c>
      <c r="C2765" s="3" t="s">
        <v>6552</v>
      </c>
      <c r="D2765" s="3" t="s">
        <v>5958</v>
      </c>
      <c r="E2765" s="14" t="s">
        <v>6486</v>
      </c>
      <c r="F2765" s="14" t="s">
        <v>6536</v>
      </c>
      <c r="G2765" s="15" t="s">
        <v>6553</v>
      </c>
      <c r="H2765" s="9" t="s">
        <v>13</v>
      </c>
      <c r="I2765" s="9" t="s">
        <v>6554</v>
      </c>
    </row>
    <row r="2766" customFormat="false" ht="15.75" hidden="false" customHeight="false" outlineLevel="0" collapsed="false">
      <c r="B2766" s="7" t="n">
        <v>46269</v>
      </c>
      <c r="C2766" s="3" t="s">
        <v>6555</v>
      </c>
      <c r="D2766" s="3" t="s">
        <v>5958</v>
      </c>
      <c r="E2766" s="14" t="s">
        <v>6486</v>
      </c>
      <c r="F2766" s="14" t="s">
        <v>6536</v>
      </c>
      <c r="G2766" s="16" t="s">
        <v>6556</v>
      </c>
      <c r="H2766" s="9" t="s">
        <v>13</v>
      </c>
      <c r="I2766" s="9" t="s">
        <v>6557</v>
      </c>
    </row>
    <row r="2767" customFormat="false" ht="15.75" hidden="false" customHeight="false" outlineLevel="0" collapsed="false">
      <c r="B2767" s="7" t="n">
        <v>46269</v>
      </c>
      <c r="C2767" s="3" t="s">
        <v>6558</v>
      </c>
      <c r="D2767" s="3" t="s">
        <v>5958</v>
      </c>
      <c r="E2767" s="14" t="s">
        <v>6486</v>
      </c>
      <c r="F2767" s="14" t="s">
        <v>6536</v>
      </c>
      <c r="G2767" s="16" t="s">
        <v>6556</v>
      </c>
      <c r="H2767" s="9" t="s">
        <v>13</v>
      </c>
      <c r="I2767" s="9" t="s">
        <v>6557</v>
      </c>
    </row>
    <row r="2768" customFormat="false" ht="15.75" hidden="false" customHeight="false" outlineLevel="0" collapsed="false">
      <c r="B2768" s="7" t="n">
        <v>46269</v>
      </c>
      <c r="C2768" s="3" t="s">
        <v>6559</v>
      </c>
      <c r="D2768" s="3" t="s">
        <v>5958</v>
      </c>
      <c r="E2768" s="14" t="s">
        <v>6486</v>
      </c>
      <c r="F2768" s="14" t="s">
        <v>6536</v>
      </c>
      <c r="G2768" s="15" t="s">
        <v>6560</v>
      </c>
      <c r="H2768" s="9" t="s">
        <v>13</v>
      </c>
      <c r="I2768" s="9" t="s">
        <v>6561</v>
      </c>
    </row>
    <row r="2769" customFormat="false" ht="15.75" hidden="false" customHeight="false" outlineLevel="0" collapsed="false">
      <c r="B2769" s="7" t="n">
        <v>46269</v>
      </c>
      <c r="C2769" s="3" t="s">
        <v>6562</v>
      </c>
      <c r="D2769" s="3" t="s">
        <v>5958</v>
      </c>
      <c r="E2769" s="14" t="s">
        <v>6486</v>
      </c>
      <c r="F2769" s="14" t="s">
        <v>6536</v>
      </c>
      <c r="G2769" s="16" t="s">
        <v>3463</v>
      </c>
      <c r="H2769" s="9" t="s">
        <v>13</v>
      </c>
      <c r="I2769" s="9" t="s">
        <v>6563</v>
      </c>
    </row>
    <row r="2770" customFormat="false" ht="15.75" hidden="false" customHeight="false" outlineLevel="0" collapsed="false">
      <c r="B2770" s="7" t="n">
        <v>46269</v>
      </c>
      <c r="C2770" s="3" t="s">
        <v>6564</v>
      </c>
      <c r="D2770" s="3" t="s">
        <v>5958</v>
      </c>
      <c r="E2770" s="14" t="s">
        <v>6486</v>
      </c>
      <c r="F2770" s="14" t="s">
        <v>6536</v>
      </c>
      <c r="G2770" s="16" t="s">
        <v>3463</v>
      </c>
      <c r="H2770" s="9" t="s">
        <v>13</v>
      </c>
      <c r="I2770" s="9" t="s">
        <v>6563</v>
      </c>
    </row>
    <row r="2771" customFormat="false" ht="15.75" hidden="false" customHeight="false" outlineLevel="0" collapsed="false">
      <c r="B2771" s="7" t="n">
        <v>46269</v>
      </c>
      <c r="C2771" s="3" t="s">
        <v>6565</v>
      </c>
      <c r="D2771" s="3" t="s">
        <v>5958</v>
      </c>
      <c r="E2771" s="14" t="s">
        <v>6486</v>
      </c>
      <c r="F2771" s="14" t="s">
        <v>6536</v>
      </c>
      <c r="G2771" s="15" t="s">
        <v>6566</v>
      </c>
      <c r="H2771" s="9" t="s">
        <v>13</v>
      </c>
      <c r="I2771" s="9" t="s">
        <v>6567</v>
      </c>
    </row>
    <row r="2772" customFormat="false" ht="15.75" hidden="false" customHeight="false" outlineLevel="0" collapsed="false">
      <c r="B2772" s="7" t="n">
        <v>46269</v>
      </c>
      <c r="C2772" s="3" t="s">
        <v>6568</v>
      </c>
      <c r="D2772" s="3" t="s">
        <v>5958</v>
      </c>
      <c r="E2772" s="14" t="s">
        <v>6486</v>
      </c>
      <c r="F2772" s="14" t="s">
        <v>6536</v>
      </c>
      <c r="G2772" s="15" t="s">
        <v>3368</v>
      </c>
      <c r="H2772" s="9" t="s">
        <v>13</v>
      </c>
      <c r="I2772" s="9" t="s">
        <v>6569</v>
      </c>
    </row>
    <row r="2773" customFormat="false" ht="15.75" hidden="false" customHeight="false" outlineLevel="0" collapsed="false">
      <c r="B2773" s="7" t="n">
        <v>46269</v>
      </c>
      <c r="C2773" s="3" t="s">
        <v>6570</v>
      </c>
      <c r="D2773" s="3" t="s">
        <v>5958</v>
      </c>
      <c r="E2773" s="14" t="s">
        <v>6486</v>
      </c>
      <c r="F2773" s="14" t="s">
        <v>6536</v>
      </c>
      <c r="G2773" s="15" t="s">
        <v>6337</v>
      </c>
      <c r="H2773" s="9" t="s">
        <v>13</v>
      </c>
      <c r="I2773" s="9" t="s">
        <v>6571</v>
      </c>
    </row>
    <row r="2774" customFormat="false" ht="15.75" hidden="false" customHeight="false" outlineLevel="0" collapsed="false">
      <c r="B2774" s="7" t="n">
        <v>46269</v>
      </c>
      <c r="C2774" s="3" t="s">
        <v>6572</v>
      </c>
      <c r="D2774" s="3" t="s">
        <v>5958</v>
      </c>
      <c r="E2774" s="14" t="s">
        <v>6486</v>
      </c>
      <c r="F2774" s="14" t="s">
        <v>6536</v>
      </c>
      <c r="G2774" s="15" t="s">
        <v>6553</v>
      </c>
      <c r="H2774" s="9" t="s">
        <v>13</v>
      </c>
      <c r="I2774" s="9" t="s">
        <v>6573</v>
      </c>
    </row>
    <row r="2775" customFormat="false" ht="15.75" hidden="false" customHeight="false" outlineLevel="0" collapsed="false">
      <c r="B2775" s="7" t="n">
        <v>46269</v>
      </c>
      <c r="C2775" s="3" t="s">
        <v>6574</v>
      </c>
      <c r="D2775" s="3" t="s">
        <v>5958</v>
      </c>
      <c r="E2775" s="14" t="s">
        <v>6486</v>
      </c>
      <c r="F2775" s="14" t="s">
        <v>6536</v>
      </c>
      <c r="G2775" s="15" t="s">
        <v>6575</v>
      </c>
      <c r="H2775" s="9" t="s">
        <v>13</v>
      </c>
      <c r="I2775" s="9" t="s">
        <v>6576</v>
      </c>
    </row>
    <row r="2776" customFormat="false" ht="15.75" hidden="false" customHeight="false" outlineLevel="0" collapsed="false">
      <c r="B2776" s="7" t="n">
        <v>46269</v>
      </c>
      <c r="C2776" s="3" t="s">
        <v>6577</v>
      </c>
      <c r="D2776" s="3" t="s">
        <v>5958</v>
      </c>
      <c r="E2776" s="14" t="s">
        <v>6486</v>
      </c>
      <c r="F2776" s="14" t="s">
        <v>6536</v>
      </c>
      <c r="G2776" s="16" t="s">
        <v>6578</v>
      </c>
      <c r="H2776" s="9" t="s">
        <v>13</v>
      </c>
      <c r="I2776" s="9" t="s">
        <v>6579</v>
      </c>
    </row>
    <row r="2777" customFormat="false" ht="15.75" hidden="false" customHeight="false" outlineLevel="0" collapsed="false">
      <c r="B2777" s="7" t="n">
        <v>46269</v>
      </c>
      <c r="C2777" s="3" t="s">
        <v>6580</v>
      </c>
      <c r="D2777" s="3" t="s">
        <v>5958</v>
      </c>
      <c r="E2777" s="14" t="s">
        <v>6486</v>
      </c>
      <c r="F2777" s="14" t="s">
        <v>6536</v>
      </c>
      <c r="G2777" s="15" t="s">
        <v>6013</v>
      </c>
      <c r="H2777" s="9" t="s">
        <v>13</v>
      </c>
      <c r="I2777" s="9" t="s">
        <v>6581</v>
      </c>
    </row>
    <row r="2778" customFormat="false" ht="15.75" hidden="false" customHeight="false" outlineLevel="0" collapsed="false">
      <c r="B2778" s="7" t="n">
        <v>46269</v>
      </c>
      <c r="C2778" s="3" t="s">
        <v>6582</v>
      </c>
      <c r="D2778" s="3" t="s">
        <v>5958</v>
      </c>
      <c r="E2778" s="14" t="s">
        <v>6486</v>
      </c>
      <c r="F2778" s="14" t="s">
        <v>6536</v>
      </c>
      <c r="G2778" s="16" t="s">
        <v>6583</v>
      </c>
      <c r="H2778" s="9" t="s">
        <v>13</v>
      </c>
      <c r="I2778" s="9" t="s">
        <v>6584</v>
      </c>
    </row>
    <row r="2779" customFormat="false" ht="15.75" hidden="false" customHeight="false" outlineLevel="0" collapsed="false">
      <c r="B2779" s="7" t="n">
        <v>46269</v>
      </c>
      <c r="C2779" s="3" t="s">
        <v>6585</v>
      </c>
      <c r="D2779" s="3" t="s">
        <v>5958</v>
      </c>
      <c r="E2779" s="14" t="s">
        <v>6486</v>
      </c>
      <c r="F2779" s="14" t="s">
        <v>6536</v>
      </c>
      <c r="G2779" s="15" t="s">
        <v>6586</v>
      </c>
      <c r="H2779" s="9" t="s">
        <v>13</v>
      </c>
      <c r="I2779" s="9" t="s">
        <v>6587</v>
      </c>
    </row>
    <row r="2780" customFormat="false" ht="15.75" hidden="false" customHeight="false" outlineLevel="0" collapsed="false">
      <c r="B2780" s="7" t="n">
        <v>46269</v>
      </c>
      <c r="C2780" s="3" t="s">
        <v>6588</v>
      </c>
      <c r="D2780" s="3" t="s">
        <v>5958</v>
      </c>
      <c r="E2780" s="14" t="s">
        <v>6486</v>
      </c>
      <c r="F2780" s="14" t="s">
        <v>6536</v>
      </c>
      <c r="G2780" s="15" t="s">
        <v>6589</v>
      </c>
      <c r="H2780" s="9" t="s">
        <v>13</v>
      </c>
      <c r="I2780" s="9" t="s">
        <v>6590</v>
      </c>
    </row>
    <row r="2781" customFormat="false" ht="15.75" hidden="false" customHeight="false" outlineLevel="0" collapsed="false">
      <c r="B2781" s="7" t="n">
        <v>46269</v>
      </c>
      <c r="C2781" s="3" t="s">
        <v>6591</v>
      </c>
      <c r="D2781" s="3" t="s">
        <v>5958</v>
      </c>
      <c r="E2781" s="14" t="s">
        <v>6486</v>
      </c>
      <c r="F2781" s="14" t="s">
        <v>6536</v>
      </c>
      <c r="G2781" s="15" t="s">
        <v>3497</v>
      </c>
      <c r="H2781" s="9" t="s">
        <v>13</v>
      </c>
      <c r="I2781" s="9" t="s">
        <v>6592</v>
      </c>
    </row>
    <row r="2782" customFormat="false" ht="15.75" hidden="false" customHeight="false" outlineLevel="0" collapsed="false">
      <c r="B2782" s="7" t="n">
        <v>46269</v>
      </c>
      <c r="C2782" s="3" t="s">
        <v>6593</v>
      </c>
      <c r="D2782" s="3" t="s">
        <v>5958</v>
      </c>
      <c r="E2782" s="14" t="s">
        <v>6486</v>
      </c>
      <c r="F2782" s="14" t="s">
        <v>6536</v>
      </c>
      <c r="G2782" s="15" t="s">
        <v>3497</v>
      </c>
      <c r="H2782" s="9" t="s">
        <v>13</v>
      </c>
      <c r="I2782" s="9" t="s">
        <v>6594</v>
      </c>
    </row>
    <row r="2783" customFormat="false" ht="15.75" hidden="false" customHeight="false" outlineLevel="0" collapsed="false">
      <c r="B2783" s="7" t="n">
        <v>46269</v>
      </c>
      <c r="C2783" s="3" t="s">
        <v>6595</v>
      </c>
      <c r="D2783" s="3" t="s">
        <v>5958</v>
      </c>
      <c r="E2783" s="14" t="s">
        <v>6486</v>
      </c>
      <c r="F2783" s="14" t="s">
        <v>6536</v>
      </c>
      <c r="G2783" s="16" t="s">
        <v>2134</v>
      </c>
      <c r="H2783" s="9" t="s">
        <v>13</v>
      </c>
      <c r="I2783" s="9" t="s">
        <v>6596</v>
      </c>
    </row>
    <row r="2784" customFormat="false" ht="15.75" hidden="false" customHeight="false" outlineLevel="0" collapsed="false">
      <c r="B2784" s="7" t="n">
        <v>46269</v>
      </c>
      <c r="C2784" s="3" t="s">
        <v>6597</v>
      </c>
      <c r="D2784" s="3" t="s">
        <v>5958</v>
      </c>
      <c r="E2784" s="14" t="s">
        <v>6486</v>
      </c>
      <c r="F2784" s="14" t="s">
        <v>6536</v>
      </c>
      <c r="G2784" s="16" t="s">
        <v>2134</v>
      </c>
      <c r="H2784" s="9" t="s">
        <v>13</v>
      </c>
      <c r="I2784" s="9" t="s">
        <v>6598</v>
      </c>
    </row>
    <row r="2785" customFormat="false" ht="15.75" hidden="false" customHeight="false" outlineLevel="0" collapsed="false">
      <c r="B2785" s="7" t="n">
        <v>46269</v>
      </c>
      <c r="C2785" s="3" t="s">
        <v>6599</v>
      </c>
      <c r="D2785" s="3" t="s">
        <v>5958</v>
      </c>
      <c r="E2785" s="14" t="s">
        <v>6486</v>
      </c>
      <c r="F2785" s="14" t="s">
        <v>6536</v>
      </c>
      <c r="G2785" s="16" t="s">
        <v>2134</v>
      </c>
      <c r="H2785" s="9" t="s">
        <v>13</v>
      </c>
      <c r="I2785" s="9" t="s">
        <v>6600</v>
      </c>
    </row>
    <row r="2786" customFormat="false" ht="15.75" hidden="false" customHeight="false" outlineLevel="0" collapsed="false">
      <c r="B2786" s="7" t="n">
        <v>46269</v>
      </c>
      <c r="C2786" s="3" t="s">
        <v>6601</v>
      </c>
      <c r="D2786" s="3" t="s">
        <v>5958</v>
      </c>
      <c r="E2786" s="14" t="s">
        <v>6486</v>
      </c>
      <c r="F2786" s="14" t="s">
        <v>6536</v>
      </c>
      <c r="G2786" s="15" t="s">
        <v>6602</v>
      </c>
      <c r="H2786" s="9" t="s">
        <v>13</v>
      </c>
      <c r="I2786" s="9" t="s">
        <v>6603</v>
      </c>
    </row>
    <row r="2787" customFormat="false" ht="15.75" hidden="false" customHeight="false" outlineLevel="0" collapsed="false">
      <c r="B2787" s="7" t="n">
        <v>46269</v>
      </c>
      <c r="C2787" s="3" t="s">
        <v>6604</v>
      </c>
      <c r="D2787" s="3" t="s">
        <v>5958</v>
      </c>
      <c r="E2787" s="14" t="s">
        <v>6486</v>
      </c>
      <c r="F2787" s="14" t="s">
        <v>6536</v>
      </c>
      <c r="G2787" s="15" t="s">
        <v>6605</v>
      </c>
      <c r="H2787" s="9" t="s">
        <v>13</v>
      </c>
      <c r="I2787" s="9" t="s">
        <v>6606</v>
      </c>
    </row>
    <row r="2788" customFormat="false" ht="15.75" hidden="false" customHeight="false" outlineLevel="0" collapsed="false">
      <c r="B2788" s="7" t="n">
        <v>46269</v>
      </c>
      <c r="C2788" s="3" t="s">
        <v>6607</v>
      </c>
      <c r="D2788" s="3" t="s">
        <v>5958</v>
      </c>
      <c r="E2788" s="14" t="s">
        <v>6486</v>
      </c>
      <c r="F2788" s="14" t="s">
        <v>6536</v>
      </c>
      <c r="G2788" s="15" t="s">
        <v>6003</v>
      </c>
      <c r="H2788" s="9" t="s">
        <v>13</v>
      </c>
      <c r="I2788" s="9" t="s">
        <v>6608</v>
      </c>
    </row>
    <row r="2789" customFormat="false" ht="15.75" hidden="false" customHeight="false" outlineLevel="0" collapsed="false">
      <c r="B2789" s="7" t="n">
        <v>46269</v>
      </c>
      <c r="C2789" s="3" t="s">
        <v>6609</v>
      </c>
      <c r="D2789" s="3" t="s">
        <v>5958</v>
      </c>
      <c r="E2789" s="14" t="s">
        <v>6486</v>
      </c>
      <c r="F2789" s="14" t="s">
        <v>6536</v>
      </c>
      <c r="G2789" s="15" t="s">
        <v>6003</v>
      </c>
      <c r="H2789" s="9" t="s">
        <v>13</v>
      </c>
      <c r="I2789" s="9" t="s">
        <v>6610</v>
      </c>
    </row>
    <row r="2790" customFormat="false" ht="15.75" hidden="false" customHeight="false" outlineLevel="0" collapsed="false">
      <c r="B2790" s="7" t="n">
        <v>46269</v>
      </c>
      <c r="C2790" s="3" t="s">
        <v>6611</v>
      </c>
      <c r="D2790" s="3" t="s">
        <v>5958</v>
      </c>
      <c r="E2790" s="14" t="s">
        <v>6486</v>
      </c>
      <c r="F2790" s="14" t="s">
        <v>6536</v>
      </c>
      <c r="G2790" s="15" t="s">
        <v>6612</v>
      </c>
      <c r="H2790" s="9" t="s">
        <v>13</v>
      </c>
      <c r="I2790" s="9" t="s">
        <v>6613</v>
      </c>
    </row>
    <row r="2791" customFormat="false" ht="15.75" hidden="false" customHeight="false" outlineLevel="0" collapsed="false">
      <c r="B2791" s="7" t="n">
        <v>46269</v>
      </c>
      <c r="C2791" s="3" t="s">
        <v>6614</v>
      </c>
      <c r="D2791" s="3" t="s">
        <v>5958</v>
      </c>
      <c r="E2791" s="14" t="s">
        <v>6486</v>
      </c>
      <c r="F2791" s="14" t="s">
        <v>6536</v>
      </c>
      <c r="G2791" s="15" t="s">
        <v>6612</v>
      </c>
      <c r="H2791" s="9" t="s">
        <v>13</v>
      </c>
      <c r="I2791" s="9" t="s">
        <v>6615</v>
      </c>
    </row>
    <row r="2792" customFormat="false" ht="15.75" hidden="false" customHeight="false" outlineLevel="0" collapsed="false">
      <c r="B2792" s="7" t="n">
        <v>46269</v>
      </c>
      <c r="C2792" s="3" t="s">
        <v>6616</v>
      </c>
      <c r="D2792" s="3" t="s">
        <v>5958</v>
      </c>
      <c r="E2792" s="14" t="s">
        <v>6486</v>
      </c>
      <c r="F2792" s="14" t="s">
        <v>6536</v>
      </c>
      <c r="G2792" s="15" t="s">
        <v>6617</v>
      </c>
      <c r="H2792" s="9" t="s">
        <v>13</v>
      </c>
      <c r="I2792" s="9" t="s">
        <v>6618</v>
      </c>
    </row>
    <row r="2793" customFormat="false" ht="15.75" hidden="false" customHeight="false" outlineLevel="0" collapsed="false">
      <c r="B2793" s="7" t="n">
        <v>46269</v>
      </c>
      <c r="C2793" s="3" t="s">
        <v>6619</v>
      </c>
      <c r="D2793" s="3" t="s">
        <v>5958</v>
      </c>
      <c r="E2793" s="14" t="s">
        <v>6486</v>
      </c>
      <c r="F2793" s="14" t="s">
        <v>6536</v>
      </c>
      <c r="G2793" s="15" t="s">
        <v>6620</v>
      </c>
      <c r="H2793" s="9" t="s">
        <v>13</v>
      </c>
      <c r="I2793" s="9" t="s">
        <v>6621</v>
      </c>
    </row>
    <row r="2794" customFormat="false" ht="15.75" hidden="false" customHeight="false" outlineLevel="0" collapsed="false">
      <c r="B2794" s="7" t="n">
        <v>46269</v>
      </c>
      <c r="C2794" s="3" t="s">
        <v>6622</v>
      </c>
      <c r="D2794" s="3" t="s">
        <v>5958</v>
      </c>
      <c r="E2794" s="14" t="s">
        <v>6486</v>
      </c>
      <c r="F2794" s="14" t="s">
        <v>6536</v>
      </c>
      <c r="G2794" s="15" t="s">
        <v>6620</v>
      </c>
      <c r="H2794" s="9" t="s">
        <v>13</v>
      </c>
      <c r="I2794" s="9" t="s">
        <v>6623</v>
      </c>
    </row>
    <row r="2795" customFormat="false" ht="15.75" hidden="false" customHeight="false" outlineLevel="0" collapsed="false">
      <c r="B2795" s="7" t="n">
        <v>46269</v>
      </c>
      <c r="C2795" s="3" t="s">
        <v>6624</v>
      </c>
      <c r="D2795" s="3" t="s">
        <v>5958</v>
      </c>
      <c r="E2795" s="14" t="s">
        <v>6486</v>
      </c>
      <c r="F2795" s="14" t="s">
        <v>6536</v>
      </c>
      <c r="G2795" s="15" t="s">
        <v>6620</v>
      </c>
      <c r="H2795" s="9" t="s">
        <v>13</v>
      </c>
      <c r="I2795" s="9" t="s">
        <v>6625</v>
      </c>
    </row>
    <row r="2796" customFormat="false" ht="15.75" hidden="false" customHeight="false" outlineLevel="0" collapsed="false">
      <c r="B2796" s="7" t="n">
        <v>46269</v>
      </c>
      <c r="C2796" s="3" t="s">
        <v>6626</v>
      </c>
      <c r="D2796" s="3" t="s">
        <v>5958</v>
      </c>
      <c r="E2796" s="14" t="s">
        <v>6486</v>
      </c>
      <c r="F2796" s="14" t="s">
        <v>6536</v>
      </c>
      <c r="G2796" s="15" t="s">
        <v>2752</v>
      </c>
      <c r="H2796" s="9" t="s">
        <v>13</v>
      </c>
      <c r="I2796" s="9" t="s">
        <v>6627</v>
      </c>
    </row>
    <row r="2797" customFormat="false" ht="15.75" hidden="false" customHeight="false" outlineLevel="0" collapsed="false">
      <c r="B2797" s="7" t="n">
        <v>46269</v>
      </c>
      <c r="C2797" s="3" t="s">
        <v>6628</v>
      </c>
      <c r="D2797" s="3" t="s">
        <v>5958</v>
      </c>
      <c r="E2797" s="14" t="s">
        <v>6486</v>
      </c>
      <c r="F2797" s="14" t="s">
        <v>6536</v>
      </c>
      <c r="G2797" s="15" t="s">
        <v>6629</v>
      </c>
      <c r="H2797" s="9" t="s">
        <v>13</v>
      </c>
      <c r="I2797" s="9" t="s">
        <v>6630</v>
      </c>
    </row>
    <row r="2798" customFormat="false" ht="15.75" hidden="false" customHeight="false" outlineLevel="0" collapsed="false">
      <c r="B2798" s="7" t="n">
        <v>46269</v>
      </c>
      <c r="C2798" s="3" t="s">
        <v>6631</v>
      </c>
      <c r="D2798" s="3" t="s">
        <v>5958</v>
      </c>
      <c r="E2798" s="14" t="s">
        <v>6486</v>
      </c>
      <c r="F2798" s="14" t="s">
        <v>6536</v>
      </c>
      <c r="G2798" s="15" t="s">
        <v>218</v>
      </c>
      <c r="H2798" s="9" t="s">
        <v>13</v>
      </c>
      <c r="I2798" s="9" t="s">
        <v>6632</v>
      </c>
    </row>
    <row r="2799" customFormat="false" ht="15.75" hidden="false" customHeight="false" outlineLevel="0" collapsed="false">
      <c r="B2799" s="7" t="n">
        <v>46269</v>
      </c>
      <c r="C2799" s="3" t="s">
        <v>6633</v>
      </c>
      <c r="D2799" s="3" t="s">
        <v>5958</v>
      </c>
      <c r="E2799" s="14" t="s">
        <v>6486</v>
      </c>
      <c r="F2799" s="14" t="s">
        <v>6536</v>
      </c>
      <c r="G2799" s="15" t="s">
        <v>2281</v>
      </c>
      <c r="H2799" s="9" t="s">
        <v>13</v>
      </c>
      <c r="I2799" s="9" t="s">
        <v>6634</v>
      </c>
    </row>
    <row r="2800" customFormat="false" ht="15.75" hidden="false" customHeight="false" outlineLevel="0" collapsed="false">
      <c r="B2800" s="7" t="n">
        <v>46269</v>
      </c>
      <c r="C2800" s="3" t="s">
        <v>6635</v>
      </c>
      <c r="D2800" s="3" t="s">
        <v>5958</v>
      </c>
      <c r="E2800" s="14" t="s">
        <v>6486</v>
      </c>
      <c r="F2800" s="14" t="s">
        <v>6536</v>
      </c>
      <c r="G2800" s="15" t="s">
        <v>6530</v>
      </c>
      <c r="H2800" s="9" t="s">
        <v>13</v>
      </c>
      <c r="I2800" s="9" t="s">
        <v>6636</v>
      </c>
    </row>
    <row r="2801" customFormat="false" ht="15.75" hidden="false" customHeight="false" outlineLevel="0" collapsed="false">
      <c r="B2801" s="7" t="n">
        <v>46269</v>
      </c>
      <c r="C2801" s="3" t="s">
        <v>6637</v>
      </c>
      <c r="D2801" s="3" t="s">
        <v>5958</v>
      </c>
      <c r="E2801" s="14" t="s">
        <v>6486</v>
      </c>
      <c r="F2801" s="14" t="s">
        <v>6536</v>
      </c>
      <c r="G2801" s="15" t="s">
        <v>6021</v>
      </c>
      <c r="H2801" s="9" t="s">
        <v>13</v>
      </c>
      <c r="I2801" s="9" t="s">
        <v>6638</v>
      </c>
    </row>
    <row r="2802" customFormat="false" ht="15.75" hidden="false" customHeight="false" outlineLevel="0" collapsed="false">
      <c r="B2802" s="7" t="n">
        <v>46269</v>
      </c>
      <c r="C2802" s="3" t="s">
        <v>6639</v>
      </c>
      <c r="D2802" s="3" t="s">
        <v>5958</v>
      </c>
      <c r="E2802" s="14" t="s">
        <v>6486</v>
      </c>
      <c r="F2802" s="14" t="s">
        <v>6536</v>
      </c>
      <c r="G2802" s="15" t="s">
        <v>1306</v>
      </c>
      <c r="H2802" s="9" t="s">
        <v>13</v>
      </c>
      <c r="I2802" s="9" t="s">
        <v>6640</v>
      </c>
    </row>
    <row r="2803" customFormat="false" ht="15.75" hidden="false" customHeight="false" outlineLevel="0" collapsed="false">
      <c r="B2803" s="7" t="n">
        <v>46269</v>
      </c>
      <c r="C2803" s="3" t="s">
        <v>6641</v>
      </c>
      <c r="D2803" s="3" t="s">
        <v>5958</v>
      </c>
      <c r="E2803" s="14" t="s">
        <v>6486</v>
      </c>
      <c r="F2803" s="14" t="s">
        <v>6536</v>
      </c>
      <c r="G2803" s="15" t="s">
        <v>6642</v>
      </c>
      <c r="H2803" s="9" t="s">
        <v>13</v>
      </c>
      <c r="I2803" s="9" t="s">
        <v>6643</v>
      </c>
    </row>
    <row r="2804" customFormat="false" ht="15.75" hidden="false" customHeight="false" outlineLevel="0" collapsed="false">
      <c r="B2804" s="7" t="n">
        <v>46269</v>
      </c>
      <c r="C2804" s="3" t="s">
        <v>6644</v>
      </c>
      <c r="D2804" s="3" t="s">
        <v>5958</v>
      </c>
      <c r="E2804" s="14" t="s">
        <v>6486</v>
      </c>
      <c r="F2804" s="14" t="s">
        <v>6536</v>
      </c>
      <c r="G2804" s="15" t="s">
        <v>6645</v>
      </c>
      <c r="H2804" s="9" t="s">
        <v>13</v>
      </c>
      <c r="I2804" s="9" t="s">
        <v>6646</v>
      </c>
    </row>
    <row r="2805" customFormat="false" ht="15.75" hidden="false" customHeight="false" outlineLevel="0" collapsed="false">
      <c r="B2805" s="7" t="n">
        <v>46269</v>
      </c>
      <c r="C2805" s="3" t="s">
        <v>6647</v>
      </c>
      <c r="D2805" s="3" t="s">
        <v>5958</v>
      </c>
      <c r="E2805" s="14" t="s">
        <v>6486</v>
      </c>
      <c r="F2805" s="14" t="s">
        <v>6536</v>
      </c>
      <c r="G2805" s="15" t="s">
        <v>6645</v>
      </c>
      <c r="H2805" s="9" t="s">
        <v>13</v>
      </c>
      <c r="I2805" s="9" t="s">
        <v>6646</v>
      </c>
    </row>
    <row r="2806" customFormat="false" ht="15.75" hidden="false" customHeight="false" outlineLevel="0" collapsed="false">
      <c r="B2806" s="7" t="n">
        <v>46269</v>
      </c>
      <c r="C2806" s="3" t="s">
        <v>6648</v>
      </c>
      <c r="D2806" s="3" t="s">
        <v>5958</v>
      </c>
      <c r="E2806" s="14" t="s">
        <v>6486</v>
      </c>
      <c r="F2806" s="14" t="s">
        <v>6536</v>
      </c>
      <c r="G2806" s="15" t="s">
        <v>6069</v>
      </c>
      <c r="H2806" s="9" t="s">
        <v>13</v>
      </c>
      <c r="I2806" s="9" t="s">
        <v>6649</v>
      </c>
    </row>
    <row r="2807" customFormat="false" ht="15.75" hidden="false" customHeight="false" outlineLevel="0" collapsed="false">
      <c r="B2807" s="7" t="n">
        <v>46269</v>
      </c>
      <c r="C2807" s="3" t="s">
        <v>6650</v>
      </c>
      <c r="D2807" s="3" t="s">
        <v>5958</v>
      </c>
      <c r="E2807" s="14" t="s">
        <v>6486</v>
      </c>
      <c r="F2807" s="14" t="s">
        <v>6536</v>
      </c>
      <c r="G2807" s="15" t="s">
        <v>6651</v>
      </c>
      <c r="H2807" s="9" t="s">
        <v>13</v>
      </c>
      <c r="I2807" s="9" t="s">
        <v>6652</v>
      </c>
    </row>
    <row r="2808" customFormat="false" ht="15.75" hidden="false" customHeight="false" outlineLevel="0" collapsed="false">
      <c r="B2808" s="7" t="n">
        <v>46269</v>
      </c>
      <c r="C2808" s="3" t="s">
        <v>6653</v>
      </c>
      <c r="D2808" s="3" t="s">
        <v>5958</v>
      </c>
      <c r="E2808" s="14" t="s">
        <v>6486</v>
      </c>
      <c r="F2808" s="14" t="s">
        <v>6536</v>
      </c>
      <c r="G2808" s="15" t="s">
        <v>6654</v>
      </c>
      <c r="H2808" s="9" t="s">
        <v>13</v>
      </c>
      <c r="I2808" s="9" t="s">
        <v>6655</v>
      </c>
    </row>
    <row r="2809" customFormat="false" ht="15.75" hidden="false" customHeight="false" outlineLevel="0" collapsed="false">
      <c r="B2809" s="7" t="n">
        <v>46269</v>
      </c>
      <c r="C2809" s="3" t="s">
        <v>6656</v>
      </c>
      <c r="D2809" s="3" t="s">
        <v>5958</v>
      </c>
      <c r="E2809" s="14" t="s">
        <v>6486</v>
      </c>
      <c r="F2809" s="14" t="s">
        <v>6536</v>
      </c>
      <c r="G2809" s="15" t="s">
        <v>6654</v>
      </c>
      <c r="H2809" s="9" t="s">
        <v>13</v>
      </c>
      <c r="I2809" s="9" t="s">
        <v>6657</v>
      </c>
    </row>
    <row r="2810" customFormat="false" ht="15.75" hidden="false" customHeight="false" outlineLevel="0" collapsed="false">
      <c r="B2810" s="7" t="n">
        <v>46269</v>
      </c>
      <c r="C2810" s="3" t="s">
        <v>6658</v>
      </c>
      <c r="D2810" s="3" t="s">
        <v>5958</v>
      </c>
      <c r="E2810" s="14" t="s">
        <v>6486</v>
      </c>
      <c r="F2810" s="14" t="s">
        <v>6536</v>
      </c>
      <c r="G2810" s="15" t="s">
        <v>1747</v>
      </c>
      <c r="H2810" s="9" t="s">
        <v>13</v>
      </c>
      <c r="I2810" s="9" t="s">
        <v>6659</v>
      </c>
    </row>
    <row r="2811" customFormat="false" ht="15.75" hidden="false" customHeight="false" outlineLevel="0" collapsed="false">
      <c r="B2811" s="7" t="n">
        <v>46269</v>
      </c>
      <c r="C2811" s="3" t="s">
        <v>6660</v>
      </c>
      <c r="D2811" s="3" t="s">
        <v>5958</v>
      </c>
      <c r="E2811" s="14" t="s">
        <v>6486</v>
      </c>
      <c r="F2811" s="14" t="s">
        <v>6536</v>
      </c>
      <c r="G2811" s="15" t="s">
        <v>6661</v>
      </c>
      <c r="H2811" s="9" t="s">
        <v>13</v>
      </c>
      <c r="I2811" s="9" t="s">
        <v>6662</v>
      </c>
    </row>
    <row r="2812" customFormat="false" ht="15.75" hidden="false" customHeight="false" outlineLevel="0" collapsed="false">
      <c r="B2812" s="7" t="n">
        <v>46269</v>
      </c>
      <c r="C2812" s="3" t="s">
        <v>6663</v>
      </c>
      <c r="D2812" s="3" t="s">
        <v>5958</v>
      </c>
      <c r="E2812" s="14" t="s">
        <v>6486</v>
      </c>
      <c r="F2812" s="14" t="s">
        <v>6536</v>
      </c>
      <c r="G2812" s="15" t="s">
        <v>6013</v>
      </c>
      <c r="H2812" s="9" t="s">
        <v>13</v>
      </c>
      <c r="I2812" s="9" t="s">
        <v>6664</v>
      </c>
    </row>
    <row r="2813" customFormat="false" ht="15.75" hidden="false" customHeight="false" outlineLevel="0" collapsed="false">
      <c r="B2813" s="7" t="n">
        <v>46269</v>
      </c>
      <c r="C2813" s="3" t="s">
        <v>6665</v>
      </c>
      <c r="D2813" s="3" t="s">
        <v>5958</v>
      </c>
      <c r="E2813" s="14" t="s">
        <v>6486</v>
      </c>
      <c r="F2813" s="14" t="s">
        <v>6536</v>
      </c>
      <c r="G2813" s="15" t="s">
        <v>2294</v>
      </c>
      <c r="H2813" s="9" t="s">
        <v>13</v>
      </c>
      <c r="I2813" s="9" t="s">
        <v>6666</v>
      </c>
    </row>
    <row r="2814" customFormat="false" ht="15.75" hidden="false" customHeight="false" outlineLevel="0" collapsed="false">
      <c r="B2814" s="7" t="n">
        <v>46269</v>
      </c>
      <c r="C2814" s="3" t="s">
        <v>6667</v>
      </c>
      <c r="D2814" s="3" t="s">
        <v>5958</v>
      </c>
      <c r="E2814" s="14" t="s">
        <v>6486</v>
      </c>
      <c r="F2814" s="14" t="s">
        <v>6536</v>
      </c>
      <c r="G2814" s="15" t="s">
        <v>2589</v>
      </c>
      <c r="H2814" s="9" t="s">
        <v>13</v>
      </c>
      <c r="I2814" s="9" t="s">
        <v>6668</v>
      </c>
    </row>
    <row r="2815" customFormat="false" ht="15.75" hidden="false" customHeight="false" outlineLevel="0" collapsed="false">
      <c r="B2815" s="7" t="n">
        <v>46269</v>
      </c>
      <c r="C2815" s="3" t="s">
        <v>6669</v>
      </c>
      <c r="D2815" s="3" t="s">
        <v>5958</v>
      </c>
      <c r="E2815" s="14" t="s">
        <v>6486</v>
      </c>
      <c r="F2815" s="14" t="s">
        <v>6536</v>
      </c>
      <c r="G2815" s="15" t="s">
        <v>6021</v>
      </c>
      <c r="H2815" s="9" t="s">
        <v>13</v>
      </c>
      <c r="I2815" s="9" t="s">
        <v>6670</v>
      </c>
    </row>
    <row r="2816" customFormat="false" ht="15.75" hidden="false" customHeight="false" outlineLevel="0" collapsed="false">
      <c r="B2816" s="7" t="n">
        <v>46269</v>
      </c>
      <c r="C2816" s="3" t="s">
        <v>6671</v>
      </c>
      <c r="D2816" s="3" t="s">
        <v>5958</v>
      </c>
      <c r="E2816" s="14" t="s">
        <v>6486</v>
      </c>
      <c r="F2816" s="14" t="s">
        <v>6536</v>
      </c>
      <c r="G2816" s="15" t="s">
        <v>6672</v>
      </c>
      <c r="H2816" s="9" t="s">
        <v>13</v>
      </c>
      <c r="I2816" s="9" t="s">
        <v>6673</v>
      </c>
    </row>
    <row r="2817" customFormat="false" ht="15.75" hidden="false" customHeight="false" outlineLevel="0" collapsed="false">
      <c r="B2817" s="7" t="n">
        <v>46269</v>
      </c>
      <c r="C2817" s="3" t="s">
        <v>6674</v>
      </c>
      <c r="D2817" s="3" t="s">
        <v>5958</v>
      </c>
      <c r="E2817" s="14" t="s">
        <v>6486</v>
      </c>
      <c r="F2817" s="14" t="s">
        <v>6536</v>
      </c>
      <c r="G2817" s="15" t="s">
        <v>6675</v>
      </c>
      <c r="H2817" s="9" t="s">
        <v>13</v>
      </c>
      <c r="I2817" s="9" t="s">
        <v>6676</v>
      </c>
    </row>
    <row r="2818" customFormat="false" ht="15.75" hidden="false" customHeight="false" outlineLevel="0" collapsed="false">
      <c r="B2818" s="7" t="n">
        <v>46269</v>
      </c>
      <c r="C2818" s="3" t="s">
        <v>6677</v>
      </c>
      <c r="D2818" s="3" t="s">
        <v>5958</v>
      </c>
      <c r="E2818" s="14" t="s">
        <v>6486</v>
      </c>
      <c r="F2818" s="14" t="s">
        <v>6536</v>
      </c>
      <c r="G2818" s="15" t="s">
        <v>6678</v>
      </c>
      <c r="H2818" s="9" t="s">
        <v>13</v>
      </c>
      <c r="I2818" s="9" t="s">
        <v>6679</v>
      </c>
    </row>
    <row r="2819" customFormat="false" ht="15.75" hidden="false" customHeight="false" outlineLevel="0" collapsed="false">
      <c r="B2819" s="7" t="n">
        <v>46269</v>
      </c>
      <c r="C2819" s="3" t="s">
        <v>6680</v>
      </c>
      <c r="D2819" s="3" t="s">
        <v>5958</v>
      </c>
      <c r="E2819" s="14" t="s">
        <v>6486</v>
      </c>
      <c r="F2819" s="14" t="s">
        <v>6536</v>
      </c>
      <c r="G2819" s="15" t="s">
        <v>6681</v>
      </c>
      <c r="H2819" s="9" t="s">
        <v>13</v>
      </c>
      <c r="I2819" s="9" t="s">
        <v>6682</v>
      </c>
    </row>
    <row r="2820" customFormat="false" ht="15.75" hidden="false" customHeight="false" outlineLevel="0" collapsed="false">
      <c r="B2820" s="7" t="n">
        <v>46269</v>
      </c>
      <c r="C2820" s="3" t="s">
        <v>6683</v>
      </c>
      <c r="D2820" s="3" t="s">
        <v>5958</v>
      </c>
      <c r="E2820" s="14" t="s">
        <v>6486</v>
      </c>
      <c r="F2820" s="14" t="s">
        <v>6536</v>
      </c>
      <c r="G2820" s="15" t="s">
        <v>2452</v>
      </c>
      <c r="H2820" s="9" t="s">
        <v>13</v>
      </c>
      <c r="I2820" s="9" t="s">
        <v>6684</v>
      </c>
    </row>
    <row r="2821" customFormat="false" ht="15.75" hidden="false" customHeight="false" outlineLevel="0" collapsed="false">
      <c r="B2821" s="7" t="n">
        <v>46269</v>
      </c>
      <c r="C2821" s="3" t="s">
        <v>6685</v>
      </c>
      <c r="D2821" s="3" t="s">
        <v>5958</v>
      </c>
      <c r="E2821" s="14" t="s">
        <v>6486</v>
      </c>
      <c r="F2821" s="14" t="s">
        <v>6536</v>
      </c>
      <c r="G2821" s="15" t="s">
        <v>3682</v>
      </c>
      <c r="H2821" s="9" t="s">
        <v>13</v>
      </c>
      <c r="I2821" s="9" t="s">
        <v>6686</v>
      </c>
    </row>
    <row r="2822" customFormat="false" ht="15.75" hidden="false" customHeight="false" outlineLevel="0" collapsed="false">
      <c r="B2822" s="7" t="n">
        <v>46269</v>
      </c>
      <c r="C2822" s="3" t="s">
        <v>6687</v>
      </c>
      <c r="D2822" s="3" t="s">
        <v>5958</v>
      </c>
      <c r="E2822" s="14" t="s">
        <v>6486</v>
      </c>
      <c r="F2822" s="14" t="s">
        <v>6536</v>
      </c>
      <c r="G2822" s="15" t="s">
        <v>3682</v>
      </c>
      <c r="H2822" s="9" t="s">
        <v>13</v>
      </c>
      <c r="I2822" s="9" t="s">
        <v>6686</v>
      </c>
    </row>
    <row r="2823" customFormat="false" ht="15.75" hidden="false" customHeight="false" outlineLevel="0" collapsed="false">
      <c r="B2823" s="7" t="n">
        <v>46269</v>
      </c>
      <c r="C2823" s="3" t="s">
        <v>6688</v>
      </c>
      <c r="D2823" s="3" t="s">
        <v>5958</v>
      </c>
      <c r="E2823" s="14" t="s">
        <v>5959</v>
      </c>
      <c r="F2823" s="14" t="s">
        <v>6689</v>
      </c>
      <c r="G2823" s="15" t="s">
        <v>6167</v>
      </c>
      <c r="H2823" s="9" t="s">
        <v>13</v>
      </c>
      <c r="I2823" s="9" t="s">
        <v>6690</v>
      </c>
    </row>
    <row r="2824" customFormat="false" ht="15.75" hidden="false" customHeight="false" outlineLevel="0" collapsed="false">
      <c r="B2824" s="7" t="n">
        <v>46269</v>
      </c>
      <c r="C2824" s="3" t="s">
        <v>6691</v>
      </c>
      <c r="D2824" s="3" t="s">
        <v>5958</v>
      </c>
      <c r="E2824" s="14" t="s">
        <v>5959</v>
      </c>
      <c r="F2824" s="14" t="s">
        <v>6689</v>
      </c>
      <c r="G2824" s="15" t="s">
        <v>6167</v>
      </c>
      <c r="H2824" s="9" t="s">
        <v>13</v>
      </c>
      <c r="I2824" s="9" t="s">
        <v>6690</v>
      </c>
    </row>
    <row r="2825" customFormat="false" ht="15.75" hidden="false" customHeight="false" outlineLevel="0" collapsed="false">
      <c r="B2825" s="7" t="n">
        <v>46269</v>
      </c>
      <c r="C2825" s="3" t="s">
        <v>6692</v>
      </c>
      <c r="D2825" s="3" t="s">
        <v>5958</v>
      </c>
      <c r="E2825" s="14" t="s">
        <v>5959</v>
      </c>
      <c r="F2825" s="14" t="s">
        <v>6689</v>
      </c>
      <c r="G2825" s="16" t="s">
        <v>6693</v>
      </c>
      <c r="H2825" s="9" t="s">
        <v>13</v>
      </c>
      <c r="I2825" s="9" t="s">
        <v>6694</v>
      </c>
    </row>
    <row r="2826" customFormat="false" ht="15.75" hidden="false" customHeight="false" outlineLevel="0" collapsed="false">
      <c r="B2826" s="7" t="n">
        <v>46269</v>
      </c>
      <c r="C2826" s="3" t="s">
        <v>6695</v>
      </c>
      <c r="D2826" s="3" t="s">
        <v>5958</v>
      </c>
      <c r="E2826" s="14" t="s">
        <v>5959</v>
      </c>
      <c r="F2826" s="14" t="s">
        <v>6689</v>
      </c>
      <c r="G2826" s="15" t="s">
        <v>6696</v>
      </c>
      <c r="H2826" s="9" t="s">
        <v>13</v>
      </c>
      <c r="I2826" s="9" t="s">
        <v>6697</v>
      </c>
    </row>
    <row r="2827" customFormat="false" ht="15.75" hidden="false" customHeight="false" outlineLevel="0" collapsed="false">
      <c r="B2827" s="7" t="n">
        <v>46269</v>
      </c>
      <c r="C2827" s="3" t="s">
        <v>6698</v>
      </c>
      <c r="D2827" s="3" t="s">
        <v>5958</v>
      </c>
      <c r="E2827" s="14" t="s">
        <v>5959</v>
      </c>
      <c r="F2827" s="14" t="s">
        <v>6689</v>
      </c>
      <c r="G2827" s="15" t="s">
        <v>2471</v>
      </c>
      <c r="H2827" s="9" t="s">
        <v>13</v>
      </c>
      <c r="I2827" s="9" t="s">
        <v>6699</v>
      </c>
    </row>
    <row r="2828" customFormat="false" ht="15.75" hidden="false" customHeight="false" outlineLevel="0" collapsed="false">
      <c r="B2828" s="7" t="n">
        <v>46269</v>
      </c>
      <c r="C2828" s="3" t="s">
        <v>6700</v>
      </c>
      <c r="D2828" s="3" t="s">
        <v>5958</v>
      </c>
      <c r="E2828" s="14" t="s">
        <v>5959</v>
      </c>
      <c r="F2828" s="14" t="s">
        <v>6689</v>
      </c>
      <c r="G2828" s="15" t="s">
        <v>2471</v>
      </c>
      <c r="H2828" s="9" t="s">
        <v>13</v>
      </c>
      <c r="I2828" s="9" t="s">
        <v>6701</v>
      </c>
    </row>
    <row r="2829" customFormat="false" ht="15.75" hidden="false" customHeight="false" outlineLevel="0" collapsed="false">
      <c r="B2829" s="7" t="n">
        <v>46269</v>
      </c>
      <c r="C2829" s="3" t="s">
        <v>6702</v>
      </c>
      <c r="D2829" s="3" t="s">
        <v>5958</v>
      </c>
      <c r="E2829" s="14" t="s">
        <v>5959</v>
      </c>
      <c r="F2829" s="14" t="s">
        <v>6689</v>
      </c>
      <c r="G2829" s="15" t="s">
        <v>2471</v>
      </c>
      <c r="H2829" s="9" t="s">
        <v>13</v>
      </c>
      <c r="I2829" s="9" t="s">
        <v>6703</v>
      </c>
    </row>
    <row r="2830" customFormat="false" ht="15.75" hidden="false" customHeight="false" outlineLevel="0" collapsed="false">
      <c r="B2830" s="7" t="n">
        <v>46269</v>
      </c>
      <c r="C2830" s="3" t="s">
        <v>6704</v>
      </c>
      <c r="D2830" s="3" t="s">
        <v>5958</v>
      </c>
      <c r="E2830" s="14" t="s">
        <v>5959</v>
      </c>
      <c r="F2830" s="14" t="s">
        <v>6689</v>
      </c>
      <c r="G2830" s="15" t="s">
        <v>6167</v>
      </c>
      <c r="H2830" s="9" t="s">
        <v>13</v>
      </c>
      <c r="I2830" s="9" t="s">
        <v>6705</v>
      </c>
    </row>
    <row r="2831" customFormat="false" ht="15.75" hidden="false" customHeight="false" outlineLevel="0" collapsed="false">
      <c r="B2831" s="7" t="n">
        <v>46269</v>
      </c>
      <c r="C2831" s="3" t="s">
        <v>6706</v>
      </c>
      <c r="D2831" s="3" t="s">
        <v>5958</v>
      </c>
      <c r="E2831" s="14" t="s">
        <v>5959</v>
      </c>
      <c r="F2831" s="14" t="s">
        <v>6689</v>
      </c>
      <c r="G2831" s="15" t="s">
        <v>6167</v>
      </c>
      <c r="H2831" s="9" t="s">
        <v>13</v>
      </c>
      <c r="I2831" s="9" t="s">
        <v>6705</v>
      </c>
    </row>
    <row r="2832" customFormat="false" ht="15.75" hidden="false" customHeight="false" outlineLevel="0" collapsed="false">
      <c r="B2832" s="7" t="n">
        <v>46269</v>
      </c>
      <c r="C2832" s="3" t="s">
        <v>6707</v>
      </c>
      <c r="D2832" s="3" t="s">
        <v>5958</v>
      </c>
      <c r="E2832" s="14" t="s">
        <v>5959</v>
      </c>
      <c r="F2832" s="14" t="s">
        <v>6689</v>
      </c>
      <c r="G2832" s="15" t="s">
        <v>6708</v>
      </c>
      <c r="H2832" s="9" t="s">
        <v>13</v>
      </c>
      <c r="I2832" s="9" t="s">
        <v>6709</v>
      </c>
    </row>
    <row r="2833" customFormat="false" ht="15.75" hidden="false" customHeight="false" outlineLevel="0" collapsed="false">
      <c r="B2833" s="7" t="n">
        <v>46269</v>
      </c>
      <c r="C2833" s="3" t="s">
        <v>6710</v>
      </c>
      <c r="D2833" s="3" t="s">
        <v>5958</v>
      </c>
      <c r="E2833" s="14" t="s">
        <v>5959</v>
      </c>
      <c r="F2833" s="14" t="s">
        <v>6689</v>
      </c>
      <c r="G2833" s="15" t="s">
        <v>2242</v>
      </c>
      <c r="H2833" s="9" t="s">
        <v>13</v>
      </c>
      <c r="I2833" s="9" t="s">
        <v>6711</v>
      </c>
    </row>
    <row r="2834" customFormat="false" ht="15.75" hidden="false" customHeight="false" outlineLevel="0" collapsed="false">
      <c r="B2834" s="7" t="n">
        <v>46269</v>
      </c>
      <c r="C2834" s="3" t="s">
        <v>6712</v>
      </c>
      <c r="D2834" s="3" t="s">
        <v>5958</v>
      </c>
      <c r="E2834" s="14" t="s">
        <v>5959</v>
      </c>
      <c r="F2834" s="14" t="s">
        <v>6689</v>
      </c>
      <c r="G2834" s="15" t="s">
        <v>2218</v>
      </c>
      <c r="H2834" s="9" t="s">
        <v>13</v>
      </c>
      <c r="I2834" s="9" t="s">
        <v>6713</v>
      </c>
    </row>
    <row r="2835" customFormat="false" ht="15.75" hidden="false" customHeight="false" outlineLevel="0" collapsed="false">
      <c r="B2835" s="7" t="n">
        <v>46269</v>
      </c>
      <c r="C2835" s="3" t="s">
        <v>6714</v>
      </c>
      <c r="D2835" s="3" t="s">
        <v>5958</v>
      </c>
      <c r="E2835" s="14" t="s">
        <v>5959</v>
      </c>
      <c r="F2835" s="14" t="s">
        <v>6689</v>
      </c>
      <c r="G2835" s="15" t="s">
        <v>6251</v>
      </c>
      <c r="H2835" s="9" t="s">
        <v>13</v>
      </c>
      <c r="I2835" s="9" t="s">
        <v>6715</v>
      </c>
    </row>
    <row r="2836" customFormat="false" ht="15.75" hidden="false" customHeight="false" outlineLevel="0" collapsed="false">
      <c r="B2836" s="7" t="n">
        <v>46269</v>
      </c>
      <c r="C2836" s="3" t="s">
        <v>6716</v>
      </c>
      <c r="D2836" s="3" t="s">
        <v>5958</v>
      </c>
      <c r="E2836" s="14" t="s">
        <v>5959</v>
      </c>
      <c r="F2836" s="14" t="s">
        <v>6689</v>
      </c>
      <c r="G2836" s="15" t="s">
        <v>6717</v>
      </c>
      <c r="H2836" s="9" t="s">
        <v>13</v>
      </c>
      <c r="I2836" s="9" t="s">
        <v>6718</v>
      </c>
    </row>
    <row r="2837" customFormat="false" ht="15.75" hidden="false" customHeight="false" outlineLevel="0" collapsed="false">
      <c r="B2837" s="7" t="n">
        <v>46269</v>
      </c>
      <c r="C2837" s="3" t="s">
        <v>6719</v>
      </c>
      <c r="D2837" s="3" t="s">
        <v>5958</v>
      </c>
      <c r="E2837" s="14" t="s">
        <v>5959</v>
      </c>
      <c r="F2837" s="14" t="s">
        <v>6689</v>
      </c>
      <c r="G2837" s="15" t="s">
        <v>6717</v>
      </c>
      <c r="H2837" s="9" t="s">
        <v>13</v>
      </c>
      <c r="I2837" s="9" t="s">
        <v>6718</v>
      </c>
    </row>
    <row r="2838" customFormat="false" ht="15.75" hidden="false" customHeight="false" outlineLevel="0" collapsed="false">
      <c r="B2838" s="7" t="n">
        <v>46269</v>
      </c>
      <c r="C2838" s="3" t="s">
        <v>6720</v>
      </c>
      <c r="D2838" s="3" t="s">
        <v>5958</v>
      </c>
      <c r="E2838" s="14" t="s">
        <v>5959</v>
      </c>
      <c r="F2838" s="14" t="s">
        <v>6689</v>
      </c>
      <c r="G2838" s="15" t="s">
        <v>1583</v>
      </c>
      <c r="H2838" s="9" t="s">
        <v>13</v>
      </c>
      <c r="I2838" s="9" t="s">
        <v>6721</v>
      </c>
    </row>
    <row r="2839" customFormat="false" ht="15.75" hidden="false" customHeight="false" outlineLevel="0" collapsed="false">
      <c r="B2839" s="7" t="n">
        <v>46269</v>
      </c>
      <c r="C2839" s="3" t="s">
        <v>6722</v>
      </c>
      <c r="D2839" s="3" t="s">
        <v>5958</v>
      </c>
      <c r="E2839" s="14" t="s">
        <v>5959</v>
      </c>
      <c r="F2839" s="14" t="s">
        <v>6689</v>
      </c>
      <c r="G2839" s="15" t="s">
        <v>6723</v>
      </c>
      <c r="H2839" s="9" t="s">
        <v>13</v>
      </c>
      <c r="I2839" s="9" t="s">
        <v>6724</v>
      </c>
    </row>
    <row r="2840" customFormat="false" ht="15.75" hidden="false" customHeight="false" outlineLevel="0" collapsed="false">
      <c r="B2840" s="7" t="n">
        <v>46269</v>
      </c>
      <c r="C2840" s="3" t="s">
        <v>6725</v>
      </c>
      <c r="D2840" s="3" t="s">
        <v>5958</v>
      </c>
      <c r="E2840" s="14" t="s">
        <v>5959</v>
      </c>
      <c r="F2840" s="14" t="s">
        <v>6689</v>
      </c>
      <c r="G2840" s="15" t="s">
        <v>6726</v>
      </c>
      <c r="H2840" s="9" t="s">
        <v>13</v>
      </c>
      <c r="I2840" s="9" t="s">
        <v>6727</v>
      </c>
    </row>
    <row r="2841" customFormat="false" ht="15.75" hidden="false" customHeight="false" outlineLevel="0" collapsed="false">
      <c r="B2841" s="7" t="n">
        <v>46269</v>
      </c>
      <c r="C2841" s="3" t="s">
        <v>6728</v>
      </c>
      <c r="D2841" s="3" t="s">
        <v>5958</v>
      </c>
      <c r="E2841" s="14" t="s">
        <v>5959</v>
      </c>
      <c r="F2841" s="14" t="s">
        <v>6689</v>
      </c>
      <c r="G2841" s="15" t="s">
        <v>6729</v>
      </c>
      <c r="H2841" s="9" t="s">
        <v>13</v>
      </c>
      <c r="I2841" s="9" t="s">
        <v>6730</v>
      </c>
    </row>
    <row r="2842" customFormat="false" ht="15.75" hidden="false" customHeight="false" outlineLevel="0" collapsed="false">
      <c r="B2842" s="7" t="n">
        <v>46269</v>
      </c>
      <c r="C2842" s="3" t="s">
        <v>6731</v>
      </c>
      <c r="D2842" s="3" t="s">
        <v>5958</v>
      </c>
      <c r="E2842" s="14" t="s">
        <v>5959</v>
      </c>
      <c r="F2842" s="14" t="s">
        <v>6689</v>
      </c>
      <c r="G2842" s="15" t="s">
        <v>6729</v>
      </c>
      <c r="H2842" s="9" t="s">
        <v>13</v>
      </c>
      <c r="I2842" s="9" t="s">
        <v>6732</v>
      </c>
    </row>
    <row r="2843" customFormat="false" ht="15.75" hidden="false" customHeight="false" outlineLevel="0" collapsed="false">
      <c r="B2843" s="7" t="n">
        <v>46269</v>
      </c>
      <c r="C2843" s="3" t="s">
        <v>6733</v>
      </c>
      <c r="D2843" s="3" t="s">
        <v>5958</v>
      </c>
      <c r="E2843" s="14" t="s">
        <v>5959</v>
      </c>
      <c r="F2843" s="14" t="s">
        <v>6689</v>
      </c>
      <c r="G2843" s="15" t="s">
        <v>6734</v>
      </c>
      <c r="H2843" s="9" t="s">
        <v>13</v>
      </c>
      <c r="I2843" s="9" t="s">
        <v>6735</v>
      </c>
    </row>
    <row r="2844" customFormat="false" ht="15.75" hidden="false" customHeight="false" outlineLevel="0" collapsed="false">
      <c r="B2844" s="7" t="n">
        <v>46269</v>
      </c>
      <c r="C2844" s="3" t="s">
        <v>6736</v>
      </c>
      <c r="D2844" s="3" t="s">
        <v>5958</v>
      </c>
      <c r="E2844" s="14" t="s">
        <v>5959</v>
      </c>
      <c r="F2844" s="14" t="s">
        <v>6689</v>
      </c>
      <c r="G2844" s="16" t="s">
        <v>6737</v>
      </c>
      <c r="H2844" s="9" t="s">
        <v>13</v>
      </c>
      <c r="I2844" s="9" t="s">
        <v>6738</v>
      </c>
    </row>
    <row r="2845" customFormat="false" ht="15.75" hidden="false" customHeight="false" outlineLevel="0" collapsed="false">
      <c r="B2845" s="7" t="n">
        <v>46269</v>
      </c>
      <c r="C2845" s="3" t="s">
        <v>6739</v>
      </c>
      <c r="D2845" s="3" t="s">
        <v>5958</v>
      </c>
      <c r="E2845" s="14" t="s">
        <v>5959</v>
      </c>
      <c r="F2845" s="14" t="s">
        <v>6689</v>
      </c>
      <c r="G2845" s="16" t="s">
        <v>6737</v>
      </c>
      <c r="H2845" s="9" t="s">
        <v>13</v>
      </c>
      <c r="I2845" s="9" t="s">
        <v>6740</v>
      </c>
    </row>
    <row r="2846" customFormat="false" ht="15.75" hidden="false" customHeight="false" outlineLevel="0" collapsed="false">
      <c r="B2846" s="7" t="n">
        <v>46269</v>
      </c>
      <c r="C2846" s="3" t="s">
        <v>6741</v>
      </c>
      <c r="D2846" s="3" t="s">
        <v>5958</v>
      </c>
      <c r="E2846" s="14" t="s">
        <v>5959</v>
      </c>
      <c r="F2846" s="14" t="s">
        <v>6689</v>
      </c>
      <c r="G2846" s="15" t="s">
        <v>6742</v>
      </c>
      <c r="H2846" s="9" t="s">
        <v>13</v>
      </c>
      <c r="I2846" s="9" t="s">
        <v>6743</v>
      </c>
    </row>
    <row r="2847" customFormat="false" ht="15.75" hidden="false" customHeight="false" outlineLevel="0" collapsed="false">
      <c r="B2847" s="7" t="n">
        <v>46269</v>
      </c>
      <c r="C2847" s="3" t="s">
        <v>6744</v>
      </c>
      <c r="D2847" s="3" t="s">
        <v>5958</v>
      </c>
      <c r="E2847" s="14" t="s">
        <v>5959</v>
      </c>
      <c r="F2847" s="14" t="s">
        <v>6689</v>
      </c>
      <c r="G2847" s="15" t="s">
        <v>2452</v>
      </c>
      <c r="H2847" s="9" t="s">
        <v>13</v>
      </c>
      <c r="I2847" s="9" t="s">
        <v>6745</v>
      </c>
    </row>
    <row r="2848" customFormat="false" ht="15.75" hidden="false" customHeight="false" outlineLevel="0" collapsed="false">
      <c r="B2848" s="7" t="n">
        <v>46269</v>
      </c>
      <c r="C2848" s="3" t="s">
        <v>6746</v>
      </c>
      <c r="D2848" s="3" t="s">
        <v>5958</v>
      </c>
      <c r="E2848" s="14" t="s">
        <v>5959</v>
      </c>
      <c r="F2848" s="14" t="s">
        <v>6689</v>
      </c>
      <c r="G2848" s="15" t="s">
        <v>6747</v>
      </c>
      <c r="H2848" s="9" t="s">
        <v>13</v>
      </c>
      <c r="I2848" s="9" t="s">
        <v>6748</v>
      </c>
    </row>
    <row r="2849" customFormat="false" ht="15.75" hidden="false" customHeight="false" outlineLevel="0" collapsed="false">
      <c r="B2849" s="7" t="n">
        <v>46269</v>
      </c>
      <c r="C2849" s="3" t="s">
        <v>6749</v>
      </c>
      <c r="D2849" s="3" t="s">
        <v>5958</v>
      </c>
      <c r="E2849" s="14" t="s">
        <v>5959</v>
      </c>
      <c r="F2849" s="14" t="s">
        <v>6689</v>
      </c>
      <c r="G2849" s="16" t="s">
        <v>6750</v>
      </c>
      <c r="H2849" s="9" t="s">
        <v>13</v>
      </c>
      <c r="I2849" s="9" t="s">
        <v>6751</v>
      </c>
    </row>
    <row r="2850" customFormat="false" ht="15.75" hidden="false" customHeight="false" outlineLevel="0" collapsed="false">
      <c r="B2850" s="7" t="n">
        <v>46269</v>
      </c>
      <c r="C2850" s="3" t="s">
        <v>6752</v>
      </c>
      <c r="D2850" s="3" t="s">
        <v>5958</v>
      </c>
      <c r="E2850" s="14" t="s">
        <v>5959</v>
      </c>
      <c r="F2850" s="14" t="s">
        <v>6689</v>
      </c>
      <c r="G2850" s="15" t="s">
        <v>6747</v>
      </c>
      <c r="H2850" s="9" t="s">
        <v>13</v>
      </c>
      <c r="I2850" s="9" t="s">
        <v>6753</v>
      </c>
    </row>
    <row r="2851" customFormat="false" ht="15.75" hidden="false" customHeight="false" outlineLevel="0" collapsed="false">
      <c r="B2851" s="7" t="n">
        <v>46269</v>
      </c>
      <c r="C2851" s="3" t="s">
        <v>6754</v>
      </c>
      <c r="D2851" s="3" t="s">
        <v>5958</v>
      </c>
      <c r="E2851" s="14" t="s">
        <v>5959</v>
      </c>
      <c r="F2851" s="14" t="s">
        <v>6689</v>
      </c>
      <c r="G2851" s="15" t="s">
        <v>6755</v>
      </c>
      <c r="H2851" s="9" t="s">
        <v>13</v>
      </c>
      <c r="I2851" s="9" t="s">
        <v>6756</v>
      </c>
    </row>
    <row r="2852" customFormat="false" ht="15.75" hidden="false" customHeight="false" outlineLevel="0" collapsed="false">
      <c r="B2852" s="7" t="n">
        <v>46269</v>
      </c>
      <c r="C2852" s="3" t="s">
        <v>6757</v>
      </c>
      <c r="D2852" s="3" t="s">
        <v>5958</v>
      </c>
      <c r="E2852" s="14" t="s">
        <v>5959</v>
      </c>
      <c r="F2852" s="14" t="s">
        <v>6758</v>
      </c>
      <c r="G2852" s="15" t="s">
        <v>2083</v>
      </c>
      <c r="H2852" s="9" t="s">
        <v>13</v>
      </c>
      <c r="I2852" s="9" t="s">
        <v>6759</v>
      </c>
    </row>
    <row r="2853" customFormat="false" ht="15.75" hidden="false" customHeight="false" outlineLevel="0" collapsed="false">
      <c r="B2853" s="7" t="n">
        <v>46269</v>
      </c>
      <c r="C2853" s="3" t="s">
        <v>6760</v>
      </c>
      <c r="D2853" s="3" t="s">
        <v>5958</v>
      </c>
      <c r="E2853" s="14" t="s">
        <v>5959</v>
      </c>
      <c r="F2853" s="14" t="s">
        <v>6758</v>
      </c>
      <c r="G2853" s="15" t="s">
        <v>2343</v>
      </c>
      <c r="H2853" s="9" t="s">
        <v>13</v>
      </c>
      <c r="I2853" s="9" t="s">
        <v>6761</v>
      </c>
    </row>
    <row r="2854" customFormat="false" ht="15.75" hidden="false" customHeight="false" outlineLevel="0" collapsed="false">
      <c r="B2854" s="7" t="n">
        <v>46269</v>
      </c>
      <c r="C2854" s="3" t="s">
        <v>6762</v>
      </c>
      <c r="D2854" s="3" t="s">
        <v>5958</v>
      </c>
      <c r="E2854" s="14" t="s">
        <v>5959</v>
      </c>
      <c r="F2854" s="14" t="s">
        <v>6758</v>
      </c>
      <c r="G2854" s="16" t="s">
        <v>2379</v>
      </c>
      <c r="H2854" s="9" t="s">
        <v>13</v>
      </c>
      <c r="I2854" s="9" t="s">
        <v>6763</v>
      </c>
    </row>
    <row r="2855" customFormat="false" ht="15.75" hidden="false" customHeight="false" outlineLevel="0" collapsed="false">
      <c r="B2855" s="7" t="n">
        <v>46269</v>
      </c>
      <c r="C2855" s="3" t="s">
        <v>6764</v>
      </c>
      <c r="D2855" s="3" t="s">
        <v>5958</v>
      </c>
      <c r="E2855" s="14" t="s">
        <v>5959</v>
      </c>
      <c r="F2855" s="14" t="s">
        <v>6758</v>
      </c>
      <c r="G2855" s="16" t="s">
        <v>2379</v>
      </c>
      <c r="H2855" s="9" t="s">
        <v>13</v>
      </c>
      <c r="I2855" s="9" t="s">
        <v>6763</v>
      </c>
    </row>
    <row r="2856" customFormat="false" ht="15.75" hidden="false" customHeight="false" outlineLevel="0" collapsed="false">
      <c r="B2856" s="7" t="n">
        <v>46269</v>
      </c>
      <c r="C2856" s="3" t="s">
        <v>6765</v>
      </c>
      <c r="D2856" s="3" t="s">
        <v>5958</v>
      </c>
      <c r="E2856" s="14" t="s">
        <v>5959</v>
      </c>
      <c r="F2856" s="14" t="s">
        <v>6758</v>
      </c>
      <c r="G2856" s="16" t="s">
        <v>6766</v>
      </c>
      <c r="H2856" s="9" t="s">
        <v>13</v>
      </c>
      <c r="I2856" s="9" t="s">
        <v>6767</v>
      </c>
    </row>
    <row r="2857" customFormat="false" ht="15.75" hidden="false" customHeight="false" outlineLevel="0" collapsed="false">
      <c r="B2857" s="7" t="n">
        <v>46269</v>
      </c>
      <c r="C2857" s="3" t="s">
        <v>6768</v>
      </c>
      <c r="D2857" s="3" t="s">
        <v>5958</v>
      </c>
      <c r="E2857" s="14" t="s">
        <v>5959</v>
      </c>
      <c r="F2857" s="14" t="s">
        <v>6758</v>
      </c>
      <c r="G2857" s="15" t="s">
        <v>6769</v>
      </c>
      <c r="H2857" s="9" t="s">
        <v>13</v>
      </c>
      <c r="I2857" s="9" t="s">
        <v>6770</v>
      </c>
    </row>
    <row r="2858" customFormat="false" ht="15.75" hidden="false" customHeight="false" outlineLevel="0" collapsed="false">
      <c r="B2858" s="7" t="n">
        <v>46269</v>
      </c>
      <c r="C2858" s="3" t="s">
        <v>6771</v>
      </c>
      <c r="D2858" s="3" t="s">
        <v>5958</v>
      </c>
      <c r="E2858" s="14" t="s">
        <v>5959</v>
      </c>
      <c r="F2858" s="14" t="s">
        <v>6758</v>
      </c>
      <c r="G2858" s="15" t="s">
        <v>6772</v>
      </c>
      <c r="H2858" s="9" t="s">
        <v>13</v>
      </c>
      <c r="I2858" s="9" t="s">
        <v>6773</v>
      </c>
    </row>
    <row r="2859" customFormat="false" ht="15.75" hidden="false" customHeight="false" outlineLevel="0" collapsed="false">
      <c r="B2859" s="7" t="n">
        <v>46269</v>
      </c>
      <c r="C2859" s="3" t="s">
        <v>6774</v>
      </c>
      <c r="D2859" s="3" t="s">
        <v>5958</v>
      </c>
      <c r="E2859" s="14" t="s">
        <v>5959</v>
      </c>
      <c r="F2859" s="14" t="s">
        <v>6758</v>
      </c>
      <c r="G2859" s="15" t="s">
        <v>1583</v>
      </c>
      <c r="H2859" s="9" t="s">
        <v>13</v>
      </c>
      <c r="I2859" s="9" t="s">
        <v>6775</v>
      </c>
    </row>
    <row r="2860" customFormat="false" ht="15.75" hidden="false" customHeight="false" outlineLevel="0" collapsed="false">
      <c r="B2860" s="7" t="n">
        <v>46269</v>
      </c>
      <c r="C2860" s="3" t="s">
        <v>6776</v>
      </c>
      <c r="D2860" s="3" t="s">
        <v>5958</v>
      </c>
      <c r="E2860" s="14" t="s">
        <v>5959</v>
      </c>
      <c r="F2860" s="14" t="s">
        <v>6758</v>
      </c>
      <c r="G2860" s="15" t="s">
        <v>6777</v>
      </c>
      <c r="H2860" s="9" t="s">
        <v>13</v>
      </c>
      <c r="I2860" s="9" t="s">
        <v>6778</v>
      </c>
    </row>
    <row r="2861" customFormat="false" ht="15.75" hidden="false" customHeight="false" outlineLevel="0" collapsed="false">
      <c r="B2861" s="7" t="n">
        <v>46269</v>
      </c>
      <c r="C2861" s="3" t="s">
        <v>6779</v>
      </c>
      <c r="D2861" s="3" t="s">
        <v>5958</v>
      </c>
      <c r="E2861" s="14" t="s">
        <v>5959</v>
      </c>
      <c r="F2861" s="14" t="s">
        <v>6758</v>
      </c>
      <c r="G2861" s="15" t="s">
        <v>6777</v>
      </c>
      <c r="H2861" s="9" t="s">
        <v>13</v>
      </c>
      <c r="I2861" s="9" t="s">
        <v>6778</v>
      </c>
    </row>
    <row r="2862" customFormat="false" ht="15.75" hidden="false" customHeight="false" outlineLevel="0" collapsed="false">
      <c r="B2862" s="7" t="n">
        <v>46269</v>
      </c>
      <c r="C2862" s="3" t="s">
        <v>6780</v>
      </c>
      <c r="D2862" s="3" t="s">
        <v>5958</v>
      </c>
      <c r="E2862" s="14" t="s">
        <v>5959</v>
      </c>
      <c r="F2862" s="14" t="s">
        <v>6758</v>
      </c>
      <c r="G2862" s="15" t="s">
        <v>2452</v>
      </c>
      <c r="H2862" s="9" t="s">
        <v>13</v>
      </c>
      <c r="I2862" s="9" t="s">
        <v>6781</v>
      </c>
    </row>
    <row r="2863" customFormat="false" ht="15.75" hidden="false" customHeight="false" outlineLevel="0" collapsed="false">
      <c r="B2863" s="7" t="n">
        <v>46269</v>
      </c>
      <c r="C2863" s="3" t="s">
        <v>6782</v>
      </c>
      <c r="D2863" s="3" t="s">
        <v>5958</v>
      </c>
      <c r="E2863" s="14" t="s">
        <v>5959</v>
      </c>
      <c r="F2863" s="14" t="s">
        <v>6758</v>
      </c>
      <c r="G2863" s="15" t="s">
        <v>6783</v>
      </c>
      <c r="H2863" s="9" t="s">
        <v>13</v>
      </c>
      <c r="I2863" s="9" t="s">
        <v>6784</v>
      </c>
    </row>
    <row r="2864" customFormat="false" ht="15.75" hidden="false" customHeight="false" outlineLevel="0" collapsed="false">
      <c r="B2864" s="7" t="n">
        <v>46269</v>
      </c>
      <c r="C2864" s="3" t="s">
        <v>6785</v>
      </c>
      <c r="D2864" s="3" t="s">
        <v>5958</v>
      </c>
      <c r="E2864" s="14" t="s">
        <v>5959</v>
      </c>
      <c r="F2864" s="14" t="s">
        <v>6758</v>
      </c>
      <c r="G2864" s="15" t="s">
        <v>6783</v>
      </c>
      <c r="H2864" s="9" t="s">
        <v>13</v>
      </c>
      <c r="I2864" s="9" t="s">
        <v>6786</v>
      </c>
    </row>
    <row r="2865" customFormat="false" ht="15.75" hidden="false" customHeight="false" outlineLevel="0" collapsed="false">
      <c r="B2865" s="7" t="n">
        <v>46269</v>
      </c>
      <c r="C2865" s="3" t="s">
        <v>6787</v>
      </c>
      <c r="D2865" s="3" t="s">
        <v>5958</v>
      </c>
      <c r="E2865" s="14" t="s">
        <v>5959</v>
      </c>
      <c r="F2865" s="14" t="s">
        <v>6758</v>
      </c>
      <c r="G2865" s="15" t="s">
        <v>6788</v>
      </c>
      <c r="H2865" s="9" t="s">
        <v>13</v>
      </c>
      <c r="I2865" s="9" t="s">
        <v>6789</v>
      </c>
    </row>
    <row r="2866" customFormat="false" ht="15.75" hidden="false" customHeight="false" outlineLevel="0" collapsed="false">
      <c r="B2866" s="7" t="n">
        <v>46269</v>
      </c>
      <c r="C2866" s="3" t="s">
        <v>6790</v>
      </c>
      <c r="D2866" s="3" t="s">
        <v>5958</v>
      </c>
      <c r="E2866" s="3" t="s">
        <v>6104</v>
      </c>
      <c r="F2866" s="3" t="s">
        <v>6791</v>
      </c>
      <c r="G2866" s="15" t="s">
        <v>6792</v>
      </c>
      <c r="H2866" s="9" t="s">
        <v>13</v>
      </c>
      <c r="I2866" s="9" t="s">
        <v>6793</v>
      </c>
    </row>
    <row r="2867" customFormat="false" ht="15.75" hidden="false" customHeight="false" outlineLevel="0" collapsed="false">
      <c r="B2867" s="7" t="n">
        <v>46269</v>
      </c>
      <c r="C2867" s="3" t="s">
        <v>6794</v>
      </c>
      <c r="D2867" s="3" t="s">
        <v>5958</v>
      </c>
      <c r="E2867" s="3" t="s">
        <v>6104</v>
      </c>
      <c r="F2867" s="3" t="s">
        <v>6791</v>
      </c>
      <c r="G2867" s="15" t="s">
        <v>6795</v>
      </c>
      <c r="H2867" s="9" t="s">
        <v>13</v>
      </c>
      <c r="I2867" s="9" t="s">
        <v>6796</v>
      </c>
    </row>
    <row r="2868" customFormat="false" ht="15.75" hidden="false" customHeight="false" outlineLevel="0" collapsed="false">
      <c r="B2868" s="7" t="n">
        <v>46269</v>
      </c>
      <c r="C2868" s="3" t="s">
        <v>6797</v>
      </c>
      <c r="D2868" s="3" t="s">
        <v>5958</v>
      </c>
      <c r="E2868" s="3" t="s">
        <v>6104</v>
      </c>
      <c r="F2868" s="3" t="s">
        <v>6791</v>
      </c>
      <c r="G2868" s="16" t="s">
        <v>6798</v>
      </c>
      <c r="H2868" s="9" t="s">
        <v>13</v>
      </c>
      <c r="I2868" s="9" t="s">
        <v>6799</v>
      </c>
    </row>
    <row r="2869" customFormat="false" ht="15.75" hidden="false" customHeight="false" outlineLevel="0" collapsed="false">
      <c r="B2869" s="7" t="n">
        <v>46269</v>
      </c>
      <c r="C2869" s="3" t="s">
        <v>6800</v>
      </c>
      <c r="D2869" s="3" t="s">
        <v>5958</v>
      </c>
      <c r="E2869" s="3" t="s">
        <v>6104</v>
      </c>
      <c r="F2869" s="3" t="s">
        <v>6791</v>
      </c>
      <c r="G2869" s="16" t="s">
        <v>5978</v>
      </c>
      <c r="H2869" s="9" t="s">
        <v>13</v>
      </c>
      <c r="I2869" s="9" t="s">
        <v>6801</v>
      </c>
    </row>
    <row r="2870" customFormat="false" ht="15.75" hidden="false" customHeight="false" outlineLevel="0" collapsed="false">
      <c r="B2870" s="7" t="n">
        <v>46269</v>
      </c>
      <c r="C2870" s="3" t="s">
        <v>6802</v>
      </c>
      <c r="D2870" s="3" t="s">
        <v>5958</v>
      </c>
      <c r="E2870" s="3" t="s">
        <v>6104</v>
      </c>
      <c r="F2870" s="3" t="s">
        <v>6791</v>
      </c>
      <c r="G2870" s="15" t="s">
        <v>5984</v>
      </c>
      <c r="H2870" s="9" t="s">
        <v>13</v>
      </c>
      <c r="I2870" s="9" t="s">
        <v>6803</v>
      </c>
    </row>
    <row r="2871" customFormat="false" ht="15.75" hidden="false" customHeight="false" outlineLevel="0" collapsed="false">
      <c r="B2871" s="7" t="n">
        <v>46269</v>
      </c>
      <c r="C2871" s="3" t="s">
        <v>6804</v>
      </c>
      <c r="D2871" s="3" t="s">
        <v>5958</v>
      </c>
      <c r="E2871" s="3" t="s">
        <v>6104</v>
      </c>
      <c r="F2871" s="3" t="s">
        <v>6791</v>
      </c>
      <c r="G2871" s="15" t="s">
        <v>5984</v>
      </c>
      <c r="H2871" s="9" t="s">
        <v>13</v>
      </c>
      <c r="I2871" s="9" t="s">
        <v>6805</v>
      </c>
    </row>
    <row r="2872" customFormat="false" ht="15.75" hidden="false" customHeight="false" outlineLevel="0" collapsed="false">
      <c r="B2872" s="7" t="n">
        <v>46269</v>
      </c>
      <c r="C2872" s="3" t="s">
        <v>6806</v>
      </c>
      <c r="D2872" s="3" t="s">
        <v>5958</v>
      </c>
      <c r="E2872" s="3" t="s">
        <v>6104</v>
      </c>
      <c r="F2872" s="3" t="s">
        <v>6791</v>
      </c>
      <c r="G2872" s="16" t="s">
        <v>2289</v>
      </c>
      <c r="H2872" s="9" t="s">
        <v>13</v>
      </c>
      <c r="I2872" s="9" t="s">
        <v>6807</v>
      </c>
    </row>
    <row r="2873" customFormat="false" ht="15.75" hidden="false" customHeight="false" outlineLevel="0" collapsed="false">
      <c r="B2873" s="7" t="n">
        <v>46269</v>
      </c>
      <c r="C2873" s="3" t="s">
        <v>6808</v>
      </c>
      <c r="D2873" s="3" t="s">
        <v>5958</v>
      </c>
      <c r="E2873" s="3" t="s">
        <v>6104</v>
      </c>
      <c r="F2873" s="3" t="s">
        <v>6791</v>
      </c>
      <c r="G2873" s="15" t="s">
        <v>5984</v>
      </c>
      <c r="H2873" s="9" t="s">
        <v>13</v>
      </c>
      <c r="I2873" s="9" t="s">
        <v>6809</v>
      </c>
    </row>
    <row r="2874" customFormat="false" ht="15.75" hidden="false" customHeight="false" outlineLevel="0" collapsed="false">
      <c r="B2874" s="7" t="n">
        <v>46269</v>
      </c>
      <c r="C2874" s="3" t="s">
        <v>6810</v>
      </c>
      <c r="D2874" s="3" t="s">
        <v>5958</v>
      </c>
      <c r="E2874" s="3" t="s">
        <v>6104</v>
      </c>
      <c r="F2874" s="3" t="s">
        <v>6791</v>
      </c>
      <c r="G2874" s="15" t="s">
        <v>6811</v>
      </c>
      <c r="H2874" s="9" t="s">
        <v>13</v>
      </c>
      <c r="I2874" s="9" t="s">
        <v>6812</v>
      </c>
    </row>
    <row r="2875" customFormat="false" ht="15.75" hidden="false" customHeight="false" outlineLevel="0" collapsed="false">
      <c r="B2875" s="7" t="n">
        <v>46269</v>
      </c>
      <c r="C2875" s="3" t="s">
        <v>6813</v>
      </c>
      <c r="D2875" s="3" t="s">
        <v>5958</v>
      </c>
      <c r="E2875" s="3" t="s">
        <v>6104</v>
      </c>
      <c r="F2875" s="3" t="s">
        <v>6791</v>
      </c>
      <c r="G2875" s="15" t="s">
        <v>6814</v>
      </c>
      <c r="H2875" s="9" t="s">
        <v>13</v>
      </c>
      <c r="I2875" s="9" t="s">
        <v>6815</v>
      </c>
    </row>
    <row r="2876" customFormat="false" ht="15.75" hidden="false" customHeight="false" outlineLevel="0" collapsed="false">
      <c r="B2876" s="7" t="n">
        <v>46269</v>
      </c>
      <c r="C2876" s="3" t="s">
        <v>6816</v>
      </c>
      <c r="D2876" s="3" t="s">
        <v>5958</v>
      </c>
      <c r="E2876" s="3" t="s">
        <v>6104</v>
      </c>
      <c r="F2876" s="3" t="s">
        <v>6791</v>
      </c>
      <c r="G2876" s="15" t="s">
        <v>6202</v>
      </c>
      <c r="H2876" s="9" t="s">
        <v>13</v>
      </c>
      <c r="I2876" s="9" t="s">
        <v>6817</v>
      </c>
    </row>
    <row r="2877" customFormat="false" ht="15.75" hidden="false" customHeight="false" outlineLevel="0" collapsed="false">
      <c r="B2877" s="7" t="n">
        <v>46269</v>
      </c>
      <c r="C2877" s="3" t="s">
        <v>6818</v>
      </c>
      <c r="D2877" s="3" t="s">
        <v>5958</v>
      </c>
      <c r="E2877" s="3" t="s">
        <v>6104</v>
      </c>
      <c r="F2877" s="3" t="s">
        <v>6791</v>
      </c>
      <c r="G2877" s="15" t="s">
        <v>6202</v>
      </c>
      <c r="H2877" s="9" t="s">
        <v>13</v>
      </c>
      <c r="I2877" s="9" t="s">
        <v>6819</v>
      </c>
    </row>
    <row r="2878" customFormat="false" ht="15.75" hidden="false" customHeight="false" outlineLevel="0" collapsed="false">
      <c r="B2878" s="7" t="n">
        <v>46269</v>
      </c>
      <c r="C2878" s="3" t="s">
        <v>6820</v>
      </c>
      <c r="D2878" s="3" t="s">
        <v>5958</v>
      </c>
      <c r="E2878" s="3" t="s">
        <v>6104</v>
      </c>
      <c r="F2878" s="3" t="s">
        <v>6791</v>
      </c>
      <c r="G2878" s="15" t="s">
        <v>6821</v>
      </c>
      <c r="H2878" s="9" t="s">
        <v>13</v>
      </c>
      <c r="I2878" s="9" t="s">
        <v>6822</v>
      </c>
    </row>
    <row r="2879" customFormat="false" ht="15.75" hidden="false" customHeight="false" outlineLevel="0" collapsed="false">
      <c r="B2879" s="7" t="n">
        <v>46269</v>
      </c>
      <c r="C2879" s="3" t="s">
        <v>6823</v>
      </c>
      <c r="D2879" s="3" t="s">
        <v>5958</v>
      </c>
      <c r="E2879" s="3" t="s">
        <v>6104</v>
      </c>
      <c r="F2879" s="3" t="s">
        <v>6791</v>
      </c>
      <c r="G2879" s="15" t="s">
        <v>6824</v>
      </c>
      <c r="H2879" s="9" t="s">
        <v>13</v>
      </c>
      <c r="I2879" s="9" t="s">
        <v>6825</v>
      </c>
    </row>
    <row r="2880" customFormat="false" ht="15.75" hidden="false" customHeight="false" outlineLevel="0" collapsed="false">
      <c r="B2880" s="7" t="n">
        <v>46269</v>
      </c>
      <c r="C2880" s="3" t="s">
        <v>6826</v>
      </c>
      <c r="D2880" s="3" t="s">
        <v>5958</v>
      </c>
      <c r="E2880" s="3" t="s">
        <v>6104</v>
      </c>
      <c r="F2880" s="3" t="s">
        <v>6791</v>
      </c>
      <c r="G2880" s="15" t="s">
        <v>6824</v>
      </c>
      <c r="H2880" s="9" t="s">
        <v>13</v>
      </c>
      <c r="I2880" s="9" t="s">
        <v>6827</v>
      </c>
    </row>
    <row r="2881" customFormat="false" ht="15.75" hidden="false" customHeight="false" outlineLevel="0" collapsed="false">
      <c r="B2881" s="7" t="n">
        <v>46269</v>
      </c>
      <c r="C2881" s="3" t="s">
        <v>6828</v>
      </c>
      <c r="D2881" s="3" t="s">
        <v>5958</v>
      </c>
      <c r="E2881" s="3" t="s">
        <v>6104</v>
      </c>
      <c r="F2881" s="3" t="s">
        <v>6791</v>
      </c>
      <c r="G2881" s="15" t="s">
        <v>2258</v>
      </c>
      <c r="H2881" s="9" t="s">
        <v>13</v>
      </c>
      <c r="I2881" s="9" t="s">
        <v>6829</v>
      </c>
    </row>
    <row r="2882" customFormat="false" ht="15.75" hidden="false" customHeight="false" outlineLevel="0" collapsed="false">
      <c r="B2882" s="7" t="n">
        <v>46269</v>
      </c>
      <c r="C2882" s="3" t="s">
        <v>6830</v>
      </c>
      <c r="D2882" s="3" t="s">
        <v>5958</v>
      </c>
      <c r="E2882" s="3" t="s">
        <v>6104</v>
      </c>
      <c r="F2882" s="3" t="s">
        <v>6791</v>
      </c>
      <c r="G2882" s="15" t="s">
        <v>2258</v>
      </c>
      <c r="H2882" s="9" t="s">
        <v>13</v>
      </c>
      <c r="I2882" s="9" t="s">
        <v>6831</v>
      </c>
    </row>
    <row r="2883" customFormat="false" ht="15.75" hidden="false" customHeight="false" outlineLevel="0" collapsed="false">
      <c r="B2883" s="7" t="n">
        <v>46269</v>
      </c>
      <c r="C2883" s="3" t="s">
        <v>6832</v>
      </c>
      <c r="D2883" s="3" t="s">
        <v>5958</v>
      </c>
      <c r="E2883" s="3" t="s">
        <v>6104</v>
      </c>
      <c r="F2883" s="3" t="s">
        <v>6791</v>
      </c>
      <c r="G2883" s="15" t="s">
        <v>2258</v>
      </c>
      <c r="H2883" s="9" t="s">
        <v>13</v>
      </c>
      <c r="I2883" s="9" t="s">
        <v>6833</v>
      </c>
    </row>
    <row r="2884" customFormat="false" ht="15.75" hidden="false" customHeight="false" outlineLevel="0" collapsed="false">
      <c r="B2884" s="7" t="n">
        <v>46269</v>
      </c>
      <c r="C2884" s="3" t="s">
        <v>6834</v>
      </c>
      <c r="D2884" s="3" t="s">
        <v>5958</v>
      </c>
      <c r="E2884" s="3" t="s">
        <v>6104</v>
      </c>
      <c r="F2884" s="3" t="s">
        <v>6791</v>
      </c>
      <c r="G2884" s="15" t="s">
        <v>2258</v>
      </c>
      <c r="H2884" s="9" t="s">
        <v>13</v>
      </c>
      <c r="I2884" s="9" t="s">
        <v>6835</v>
      </c>
    </row>
    <row r="2885" customFormat="false" ht="15.75" hidden="false" customHeight="false" outlineLevel="0" collapsed="false">
      <c r="B2885" s="7" t="n">
        <v>46269</v>
      </c>
      <c r="C2885" s="3" t="s">
        <v>6836</v>
      </c>
      <c r="D2885" s="3" t="s">
        <v>5958</v>
      </c>
      <c r="E2885" s="3" t="s">
        <v>6104</v>
      </c>
      <c r="F2885" s="3" t="s">
        <v>6791</v>
      </c>
      <c r="G2885" s="15" t="s">
        <v>2258</v>
      </c>
      <c r="H2885" s="9" t="s">
        <v>13</v>
      </c>
      <c r="I2885" s="9" t="s">
        <v>6837</v>
      </c>
    </row>
    <row r="2886" customFormat="false" ht="15.75" hidden="false" customHeight="false" outlineLevel="0" collapsed="false">
      <c r="B2886" s="7" t="n">
        <v>46269</v>
      </c>
      <c r="C2886" s="3" t="s">
        <v>6838</v>
      </c>
      <c r="D2886" s="3" t="s">
        <v>5958</v>
      </c>
      <c r="E2886" s="3" t="s">
        <v>6104</v>
      </c>
      <c r="F2886" s="3" t="s">
        <v>6791</v>
      </c>
      <c r="G2886" s="15" t="s">
        <v>2258</v>
      </c>
      <c r="H2886" s="9" t="s">
        <v>13</v>
      </c>
      <c r="I2886" s="9" t="s">
        <v>6839</v>
      </c>
    </row>
    <row r="2887" customFormat="false" ht="15.75" hidden="false" customHeight="false" outlineLevel="0" collapsed="false">
      <c r="B2887" s="7" t="n">
        <v>46269</v>
      </c>
      <c r="C2887" s="3" t="s">
        <v>6840</v>
      </c>
      <c r="D2887" s="3" t="s">
        <v>5958</v>
      </c>
      <c r="E2887" s="3" t="s">
        <v>6104</v>
      </c>
      <c r="F2887" s="3" t="s">
        <v>6791</v>
      </c>
      <c r="G2887" s="15" t="s">
        <v>2258</v>
      </c>
      <c r="H2887" s="9" t="s">
        <v>13</v>
      </c>
      <c r="I2887" s="9" t="s">
        <v>6841</v>
      </c>
    </row>
    <row r="2888" customFormat="false" ht="15.75" hidden="false" customHeight="false" outlineLevel="0" collapsed="false">
      <c r="B2888" s="7" t="n">
        <v>46269</v>
      </c>
      <c r="C2888" s="3" t="s">
        <v>6842</v>
      </c>
      <c r="D2888" s="3" t="s">
        <v>5958</v>
      </c>
      <c r="E2888" s="3" t="s">
        <v>6104</v>
      </c>
      <c r="F2888" s="3" t="s">
        <v>6791</v>
      </c>
      <c r="G2888" s="15" t="s">
        <v>467</v>
      </c>
      <c r="H2888" s="9" t="s">
        <v>13</v>
      </c>
      <c r="I2888" s="9" t="s">
        <v>6843</v>
      </c>
    </row>
    <row r="2889" customFormat="false" ht="15.75" hidden="false" customHeight="false" outlineLevel="0" collapsed="false">
      <c r="B2889" s="7" t="n">
        <v>46269</v>
      </c>
      <c r="C2889" s="3" t="s">
        <v>6844</v>
      </c>
      <c r="D2889" s="3" t="s">
        <v>5958</v>
      </c>
      <c r="E2889" s="3" t="s">
        <v>6104</v>
      </c>
      <c r="F2889" s="3" t="s">
        <v>6791</v>
      </c>
      <c r="G2889" s="15" t="s">
        <v>6845</v>
      </c>
      <c r="H2889" s="9" t="s">
        <v>13</v>
      </c>
      <c r="I2889" s="9" t="s">
        <v>6846</v>
      </c>
    </row>
    <row r="2890" customFormat="false" ht="15.75" hidden="false" customHeight="false" outlineLevel="0" collapsed="false">
      <c r="B2890" s="7" t="n">
        <v>46269</v>
      </c>
      <c r="C2890" s="3" t="s">
        <v>6847</v>
      </c>
      <c r="D2890" s="3" t="s">
        <v>5958</v>
      </c>
      <c r="E2890" s="3" t="s">
        <v>6104</v>
      </c>
      <c r="F2890" s="3" t="s">
        <v>6791</v>
      </c>
      <c r="G2890" s="15" t="s">
        <v>6845</v>
      </c>
      <c r="H2890" s="9" t="s">
        <v>13</v>
      </c>
      <c r="I2890" s="9" t="s">
        <v>6848</v>
      </c>
    </row>
    <row r="2891" customFormat="false" ht="15.75" hidden="false" customHeight="false" outlineLevel="0" collapsed="false">
      <c r="B2891" s="7" t="n">
        <v>46269</v>
      </c>
      <c r="C2891" s="3" t="s">
        <v>6849</v>
      </c>
      <c r="D2891" s="3" t="s">
        <v>5958</v>
      </c>
      <c r="E2891" s="3" t="s">
        <v>6104</v>
      </c>
      <c r="F2891" s="3" t="s">
        <v>6791</v>
      </c>
      <c r="G2891" s="15" t="s">
        <v>6845</v>
      </c>
      <c r="H2891" s="9" t="s">
        <v>13</v>
      </c>
      <c r="I2891" s="9" t="s">
        <v>6850</v>
      </c>
    </row>
    <row r="2892" customFormat="false" ht="15.75" hidden="false" customHeight="false" outlineLevel="0" collapsed="false">
      <c r="B2892" s="7" t="n">
        <v>46269</v>
      </c>
      <c r="C2892" s="3" t="s">
        <v>6851</v>
      </c>
      <c r="D2892" s="3" t="s">
        <v>5958</v>
      </c>
      <c r="E2892" s="3" t="s">
        <v>6104</v>
      </c>
      <c r="F2892" s="3" t="s">
        <v>6791</v>
      </c>
      <c r="G2892" s="16" t="s">
        <v>6852</v>
      </c>
      <c r="H2892" s="9" t="s">
        <v>13</v>
      </c>
      <c r="I2892" s="9" t="s">
        <v>6853</v>
      </c>
    </row>
    <row r="2893" customFormat="false" ht="15.75" hidden="false" customHeight="false" outlineLevel="0" collapsed="false">
      <c r="B2893" s="7" t="n">
        <v>46269</v>
      </c>
      <c r="C2893" s="3" t="s">
        <v>6854</v>
      </c>
      <c r="D2893" s="3" t="s">
        <v>5958</v>
      </c>
      <c r="E2893" s="14" t="s">
        <v>6486</v>
      </c>
      <c r="F2893" s="14" t="s">
        <v>6855</v>
      </c>
      <c r="G2893" s="15" t="s">
        <v>6856</v>
      </c>
      <c r="H2893" s="9" t="s">
        <v>13</v>
      </c>
      <c r="I2893" s="9" t="s">
        <v>6857</v>
      </c>
    </row>
    <row r="2894" customFormat="false" ht="15.75" hidden="false" customHeight="false" outlineLevel="0" collapsed="false">
      <c r="B2894" s="7" t="n">
        <v>46269</v>
      </c>
      <c r="C2894" s="3" t="s">
        <v>6858</v>
      </c>
      <c r="D2894" s="3" t="s">
        <v>5958</v>
      </c>
      <c r="E2894" s="14" t="s">
        <v>6486</v>
      </c>
      <c r="F2894" s="14" t="s">
        <v>6855</v>
      </c>
      <c r="G2894" s="16" t="s">
        <v>6859</v>
      </c>
      <c r="H2894" s="9" t="s">
        <v>13</v>
      </c>
      <c r="I2894" s="9" t="s">
        <v>6860</v>
      </c>
    </row>
    <row r="2895" customFormat="false" ht="15.75" hidden="false" customHeight="false" outlineLevel="0" collapsed="false">
      <c r="B2895" s="7" t="n">
        <v>46269</v>
      </c>
      <c r="C2895" s="3" t="s">
        <v>6861</v>
      </c>
      <c r="D2895" s="3" t="s">
        <v>5958</v>
      </c>
      <c r="E2895" s="14" t="s">
        <v>6486</v>
      </c>
      <c r="F2895" s="14" t="s">
        <v>6855</v>
      </c>
      <c r="G2895" s="15" t="s">
        <v>6862</v>
      </c>
      <c r="H2895" s="9" t="s">
        <v>13</v>
      </c>
      <c r="I2895" s="9" t="s">
        <v>6863</v>
      </c>
    </row>
    <row r="2896" customFormat="false" ht="15.75" hidden="false" customHeight="false" outlineLevel="0" collapsed="false">
      <c r="B2896" s="7" t="n">
        <v>46269</v>
      </c>
      <c r="C2896" s="3" t="s">
        <v>6864</v>
      </c>
      <c r="D2896" s="3" t="s">
        <v>5958</v>
      </c>
      <c r="E2896" s="14" t="s">
        <v>6486</v>
      </c>
      <c r="F2896" s="14" t="s">
        <v>6855</v>
      </c>
      <c r="G2896" s="16" t="s">
        <v>6865</v>
      </c>
      <c r="H2896" s="9" t="s">
        <v>13</v>
      </c>
      <c r="I2896" s="9" t="s">
        <v>6866</v>
      </c>
    </row>
    <row r="2897" customFormat="false" ht="15.75" hidden="false" customHeight="false" outlineLevel="0" collapsed="false">
      <c r="B2897" s="7" t="n">
        <v>46269</v>
      </c>
      <c r="C2897" s="3" t="s">
        <v>6867</v>
      </c>
      <c r="D2897" s="3" t="s">
        <v>5958</v>
      </c>
      <c r="E2897" s="14" t="s">
        <v>6486</v>
      </c>
      <c r="F2897" s="14" t="s">
        <v>6855</v>
      </c>
      <c r="G2897" s="16" t="s">
        <v>3701</v>
      </c>
      <c r="H2897" s="9" t="s">
        <v>13</v>
      </c>
      <c r="I2897" s="9" t="s">
        <v>6868</v>
      </c>
    </row>
    <row r="2898" customFormat="false" ht="15.75" hidden="false" customHeight="false" outlineLevel="0" collapsed="false">
      <c r="B2898" s="7" t="n">
        <v>46269</v>
      </c>
      <c r="C2898" s="3" t="s">
        <v>6869</v>
      </c>
      <c r="D2898" s="3" t="s">
        <v>5958</v>
      </c>
      <c r="E2898" s="14" t="s">
        <v>6486</v>
      </c>
      <c r="F2898" s="14" t="s">
        <v>6855</v>
      </c>
      <c r="G2898" s="15" t="s">
        <v>6870</v>
      </c>
      <c r="H2898" s="9" t="s">
        <v>13</v>
      </c>
      <c r="I2898" s="9" t="s">
        <v>6871</v>
      </c>
    </row>
    <row r="2899" customFormat="false" ht="15.75" hidden="false" customHeight="false" outlineLevel="0" collapsed="false">
      <c r="B2899" s="7" t="n">
        <v>46269</v>
      </c>
      <c r="C2899" s="3" t="s">
        <v>6872</v>
      </c>
      <c r="D2899" s="3" t="s">
        <v>5958</v>
      </c>
      <c r="E2899" s="14" t="s">
        <v>6486</v>
      </c>
      <c r="F2899" s="14" t="s">
        <v>6855</v>
      </c>
      <c r="G2899" s="16" t="s">
        <v>3494</v>
      </c>
      <c r="H2899" s="9" t="s">
        <v>13</v>
      </c>
      <c r="I2899" s="9" t="s">
        <v>6873</v>
      </c>
    </row>
    <row r="2900" customFormat="false" ht="15.75" hidden="false" customHeight="false" outlineLevel="0" collapsed="false">
      <c r="B2900" s="7" t="n">
        <v>46269</v>
      </c>
      <c r="C2900" s="3" t="s">
        <v>6874</v>
      </c>
      <c r="D2900" s="3" t="s">
        <v>5958</v>
      </c>
      <c r="E2900" s="14" t="s">
        <v>6486</v>
      </c>
      <c r="F2900" s="14" t="s">
        <v>6855</v>
      </c>
      <c r="G2900" s="15" t="s">
        <v>2249</v>
      </c>
      <c r="H2900" s="9" t="s">
        <v>13</v>
      </c>
      <c r="I2900" s="9" t="s">
        <v>6875</v>
      </c>
    </row>
    <row r="2901" customFormat="false" ht="15.75" hidden="false" customHeight="false" outlineLevel="0" collapsed="false">
      <c r="B2901" s="7" t="n">
        <v>46269</v>
      </c>
      <c r="C2901" s="3" t="s">
        <v>6876</v>
      </c>
      <c r="D2901" s="3" t="s">
        <v>5958</v>
      </c>
      <c r="E2901" s="14" t="s">
        <v>6486</v>
      </c>
      <c r="F2901" s="14" t="s">
        <v>6855</v>
      </c>
      <c r="G2901" s="16" t="s">
        <v>6877</v>
      </c>
      <c r="H2901" s="9" t="s">
        <v>13</v>
      </c>
      <c r="I2901" s="9" t="s">
        <v>6878</v>
      </c>
    </row>
    <row r="2902" customFormat="false" ht="15.75" hidden="false" customHeight="false" outlineLevel="0" collapsed="false">
      <c r="B2902" s="7" t="n">
        <v>46269</v>
      </c>
      <c r="C2902" s="3" t="s">
        <v>6879</v>
      </c>
      <c r="D2902" s="3" t="s">
        <v>5958</v>
      </c>
      <c r="E2902" s="14" t="s">
        <v>6486</v>
      </c>
      <c r="F2902" s="14" t="s">
        <v>6855</v>
      </c>
      <c r="G2902" s="16" t="s">
        <v>6880</v>
      </c>
      <c r="H2902" s="9" t="s">
        <v>13</v>
      </c>
      <c r="I2902" s="9" t="s">
        <v>6881</v>
      </c>
    </row>
    <row r="2903" customFormat="false" ht="15.75" hidden="false" customHeight="false" outlineLevel="0" collapsed="false">
      <c r="B2903" s="7" t="n">
        <v>46269</v>
      </c>
      <c r="C2903" s="3" t="s">
        <v>6882</v>
      </c>
      <c r="D2903" s="3" t="s">
        <v>5958</v>
      </c>
      <c r="E2903" s="14" t="s">
        <v>6486</v>
      </c>
      <c r="F2903" s="14" t="s">
        <v>6855</v>
      </c>
      <c r="G2903" s="15" t="s">
        <v>6883</v>
      </c>
      <c r="H2903" s="9" t="s">
        <v>13</v>
      </c>
      <c r="I2903" s="9" t="s">
        <v>6884</v>
      </c>
    </row>
    <row r="2904" customFormat="false" ht="15.75" hidden="false" customHeight="false" outlineLevel="0" collapsed="false">
      <c r="B2904" s="7" t="n">
        <v>46269</v>
      </c>
      <c r="C2904" s="3" t="s">
        <v>6885</v>
      </c>
      <c r="D2904" s="3" t="s">
        <v>5958</v>
      </c>
      <c r="E2904" s="14" t="s">
        <v>6486</v>
      </c>
      <c r="F2904" s="14" t="s">
        <v>6855</v>
      </c>
      <c r="G2904" s="16" t="s">
        <v>6886</v>
      </c>
      <c r="H2904" s="9" t="s">
        <v>13</v>
      </c>
      <c r="I2904" s="9" t="s">
        <v>6887</v>
      </c>
    </row>
    <row r="2905" customFormat="false" ht="15.75" hidden="false" customHeight="false" outlineLevel="0" collapsed="false">
      <c r="B2905" s="7" t="n">
        <v>46269</v>
      </c>
      <c r="C2905" s="3" t="s">
        <v>6888</v>
      </c>
      <c r="D2905" s="3" t="s">
        <v>5958</v>
      </c>
      <c r="E2905" s="14" t="s">
        <v>6486</v>
      </c>
      <c r="F2905" s="14" t="s">
        <v>6855</v>
      </c>
      <c r="G2905" s="16" t="s">
        <v>6889</v>
      </c>
      <c r="H2905" s="9" t="s">
        <v>13</v>
      </c>
      <c r="I2905" s="9" t="s">
        <v>6890</v>
      </c>
    </row>
    <row r="2906" customFormat="false" ht="15.75" hidden="false" customHeight="false" outlineLevel="0" collapsed="false">
      <c r="B2906" s="7" t="n">
        <v>46269</v>
      </c>
      <c r="C2906" s="3" t="s">
        <v>6891</v>
      </c>
      <c r="D2906" s="3" t="s">
        <v>5958</v>
      </c>
      <c r="E2906" s="14" t="s">
        <v>6486</v>
      </c>
      <c r="F2906" s="14" t="s">
        <v>6855</v>
      </c>
      <c r="G2906" s="15" t="s">
        <v>6892</v>
      </c>
      <c r="H2906" s="9" t="s">
        <v>13</v>
      </c>
      <c r="I2906" s="9" t="s">
        <v>6893</v>
      </c>
    </row>
    <row r="2907" customFormat="false" ht="15.75" hidden="false" customHeight="false" outlineLevel="0" collapsed="false">
      <c r="B2907" s="7" t="n">
        <v>46269</v>
      </c>
      <c r="C2907" s="3" t="s">
        <v>6894</v>
      </c>
      <c r="D2907" s="3" t="s">
        <v>5958</v>
      </c>
      <c r="E2907" s="14" t="s">
        <v>6486</v>
      </c>
      <c r="F2907" s="14" t="s">
        <v>6855</v>
      </c>
      <c r="G2907" s="15" t="s">
        <v>6069</v>
      </c>
      <c r="H2907" s="9" t="s">
        <v>13</v>
      </c>
      <c r="I2907" s="9" t="s">
        <v>6895</v>
      </c>
    </row>
    <row r="2908" customFormat="false" ht="15.75" hidden="false" customHeight="false" outlineLevel="0" collapsed="false">
      <c r="B2908" s="7" t="n">
        <v>46269</v>
      </c>
      <c r="C2908" s="3" t="s">
        <v>6896</v>
      </c>
      <c r="D2908" s="3" t="s">
        <v>5958</v>
      </c>
      <c r="E2908" s="14" t="s">
        <v>6486</v>
      </c>
      <c r="F2908" s="14" t="s">
        <v>6855</v>
      </c>
      <c r="G2908" s="15" t="s">
        <v>6897</v>
      </c>
      <c r="H2908" s="9" t="s">
        <v>13</v>
      </c>
      <c r="I2908" s="9" t="s">
        <v>6898</v>
      </c>
    </row>
    <row r="2909" customFormat="false" ht="15.75" hidden="false" customHeight="false" outlineLevel="0" collapsed="false">
      <c r="B2909" s="7" t="n">
        <v>46269</v>
      </c>
      <c r="C2909" s="3" t="s">
        <v>6899</v>
      </c>
      <c r="D2909" s="3" t="s">
        <v>5958</v>
      </c>
      <c r="E2909" s="14" t="s">
        <v>6486</v>
      </c>
      <c r="F2909" s="14" t="s">
        <v>6855</v>
      </c>
      <c r="G2909" s="16" t="s">
        <v>6900</v>
      </c>
      <c r="H2909" s="9" t="s">
        <v>13</v>
      </c>
      <c r="I2909" s="9" t="s">
        <v>6901</v>
      </c>
    </row>
    <row r="2910" customFormat="false" ht="15.75" hidden="false" customHeight="false" outlineLevel="0" collapsed="false">
      <c r="B2910" s="7" t="n">
        <v>46269</v>
      </c>
      <c r="C2910" s="3" t="s">
        <v>6902</v>
      </c>
      <c r="D2910" s="3" t="s">
        <v>5958</v>
      </c>
      <c r="E2910" s="14" t="s">
        <v>6486</v>
      </c>
      <c r="F2910" s="14" t="s">
        <v>6855</v>
      </c>
      <c r="G2910" s="16" t="s">
        <v>6903</v>
      </c>
      <c r="H2910" s="9" t="s">
        <v>13</v>
      </c>
      <c r="I2910" s="9" t="s">
        <v>6904</v>
      </c>
    </row>
    <row r="2911" customFormat="false" ht="15.75" hidden="false" customHeight="false" outlineLevel="0" collapsed="false">
      <c r="B2911" s="7" t="n">
        <v>46269</v>
      </c>
      <c r="C2911" s="3" t="s">
        <v>6905</v>
      </c>
      <c r="D2911" s="3" t="s">
        <v>5958</v>
      </c>
      <c r="E2911" s="14" t="s">
        <v>6486</v>
      </c>
      <c r="F2911" s="14" t="s">
        <v>6855</v>
      </c>
      <c r="G2911" s="16" t="s">
        <v>6906</v>
      </c>
      <c r="H2911" s="9" t="s">
        <v>13</v>
      </c>
      <c r="I2911" s="9" t="s">
        <v>6907</v>
      </c>
    </row>
    <row r="2912" customFormat="false" ht="15.75" hidden="false" customHeight="false" outlineLevel="0" collapsed="false">
      <c r="B2912" s="7" t="n">
        <v>46269</v>
      </c>
      <c r="C2912" s="3" t="s">
        <v>6908</v>
      </c>
      <c r="D2912" s="3" t="s">
        <v>5958</v>
      </c>
      <c r="E2912" s="14" t="s">
        <v>6486</v>
      </c>
      <c r="F2912" s="14" t="s">
        <v>6855</v>
      </c>
      <c r="G2912" s="15" t="s">
        <v>2080</v>
      </c>
      <c r="H2912" s="9" t="s">
        <v>13</v>
      </c>
      <c r="I2912" s="9" t="s">
        <v>6909</v>
      </c>
    </row>
    <row r="2913" customFormat="false" ht="15.75" hidden="false" customHeight="false" outlineLevel="0" collapsed="false">
      <c r="B2913" s="7" t="n">
        <v>46269</v>
      </c>
      <c r="C2913" s="3" t="s">
        <v>6910</v>
      </c>
      <c r="D2913" s="3" t="s">
        <v>5958</v>
      </c>
      <c r="E2913" s="14" t="s">
        <v>6486</v>
      </c>
      <c r="F2913" s="14" t="s">
        <v>6855</v>
      </c>
      <c r="G2913" s="15" t="s">
        <v>6911</v>
      </c>
      <c r="H2913" s="9" t="s">
        <v>13</v>
      </c>
      <c r="I2913" s="9" t="s">
        <v>6912</v>
      </c>
    </row>
    <row r="2914" customFormat="false" ht="15.75" hidden="false" customHeight="false" outlineLevel="0" collapsed="false">
      <c r="B2914" s="7" t="n">
        <v>46269</v>
      </c>
      <c r="C2914" s="3" t="s">
        <v>6913</v>
      </c>
      <c r="D2914" s="3" t="s">
        <v>5958</v>
      </c>
      <c r="E2914" s="14" t="s">
        <v>6486</v>
      </c>
      <c r="F2914" s="14" t="s">
        <v>6855</v>
      </c>
      <c r="G2914" s="15" t="s">
        <v>2080</v>
      </c>
      <c r="H2914" s="9" t="s">
        <v>13</v>
      </c>
      <c r="I2914" s="9" t="s">
        <v>6914</v>
      </c>
    </row>
    <row r="2915" customFormat="false" ht="15.75" hidden="false" customHeight="false" outlineLevel="0" collapsed="false">
      <c r="B2915" s="7" t="n">
        <v>46269</v>
      </c>
      <c r="C2915" s="3" t="s">
        <v>6915</v>
      </c>
      <c r="D2915" s="3" t="s">
        <v>5958</v>
      </c>
      <c r="E2915" s="14" t="s">
        <v>6486</v>
      </c>
      <c r="F2915" s="14" t="s">
        <v>6855</v>
      </c>
      <c r="G2915" s="16" t="s">
        <v>6916</v>
      </c>
      <c r="H2915" s="9" t="s">
        <v>13</v>
      </c>
      <c r="I2915" s="9" t="s">
        <v>6917</v>
      </c>
    </row>
    <row r="2916" customFormat="false" ht="15.75" hidden="false" customHeight="false" outlineLevel="0" collapsed="false">
      <c r="B2916" s="7" t="n">
        <v>46269</v>
      </c>
      <c r="C2916" s="3" t="s">
        <v>6918</v>
      </c>
      <c r="D2916" s="3" t="s">
        <v>5958</v>
      </c>
      <c r="E2916" s="14" t="s">
        <v>6486</v>
      </c>
      <c r="F2916" s="14" t="s">
        <v>6855</v>
      </c>
      <c r="G2916" s="15" t="s">
        <v>2281</v>
      </c>
      <c r="H2916" s="9" t="s">
        <v>13</v>
      </c>
      <c r="I2916" s="9" t="s">
        <v>6919</v>
      </c>
    </row>
    <row r="2917" customFormat="false" ht="15.75" hidden="false" customHeight="false" outlineLevel="0" collapsed="false">
      <c r="B2917" s="7" t="n">
        <v>46269</v>
      </c>
      <c r="C2917" s="3" t="s">
        <v>6920</v>
      </c>
      <c r="D2917" s="3" t="s">
        <v>5958</v>
      </c>
      <c r="E2917" s="14" t="s">
        <v>6486</v>
      </c>
      <c r="F2917" s="14" t="s">
        <v>6855</v>
      </c>
      <c r="G2917" s="16" t="s">
        <v>2379</v>
      </c>
      <c r="H2917" s="9" t="s">
        <v>13</v>
      </c>
      <c r="I2917" s="9" t="s">
        <v>6921</v>
      </c>
    </row>
    <row r="2918" customFormat="false" ht="15.75" hidden="false" customHeight="false" outlineLevel="0" collapsed="false">
      <c r="B2918" s="7" t="n">
        <v>46269</v>
      </c>
      <c r="C2918" s="3" t="s">
        <v>6922</v>
      </c>
      <c r="D2918" s="3" t="s">
        <v>5958</v>
      </c>
      <c r="E2918" s="14" t="s">
        <v>6486</v>
      </c>
      <c r="F2918" s="3" t="s">
        <v>6923</v>
      </c>
      <c r="G2918" s="15" t="s">
        <v>6924</v>
      </c>
      <c r="H2918" s="9" t="s">
        <v>13</v>
      </c>
      <c r="I2918" s="9" t="s">
        <v>6925</v>
      </c>
    </row>
    <row r="2919" customFormat="false" ht="15.75" hidden="false" customHeight="false" outlineLevel="0" collapsed="false">
      <c r="B2919" s="7" t="n">
        <v>46269</v>
      </c>
      <c r="C2919" s="3" t="s">
        <v>6926</v>
      </c>
      <c r="D2919" s="3" t="s">
        <v>5958</v>
      </c>
      <c r="E2919" s="14" t="s">
        <v>6486</v>
      </c>
      <c r="F2919" s="3" t="s">
        <v>6923</v>
      </c>
      <c r="G2919" s="15" t="s">
        <v>2793</v>
      </c>
      <c r="H2919" s="9" t="s">
        <v>13</v>
      </c>
      <c r="I2919" s="9" t="s">
        <v>6927</v>
      </c>
    </row>
    <row r="2920" customFormat="false" ht="15.75" hidden="false" customHeight="false" outlineLevel="0" collapsed="false">
      <c r="B2920" s="7" t="n">
        <v>46269</v>
      </c>
      <c r="C2920" s="3" t="s">
        <v>6928</v>
      </c>
      <c r="D2920" s="3" t="s">
        <v>5958</v>
      </c>
      <c r="E2920" s="14" t="s">
        <v>6486</v>
      </c>
      <c r="F2920" s="3" t="s">
        <v>6923</v>
      </c>
      <c r="G2920" s="15" t="s">
        <v>2218</v>
      </c>
      <c r="H2920" s="9" t="s">
        <v>13</v>
      </c>
      <c r="I2920" s="9" t="s">
        <v>6929</v>
      </c>
    </row>
    <row r="2921" customFormat="false" ht="15.75" hidden="false" customHeight="false" outlineLevel="0" collapsed="false">
      <c r="B2921" s="7" t="n">
        <v>46269</v>
      </c>
      <c r="C2921" s="3" t="s">
        <v>6930</v>
      </c>
      <c r="D2921" s="3" t="s">
        <v>5958</v>
      </c>
      <c r="E2921" s="14" t="s">
        <v>6486</v>
      </c>
      <c r="F2921" s="3" t="s">
        <v>6923</v>
      </c>
      <c r="G2921" s="15" t="s">
        <v>2083</v>
      </c>
      <c r="H2921" s="9" t="s">
        <v>13</v>
      </c>
      <c r="I2921" s="9" t="s">
        <v>6931</v>
      </c>
    </row>
    <row r="2922" customFormat="false" ht="15.75" hidden="false" customHeight="false" outlineLevel="0" collapsed="false">
      <c r="B2922" s="7" t="n">
        <v>46269</v>
      </c>
      <c r="C2922" s="3" t="s">
        <v>6932</v>
      </c>
      <c r="D2922" s="3" t="s">
        <v>5958</v>
      </c>
      <c r="E2922" s="14" t="s">
        <v>6486</v>
      </c>
      <c r="F2922" s="3" t="s">
        <v>6923</v>
      </c>
      <c r="G2922" s="16" t="s">
        <v>6018</v>
      </c>
      <c r="H2922" s="9" t="s">
        <v>13</v>
      </c>
      <c r="I2922" s="9" t="s">
        <v>6933</v>
      </c>
    </row>
    <row r="2923" customFormat="false" ht="15.75" hidden="false" customHeight="false" outlineLevel="0" collapsed="false">
      <c r="B2923" s="7" t="n">
        <v>46269</v>
      </c>
      <c r="C2923" s="3" t="s">
        <v>6934</v>
      </c>
      <c r="D2923" s="3" t="s">
        <v>5958</v>
      </c>
      <c r="E2923" s="14" t="s">
        <v>6486</v>
      </c>
      <c r="F2923" s="3" t="s">
        <v>6923</v>
      </c>
      <c r="G2923" s="15" t="s">
        <v>1583</v>
      </c>
      <c r="H2923" s="9" t="s">
        <v>13</v>
      </c>
      <c r="I2923" s="9" t="s">
        <v>6935</v>
      </c>
    </row>
    <row r="2924" customFormat="false" ht="15.75" hidden="false" customHeight="false" outlineLevel="0" collapsed="false">
      <c r="B2924" s="7" t="n">
        <v>46269</v>
      </c>
      <c r="C2924" s="3" t="s">
        <v>6936</v>
      </c>
      <c r="D2924" s="3" t="s">
        <v>5958</v>
      </c>
      <c r="E2924" s="14" t="s">
        <v>6486</v>
      </c>
      <c r="F2924" s="3" t="s">
        <v>6923</v>
      </c>
      <c r="G2924" s="15" t="s">
        <v>2452</v>
      </c>
      <c r="H2924" s="9" t="s">
        <v>13</v>
      </c>
      <c r="I2924" s="9" t="s">
        <v>6937</v>
      </c>
    </row>
    <row r="2925" customFormat="false" ht="15.75" hidden="false" customHeight="false" outlineLevel="0" collapsed="false">
      <c r="B2925" s="7" t="n">
        <v>46269</v>
      </c>
      <c r="C2925" s="3" t="s">
        <v>6938</v>
      </c>
      <c r="D2925" s="3" t="s">
        <v>5958</v>
      </c>
      <c r="E2925" s="14" t="s">
        <v>6486</v>
      </c>
      <c r="F2925" s="3" t="s">
        <v>6923</v>
      </c>
      <c r="G2925" s="15" t="s">
        <v>2452</v>
      </c>
      <c r="H2925" s="9" t="s">
        <v>13</v>
      </c>
      <c r="I2925" s="9" t="s">
        <v>6937</v>
      </c>
    </row>
    <row r="2926" customFormat="false" ht="15.75" hidden="false" customHeight="false" outlineLevel="0" collapsed="false">
      <c r="B2926" s="7" t="n">
        <v>46269</v>
      </c>
      <c r="C2926" s="3" t="s">
        <v>6939</v>
      </c>
      <c r="D2926" s="3" t="s">
        <v>5958</v>
      </c>
      <c r="E2926" s="14" t="s">
        <v>6486</v>
      </c>
      <c r="F2926" s="3" t="s">
        <v>6923</v>
      </c>
      <c r="G2926" s="16" t="s">
        <v>6940</v>
      </c>
      <c r="H2926" s="9" t="s">
        <v>13</v>
      </c>
      <c r="I2926" s="9" t="s">
        <v>6941</v>
      </c>
    </row>
    <row r="2927" customFormat="false" ht="15.75" hidden="false" customHeight="false" outlineLevel="0" collapsed="false">
      <c r="B2927" s="7" t="n">
        <v>46269</v>
      </c>
      <c r="C2927" s="3" t="s">
        <v>6942</v>
      </c>
      <c r="D2927" s="3" t="s">
        <v>5958</v>
      </c>
      <c r="E2927" s="14" t="s">
        <v>6486</v>
      </c>
      <c r="F2927" s="3" t="s">
        <v>6923</v>
      </c>
      <c r="G2927" s="15" t="s">
        <v>2531</v>
      </c>
      <c r="H2927" s="9" t="s">
        <v>13</v>
      </c>
      <c r="I2927" s="9" t="s">
        <v>6943</v>
      </c>
    </row>
    <row r="2928" customFormat="false" ht="15.75" hidden="false" customHeight="false" outlineLevel="0" collapsed="false">
      <c r="B2928" s="7" t="n">
        <v>46269</v>
      </c>
      <c r="C2928" s="3" t="s">
        <v>6944</v>
      </c>
      <c r="D2928" s="3" t="s">
        <v>5958</v>
      </c>
      <c r="E2928" s="14" t="s">
        <v>6486</v>
      </c>
      <c r="F2928" s="3" t="s">
        <v>6923</v>
      </c>
      <c r="G2928" s="15" t="s">
        <v>2144</v>
      </c>
      <c r="H2928" s="9" t="s">
        <v>13</v>
      </c>
      <c r="I2928" s="9" t="s">
        <v>6945</v>
      </c>
    </row>
    <row r="2929" customFormat="false" ht="15.75" hidden="false" customHeight="false" outlineLevel="0" collapsed="false">
      <c r="B2929" s="7" t="n">
        <v>46269</v>
      </c>
      <c r="C2929" s="3" t="s">
        <v>6946</v>
      </c>
      <c r="D2929" s="3" t="s">
        <v>5958</v>
      </c>
      <c r="E2929" s="14" t="s">
        <v>6486</v>
      </c>
      <c r="F2929" s="3" t="s">
        <v>6923</v>
      </c>
      <c r="G2929" s="15" t="s">
        <v>6947</v>
      </c>
      <c r="H2929" s="9" t="s">
        <v>13</v>
      </c>
      <c r="I2929" s="9" t="s">
        <v>6948</v>
      </c>
    </row>
    <row r="2930" customFormat="false" ht="15.75" hidden="false" customHeight="false" outlineLevel="0" collapsed="false">
      <c r="B2930" s="7" t="n">
        <v>46269</v>
      </c>
      <c r="C2930" s="3" t="s">
        <v>6949</v>
      </c>
      <c r="D2930" s="3" t="s">
        <v>5958</v>
      </c>
      <c r="E2930" s="14" t="s">
        <v>6486</v>
      </c>
      <c r="F2930" s="3" t="s">
        <v>6923</v>
      </c>
      <c r="G2930" s="15" t="s">
        <v>2452</v>
      </c>
      <c r="H2930" s="9" t="s">
        <v>13</v>
      </c>
      <c r="I2930" s="9" t="s">
        <v>6950</v>
      </c>
    </row>
    <row r="2931" customFormat="false" ht="15.75" hidden="false" customHeight="false" outlineLevel="0" collapsed="false">
      <c r="B2931" s="7" t="n">
        <v>46269</v>
      </c>
      <c r="C2931" s="3" t="s">
        <v>6951</v>
      </c>
      <c r="D2931" s="3" t="s">
        <v>5958</v>
      </c>
      <c r="E2931" s="14" t="s">
        <v>6486</v>
      </c>
      <c r="F2931" s="3" t="s">
        <v>6923</v>
      </c>
      <c r="G2931" s="15" t="s">
        <v>2793</v>
      </c>
      <c r="H2931" s="9" t="s">
        <v>13</v>
      </c>
      <c r="I2931" s="9" t="s">
        <v>6952</v>
      </c>
    </row>
    <row r="2932" customFormat="false" ht="15.75" hidden="false" customHeight="false" outlineLevel="0" collapsed="false">
      <c r="B2932" s="7" t="n">
        <v>46269</v>
      </c>
      <c r="C2932" s="3" t="s">
        <v>6953</v>
      </c>
      <c r="D2932" s="3" t="s">
        <v>5958</v>
      </c>
      <c r="E2932" s="14" t="s">
        <v>6486</v>
      </c>
      <c r="F2932" s="3" t="s">
        <v>6923</v>
      </c>
      <c r="G2932" s="15" t="s">
        <v>2912</v>
      </c>
      <c r="H2932" s="9" t="s">
        <v>13</v>
      </c>
      <c r="I2932" s="9" t="s">
        <v>6954</v>
      </c>
    </row>
    <row r="2933" customFormat="false" ht="15.75" hidden="false" customHeight="false" outlineLevel="0" collapsed="false">
      <c r="B2933" s="7" t="n">
        <v>46269</v>
      </c>
      <c r="C2933" s="3" t="s">
        <v>6955</v>
      </c>
      <c r="D2933" s="3" t="s">
        <v>5958</v>
      </c>
      <c r="E2933" s="14" t="s">
        <v>6486</v>
      </c>
      <c r="F2933" s="3" t="s">
        <v>6923</v>
      </c>
      <c r="G2933" s="15" t="s">
        <v>2343</v>
      </c>
      <c r="H2933" s="9" t="s">
        <v>13</v>
      </c>
      <c r="I2933" s="9" t="s">
        <v>6956</v>
      </c>
    </row>
    <row r="2934" customFormat="false" ht="15.75" hidden="false" customHeight="false" outlineLevel="0" collapsed="false">
      <c r="B2934" s="7" t="n">
        <v>46269</v>
      </c>
      <c r="C2934" s="3" t="s">
        <v>6957</v>
      </c>
      <c r="D2934" s="3" t="s">
        <v>5958</v>
      </c>
      <c r="E2934" s="14" t="s">
        <v>6486</v>
      </c>
      <c r="F2934" s="3" t="s">
        <v>6923</v>
      </c>
      <c r="G2934" s="15" t="s">
        <v>2397</v>
      </c>
      <c r="H2934" s="9" t="s">
        <v>13</v>
      </c>
      <c r="I2934" s="9" t="s">
        <v>6958</v>
      </c>
    </row>
    <row r="2935" customFormat="false" ht="15.75" hidden="false" customHeight="false" outlineLevel="0" collapsed="false">
      <c r="B2935" s="7" t="n">
        <v>46269</v>
      </c>
      <c r="C2935" s="3" t="s">
        <v>6959</v>
      </c>
      <c r="D2935" s="3" t="s">
        <v>5958</v>
      </c>
      <c r="E2935" s="14" t="s">
        <v>6486</v>
      </c>
      <c r="F2935" s="3" t="s">
        <v>6923</v>
      </c>
      <c r="G2935" s="15" t="s">
        <v>6960</v>
      </c>
      <c r="H2935" s="9" t="s">
        <v>13</v>
      </c>
      <c r="I2935" s="9" t="s">
        <v>6961</v>
      </c>
    </row>
    <row r="2936" customFormat="false" ht="15.75" hidden="false" customHeight="false" outlineLevel="0" collapsed="false">
      <c r="B2936" s="7" t="n">
        <v>46269</v>
      </c>
      <c r="C2936" s="3" t="s">
        <v>6962</v>
      </c>
      <c r="D2936" s="3" t="s">
        <v>5958</v>
      </c>
      <c r="E2936" s="14" t="s">
        <v>6486</v>
      </c>
      <c r="F2936" s="3" t="s">
        <v>6923</v>
      </c>
      <c r="G2936" s="15" t="s">
        <v>6960</v>
      </c>
      <c r="H2936" s="9" t="s">
        <v>13</v>
      </c>
      <c r="I2936" s="9" t="s">
        <v>6961</v>
      </c>
    </row>
    <row r="2937" customFormat="false" ht="15.75" hidden="false" customHeight="false" outlineLevel="0" collapsed="false">
      <c r="B2937" s="7" t="n">
        <v>46269</v>
      </c>
      <c r="C2937" s="3" t="s">
        <v>6963</v>
      </c>
      <c r="D2937" s="3" t="s">
        <v>5958</v>
      </c>
      <c r="E2937" s="14" t="s">
        <v>6486</v>
      </c>
      <c r="F2937" s="3" t="s">
        <v>6923</v>
      </c>
      <c r="G2937" s="16" t="s">
        <v>3640</v>
      </c>
      <c r="H2937" s="9" t="s">
        <v>13</v>
      </c>
      <c r="I2937" s="9" t="s">
        <v>6964</v>
      </c>
    </row>
    <row r="2938" customFormat="false" ht="15.75" hidden="false" customHeight="false" outlineLevel="0" collapsed="false">
      <c r="B2938" s="7" t="n">
        <v>46269</v>
      </c>
      <c r="C2938" s="3" t="s">
        <v>6965</v>
      </c>
      <c r="D2938" s="3" t="s">
        <v>5958</v>
      </c>
      <c r="E2938" s="14" t="s">
        <v>6486</v>
      </c>
      <c r="F2938" s="3" t="s">
        <v>6923</v>
      </c>
      <c r="G2938" s="15" t="s">
        <v>6120</v>
      </c>
      <c r="H2938" s="9" t="s">
        <v>13</v>
      </c>
      <c r="I2938" s="9" t="s">
        <v>6966</v>
      </c>
    </row>
    <row r="2939" customFormat="false" ht="15.75" hidden="false" customHeight="false" outlineLevel="0" collapsed="false">
      <c r="B2939" s="7" t="n">
        <v>46269</v>
      </c>
      <c r="C2939" s="3" t="s">
        <v>6967</v>
      </c>
      <c r="D2939" s="3" t="s">
        <v>5958</v>
      </c>
      <c r="E2939" s="14" t="s">
        <v>6486</v>
      </c>
      <c r="F2939" s="3" t="s">
        <v>6923</v>
      </c>
      <c r="G2939" s="15" t="s">
        <v>3399</v>
      </c>
      <c r="H2939" s="9" t="s">
        <v>13</v>
      </c>
      <c r="I2939" s="9" t="s">
        <v>6968</v>
      </c>
    </row>
    <row r="2940" customFormat="false" ht="15.75" hidden="false" customHeight="false" outlineLevel="0" collapsed="false">
      <c r="B2940" s="7" t="n">
        <v>46269</v>
      </c>
      <c r="C2940" s="3" t="s">
        <v>6969</v>
      </c>
      <c r="D2940" s="3" t="s">
        <v>5958</v>
      </c>
      <c r="E2940" s="14" t="s">
        <v>6486</v>
      </c>
      <c r="F2940" s="3" t="s">
        <v>6923</v>
      </c>
      <c r="G2940" s="15" t="s">
        <v>3399</v>
      </c>
      <c r="H2940" s="9" t="s">
        <v>13</v>
      </c>
      <c r="I2940" s="9" t="s">
        <v>6968</v>
      </c>
    </row>
    <row r="2941" customFormat="false" ht="15.75" hidden="false" customHeight="false" outlineLevel="0" collapsed="false">
      <c r="B2941" s="7" t="n">
        <v>46269</v>
      </c>
      <c r="C2941" s="3" t="s">
        <v>6970</v>
      </c>
      <c r="D2941" s="3" t="s">
        <v>5958</v>
      </c>
      <c r="E2941" s="3" t="s">
        <v>6971</v>
      </c>
      <c r="F2941" s="3" t="s">
        <v>6972</v>
      </c>
      <c r="G2941" s="15" t="s">
        <v>6675</v>
      </c>
      <c r="H2941" s="9" t="s">
        <v>13</v>
      </c>
      <c r="I2941" s="9" t="s">
        <v>6973</v>
      </c>
    </row>
    <row r="2942" customFormat="false" ht="15.75" hidden="false" customHeight="false" outlineLevel="0" collapsed="false">
      <c r="B2942" s="7" t="n">
        <v>46269</v>
      </c>
      <c r="C2942" s="3" t="s">
        <v>6974</v>
      </c>
      <c r="D2942" s="3" t="s">
        <v>5958</v>
      </c>
      <c r="E2942" s="3" t="s">
        <v>6971</v>
      </c>
      <c r="F2942" s="14" t="s">
        <v>6972</v>
      </c>
      <c r="G2942" s="15" t="s">
        <v>2452</v>
      </c>
      <c r="H2942" s="9" t="s">
        <v>13</v>
      </c>
      <c r="I2942" s="9" t="s">
        <v>6975</v>
      </c>
    </row>
    <row r="2943" customFormat="false" ht="15.75" hidden="false" customHeight="false" outlineLevel="0" collapsed="false">
      <c r="B2943" s="3"/>
      <c r="C2943" s="3"/>
      <c r="D2943" s="3"/>
      <c r="E2943" s="3"/>
      <c r="F2943" s="3"/>
      <c r="G2943" s="4"/>
      <c r="H2943" s="3"/>
      <c r="I2943" s="3"/>
    </row>
    <row r="2944" customFormat="false" ht="15.75" hidden="false" customHeight="false" outlineLevel="0" collapsed="false">
      <c r="B2944" s="3"/>
      <c r="C2944" s="3"/>
      <c r="D2944" s="3"/>
      <c r="E2944" s="3"/>
      <c r="F2944" s="3"/>
      <c r="G2944" s="4"/>
      <c r="H2944" s="3"/>
      <c r="I2944" s="3"/>
    </row>
    <row r="2945" customFormat="false" ht="15.75" hidden="false" customHeight="false" outlineLevel="0" collapsed="false">
      <c r="B2945" s="3"/>
      <c r="C2945" s="3"/>
      <c r="D2945" s="3"/>
      <c r="E2945" s="3"/>
      <c r="F2945" s="3"/>
      <c r="G2945" s="4"/>
      <c r="H2945" s="3"/>
      <c r="I2945" s="3"/>
    </row>
    <row r="2946" customFormat="false" ht="15.75" hidden="false" customHeight="false" outlineLevel="0" collapsed="false">
      <c r="B2946" s="3"/>
      <c r="C2946" s="3"/>
      <c r="D2946" s="3"/>
      <c r="E2946" s="3"/>
      <c r="F2946" s="3"/>
      <c r="G2946" s="4"/>
      <c r="H2946" s="3"/>
      <c r="I2946" s="3"/>
    </row>
    <row r="2947" customFormat="false" ht="15.75" hidden="false" customHeight="false" outlineLevel="0" collapsed="false">
      <c r="B2947" s="3"/>
      <c r="C2947" s="3"/>
      <c r="D2947" s="3"/>
      <c r="E2947" s="3"/>
      <c r="F2947" s="3"/>
      <c r="G2947" s="4"/>
      <c r="H2947" s="3"/>
      <c r="I2947" s="3"/>
    </row>
    <row r="2948" customFormat="false" ht="15.75" hidden="false" customHeight="false" outlineLevel="0" collapsed="false">
      <c r="B2948" s="3"/>
      <c r="C2948" s="3"/>
      <c r="D2948" s="3"/>
      <c r="E2948" s="3"/>
      <c r="F2948" s="3"/>
      <c r="G2948" s="4"/>
      <c r="H2948" s="3"/>
      <c r="I2948" s="3"/>
    </row>
    <row r="2949" customFormat="false" ht="15.75" hidden="false" customHeight="false" outlineLevel="0" collapsed="false">
      <c r="B2949" s="3"/>
      <c r="C2949" s="3"/>
      <c r="D2949" s="3"/>
      <c r="E2949" s="3"/>
      <c r="F2949" s="3"/>
      <c r="G2949" s="4"/>
      <c r="H2949" s="3"/>
      <c r="I2949" s="3"/>
    </row>
    <row r="2950" customFormat="false" ht="15.75" hidden="false" customHeight="false" outlineLevel="0" collapsed="false">
      <c r="B2950" s="3"/>
      <c r="C2950" s="3"/>
      <c r="D2950" s="3"/>
      <c r="E2950" s="3"/>
      <c r="F2950" s="3"/>
      <c r="G2950" s="4"/>
      <c r="H2950" s="3"/>
      <c r="I2950" s="3"/>
    </row>
    <row r="2951" customFormat="false" ht="15.75" hidden="false" customHeight="false" outlineLevel="0" collapsed="false">
      <c r="B2951" s="3"/>
      <c r="C2951" s="3"/>
      <c r="D2951" s="3"/>
      <c r="E2951" s="3"/>
      <c r="F2951" s="3"/>
      <c r="G2951" s="4"/>
      <c r="H2951" s="3"/>
      <c r="I2951" s="3"/>
    </row>
    <row r="2952" customFormat="false" ht="15.75" hidden="false" customHeight="false" outlineLevel="0" collapsed="false">
      <c r="B2952" s="3"/>
      <c r="C2952" s="3"/>
      <c r="D2952" s="3"/>
      <c r="E2952" s="3"/>
      <c r="F2952" s="3"/>
      <c r="G2952" s="4"/>
      <c r="H2952" s="3"/>
      <c r="I2952" s="3"/>
    </row>
    <row r="2953" customFormat="false" ht="15.75" hidden="false" customHeight="false" outlineLevel="0" collapsed="false">
      <c r="B2953" s="3"/>
      <c r="C2953" s="3"/>
      <c r="D2953" s="3"/>
      <c r="E2953" s="3"/>
      <c r="F2953" s="3"/>
      <c r="G2953" s="4"/>
      <c r="H2953" s="3"/>
      <c r="I2953" s="3"/>
    </row>
    <row r="2954" customFormat="false" ht="15.75" hidden="false" customHeight="false" outlineLevel="0" collapsed="false">
      <c r="B2954" s="3"/>
      <c r="C2954" s="3"/>
      <c r="D2954" s="3"/>
      <c r="E2954" s="3"/>
      <c r="F2954" s="3"/>
      <c r="G2954" s="4"/>
      <c r="H2954" s="3"/>
      <c r="I2954" s="3"/>
    </row>
    <row r="2955" customFormat="false" ht="15.75" hidden="false" customHeight="false" outlineLevel="0" collapsed="false">
      <c r="B2955" s="3"/>
      <c r="C2955" s="3"/>
      <c r="D2955" s="3"/>
      <c r="E2955" s="3"/>
      <c r="F2955" s="3"/>
      <c r="G2955" s="4"/>
      <c r="H2955" s="3"/>
      <c r="I2955" s="3"/>
    </row>
    <row r="2956" customFormat="false" ht="15.75" hidden="false" customHeight="false" outlineLevel="0" collapsed="false">
      <c r="B2956" s="3"/>
      <c r="C2956" s="3"/>
      <c r="D2956" s="3"/>
      <c r="E2956" s="3"/>
      <c r="F2956" s="3"/>
      <c r="G2956" s="4"/>
      <c r="H2956" s="3"/>
      <c r="I2956" s="3"/>
    </row>
    <row r="2957" customFormat="false" ht="15.75" hidden="false" customHeight="false" outlineLevel="0" collapsed="false">
      <c r="B2957" s="3"/>
      <c r="C2957" s="3"/>
      <c r="D2957" s="3"/>
      <c r="E2957" s="3"/>
      <c r="F2957" s="3"/>
      <c r="G2957" s="4"/>
      <c r="H2957" s="3"/>
      <c r="I2957" s="3"/>
    </row>
    <row r="2958" customFormat="false" ht="15.75" hidden="false" customHeight="false" outlineLevel="0" collapsed="false">
      <c r="B2958" s="3"/>
      <c r="C2958" s="3"/>
      <c r="D2958" s="3"/>
      <c r="E2958" s="3"/>
      <c r="F2958" s="3"/>
      <c r="G2958" s="4"/>
      <c r="H2958" s="3"/>
      <c r="I2958" s="3"/>
    </row>
    <row r="2959" customFormat="false" ht="15.75" hidden="false" customHeight="false" outlineLevel="0" collapsed="false">
      <c r="B2959" s="3"/>
      <c r="C2959" s="3"/>
      <c r="D2959" s="3"/>
      <c r="E2959" s="3"/>
      <c r="F2959" s="3"/>
      <c r="G2959" s="4"/>
      <c r="H2959" s="3"/>
      <c r="I2959" s="3"/>
    </row>
    <row r="2960" customFormat="false" ht="15.75" hidden="false" customHeight="false" outlineLevel="0" collapsed="false">
      <c r="B2960" s="3"/>
      <c r="C2960" s="3"/>
      <c r="D2960" s="3"/>
      <c r="E2960" s="3"/>
      <c r="F2960" s="3"/>
      <c r="G2960" s="4"/>
      <c r="H2960" s="3"/>
      <c r="I2960" s="3"/>
    </row>
    <row r="2961" customFormat="false" ht="15.75" hidden="false" customHeight="false" outlineLevel="0" collapsed="false">
      <c r="B2961" s="3"/>
      <c r="C2961" s="3"/>
      <c r="D2961" s="3"/>
      <c r="E2961" s="3"/>
      <c r="F2961" s="3"/>
      <c r="G2961" s="4"/>
      <c r="H2961" s="3"/>
      <c r="I2961" s="3"/>
    </row>
    <row r="2962" customFormat="false" ht="15.75" hidden="false" customHeight="false" outlineLevel="0" collapsed="false">
      <c r="B2962" s="3"/>
      <c r="C2962" s="3"/>
      <c r="D2962" s="3"/>
      <c r="E2962" s="3"/>
      <c r="F2962" s="3"/>
      <c r="G2962" s="4"/>
      <c r="H2962" s="3"/>
      <c r="I2962" s="3"/>
    </row>
    <row r="2963" customFormat="false" ht="15.75" hidden="false" customHeight="false" outlineLevel="0" collapsed="false">
      <c r="B2963" s="3"/>
      <c r="C2963" s="3"/>
      <c r="D2963" s="3"/>
      <c r="E2963" s="3"/>
      <c r="F2963" s="3"/>
      <c r="G2963" s="4"/>
      <c r="H2963" s="3"/>
      <c r="I2963" s="3"/>
    </row>
    <row r="2964" customFormat="false" ht="15.75" hidden="false" customHeight="false" outlineLevel="0" collapsed="false">
      <c r="B2964" s="3"/>
      <c r="C2964" s="3"/>
      <c r="D2964" s="3"/>
      <c r="E2964" s="3"/>
      <c r="F2964" s="3"/>
      <c r="G2964" s="4"/>
      <c r="H2964" s="3"/>
      <c r="I2964" s="3"/>
    </row>
    <row r="2965" customFormat="false" ht="15.75" hidden="false" customHeight="false" outlineLevel="0" collapsed="false">
      <c r="B2965" s="3"/>
      <c r="C2965" s="3"/>
      <c r="D2965" s="3"/>
      <c r="E2965" s="3"/>
      <c r="F2965" s="3"/>
      <c r="G2965" s="4"/>
      <c r="H2965" s="3"/>
      <c r="I2965" s="3"/>
    </row>
    <row r="2966" customFormat="false" ht="15.75" hidden="false" customHeight="false" outlineLevel="0" collapsed="false">
      <c r="B2966" s="3"/>
      <c r="C2966" s="3"/>
      <c r="D2966" s="3"/>
      <c r="E2966" s="3"/>
      <c r="F2966" s="3"/>
      <c r="G2966" s="4"/>
      <c r="H2966" s="3"/>
      <c r="I2966" s="3"/>
    </row>
    <row r="2967" customFormat="false" ht="15.75" hidden="false" customHeight="false" outlineLevel="0" collapsed="false">
      <c r="B2967" s="3"/>
      <c r="C2967" s="3"/>
      <c r="D2967" s="3"/>
      <c r="E2967" s="3"/>
      <c r="F2967" s="3"/>
      <c r="G2967" s="4"/>
      <c r="H2967" s="3"/>
      <c r="I2967" s="3"/>
    </row>
    <row r="2968" customFormat="false" ht="15.75" hidden="false" customHeight="false" outlineLevel="0" collapsed="false">
      <c r="B2968" s="3"/>
      <c r="C2968" s="3"/>
      <c r="D2968" s="3"/>
      <c r="E2968" s="3"/>
      <c r="F2968" s="3"/>
      <c r="G2968" s="4"/>
      <c r="H2968" s="3"/>
      <c r="I2968" s="3"/>
    </row>
    <row r="2969" customFormat="false" ht="15.75" hidden="false" customHeight="false" outlineLevel="0" collapsed="false">
      <c r="B2969" s="3"/>
      <c r="C2969" s="3"/>
      <c r="D2969" s="3"/>
      <c r="E2969" s="3"/>
      <c r="F2969" s="3"/>
      <c r="G2969" s="4"/>
      <c r="H2969" s="3"/>
      <c r="I2969" s="3"/>
    </row>
    <row r="2970" customFormat="false" ht="15.75" hidden="false" customHeight="false" outlineLevel="0" collapsed="false">
      <c r="B2970" s="3"/>
      <c r="C2970" s="3"/>
      <c r="D2970" s="3"/>
      <c r="E2970" s="3"/>
      <c r="F2970" s="3"/>
      <c r="G2970" s="4"/>
      <c r="H2970" s="3"/>
      <c r="I2970" s="3"/>
    </row>
    <row r="2971" customFormat="false" ht="15.75" hidden="false" customHeight="false" outlineLevel="0" collapsed="false">
      <c r="B2971" s="3"/>
      <c r="C2971" s="3"/>
      <c r="D2971" s="3"/>
      <c r="E2971" s="3"/>
      <c r="F2971" s="3"/>
      <c r="G2971" s="4"/>
      <c r="H2971" s="3"/>
      <c r="I2971" s="3"/>
    </row>
    <row r="2972" customFormat="false" ht="15.75" hidden="false" customHeight="false" outlineLevel="0" collapsed="false">
      <c r="B2972" s="3"/>
      <c r="C2972" s="3"/>
      <c r="D2972" s="3"/>
      <c r="E2972" s="3"/>
      <c r="F2972" s="3"/>
      <c r="G2972" s="4"/>
      <c r="H2972" s="3"/>
      <c r="I2972" s="3"/>
    </row>
    <row r="2973" customFormat="false" ht="15.75" hidden="false" customHeight="false" outlineLevel="0" collapsed="false">
      <c r="B2973" s="3"/>
      <c r="C2973" s="3"/>
      <c r="D2973" s="3"/>
      <c r="E2973" s="3"/>
      <c r="F2973" s="3"/>
      <c r="G2973" s="4"/>
      <c r="H2973" s="3"/>
      <c r="I2973" s="3"/>
    </row>
    <row r="2974" customFormat="false" ht="15.75" hidden="false" customHeight="false" outlineLevel="0" collapsed="false">
      <c r="B2974" s="3"/>
      <c r="C2974" s="3"/>
      <c r="D2974" s="3"/>
      <c r="E2974" s="3"/>
      <c r="F2974" s="3"/>
      <c r="G2974" s="4"/>
      <c r="H2974" s="3"/>
      <c r="I2974" s="3"/>
    </row>
    <row r="2975" customFormat="false" ht="15.75" hidden="false" customHeight="false" outlineLevel="0" collapsed="false">
      <c r="B2975" s="3"/>
      <c r="C2975" s="3"/>
      <c r="D2975" s="3"/>
      <c r="E2975" s="3"/>
      <c r="F2975" s="3"/>
      <c r="G2975" s="4"/>
      <c r="H2975" s="3"/>
      <c r="I2975" s="3"/>
    </row>
    <row r="2976" customFormat="false" ht="15.75" hidden="false" customHeight="false" outlineLevel="0" collapsed="false">
      <c r="B2976" s="3"/>
      <c r="C2976" s="3"/>
      <c r="D2976" s="3"/>
      <c r="E2976" s="3"/>
      <c r="F2976" s="3"/>
      <c r="G2976" s="4"/>
      <c r="H2976" s="3"/>
      <c r="I2976" s="3"/>
    </row>
    <row r="2977" customFormat="false" ht="15.75" hidden="false" customHeight="false" outlineLevel="0" collapsed="false">
      <c r="B2977" s="3"/>
      <c r="C2977" s="3"/>
      <c r="D2977" s="3"/>
      <c r="E2977" s="3"/>
      <c r="F2977" s="3"/>
      <c r="G2977" s="4"/>
      <c r="H2977" s="3"/>
      <c r="I2977" s="3"/>
    </row>
    <row r="2978" customFormat="false" ht="15.75" hidden="false" customHeight="false" outlineLevel="0" collapsed="false">
      <c r="B2978" s="3"/>
      <c r="C2978" s="3"/>
      <c r="D2978" s="3"/>
      <c r="E2978" s="3"/>
      <c r="F2978" s="3"/>
      <c r="G2978" s="4"/>
      <c r="H2978" s="3"/>
      <c r="I2978" s="3"/>
    </row>
    <row r="2979" customFormat="false" ht="15.75" hidden="false" customHeight="false" outlineLevel="0" collapsed="false">
      <c r="B2979" s="3"/>
      <c r="C2979" s="3"/>
      <c r="D2979" s="3"/>
      <c r="E2979" s="3"/>
      <c r="F2979" s="3"/>
      <c r="G2979" s="4"/>
      <c r="H2979" s="3"/>
      <c r="I2979" s="3"/>
    </row>
    <row r="2980" customFormat="false" ht="15.75" hidden="false" customHeight="false" outlineLevel="0" collapsed="false">
      <c r="B2980" s="3"/>
      <c r="C2980" s="3"/>
      <c r="D2980" s="3"/>
      <c r="E2980" s="3"/>
      <c r="F2980" s="3"/>
      <c r="G2980" s="4"/>
      <c r="H2980" s="3"/>
      <c r="I2980" s="3"/>
    </row>
    <row r="2981" customFormat="false" ht="15.75" hidden="false" customHeight="false" outlineLevel="0" collapsed="false">
      <c r="B2981" s="3"/>
      <c r="C2981" s="3"/>
      <c r="D2981" s="3"/>
      <c r="E2981" s="3"/>
      <c r="F2981" s="3"/>
      <c r="G2981" s="4"/>
      <c r="H2981" s="3"/>
      <c r="I2981" s="3"/>
    </row>
    <row r="2982" customFormat="false" ht="15.75" hidden="false" customHeight="false" outlineLevel="0" collapsed="false">
      <c r="B2982" s="3"/>
      <c r="C2982" s="3"/>
      <c r="D2982" s="3"/>
      <c r="E2982" s="3"/>
      <c r="F2982" s="3"/>
      <c r="G2982" s="4"/>
      <c r="H2982" s="3"/>
      <c r="I2982" s="3"/>
    </row>
    <row r="2983" customFormat="false" ht="15.75" hidden="false" customHeight="false" outlineLevel="0" collapsed="false">
      <c r="B2983" s="3"/>
      <c r="C2983" s="3"/>
      <c r="D2983" s="3"/>
      <c r="E2983" s="3"/>
      <c r="F2983" s="3"/>
      <c r="G2983" s="4"/>
      <c r="H2983" s="3"/>
      <c r="I2983" s="3"/>
    </row>
    <row r="2984" customFormat="false" ht="15.75" hidden="false" customHeight="false" outlineLevel="0" collapsed="false">
      <c r="B2984" s="3"/>
      <c r="C2984" s="3"/>
      <c r="D2984" s="3"/>
      <c r="E2984" s="3"/>
      <c r="F2984" s="3"/>
      <c r="G2984" s="4"/>
      <c r="H2984" s="3"/>
      <c r="I2984" s="3"/>
    </row>
    <row r="2985" customFormat="false" ht="15.75" hidden="false" customHeight="false" outlineLevel="0" collapsed="false">
      <c r="B2985" s="3"/>
      <c r="C2985" s="3"/>
      <c r="D2985" s="3"/>
      <c r="E2985" s="3"/>
      <c r="F2985" s="3"/>
      <c r="G2985" s="4"/>
      <c r="H2985" s="3"/>
      <c r="I2985" s="3"/>
    </row>
    <row r="2986" customFormat="false" ht="15.75" hidden="false" customHeight="false" outlineLevel="0" collapsed="false">
      <c r="B2986" s="3"/>
      <c r="C2986" s="3"/>
      <c r="D2986" s="3"/>
      <c r="E2986" s="3"/>
      <c r="F2986" s="3"/>
      <c r="G2986" s="4"/>
      <c r="H2986" s="3"/>
      <c r="I2986" s="3"/>
    </row>
    <row r="2987" customFormat="false" ht="15.75" hidden="false" customHeight="false" outlineLevel="0" collapsed="false">
      <c r="B2987" s="3"/>
      <c r="C2987" s="3"/>
      <c r="D2987" s="3"/>
      <c r="E2987" s="3"/>
      <c r="F2987" s="3"/>
      <c r="G2987" s="4"/>
      <c r="H2987" s="3"/>
      <c r="I2987" s="3"/>
    </row>
    <row r="2988" customFormat="false" ht="15.75" hidden="false" customHeight="false" outlineLevel="0" collapsed="false">
      <c r="B2988" s="3"/>
      <c r="C2988" s="3"/>
      <c r="D2988" s="3"/>
      <c r="E2988" s="3"/>
      <c r="F2988" s="3"/>
      <c r="G2988" s="4"/>
      <c r="H2988" s="3"/>
      <c r="I2988" s="3"/>
    </row>
    <row r="2989" customFormat="false" ht="15.75" hidden="false" customHeight="false" outlineLevel="0" collapsed="false">
      <c r="B2989" s="3"/>
      <c r="C2989" s="3"/>
      <c r="D2989" s="3"/>
      <c r="E2989" s="3"/>
      <c r="F2989" s="3"/>
      <c r="G2989" s="4"/>
      <c r="H2989" s="3"/>
      <c r="I2989" s="3"/>
    </row>
    <row r="2990" customFormat="false" ht="15.75" hidden="false" customHeight="false" outlineLevel="0" collapsed="false">
      <c r="B2990" s="3"/>
      <c r="C2990" s="3"/>
      <c r="D2990" s="3"/>
      <c r="E2990" s="3"/>
      <c r="F2990" s="3"/>
      <c r="G2990" s="4"/>
      <c r="H2990" s="3"/>
      <c r="I2990" s="3"/>
    </row>
    <row r="2991" customFormat="false" ht="15.75" hidden="false" customHeight="false" outlineLevel="0" collapsed="false">
      <c r="B2991" s="3"/>
      <c r="C2991" s="3"/>
      <c r="D2991" s="3"/>
      <c r="E2991" s="3"/>
      <c r="F2991" s="3"/>
      <c r="G2991" s="4"/>
      <c r="H2991" s="3"/>
      <c r="I2991" s="3"/>
    </row>
    <row r="2992" customFormat="false" ht="15.75" hidden="false" customHeight="false" outlineLevel="0" collapsed="false">
      <c r="B2992" s="3"/>
      <c r="C2992" s="3"/>
      <c r="D2992" s="3"/>
      <c r="E2992" s="3"/>
      <c r="F2992" s="3"/>
      <c r="G2992" s="4"/>
      <c r="H2992" s="3"/>
      <c r="I2992" s="3"/>
    </row>
    <row r="2993" customFormat="false" ht="15.75" hidden="false" customHeight="false" outlineLevel="0" collapsed="false">
      <c r="B2993" s="3"/>
      <c r="C2993" s="3"/>
      <c r="D2993" s="3"/>
      <c r="E2993" s="3"/>
      <c r="F2993" s="3"/>
      <c r="G2993" s="4"/>
      <c r="H2993" s="3"/>
      <c r="I2993" s="3"/>
    </row>
    <row r="2994" customFormat="false" ht="15.75" hidden="false" customHeight="false" outlineLevel="0" collapsed="false">
      <c r="B2994" s="3"/>
      <c r="C2994" s="3"/>
      <c r="D2994" s="3"/>
      <c r="E2994" s="3"/>
      <c r="F2994" s="3"/>
      <c r="G2994" s="4"/>
      <c r="H2994" s="3"/>
      <c r="I2994" s="3"/>
    </row>
    <row r="2995" customFormat="false" ht="15.75" hidden="false" customHeight="false" outlineLevel="0" collapsed="false">
      <c r="B2995" s="3"/>
      <c r="C2995" s="3"/>
      <c r="D2995" s="3"/>
      <c r="E2995" s="3"/>
      <c r="F2995" s="3"/>
      <c r="G2995" s="4"/>
      <c r="H2995" s="3"/>
      <c r="I2995" s="3"/>
    </row>
    <row r="2996" customFormat="false" ht="15.75" hidden="false" customHeight="false" outlineLevel="0" collapsed="false">
      <c r="B2996" s="3"/>
      <c r="C2996" s="3"/>
      <c r="D2996" s="3"/>
      <c r="E2996" s="3"/>
      <c r="F2996" s="3"/>
      <c r="G2996" s="4"/>
      <c r="H2996" s="3"/>
      <c r="I2996" s="3"/>
    </row>
    <row r="2997" customFormat="false" ht="15.75" hidden="false" customHeight="false" outlineLevel="0" collapsed="false">
      <c r="B2997" s="3"/>
      <c r="C2997" s="3"/>
      <c r="D2997" s="3"/>
      <c r="E2997" s="3"/>
      <c r="F2997" s="3"/>
      <c r="G2997" s="4"/>
      <c r="H2997" s="3"/>
      <c r="I2997" s="3"/>
    </row>
    <row r="2998" customFormat="false" ht="15.75" hidden="false" customHeight="false" outlineLevel="0" collapsed="false">
      <c r="B2998" s="3"/>
      <c r="C2998" s="3"/>
      <c r="D2998" s="3"/>
      <c r="E2998" s="3"/>
      <c r="F2998" s="3"/>
      <c r="G2998" s="4"/>
      <c r="H2998" s="3"/>
      <c r="I2998" s="3"/>
    </row>
    <row r="2999" customFormat="false" ht="15.75" hidden="false" customHeight="false" outlineLevel="0" collapsed="false">
      <c r="B2999" s="3"/>
      <c r="C2999" s="3"/>
      <c r="D2999" s="3"/>
      <c r="E2999" s="3"/>
      <c r="F2999" s="3"/>
      <c r="G2999" s="4"/>
      <c r="H2999" s="3"/>
      <c r="I2999" s="3"/>
    </row>
    <row r="3000" customFormat="false" ht="15.75" hidden="false" customHeight="false" outlineLevel="0" collapsed="false">
      <c r="B3000" s="3"/>
      <c r="C3000" s="3"/>
      <c r="D3000" s="3"/>
      <c r="E3000" s="3"/>
      <c r="F3000" s="3"/>
      <c r="G3000" s="4"/>
      <c r="H3000" s="3"/>
      <c r="I3000" s="3"/>
    </row>
    <row r="3001" customFormat="false" ht="15.75" hidden="false" customHeight="false" outlineLevel="0" collapsed="false">
      <c r="B3001" s="3"/>
      <c r="C3001" s="3"/>
      <c r="D3001" s="3"/>
      <c r="E3001" s="3"/>
      <c r="F3001" s="3"/>
      <c r="G3001" s="4"/>
      <c r="H3001" s="3"/>
      <c r="I3001" s="3"/>
    </row>
    <row r="3002" customFormat="false" ht="15.75" hidden="false" customHeight="false" outlineLevel="0" collapsed="false">
      <c r="B3002" s="3"/>
      <c r="C3002" s="3"/>
      <c r="D3002" s="3"/>
      <c r="E3002" s="3"/>
      <c r="F3002" s="3"/>
      <c r="G3002" s="4"/>
      <c r="H3002" s="3"/>
      <c r="I3002" s="3"/>
    </row>
    <row r="3003" customFormat="false" ht="15.75" hidden="false" customHeight="false" outlineLevel="0" collapsed="false">
      <c r="B3003" s="3"/>
      <c r="C3003" s="3"/>
      <c r="D3003" s="3"/>
      <c r="E3003" s="3"/>
      <c r="F3003" s="3"/>
      <c r="G3003" s="4"/>
      <c r="H3003" s="3"/>
      <c r="I3003" s="3"/>
    </row>
    <row r="3004" customFormat="false" ht="15.75" hidden="false" customHeight="false" outlineLevel="0" collapsed="false">
      <c r="B3004" s="3"/>
      <c r="C3004" s="3"/>
      <c r="D3004" s="3"/>
      <c r="E3004" s="3"/>
      <c r="F3004" s="3"/>
      <c r="G3004" s="4"/>
      <c r="H3004" s="3"/>
      <c r="I3004" s="3"/>
    </row>
    <row r="3005" customFormat="false" ht="15.75" hidden="false" customHeight="false" outlineLevel="0" collapsed="false">
      <c r="B3005" s="3"/>
      <c r="C3005" s="3"/>
      <c r="D3005" s="3"/>
      <c r="E3005" s="3"/>
      <c r="F3005" s="3"/>
      <c r="G3005" s="4"/>
      <c r="H3005" s="3"/>
      <c r="I3005" s="3"/>
    </row>
    <row r="3006" customFormat="false" ht="15.75" hidden="false" customHeight="false" outlineLevel="0" collapsed="false">
      <c r="B3006" s="3"/>
      <c r="C3006" s="3"/>
      <c r="D3006" s="3"/>
      <c r="E3006" s="3"/>
      <c r="F3006" s="3"/>
      <c r="G3006" s="4"/>
      <c r="H3006" s="3"/>
      <c r="I3006" s="3"/>
    </row>
    <row r="3007" customFormat="false" ht="15.75" hidden="false" customHeight="false" outlineLevel="0" collapsed="false">
      <c r="B3007" s="3"/>
      <c r="C3007" s="3"/>
      <c r="D3007" s="3"/>
      <c r="E3007" s="3"/>
      <c r="F3007" s="3"/>
      <c r="G3007" s="4"/>
      <c r="H3007" s="3"/>
      <c r="I3007" s="3"/>
    </row>
    <row r="3008" customFormat="false" ht="15.75" hidden="false" customHeight="false" outlineLevel="0" collapsed="false">
      <c r="B3008" s="3"/>
      <c r="C3008" s="3"/>
      <c r="D3008" s="3"/>
      <c r="E3008" s="3"/>
      <c r="F3008" s="3"/>
      <c r="G3008" s="4"/>
      <c r="H3008" s="3"/>
      <c r="I3008" s="3"/>
    </row>
    <row r="3009" customFormat="false" ht="15.75" hidden="false" customHeight="false" outlineLevel="0" collapsed="false">
      <c r="B3009" s="3"/>
      <c r="C3009" s="3"/>
      <c r="D3009" s="3"/>
      <c r="E3009" s="3"/>
      <c r="F3009" s="3"/>
      <c r="G3009" s="4"/>
      <c r="H3009" s="3"/>
      <c r="I3009" s="3"/>
    </row>
    <row r="3010" customFormat="false" ht="15.75" hidden="false" customHeight="false" outlineLevel="0" collapsed="false">
      <c r="B3010" s="3"/>
      <c r="C3010" s="3"/>
      <c r="D3010" s="3"/>
      <c r="E3010" s="3"/>
      <c r="F3010" s="3"/>
      <c r="G3010" s="4"/>
      <c r="H3010" s="3"/>
      <c r="I3010" s="3"/>
    </row>
    <row r="3011" customFormat="false" ht="15.75" hidden="false" customHeight="false" outlineLevel="0" collapsed="false">
      <c r="B3011" s="3"/>
      <c r="C3011" s="3"/>
      <c r="D3011" s="3"/>
      <c r="E3011" s="3"/>
      <c r="F3011" s="3"/>
      <c r="G3011" s="4"/>
      <c r="H3011" s="3"/>
      <c r="I3011" s="3"/>
    </row>
    <row r="3012" customFormat="false" ht="15.75" hidden="false" customHeight="false" outlineLevel="0" collapsed="false">
      <c r="B3012" s="3"/>
      <c r="C3012" s="3"/>
      <c r="D3012" s="3"/>
      <c r="E3012" s="3"/>
      <c r="F3012" s="3"/>
      <c r="G3012" s="4"/>
      <c r="H3012" s="3"/>
      <c r="I3012" s="3"/>
    </row>
    <row r="3013" customFormat="false" ht="15.75" hidden="false" customHeight="false" outlineLevel="0" collapsed="false">
      <c r="B3013" s="3"/>
      <c r="C3013" s="3"/>
      <c r="D3013" s="3"/>
      <c r="E3013" s="3"/>
      <c r="F3013" s="3"/>
      <c r="G3013" s="4"/>
      <c r="H3013" s="3"/>
      <c r="I3013" s="3"/>
    </row>
    <row r="3014" customFormat="false" ht="15.75" hidden="false" customHeight="false" outlineLevel="0" collapsed="false">
      <c r="B3014" s="3"/>
      <c r="C3014" s="3"/>
      <c r="D3014" s="3"/>
      <c r="E3014" s="3"/>
      <c r="F3014" s="3"/>
      <c r="G3014" s="4"/>
      <c r="H3014" s="3"/>
      <c r="I3014" s="3"/>
    </row>
    <row r="3015" customFormat="false" ht="15.75" hidden="false" customHeight="false" outlineLevel="0" collapsed="false">
      <c r="B3015" s="3"/>
      <c r="C3015" s="3"/>
      <c r="D3015" s="3"/>
      <c r="E3015" s="3"/>
      <c r="F3015" s="3"/>
      <c r="G3015" s="4"/>
      <c r="H3015" s="3"/>
      <c r="I3015" s="3"/>
    </row>
    <row r="3016" customFormat="false" ht="15.75" hidden="false" customHeight="false" outlineLevel="0" collapsed="false">
      <c r="B3016" s="3"/>
      <c r="C3016" s="3"/>
      <c r="D3016" s="3"/>
      <c r="E3016" s="3"/>
      <c r="F3016" s="3"/>
      <c r="G3016" s="4"/>
      <c r="H3016" s="3"/>
      <c r="I3016" s="3"/>
    </row>
    <row r="3017" customFormat="false" ht="15.75" hidden="false" customHeight="false" outlineLevel="0" collapsed="false">
      <c r="B3017" s="3"/>
      <c r="C3017" s="3"/>
      <c r="D3017" s="3"/>
      <c r="E3017" s="3"/>
      <c r="F3017" s="3"/>
      <c r="G3017" s="4"/>
      <c r="H3017" s="3"/>
      <c r="I3017" s="3"/>
    </row>
    <row r="3018" customFormat="false" ht="15.75" hidden="false" customHeight="false" outlineLevel="0" collapsed="false">
      <c r="B3018" s="3"/>
      <c r="C3018" s="3"/>
      <c r="D3018" s="3"/>
      <c r="E3018" s="3"/>
      <c r="F3018" s="3"/>
      <c r="G3018" s="4"/>
      <c r="H3018" s="3"/>
      <c r="I3018" s="3"/>
    </row>
    <row r="3019" customFormat="false" ht="15.75" hidden="false" customHeight="false" outlineLevel="0" collapsed="false">
      <c r="B3019" s="3"/>
      <c r="C3019" s="3"/>
      <c r="D3019" s="3"/>
      <c r="E3019" s="3"/>
      <c r="F3019" s="3"/>
      <c r="G3019" s="4"/>
      <c r="H3019" s="3"/>
      <c r="I3019" s="3"/>
    </row>
    <row r="3020" customFormat="false" ht="15.75" hidden="false" customHeight="false" outlineLevel="0" collapsed="false">
      <c r="B3020" s="3"/>
      <c r="C3020" s="3"/>
      <c r="D3020" s="3"/>
      <c r="E3020" s="3"/>
      <c r="F3020" s="3"/>
      <c r="G3020" s="4"/>
      <c r="H3020" s="3"/>
      <c r="I3020" s="3"/>
    </row>
    <row r="3021" customFormat="false" ht="15.75" hidden="false" customHeight="false" outlineLevel="0" collapsed="false">
      <c r="B3021" s="3"/>
      <c r="C3021" s="3"/>
      <c r="D3021" s="3"/>
      <c r="E3021" s="3"/>
      <c r="F3021" s="3"/>
      <c r="G3021" s="4"/>
      <c r="H3021" s="3"/>
      <c r="I3021" s="3"/>
    </row>
    <row r="3022" customFormat="false" ht="15.75" hidden="false" customHeight="false" outlineLevel="0" collapsed="false">
      <c r="B3022" s="3"/>
      <c r="C3022" s="3"/>
      <c r="D3022" s="3"/>
      <c r="E3022" s="3"/>
      <c r="F3022" s="3"/>
      <c r="G3022" s="4"/>
      <c r="H3022" s="3"/>
      <c r="I3022" s="3"/>
    </row>
    <row r="3023" customFormat="false" ht="15.75" hidden="false" customHeight="false" outlineLevel="0" collapsed="false">
      <c r="B3023" s="3"/>
      <c r="C3023" s="3"/>
      <c r="D3023" s="3"/>
      <c r="E3023" s="3"/>
      <c r="F3023" s="3"/>
      <c r="G3023" s="4"/>
      <c r="H3023" s="3"/>
      <c r="I3023" s="3"/>
    </row>
    <row r="3024" customFormat="false" ht="15.75" hidden="false" customHeight="false" outlineLevel="0" collapsed="false">
      <c r="B3024" s="3"/>
      <c r="C3024" s="3"/>
      <c r="D3024" s="3"/>
      <c r="E3024" s="3"/>
      <c r="F3024" s="3"/>
      <c r="G3024" s="4"/>
      <c r="H3024" s="3"/>
      <c r="I3024" s="3"/>
    </row>
    <row r="3025" customFormat="false" ht="15.75" hidden="false" customHeight="false" outlineLevel="0" collapsed="false">
      <c r="B3025" s="3"/>
      <c r="C3025" s="3"/>
      <c r="D3025" s="3"/>
      <c r="E3025" s="3"/>
      <c r="F3025" s="3"/>
      <c r="G3025" s="4"/>
      <c r="H3025" s="3"/>
      <c r="I3025" s="3"/>
    </row>
    <row r="3026" customFormat="false" ht="15.75" hidden="false" customHeight="false" outlineLevel="0" collapsed="false">
      <c r="B3026" s="3"/>
      <c r="C3026" s="3"/>
      <c r="D3026" s="3"/>
      <c r="E3026" s="3"/>
      <c r="F3026" s="3"/>
      <c r="G3026" s="4"/>
      <c r="H3026" s="3"/>
      <c r="I3026" s="3"/>
    </row>
    <row r="3027" customFormat="false" ht="15.75" hidden="false" customHeight="false" outlineLevel="0" collapsed="false">
      <c r="B3027" s="3"/>
      <c r="C3027" s="3"/>
      <c r="D3027" s="3"/>
      <c r="E3027" s="3"/>
      <c r="F3027" s="3"/>
      <c r="G3027" s="4"/>
      <c r="H3027" s="3"/>
      <c r="I3027" s="3"/>
    </row>
    <row r="3028" customFormat="false" ht="15.75" hidden="false" customHeight="false" outlineLevel="0" collapsed="false">
      <c r="B3028" s="3"/>
      <c r="C3028" s="3"/>
      <c r="D3028" s="3"/>
      <c r="E3028" s="3"/>
      <c r="F3028" s="3"/>
      <c r="G3028" s="4"/>
      <c r="H3028" s="3"/>
      <c r="I3028" s="3"/>
    </row>
    <row r="3029" customFormat="false" ht="15.75" hidden="false" customHeight="false" outlineLevel="0" collapsed="false">
      <c r="B3029" s="3"/>
      <c r="C3029" s="3"/>
      <c r="D3029" s="3"/>
      <c r="E3029" s="3"/>
      <c r="F3029" s="3"/>
      <c r="G3029" s="4"/>
      <c r="H3029" s="3"/>
      <c r="I3029" s="3"/>
    </row>
    <row r="3030" customFormat="false" ht="15.75" hidden="false" customHeight="false" outlineLevel="0" collapsed="false">
      <c r="B3030" s="3"/>
      <c r="C3030" s="3"/>
      <c r="D3030" s="3"/>
      <c r="E3030" s="3"/>
      <c r="F3030" s="3"/>
      <c r="G3030" s="4"/>
      <c r="H3030" s="3"/>
      <c r="I3030" s="3"/>
    </row>
    <row r="3031" customFormat="false" ht="15.75" hidden="false" customHeight="false" outlineLevel="0" collapsed="false">
      <c r="B3031" s="3"/>
      <c r="C3031" s="3"/>
      <c r="D3031" s="3"/>
      <c r="E3031" s="3"/>
      <c r="F3031" s="3"/>
      <c r="G3031" s="4"/>
      <c r="H3031" s="3"/>
      <c r="I3031" s="3"/>
    </row>
    <row r="3032" customFormat="false" ht="15.75" hidden="false" customHeight="false" outlineLevel="0" collapsed="false">
      <c r="B3032" s="3"/>
      <c r="C3032" s="3"/>
      <c r="D3032" s="3"/>
      <c r="E3032" s="3"/>
      <c r="F3032" s="3"/>
      <c r="G3032" s="4"/>
      <c r="H3032" s="3"/>
      <c r="I3032" s="3"/>
    </row>
    <row r="3033" customFormat="false" ht="15.75" hidden="false" customHeight="false" outlineLevel="0" collapsed="false">
      <c r="B3033" s="3"/>
      <c r="C3033" s="3"/>
      <c r="D3033" s="3"/>
      <c r="E3033" s="3"/>
      <c r="F3033" s="3"/>
      <c r="G3033" s="4"/>
      <c r="H3033" s="3"/>
      <c r="I3033" s="3"/>
    </row>
    <row r="3034" customFormat="false" ht="15.75" hidden="false" customHeight="false" outlineLevel="0" collapsed="false">
      <c r="B3034" s="3"/>
      <c r="C3034" s="3"/>
      <c r="D3034" s="3"/>
      <c r="E3034" s="3"/>
      <c r="F3034" s="3"/>
      <c r="G3034" s="4"/>
      <c r="H3034" s="3"/>
      <c r="I3034" s="3"/>
    </row>
    <row r="3035" customFormat="false" ht="15.75" hidden="false" customHeight="false" outlineLevel="0" collapsed="false">
      <c r="B3035" s="3"/>
      <c r="C3035" s="3"/>
      <c r="D3035" s="3"/>
      <c r="E3035" s="3"/>
      <c r="F3035" s="3"/>
      <c r="G3035" s="4"/>
      <c r="H3035" s="3"/>
      <c r="I3035" s="3"/>
    </row>
    <row r="3036" customFormat="false" ht="15.75" hidden="false" customHeight="false" outlineLevel="0" collapsed="false">
      <c r="B3036" s="3"/>
      <c r="C3036" s="3"/>
      <c r="D3036" s="3"/>
      <c r="E3036" s="3"/>
      <c r="F3036" s="3"/>
      <c r="G3036" s="4"/>
      <c r="H3036" s="3"/>
      <c r="I3036" s="3"/>
    </row>
    <row r="3037" customFormat="false" ht="15.75" hidden="false" customHeight="false" outlineLevel="0" collapsed="false">
      <c r="B3037" s="3"/>
      <c r="C3037" s="3"/>
      <c r="D3037" s="3"/>
      <c r="E3037" s="3"/>
      <c r="F3037" s="3"/>
      <c r="G3037" s="4"/>
      <c r="H3037" s="3"/>
      <c r="I3037" s="3"/>
    </row>
    <row r="3038" customFormat="false" ht="15.75" hidden="false" customHeight="false" outlineLevel="0" collapsed="false">
      <c r="B3038" s="3"/>
      <c r="C3038" s="3"/>
      <c r="D3038" s="3"/>
      <c r="E3038" s="3"/>
      <c r="F3038" s="3"/>
      <c r="G3038" s="4"/>
      <c r="H3038" s="3"/>
      <c r="I3038" s="3"/>
    </row>
    <row r="3039" customFormat="false" ht="15.75" hidden="false" customHeight="false" outlineLevel="0" collapsed="false">
      <c r="B3039" s="3"/>
      <c r="C3039" s="3"/>
      <c r="D3039" s="3"/>
      <c r="E3039" s="3"/>
      <c r="F3039" s="3"/>
      <c r="G3039" s="4"/>
      <c r="H3039" s="3"/>
      <c r="I3039" s="3"/>
    </row>
    <row r="3040" customFormat="false" ht="15.75" hidden="false" customHeight="false" outlineLevel="0" collapsed="false">
      <c r="B3040" s="3"/>
      <c r="C3040" s="3"/>
      <c r="D3040" s="3"/>
      <c r="E3040" s="3"/>
      <c r="F3040" s="3"/>
      <c r="G3040" s="4"/>
      <c r="H3040" s="3"/>
      <c r="I3040" s="3"/>
    </row>
    <row r="3041" customFormat="false" ht="15.75" hidden="false" customHeight="false" outlineLevel="0" collapsed="false">
      <c r="B3041" s="3"/>
      <c r="C3041" s="3"/>
      <c r="D3041" s="3"/>
      <c r="E3041" s="3"/>
      <c r="F3041" s="3"/>
      <c r="G3041" s="4"/>
      <c r="H3041" s="3"/>
      <c r="I3041" s="3"/>
    </row>
    <row r="3042" customFormat="false" ht="15.75" hidden="false" customHeight="false" outlineLevel="0" collapsed="false">
      <c r="B3042" s="3"/>
      <c r="C3042" s="3"/>
      <c r="D3042" s="3"/>
      <c r="E3042" s="3"/>
      <c r="F3042" s="3"/>
      <c r="G3042" s="4"/>
      <c r="H3042" s="3"/>
      <c r="I3042" s="3"/>
    </row>
    <row r="3043" customFormat="false" ht="15.75" hidden="false" customHeight="false" outlineLevel="0" collapsed="false">
      <c r="B3043" s="3"/>
      <c r="C3043" s="3"/>
      <c r="D3043" s="3"/>
      <c r="E3043" s="3"/>
      <c r="F3043" s="3"/>
      <c r="G3043" s="4"/>
      <c r="H3043" s="3"/>
      <c r="I3043" s="3"/>
    </row>
    <row r="3044" customFormat="false" ht="15.75" hidden="false" customHeight="false" outlineLevel="0" collapsed="false">
      <c r="B3044" s="3"/>
      <c r="C3044" s="3"/>
      <c r="D3044" s="3"/>
      <c r="E3044" s="3"/>
      <c r="F3044" s="3"/>
      <c r="G3044" s="4"/>
      <c r="H3044" s="3"/>
      <c r="I3044" s="3"/>
    </row>
    <row r="3045" customFormat="false" ht="15.75" hidden="false" customHeight="false" outlineLevel="0" collapsed="false">
      <c r="B3045" s="3"/>
      <c r="C3045" s="3"/>
      <c r="D3045" s="3"/>
      <c r="E3045" s="3"/>
      <c r="F3045" s="3"/>
      <c r="G3045" s="4"/>
      <c r="H3045" s="3"/>
      <c r="I3045" s="3"/>
    </row>
    <row r="3046" customFormat="false" ht="15.75" hidden="false" customHeight="false" outlineLevel="0" collapsed="false">
      <c r="B3046" s="3"/>
      <c r="C3046" s="3"/>
      <c r="D3046" s="3"/>
      <c r="E3046" s="3"/>
      <c r="F3046" s="3"/>
      <c r="G3046" s="4"/>
      <c r="H3046" s="3"/>
      <c r="I3046" s="3"/>
    </row>
    <row r="3047" customFormat="false" ht="15.75" hidden="false" customHeight="false" outlineLevel="0" collapsed="false">
      <c r="B3047" s="3"/>
      <c r="C3047" s="3"/>
      <c r="D3047" s="3"/>
      <c r="E3047" s="3"/>
      <c r="F3047" s="3"/>
      <c r="G3047" s="4"/>
      <c r="H3047" s="3"/>
      <c r="I3047" s="3"/>
    </row>
    <row r="3048" customFormat="false" ht="15.75" hidden="false" customHeight="false" outlineLevel="0" collapsed="false">
      <c r="B3048" s="3"/>
      <c r="C3048" s="3"/>
      <c r="D3048" s="3"/>
      <c r="E3048" s="3"/>
      <c r="F3048" s="3"/>
      <c r="G3048" s="4"/>
      <c r="H3048" s="3"/>
      <c r="I3048" s="3"/>
    </row>
    <row r="3049" customFormat="false" ht="15.75" hidden="false" customHeight="false" outlineLevel="0" collapsed="false">
      <c r="B3049" s="3"/>
      <c r="C3049" s="3"/>
      <c r="D3049" s="3"/>
      <c r="E3049" s="3"/>
      <c r="F3049" s="3"/>
      <c r="G3049" s="4"/>
      <c r="H3049" s="3"/>
      <c r="I3049" s="3"/>
    </row>
    <row r="3050" customFormat="false" ht="15.75" hidden="false" customHeight="false" outlineLevel="0" collapsed="false">
      <c r="B3050" s="3"/>
      <c r="C3050" s="3"/>
      <c r="D3050" s="3"/>
      <c r="E3050" s="3"/>
      <c r="F3050" s="3"/>
      <c r="G3050" s="4"/>
      <c r="H3050" s="3"/>
      <c r="I3050" s="3"/>
    </row>
    <row r="3051" customFormat="false" ht="15.75" hidden="false" customHeight="false" outlineLevel="0" collapsed="false">
      <c r="B3051" s="3"/>
      <c r="C3051" s="3"/>
      <c r="D3051" s="3"/>
      <c r="E3051" s="3"/>
      <c r="F3051" s="3"/>
      <c r="G3051" s="4"/>
      <c r="H3051" s="3"/>
      <c r="I3051" s="3"/>
    </row>
    <row r="3052" customFormat="false" ht="15.75" hidden="false" customHeight="false" outlineLevel="0" collapsed="false">
      <c r="B3052" s="3"/>
      <c r="C3052" s="3"/>
      <c r="D3052" s="3"/>
      <c r="E3052" s="3"/>
      <c r="F3052" s="3"/>
      <c r="G3052" s="4"/>
      <c r="H3052" s="3"/>
      <c r="I3052" s="3"/>
    </row>
    <row r="3053" customFormat="false" ht="15.75" hidden="false" customHeight="false" outlineLevel="0" collapsed="false">
      <c r="B3053" s="3"/>
      <c r="C3053" s="3"/>
      <c r="D3053" s="3"/>
      <c r="E3053" s="3"/>
      <c r="F3053" s="3"/>
      <c r="G3053" s="4"/>
      <c r="H3053" s="3"/>
      <c r="I3053" s="3"/>
    </row>
    <row r="3054" customFormat="false" ht="15.75" hidden="false" customHeight="false" outlineLevel="0" collapsed="false">
      <c r="B3054" s="3"/>
      <c r="C3054" s="3"/>
      <c r="D3054" s="3"/>
      <c r="E3054" s="3"/>
      <c r="F3054" s="3"/>
      <c r="G3054" s="4"/>
      <c r="H3054" s="3"/>
      <c r="I3054" s="3"/>
    </row>
    <row r="3055" customFormat="false" ht="15.75" hidden="false" customHeight="false" outlineLevel="0" collapsed="false">
      <c r="B3055" s="3"/>
      <c r="C3055" s="3"/>
      <c r="D3055" s="3"/>
      <c r="E3055" s="3"/>
      <c r="F3055" s="3"/>
      <c r="G3055" s="4"/>
      <c r="H3055" s="3"/>
      <c r="I3055" s="3"/>
    </row>
    <row r="3056" customFormat="false" ht="15.75" hidden="false" customHeight="false" outlineLevel="0" collapsed="false">
      <c r="B3056" s="3"/>
      <c r="C3056" s="3"/>
      <c r="D3056" s="3"/>
      <c r="E3056" s="3"/>
      <c r="F3056" s="3"/>
      <c r="G3056" s="4"/>
      <c r="H3056" s="3"/>
      <c r="I3056" s="3"/>
    </row>
    <row r="3057" customFormat="false" ht="15.75" hidden="false" customHeight="false" outlineLevel="0" collapsed="false">
      <c r="B3057" s="3"/>
      <c r="C3057" s="3"/>
      <c r="D3057" s="3"/>
      <c r="E3057" s="3"/>
      <c r="F3057" s="3"/>
      <c r="G3057" s="4"/>
      <c r="H3057" s="3"/>
      <c r="I3057" s="3"/>
    </row>
    <row r="3058" customFormat="false" ht="15.75" hidden="false" customHeight="false" outlineLevel="0" collapsed="false">
      <c r="B3058" s="3"/>
      <c r="C3058" s="3"/>
      <c r="D3058" s="3"/>
      <c r="E3058" s="3"/>
      <c r="F3058" s="3"/>
      <c r="G3058" s="4"/>
      <c r="H3058" s="3"/>
      <c r="I3058" s="3"/>
    </row>
    <row r="3059" customFormat="false" ht="15.75" hidden="false" customHeight="false" outlineLevel="0" collapsed="false">
      <c r="B3059" s="3"/>
      <c r="C3059" s="3"/>
      <c r="D3059" s="3"/>
      <c r="E3059" s="3"/>
      <c r="F3059" s="3"/>
      <c r="G3059" s="4"/>
      <c r="H3059" s="3"/>
      <c r="I3059" s="3"/>
    </row>
    <row r="3060" customFormat="false" ht="15.75" hidden="false" customHeight="false" outlineLevel="0" collapsed="false">
      <c r="B3060" s="3"/>
      <c r="C3060" s="3"/>
      <c r="D3060" s="3"/>
      <c r="E3060" s="3"/>
      <c r="F3060" s="3"/>
      <c r="G3060" s="4"/>
      <c r="H3060" s="3"/>
      <c r="I3060" s="3"/>
    </row>
    <row r="3061" customFormat="false" ht="15.75" hidden="false" customHeight="false" outlineLevel="0" collapsed="false">
      <c r="B3061" s="3"/>
      <c r="C3061" s="3"/>
      <c r="D3061" s="3"/>
      <c r="E3061" s="3"/>
      <c r="F3061" s="3"/>
      <c r="G3061" s="4"/>
      <c r="H3061" s="3"/>
      <c r="I3061" s="3"/>
    </row>
    <row r="3062" customFormat="false" ht="15.75" hidden="false" customHeight="false" outlineLevel="0" collapsed="false">
      <c r="B3062" s="3"/>
      <c r="C3062" s="3"/>
      <c r="D3062" s="3"/>
      <c r="E3062" s="3"/>
      <c r="F3062" s="3"/>
      <c r="G3062" s="4"/>
      <c r="H3062" s="3"/>
      <c r="I3062" s="3"/>
    </row>
    <row r="3063" customFormat="false" ht="15.75" hidden="false" customHeight="false" outlineLevel="0" collapsed="false">
      <c r="B3063" s="3"/>
      <c r="C3063" s="3"/>
      <c r="D3063" s="3"/>
      <c r="E3063" s="3"/>
      <c r="F3063" s="3"/>
      <c r="G3063" s="4"/>
      <c r="H3063" s="3"/>
      <c r="I3063" s="3"/>
    </row>
    <row r="3064" customFormat="false" ht="15.75" hidden="false" customHeight="false" outlineLevel="0" collapsed="false">
      <c r="B3064" s="3"/>
      <c r="C3064" s="3"/>
      <c r="D3064" s="3"/>
      <c r="E3064" s="3"/>
      <c r="F3064" s="3"/>
      <c r="G3064" s="4"/>
      <c r="H3064" s="3"/>
      <c r="I3064" s="3"/>
    </row>
    <row r="3065" customFormat="false" ht="15.75" hidden="false" customHeight="false" outlineLevel="0" collapsed="false">
      <c r="B3065" s="3"/>
      <c r="C3065" s="3"/>
      <c r="D3065" s="3"/>
      <c r="E3065" s="3"/>
      <c r="F3065" s="3"/>
      <c r="G3065" s="4"/>
      <c r="H3065" s="3"/>
      <c r="I3065" s="3"/>
    </row>
    <row r="3066" customFormat="false" ht="15.75" hidden="false" customHeight="false" outlineLevel="0" collapsed="false">
      <c r="B3066" s="3"/>
      <c r="C3066" s="3"/>
      <c r="D3066" s="3"/>
      <c r="E3066" s="3"/>
      <c r="F3066" s="3"/>
      <c r="G3066" s="4"/>
      <c r="H3066" s="3"/>
      <c r="I3066" s="3"/>
    </row>
    <row r="3067" customFormat="false" ht="15.75" hidden="false" customHeight="false" outlineLevel="0" collapsed="false">
      <c r="B3067" s="3"/>
      <c r="C3067" s="3"/>
      <c r="D3067" s="3"/>
      <c r="E3067" s="3"/>
      <c r="F3067" s="3"/>
      <c r="G3067" s="4"/>
      <c r="H3067" s="3"/>
      <c r="I3067" s="3"/>
    </row>
    <row r="3068" customFormat="false" ht="15.75" hidden="false" customHeight="false" outlineLevel="0" collapsed="false">
      <c r="B3068" s="3"/>
      <c r="C3068" s="3"/>
      <c r="D3068" s="3"/>
      <c r="E3068" s="3"/>
      <c r="F3068" s="3"/>
      <c r="G3068" s="4"/>
      <c r="H3068" s="3"/>
      <c r="I3068" s="3"/>
    </row>
    <row r="3069" customFormat="false" ht="15.75" hidden="false" customHeight="false" outlineLevel="0" collapsed="false">
      <c r="B3069" s="3"/>
      <c r="C3069" s="3"/>
      <c r="D3069" s="3"/>
      <c r="E3069" s="3"/>
      <c r="F3069" s="3"/>
      <c r="G3069" s="4"/>
      <c r="H3069" s="3"/>
      <c r="I3069" s="3"/>
    </row>
    <row r="3070" customFormat="false" ht="15.75" hidden="false" customHeight="false" outlineLevel="0" collapsed="false">
      <c r="B3070" s="3"/>
      <c r="C3070" s="3"/>
      <c r="D3070" s="3"/>
      <c r="E3070" s="3"/>
      <c r="F3070" s="3"/>
      <c r="G3070" s="4"/>
      <c r="H3070" s="3"/>
      <c r="I3070" s="3"/>
    </row>
    <row r="3071" customFormat="false" ht="15.75" hidden="false" customHeight="false" outlineLevel="0" collapsed="false">
      <c r="B3071" s="3"/>
      <c r="C3071" s="3"/>
      <c r="D3071" s="3"/>
      <c r="E3071" s="3"/>
      <c r="F3071" s="3"/>
      <c r="G3071" s="4"/>
      <c r="H3071" s="3"/>
      <c r="I3071" s="3"/>
    </row>
    <row r="3072" customFormat="false" ht="15.75" hidden="false" customHeight="false" outlineLevel="0" collapsed="false">
      <c r="B3072" s="3"/>
      <c r="C3072" s="3"/>
      <c r="D3072" s="3"/>
      <c r="E3072" s="3"/>
      <c r="F3072" s="3"/>
      <c r="G3072" s="4"/>
      <c r="H3072" s="3"/>
      <c r="I3072" s="3"/>
    </row>
    <row r="3073" customFormat="false" ht="15.75" hidden="false" customHeight="false" outlineLevel="0" collapsed="false">
      <c r="B3073" s="3"/>
      <c r="C3073" s="3"/>
      <c r="D3073" s="3"/>
      <c r="E3073" s="3"/>
      <c r="F3073" s="3"/>
      <c r="G3073" s="4"/>
      <c r="H3073" s="3"/>
      <c r="I3073" s="3"/>
    </row>
    <row r="3074" customFormat="false" ht="15.75" hidden="false" customHeight="false" outlineLevel="0" collapsed="false">
      <c r="B3074" s="3"/>
      <c r="C3074" s="3"/>
      <c r="D3074" s="3"/>
      <c r="E3074" s="3"/>
      <c r="F3074" s="3"/>
      <c r="G3074" s="4"/>
      <c r="H3074" s="3"/>
      <c r="I3074" s="3"/>
    </row>
    <row r="3075" customFormat="false" ht="15.75" hidden="false" customHeight="false" outlineLevel="0" collapsed="false">
      <c r="B3075" s="3"/>
      <c r="C3075" s="3"/>
      <c r="D3075" s="3"/>
      <c r="E3075" s="3"/>
      <c r="F3075" s="3"/>
      <c r="G3075" s="4"/>
      <c r="H3075" s="3"/>
      <c r="I3075" s="3"/>
    </row>
    <row r="3076" customFormat="false" ht="15.75" hidden="false" customHeight="false" outlineLevel="0" collapsed="false">
      <c r="B3076" s="3"/>
      <c r="C3076" s="3"/>
      <c r="D3076" s="3"/>
      <c r="E3076" s="3"/>
      <c r="F3076" s="3"/>
      <c r="G3076" s="4"/>
      <c r="H3076" s="3"/>
      <c r="I3076" s="3"/>
    </row>
    <row r="3077" customFormat="false" ht="15.75" hidden="false" customHeight="false" outlineLevel="0" collapsed="false">
      <c r="B3077" s="3"/>
      <c r="C3077" s="3"/>
      <c r="D3077" s="3"/>
      <c r="E3077" s="3"/>
      <c r="F3077" s="3"/>
      <c r="G3077" s="4"/>
      <c r="H3077" s="3"/>
      <c r="I3077" s="3"/>
    </row>
    <row r="3078" customFormat="false" ht="15.75" hidden="false" customHeight="false" outlineLevel="0" collapsed="false">
      <c r="B3078" s="3"/>
      <c r="C3078" s="3"/>
      <c r="D3078" s="3"/>
      <c r="E3078" s="3"/>
      <c r="F3078" s="3"/>
      <c r="G3078" s="4"/>
      <c r="H3078" s="3"/>
      <c r="I3078" s="3"/>
    </row>
    <row r="3079" customFormat="false" ht="15.75" hidden="false" customHeight="false" outlineLevel="0" collapsed="false">
      <c r="B3079" s="3"/>
      <c r="C3079" s="3"/>
      <c r="D3079" s="3"/>
      <c r="E3079" s="3"/>
      <c r="F3079" s="3"/>
      <c r="G3079" s="4"/>
      <c r="H3079" s="3"/>
      <c r="I3079" s="3"/>
    </row>
    <row r="3080" customFormat="false" ht="15.75" hidden="false" customHeight="false" outlineLevel="0" collapsed="false">
      <c r="B3080" s="3"/>
      <c r="C3080" s="3"/>
      <c r="D3080" s="3"/>
      <c r="E3080" s="3"/>
      <c r="F3080" s="3"/>
      <c r="G3080" s="4"/>
      <c r="H3080" s="3"/>
      <c r="I3080" s="3"/>
    </row>
    <row r="3081" customFormat="false" ht="15.75" hidden="false" customHeight="false" outlineLevel="0" collapsed="false">
      <c r="B3081" s="3"/>
      <c r="C3081" s="3"/>
      <c r="D3081" s="3"/>
      <c r="E3081" s="3"/>
      <c r="F3081" s="3"/>
      <c r="G3081" s="4"/>
      <c r="H3081" s="3"/>
      <c r="I3081" s="3"/>
    </row>
    <row r="3082" customFormat="false" ht="15.75" hidden="false" customHeight="false" outlineLevel="0" collapsed="false">
      <c r="B3082" s="3"/>
      <c r="C3082" s="3"/>
      <c r="D3082" s="3"/>
      <c r="E3082" s="3"/>
      <c r="F3082" s="3"/>
      <c r="G3082" s="4"/>
      <c r="H3082" s="3"/>
      <c r="I3082" s="3"/>
    </row>
    <row r="3083" customFormat="false" ht="15.75" hidden="false" customHeight="false" outlineLevel="0" collapsed="false">
      <c r="B3083" s="3"/>
      <c r="C3083" s="3"/>
      <c r="D3083" s="3"/>
      <c r="E3083" s="3"/>
      <c r="F3083" s="3"/>
      <c r="G3083" s="4"/>
      <c r="H3083" s="3"/>
      <c r="I3083" s="3"/>
    </row>
    <row r="3084" customFormat="false" ht="15.75" hidden="false" customHeight="false" outlineLevel="0" collapsed="false">
      <c r="B3084" s="3"/>
      <c r="C3084" s="3"/>
      <c r="D3084" s="3"/>
      <c r="E3084" s="3"/>
      <c r="F3084" s="3"/>
      <c r="G3084" s="4"/>
      <c r="H3084" s="3"/>
      <c r="I3084" s="3"/>
    </row>
    <row r="3085" customFormat="false" ht="15.75" hidden="false" customHeight="false" outlineLevel="0" collapsed="false">
      <c r="B3085" s="3"/>
      <c r="C3085" s="3"/>
      <c r="D3085" s="3"/>
      <c r="E3085" s="3"/>
      <c r="F3085" s="3"/>
      <c r="G3085" s="4"/>
      <c r="H3085" s="3"/>
      <c r="I3085" s="3"/>
    </row>
    <row r="3086" customFormat="false" ht="15.75" hidden="false" customHeight="false" outlineLevel="0" collapsed="false">
      <c r="B3086" s="3"/>
      <c r="C3086" s="3"/>
      <c r="D3086" s="3"/>
      <c r="E3086" s="3"/>
      <c r="F3086" s="3"/>
      <c r="G3086" s="4"/>
      <c r="H3086" s="3"/>
      <c r="I3086" s="3"/>
    </row>
    <row r="3087" customFormat="false" ht="15.75" hidden="false" customHeight="false" outlineLevel="0" collapsed="false">
      <c r="B3087" s="3"/>
      <c r="C3087" s="3"/>
      <c r="D3087" s="3"/>
      <c r="E3087" s="3"/>
      <c r="F3087" s="3"/>
      <c r="G3087" s="4"/>
      <c r="H3087" s="3"/>
      <c r="I3087" s="3"/>
    </row>
    <row r="3088" customFormat="false" ht="15.75" hidden="false" customHeight="false" outlineLevel="0" collapsed="false">
      <c r="B3088" s="3"/>
      <c r="C3088" s="3"/>
      <c r="D3088" s="3"/>
      <c r="E3088" s="3"/>
      <c r="F3088" s="3"/>
      <c r="G3088" s="4"/>
      <c r="H3088" s="3"/>
      <c r="I3088" s="3"/>
    </row>
    <row r="3089" customFormat="false" ht="15.75" hidden="false" customHeight="false" outlineLevel="0" collapsed="false">
      <c r="B3089" s="3"/>
      <c r="C3089" s="3"/>
      <c r="D3089" s="3"/>
      <c r="E3089" s="3"/>
      <c r="F3089" s="3"/>
      <c r="G3089" s="4"/>
      <c r="H3089" s="3"/>
      <c r="I3089" s="3"/>
    </row>
    <row r="3090" customFormat="false" ht="15.75" hidden="false" customHeight="false" outlineLevel="0" collapsed="false">
      <c r="B3090" s="3"/>
      <c r="C3090" s="3"/>
      <c r="D3090" s="3"/>
      <c r="E3090" s="3"/>
      <c r="F3090" s="3"/>
      <c r="G3090" s="4"/>
      <c r="H3090" s="3"/>
      <c r="I3090" s="3"/>
    </row>
    <row r="3091" customFormat="false" ht="15.75" hidden="false" customHeight="false" outlineLevel="0" collapsed="false">
      <c r="B3091" s="3"/>
      <c r="C3091" s="3"/>
      <c r="D3091" s="3"/>
      <c r="E3091" s="3"/>
      <c r="F3091" s="3"/>
      <c r="G3091" s="4"/>
      <c r="H3091" s="3"/>
      <c r="I3091" s="3"/>
    </row>
    <row r="3092" customFormat="false" ht="15.75" hidden="false" customHeight="false" outlineLevel="0" collapsed="false">
      <c r="B3092" s="3"/>
      <c r="C3092" s="3"/>
      <c r="D3092" s="3"/>
      <c r="E3092" s="3"/>
      <c r="F3092" s="3"/>
      <c r="G3092" s="4"/>
      <c r="H3092" s="3"/>
      <c r="I3092" s="3"/>
    </row>
    <row r="3093" customFormat="false" ht="15.75" hidden="false" customHeight="false" outlineLevel="0" collapsed="false">
      <c r="B3093" s="3"/>
      <c r="C3093" s="3"/>
      <c r="D3093" s="3"/>
      <c r="E3093" s="3"/>
      <c r="F3093" s="3"/>
      <c r="G3093" s="4"/>
      <c r="H3093" s="3"/>
      <c r="I3093" s="3"/>
    </row>
    <row r="3094" customFormat="false" ht="15.75" hidden="false" customHeight="false" outlineLevel="0" collapsed="false">
      <c r="B3094" s="3"/>
      <c r="C3094" s="3"/>
      <c r="D3094" s="3"/>
      <c r="E3094" s="3"/>
      <c r="F3094" s="3"/>
      <c r="G3094" s="4"/>
      <c r="H3094" s="3"/>
      <c r="I3094" s="3"/>
    </row>
    <row r="3095" customFormat="false" ht="15.75" hidden="false" customHeight="false" outlineLevel="0" collapsed="false">
      <c r="B3095" s="3"/>
      <c r="C3095" s="3"/>
      <c r="D3095" s="3"/>
      <c r="E3095" s="3"/>
      <c r="F3095" s="3"/>
      <c r="G3095" s="4"/>
      <c r="H3095" s="3"/>
      <c r="I3095" s="3"/>
    </row>
    <row r="3096" customFormat="false" ht="15.75" hidden="false" customHeight="false" outlineLevel="0" collapsed="false">
      <c r="B3096" s="3"/>
      <c r="C3096" s="3"/>
      <c r="D3096" s="3"/>
      <c r="E3096" s="3"/>
      <c r="F3096" s="3"/>
      <c r="G3096" s="4"/>
      <c r="H3096" s="3"/>
      <c r="I3096" s="3"/>
    </row>
    <row r="3097" customFormat="false" ht="15.75" hidden="false" customHeight="false" outlineLevel="0" collapsed="false">
      <c r="B3097" s="3"/>
      <c r="C3097" s="3"/>
      <c r="D3097" s="3"/>
      <c r="E3097" s="3"/>
      <c r="F3097" s="3"/>
      <c r="G3097" s="4"/>
      <c r="H3097" s="3"/>
      <c r="I3097" s="3"/>
    </row>
    <row r="3098" customFormat="false" ht="15.75" hidden="false" customHeight="false" outlineLevel="0" collapsed="false">
      <c r="B3098" s="3"/>
      <c r="C3098" s="3"/>
      <c r="D3098" s="3"/>
      <c r="E3098" s="3"/>
      <c r="F3098" s="3"/>
      <c r="G3098" s="4"/>
      <c r="H3098" s="3"/>
      <c r="I3098" s="3"/>
    </row>
    <row r="3099" customFormat="false" ht="15.75" hidden="false" customHeight="false" outlineLevel="0" collapsed="false">
      <c r="B3099" s="3"/>
      <c r="C3099" s="3"/>
      <c r="D3099" s="3"/>
      <c r="E3099" s="3"/>
      <c r="F3099" s="3"/>
      <c r="G3099" s="4"/>
      <c r="H3099" s="3"/>
      <c r="I3099" s="3"/>
    </row>
    <row r="3100" customFormat="false" ht="15.75" hidden="false" customHeight="false" outlineLevel="0" collapsed="false">
      <c r="B3100" s="3"/>
      <c r="C3100" s="3"/>
      <c r="D3100" s="3"/>
      <c r="E3100" s="3"/>
      <c r="F3100" s="3"/>
      <c r="G3100" s="4"/>
      <c r="H3100" s="3"/>
      <c r="I3100" s="3"/>
    </row>
    <row r="3101" customFormat="false" ht="15.75" hidden="false" customHeight="false" outlineLevel="0" collapsed="false">
      <c r="B3101" s="3"/>
      <c r="C3101" s="3"/>
      <c r="D3101" s="3"/>
      <c r="E3101" s="3"/>
      <c r="F3101" s="3"/>
      <c r="G3101" s="4"/>
      <c r="H3101" s="3"/>
      <c r="I3101" s="3"/>
    </row>
    <row r="3102" customFormat="false" ht="15.75" hidden="false" customHeight="false" outlineLevel="0" collapsed="false">
      <c r="B3102" s="3"/>
      <c r="C3102" s="3"/>
      <c r="D3102" s="3"/>
      <c r="E3102" s="3"/>
      <c r="F3102" s="3"/>
      <c r="G3102" s="4"/>
      <c r="H3102" s="3"/>
      <c r="I3102" s="3"/>
    </row>
    <row r="3103" customFormat="false" ht="15.75" hidden="false" customHeight="false" outlineLevel="0" collapsed="false">
      <c r="B3103" s="3"/>
      <c r="C3103" s="3"/>
      <c r="D3103" s="3"/>
      <c r="E3103" s="3"/>
      <c r="F3103" s="3"/>
      <c r="G3103" s="4"/>
      <c r="H3103" s="3"/>
      <c r="I3103" s="3"/>
    </row>
    <row r="3104" customFormat="false" ht="15.75" hidden="false" customHeight="false" outlineLevel="0" collapsed="false">
      <c r="B3104" s="3"/>
      <c r="C3104" s="3"/>
      <c r="D3104" s="3"/>
      <c r="E3104" s="3"/>
      <c r="F3104" s="3"/>
      <c r="G3104" s="4"/>
      <c r="H3104" s="3"/>
      <c r="I3104" s="3"/>
    </row>
    <row r="3105" customFormat="false" ht="15.75" hidden="false" customHeight="false" outlineLevel="0" collapsed="false">
      <c r="B3105" s="3"/>
      <c r="C3105" s="3"/>
      <c r="D3105" s="3"/>
      <c r="E3105" s="3"/>
      <c r="F3105" s="3"/>
      <c r="G3105" s="4"/>
      <c r="H3105" s="3"/>
      <c r="I3105" s="3"/>
    </row>
    <row r="3106" customFormat="false" ht="15.75" hidden="false" customHeight="false" outlineLevel="0" collapsed="false">
      <c r="B3106" s="3"/>
      <c r="C3106" s="3"/>
      <c r="D3106" s="3"/>
      <c r="E3106" s="3"/>
      <c r="F3106" s="3"/>
      <c r="G3106" s="4"/>
      <c r="H3106" s="3"/>
      <c r="I3106" s="3"/>
    </row>
    <row r="3107" customFormat="false" ht="15.75" hidden="false" customHeight="false" outlineLevel="0" collapsed="false">
      <c r="B3107" s="3"/>
      <c r="C3107" s="3"/>
      <c r="D3107" s="3"/>
      <c r="E3107" s="3"/>
      <c r="F3107" s="3"/>
      <c r="G3107" s="4"/>
      <c r="H3107" s="3"/>
      <c r="I3107" s="3"/>
    </row>
    <row r="3108" customFormat="false" ht="15.75" hidden="false" customHeight="false" outlineLevel="0" collapsed="false">
      <c r="B3108" s="3"/>
      <c r="C3108" s="3"/>
      <c r="D3108" s="3"/>
      <c r="E3108" s="3"/>
      <c r="F3108" s="3"/>
      <c r="G3108" s="4"/>
      <c r="H3108" s="3"/>
      <c r="I3108" s="3"/>
    </row>
    <row r="3109" customFormat="false" ht="15.75" hidden="false" customHeight="false" outlineLevel="0" collapsed="false">
      <c r="B3109" s="3"/>
      <c r="C3109" s="3"/>
      <c r="D3109" s="3"/>
      <c r="E3109" s="3"/>
      <c r="F3109" s="3"/>
      <c r="G3109" s="4"/>
      <c r="H3109" s="3"/>
      <c r="I3109" s="3"/>
    </row>
    <row r="3110" customFormat="false" ht="15.75" hidden="false" customHeight="false" outlineLevel="0" collapsed="false">
      <c r="B3110" s="3"/>
      <c r="C3110" s="3"/>
      <c r="D3110" s="3"/>
      <c r="E3110" s="3"/>
      <c r="F3110" s="3"/>
      <c r="G3110" s="4"/>
      <c r="H3110" s="3"/>
      <c r="I3110" s="3"/>
    </row>
    <row r="3111" customFormat="false" ht="15.75" hidden="false" customHeight="false" outlineLevel="0" collapsed="false">
      <c r="B3111" s="3"/>
      <c r="C3111" s="3"/>
      <c r="D3111" s="3"/>
      <c r="E3111" s="3"/>
      <c r="F3111" s="3"/>
      <c r="G3111" s="4"/>
      <c r="H3111" s="3"/>
      <c r="I3111" s="3"/>
    </row>
    <row r="3112" customFormat="false" ht="15.75" hidden="false" customHeight="false" outlineLevel="0" collapsed="false">
      <c r="B3112" s="3"/>
      <c r="C3112" s="3"/>
      <c r="D3112" s="3"/>
      <c r="E3112" s="3"/>
      <c r="F3112" s="3"/>
      <c r="G3112" s="4"/>
      <c r="H3112" s="3"/>
      <c r="I3112" s="3"/>
    </row>
    <row r="3113" customFormat="false" ht="15.75" hidden="false" customHeight="false" outlineLevel="0" collapsed="false">
      <c r="B3113" s="3"/>
      <c r="C3113" s="3"/>
      <c r="D3113" s="3"/>
      <c r="E3113" s="3"/>
      <c r="F3113" s="3"/>
      <c r="G3113" s="4"/>
      <c r="H3113" s="3"/>
      <c r="I3113" s="3"/>
    </row>
    <row r="3114" customFormat="false" ht="15.75" hidden="false" customHeight="false" outlineLevel="0" collapsed="false">
      <c r="B3114" s="3"/>
      <c r="C3114" s="3"/>
      <c r="D3114" s="3"/>
      <c r="E3114" s="3"/>
      <c r="F3114" s="3"/>
      <c r="G3114" s="4"/>
      <c r="H3114" s="3"/>
      <c r="I3114" s="3"/>
    </row>
    <row r="3115" customFormat="false" ht="15.75" hidden="false" customHeight="false" outlineLevel="0" collapsed="false">
      <c r="B3115" s="3"/>
      <c r="C3115" s="3"/>
      <c r="D3115" s="3"/>
      <c r="E3115" s="3"/>
      <c r="F3115" s="3"/>
      <c r="G3115" s="4"/>
      <c r="H3115" s="3"/>
      <c r="I3115" s="3"/>
    </row>
    <row r="3116" customFormat="false" ht="15.75" hidden="false" customHeight="false" outlineLevel="0" collapsed="false">
      <c r="B3116" s="3"/>
      <c r="C3116" s="3"/>
      <c r="D3116" s="3"/>
      <c r="E3116" s="3"/>
      <c r="F3116" s="3"/>
      <c r="G3116" s="4"/>
      <c r="H3116" s="3"/>
      <c r="I3116" s="3"/>
    </row>
    <row r="3117" customFormat="false" ht="15.75" hidden="false" customHeight="false" outlineLevel="0" collapsed="false">
      <c r="B3117" s="3"/>
      <c r="C3117" s="3"/>
      <c r="D3117" s="3"/>
      <c r="E3117" s="3"/>
      <c r="F3117" s="3"/>
      <c r="G3117" s="4"/>
      <c r="H3117" s="3"/>
      <c r="I3117" s="3"/>
    </row>
    <row r="3118" customFormat="false" ht="15.75" hidden="false" customHeight="false" outlineLevel="0" collapsed="false">
      <c r="B3118" s="3"/>
      <c r="C3118" s="3"/>
      <c r="D3118" s="3"/>
      <c r="E3118" s="3"/>
      <c r="F3118" s="3"/>
      <c r="G3118" s="4"/>
      <c r="H3118" s="3"/>
      <c r="I3118" s="3"/>
    </row>
    <row r="3119" customFormat="false" ht="15.75" hidden="false" customHeight="false" outlineLevel="0" collapsed="false">
      <c r="B3119" s="3"/>
      <c r="C3119" s="3"/>
      <c r="D3119" s="3"/>
      <c r="E3119" s="3"/>
      <c r="F3119" s="3"/>
      <c r="G3119" s="4"/>
      <c r="H3119" s="3"/>
      <c r="I3119" s="3"/>
    </row>
    <row r="3120" customFormat="false" ht="15.75" hidden="false" customHeight="false" outlineLevel="0" collapsed="false">
      <c r="B3120" s="3"/>
      <c r="C3120" s="3"/>
      <c r="D3120" s="3"/>
      <c r="E3120" s="3"/>
      <c r="F3120" s="3"/>
      <c r="G3120" s="4"/>
      <c r="H3120" s="3"/>
      <c r="I3120" s="3"/>
    </row>
    <row r="3121" customFormat="false" ht="15.75" hidden="false" customHeight="false" outlineLevel="0" collapsed="false">
      <c r="B3121" s="3"/>
      <c r="C3121" s="3"/>
      <c r="D3121" s="3"/>
      <c r="E3121" s="3"/>
      <c r="F3121" s="3"/>
      <c r="G3121" s="4"/>
      <c r="H3121" s="3"/>
      <c r="I3121" s="3"/>
    </row>
    <row r="3122" customFormat="false" ht="15.75" hidden="false" customHeight="false" outlineLevel="0" collapsed="false">
      <c r="B3122" s="3"/>
      <c r="C3122" s="3"/>
      <c r="D3122" s="3"/>
      <c r="E3122" s="3"/>
      <c r="F3122" s="3"/>
      <c r="G3122" s="4"/>
      <c r="H3122" s="3"/>
      <c r="I3122" s="3"/>
    </row>
    <row r="3123" customFormat="false" ht="15.75" hidden="false" customHeight="false" outlineLevel="0" collapsed="false">
      <c r="B3123" s="3"/>
      <c r="C3123" s="3"/>
      <c r="D3123" s="3"/>
      <c r="E3123" s="3"/>
      <c r="F3123" s="3"/>
      <c r="G3123" s="4"/>
      <c r="H3123" s="3"/>
      <c r="I3123" s="3"/>
    </row>
    <row r="3124" customFormat="false" ht="15.75" hidden="false" customHeight="false" outlineLevel="0" collapsed="false">
      <c r="B3124" s="3"/>
      <c r="C3124" s="3"/>
      <c r="D3124" s="3"/>
      <c r="E3124" s="3"/>
      <c r="F3124" s="3"/>
      <c r="G3124" s="4"/>
      <c r="H3124" s="3"/>
      <c r="I3124" s="3"/>
    </row>
    <row r="3125" customFormat="false" ht="15.75" hidden="false" customHeight="false" outlineLevel="0" collapsed="false">
      <c r="B3125" s="3"/>
      <c r="C3125" s="3"/>
      <c r="D3125" s="3"/>
      <c r="E3125" s="3"/>
      <c r="F3125" s="3"/>
      <c r="G3125" s="4"/>
      <c r="H3125" s="3"/>
      <c r="I3125" s="3"/>
    </row>
    <row r="3126" customFormat="false" ht="15.75" hidden="false" customHeight="false" outlineLevel="0" collapsed="false">
      <c r="B3126" s="3"/>
      <c r="C3126" s="3"/>
      <c r="D3126" s="3"/>
      <c r="E3126" s="3"/>
      <c r="F3126" s="3"/>
      <c r="G3126" s="4"/>
      <c r="H3126" s="3"/>
      <c r="I3126" s="3"/>
    </row>
    <row r="3127" customFormat="false" ht="15.75" hidden="false" customHeight="false" outlineLevel="0" collapsed="false">
      <c r="B3127" s="3"/>
      <c r="C3127" s="3"/>
      <c r="D3127" s="3"/>
      <c r="E3127" s="3"/>
      <c r="F3127" s="3"/>
      <c r="G3127" s="4"/>
      <c r="H3127" s="3"/>
      <c r="I3127" s="3"/>
    </row>
    <row r="3128" customFormat="false" ht="15.75" hidden="false" customHeight="false" outlineLevel="0" collapsed="false">
      <c r="B3128" s="3"/>
      <c r="C3128" s="3"/>
      <c r="D3128" s="3"/>
      <c r="E3128" s="3"/>
      <c r="F3128" s="3"/>
      <c r="G3128" s="4"/>
      <c r="H3128" s="3"/>
      <c r="I3128" s="3"/>
    </row>
    <row r="3129" customFormat="false" ht="15.75" hidden="false" customHeight="false" outlineLevel="0" collapsed="false">
      <c r="B3129" s="3"/>
      <c r="C3129" s="3"/>
      <c r="D3129" s="3"/>
      <c r="E3129" s="3"/>
      <c r="F3129" s="3"/>
      <c r="G3129" s="4"/>
      <c r="H3129" s="3"/>
      <c r="I3129" s="3"/>
    </row>
    <row r="3130" customFormat="false" ht="15.75" hidden="false" customHeight="false" outlineLevel="0" collapsed="false">
      <c r="B3130" s="3"/>
      <c r="C3130" s="3"/>
      <c r="D3130" s="3"/>
      <c r="E3130" s="3"/>
      <c r="F3130" s="3"/>
      <c r="G3130" s="4"/>
      <c r="H3130" s="3"/>
      <c r="I3130" s="3"/>
    </row>
    <row r="3131" customFormat="false" ht="15.75" hidden="false" customHeight="false" outlineLevel="0" collapsed="false">
      <c r="B3131" s="3"/>
      <c r="C3131" s="3"/>
      <c r="D3131" s="3"/>
      <c r="E3131" s="3"/>
      <c r="F3131" s="3"/>
      <c r="G3131" s="4"/>
      <c r="H3131" s="3"/>
      <c r="I3131" s="3"/>
    </row>
    <row r="3132" customFormat="false" ht="15.75" hidden="false" customHeight="false" outlineLevel="0" collapsed="false">
      <c r="B3132" s="3"/>
      <c r="C3132" s="3"/>
      <c r="D3132" s="3"/>
      <c r="E3132" s="3"/>
      <c r="F3132" s="3"/>
      <c r="G3132" s="4"/>
      <c r="H3132" s="3"/>
      <c r="I3132" s="3"/>
    </row>
    <row r="3133" customFormat="false" ht="15.75" hidden="false" customHeight="false" outlineLevel="0" collapsed="false">
      <c r="B3133" s="3"/>
      <c r="C3133" s="3"/>
      <c r="D3133" s="3"/>
      <c r="E3133" s="3"/>
      <c r="F3133" s="3"/>
      <c r="G3133" s="4"/>
      <c r="H3133" s="3"/>
      <c r="I3133" s="3"/>
    </row>
    <row r="3134" customFormat="false" ht="15.75" hidden="false" customHeight="false" outlineLevel="0" collapsed="false">
      <c r="B3134" s="3"/>
      <c r="C3134" s="3"/>
      <c r="D3134" s="3"/>
      <c r="E3134" s="3"/>
      <c r="F3134" s="3"/>
      <c r="G3134" s="4"/>
      <c r="H3134" s="3"/>
      <c r="I3134" s="3"/>
    </row>
    <row r="3135" customFormat="false" ht="15.75" hidden="false" customHeight="false" outlineLevel="0" collapsed="false">
      <c r="B3135" s="3"/>
      <c r="C3135" s="3"/>
      <c r="D3135" s="3"/>
      <c r="E3135" s="3"/>
      <c r="F3135" s="3"/>
      <c r="G3135" s="4"/>
      <c r="H3135" s="3"/>
      <c r="I3135" s="3"/>
    </row>
    <row r="3136" customFormat="false" ht="15.75" hidden="false" customHeight="false" outlineLevel="0" collapsed="false">
      <c r="B3136" s="3"/>
      <c r="C3136" s="3"/>
      <c r="D3136" s="3"/>
      <c r="E3136" s="3"/>
      <c r="F3136" s="3"/>
      <c r="G3136" s="4"/>
      <c r="H3136" s="3"/>
      <c r="I3136" s="3"/>
    </row>
    <row r="3137" customFormat="false" ht="15.75" hidden="false" customHeight="false" outlineLevel="0" collapsed="false">
      <c r="B3137" s="3"/>
      <c r="C3137" s="3"/>
      <c r="D3137" s="3"/>
      <c r="E3137" s="3"/>
      <c r="F3137" s="3"/>
      <c r="G3137" s="4"/>
      <c r="H3137" s="3"/>
      <c r="I3137" s="3"/>
    </row>
  </sheetData>
  <hyperlinks>
    <hyperlink ref="G3" r:id="rId1" display="alekhaag"/>
    <hyperlink ref="H3" r:id="rId2" display="Deed - Attribution-NonCommercial 4.0 International - Creative Commons"/>
    <hyperlink ref="I3" r:id="rId3" display="https://www.inaturalist.org/observations/377146344"/>
    <hyperlink ref="G4" r:id="rId4" display="alekhaag"/>
    <hyperlink ref="H4" r:id="rId5" display="Deed - Attribution-NonCommercial 4.0 International - Creative Commons"/>
    <hyperlink ref="I4" r:id="rId6" display="https://www.inaturalist.org/observations/377146344"/>
    <hyperlink ref="G5" r:id="rId7" display="joemdo"/>
    <hyperlink ref="H5" r:id="rId8" display="Deed - Attribution-NonCommercial 4.0 International - Creative Commons"/>
    <hyperlink ref="I5" r:id="rId9" display="https://www.inaturalist.org/observations/376916735"/>
    <hyperlink ref="G6" r:id="rId10" display="aniedes"/>
    <hyperlink ref="H6" r:id="rId11" display="Deed - Attribution-NonCommercial 4.0 International - Creative Commons"/>
    <hyperlink ref="I6" r:id="rId12" display="https://www.inaturalist.org/observations/376604804"/>
    <hyperlink ref="G7" r:id="rId13" display="aniedes"/>
    <hyperlink ref="H7" r:id="rId14" display="Deed - Attribution-NonCommercial 4.0 International - Creative Commons"/>
    <hyperlink ref="I7" r:id="rId15" display="https://www.inaturalist.org/observations/376604772"/>
    <hyperlink ref="G8" r:id="rId16" display="aniedes"/>
    <hyperlink ref="H8" r:id="rId17" display="Deed - Attribution-NonCommercial 4.0 International - Creative Commons"/>
    <hyperlink ref="I8" r:id="rId18" display="https://www.inaturalist.org/observations/376604739"/>
    <hyperlink ref="G9" r:id="rId19" display="temminicki"/>
    <hyperlink ref="H9" r:id="rId20" display="Deed - Attribution-NonCommercial 4.0 International - Creative Commons"/>
    <hyperlink ref="I9" r:id="rId21" display="https://www.inaturalist.org/observations/376588655"/>
    <hyperlink ref="G10" r:id="rId22" display="temminicki"/>
    <hyperlink ref="H10" r:id="rId23" display="Deed - Attribution-NonCommercial 4.0 International - Creative Commons"/>
    <hyperlink ref="I10" r:id="rId24" display="https://www.inaturalist.org/observations/376588648"/>
    <hyperlink ref="G11" r:id="rId25" display="skink182"/>
    <hyperlink ref="H11" r:id="rId26" display="Deed - Attribution-NonCommercial 4.0 International - Creative Commons"/>
    <hyperlink ref="I11" r:id="rId27" display="https://www.inaturalist.org/observations/376094536"/>
    <hyperlink ref="G12" r:id="rId28" display="skink182"/>
    <hyperlink ref="H12" r:id="rId29" display="Deed - Attribution-NonCommercial 4.0 International - Creative Commons"/>
    <hyperlink ref="I12" r:id="rId30" display="https://www.inaturalist.org/observations/376094536"/>
    <hyperlink ref="G13" r:id="rId31" display="skink182"/>
    <hyperlink ref="H13" r:id="rId32" display="Deed - Attribution-NonCommercial 4.0 International - Creative Commons"/>
    <hyperlink ref="I13" r:id="rId33" display="https://www.inaturalist.org/observations/376094536"/>
    <hyperlink ref="G14" r:id="rId34" display="temminicki"/>
    <hyperlink ref="H14" r:id="rId35" display="Deed - Attribution-NonCommercial 4.0 International - Creative Commons"/>
    <hyperlink ref="I14" r:id="rId36" display="https://www.inaturalist.org/observations/375901277"/>
    <hyperlink ref="G15" r:id="rId37" display="temminicki"/>
    <hyperlink ref="H15" r:id="rId38" display="Deed - Attribution-NonCommercial 4.0 International - Creative Commons"/>
    <hyperlink ref="I15" r:id="rId39" display="https://www.inaturalist.org/observations/375901277"/>
    <hyperlink ref="G16" r:id="rId40" display="temminicki"/>
    <hyperlink ref="H16" r:id="rId41" display="Deed - Attribution-NonCommercial 4.0 International - Creative Commons"/>
    <hyperlink ref="I16" r:id="rId42" display="https://www.inaturalist.org/observations/375901277"/>
    <hyperlink ref="G17" r:id="rId43" display="arquitectodefecto"/>
    <hyperlink ref="H17" r:id="rId44" display="Deed - Attribution-NonCommercial 4.0 International - Creative Commons"/>
    <hyperlink ref="I17" r:id="rId45" display="https://www.inaturalist.org/observations/375727997"/>
    <hyperlink ref="G18" r:id="rId46" display="eric_hough"/>
    <hyperlink ref="H18" r:id="rId47" display="Deed - Attribution-NonCommercial 4.0 International - Creative Commons"/>
    <hyperlink ref="I18" r:id="rId48" display="https://www.inaturalist.org/observations/375472195"/>
    <hyperlink ref="G19" r:id="rId49" display="eric_hough"/>
    <hyperlink ref="H19" r:id="rId50" display="Deed - Attribution-NonCommercial 4.0 International - Creative Commons"/>
    <hyperlink ref="I19" r:id="rId51" display="https://www.inaturalist.org/observations/375472195"/>
    <hyperlink ref="G20" r:id="rId52" display="bioprats"/>
    <hyperlink ref="H20" r:id="rId53" display="Deed - Attribution-NonCommercial 4.0 International - Creative Commons"/>
    <hyperlink ref="I20" r:id="rId54" display="https://www.inaturalist.org/observations/375467914"/>
    <hyperlink ref="G21" r:id="rId55" display="saraschneider"/>
    <hyperlink ref="H21" r:id="rId56" display="Deed - Attribution-NonCommercial 4.0 International - Creative Commons"/>
    <hyperlink ref="I21" r:id="rId57" display="https://www.inaturalist.org/observations/375441989"/>
    <hyperlink ref="G22" r:id="rId58" display="kiwifruitsc"/>
    <hyperlink ref="H22" r:id="rId59" display="Deed - Attribution-NonCommercial 4.0 International - Creative Commons"/>
    <hyperlink ref="I22" r:id="rId60" display="https://www.inaturalist.org/observations/375353286"/>
    <hyperlink ref="G23" r:id="rId61" display="naturalistnkc"/>
    <hyperlink ref="H23" r:id="rId62" display="Deed - Attribution-NonCommercial 4.0 International - Creative Commons"/>
    <hyperlink ref="I23" r:id="rId63" display="https://www.inaturalist.org/observations/374833502"/>
    <hyperlink ref="G24" r:id="rId64" display="lutes"/>
    <hyperlink ref="H24" r:id="rId65" display="Deed - Attribution-NonCommercial 4.0 International - Creative Commons"/>
    <hyperlink ref="I24" r:id="rId66" display="https://www.inaturalist.org/observations/374808199"/>
    <hyperlink ref="G25" r:id="rId67" display="nomolosx"/>
    <hyperlink ref="H25" r:id="rId68" display="Deed - Attribution-NonCommercial 4.0 International - Creative Commons"/>
    <hyperlink ref="I25" r:id="rId69" display="https://www.inaturalist.org/observations/374422924"/>
    <hyperlink ref="G26" r:id="rId70" display="nomolosx"/>
    <hyperlink ref="H26" r:id="rId71" display="Deed - Attribution-NonCommercial 4.0 International - Creative Commons"/>
    <hyperlink ref="I26" r:id="rId72" display="https://www.inaturalist.org/observations/374422924"/>
    <hyperlink ref="G27" r:id="rId73" display="cassalata"/>
    <hyperlink ref="H27" r:id="rId74" display="Deed - Attribution-NonCommercial 4.0 International - Creative Commons"/>
    <hyperlink ref="I27" r:id="rId75" display="https://www.inaturalist.org/observations/374312186"/>
    <hyperlink ref="G28" r:id="rId76" display="herpdanner"/>
    <hyperlink ref="H28" r:id="rId77" display="Deed - Attribution-NonCommercial 4.0 International - Creative Commons"/>
    <hyperlink ref="I28" r:id="rId78" display="https://www.inaturalist.org/observations/374146377"/>
    <hyperlink ref="G29" r:id="rId79" display="cs1011928410"/>
    <hyperlink ref="H29" r:id="rId80" display="Deed - Attribution-NonCommercial 4.0 International - Creative Commons"/>
    <hyperlink ref="I29" r:id="rId81" display="https://www.inaturalist.org/observations/373820338"/>
    <hyperlink ref="G30" r:id="rId82" display="hybronius"/>
    <hyperlink ref="H30" r:id="rId83" display="Deed - Attribution-NonCommercial 4.0 International - Creative Commons"/>
    <hyperlink ref="I30" r:id="rId84" display="https://www.inaturalist.org/observations/373471442"/>
    <hyperlink ref="G31" r:id="rId85" display="logan33430"/>
    <hyperlink ref="H31" r:id="rId86" display="Deed - Attribution-NonCommercial 4.0 International - Creative Commons"/>
    <hyperlink ref="I31" r:id="rId87" display="https://www.inaturalist.org/observations/373293964"/>
    <hyperlink ref="G32" r:id="rId88" display="econaturalistdotcom"/>
    <hyperlink ref="H32" r:id="rId89" display="Deed - Attribution-NonCommercial 4.0 International - Creative Commons"/>
    <hyperlink ref="I32" r:id="rId90" display="https://www.inaturalist.org/observations/373099109"/>
    <hyperlink ref="G33" r:id="rId91" display="faebugsz"/>
    <hyperlink ref="H33" r:id="rId92" display="Deed - Attribution-NonCommercial 4.0 International - Creative Commons"/>
    <hyperlink ref="I33" r:id="rId93" display="https://www.inaturalist.org/observations/372944069"/>
    <hyperlink ref="G34" r:id="rId94" display="agavepup"/>
    <hyperlink ref="H34" r:id="rId95" display="Deed - Attribution-NonCommercial 4.0 International - Creative Commons"/>
    <hyperlink ref="I34" r:id="rId96" display="https://www.inaturalist.org/observations/372688320"/>
    <hyperlink ref="G35" r:id="rId97" display="crtracy"/>
    <hyperlink ref="H35" r:id="rId98" display="Deed - Attribution-NonCommercial 4.0 International - Creative Commons"/>
    <hyperlink ref="I35" r:id="rId99" display="https://www.inaturalist.org/observations/372528453"/>
    <hyperlink ref="G36" r:id="rId100" display="crtracy"/>
    <hyperlink ref="H36" r:id="rId101" display="Deed - Attribution-NonCommercial 4.0 International - Creative Commons"/>
    <hyperlink ref="I36" r:id="rId102" display="https://www.inaturalist.org/observations/372528104"/>
    <hyperlink ref="G37" r:id="rId103" display="rdaz"/>
    <hyperlink ref="H37" r:id="rId104" display="Deed - Attribution-NonCommercial 4.0 International - Creative Commons"/>
    <hyperlink ref="I37" r:id="rId105" display="https://www.inaturalist.org/observations/372193442"/>
    <hyperlink ref="G38" r:id="rId106" display="david_broek"/>
    <hyperlink ref="H38" r:id="rId107" display="Deed - Attribution-NonCommercial 4.0 International - Creative Commons"/>
    <hyperlink ref="I38" r:id="rId108" display="https://www.inaturalist.org/observations/377234694"/>
    <hyperlink ref="G39" r:id="rId109" display="xochieta"/>
    <hyperlink ref="H39" r:id="rId110" display="Deed - Attribution-NonCommercial 4.0 International - Creative Commons"/>
    <hyperlink ref="I39" r:id="rId111" display="https://www.inaturalist.org/observations/376826626"/>
    <hyperlink ref="G40" r:id="rId112" display="xochieta"/>
    <hyperlink ref="H40" r:id="rId113" display="Deed - Attribution-NonCommercial 4.0 International - Creative Commons"/>
    <hyperlink ref="I40" r:id="rId114" display="https://www.inaturalist.org/observations/376826626"/>
    <hyperlink ref="G41" r:id="rId115" display="xochieta"/>
    <hyperlink ref="H41" r:id="rId116" display="Deed - Attribution-NonCommercial 4.0 International - Creative Commons"/>
    <hyperlink ref="I41" r:id="rId117" display="https://www.inaturalist.org/observations/376826626"/>
    <hyperlink ref="G42" r:id="rId118" display="ragkannan"/>
    <hyperlink ref="H42" r:id="rId119" display="Deed - Attribution-NonCommercial 4.0 International - Creative Commons"/>
    <hyperlink ref="I42" r:id="rId120" display="https://www.inaturalist.org/observations/376729533"/>
    <hyperlink ref="G43" r:id="rId121" display="ragkannan"/>
    <hyperlink ref="H43" r:id="rId122" display="Deed - Attribution-NonCommercial 4.0 International - Creative Commons"/>
    <hyperlink ref="I43" r:id="rId123" display="https://www.inaturalist.org/observations/376729533"/>
    <hyperlink ref="G44" r:id="rId124" display="ty37678"/>
    <hyperlink ref="H44" r:id="rId125" display="Deed - Attribution-NonCommercial 4.0 International - Creative Commons"/>
    <hyperlink ref="I44" r:id="rId126" display="https://www.inaturalist.org/observations/376577144"/>
    <hyperlink ref="G45" r:id="rId127" display="cshure"/>
    <hyperlink ref="H45" r:id="rId128" display="Deed - Attribution-NonCommercial 4.0 International - Creative Commons"/>
    <hyperlink ref="I45" r:id="rId129" display="https://www.inaturalist.org/observations/376528185"/>
    <hyperlink ref="G46" r:id="rId130" display="xochieta"/>
    <hyperlink ref="H46" r:id="rId131" display="Deed - Attribution-NonCommercial 4.0 International - Creative Commons"/>
    <hyperlink ref="I46" r:id="rId132" display="https://www.inaturalist.org/observations/376504857"/>
    <hyperlink ref="G47" r:id="rId133" display="szink00"/>
    <hyperlink ref="H47" r:id="rId134" display="Deed - Attribution-NonCommercial 4.0 International - Creative Commons"/>
    <hyperlink ref="I47" r:id="rId135" display="https://www.inaturalist.org/observations/376502992"/>
    <hyperlink ref="G48" r:id="rId136" display="tnriverpuma"/>
    <hyperlink ref="H48" r:id="rId137" display="Deed - Attribution-NonCommercial 4.0 International - Creative Commons"/>
    <hyperlink ref="I48" r:id="rId138" display="https://www.inaturalist.org/observations/369519513"/>
    <hyperlink ref="G49" r:id="rId139" display="eddy20636"/>
    <hyperlink ref="H49" r:id="rId140" display="Deed - Attribution-NonCommercial 4.0 International - Creative Commons"/>
    <hyperlink ref="I49" r:id="rId141" display="https://www.inaturalist.org/observations/368675832"/>
    <hyperlink ref="G50" r:id="rId142" display="eddy20636"/>
    <hyperlink ref="H50" r:id="rId143" display="Deed - Attribution-NonCommercial 4.0 International - Creative Commons"/>
    <hyperlink ref="I50" r:id="rId144" display="https://www.inaturalist.org/observations/368675832"/>
    <hyperlink ref="G51" r:id="rId145" display="eddy20636"/>
    <hyperlink ref="H51" r:id="rId146" display="Deed - Attribution-NonCommercial 4.0 International - Creative Commons"/>
    <hyperlink ref="I51" r:id="rId147" display="https://www.inaturalist.org/observations/368675832"/>
    <hyperlink ref="G52" r:id="rId148" display="tnriverpuma"/>
    <hyperlink ref="H52" r:id="rId149" display="Deed - Attribution-NonCommercial 4.0 International - Creative Commons"/>
    <hyperlink ref="I52" r:id="rId150" display="https://www.inaturalist.org/observations/366838413"/>
    <hyperlink ref="G53" r:id="rId151" display="brookjameus"/>
    <hyperlink ref="H53" r:id="rId152" display="Deed - Attribution-NonCommercial 4.0 International - Creative Commons"/>
    <hyperlink ref="I53" r:id="rId153" display="https://www.inaturalist.org/observations/365252950"/>
    <hyperlink ref="G54" r:id="rId154" display="del_nanacatl"/>
    <hyperlink ref="H54" r:id="rId155" display="Deed - Attribution-NonCommercial 4.0 International - Creative Commons"/>
    <hyperlink ref="I54" r:id="rId156" display="https://www.inaturalist.org/observations/362215892"/>
    <hyperlink ref="G55" r:id="rId157" display="del_nanacatl"/>
    <hyperlink ref="H55" r:id="rId158" display="Deed - Attribution-NonCommercial 4.0 International - Creative Commons"/>
    <hyperlink ref="I55" r:id="rId159" display="https://www.inaturalist.org/observations/362215892"/>
    <hyperlink ref="G56" r:id="rId160" display="del_nanacatl"/>
    <hyperlink ref="H56" r:id="rId161" display="Deed - Attribution-NonCommercial 4.0 International - Creative Commons"/>
    <hyperlink ref="I56" r:id="rId162" display="https://www.inaturalist.org/observations/362215892"/>
    <hyperlink ref="G57" r:id="rId163" display="olivia_rose5"/>
    <hyperlink ref="H57" r:id="rId164" display="Deed - Attribution-NonCommercial 4.0 International - Creative Commons"/>
    <hyperlink ref="I57" r:id="rId165" display="https://www.inaturalist.org/observations/361348462"/>
    <hyperlink ref="G58" r:id="rId166" display="dani_drn_a"/>
    <hyperlink ref="H58" r:id="rId167" display="Deed - Attribution-NonCommercial 4.0 International - Creative Commons"/>
    <hyperlink ref="I58" r:id="rId168" display="https://www.inaturalist.org/observations/361342904"/>
    <hyperlink ref="G59" r:id="rId169" display="dani_drn_a"/>
    <hyperlink ref="H59" r:id="rId170" display="Deed - Attribution-NonCommercial 4.0 International - Creative Commons"/>
    <hyperlink ref="I59" r:id="rId171" display="https://www.inaturalist.org/observations/361342904"/>
    <hyperlink ref="G60" r:id="rId172" display="chaacreekbze"/>
    <hyperlink ref="H60" r:id="rId173" display="Deed - Attribution-NonCommercial 4.0 International - Creative Commons"/>
    <hyperlink ref="I60" r:id="rId174" display="https://www.inaturalist.org/observations/361318211"/>
    <hyperlink ref="G61" r:id="rId175" display="kascopic"/>
    <hyperlink ref="H61" r:id="rId176" display="Deed - Attribution-NonCommercial 4.0 International - Creative Commons"/>
    <hyperlink ref="I61" r:id="rId177" display="https://www.inaturalist.org/observations/360588784"/>
    <hyperlink ref="G62" r:id="rId178" display="alexis_lora"/>
    <hyperlink ref="H62" r:id="rId179" display="Deed - Attribution-NonCommercial 4.0 International - Creative Commons"/>
    <hyperlink ref="I62" r:id="rId180" display="https://www.inaturalist.org/observations/359066182"/>
    <hyperlink ref="G63" r:id="rId181" display="luis_mendez05"/>
    <hyperlink ref="H63" r:id="rId182" display="Deed - Attribution-NonCommercial 4.0 International - Creative Commons"/>
    <hyperlink ref="I63" r:id="rId183" display="https://www.inaturalist.org/observations/357272595"/>
    <hyperlink ref="G64" r:id="rId184" display="victoriacontreras_25"/>
    <hyperlink ref="H64" r:id="rId185" display="Deed - Attribution-NonCommercial 4.0 International - Creative Commons"/>
    <hyperlink ref="I64" r:id="rId186" display="https://www.inaturalist.org/observations/356771211"/>
    <hyperlink ref="G65" r:id="rId187" display="sandradzul"/>
    <hyperlink ref="H65" r:id="rId188" display="Deed - Attribution-NonCommercial 4.0 International - Creative Commons"/>
    <hyperlink ref="I65" r:id="rId189" display="https://www.inaturalist.org/observations/356701906"/>
    <hyperlink ref="G66" r:id="rId190" display="milohongo76"/>
    <hyperlink ref="H66" r:id="rId191" display="Deed - Attribution-NonCommercial 4.0 International - Creative Commons"/>
    <hyperlink ref="I66" r:id="rId192" display="https://www.inaturalist.org/observations/356634498"/>
    <hyperlink ref="G67" r:id="rId193" display="cesarkauil"/>
    <hyperlink ref="H67" r:id="rId194" display="Deed - Attribution-NonCommercial 4.0 International - Creative Commons"/>
    <hyperlink ref="I67" r:id="rId195" display="https://www.inaturalist.org/observations/356319207"/>
    <hyperlink ref="G68" r:id="rId196" display="angelio29"/>
    <hyperlink ref="H68" r:id="rId197" display="Deed - Attribution-NonCommercial 4.0 International - Creative Commons"/>
    <hyperlink ref="I68" r:id="rId198" display="https://www.inaturalist.org/observations/356316582"/>
    <hyperlink ref="G69" r:id="rId199" display="carlanoh"/>
    <hyperlink ref="H69" r:id="rId200" display="Deed - Attribution-NonCommercial 4.0 International - Creative Commons"/>
    <hyperlink ref="I69" r:id="rId201" display="https://www.inaturalist.org/observations/356280679"/>
    <hyperlink ref="G70" r:id="rId202" display="kevin_morales_mclernon"/>
    <hyperlink ref="H70" r:id="rId203" display="Deed - Attribution-NonCommercial 4.0 International - Creative Commons"/>
    <hyperlink ref="I70" r:id="rId204" display="https://www.inaturalist.org/observations/356223919"/>
    <hyperlink ref="G71" r:id="rId205" display="angel_ac"/>
    <hyperlink ref="H71" r:id="rId206" display="Deed - Attribution-NonCommercial 4.0 International - Creative Commons"/>
    <hyperlink ref="I71" r:id="rId207" display="https://www.inaturalist.org/observations/356132377"/>
    <hyperlink ref="G72" r:id="rId208" display="angel_ac"/>
    <hyperlink ref="H72" r:id="rId209" display="Deed - Attribution-NonCommercial 4.0 International - Creative Commons"/>
    <hyperlink ref="I72" r:id="rId210" display="https://www.inaturalist.org/observations/356132377"/>
    <hyperlink ref="G73" r:id="rId211" display="nebraska_fish"/>
    <hyperlink ref="H73" r:id="rId212" display="Deed - Attribution-NonCommercial 4.0 International - Creative Commons"/>
    <hyperlink ref="I73" r:id="rId213" display="https://www.inaturalist.org/observations/377341039"/>
    <hyperlink ref="G74" r:id="rId214" display="ismael_carreon"/>
    <hyperlink ref="H74" r:id="rId215" display="Deed - Attribution-NonCommercial 4.0 International - Creative Commons"/>
    <hyperlink ref="I74" r:id="rId216" display="https://www.inaturalist.org/observations/374839439"/>
    <hyperlink ref="G75" r:id="rId217" display="jasonguozichen"/>
    <hyperlink ref="H75" r:id="rId218" display="Deed - Attribution-NonCommercial 4.0 International - Creative Commons"/>
    <hyperlink ref="I75" r:id="rId219" display="https://www.inaturalist.org/observations/374363437"/>
    <hyperlink ref="G76" r:id="rId220" display="hammondhou"/>
    <hyperlink ref="H76" r:id="rId221" display="Deed - Attribution-NonCommercial 4.0 International - Creative Commons"/>
    <hyperlink ref="I76" r:id="rId222" display="https://www.inaturalist.org/observations/374189787"/>
    <hyperlink ref="G77" r:id="rId223" display="nickie1212"/>
    <hyperlink ref="H77" r:id="rId224" display="Deed - Attribution-NonCommercial 4.0 International - Creative Commons"/>
    <hyperlink ref="I77" r:id="rId225" display="https://www.inaturalist.org/observations/374055567"/>
    <hyperlink ref="G78" r:id="rId226" display="diomedea_exulans_li"/>
    <hyperlink ref="H78" r:id="rId227" display="Deed - Attribution-NonCommercial 4.0 International - Creative Commons"/>
    <hyperlink ref="I78" r:id="rId228" display="https://www.inaturalist.org/observations/374048415"/>
    <hyperlink ref="G79" r:id="rId229" display="diomedea_exulans_li"/>
    <hyperlink ref="H79" r:id="rId230" display="Deed - Attribution-NonCommercial 4.0 International - Creative Commons"/>
    <hyperlink ref="I79" r:id="rId231" display="https://www.inaturalist.org/observations/374048415"/>
    <hyperlink ref="G80" r:id="rId232" display="diomedea_exulans_li"/>
    <hyperlink ref="H80" r:id="rId233" display="Deed - Attribution-NonCommercial 4.0 International - Creative Commons"/>
    <hyperlink ref="I80" r:id="rId234" display="https://www.inaturalist.org/observations/374048415"/>
    <hyperlink ref="G81" r:id="rId235" display="mako252"/>
    <hyperlink ref="H81" r:id="rId236" display="Deed - Attribution-NonCommercial 4.0 International - Creative Commons"/>
    <hyperlink ref="I81" r:id="rId237" display="https://www.inaturalist.org/observations/371592600"/>
    <hyperlink ref="G82" r:id="rId238" display="dmiller423"/>
    <hyperlink ref="H82" r:id="rId239" display="Deed - Attribution-NonCommercial 4.0 International - Creative Commons"/>
    <hyperlink ref="I82" r:id="rId240" display="https://www.inaturalist.org/observations/371325188"/>
    <hyperlink ref="G83" r:id="rId241" display="bjdw03"/>
    <hyperlink ref="H83" r:id="rId242" display="Deed - Attribution-NonCommercial 4.0 International - Creative Commons"/>
    <hyperlink ref="I83" r:id="rId243" display="https://www.inaturalist.org/observations/370504851"/>
    <hyperlink ref="G84" r:id="rId244" display="jvzel"/>
    <hyperlink ref="H84" r:id="rId245" display="Deed - Attribution-NonCommercial 4.0 International - Creative Commons"/>
    <hyperlink ref="I84" r:id="rId246" display="https://www.inaturalist.org/observations/370087127"/>
    <hyperlink ref="G85" r:id="rId247" display="jorden_perrett"/>
    <hyperlink ref="H85" r:id="rId248" display="Deed - Attribution-NonCommercial 4.0 International - Creative Commons"/>
    <hyperlink ref="I85" r:id="rId249" display="https://www.inaturalist.org/observations/367942679"/>
    <hyperlink ref="G86" r:id="rId250" display="mothington"/>
    <hyperlink ref="H86" r:id="rId251" display="Deed - Attribution-NonCommercial 4.0 International - Creative Commons"/>
    <hyperlink ref="I86" r:id="rId252" display="https://www.inaturalist.org/observations/367320503"/>
    <hyperlink ref="G87" r:id="rId253" display="ulyssesboulton"/>
    <hyperlink ref="H87" r:id="rId254" display="Deed - Attribution-NonCommercial 4.0 International - Creative Commons"/>
    <hyperlink ref="I87" r:id="rId255" display="https://www.inaturalist.org/observations/366399238"/>
    <hyperlink ref="G88" r:id="rId256" display="ulyssesboulton"/>
    <hyperlink ref="H88" r:id="rId257" display="Deed - Attribution-NonCommercial 4.0 International - Creative Commons"/>
    <hyperlink ref="I88" r:id="rId258" display="https://www.inaturalist.org/observations/366397434"/>
    <hyperlink ref="G89" r:id="rId259" display="pecosvalleydiamond"/>
    <hyperlink ref="H89" r:id="rId260" display="Deed - Attribution-NonCommercial 4.0 International - Creative Commons"/>
    <hyperlink ref="I89" r:id="rId261" display="https://www.inaturalist.org/observations/364757369"/>
    <hyperlink ref="G90" r:id="rId262" display="pecosvalleydiamond"/>
    <hyperlink ref="H90" r:id="rId263" display="Deed - Attribution-NonCommercial 4.0 International - Creative Commons"/>
    <hyperlink ref="I90" r:id="rId264" display="https://www.inaturalist.org/observations/364757369"/>
    <hyperlink ref="G91" r:id="rId265" display="crotrox"/>
    <hyperlink ref="H91" r:id="rId266" display="Deed - Attribution-NonCommercial 4.0 International - Creative Commons"/>
    <hyperlink ref="I91" r:id="rId267" display="https://www.inaturalist.org/observations/364748528"/>
    <hyperlink ref="G92" r:id="rId268" display="katherine_lentz"/>
    <hyperlink ref="H92" r:id="rId269" display="Deed - Attribution-NonCommercial 4.0 International - Creative Commons"/>
    <hyperlink ref="I92" r:id="rId270" display="https://www.inaturalist.org/observations/363558639"/>
    <hyperlink ref="G93" r:id="rId271" display="jugbayjs"/>
    <hyperlink ref="H93" r:id="rId272" display="Deed - Attribution-NonCommercial 4.0 International - Creative Commons"/>
    <hyperlink ref="I93" r:id="rId273" display="https://www.inaturalist.org/observations/362344791"/>
    <hyperlink ref="G94" r:id="rId274" display="doofnschmutz"/>
    <hyperlink ref="H94" r:id="rId275" display="Deed - Attribution-NonCommercial 4.0 International - Creative Commons"/>
    <hyperlink ref="I94" r:id="rId276" display="https://www.inaturalist.org/observations/361354968"/>
    <hyperlink ref="G95" r:id="rId277" display="doofnschmutz"/>
    <hyperlink ref="H95" r:id="rId278" display="Deed - Attribution-NonCommercial 4.0 International - Creative Commons"/>
    <hyperlink ref="I95" r:id="rId279" display="https://www.inaturalist.org/observations/361354968"/>
    <hyperlink ref="G96" r:id="rId280" display="claudiamuc"/>
    <hyperlink ref="H96" r:id="rId281" display="Deed - Attribution-NonCommercial 4.0 International - Creative Commons"/>
    <hyperlink ref="I96" r:id="rId282" display="https://www.inaturalist.org/observations/331350963"/>
    <hyperlink ref="G97" r:id="rId283" display="mako252"/>
    <hyperlink ref="H97" r:id="rId284" display="Deed - Attribution-NonCommercial 4.0 International - Creative Commons"/>
    <hyperlink ref="I97" r:id="rId285" display="https://www.inaturalist.org/observations/359064173"/>
    <hyperlink ref="G98" r:id="rId286" display="mooniemagnum"/>
    <hyperlink ref="H98" r:id="rId287" display="Deed - Attribution-NonCommercial 4.0 International - Creative Commons"/>
    <hyperlink ref="I98" r:id="rId288" display="https://www.inaturalist.org/observations/358660505"/>
    <hyperlink ref="G99" r:id="rId289" display="agzzc"/>
    <hyperlink ref="H99" r:id="rId290" display="Deed - Attribution-NonCommercial 4.0 International - Creative Commons"/>
    <hyperlink ref="I99" r:id="rId291" display="https://www.inaturalist.org/observations/357409939"/>
    <hyperlink ref="G100" r:id="rId292" display="dey_29dio"/>
    <hyperlink ref="H100" r:id="rId293" display="Deed - Attribution-NonCommercial 4.0 International - Creative Commons"/>
    <hyperlink ref="I100" r:id="rId294" display="https://www.inaturalist.org/observations/357364616"/>
    <hyperlink ref="G101" r:id="rId295" display="eldoradospencer"/>
    <hyperlink ref="H101" r:id="rId296" display="Deed - Attribution-NonCommercial 4.0 International - Creative Commons"/>
    <hyperlink ref="I101" r:id="rId297" display="https://www.inaturalist.org/observations/352609417"/>
    <hyperlink ref="G102" r:id="rId298" display="jacksonb03"/>
    <hyperlink ref="H102" r:id="rId299" display="Deed - Attribution-NonCommercial 4.0 International - Creative Commons"/>
    <hyperlink ref="I102" r:id="rId300" display="https://www.inaturalist.org/observations/350903356"/>
    <hyperlink ref="G103" r:id="rId301" display="hillisdm"/>
    <hyperlink ref="H103" r:id="rId302" display="Deed - Attribution-NonCommercial 4.0 International - Creative Commons"/>
    <hyperlink ref="I103" r:id="rId303" display="https://www.inaturalist.org/observations/350702720"/>
    <hyperlink ref="G104" r:id="rId304" display="hillisdm"/>
    <hyperlink ref="H104" r:id="rId305" display="Deed - Attribution-NonCommercial 4.0 International - Creative Commons"/>
    <hyperlink ref="I104" r:id="rId306" display="https://www.inaturalist.org/observations/350702720"/>
    <hyperlink ref="G105" r:id="rId307" display="dbh"/>
    <hyperlink ref="H105" r:id="rId308" display="Deed - Attribution-NonCommercial 4.0 International - Creative Commons"/>
    <hyperlink ref="I105" r:id="rId309" display="https://www.inaturalist.org/observations/348368877"/>
    <hyperlink ref="G106" r:id="rId310" display="jonwebb2"/>
    <hyperlink ref="H106" r:id="rId311" display="Deed - Attribution-NonCommercial 4.0 International - Creative Commons"/>
    <hyperlink ref="I106" r:id="rId312" display="https://www.inaturalist.org/observations/345965985"/>
    <hyperlink ref="G107" r:id="rId313" display="jonwebb2"/>
    <hyperlink ref="H107" r:id="rId314" display="Deed - Attribution-NonCommercial 4.0 International - Creative Commons"/>
    <hyperlink ref="I107" r:id="rId315" display="https://www.inaturalist.org/observations/345965985"/>
    <hyperlink ref="G108" r:id="rId316" display="siddhanta23"/>
    <hyperlink ref="H108" r:id="rId317" display="Deed - Attribution-NonCommercial 4.0 International - Creative Commons"/>
    <hyperlink ref="I108" r:id="rId318" display="https://www.inaturalist.org/observations/363055925"/>
    <hyperlink ref="G109" r:id="rId319" display="rakeshkumarmohalik"/>
    <hyperlink ref="H109" r:id="rId320" display="Deed - Attribution-NonCommercial 4.0 International - Creative Commons"/>
    <hyperlink ref="I109" r:id="rId321" display="https://www.inaturalist.org/observations/314069485"/>
    <hyperlink ref="G110" r:id="rId322" display="biswajit_1995"/>
    <hyperlink ref="H110" r:id="rId323" display="Deed - Attribution-NonCommercial 4.0 International - Creative Commons"/>
    <hyperlink ref="I110" r:id="rId324" display="https://www.inaturalist.org/observations/311624616"/>
    <hyperlink ref="G111" r:id="rId325" display="biswajit_1995"/>
    <hyperlink ref="H111" r:id="rId326" display="Deed - Attribution-NonCommercial 4.0 International - Creative Commons"/>
    <hyperlink ref="I111" r:id="rId327" display="https://www.inaturalist.org/observations/311624616"/>
    <hyperlink ref="G112" r:id="rId328" display="biswajit_1995"/>
    <hyperlink ref="H112" r:id="rId329" display="Deed - Attribution-NonCommercial 4.0 International - Creative Commons"/>
    <hyperlink ref="I112" r:id="rId330" display="https://www.inaturalist.org/observations/311624050"/>
    <hyperlink ref="G113" r:id="rId331" display="biswajit_1995"/>
    <hyperlink ref="H113" r:id="rId332" display="Deed - Attribution-NonCommercial 4.0 International - Creative Commons"/>
    <hyperlink ref="I113" r:id="rId333" display="https://www.inaturalist.org/observations/311624050"/>
    <hyperlink ref="G114" r:id="rId334" display="biswajit_1995"/>
    <hyperlink ref="H114" r:id="rId335" display="Deed - Attribution-NonCommercial 4.0 International - Creative Commons"/>
    <hyperlink ref="I114" r:id="rId336" display="https://www.inaturalist.org/observations/311624050"/>
    <hyperlink ref="G115" r:id="rId337" display="thamizh"/>
    <hyperlink ref="H115" r:id="rId338" display="Deed - Attribution-NonCommercial 4.0 International - Creative Commons"/>
    <hyperlink ref="I115" r:id="rId339" display="https://www.inaturalist.org/observations/305729195"/>
    <hyperlink ref="G116" r:id="rId340" display="biswajit_1995"/>
    <hyperlink ref="H116" r:id="rId341" display="Deed - Attribution-NonCommercial 4.0 International - Creative Commons"/>
    <hyperlink ref="I116" r:id="rId342" display="https://www.inaturalist.org/observations/303338257"/>
    <hyperlink ref="G117" r:id="rId343" display="biswajit_1995"/>
    <hyperlink ref="H117" r:id="rId344" display="Deed - Attribution-NonCommercial 4.0 International - Creative Commons"/>
    <hyperlink ref="I117" r:id="rId345" display="https://www.inaturalist.org/observations/300733898"/>
    <hyperlink ref="G118" r:id="rId346" display="biswajit_1995"/>
    <hyperlink ref="H118" r:id="rId347" display="Deed - Attribution-NonCommercial 4.0 International - Creative Commons"/>
    <hyperlink ref="I118" r:id="rId348" display="https://www.inaturalist.org/observations/300733898"/>
    <hyperlink ref="G119" r:id="rId349" display="biswajit_1995"/>
    <hyperlink ref="H119" r:id="rId350" display="Deed - Attribution-NonCommercial 4.0 International - Creative Commons"/>
    <hyperlink ref="I119" r:id="rId351" display="https://www.inaturalist.org/observations/300733898"/>
    <hyperlink ref="G120" r:id="rId352" display="siddhanta23"/>
    <hyperlink ref="H120" r:id="rId353" display="Deed - Attribution-NonCommercial 4.0 International - Creative Commons"/>
    <hyperlink ref="I120" r:id="rId354" display="https://www.inaturalist.org/observations/300731785"/>
    <hyperlink ref="G121" r:id="rId355" display="chandra_sekhar_"/>
    <hyperlink ref="H121" r:id="rId356" display="Deed - Attribution-NonCommercial 4.0 International - Creative Commons"/>
    <hyperlink ref="I121" r:id="rId357" display="https://www.inaturalist.org/observations/299734329"/>
    <hyperlink ref="G122" r:id="rId358" display="chandra_sekhar_"/>
    <hyperlink ref="H122" r:id="rId359" display="Deed - Attribution-NonCommercial 4.0 International - Creative Commons"/>
    <hyperlink ref="I122" r:id="rId360" display="https://www.inaturalist.org/observations/299734329"/>
    <hyperlink ref="G123" r:id="rId361" display="chaitanya_t"/>
    <hyperlink ref="H123" r:id="rId362" display="Deed - Attribution-NonCommercial 4.0 International - Creative Commons"/>
    <hyperlink ref="I123" r:id="rId363" display="https://www.inaturalist.org/observations/297518629"/>
    <hyperlink ref="G124" r:id="rId364" display="chaitanya_t"/>
    <hyperlink ref="H124" r:id="rId365" display="Deed - Attribution-NonCommercial 4.0 International - Creative Commons"/>
    <hyperlink ref="I124" r:id="rId366" display="https://www.inaturalist.org/observations/297518629"/>
    <hyperlink ref="G125" r:id="rId367" display="chaitanya_t"/>
    <hyperlink ref="H125" r:id="rId368" display="Deed - Attribution-NonCommercial 4.0 International - Creative Commons"/>
    <hyperlink ref="I125" r:id="rId369" display="https://www.inaturalist.org/observations/297518629"/>
    <hyperlink ref="G126" r:id="rId370" display="siddhanta23"/>
    <hyperlink ref="H126" r:id="rId371" display="Deed - Attribution-NonCommercial 4.0 International - Creative Commons"/>
    <hyperlink ref="I126" r:id="rId372" display="https://www.inaturalist.org/observations/296288856"/>
    <hyperlink ref="G127" r:id="rId373" display="arunkumar_thyadi1"/>
    <hyperlink ref="H127" r:id="rId374" display="Deed - Attribution-NonCommercial 4.0 International - Creative Commons"/>
    <hyperlink ref="I127" r:id="rId375" display="https://www.inaturalist.org/observations/284208292"/>
    <hyperlink ref="G128" r:id="rId376" display="komarraju"/>
    <hyperlink ref="H128" r:id="rId377" display="Deed - Attribution-NonCommercial 4.0 International - Creative Commons"/>
    <hyperlink ref="I128" r:id="rId378" display="https://www.inaturalist.org/observations/280234684"/>
    <hyperlink ref="G129" r:id="rId379" display="chandra_sekhar_"/>
    <hyperlink ref="H129" r:id="rId380" display="Deed - Attribution-NonCommercial 4.0 International - Creative Commons"/>
    <hyperlink ref="I129" r:id="rId381" display="https://www.inaturalist.org/observations/255283246"/>
    <hyperlink ref="G130" r:id="rId382" display="chandra_sekhar_"/>
    <hyperlink ref="H130" r:id="rId383" display="Deed - Attribution-NonCommercial 4.0 International - Creative Commons"/>
    <hyperlink ref="I130" r:id="rId384" display="https://www.inaturalist.org/observations/255283246"/>
    <hyperlink ref="G131" r:id="rId385" display="biswajit_1995"/>
    <hyperlink ref="H131" r:id="rId386" display="Deed - Attribution-NonCommercial 4.0 International - Creative Commons"/>
    <hyperlink ref="I131" r:id="rId387" display="https://www.inaturalist.org/observations/241301145"/>
    <hyperlink ref="G132" r:id="rId388" display="biswajit_1995"/>
    <hyperlink ref="H132" r:id="rId389" display="Deed - Attribution-NonCommercial 4.0 International - Creative Commons"/>
    <hyperlink ref="I132" r:id="rId390" display="https://www.inaturalist.org/observations/241301145"/>
    <hyperlink ref="G133" r:id="rId391" display="biswajit_1995"/>
    <hyperlink ref="H133" r:id="rId392" display="Deed - Attribution-NonCommercial 4.0 International - Creative Commons"/>
    <hyperlink ref="I133" r:id="rId393" display="https://www.inaturalist.org/observations/240367094"/>
    <hyperlink ref="G134" r:id="rId394" display="biswajit_1995"/>
    <hyperlink ref="H134" r:id="rId395" display="Deed - Attribution-NonCommercial 4.0 International - Creative Commons"/>
    <hyperlink ref="I134" r:id="rId396" display="https://www.inaturalist.org/observations/240367094"/>
    <hyperlink ref="G135" r:id="rId397" display="biswajit_1995"/>
    <hyperlink ref="H135" r:id="rId398" display="Deed - Attribution-NonCommercial 4.0 International - Creative Commons"/>
    <hyperlink ref="I135" r:id="rId399" display="https://www.inaturalist.org/observations/240367094"/>
    <hyperlink ref="G136" r:id="rId400" display="biswajit_1995"/>
    <hyperlink ref="H136" r:id="rId401" display="Deed - Attribution-NonCommercial 4.0 International - Creative Commons"/>
    <hyperlink ref="I136" r:id="rId402" display="https://www.inaturalist.org/observations/239327238"/>
    <hyperlink ref="G137" r:id="rId403" display="biswajit_1995"/>
    <hyperlink ref="H137" r:id="rId404" display="Deed - Attribution-NonCommercial 4.0 International - Creative Commons"/>
    <hyperlink ref="I137" r:id="rId405" display="https://www.inaturalist.org/observations/239327238"/>
    <hyperlink ref="G138" r:id="rId406" display="biswajit_1995"/>
    <hyperlink ref="H138" r:id="rId407" display="Deed - Attribution-NonCommercial 4.0 International - Creative Commons"/>
    <hyperlink ref="I138" r:id="rId408" display="https://www.inaturalist.org/observations/239327238"/>
    <hyperlink ref="G139" r:id="rId409" display="avrajjal"/>
    <hyperlink ref="H139" r:id="rId410" display="Deed - Attribution-NonCommercial 4.0 International - Creative Commons"/>
    <hyperlink ref="I139" r:id="rId411" display="https://www.inaturalist.org/observations/225693409"/>
    <hyperlink ref="G140" r:id="rId412" display="siddhanta23"/>
    <hyperlink ref="H140" r:id="rId413" display="Deed - Attribution-NonCommercial 4.0 International - Creative Commons"/>
    <hyperlink ref="I140" r:id="rId414" display="https://www.inaturalist.org/observations/207334921"/>
    <hyperlink ref="G141" r:id="rId415" display="chandra_sekhar_"/>
    <hyperlink ref="H141" r:id="rId416" display="Deed - Attribution-NonCommercial 4.0 International - Creative Commons"/>
    <hyperlink ref="I141" r:id="rId417" display="https://www.inaturalist.org/observations/169206892"/>
    <hyperlink ref="G142" r:id="rId418" display="dr_deepu_visweswar"/>
    <hyperlink ref="H142" r:id="rId419" display="Deed - Attribution-NonCommercial 4.0 International - Creative Commons"/>
    <hyperlink ref="I142" r:id="rId420" display="https://www.inaturalist.org/observations/163797975"/>
    <hyperlink ref="G143" r:id="rId421" display="ankitha_jayanth"/>
    <hyperlink ref="H143" r:id="rId422" display="Deed - Attribution-NonCommercial 4.0 International - Creative Commons"/>
    <hyperlink ref="I143" r:id="rId423" display="https://www.inaturalist.org/observations/331935514"/>
    <hyperlink ref="G144" r:id="rId424" display="joshiag"/>
    <hyperlink ref="H144" r:id="rId425" display="Deed - Attribution-NonCommercial 4.0 International - Creative Commons"/>
    <hyperlink ref="I144" r:id="rId426" display="https://www.inaturalist.org/observations/327402352"/>
    <hyperlink ref="G145" r:id="rId427" display="joshiag"/>
    <hyperlink ref="H145" r:id="rId428" display="Deed - Attribution-NonCommercial 4.0 International - Creative Commons"/>
    <hyperlink ref="I145" r:id="rId429" display="https://www.inaturalist.org/observations/327402352"/>
    <hyperlink ref="G146" r:id="rId430" display="naushadtheba"/>
    <hyperlink ref="H146" r:id="rId431" display="Deed - Attribution-NonCommercial 4.0 International - Creative Commons"/>
    <hyperlink ref="I146" r:id="rId432" display="https://www.inaturalist.org/observations/326152169"/>
    <hyperlink ref="G147" r:id="rId433" display="siddhantmhetre09"/>
    <hyperlink ref="H147" r:id="rId434" display="Deed - Attribution-NonCommercial 4.0 International - Creative Commons"/>
    <hyperlink ref="I147" r:id="rId435" display="https://www.inaturalist.org/observations/281267885"/>
    <hyperlink ref="G148" r:id="rId436" display="avishkar"/>
    <hyperlink ref="H148" r:id="rId437" display="Deed - Attribution-NonCommercial 4.0 International - Creative Commons"/>
    <hyperlink ref="I148" r:id="rId438" display="https://www.inaturalist.org/observations/254727066"/>
    <hyperlink ref="G149" r:id="rId439" display="ritul"/>
    <hyperlink ref="H149" r:id="rId440" display="Deed - Attribution-NonCommercial 4.0 International - Creative Commons"/>
    <hyperlink ref="I149" r:id="rId441" display="https://www.inaturalist.org/observations/244652501"/>
    <hyperlink ref="G150" r:id="rId442" display="ritul"/>
    <hyperlink ref="H150" r:id="rId443" display="Deed - Attribution-NonCommercial 4.0 International - Creative Commons"/>
    <hyperlink ref="I150" r:id="rId444" display="https://www.inaturalist.org/observations/244652501"/>
    <hyperlink ref="G151" r:id="rId445" display="ritul"/>
    <hyperlink ref="H151" r:id="rId446" display="Deed - Attribution-NonCommercial 4.0 International - Creative Commons"/>
    <hyperlink ref="I151" r:id="rId447" display="https://www.inaturalist.org/observations/244652501"/>
    <hyperlink ref="G152" r:id="rId448" display="ritul"/>
    <hyperlink ref="H152" r:id="rId449" display="Deed - Attribution-NonCommercial 4.0 International - Creative Commons"/>
    <hyperlink ref="I152" r:id="rId450" display="https://www.inaturalist.org/observations/244652501"/>
    <hyperlink ref="G153" r:id="rId451" display="avinashbhagat2"/>
    <hyperlink ref="H153" r:id="rId452" display="Deed - Attribution-NonCommercial 4.0 International - Creative Commons"/>
    <hyperlink ref="I153" r:id="rId453" display="https://www.inaturalist.org/observations/188702529"/>
    <hyperlink ref="G154" r:id="rId454" display="avinashbhagat2"/>
    <hyperlink ref="H154" r:id="rId455" display="Deed - Attribution-NonCommercial 4.0 International - Creative Commons"/>
    <hyperlink ref="I154" r:id="rId456" display="https://www.inaturalist.org/observations/188127741"/>
    <hyperlink ref="G155" r:id="rId457" display="avinashbhagat2"/>
    <hyperlink ref="H155" r:id="rId458" display="Deed - Attribution-NonCommercial 4.0 International - Creative Commons"/>
    <hyperlink ref="I155" r:id="rId459" display="https://www.inaturalist.org/observations/188127741"/>
    <hyperlink ref="G156" r:id="rId460" display="karan_7"/>
    <hyperlink ref="H156" r:id="rId461" display="Deed - Attribution-NonCommercial 4.0 International - Creative Commons"/>
    <hyperlink ref="I156" r:id="rId462" display="https://www.inaturalist.org/observations/184822942"/>
    <hyperlink ref="G157" r:id="rId463" display="jonhakim"/>
    <hyperlink ref="H157" r:id="rId464" display="Deed - Attribution-NonCommercial 4.0 International - Creative Commons"/>
    <hyperlink ref="I157" r:id="rId465" display="https://www.inaturalist.org/observations/176969378"/>
    <hyperlink ref="G158" r:id="rId466" display="jonhakim"/>
    <hyperlink ref="H158" r:id="rId467" display="Deed - Attribution-NonCommercial 4.0 International - Creative Commons"/>
    <hyperlink ref="I158" r:id="rId468" display="https://www.inaturalist.org/observations/176969357"/>
    <hyperlink ref="G159" r:id="rId469" display="jonhakim"/>
    <hyperlink ref="H159" r:id="rId470" display="Deed - Attribution-NonCommercial 4.0 International - Creative Commons"/>
    <hyperlink ref="I159" r:id="rId471" display="https://www.inaturalist.org/observations/176862948"/>
    <hyperlink ref="G160" r:id="rId472" display="jonhakim"/>
    <hyperlink ref="H160" r:id="rId473" display="Deed - Attribution-NonCommercial 4.0 International - Creative Commons"/>
    <hyperlink ref="I160" r:id="rId474" display="https://www.inaturalist.org/observations/176862948"/>
    <hyperlink ref="G161" r:id="rId475" display="jonhakim"/>
    <hyperlink ref="H161" r:id="rId476" display="Deed - Attribution-NonCommercial 4.0 International - Creative Commons"/>
    <hyperlink ref="I161" r:id="rId477" display="https://www.inaturalist.org/observations/176862948"/>
    <hyperlink ref="G162" r:id="rId478" display="jayantdeshpande"/>
    <hyperlink ref="H162" r:id="rId479" display="Deed - Attribution-NonCommercial 4.0 International - Creative Commons"/>
    <hyperlink ref="I162" r:id="rId480" display="https://www.inaturalist.org/observations/121993372"/>
    <hyperlink ref="G163" r:id="rId481" display="pittatours"/>
    <hyperlink ref="H163" r:id="rId482" display="Deed - Attribution-NonCommercial 4.0 International - Creative Commons"/>
    <hyperlink ref="I163" r:id="rId483" display="https://www.inaturalist.org/observations/109499645"/>
    <hyperlink ref="G164" r:id="rId484" display="pramodmahanubhav"/>
    <hyperlink ref="H164" r:id="rId485" display="Deed - Attribution-NonCommercial 4.0 International - Creative Commons"/>
    <hyperlink ref="I164" r:id="rId486" display="https://www.inaturalist.org/observations/91107487"/>
    <hyperlink ref="G165" r:id="rId487" display="shaileshg1806"/>
    <hyperlink ref="H165" r:id="rId488" display="Deed - Attribution-NonCommercial 4.0 International - Creative Commons"/>
    <hyperlink ref="I165" r:id="rId489" display="https://www.inaturalist.org/observations/78623420"/>
    <hyperlink ref="G166" r:id="rId490" display="udayagashe"/>
    <hyperlink ref="H166" r:id="rId491" display="Deed - Attribution-NonCommercial 4.0 International - Creative Commons"/>
    <hyperlink ref="I166" r:id="rId492" display="https://www.inaturalist.org/observations/56207056"/>
    <hyperlink ref="G167" r:id="rId493" display="udayagashe"/>
    <hyperlink ref="H167" r:id="rId494" display="Deed - Attribution-NonCommercial 4.0 International - Creative Commons"/>
    <hyperlink ref="I167" r:id="rId495" display="https://www.inaturalist.org/observations/56207055"/>
    <hyperlink ref="G168" r:id="rId496" display="udayagashe"/>
    <hyperlink ref="H168" r:id="rId497" display="Deed - Attribution-NonCommercial 4.0 International - Creative Commons"/>
    <hyperlink ref="I168" r:id="rId498" display="https://www.inaturalist.org/observations/56201102"/>
    <hyperlink ref="G169" r:id="rId499" display="ygurjar"/>
    <hyperlink ref="H169" r:id="rId500" display="Deed - Attribution-NonCommercial 4.0 International - Creative Commons"/>
    <hyperlink ref="I169" r:id="rId501" display="https://www.inaturalist.org/observations/55768159"/>
    <hyperlink ref="G170" r:id="rId502" display="ygurjar"/>
    <hyperlink ref="H170" r:id="rId503" display="Deed - Attribution-NonCommercial 4.0 International - Creative Commons"/>
    <hyperlink ref="I170" r:id="rId504" display="https://www.inaturalist.org/observations/55768158"/>
    <hyperlink ref="G171" r:id="rId505" display="ygurjar"/>
    <hyperlink ref="H171" r:id="rId506" display="Deed - Attribution-NonCommercial 4.0 International - Creative Commons"/>
    <hyperlink ref="I171" r:id="rId507" display="https://www.inaturalist.org/observations/55766991"/>
    <hyperlink ref="G172" r:id="rId508" display="ygurjar"/>
    <hyperlink ref="H172" r:id="rId509" display="Deed - Attribution-NonCommercial 4.0 International - Creative Commons"/>
    <hyperlink ref="I172" r:id="rId510" display="https://www.inaturalist.org/observations/55682487"/>
    <hyperlink ref="G173" r:id="rId511" display="ygurjar"/>
    <hyperlink ref="H173" r:id="rId512" display="Deed - Attribution-NonCommercial 4.0 International - Creative Commons"/>
    <hyperlink ref="I173" r:id="rId513" display="https://www.inaturalist.org/observations/55585094"/>
    <hyperlink ref="G174" r:id="rId514" display="swanand"/>
    <hyperlink ref="H174" r:id="rId515" display="Deed - Attribution-NonCommercial 4.0 International - Creative Commons"/>
    <hyperlink ref="I174" r:id="rId516" display="https://www.inaturalist.org/observations/52831058"/>
    <hyperlink ref="G175" r:id="rId517" display="rujutavinod"/>
    <hyperlink ref="H175" r:id="rId518" display="Deed - Attribution-NonCommercial 4.0 International - Creative Commons"/>
    <hyperlink ref="I175" r:id="rId519" display="https://www.inaturalist.org/observations/52662646"/>
    <hyperlink ref="G176" r:id="rId520" display="rujutavinod"/>
    <hyperlink ref="H176" r:id="rId521" display="Deed - Attribution-NonCommercial 4.0 International - Creative Commons"/>
    <hyperlink ref="I176" r:id="rId522" display="https://www.inaturalist.org/observations/52662645"/>
    <hyperlink ref="G177" r:id="rId523" display="swanand"/>
    <hyperlink ref="H177" r:id="rId524" display="Deed - Attribution-NonCommercial 4.0 International - Creative Commons"/>
    <hyperlink ref="I177" r:id="rId525" display="https://www.inaturalist.org/observations/39147735"/>
    <hyperlink ref="G178" r:id="rId526" display="faustoalexei"/>
    <hyperlink ref="H178" r:id="rId527" display="Deed - Attribution-NonCommercial 4.0 International - Creative Commons"/>
    <hyperlink ref="I178" r:id="rId528" display="https://www.inaturalist.org/observations/377054599"/>
    <hyperlink ref="G179" r:id="rId529" display="faustoalexei"/>
    <hyperlink ref="H179" r:id="rId530" display="Deed - Attribution-NonCommercial 4.0 International - Creative Commons"/>
    <hyperlink ref="I179" r:id="rId531" display="https://www.inaturalist.org/observations/377054599"/>
    <hyperlink ref="G180" r:id="rId532" display="burgundyreptilesjr"/>
    <hyperlink ref="H180" r:id="rId533" display="Deed - Attribution-NonCommercial 4.0 International - Creative Commons"/>
    <hyperlink ref="I180" r:id="rId534" display="https://www.inaturalist.org/observations/331015415"/>
    <hyperlink ref="G181" r:id="rId535" display="burgundyreptilesjr"/>
    <hyperlink ref="H181" r:id="rId536" display="Deed - Attribution-NonCommercial 4.0 International - Creative Commons"/>
    <hyperlink ref="I181" r:id="rId537" display="https://www.inaturalist.org/observations/331015415"/>
    <hyperlink ref="G182" r:id="rId538" display="fateh_sher"/>
    <hyperlink ref="H182" r:id="rId539" display="Deed - Attribution-NonCommercial 4.0 International - Creative Commons"/>
    <hyperlink ref="I182" r:id="rId540" display="https://www.inaturalist.org/observations/323453492"/>
    <hyperlink ref="G183" r:id="rId541" display="astrapia"/>
    <hyperlink ref="H183" r:id="rId542" display="Deed - Attribution-NonCommercial 4.0 International - Creative Commons"/>
    <hyperlink ref="I183" r:id="rId543" display="https://www.inaturalist.org/observations/287027399"/>
    <hyperlink ref="G184" r:id="rId544" display="astrapia"/>
    <hyperlink ref="H184" r:id="rId545" display="Deed - Attribution-NonCommercial 4.0 International - Creative Commons"/>
    <hyperlink ref="I184" r:id="rId546" display="https://www.inaturalist.org/observations/287027399"/>
    <hyperlink ref="G185" r:id="rId547" display="astrapia"/>
    <hyperlink ref="H185" r:id="rId548" display="Deed - Attribution-NonCommercial 4.0 International - Creative Commons"/>
    <hyperlink ref="I185" r:id="rId549" display="https://www.inaturalist.org/observations/287027399"/>
    <hyperlink ref="G186" r:id="rId550" display="astrapia"/>
    <hyperlink ref="H186" r:id="rId551" display="Deed - Attribution-NonCommercial 4.0 International - Creative Commons"/>
    <hyperlink ref="I186" r:id="rId552" display="https://www.inaturalist.org/observations/287027399"/>
    <hyperlink ref="G187" r:id="rId553" display="aary"/>
    <hyperlink ref="H187" r:id="rId554" display="Deed - Attribution-NonCommercial 4.0 International - Creative Commons"/>
    <hyperlink ref="I187" r:id="rId555" display="https://www.inaturalist.org/observations/271474107"/>
    <hyperlink ref="G188" r:id="rId556" display="khateebsherani"/>
    <hyperlink ref="H188" r:id="rId557" display="Deed - Attribution-NonCommercial 4.0 International - Creative Commons"/>
    <hyperlink ref="I188" r:id="rId558" display="https://www.inaturalist.org/observations/267159284"/>
    <hyperlink ref="G189" r:id="rId559" display="zafeershaikh"/>
    <hyperlink ref="H189" r:id="rId560" display="Deed - Attribution-NonCommercial 4.0 International - Creative Commons"/>
    <hyperlink ref="I189" r:id="rId561" display="https://www.inaturalist.org/observations/235312839"/>
    <hyperlink ref="G190" r:id="rId562" display="zafeershaikh"/>
    <hyperlink ref="H190" r:id="rId563" display="Deed - Attribution-NonCommercial 4.0 International - Creative Commons"/>
    <hyperlink ref="I190" r:id="rId564" display="https://www.inaturalist.org/observations/235312839"/>
    <hyperlink ref="G191" r:id="rId565" display="zafeershaikh"/>
    <hyperlink ref="H191" r:id="rId566" display="Deed - Attribution-NonCommercial 4.0 International - Creative Commons"/>
    <hyperlink ref="I191" r:id="rId567" display="https://www.inaturalist.org/observations/235312839"/>
    <hyperlink ref="G192" r:id="rId568" display="zafeershaikh"/>
    <hyperlink ref="H192" r:id="rId569" display="Deed - Attribution-NonCommercial 4.0 International - Creative Commons"/>
    <hyperlink ref="I192" r:id="rId570" display="https://www.inaturalist.org/observations/235312839"/>
    <hyperlink ref="G193" r:id="rId571" display="zafeershaikh"/>
    <hyperlink ref="H193" r:id="rId572" display="Deed - Attribution-NonCommercial 4.0 International - Creative Commons"/>
    <hyperlink ref="I193" r:id="rId573" display="https://www.inaturalist.org/observations/235312839"/>
    <hyperlink ref="G194" r:id="rId574" display="zafeershaikh"/>
    <hyperlink ref="H194" r:id="rId575" display="Deed - Attribution-NonCommercial 4.0 International - Creative Commons"/>
    <hyperlink ref="I194" r:id="rId576" display="https://www.inaturalist.org/observations/235312839"/>
    <hyperlink ref="G195" r:id="rId577" display="zafeershaikh"/>
    <hyperlink ref="H195" r:id="rId578" display="Deed - Attribution-NonCommercial 4.0 International - Creative Commons"/>
    <hyperlink ref="I195" r:id="rId579" display="https://www.inaturalist.org/observations/235312839"/>
    <hyperlink ref="H196" r:id="rId580" display="Deed - Attribution-NonCommercial 4.0 International - Creative Commons"/>
    <hyperlink ref="I196" r:id="rId581" display="https://www.inaturalist.org/observations/235312839"/>
    <hyperlink ref="G197" r:id="rId582" display="zafeershaikh"/>
    <hyperlink ref="H197" r:id="rId583" display="Deed - Attribution-NonCommercial 4.0 International - Creative Commons"/>
    <hyperlink ref="I197" r:id="rId584" display="https://www.inaturalist.org/observations/235312839"/>
    <hyperlink ref="G198" r:id="rId585" display="zafeershaikh"/>
    <hyperlink ref="H198" r:id="rId586" display="Deed - Attribution-NonCommercial 4.0 International - Creative Commons"/>
    <hyperlink ref="I198" r:id="rId587" display="https://www.inaturalist.org/observations/235312839"/>
    <hyperlink ref="G199" r:id="rId588" display="wildsam_16"/>
    <hyperlink ref="H199" r:id="rId589" display="Deed - Attribution-NonCommercial 4.0 International - Creative Commons"/>
    <hyperlink ref="I199" r:id="rId590" display="https://www.inaturalist.org/observations/178502708"/>
    <hyperlink ref="G200" r:id="rId591" display="wildsam_16"/>
    <hyperlink ref="H200" r:id="rId592" display="Deed - Attribution-NonCommercial 4.0 International - Creative Commons"/>
    <hyperlink ref="I200" r:id="rId593" display="https://www.inaturalist.org/observations/178502708"/>
    <hyperlink ref="G201" r:id="rId594" display="grahamarmstrong"/>
    <hyperlink ref="H201" r:id="rId595" display="Deed - Attribution-NonCommercial 4.0 International - Creative Commons"/>
    <hyperlink ref="I201" r:id="rId596" display="https://www.inaturalist.org/observations/107355755"/>
    <hyperlink ref="G202" r:id="rId597" display="grahamarmstrong"/>
    <hyperlink ref="H202" r:id="rId598" display="Deed - Attribution-NonCommercial 4.0 International - Creative Commons"/>
    <hyperlink ref="I202" r:id="rId599" display="https://www.inaturalist.org/observations/107355360"/>
    <hyperlink ref="G203" r:id="rId600" display="magicwombat"/>
    <hyperlink ref="H203" r:id="rId601" display="Deed - Attribution-NonCommercial 4.0 International - Creative Commons"/>
    <hyperlink ref="I203" r:id="rId602" display="https://www.inaturalist.org/observations/30469162"/>
    <hyperlink ref="G204" r:id="rId603" display="magicwombat"/>
    <hyperlink ref="H204" r:id="rId604" display="Deed - Attribution-NonCommercial 4.0 International - Creative Commons"/>
    <hyperlink ref="I204" r:id="rId605" display="https://www.inaturalist.org/observations/30469162"/>
    <hyperlink ref="G205" r:id="rId606" display="magicwombat"/>
    <hyperlink ref="H205" r:id="rId607" display="Deed - Attribution-NonCommercial 4.0 International - Creative Commons"/>
    <hyperlink ref="I205" r:id="rId608" display="https://www.inaturalist.org/observations/30469162"/>
    <hyperlink ref="G206" r:id="rId609" display="dodomae98"/>
    <hyperlink ref="H206" r:id="rId610" display="Deed - Attribution-NonCommercial 4.0 International - Creative Commons"/>
    <hyperlink ref="I206" r:id="rId611" display="https://www.inaturalist.org/observations/13658491"/>
    <hyperlink ref="G207" r:id="rId612" display="cmus"/>
    <hyperlink ref="H207" r:id="rId613" display="Deed - Attribution-NonCommercial 4.0 International - Creative Commons"/>
    <hyperlink ref="I207" r:id="rId614" display="https://www.inaturalist.org/observations/1669419"/>
    <hyperlink ref="H208" r:id="rId615" display="Deed - Attribution-NonCommercial 4.0 International - Creative Commons"/>
    <hyperlink ref="H209" r:id="rId616" display="Deed - Attribution-NonCommercial 4.0 International - Creative Commons"/>
    <hyperlink ref="H210" r:id="rId617" display="Deed - Attribution-NonCommercial 4.0 International - Creative Commons"/>
    <hyperlink ref="H211" r:id="rId618" display="Deed - Attribution-NonCommercial 4.0 International - Creative Commons"/>
    <hyperlink ref="H212" r:id="rId619" display="Deed - Attribution-NonCommercial 4.0 International - Creative Commons"/>
    <hyperlink ref="G213" r:id="rId620" display="beizi125"/>
    <hyperlink ref="H213" r:id="rId621" display="Deed - Attribution-NonCommercial 4.0 International - Creative Commons"/>
    <hyperlink ref="I213" r:id="rId622" display="https://www.inaturalist.org/observations/374513494"/>
    <hyperlink ref="G214" r:id="rId623" display="o-o2002"/>
    <hyperlink ref="H214" r:id="rId624" display="Deed - Attribution-NonCommercial 4.0 International - Creative Commons"/>
    <hyperlink ref="I214" r:id="rId625" display="https://www.inaturalist.org/observations/357912640"/>
    <hyperlink ref="G215" r:id="rId626" display="fugee"/>
    <hyperlink ref="H215" r:id="rId627" display="Deed - Attribution-NonCommercial 4.0 International - Creative Commons"/>
    <hyperlink ref="I215" r:id="rId628" display="https://www.inaturalist.org/observations/342874388"/>
    <hyperlink ref="G216" r:id="rId629" display="chinesepaddlefish"/>
    <hyperlink ref="H216" r:id="rId630" display="Deed - Attribution-NonCommercial 4.0 International - Creative Commons"/>
    <hyperlink ref="I216" r:id="rId631" display="https://www.inaturalist.org/observations/333889464"/>
    <hyperlink ref="G217" r:id="rId632" display="chinesepaddlefish"/>
    <hyperlink ref="H217" r:id="rId633" display="Deed - Attribution-NonCommercial 4.0 International - Creative Commons"/>
    <hyperlink ref="I217" r:id="rId634" display="https://www.inaturalist.org/observations/333889464"/>
    <hyperlink ref="G218" r:id="rId635" display="shensike"/>
    <hyperlink ref="H218" r:id="rId636" display="Deed - Attribution-NonCommercial 4.0 International - Creative Commons"/>
    <hyperlink ref="I218" r:id="rId637" display="https://www.inaturalist.org/observations/325141068"/>
    <hyperlink ref="G219" r:id="rId638" display="shensike"/>
    <hyperlink ref="H219" r:id="rId639" display="Deed - Attribution-NonCommercial 4.0 International - Creative Commons"/>
    <hyperlink ref="I219" r:id="rId640" display="https://www.inaturalist.org/observations/325141068"/>
    <hyperlink ref="G220" r:id="rId641" display="shensike"/>
    <hyperlink ref="H220" r:id="rId642" display="Deed - Attribution-NonCommercial 4.0 International - Creative Commons"/>
    <hyperlink ref="I220" r:id="rId643" display="https://www.inaturalist.org/observations/325141068"/>
    <hyperlink ref="G221" r:id="rId644" display="haitongyu"/>
    <hyperlink ref="H221" r:id="rId645" display="Deed - Attribution-NonCommercial 4.0 International - Creative Commons"/>
    <hyperlink ref="I221" r:id="rId646" display="https://www.inaturalist.org/observations/313470140"/>
    <hyperlink ref="G222" r:id="rId647" display="yexingcha"/>
    <hyperlink ref="H222" r:id="rId648" display="Deed - Attribution-NonCommercial 4.0 International - Creative Commons"/>
    <hyperlink ref="I222" r:id="rId649" display="https://www.inaturalist.org/observations/304155023"/>
    <hyperlink ref="G223" r:id="rId650" display="haocong_cat"/>
    <hyperlink ref="H223" r:id="rId651" display="Deed - Attribution-NonCommercial 4.0 International - Creative Commons"/>
    <hyperlink ref="I223" r:id="rId652" display="https://www.inaturalist.org/observations/303431938"/>
    <hyperlink ref="G224" r:id="rId653" display="haocong_cat"/>
    <hyperlink ref="H224" r:id="rId654" display="Deed - Attribution-NonCommercial 4.0 International - Creative Commons"/>
    <hyperlink ref="I224" r:id="rId655" display="https://www.inaturalist.org/observations/303431938"/>
    <hyperlink ref="G225" r:id="rId656" display="byd_sb"/>
    <hyperlink ref="H225" r:id="rId657" display="Deed - Attribution-NonCommercial 4.0 International - Creative Commons"/>
    <hyperlink ref="I225" r:id="rId658" display="https://www.inaturalist.org/observations/300725590"/>
    <hyperlink ref="G226" r:id="rId659" display="rainbowlkc"/>
    <hyperlink ref="H226" r:id="rId660" display="Deed - Attribution-NonCommercial 4.0 International - Creative Commons"/>
    <hyperlink ref="I226" r:id="rId661" display="https://www.inaturalist.org/observations/299116747"/>
    <hyperlink ref="G227" r:id="rId662" display="rainbowlkc"/>
    <hyperlink ref="H227" r:id="rId663" display="Deed - Attribution-NonCommercial 4.0 International - Creative Commons"/>
    <hyperlink ref="I227" r:id="rId664" display="https://www.inaturalist.org/observations/299116723"/>
    <hyperlink ref="G228" r:id="rId665" display="rainbowlkc"/>
    <hyperlink ref="H228" r:id="rId666" display="Deed - Attribution-NonCommercial 4.0 International - Creative Commons"/>
    <hyperlink ref="I228" r:id="rId667" display="https://www.inaturalist.org/observations/299116693"/>
    <hyperlink ref="G229" r:id="rId668" display="rainbowlkc"/>
    <hyperlink ref="H229" r:id="rId669" display="Deed - Attribution-NonCommercial 4.0 International - Creative Commons"/>
    <hyperlink ref="I229" r:id="rId670" display="https://www.inaturalist.org/observations/299116646"/>
    <hyperlink ref="G230" r:id="rId671" display="rainbowlkc"/>
    <hyperlink ref="H230" r:id="rId672" display="Deed - Attribution-NonCommercial 4.0 International - Creative Commons"/>
    <hyperlink ref="I230" r:id="rId673" display="https://www.inaturalist.org/observations/299116622"/>
    <hyperlink ref="G231" r:id="rId674" display="rainbowlkc"/>
    <hyperlink ref="H231" r:id="rId675" display="Deed - Attribution-NonCommercial 4.0 International - Creative Commons"/>
    <hyperlink ref="I231" r:id="rId676" display="https://www.inaturalist.org/observations/299116606"/>
    <hyperlink ref="G232" r:id="rId677" display="rainbowlkc"/>
    <hyperlink ref="H232" r:id="rId678" display="Deed - Attribution-NonCommercial 4.0 International - Creative Commons"/>
    <hyperlink ref="I232" r:id="rId679" display="https://www.inaturalist.org/observations/299116569"/>
    <hyperlink ref="G233" r:id="rId680" display="rainbowlkc"/>
    <hyperlink ref="H233" r:id="rId681" display="Deed - Attribution-NonCommercial 4.0 International - Creative Commons"/>
    <hyperlink ref="I233" r:id="rId682" display="https://www.inaturalist.org/observations/299116516"/>
    <hyperlink ref="G234" r:id="rId683" display="rainbowlkc"/>
    <hyperlink ref="H234" r:id="rId684" display="Deed - Attribution-NonCommercial 4.0 International - Creative Commons"/>
    <hyperlink ref="I234" r:id="rId685" display="https://www.inaturalist.org/observations/299116493"/>
    <hyperlink ref="G235" r:id="rId686" display="rainbowlkc"/>
    <hyperlink ref="H235" r:id="rId687" display="Deed - Attribution-NonCommercial 4.0 International - Creative Commons"/>
    <hyperlink ref="I235" r:id="rId688" display="https://www.inaturalist.org/observations/299116466"/>
    <hyperlink ref="G236" r:id="rId689" display="rainbowlkc"/>
    <hyperlink ref="H236" r:id="rId690" display="Deed - Attribution-NonCommercial 4.0 International - Creative Commons"/>
    <hyperlink ref="I236" r:id="rId691" display="https://www.inaturalist.org/observations/299116435"/>
    <hyperlink ref="G237" r:id="rId692" display="islander_iskander"/>
    <hyperlink ref="H237" r:id="rId693" display="Deed - Attribution-NonCommercial 4.0 International - Creative Commons"/>
    <hyperlink ref="I237" r:id="rId694" display="https://www.inaturalist.org/observations/299010601"/>
    <hyperlink ref="G238" r:id="rId695" display="islander_iskander"/>
    <hyperlink ref="H238" r:id="rId696" display="Deed - Attribution-NonCommercial 4.0 International - Creative Commons"/>
    <hyperlink ref="I238" r:id="rId697" display="https://www.inaturalist.org/observations/299010499"/>
    <hyperlink ref="G239" r:id="rId698" display="islander_iskander"/>
    <hyperlink ref="H239" r:id="rId699" display="Deed - Attribution-NonCommercial 4.0 International - Creative Commons"/>
    <hyperlink ref="I239" r:id="rId700" display="https://www.inaturalist.org/observations/299010420"/>
    <hyperlink ref="G240" r:id="rId701" display="islander_iskander"/>
    <hyperlink ref="H240" r:id="rId702" display="Deed - Attribution-NonCommercial 4.0 International - Creative Commons"/>
    <hyperlink ref="I240" r:id="rId703" display="https://www.inaturalist.org/observations/299010299"/>
    <hyperlink ref="G241" r:id="rId704" display="islander_iskander"/>
    <hyperlink ref="H241" r:id="rId705" display="Deed - Attribution-NonCommercial 4.0 International - Creative Commons"/>
    <hyperlink ref="I241" r:id="rId706" display="https://www.inaturalist.org/observations/299010150"/>
    <hyperlink ref="G242" r:id="rId707" display="islander_iskander"/>
    <hyperlink ref="H242" r:id="rId708" display="Deed - Attribution-NonCommercial 4.0 International - Creative Commons"/>
    <hyperlink ref="I242" r:id="rId709" display="https://www.inaturalist.org/observations/299010024"/>
    <hyperlink ref="G243" r:id="rId710" display="islander_iskander"/>
    <hyperlink ref="H243" r:id="rId711" display="Deed - Attribution-NonCommercial 4.0 International - Creative Commons"/>
    <hyperlink ref="I243" r:id="rId712" display="https://www.inaturalist.org/observations/299009947"/>
    <hyperlink ref="G244" r:id="rId713" display="islander_iskander"/>
    <hyperlink ref="H244" r:id="rId714" display="Deed - Attribution-NonCommercial 4.0 International - Creative Commons"/>
    <hyperlink ref="I244" r:id="rId715" display="https://www.inaturalist.org/observations/299009856"/>
    <hyperlink ref="G245" r:id="rId716" display="islander_iskander"/>
    <hyperlink ref="H245" r:id="rId717" display="Deed - Attribution-NonCommercial 4.0 International - Creative Commons"/>
    <hyperlink ref="I245" r:id="rId718" display="https://www.inaturalist.org/observations/299009754"/>
    <hyperlink ref="G246" r:id="rId719" display="leekelai"/>
    <hyperlink ref="H246" r:id="rId720" display="Deed - Attribution-NonCommercial 4.0 International - Creative Commons"/>
    <hyperlink ref="I246" r:id="rId721" display="https://www.inaturalist.org/observations/287790924"/>
    <hyperlink ref="G247" r:id="rId722" display="leekelai"/>
    <hyperlink ref="H247" r:id="rId723" display="Deed - Attribution-NonCommercial 4.0 International - Creative Commons"/>
    <hyperlink ref="I247" r:id="rId724" display="https://www.inaturalist.org/observations/287790924"/>
    <hyperlink ref="G248" r:id="rId725" display="yizhidegua"/>
    <hyperlink ref="H248" r:id="rId726" display="Deed - Attribution-NonCommercial 4.0 International - Creative Commons"/>
    <hyperlink ref="I248" r:id="rId727" display="https://www.inaturalist.org/observations/379140983"/>
    <hyperlink ref="G249" r:id="rId728" display="yizhidegua"/>
    <hyperlink ref="H249" r:id="rId729" display="Deed - Attribution-NonCommercial 4.0 International - Creative Commons"/>
    <hyperlink ref="I249" r:id="rId730" display="https://www.inaturalist.org/observations/379140983"/>
    <hyperlink ref="G250" r:id="rId731" display="yizhidegua"/>
    <hyperlink ref="H250" r:id="rId732" display="Deed - Attribution-NonCommercial 4.0 International - Creative Commons"/>
    <hyperlink ref="I250" r:id="rId733" display="https://www.inaturalist.org/observations/379140983"/>
    <hyperlink ref="G251" r:id="rId734" display="yizhidegua"/>
    <hyperlink ref="H251" r:id="rId735" display="Deed - Attribution-NonCommercial 4.0 International - Creative Commons"/>
    <hyperlink ref="I251" r:id="rId736" display="https://www.inaturalist.org/observations/379140983"/>
    <hyperlink ref="G252" r:id="rId737" display="nianian"/>
    <hyperlink ref="H252" r:id="rId738" display="Deed - Attribution-NonCommercial 4.0 International - Creative Commons"/>
    <hyperlink ref="I252" r:id="rId739" display="https://www.inaturalist.org/observations/361087273"/>
    <hyperlink ref="G253" r:id="rId740" display="nianian"/>
    <hyperlink ref="H253" r:id="rId741" display="Deed - Attribution-NonCommercial 4.0 International - Creative Commons"/>
    <hyperlink ref="I253" r:id="rId742" display="https://www.inaturalist.org/observations/361087273"/>
    <hyperlink ref="G254" r:id="rId743" display="nianian"/>
    <hyperlink ref="H254" r:id="rId744" display="Deed - Attribution-NonCommercial 4.0 International - Creative Commons"/>
    <hyperlink ref="I254" r:id="rId745" display="https://www.inaturalist.org/observations/361087273"/>
    <hyperlink ref="G255" r:id="rId746" display="nianian"/>
    <hyperlink ref="H255" r:id="rId747" display="Deed - Attribution-NonCommercial 4.0 International - Creative Commons"/>
    <hyperlink ref="I255" r:id="rId748" display="https://www.inaturalist.org/observations/361087273"/>
    <hyperlink ref="G256" r:id="rId749" display="liushi"/>
    <hyperlink ref="H256" r:id="rId750" display="Deed - Attribution-NonCommercial 4.0 International - Creative Commons"/>
    <hyperlink ref="I256" r:id="rId751" display="https://www.inaturalist.org/observations/349134751"/>
    <hyperlink ref="G257" r:id="rId752" display="kragikuak"/>
    <hyperlink ref="H257" r:id="rId753" display="Deed - Attribution-NonCommercial 4.0 International - Creative Commons"/>
    <hyperlink ref="I257" r:id="rId754" display="https://www.inaturalist.org/observations/347329292"/>
    <hyperlink ref="G258" r:id="rId755" display="kragikuak"/>
    <hyperlink ref="H258" r:id="rId756" display="Deed - Attribution-NonCommercial 4.0 International - Creative Commons"/>
    <hyperlink ref="I258" r:id="rId757" display="https://www.inaturalist.org/observations/346838252"/>
    <hyperlink ref="G259" r:id="rId758" display="kragikuak"/>
    <hyperlink ref="H259" r:id="rId759" display="Deed - Attribution-NonCommercial 4.0 International - Creative Commons"/>
    <hyperlink ref="I259" r:id="rId760" display="https://www.inaturalist.org/observations/346838252"/>
    <hyperlink ref="G260" r:id="rId761" display="kragikuak"/>
    <hyperlink ref="H260" r:id="rId762" display="Deed - Attribution-NonCommercial 4.0 International - Creative Commons"/>
    <hyperlink ref="I260" r:id="rId763" display="https://www.inaturalist.org/observations/346838252"/>
    <hyperlink ref="G261" r:id="rId764" display="kragikuak"/>
    <hyperlink ref="H261" r:id="rId765" display="Deed - Attribution-NonCommercial 4.0 International - Creative Commons"/>
    <hyperlink ref="I261" r:id="rId766" display="https://www.inaturalist.org/observations/346838252"/>
    <hyperlink ref="G262" r:id="rId767" display="kragikuak"/>
    <hyperlink ref="H262" r:id="rId768" display="Deed - Attribution-NonCommercial 4.0 International - Creative Commons"/>
    <hyperlink ref="I262" r:id="rId769" display="https://www.inaturalist.org/observations/346838252"/>
    <hyperlink ref="G263" r:id="rId770" display="merdeux"/>
    <hyperlink ref="H263" r:id="rId771" display="Deed - Attribution-NonCommercial 4.0 International - Creative Commons"/>
    <hyperlink ref="I263" r:id="rId772" display="https://www.inaturalist.org/observations/321042679"/>
    <hyperlink ref="G264" r:id="rId773" display="merdeux"/>
    <hyperlink ref="H264" r:id="rId774" display="Deed - Attribution-NonCommercial 4.0 International - Creative Commons"/>
    <hyperlink ref="I264" r:id="rId775" display="https://www.inaturalist.org/observations/321042679"/>
    <hyperlink ref="G265" r:id="rId776" display="merdeux"/>
    <hyperlink ref="H265" r:id="rId777" display="Deed - Attribution-NonCommercial 4.0 International - Creative Commons"/>
    <hyperlink ref="I265" r:id="rId778" display="https://www.inaturalist.org/observations/321042679"/>
    <hyperlink ref="G266" r:id="rId779" display="merdeux"/>
    <hyperlink ref="H266" r:id="rId780" display="Deed - Attribution-NonCommercial 4.0 International - Creative Commons"/>
    <hyperlink ref="I266" r:id="rId781" display="https://www.inaturalist.org/observations/321042679"/>
    <hyperlink ref="G267" r:id="rId782" display="merdeux"/>
    <hyperlink ref="H267" r:id="rId783" display="Deed - Attribution-NonCommercial 4.0 International - Creative Commons"/>
    <hyperlink ref="I267" r:id="rId784" display="https://www.inaturalist.org/observations/320580731"/>
    <hyperlink ref="G268" r:id="rId785" display="merdeux"/>
    <hyperlink ref="H268" r:id="rId786" display="Deed - Attribution-NonCommercial 4.0 International - Creative Commons"/>
    <hyperlink ref="I268" r:id="rId787" display="https://www.inaturalist.org/observations/320580731"/>
    <hyperlink ref="G269" r:id="rId788" display="merdeux"/>
    <hyperlink ref="H269" r:id="rId789" display="Deed - Attribution-NonCommercial 4.0 International - Creative Commons"/>
    <hyperlink ref="I269" r:id="rId790" display="https://www.inaturalist.org/observations/319870609"/>
    <hyperlink ref="G270" r:id="rId791" display="psyduckey"/>
    <hyperlink ref="H270" r:id="rId792" display="Deed - Attribution-NonCommercial 4.0 International - Creative Commons"/>
    <hyperlink ref="I270" r:id="rId793" display="https://www.inaturalist.org/observations/319322821"/>
    <hyperlink ref="G271" r:id="rId794" display="psyduckey"/>
    <hyperlink ref="H271" r:id="rId795" display="Deed - Attribution-NonCommercial 4.0 International - Creative Commons"/>
    <hyperlink ref="I271" r:id="rId796" display="https://www.inaturalist.org/observations/318537436"/>
    <hyperlink ref="G272" r:id="rId797" display="psyduckey"/>
    <hyperlink ref="H272" r:id="rId798" display="Deed - Attribution-NonCommercial 4.0 International - Creative Commons"/>
    <hyperlink ref="I272" r:id="rId799" display="https://www.inaturalist.org/observations/318537433"/>
    <hyperlink ref="G273" r:id="rId800" display="xx2023"/>
    <hyperlink ref="H273" r:id="rId801" display="Deed - Attribution-NonCommercial 4.0 International - Creative Commons"/>
    <hyperlink ref="I273" r:id="rId802" display="https://www.inaturalist.org/observations/316918437"/>
    <hyperlink ref="G274" r:id="rId803" display="xx2023"/>
    <hyperlink ref="H274" r:id="rId804" display="Deed - Attribution-NonCommercial 4.0 International - Creative Commons"/>
    <hyperlink ref="I274" r:id="rId805" display="https://www.inaturalist.org/observations/316918383"/>
    <hyperlink ref="G275" r:id="rId806" display="xx2023"/>
    <hyperlink ref="H275" r:id="rId807" display="Deed - Attribution-NonCommercial 4.0 International - Creative Commons"/>
    <hyperlink ref="I275" r:id="rId808" display="https://www.inaturalist.org/observations/316918383"/>
    <hyperlink ref="G276" r:id="rId809" display="mohubuqing"/>
    <hyperlink ref="H276" r:id="rId810" display="Deed - Attribution-NonCommercial 4.0 International - Creative Commons"/>
    <hyperlink ref="I276" r:id="rId811" display="https://www.inaturalist.org/observations/308231308"/>
    <hyperlink ref="G277" r:id="rId812" display="mohubuqing"/>
    <hyperlink ref="H277" r:id="rId813" display="Deed - Attribution-NonCommercial 4.0 International - Creative Commons"/>
    <hyperlink ref="I277" r:id="rId814" display="https://www.inaturalist.org/observations/308231172"/>
    <hyperlink ref="G278" r:id="rId815" display="mohubuqing"/>
    <hyperlink ref="H278" r:id="rId816" display="Deed - Attribution-NonCommercial 4.0 International - Creative Commons"/>
    <hyperlink ref="I278" r:id="rId817" display="https://www.inaturalist.org/observations/308229194"/>
    <hyperlink ref="G279" r:id="rId818" display="mohubuqing"/>
    <hyperlink ref="H279" r:id="rId819" display="Deed - Attribution-NonCommercial 4.0 International - Creative Commons"/>
    <hyperlink ref="I279" r:id="rId820" display="https://www.inaturalist.org/observations/308229194"/>
    <hyperlink ref="G280" r:id="rId821" display="jame_jian"/>
    <hyperlink ref="H280" r:id="rId822" display="Deed - Attribution-NonCommercial 4.0 International - Creative Commons"/>
    <hyperlink ref="I280" r:id="rId823" display="https://www.inaturalist.org/observations/306927742"/>
    <hyperlink ref="G281" r:id="rId824" display="yexiao"/>
    <hyperlink ref="H281" r:id="rId825" display="Deed - Attribution-NonCommercial 4.0 International - Creative Commons"/>
    <hyperlink ref="I281" r:id="rId826" display="https://www.inaturalist.org/observations/306033904"/>
    <hyperlink ref="G282" r:id="rId827" display="yexiao"/>
    <hyperlink ref="H282" r:id="rId828" display="Deed - Attribution-NonCommercial 4.0 International - Creative Commons"/>
    <hyperlink ref="I282" r:id="rId829" display="https://www.inaturalist.org/observations/306033893"/>
    <hyperlink ref="G283" r:id="rId830" display="chinesepaddlefish"/>
    <hyperlink ref="H283" r:id="rId831" display="Deed - Attribution-NonCommercial 4.0 International - Creative Commons"/>
    <hyperlink ref="I283" r:id="rId832" display="https://www.inaturalist.org/observations/371697030"/>
    <hyperlink ref="G284" r:id="rId833" display="chinesepaddlefish"/>
    <hyperlink ref="H284" r:id="rId834" display="Deed - Attribution-NonCommercial 4.0 International - Creative Commons"/>
    <hyperlink ref="I284" r:id="rId835" display="https://www.inaturalist.org/observations/371697030"/>
    <hyperlink ref="G285" r:id="rId836" display="chinesepaddlefish"/>
    <hyperlink ref="H285" r:id="rId837" display="Deed - Attribution-NonCommercial 4.0 International - Creative Commons"/>
    <hyperlink ref="I285" r:id="rId838" display="https://www.inaturalist.org/observations/371697030"/>
    <hyperlink ref="G286" r:id="rId839" display="miles1221"/>
    <hyperlink ref="H286" r:id="rId840" display="Deed - Attribution-NonCommercial 4.0 International - Creative Commons"/>
    <hyperlink ref="I286" r:id="rId841" display="https://www.inaturalist.org/observations/364179417"/>
    <hyperlink ref="G287" r:id="rId842" display="daisy_tardis"/>
    <hyperlink ref="H287" r:id="rId843" display="Deed - Attribution-NonCommercial 4.0 International - Creative Commons"/>
    <hyperlink ref="I287" r:id="rId844" display="https://www.inaturalist.org/observations/353792114"/>
    <hyperlink ref="G288" r:id="rId845" display="haocong_cat"/>
    <hyperlink ref="H288" r:id="rId846" display="Deed - Attribution-NonCommercial 4.0 International - Creative Commons"/>
    <hyperlink ref="I288" r:id="rId847" display="https://www.inaturalist.org/observations/349580059"/>
    <hyperlink ref="G289" r:id="rId848" display="haocong_cat"/>
    <hyperlink ref="H289" r:id="rId849" display="Deed - Attribution-NonCommercial 4.0 International - Creative Commons"/>
    <hyperlink ref="I289" r:id="rId850" display="https://www.inaturalist.org/observations/349580042"/>
    <hyperlink ref="G290" r:id="rId851" display="haocong_cat"/>
    <hyperlink ref="H290" r:id="rId852" display="Deed - Attribution-NonCommercial 4.0 International - Creative Commons"/>
    <hyperlink ref="I290" r:id="rId853" display="https://www.inaturalist.org/observations/349580042"/>
    <hyperlink ref="G291" r:id="rId854" display="haocong_cat"/>
    <hyperlink ref="H291" r:id="rId855" display="Deed - Attribution-NonCommercial 4.0 International - Creative Commons"/>
    <hyperlink ref="I291" r:id="rId856" display="https://www.inaturalist.org/observations/349580041"/>
    <hyperlink ref="G292" r:id="rId857" display="haocong_cat"/>
    <hyperlink ref="H292" r:id="rId858" display="Deed - Attribution-NonCommercial 4.0 International - Creative Commons"/>
    <hyperlink ref="I292" r:id="rId859" display="https://www.inaturalist.org/observations/349580034"/>
    <hyperlink ref="G293" r:id="rId860" display="haocong_cat"/>
    <hyperlink ref="H293" r:id="rId861" display="Deed - Attribution-NonCommercial 4.0 International - Creative Commons"/>
    <hyperlink ref="I293" r:id="rId862" display="https://www.inaturalist.org/observations/349580031"/>
    <hyperlink ref="G294" r:id="rId863" display="manfu"/>
    <hyperlink ref="H294" r:id="rId864" display="Deed - Attribution-NonCommercial 4.0 International - Creative Commons"/>
    <hyperlink ref="I294" r:id="rId865" display="https://www.inaturalist.org/observations/340269769"/>
    <hyperlink ref="G295" r:id="rId866" display="yufufu"/>
    <hyperlink ref="H295" r:id="rId867" display="Deed - Attribution-NonCommercial 4.0 International - Creative Commons"/>
    <hyperlink ref="I295" r:id="rId868" display="https://www.inaturalist.org/observations/339855028"/>
    <hyperlink ref="G296" r:id="rId869" display="vinitor"/>
    <hyperlink ref="H296" r:id="rId870" display="Deed - Attribution-NonCommercial 4.0 International - Creative Commons"/>
    <hyperlink ref="I296" r:id="rId871" display="https://www.inaturalist.org/observations/336207246"/>
    <hyperlink ref="G297" r:id="rId872" display="vinitor"/>
    <hyperlink ref="H297" r:id="rId873" display="Deed - Attribution-NonCommercial 4.0 International - Creative Commons"/>
    <hyperlink ref="I297" r:id="rId874" display="https://www.inaturalist.org/observations/336207246"/>
    <hyperlink ref="G298" r:id="rId875" display="yamato_desu"/>
    <hyperlink ref="H298" r:id="rId876" display="Deed - Attribution-NonCommercial 4.0 International - Creative Commons"/>
    <hyperlink ref="I298" r:id="rId877" display="https://www.inaturalist.org/observations/333466651"/>
    <hyperlink ref="G299" r:id="rId878" display="esther28230"/>
    <hyperlink ref="H299" r:id="rId879" display="Deed - Attribution-NonCommercial 4.0 International - Creative Commons"/>
    <hyperlink ref="I299" r:id="rId880" display="https://www.inaturalist.org/observations/333446690"/>
    <hyperlink ref="G300" r:id="rId881" display="beizi125"/>
    <hyperlink ref="H300" r:id="rId882" display="Deed - Attribution-NonCommercial 4.0 International - Creative Commons"/>
    <hyperlink ref="I300" r:id="rId883" display="https://www.inaturalist.org/observations/330211347"/>
    <hyperlink ref="G301" r:id="rId884" display="michaelzheng"/>
    <hyperlink ref="H301" r:id="rId885" display="Deed - Attribution-NonCommercial 4.0 International - Creative Commons"/>
    <hyperlink ref="I301" r:id="rId886" display="https://www.inaturalist.org/observations/261229501"/>
    <hyperlink ref="G302" r:id="rId887" display="yexingcha"/>
    <hyperlink ref="H302" r:id="rId888" display="Deed - Attribution-NonCommercial 4.0 International - Creative Commons"/>
    <hyperlink ref="I302" r:id="rId889" display="https://www.inaturalist.org/observations/242503261"/>
    <hyperlink ref="G303" r:id="rId890" display="xiongge"/>
    <hyperlink ref="H303" r:id="rId891" display="Deed - Attribution-NonCommercial 4.0 International - Creative Commons"/>
    <hyperlink ref="I303" r:id="rId892" display="https://www.inaturalist.org/observations/238378792"/>
    <hyperlink ref="G304" r:id="rId893" display="xiongge"/>
    <hyperlink ref="H304" r:id="rId894" display="Deed - Attribution-NonCommercial 4.0 International - Creative Commons"/>
    <hyperlink ref="I304" r:id="rId895" display="https://www.inaturalist.org/observations/238378792"/>
    <hyperlink ref="G305" r:id="rId896" display="xiongge"/>
    <hyperlink ref="H305" r:id="rId897" display="Deed - Attribution-NonCommercial 4.0 International - Creative Commons"/>
    <hyperlink ref="I305" r:id="rId898" display="https://www.inaturalist.org/observations/238378792"/>
    <hyperlink ref="G306" r:id="rId899" display="k0ng"/>
    <hyperlink ref="H306" r:id="rId900" display="Deed - Attribution-NonCommercial 4.0 International - Creative Commons"/>
    <hyperlink ref="I306" r:id="rId901" display="https://www.inaturalist.org/observations/233630553"/>
    <hyperlink ref="G307" r:id="rId902" display="k0ng"/>
    <hyperlink ref="H307" r:id="rId903" display="Deed - Attribution-NonCommercial 4.0 International - Creative Commons"/>
    <hyperlink ref="I307" r:id="rId904" display="https://www.inaturalist.org/observations/233630553"/>
    <hyperlink ref="G308" r:id="rId905" display="k0ng"/>
    <hyperlink ref="H308" r:id="rId906" display="Deed - Attribution-NonCommercial 4.0 International - Creative Commons"/>
    <hyperlink ref="I308" r:id="rId907" display="https://www.inaturalist.org/observations/233630427"/>
    <hyperlink ref="G309" r:id="rId908" display="k0ng"/>
    <hyperlink ref="H309" r:id="rId909" display="Deed - Attribution-NonCommercial 4.0 International - Creative Commons"/>
    <hyperlink ref="I309" r:id="rId910" display="https://www.inaturalist.org/observations/233630427"/>
    <hyperlink ref="G310" r:id="rId911" display="gaogao123"/>
    <hyperlink ref="H310" r:id="rId912" display="Deed - Attribution-NonCommercial 4.0 International - Creative Commons"/>
    <hyperlink ref="I310" r:id="rId913" display="https://www.inaturalist.org/observations/228017155"/>
    <hyperlink ref="G311" r:id="rId914" display="rook_fu"/>
    <hyperlink ref="H311" r:id="rId915" display="Deed - Attribution-NonCommercial 4.0 International - Creative Commons"/>
    <hyperlink ref="I311" r:id="rId916" display="https://www.inaturalist.org/observations/226834432"/>
    <hyperlink ref="G312" r:id="rId917" display="rook_fu"/>
    <hyperlink ref="H312" r:id="rId918" display="Deed - Attribution-NonCommercial 4.0 International - Creative Commons"/>
    <hyperlink ref="I312" r:id="rId919" display="https://www.inaturalist.org/observations/226834192"/>
    <hyperlink ref="G313" r:id="rId920" display="observe-syz"/>
    <hyperlink ref="H313" r:id="rId921" display="Deed - Attribution-NonCommercial 4.0 International - Creative Commons"/>
    <hyperlink ref="I313" r:id="rId922" display="https://www.inaturalist.org/observations/196888281"/>
    <hyperlink ref="G314" r:id="rId923" display="cypselurus"/>
    <hyperlink ref="H314" r:id="rId924" display="Deed - Attribution-NonCommercial 4.0 International - Creative Commons"/>
    <hyperlink ref="I314" r:id="rId925" display="https://www.inaturalist.org/observations/195668182"/>
    <hyperlink ref="G315" r:id="rId926" display="cypselurus"/>
    <hyperlink ref="H315" r:id="rId927" display="Deed - Attribution-NonCommercial 4.0 International - Creative Commons"/>
    <hyperlink ref="I315" r:id="rId928" display="https://www.inaturalist.org/observations/195668182"/>
    <hyperlink ref="G316" r:id="rId929" display="cypselurus"/>
    <hyperlink ref="H316" r:id="rId930" display="Deed - Attribution-NonCommercial 4.0 International - Creative Commons"/>
    <hyperlink ref="I316" r:id="rId931" display="https://www.inaturalist.org/observations/195668182"/>
    <hyperlink ref="G317" r:id="rId932" display="cypselurus"/>
    <hyperlink ref="H317" r:id="rId933" display="Deed - Attribution-NonCommercial 4.0 International - Creative Commons"/>
    <hyperlink ref="I317" r:id="rId934" display="https://www.inaturalist.org/observations/195668182"/>
    <hyperlink ref="G318" r:id="rId935" display="insecta666"/>
    <hyperlink ref="H318" r:id="rId936" display="Deed - Attribution-NonCommercial 4.0 International - Creative Commons"/>
    <hyperlink ref="I318" r:id="rId937" display="https://www.inaturalist.org/observations/379069457"/>
    <hyperlink ref="G319" r:id="rId938" display="serang"/>
    <hyperlink ref="H319" r:id="rId939" display="Deed - Attribution-NonCommercial 4.0 International - Creative Commons"/>
    <hyperlink ref="I319" r:id="rId940" display="https://www.inaturalist.org/observations/376441261"/>
    <hyperlink ref="G320" r:id="rId941" display="yapjg"/>
    <hyperlink ref="H320" r:id="rId942" display="Deed - Attribution-NonCommercial 4.0 International - Creative Commons"/>
    <hyperlink ref="I320" r:id="rId943" display="https://www.inaturalist.org/observations/375238525"/>
    <hyperlink ref="G321" r:id="rId944" display="yapjg"/>
    <hyperlink ref="H321" r:id="rId945" display="Deed - Attribution-NonCommercial 4.0 International - Creative Commons"/>
    <hyperlink ref="I321" r:id="rId946" display="https://www.inaturalist.org/observations/375238525"/>
    <hyperlink ref="G322" r:id="rId947" display="peterchristiaen"/>
    <hyperlink ref="H322" r:id="rId948" display="Deed - Attribution-NonCommercial 4.0 International - Creative Commons"/>
    <hyperlink ref="I322" r:id="rId949" display="https://www.inaturalist.org/observations/374826359"/>
    <hyperlink ref="G323" r:id="rId950" display="peterchristiaen"/>
    <hyperlink ref="H323" r:id="rId951" display="Deed - Attribution-NonCommercial 4.0 International - Creative Commons"/>
    <hyperlink ref="I323" r:id="rId952" display="https://www.inaturalist.org/observations/374826359"/>
    <hyperlink ref="G324" r:id="rId953" display="bobzakaria"/>
    <hyperlink ref="H324" r:id="rId954" display="Deed - Attribution-NonCommercial 4.0 International - Creative Commons"/>
    <hyperlink ref="I324" r:id="rId955" display="https://www.inaturalist.org/observations/374599201"/>
    <hyperlink ref="G325" r:id="rId956" display="bobzakaria"/>
    <hyperlink ref="H325" r:id="rId957" display="Deed - Attribution-NonCommercial 4.0 International - Creative Commons"/>
    <hyperlink ref="I325" r:id="rId958" display="https://www.inaturalist.org/observations/374252224"/>
    <hyperlink ref="G326" r:id="rId959" display="david_broek"/>
    <hyperlink ref="H326" r:id="rId960" display="Deed - Attribution-NonCommercial 4.0 International - Creative Commons"/>
    <hyperlink ref="I326" r:id="rId961" display="https://www.inaturalist.org/observations/373867408"/>
    <hyperlink ref="G327" r:id="rId962" display="bobzakaria"/>
    <hyperlink ref="H327" r:id="rId963" display="Deed - Attribution-NonCommercial 4.0 International - Creative Commons"/>
    <hyperlink ref="I327" r:id="rId964" display="https://www.inaturalist.org/observations/372918777"/>
    <hyperlink ref="G328" r:id="rId965" display="bobzakaria"/>
    <hyperlink ref="H328" r:id="rId966" display="Deed - Attribution-NonCommercial 4.0 International - Creative Commons"/>
    <hyperlink ref="I328" r:id="rId967" display="https://www.inaturalist.org/observations/372917282"/>
    <hyperlink ref="G329" r:id="rId968" display="baotruong999"/>
    <hyperlink ref="H329" r:id="rId969" display="Deed - Attribution-NonCommercial 4.0 International - Creative Commons"/>
    <hyperlink ref="I329" r:id="rId970" display="https://www.inaturalist.org/observations/371691435"/>
    <hyperlink ref="G330" r:id="rId971" display="shawayliu"/>
    <hyperlink ref="H330" r:id="rId972" display="Deed - Attribution-NonCommercial 4.0 International - Creative Commons"/>
    <hyperlink ref="I330" r:id="rId973" display="https://www.inaturalist.org/observations/371517587"/>
    <hyperlink ref="G331" r:id="rId974" display="rahmand8"/>
    <hyperlink ref="H331" r:id="rId975" display="Deed - Attribution-NonCommercial 4.0 International - Creative Commons"/>
    <hyperlink ref="I331" r:id="rId976" display="https://www.inaturalist.org/observations/370609900"/>
    <hyperlink ref="G332" r:id="rId977" display="ayuwat"/>
    <hyperlink ref="H332" r:id="rId978" display="Deed - Attribution-NonCommercial 4.0 International - Creative Commons"/>
    <hyperlink ref="I332" r:id="rId979" display="https://www.inaturalist.org/observations/258916002"/>
    <hyperlink ref="G333" r:id="rId980" display="oliverben92"/>
    <hyperlink ref="H333" r:id="rId981" display="Deed - Attribution-NonCommercial 4.0 International - Creative Commons"/>
    <hyperlink ref="I333" r:id="rId982" display="https://www.inaturalist.org/observations/238739409"/>
    <hyperlink ref="G334" r:id="rId983" display="ingkayut"/>
    <hyperlink ref="H334" r:id="rId984" display="Deed - Attribution-NonCommercial 4.0 International - Creative Commons"/>
    <hyperlink ref="I334" r:id="rId985" display="https://www.inaturalist.org/observations/369192743"/>
    <hyperlink ref="G335" r:id="rId986" display="ingkayut"/>
    <hyperlink ref="H335" r:id="rId987" display="Deed - Attribution-NonCommercial 4.0 International - Creative Commons"/>
    <hyperlink ref="I335" r:id="rId988" display="https://www.inaturalist.org/observations/369192743"/>
    <hyperlink ref="G336" r:id="rId989" display="biom"/>
    <hyperlink ref="H336" r:id="rId990" display="Deed - Attribution-NonCommercial 4.0 International - Creative Commons"/>
    <hyperlink ref="I336" r:id="rId991" display="https://www.inaturalist.org/observations/367994927"/>
    <hyperlink ref="G337" r:id="rId992" display="bobzakaria"/>
    <hyperlink ref="H337" r:id="rId993" display="Deed - Attribution-NonCommercial 4.0 International - Creative Commons"/>
    <hyperlink ref="I337" r:id="rId994" display="https://www.inaturalist.org/observations/364586629"/>
    <hyperlink ref="G338" r:id="rId995" display="seb_rea"/>
    <hyperlink ref="H338" r:id="rId996" display="Deed - Attribution-NonCommercial 4.0 International - Creative Commons"/>
    <hyperlink ref="I338" r:id="rId997" display="https://www.inaturalist.org/observations/359118781"/>
    <hyperlink ref="G339" r:id="rId998" display="liyoyo"/>
    <hyperlink ref="H339" r:id="rId999" display="Deed - Attribution-NonCommercial 4.0 International - Creative Commons"/>
    <hyperlink ref="I339" r:id="rId1000" display="https://www.inaturalist.org/observations/347791544"/>
    <hyperlink ref="G340" r:id="rId1001" display="liyoyo"/>
    <hyperlink ref="H340" r:id="rId1002" display="Deed - Attribution-NonCommercial 4.0 International - Creative Commons"/>
    <hyperlink ref="I340" r:id="rId1003" display="https://www.inaturalist.org/observations/347791544"/>
    <hyperlink ref="G341" r:id="rId1004" display="liyoyo"/>
    <hyperlink ref="H341" r:id="rId1005" display="Deed - Attribution-NonCommercial 4.0 International - Creative Commons"/>
    <hyperlink ref="I341" r:id="rId1006" display="https://www.inaturalist.org/observations/347791544"/>
    <hyperlink ref="G342" r:id="rId1007" display="oorthuysen"/>
    <hyperlink ref="H342" r:id="rId1008" display="Deed - Attribution-NonCommercial 4.0 International - Creative Commons"/>
    <hyperlink ref="I342" r:id="rId1009" display="https://www.inaturalist.org/observations/347051049"/>
    <hyperlink ref="G343" r:id="rId1010" display="antoine_vespe"/>
    <hyperlink ref="H343" r:id="rId1011" display="Deed - Attribution-NonCommercial 4.0 International - Creative Commons"/>
    <hyperlink ref="I343" r:id="rId1012" display="https://www.inaturalist.org/observations/343752012"/>
    <hyperlink ref="G344" r:id="rId1013" display="antoine_vespe"/>
    <hyperlink ref="H344" r:id="rId1014" display="Deed - Attribution-NonCommercial 4.0 International - Creative Commons"/>
    <hyperlink ref="I344" r:id="rId1015" display="https://www.inaturalist.org/observations/343752012"/>
    <hyperlink ref="G345" r:id="rId1016" display="oorthuysen"/>
    <hyperlink ref="H345" r:id="rId1017" display="Deed - Attribution-NonCommercial 4.0 International - Creative Commons"/>
    <hyperlink ref="I345" r:id="rId1018" display="https://www.inaturalist.org/observations/343619155"/>
    <hyperlink ref="G346" r:id="rId1019" display="fjwlhk"/>
    <hyperlink ref="H346" r:id="rId1020" display="Deed - Attribution-NonCommercial 4.0 International - Creative Commons"/>
    <hyperlink ref="I346" r:id="rId1021" display="https://www.inaturalist.org/observations/343097686"/>
    <hyperlink ref="G347" r:id="rId1022" display="smegmarc"/>
    <hyperlink ref="H347" r:id="rId1023" display="Deed - Attribution-NonCommercial 4.0 International - Creative Commons"/>
    <hyperlink ref="I347" r:id="rId1024" display="https://www.inaturalist.org/observations/342559584"/>
    <hyperlink ref="G348" r:id="rId1025" display="andrea93iga"/>
    <hyperlink ref="H348" r:id="rId1026" display="Deed - Attribution-NonCommercial 4.0 International - Creative Commons"/>
    <hyperlink ref="I348" r:id="rId1027" display="https://www.inaturalist.org/observations/341885201"/>
    <hyperlink ref="G349" r:id="rId1028" display="andrea93iga"/>
    <hyperlink ref="H349" r:id="rId1029" display="Deed - Attribution-NonCommercial 4.0 International - Creative Commons"/>
    <hyperlink ref="I349" r:id="rId1030" display="https://www.inaturalist.org/observations/341885063"/>
    <hyperlink ref="G350" r:id="rId1031" display="andrea93iga"/>
    <hyperlink ref="H350" r:id="rId1032" display="Deed - Attribution-NonCommercial 4.0 International - Creative Commons"/>
    <hyperlink ref="I350" r:id="rId1033" display="https://www.inaturalist.org/observations/341884413"/>
    <hyperlink ref="G351" r:id="rId1034" display="rimbawan_37"/>
    <hyperlink ref="H351" r:id="rId1035" display="Deed - Attribution-NonCommercial 4.0 International - Creative Commons"/>
    <hyperlink ref="I351" r:id="rId1036" display="https://www.inaturalist.org/observations/341063794"/>
    <hyperlink ref="G352" r:id="rId1037" display="kdvorhies"/>
    <hyperlink ref="H352" r:id="rId1038" display="Deed - Attribution-NonCommercial 4.0 International - Creative Commons"/>
    <hyperlink ref="I352" r:id="rId1039" display="https://www.inaturalist.org/observations/339024072"/>
    <hyperlink ref="G353" r:id="rId1040" display="flyfof"/>
    <hyperlink ref="H353" r:id="rId1041" display="Deed - Attribution-NonCommercial 4.0 International - Creative Commons"/>
    <hyperlink ref="I353" r:id="rId1042" display="https://www.inaturalist.org/observations/363112705"/>
    <hyperlink ref="G354" r:id="rId1043" display="aloys_pichard"/>
    <hyperlink ref="H354" r:id="rId1044" display="Deed - Attribution-NonCommercial 4.0 International - Creative Commons"/>
    <hyperlink ref="I354" r:id="rId1045" display="https://www.inaturalist.org/observations/362724881"/>
    <hyperlink ref="G355" r:id="rId1046" display="lucas-moreaux"/>
    <hyperlink ref="H355" r:id="rId1047" display="Deed - Attribution-NonCommercial 4.0 International - Creative Commons"/>
    <hyperlink ref="I355" r:id="rId1048" display="https://www.inaturalist.org/observations/362061712"/>
    <hyperlink ref="G356" r:id="rId1049" display="lucas-moreaux"/>
    <hyperlink ref="H356" r:id="rId1050" display="Deed - Attribution-NonCommercial 4.0 International - Creative Commons"/>
    <hyperlink ref="I356" r:id="rId1051" display="https://www.inaturalist.org/observations/362061710"/>
    <hyperlink ref="G357" r:id="rId1052" display="tarmand"/>
    <hyperlink ref="H357" r:id="rId1053" display="Deed - Attribution-NonCommercial 4.0 International - Creative Commons"/>
    <hyperlink ref="I357" r:id="rId1054" display="https://www.inaturalist.org/observations/347920514"/>
    <hyperlink ref="G358" r:id="rId1055" display="schnurmacher_richard"/>
    <hyperlink ref="H358" r:id="rId1056" display="Deed - Attribution-NonCommercial 4.0 International - Creative Commons"/>
    <hyperlink ref="I358" r:id="rId1057" display="https://www.inaturalist.org/observations/341416585"/>
    <hyperlink ref="G359" r:id="rId1058" display="schnurmacher_richard"/>
    <hyperlink ref="H359" r:id="rId1059" display="Deed - Attribution-NonCommercial 4.0 International - Creative Commons"/>
    <hyperlink ref="I359" r:id="rId1060" display="https://www.inaturalist.org/observations/341416585"/>
    <hyperlink ref="G360" r:id="rId1061" display="schnurmacher_richard"/>
    <hyperlink ref="H360" r:id="rId1062" display="Deed - Attribution-NonCommercial 4.0 International - Creative Commons"/>
    <hyperlink ref="I360" r:id="rId1063" display="https://www.inaturalist.org/observations/341416585"/>
    <hyperlink ref="G361" r:id="rId1064" display="schnurmacher_richard"/>
    <hyperlink ref="H361" r:id="rId1065" display="Deed - Attribution-NonCommercial 4.0 International - Creative Commons"/>
    <hyperlink ref="I361" r:id="rId1066" display="https://www.inaturalist.org/observations/341416585"/>
    <hyperlink ref="G362" r:id="rId1067" display="misikmilo"/>
    <hyperlink ref="H362" r:id="rId1068" display="Deed - Attribution-NonCommercial 4.0 International - Creative Commons"/>
    <hyperlink ref="I362" r:id="rId1069" display="https://www.inaturalist.org/observations/340579425"/>
    <hyperlink ref="G363" r:id="rId1070" display="misikmilo"/>
    <hyperlink ref="H363" r:id="rId1071" display="Deed - Attribution-NonCommercial 4.0 International - Creative Commons"/>
    <hyperlink ref="I363" r:id="rId1072" display="https://www.inaturalist.org/observations/340579425"/>
    <hyperlink ref="G364" r:id="rId1073" display="misikmilo"/>
    <hyperlink ref="H364" r:id="rId1074" display="Deed - Attribution-NonCommercial 4.0 International - Creative Commons"/>
    <hyperlink ref="I364" r:id="rId1075" display="https://www.inaturalist.org/observations/340579425"/>
    <hyperlink ref="G365" r:id="rId1076" display="misikmilo"/>
    <hyperlink ref="H365" r:id="rId1077" display="Deed - Attribution-NonCommercial 4.0 International - Creative Commons"/>
    <hyperlink ref="I365" r:id="rId1078" display="https://www.inaturalist.org/observations/340579425"/>
    <hyperlink ref="G366" r:id="rId1079" display="mikeadams_13"/>
    <hyperlink ref="H366" r:id="rId1080" display="Deed - Attribution-NonCommercial 4.0 International - Creative Commons"/>
    <hyperlink ref="I366" r:id="rId1081" display="https://www.inaturalist.org/observations/250654384"/>
    <hyperlink ref="G367" r:id="rId1082" display="alexheffernan"/>
    <hyperlink ref="H367" r:id="rId1083" display="Deed - Attribution-NonCommercial 4.0 International - Creative Commons"/>
    <hyperlink ref="I367" r:id="rId1084" display="https://www.inaturalist.org/observations/330902233"/>
    <hyperlink ref="G368" r:id="rId1085" display="lesbectrotters"/>
    <hyperlink ref="H368" r:id="rId1086" display="Deed - Attribution-NonCommercial 4.0 International - Creative Commons"/>
    <hyperlink ref="I368" r:id="rId1087" display="https://www.inaturalist.org/observations/249886842"/>
    <hyperlink ref="G369" r:id="rId1088" display="lesbectrotters"/>
    <hyperlink ref="H369" r:id="rId1089" display="Deed - Attribution-NonCommercial 4.0 International - Creative Commons"/>
    <hyperlink ref="I369" r:id="rId1090" display="https://www.inaturalist.org/observations/249886842"/>
    <hyperlink ref="G370" r:id="rId1091" display="va_saison"/>
    <hyperlink ref="H370" r:id="rId1092" display="Deed - Attribution-NonCommercial 4.0 International - Creative Commons"/>
    <hyperlink ref="I370" r:id="rId1093" display="https://www.inaturalist.org/observations/248989699"/>
    <hyperlink ref="G371" r:id="rId1094" display="aaronjo"/>
    <hyperlink ref="H371" r:id="rId1095" display="Deed - Attribution-NonCommercial 4.0 International - Creative Commons"/>
    <hyperlink ref="I371" r:id="rId1096" display="https://www.inaturalist.org/observations/340893661"/>
    <hyperlink ref="G372" r:id="rId1097" display="mppwildlife"/>
    <hyperlink ref="H372" r:id="rId1098" display="Deed - Attribution-NonCommercial 4.0 International - Creative Commons"/>
    <hyperlink ref="G373" r:id="rId1099" display="clement_lgrs"/>
    <hyperlink ref="H373" r:id="rId1100" display="Deed - Attribution-NonCommercial 4.0 International - Creative Commons"/>
    <hyperlink ref="I373" r:id="rId1101" display="https://www.inaturalist.org/observations/339960955"/>
    <hyperlink ref="G374" r:id="rId1102" display="villagedawn"/>
    <hyperlink ref="H374" r:id="rId1103" display="Deed - Attribution-NonCommercial 4.0 International - Creative Commons"/>
    <hyperlink ref="I374" r:id="rId1104" display="https://www.inaturalist.org/observations/246989551"/>
    <hyperlink ref="G375" r:id="rId1105" display="m_nicolas"/>
    <hyperlink ref="H375" r:id="rId1106" display="Deed - Attribution-NonCommercial 4.0 International - Creative Commons"/>
    <hyperlink ref="I375" r:id="rId1107" display="https://www.inaturalist.org/observations/215045095"/>
    <hyperlink ref="G376" r:id="rId1108" display="m_nicolas"/>
    <hyperlink ref="H376" r:id="rId1109" display="Deed - Attribution-NonCommercial 4.0 International - Creative Commons"/>
    <hyperlink ref="I376" r:id="rId1110" display="https://www.inaturalist.org/observations/215045095"/>
    <hyperlink ref="G377" r:id="rId1111" display="cephasmongs"/>
    <hyperlink ref="H377" r:id="rId1112" display="Deed - Attribution-NonCommercial 4.0 International - Creative Commons"/>
    <hyperlink ref="I377" r:id="rId1113" display="https://www.inaturalist.org/observations/198710945"/>
    <hyperlink ref="G378" r:id="rId1114" display="camcam7"/>
    <hyperlink ref="H378" r:id="rId1115" display="Deed - Attribution-NonCommercial 4.0 International - Creative Commons"/>
    <hyperlink ref="I378" r:id="rId1116" display="https://www.inaturalist.org/observations/198676037"/>
    <hyperlink ref="G379" r:id="rId1117" display="afropavo"/>
    <hyperlink ref="H379" r:id="rId1118" display="Deed - Attribution-NonCommercial 4.0 International - Creative Commons"/>
    <hyperlink ref="I379" r:id="rId1119" display="https://www.inaturalist.org/observations/165705572"/>
    <hyperlink ref="G380" r:id="rId1120" display="bahleman"/>
    <hyperlink ref="H380" r:id="rId1121" display="Deed - Attribution-NonCommercial 4.0 International - Creative Commons"/>
    <hyperlink ref="I380" r:id="rId1122" display="https://www.inaturalist.org/observations/69083015"/>
    <hyperlink ref="G381" r:id="rId1123" display="lydiamulvaney"/>
    <hyperlink ref="H381" r:id="rId1124" display="Deed - Attribution-NonCommercial 4.0 International - Creative Commons"/>
    <hyperlink ref="I381" r:id="rId1125" display="https://www.inaturalist.org/observations/40153507"/>
    <hyperlink ref="G382" r:id="rId1126" display="lydiamulvaney"/>
    <hyperlink ref="H382" r:id="rId1127" display="Deed - Attribution-NonCommercial 4.0 International - Creative Commons"/>
    <hyperlink ref="I382" r:id="rId1128" display="https://www.inaturalist.org/observations/40153507"/>
    <hyperlink ref="G383" r:id="rId1129" display="mwatts"/>
    <hyperlink ref="H383" r:id="rId1130" display="Deed - Attribution-NonCommercial 4.0 International - Creative Commons"/>
    <hyperlink ref="I383" r:id="rId1131" display="https://www.inaturalist.org/observations/22363061"/>
    <hyperlink ref="G384" r:id="rId1132" display="toganim"/>
    <hyperlink ref="H384" r:id="rId1133" display="Deed - Attribution-NonCommercial 4.0 International - Creative Commons"/>
    <hyperlink ref="I384" r:id="rId1134" display="https://www.inaturalist.org/observations/20112280"/>
    <hyperlink ref="G385" r:id="rId1135" display="rangeldiaz"/>
    <hyperlink ref="H385" r:id="rId1136" display="Deed - Attribution-NonCommercial 4.0 International - Creative Commons"/>
    <hyperlink ref="I385" r:id="rId1137" display="https://www.inaturalist.org/observations/358173383"/>
    <hyperlink ref="G386" r:id="rId1138" display="steven1993"/>
    <hyperlink ref="H386" r:id="rId1139" display="Deed - Attribution-NonCommercial 4.0 International - Creative Commons"/>
    <hyperlink ref="I386" r:id="rId1140" display="https://www.inaturalist.org/observations/359104834"/>
    <hyperlink ref="G387" r:id="rId1141" display="julian_leiva"/>
    <hyperlink ref="H387" r:id="rId1142" display="Deed - Attribution-NonCommercial 4.0 International - Creative Commons"/>
    <hyperlink ref="I387" r:id="rId1143" display="https://www.inaturalist.org/observations/359507166"/>
    <hyperlink ref="G388" r:id="rId1144" display="ethankinsey"/>
    <hyperlink ref="H388" r:id="rId1145" display="Deed - Attribution-NonCommercial 4.0 International - Creative Commons"/>
    <hyperlink ref="I388" r:id="rId1146" display="https://www.inaturalist.org/observations/345868678"/>
    <hyperlink ref="G389" r:id="rId1147" display="blackdogto"/>
    <hyperlink ref="H389" r:id="rId1148" display="Deed - Attribution-NonCommercial 4.0 International - Creative Commons"/>
    <hyperlink ref="I389" r:id="rId1149" display="https://www.inaturalist.org/observations/335599574"/>
    <hyperlink ref="G390" r:id="rId1150" display="blackdogto"/>
    <hyperlink ref="H390" r:id="rId1151" display="Deed - Attribution-NonCommercial 4.0 International - Creative Commons"/>
    <hyperlink ref="I390" r:id="rId1152" display="https://www.inaturalist.org/observations/335599574"/>
    <hyperlink ref="G391" r:id="rId1153" display="peadarbrehony"/>
    <hyperlink ref="H391" r:id="rId1154" display="Deed - Attribution-NonCommercial 4.0 International - Creative Commons"/>
    <hyperlink ref="I391" r:id="rId1155" display="https://www.inaturalist.org/observations/280832128"/>
    <hyperlink ref="G392" r:id="rId1156" display="rainbowli"/>
    <hyperlink ref="H392" r:id="rId1157" display="Deed - Attribution-NonCommercial 4.0 International - Creative Commons"/>
    <hyperlink ref="I392" r:id="rId1158" display="https://www.inaturalist.org/observations/243027475"/>
    <hyperlink ref="G393" r:id="rId1159" display="michal_sulc1"/>
    <hyperlink ref="H393" r:id="rId1160" display="Deed - Attribution-NonCommercial 4.0 International - Creative Commons"/>
    <hyperlink ref="I393" r:id="rId1161" display="https://www.inaturalist.org/observations/230314205"/>
    <hyperlink ref="G394" r:id="rId1162" display="chemp"/>
    <hyperlink ref="H394" r:id="rId1163" display="Deed - Attribution-NonCommercial 4.0 International - Creative Commons"/>
    <hyperlink ref="I394" r:id="rId1164" display="https://www.inaturalist.org/observations/139865426"/>
    <hyperlink ref="G395" r:id="rId1165" display="glorysummay"/>
    <hyperlink ref="H395" r:id="rId1166" display="Deed - Attribution-NonCommercial 4.0 International - Creative Commons"/>
    <hyperlink ref="I395" r:id="rId1167" display="https://www.inaturalist.org/observations/34055338"/>
    <hyperlink ref="G396" r:id="rId1168" display="mefupa"/>
    <hyperlink ref="H396" r:id="rId1169" display="Deed - Attribution-NonCommercial 4.0 International - Creative Commons"/>
    <hyperlink ref="I396" r:id="rId1170" display="https://www.inaturalist.org/observations/22205872"/>
    <hyperlink ref="G397" r:id="rId1171" display="kerejoo"/>
    <hyperlink ref="H397" r:id="rId1172" display="Deed - Attribution-NonCommercial 4.0 International - Creative Commons"/>
    <hyperlink ref="I397" r:id="rId1173" display="https://www.inaturalist.org/observations/293327"/>
    <hyperlink ref="G398" r:id="rId1174" display="edwinr21"/>
    <hyperlink ref="H398" r:id="rId1175" display="Deed - Attribution-NonCommercial 4.0 International - Creative Commons"/>
    <hyperlink ref="I398" r:id="rId1176" display="https://www.inaturalist.org/observations/360588567"/>
    <hyperlink ref="G399" r:id="rId1177" display="edwinr21"/>
    <hyperlink ref="H399" r:id="rId1178" display="Deed - Attribution-NonCommercial 4.0 International - Creative Commons"/>
    <hyperlink ref="I399" r:id="rId1179" display="https://www.inaturalist.org/observations/360588567"/>
    <hyperlink ref="G400" r:id="rId1180" display="snakelover2011"/>
    <hyperlink ref="H400" r:id="rId1181" display="Deed - Attribution-NonCommercial 4.0 International - Creative Commons"/>
    <hyperlink ref="I400" r:id="rId1182" display="https://www.inaturalist.org/observations/367158040"/>
    <hyperlink ref="G401" r:id="rId1183" display="caroceren"/>
    <hyperlink ref="H401" r:id="rId1184" display="Deed - Attribution-NonCommercial 4.0 International - Creative Commons"/>
    <hyperlink ref="I401" r:id="rId1185" display="https://www.inaturalist.org/observations/367766149"/>
    <hyperlink ref="G402" r:id="rId1186" display="annabreww"/>
    <hyperlink ref="H402" r:id="rId1187" display="Deed - Attribution-NonCommercial 4.0 International - Creative Commons"/>
    <hyperlink ref="I402" r:id="rId1188" display="https://www.inaturalist.org/observations/368534439"/>
    <hyperlink ref="G403" r:id="rId1189" display="jasanchez"/>
    <hyperlink ref="H403" r:id="rId1190" display="Deed - Attribution-NonCommercial 4.0 International - Creative Commons"/>
    <hyperlink ref="I403" r:id="rId1191" display="https://www.inaturalist.org/observations/368842600"/>
    <hyperlink ref="G404" r:id="rId1192" display="anamvallecillo"/>
    <hyperlink ref="H404" r:id="rId1193" display="Deed - Attribution-NonCommercial 4.0 International - Creative Commons"/>
    <hyperlink ref="I404" r:id="rId1194" display="https://www.inaturalist.org/observations/371585454"/>
    <hyperlink ref="G405" r:id="rId1195" display="anamvallecillo"/>
    <hyperlink ref="H405" r:id="rId1196" display="Deed - Attribution-NonCommercial 4.0 International - Creative Commons"/>
    <hyperlink ref="I405" r:id="rId1197" display="https://www.inaturalist.org/observations/371585454"/>
    <hyperlink ref="G406" r:id="rId1198" display="jmoya"/>
    <hyperlink ref="H406" r:id="rId1199" display="Deed - Attribution-NonCommercial 4.0 International - Creative Commons"/>
    <hyperlink ref="I406" r:id="rId1200" display="https://www.inaturalist.org/observations/371603026"/>
    <hyperlink ref="G407" r:id="rId1201" display="jakelin_sg"/>
    <hyperlink ref="H407" r:id="rId1202" display="Deed - Attribution-NonCommercial 4.0 International - Creative Commons"/>
    <hyperlink ref="I407" r:id="rId1203" display="https://www.inaturalist.org/observations/371711277"/>
    <hyperlink ref="G408" r:id="rId1204" display="jakelin_sg"/>
    <hyperlink ref="H408" r:id="rId1205" display="Deed - Attribution-NonCommercial 4.0 International - Creative Commons"/>
    <hyperlink ref="I408" r:id="rId1206" display="https://www.inaturalist.org/observations/371711277"/>
    <hyperlink ref="G409" r:id="rId1207" display="suitanarvaez"/>
    <hyperlink ref="H409" r:id="rId1208" display="Deed - Attribution-NonCommercial 4.0 International - Creative Commons"/>
    <hyperlink ref="I409" r:id="rId1209" display="https://www.inaturalist.org/observations/371841818"/>
    <hyperlink ref="G410" r:id="rId1210" display="rubendariobio"/>
    <hyperlink ref="H410" r:id="rId1211" display="Deed - Attribution-NonCommercial 4.0 International - Creative Commons"/>
    <hyperlink ref="I410" r:id="rId1212" display="https://www.inaturalist.org/observations/371858269"/>
    <hyperlink ref="G411" r:id="rId1213" display="replicon"/>
    <hyperlink ref="H411" r:id="rId1214" display="Deed - Attribution-NonCommercial 4.0 International - Creative Commons"/>
    <hyperlink ref="I411" r:id="rId1215" display="https://www.inaturalist.org/observations/373577828"/>
    <hyperlink ref="G412" r:id="rId1216" display="replicon"/>
    <hyperlink ref="H412" r:id="rId1217" display="Deed - Attribution-NonCommercial 4.0 International - Creative Commons"/>
    <hyperlink ref="I412" r:id="rId1218" display="https://www.inaturalist.org/observations/373577828"/>
    <hyperlink ref="G413" r:id="rId1219" display="josuergg"/>
    <hyperlink ref="H413" r:id="rId1220" display="Deed - Attribution-NonCommercial 4.0 International - Creative Commons"/>
    <hyperlink ref="I413" r:id="rId1221" display="https://www.inaturalist.org/observations/374641405"/>
    <hyperlink ref="G414" r:id="rId1222" display="ocurex"/>
    <hyperlink ref="H414" r:id="rId1223" display="Deed - Attribution-NonCommercial 4.0 International - Creative Commons"/>
    <hyperlink ref="I414" r:id="rId1224" display="https://www.inaturalist.org/observations/375081438"/>
    <hyperlink ref="G415" r:id="rId1225" display="josuergg"/>
    <hyperlink ref="H415" r:id="rId1226" display="Deed - Attribution-NonCommercial 4.0 International - Creative Commons"/>
    <hyperlink ref="I415" r:id="rId1227" display="https://www.inaturalist.org/observations/378593632"/>
    <hyperlink ref="G416" r:id="rId1228" display="kajdeg"/>
    <hyperlink ref="H416" r:id="rId1229" display="Deed - Attribution-NonCommercial 4.0 International - Creative Commons"/>
    <hyperlink ref="I416" r:id="rId1230" display="https://www.inaturalist.org/observations/379587630"/>
    <hyperlink ref="G417" r:id="rId1231" display="antye"/>
    <hyperlink ref="H417" r:id="rId1232" display="Deed - Attribution-NonCommercial 4.0 International - Creative Commons"/>
    <hyperlink ref="I417" r:id="rId1233" display="https://www.inaturalist.org/observations/381882471"/>
    <hyperlink ref="G418" r:id="rId1234" display="pglaouto"/>
    <hyperlink ref="H418" r:id="rId1235" display="Deed - Attribution-NonCommercial 4.0 International - Creative Commons"/>
    <hyperlink ref="I418" r:id="rId1236" display="https://www.inaturalist.org/observations/383204889"/>
    <hyperlink ref="G419" r:id="rId1237" display="jmcca08"/>
    <hyperlink ref="H419" r:id="rId1238" display="Deed - Attribution-NonCommercial 4.0 International - Creative Commons"/>
    <hyperlink ref="I419" r:id="rId1239" display="https://www.inaturalist.org/observations/385979832"/>
    <hyperlink ref="G420" r:id="rId1240" display="antonioleala"/>
    <hyperlink ref="H420" r:id="rId1241" display="Deed - Attribution-NonCommercial 4.0 International - Creative Commons"/>
    <hyperlink ref="I420" r:id="rId1242" display="https://www.inaturalist.org/observations/387386551"/>
    <hyperlink ref="G421" r:id="rId1243" display="antonioleala"/>
    <hyperlink ref="H421" r:id="rId1244" display="Deed - Attribution-NonCommercial 4.0 International - Creative Commons"/>
    <hyperlink ref="I421" r:id="rId1245" display="https://www.inaturalist.org/observations/387386551"/>
    <hyperlink ref="G422" r:id="rId1246" display="alexheffernan"/>
    <hyperlink ref="H422" r:id="rId1247" display="Deed - Attribution-NonCommercial 4.0 International - Creative Commons"/>
    <hyperlink ref="I422" r:id="rId1248" display="https://www.inaturalist.org/observations/330902232"/>
    <hyperlink ref="G423" r:id="rId1249" display="noansv"/>
    <hyperlink ref="H423" r:id="rId1250" display="Deed - Attribution-NonCommercial 4.0 International - Creative Commons"/>
    <hyperlink ref="I423" r:id="rId1251" display="https://www.inaturalist.org/observations/375789439"/>
    <hyperlink ref="G424" r:id="rId1252" display="maggie_blonski"/>
    <hyperlink ref="H424" r:id="rId1253" display="Deed - Attribution-NonCommercial 4.0 International - Creative Commons"/>
    <hyperlink ref="I424" r:id="rId1254" display="https://www.inaturalist.org/observations/375765932"/>
    <hyperlink ref="G425" r:id="rId1255" display="uetz"/>
    <hyperlink ref="H425" r:id="rId1256" display="Deed - Attribution 4.0 International - Creative Commons"/>
    <hyperlink ref="I425" r:id="rId1257" display="https://www.inaturalist.org/observations/375757987"/>
    <hyperlink ref="G426" r:id="rId1258" display="robotpie"/>
    <hyperlink ref="H426" r:id="rId1259" display="Deed - Attribution-NonCommercial 4.0 International - Creative Commons"/>
    <hyperlink ref="I426" r:id="rId1260" display="https://www.inaturalist.org/observations/375554693"/>
    <hyperlink ref="G427" r:id="rId1261" display="abdul_hanif"/>
    <hyperlink ref="H427" r:id="rId1262" display="Deed - Attribution 4.0 International - Creative Commons"/>
    <hyperlink ref="I427" r:id="rId1263" display="https://www.inaturalist.org/observations/375523509"/>
    <hyperlink ref="G428" r:id="rId1264" display="abdul_hanif"/>
    <hyperlink ref="H428" r:id="rId1265" display="Deed - Attribution 4.0 International - Creative Commons"/>
    <hyperlink ref="I428" r:id="rId1266" display="https://www.inaturalist.org/observations/375523136"/>
    <hyperlink ref="G429" r:id="rId1267" display="abdul_hanif"/>
    <hyperlink ref="H429" r:id="rId1268" display="Deed - Attribution 4.0 International - Creative Commons"/>
    <hyperlink ref="I429" r:id="rId1269" display="https://www.inaturalist.org/observations/375522948"/>
    <hyperlink ref="G430" r:id="rId1270" display="observervietnam"/>
    <hyperlink ref="H430" r:id="rId1271" display="Deed - Attribution-NonCommercial 4.0 International - Creative Commons"/>
    <hyperlink ref="I430" r:id="rId1272" display="https://www.inaturalist.org/observations/375475702"/>
    <hyperlink ref="G431" r:id="rId1273" display="hugo_yip"/>
    <hyperlink ref="H431" r:id="rId1274" display="Deed - Attribution-NonCommercial 4.0 International - Creative Commons"/>
    <hyperlink ref="I431" r:id="rId1275" display="https://www.inaturalist.org/observations/375419772"/>
    <hyperlink ref="G432" r:id="rId1276" display="patrik_naturalist"/>
    <hyperlink ref="H432" r:id="rId1277" display="Deed - Attribution-NonCommercial 4.0 International - Creative Commons"/>
    <hyperlink ref="I432" r:id="rId1278" display="https://www.inaturalist.org/observations/375328276"/>
    <hyperlink ref="G433" r:id="rId1279" display="adirahman"/>
    <hyperlink ref="H433" r:id="rId1280" display="Deed - Attribution-NonCommercial 4.0 International - Creative Commons"/>
    <hyperlink ref="I433" r:id="rId1281" display="https://www.inaturalist.org/observations/360612456"/>
    <hyperlink ref="G434" r:id="rId1282" display="phytopranav"/>
    <hyperlink ref="H434" r:id="rId1283" display="Deed - Attribution-NonCommercial 4.0 International - Creative Commons"/>
    <hyperlink ref="I434" r:id="rId1284" display="https://www.inaturalist.org/observations/360131513"/>
    <hyperlink ref="G435" r:id="rId1285" display="sylviem76"/>
    <hyperlink ref="H435" r:id="rId1286" display="Deed - Attribution-NonCommercial 4.0 International - Creative Commons"/>
    <hyperlink ref="I435" r:id="rId1287" display="https://www.inaturalist.org/observations/375239316"/>
    <hyperlink ref="G436" r:id="rId1288" display="antoine_vespe"/>
    <hyperlink ref="H436" r:id="rId1289" display="Deed - Attribution-NonCommercial 4.0 International - Creative Commons"/>
    <hyperlink ref="I436" r:id="rId1290" display="https://www.inaturalist.org/observations/375118180"/>
    <hyperlink ref="G437" r:id="rId1291" display="sylviem76"/>
    <hyperlink ref="H437" r:id="rId1292" display="Deed - Attribution-NonCommercial 4.0 International - Creative Commons"/>
    <hyperlink ref="I437" r:id="rId1293" display="https://www.inaturalist.org/observations/374988285"/>
    <hyperlink ref="G438" r:id="rId1294" display="sylviem76"/>
    <hyperlink ref="H438" r:id="rId1295" display="Deed - Attribution-NonCommercial 4.0 International - Creative Commons"/>
    <hyperlink ref="I438" r:id="rId1296" display="https://www.inaturalist.org/observations/374988285"/>
    <hyperlink ref="G439" r:id="rId1297" display="chalida"/>
    <hyperlink ref="H439" r:id="rId1298" display="Deed - Attribution-NonCommercial 4.0 International - Creative Commons"/>
    <hyperlink ref="I439" r:id="rId1299" display="https://www.inaturalist.org/observations/350756010"/>
    <hyperlink ref="G440" r:id="rId1300" display="rockycreature"/>
    <hyperlink ref="H440" r:id="rId1301" display="Deed - Attribution-NonCommercial 4.0 International - Creative Commons"/>
    <hyperlink ref="I440" r:id="rId1302" display="https://www.inaturalist.org/observations/350560093"/>
    <hyperlink ref="G441" r:id="rId1303" display="christopherreiger"/>
    <hyperlink ref="H441" r:id="rId1304" display="Deed - Attribution-NonCommercial 4.0 International - Creative Commons"/>
    <hyperlink ref="I441" r:id="rId1305" display="https://www.inaturalist.org/observations/374899262"/>
    <hyperlink ref="G442" r:id="rId1306" display="antoine_vespe"/>
    <hyperlink ref="H442" r:id="rId1307" display="Deed - Attribution-NonCommercial 4.0 International - Creative Commons"/>
    <hyperlink ref="I442" r:id="rId1308" display="https://www.inaturalist.org/observations/374859268"/>
    <hyperlink ref="G443" r:id="rId1309" display="peter54448"/>
    <hyperlink ref="H443" r:id="rId1310" display="Deed - Attribution-NonCommercial 4.0 International - Creative Commons"/>
    <hyperlink ref="I443" r:id="rId1311" display="https://www.inaturalist.org/observations/350395892"/>
    <hyperlink ref="G444" r:id="rId1312" display="nianian"/>
    <hyperlink ref="H444" r:id="rId1313" display="Deed - Attribution-NonCommercial 4.0 International - Creative Commons"/>
    <hyperlink ref="I444" r:id="rId1314" display="https://www.inaturalist.org/observations/374810760"/>
    <hyperlink ref="G445" r:id="rId1315" display="nianian"/>
    <hyperlink ref="H445" r:id="rId1316" display="Deed - Attribution-NonCommercial 4.0 International - Creative Commons"/>
    <hyperlink ref="I445" r:id="rId1317" display="https://www.inaturalist.org/observations/374810760"/>
    <hyperlink ref="G446" r:id="rId1318" display="nianian"/>
    <hyperlink ref="H446" r:id="rId1319" display="Deed - Attribution-NonCommercial 4.0 International - Creative Commons"/>
    <hyperlink ref="I446" r:id="rId1320" display="https://www.inaturalist.org/observations/374810760"/>
    <hyperlink ref="G447" r:id="rId1321" display="nianian"/>
    <hyperlink ref="H447" r:id="rId1322" display="Deed - Attribution-NonCommercial 4.0 International - Creative Commons"/>
    <hyperlink ref="I447" r:id="rId1323" display="https://www.inaturalist.org/observations/374810760"/>
    <hyperlink ref="G448" r:id="rId1324" display="nianian"/>
    <hyperlink ref="H448" r:id="rId1325" display="Deed - Attribution-NonCommercial 4.0 International - Creative Commons"/>
    <hyperlink ref="I448" r:id="rId1326" display="https://www.inaturalist.org/observations/374810760"/>
    <hyperlink ref="G449" r:id="rId1327" display="jules_cadiou"/>
    <hyperlink ref="H449" r:id="rId1328" display="Deed - Attribution-NonCommercial 4.0 International - Creative Commons"/>
    <hyperlink ref="I449" r:id="rId1329" display="https://www.inaturalist.org/observations/374803357"/>
    <hyperlink ref="G450" r:id="rId1330" display="kintankhn"/>
    <hyperlink ref="H450" r:id="rId1331" display="Deed - Attribution-NonCommercial 4.0 International - Creative Commons"/>
    <hyperlink ref="I450" r:id="rId1332" display="https://www.inaturalist.org/observations/374794952"/>
    <hyperlink ref="G451" r:id="rId1333" display="djerf67"/>
    <hyperlink ref="H451" r:id="rId1334" display="Deed - Attribution-NonCommercial 4.0 International - Creative Commons"/>
    <hyperlink ref="I451" r:id="rId1335" display="https://www.inaturalist.org/observations/374573033"/>
    <hyperlink ref="G452" r:id="rId1336" display="cyka008"/>
    <hyperlink ref="H452" r:id="rId1337" display="Deed - Attribution-NonCommercial 4.0 International - Creative Commons"/>
    <hyperlink ref="I452" r:id="rId1338" display="https://www.inaturalist.org/observations/374468574"/>
    <hyperlink ref="G453" r:id="rId1339" display="emmatch"/>
    <hyperlink ref="H453" r:id="rId1340" display="Deed - Attribution-NonCommercial 4.0 International - Creative Commons"/>
    <hyperlink ref="I453" r:id="rId1341" display="https://www.inaturalist.org/observations/374301140"/>
    <hyperlink ref="G454" r:id="rId1342" display="animal_jeds"/>
    <hyperlink ref="H454" r:id="rId1343" display="Deed - Attribution-NonCommercial 4.0 International - Creative Commons"/>
    <hyperlink ref="I454" r:id="rId1344" display="https://www.inaturalist.org/observations/374182816"/>
    <hyperlink ref="G455" r:id="rId1345" display="evgenii_zinner"/>
    <hyperlink ref="H455" r:id="rId1346" display="Deed - Attribution-NonCommercial 4.0 International - Creative Commons"/>
    <hyperlink ref="I455" r:id="rId1347" display="https://www.inaturalist.org/observations/374030751"/>
    <hyperlink ref="G456" r:id="rId1348" display="christopherreiger"/>
    <hyperlink ref="H456" r:id="rId1349" display="Deed - Attribution-NonCommercial 4.0 International - Creative Commons"/>
    <hyperlink ref="I456" r:id="rId1350" display="https://www.inaturalist.org/observations/373936535"/>
    <hyperlink ref="G457" r:id="rId1351" display="marlaform"/>
    <hyperlink ref="H457" r:id="rId1352" display="Deed - Attribution-NonCommercial 4.0 International - Creative Commons"/>
    <hyperlink ref="I457" r:id="rId1353" display="https://www.inaturalist.org/observations/373922730"/>
    <hyperlink ref="G458" r:id="rId1354" display="falco_lou"/>
    <hyperlink ref="H458" r:id="rId1355" display="Deed - Attribution-NonCommercial 4.0 International - Creative Commons"/>
    <hyperlink ref="I458" r:id="rId1356" display="https://www.inaturalist.org/observations/379399729"/>
    <hyperlink ref="G459" r:id="rId1357" display="vargasbrando9"/>
    <hyperlink ref="H459" r:id="rId1358" display="Deed - Attribution-NonCommercial 4.0 International - Creative Commons"/>
    <hyperlink ref="I459" r:id="rId1359" display="https://www.inaturalist.org/observations/379391237"/>
    <hyperlink ref="G460" r:id="rId1360" display="becchi_tokyo"/>
    <hyperlink ref="H460" r:id="rId1361" display="Deed - Attribution-NonCommercial 4.0 International - Creative Commons"/>
    <hyperlink ref="I460" r:id="rId1362" display="https://www.inaturalist.org/observations/379387960"/>
    <hyperlink ref="G461" r:id="rId1363" display="jmoles"/>
    <hyperlink ref="H461" r:id="rId1364" display="Deed - Attribution-NonCommercial 4.0 International - Creative Commons"/>
    <hyperlink ref="I461" r:id="rId1365" display="https://www.inaturalist.org/observations/379380146"/>
    <hyperlink ref="G462" r:id="rId1366" display="maza_"/>
    <hyperlink ref="H462" r:id="rId1367" display="Deed - Attribution-NonCommercial 4.0 International - Creative Commons"/>
    <hyperlink ref="I462" r:id="rId1368" display="https://www.inaturalist.org/observations/379234261"/>
    <hyperlink ref="G463" r:id="rId1369" display="maza_"/>
    <hyperlink ref="H463" r:id="rId1370" display="Deed - Attribution-NonCommercial 4.0 International - Creative Commons"/>
    <hyperlink ref="I463" r:id="rId1371" display="https://www.inaturalist.org/observations/379234261"/>
    <hyperlink ref="G464" r:id="rId1372" display="umeboshiboys"/>
    <hyperlink ref="H464" r:id="rId1373" display="Deed - Attribution-NonCommercial 4.0 International - Creative Commons"/>
    <hyperlink ref="I464" r:id="rId1374" display="https://www.inaturalist.org/observations/379076510"/>
    <hyperlink ref="G465" r:id="rId1375" display="spiderpalooza"/>
    <hyperlink ref="H465" r:id="rId1376" display="Deed - Attribution-NonCommercial 4.0 International - Creative Commons"/>
    <hyperlink ref="I465" r:id="rId1377" display="https://www.inaturalist.org/observations/378334252"/>
    <hyperlink ref="G466" r:id="rId1378" display="smalltown_huang"/>
    <hyperlink ref="H466" r:id="rId1379" display="Deed - Attribution-NonCommercial 4.0 International - Creative Commons"/>
    <hyperlink ref="I466" r:id="rId1380" display="https://www.inaturalist.org/observations/378075625"/>
    <hyperlink ref="G467" r:id="rId1381" display="naturalist126241"/>
    <hyperlink ref="H467" r:id="rId1382" display="Deed - Attribution-NonCommercial 4.0 International - Creative Commons"/>
    <hyperlink ref="I467" r:id="rId1383" display="https://www.inaturalist.org/observations/377691855"/>
    <hyperlink ref="G468" r:id="rId1384" display="chikencababldo"/>
    <hyperlink ref="H468" r:id="rId1385" display="Deed - Attribution-NonCommercial 4.0 International - Creative Commons"/>
    <hyperlink ref="I468" r:id="rId1386" display="https://www.inaturalist.org/observations/377683757"/>
    <hyperlink ref="G469" r:id="rId1387" display="takuyatamura"/>
    <hyperlink ref="H469" r:id="rId1388" display="Deed - Attribution-NonCommercial 4.0 International - Creative Commons"/>
    <hyperlink ref="I469" r:id="rId1389" display="https://www.inaturalist.org/observations/377677903"/>
    <hyperlink ref="G470" r:id="rId1390" display="quailsandpsyllids"/>
    <hyperlink ref="H470" r:id="rId1391" display="Deed - Attribution-NonCommercial 4.0 International - Creative Commons"/>
    <hyperlink ref="I470" r:id="rId1392" display="https://www.inaturalist.org/observations/377461183"/>
    <hyperlink ref="G471" r:id="rId1393" display="sakkusaku"/>
    <hyperlink ref="H471" r:id="rId1394" display="Deed - Attribution-NonCommercial 4.0 International - Creative Commons"/>
    <hyperlink ref="I471" r:id="rId1395" display="https://www.inaturalist.org/observations/377344464"/>
    <hyperlink ref="G472" r:id="rId1396" display="qaq523"/>
    <hyperlink ref="H472" r:id="rId1397" display="Deed - Attribution-NonCommercial 4.0 International - Creative Commons"/>
    <hyperlink ref="I472" r:id="rId1398" display="https://www.inaturalist.org/observations/377063987"/>
    <hyperlink ref="G473" r:id="rId1399" display="qaq523"/>
    <hyperlink ref="H473" r:id="rId1400" display="Deed - Attribution-NonCommercial 4.0 International - Creative Commons"/>
    <hyperlink ref="I473" r:id="rId1401" display="https://www.inaturalist.org/observations/377063987"/>
    <hyperlink ref="G474" r:id="rId1402" display="naturalist159746"/>
    <hyperlink ref="H474" r:id="rId1403" display="Deed - Attribution-NonCommercial 4.0 International - Creative Commons"/>
    <hyperlink ref="I474" r:id="rId1404" display="https://www.inaturalist.org/observations/376803592"/>
    <hyperlink ref="G475" r:id="rId1405" display="nittan_lover"/>
    <hyperlink ref="H475" r:id="rId1406" display="Deed - Attribution-NonCommercial 4.0 International - Creative Commons"/>
    <hyperlink ref="I475" r:id="rId1407" display="https://www.inaturalist.org/observations/376756884"/>
    <hyperlink ref="G476" r:id="rId1408" display="shino_san"/>
    <hyperlink ref="H476" r:id="rId1409" display="Deed - Attribution-NonCommercial 4.0 International - Creative Commons"/>
    <hyperlink ref="I476" r:id="rId1410" display="https://www.inaturalist.org/observations/376755754"/>
    <hyperlink ref="G477" r:id="rId1411" display="bucky533"/>
    <hyperlink ref="H477" r:id="rId1412" display="Deed - Attribution-NonCommercial 4.0 International - Creative Commons"/>
    <hyperlink ref="I477" r:id="rId1413" display="https://www.inaturalist.org/observations/376162896"/>
    <hyperlink ref="G478" r:id="rId1414" display="waterdeer"/>
    <hyperlink ref="H478" r:id="rId1415" display="Deed - Attribution-NonCommercial 4.0 International - Creative Commons"/>
    <hyperlink ref="I478" r:id="rId1416" display="https://www.inaturalist.org/observations/376128098"/>
    <hyperlink ref="G479" r:id="rId1417" display="takuyatamura"/>
    <hyperlink ref="H479" r:id="rId1418" display="Deed - Attribution-NonCommercial 4.0 International - Creative Commons"/>
    <hyperlink ref="I479" r:id="rId1419" display="https://www.inaturalist.org/observations/375886645"/>
    <hyperlink ref="G480" r:id="rId1420" display="fuyodo_san"/>
    <hyperlink ref="H480" r:id="rId1421" display="Deed - Attribution-NonCommercial 4.0 International - Creative Commons"/>
    <hyperlink ref="I480" r:id="rId1422" display="https://www.inaturalist.org/observations/375243864"/>
    <hyperlink ref="G481" r:id="rId1423" display="fuyodo_san"/>
    <hyperlink ref="H481" r:id="rId1424" display="Deed - Attribution-NonCommercial 4.0 International - Creative Commons"/>
    <hyperlink ref="I481" r:id="rId1425" display="https://www.inaturalist.org/observations/375243862"/>
    <hyperlink ref="G482" r:id="rId1426" display="fuyodo_san"/>
    <hyperlink ref="H482" r:id="rId1427" display="Deed - Attribution-NonCommercial 4.0 International - Creative Commons"/>
    <hyperlink ref="I482" r:id="rId1428" display="https://www.inaturalist.org/observations/375243860"/>
    <hyperlink ref="G483" r:id="rId1429" display="soyorin_"/>
    <hyperlink ref="H483" r:id="rId1430" display="Deed - Attribution-NonCommercial 4.0 International - Creative Commons"/>
    <hyperlink ref="I483" r:id="rId1431" display="https://www.inaturalist.org/observations/375209989"/>
    <hyperlink ref="G484" r:id="rId1432" display="alanbrod"/>
    <hyperlink ref="H484" r:id="rId1433" display="Deed - Attribution-NonCommercial 4.0 International - Creative Commons"/>
    <hyperlink ref="I484" r:id="rId1434" display="https://www.inaturalist.org/observations/374709622"/>
    <hyperlink ref="G485" r:id="rId1435" display="marina2797"/>
    <hyperlink ref="H485" r:id="rId1436" display="Deed - Attribution-NonCommercial 4.0 International - Creative Commons"/>
    <hyperlink ref="I485" r:id="rId1437" display="https://www.inaturalist.org/observations/374573757"/>
    <hyperlink ref="G486" r:id="rId1438" display="akanekoch"/>
    <hyperlink ref="H486" r:id="rId1439" display="Deed - Attribution-NonCommercial 4.0 International - Creative Commons"/>
    <hyperlink ref="I486" r:id="rId1440" display="https://www.inaturalist.org/observations/374279390"/>
    <hyperlink ref="G487" r:id="rId1441" display="baishi"/>
    <hyperlink ref="H487" r:id="rId1442" display="Deed - Attribution-NonCommercial 4.0 International - Creative Commons"/>
    <hyperlink ref="I487" r:id="rId1443" display="https://www.inaturalist.org/observations/374236766"/>
    <hyperlink ref="G488" r:id="rId1444" display="lice_on_rice"/>
    <hyperlink ref="H488" r:id="rId1445" display="Deed - Attribution-NonCommercial 4.0 International - Creative Commons"/>
    <hyperlink ref="I488" r:id="rId1446" display="https://www.inaturalist.org/observations/374154995"/>
    <hyperlink ref="G489" r:id="rId1447" display="tangxing"/>
    <hyperlink ref="H489" r:id="rId1448" display="Deed - Attribution-NonCommercial 4.0 International - Creative Commons"/>
    <hyperlink ref="I489" r:id="rId1449" display="https://www.inaturalist.org/observations/373216594"/>
    <hyperlink ref="G490" r:id="rId1450" display="umeboshiboys"/>
    <hyperlink ref="H490" r:id="rId1451" display="Deed - Attribution-NonCommercial 4.0 International - Creative Commons"/>
    <hyperlink ref="I490" r:id="rId1452" display="https://www.inaturalist.org/observations/373203725"/>
    <hyperlink ref="G491" r:id="rId1453" display="milky_lzn"/>
    <hyperlink ref="H491" r:id="rId1454" display="Deed - Attribution-NonCommercial 4.0 International - Creative Commons"/>
    <hyperlink ref="I491" r:id="rId1455" display="https://www.inaturalist.org/observations/373014126"/>
    <hyperlink ref="G492" r:id="rId1456" display="ydyd"/>
    <hyperlink ref="H492" r:id="rId1457" display="Deed - Attribution-NonCommercial 4.0 International - Creative Commons"/>
    <hyperlink ref="I492" r:id="rId1458" display="https://www.inaturalist.org/observations/372775893"/>
    <hyperlink ref="G493" r:id="rId1459" display="cressgil"/>
    <hyperlink ref="H493" r:id="rId1460" display="Deed - Attribution-NonCommercial 4.0 International - Creative Commons"/>
    <hyperlink ref="I493" r:id="rId1461" display="https://www.inaturalist.org/observations/378362456"/>
    <hyperlink ref="G494" r:id="rId1462" display="allansander"/>
    <hyperlink ref="H494" r:id="rId1463" display="Deed - Attribution-NonCommercial 4.0 International - Creative Commons"/>
    <hyperlink ref="I494" r:id="rId1464" display="https://www.inaturalist.org/observations/378245106"/>
    <hyperlink ref="G495" r:id="rId1465" display="allansander"/>
    <hyperlink ref="H495" r:id="rId1466" display="Deed - Attribution-NonCommercial 4.0 International - Creative Commons"/>
    <hyperlink ref="I495" r:id="rId1467" display="https://www.inaturalist.org/observations/378245106"/>
    <hyperlink ref="G496" r:id="rId1468" display="antoine_vespe"/>
    <hyperlink ref="H496" r:id="rId1469" display="Deed - Attribution-NonCommercial 4.0 International - Creative Commons"/>
    <hyperlink ref="I496" r:id="rId1470" display="https://www.inaturalist.org/observations/378024451"/>
    <hyperlink ref="G497" r:id="rId1471" display="harumeku12"/>
    <hyperlink ref="H497" r:id="rId1472" display="Deed - Attribution-NonCommercial 4.0 International - Creative Commons"/>
    <hyperlink ref="I497" r:id="rId1473" display="https://www.inaturalist.org/observations/376417856"/>
    <hyperlink ref="G498" r:id="rId1474" display="chugbug111"/>
    <hyperlink ref="H498" r:id="rId1475" display="Deed - Attribution-NonCommercial 4.0 International - Creative Commons"/>
    <hyperlink ref="I498" r:id="rId1476" display="https://www.inaturalist.org/observations/376050768"/>
    <hyperlink ref="G499" r:id="rId1477" display="marcel-silvius"/>
    <hyperlink ref="H499" r:id="rId1478" display="Deed - Attribution-NonCommercial 4.0 International - Creative Commons"/>
    <hyperlink ref="I499" r:id="rId1479" display="https://www.inaturalist.org/observations/375516354"/>
    <hyperlink ref="G500" r:id="rId1480" display="ctilapia"/>
    <hyperlink ref="H500" r:id="rId1481" display="Deed - Attribution-NonCommercial 4.0 International - Creative Commons"/>
    <hyperlink ref="I500" r:id="rId1482" display="https://www.inaturalist.org/observations/374948132"/>
    <hyperlink ref="G501" r:id="rId1483" display="kareopadi"/>
    <hyperlink ref="H501" r:id="rId1484" display="Deed - Attribution-NonCommercial 4.0 International - Creative Commons"/>
    <hyperlink ref="I501" r:id="rId1485" display="https://www.inaturalist.org/observations/374879109"/>
    <hyperlink ref="G502" r:id="rId1486" display="kareopadi"/>
    <hyperlink ref="H502" r:id="rId1487" display="Deed - Attribution-NonCommercial 4.0 International - Creative Commons"/>
    <hyperlink ref="I502" r:id="rId1488" display="https://www.inaturalist.org/observations/374879109"/>
    <hyperlink ref="G503" r:id="rId1489" display="philbenstead"/>
    <hyperlink ref="H503" r:id="rId1490" display="Deed - Attribution-NonCommercial 4.0 International - Creative Commons"/>
    <hyperlink ref="I503" r:id="rId1491" display="https://www.inaturalist.org/observations/374614220"/>
    <hyperlink ref="G504" r:id="rId1492" display="ctilapia"/>
    <hyperlink ref="H504" r:id="rId1493" display="Deed - Attribution-NonCommercial 4.0 International - Creative Commons"/>
    <hyperlink ref="I504" r:id="rId1494" display="https://www.inaturalist.org/observations/374524484"/>
    <hyperlink ref="G505" r:id="rId1495" display="ctilapia"/>
    <hyperlink ref="H505" r:id="rId1496" display="Deed - Attribution-NonCommercial 4.0 International - Creative Commons"/>
    <hyperlink ref="I505" r:id="rId1497" display="https://www.inaturalist.org/observations/374524484"/>
    <hyperlink ref="G506" r:id="rId1498" display="ftnabilah"/>
    <hyperlink ref="H506" r:id="rId1499" display="Deed - Attribution-NonCommercial 4.0 International - Creative Commons"/>
    <hyperlink ref="I506" r:id="rId1500" display="https://www.inaturalist.org/observations/374293183"/>
    <hyperlink ref="G507" r:id="rId1501" display="fomalout"/>
    <hyperlink ref="H507" r:id="rId1502" display="Deed - Attribution-NonCommercial 4.0 International - Creative Commons"/>
    <hyperlink ref="I507" r:id="rId1503" display="https://www.inaturalist.org/observations/374255956"/>
    <hyperlink ref="G508" r:id="rId1504" display="fraserboyd91"/>
    <hyperlink ref="H508" r:id="rId1505" display="Deed - Attribution-NonCommercial 4.0 International - Creative Commons"/>
    <hyperlink ref="I508" r:id="rId1506" display="https://www.inaturalist.org/observations/373879322"/>
    <hyperlink ref="G509" r:id="rId1507" display="lukib32"/>
    <hyperlink ref="H509" r:id="rId1508" display="Deed - Attribution-NonCommercial 4.0 International - Creative Commons"/>
    <hyperlink ref="I509" r:id="rId1509" display="https://www.inaturalist.org/observations/373209923"/>
    <hyperlink ref="G510" r:id="rId1510" display="maxreptileroom"/>
    <hyperlink ref="H510" r:id="rId1511" display="Deed - Attribution-NonCommercial 4.0 International - Creative Commons"/>
    <hyperlink ref="I510" r:id="rId1512" display="https://www.inaturalist.org/observations/370721984"/>
    <hyperlink ref="G511" r:id="rId1513" display="sandylingchoo"/>
    <hyperlink ref="H511" r:id="rId1514" display="Deed - Attribution-NonCommercial 4.0 International - Creative Commons"/>
    <hyperlink ref="I511" r:id="rId1515" display="https://www.inaturalist.org/observations/369325895"/>
    <hyperlink ref="G512" r:id="rId1516" display="norbert_cs"/>
    <hyperlink ref="H512" r:id="rId1517" display="Deed - Attribution-NonCommercial 4.0 International - Creative Commons"/>
    <hyperlink ref="I512" r:id="rId1518" display="https://www.inaturalist.org/observations/369228759"/>
    <hyperlink ref="G513" r:id="rId1519" display="maltesellin"/>
    <hyperlink ref="H513" r:id="rId1520" display="Deed - Attribution-NonCommercial 4.0 International - Creative Commons"/>
    <hyperlink ref="I513" r:id="rId1521" display="https://www.inaturalist.org/observations/366544153"/>
    <hyperlink ref="G514" r:id="rId1522" display="whelantang"/>
    <hyperlink ref="H514" r:id="rId1523" display="Deed - Attribution-NonCommercial 4.0 International - Creative Commons"/>
    <hyperlink ref="I514" r:id="rId1524" display="https://www.inaturalist.org/observations/366000777"/>
    <hyperlink ref="G515" r:id="rId1525" display="cirolana"/>
    <hyperlink ref="H515" r:id="rId1526" display="Deed - Attribution-NonCommercial 4.0 International - Creative Commons"/>
    <hyperlink ref="I515" r:id="rId1527" display="https://www.inaturalist.org/observations/365941056"/>
    <hyperlink ref="G516" r:id="rId1528" display="marcdomenech"/>
    <hyperlink ref="H516" r:id="rId1529" display="Deed - Attribution-NonCommercial 4.0 International - Creative Commons"/>
    <hyperlink ref="I516" r:id="rId1530" display="https://www.inaturalist.org/observations/365195005"/>
    <hyperlink ref="G517" r:id="rId1531" display="marcdomenech"/>
    <hyperlink ref="H517" r:id="rId1532" display="Deed - Attribution-NonCommercial 4.0 International - Creative Commons"/>
    <hyperlink ref="I517" r:id="rId1533" display="https://www.inaturalist.org/observations/365194998"/>
    <hyperlink ref="G518" r:id="rId1534" display="yourlocalcarwash"/>
    <hyperlink ref="H518" r:id="rId1535" display="Deed - Attribution-NonCommercial 4.0 International - Creative Commons"/>
    <hyperlink ref="I518" r:id="rId1536" display="https://www.inaturalist.org/observations/363725592"/>
    <hyperlink ref="G519" r:id="rId1537" display="athenebrama"/>
    <hyperlink ref="H519" r:id="rId1538" display="Deed - Attribution-NonCommercial 4.0 International - Creative Commons"/>
    <hyperlink ref="I519" r:id="rId1539" display="https://www.inaturalist.org/observations/363539460"/>
    <hyperlink ref="G520" r:id="rId1540" display="exploring_the_world"/>
    <hyperlink ref="H520" r:id="rId1541" display="Deed - Attribution-NonCommercial 4.0 International - Creative Commons"/>
    <hyperlink ref="I520" r:id="rId1542" display="https://www.inaturalist.org/observations/363538659"/>
    <hyperlink ref="G521" r:id="rId1543" display="fourleafklover"/>
    <hyperlink ref="H521" r:id="rId1544" display="Deed - Attribution-NonCommercial 4.0 International - Creative Commons"/>
    <hyperlink ref="I521" r:id="rId1545" display="https://www.inaturalist.org/observations/361966258"/>
    <hyperlink ref="G522" r:id="rId1546" display="fourleafklover"/>
    <hyperlink ref="H522" r:id="rId1547" display="Deed - Attribution-NonCommercial 4.0 International - Creative Commons"/>
    <hyperlink ref="I522" r:id="rId1548" display="https://www.inaturalist.org/observations/361966258"/>
    <hyperlink ref="G523" r:id="rId1549" display="kengkittipon28"/>
    <hyperlink ref="H523" r:id="rId1550" display="Deed - Attribution-NonCommercial 4.0 International - Creative Commons"/>
    <hyperlink ref="I523" r:id="rId1551" display="https://www.inaturalist.org/observations/361235731"/>
    <hyperlink ref="G524" r:id="rId1552" display="kengkittipon28"/>
    <hyperlink ref="H524" r:id="rId1553" display="Deed - Attribution-NonCommercial 4.0 International - Creative Commons"/>
    <hyperlink ref="I524" r:id="rId1554" display="https://www.inaturalist.org/observations/361235731"/>
    <hyperlink ref="G525" r:id="rId1555" display="jamg0121"/>
    <hyperlink ref="H525" r:id="rId1556" display="Deed - Attribution-NonCommercial 4.0 International - Creative Commons"/>
    <hyperlink ref="I525" r:id="rId1557" display="https://www.inaturalist.org/observations/360514573"/>
    <hyperlink ref="G526" r:id="rId1558" display="harumeku12"/>
    <hyperlink ref="H526" r:id="rId1559" display="Deed - Attribution-NonCommercial 4.0 International - Creative Commons"/>
    <hyperlink ref="I526" r:id="rId1560" display="https://www.inaturalist.org/observations/360228971"/>
    <hyperlink ref="G527" r:id="rId1561" display="loomins_zoomins"/>
    <hyperlink ref="H527" r:id="rId1562" display="Deed - Attribution-NonCommercial 4.0 International - Creative Commons"/>
    <hyperlink ref="I527" r:id="rId1563" display="https://www.inaturalist.org/observations/359827471"/>
    <hyperlink ref="G528" r:id="rId1564" display="xdjcz"/>
    <hyperlink ref="H528" r:id="rId1565" display="Deed - Attribution-NonCommercial 4.0 International - Creative Commons"/>
    <hyperlink ref="I528" r:id="rId1566" display="https://www.inaturalist.org/observations/376064069"/>
    <hyperlink ref="G529" r:id="rId1567" display="xdjcz"/>
    <hyperlink ref="H529" r:id="rId1568" display="Deed - Attribution-NonCommercial 4.0 International - Creative Commons"/>
    <hyperlink ref="I529" r:id="rId1569" display="https://www.inaturalist.org/observations/376063921"/>
    <hyperlink ref="G530" r:id="rId1570" display="hpenrod2"/>
    <hyperlink ref="H530" r:id="rId1571" display="Deed - Attribution-NonCommercial 4.0 International - Creative Commons"/>
    <hyperlink ref="I530" r:id="rId1572" display="https://www.inaturalist.org/observations/376055934"/>
    <hyperlink ref="G531" r:id="rId1573" display="hpenrod2"/>
    <hyperlink ref="H531" r:id="rId1574" display="Deed - Attribution-NonCommercial 4.0 International - Creative Commons"/>
    <hyperlink ref="I531" r:id="rId1575" display="https://www.inaturalist.org/observations/376055934"/>
    <hyperlink ref="G532" r:id="rId1576" display="tbs_wilderness"/>
    <hyperlink ref="H532" r:id="rId1577" display="Deed - Attribution-NonCommercial 4.0 International - Creative Commons"/>
    <hyperlink ref="I532" r:id="rId1578" display="https://www.inaturalist.org/observations/376027313"/>
    <hyperlink ref="G533" r:id="rId1579" display="aeithalis"/>
    <hyperlink ref="H533" r:id="rId1580" display="Deed - Attribution-NonCommercial 4.0 International - Creative Commons"/>
    <hyperlink ref="I533" r:id="rId1581" display="https://www.inaturalist.org/observations/376009317"/>
    <hyperlink ref="G534" r:id="rId1582" display="zakry7"/>
    <hyperlink ref="H534" r:id="rId1583" display="Deed - Attribution-NonCommercial 4.0 International - Creative Commons"/>
    <hyperlink ref="I534" r:id="rId1584" display="https://www.inaturalist.org/observations/375985961"/>
    <hyperlink ref="G535" r:id="rId1585" display="zakry7"/>
    <hyperlink ref="H535" r:id="rId1586" display="Deed - Attribution-NonCommercial 4.0 International - Creative Commons"/>
    <hyperlink ref="I535" r:id="rId1587" display="https://www.inaturalist.org/observations/375985961"/>
    <hyperlink ref="G536" r:id="rId1588" display="edgar-f-maldonado"/>
    <hyperlink ref="H536" r:id="rId1589" display="Deed - Attribution-NonCommercial 4.0 International - Creative Commons"/>
    <hyperlink ref="I536" r:id="rId1590" display="https://www.inaturalist.org/observations/375901166"/>
    <hyperlink ref="G537" r:id="rId1591" display="maltebroecker"/>
    <hyperlink ref="H537" r:id="rId1592" display="Deed - Attribution-NonCommercial 4.0 International - Creative Commons"/>
    <hyperlink ref="I537" r:id="rId1593" display="https://www.inaturalist.org/observations/375797684"/>
    <hyperlink ref="G538" r:id="rId1594" display="alazon"/>
    <hyperlink ref="H538" r:id="rId1595" display="Deed - Attribution-NonCommercial 4.0 International - Creative Commons"/>
    <hyperlink ref="I538" r:id="rId1596" display="https://www.inaturalist.org/observations/375631008"/>
    <hyperlink ref="G539" r:id="rId1597" display="squib25"/>
    <hyperlink ref="H539" r:id="rId1598" display="Deed - Attribution-NonCommercial 4.0 International - Creative Commons"/>
    <hyperlink ref="I539" r:id="rId1599" display="https://www.inaturalist.org/observations/375620816"/>
    <hyperlink ref="G540" r:id="rId1600" display="king2004"/>
    <hyperlink ref="H540" r:id="rId1601" display="Deed - Attribution-NonCommercial 4.0 International - Creative Commons"/>
    <hyperlink ref="I540" r:id="rId1602" display="https://www.inaturalist.org/observations/375610260"/>
    <hyperlink ref="G541" r:id="rId1603" display="observatorio1873"/>
    <hyperlink ref="H541" r:id="rId1604" display="Deed - Attribution-NonCommercial 4.0 International - Creative Commons"/>
    <hyperlink ref="I541" r:id="rId1605" display="https://www.inaturalist.org/observations/375598304"/>
    <hyperlink ref="G542" r:id="rId1606" display="wklo"/>
    <hyperlink ref="H542" r:id="rId1607" display="Deed - Attribution-NonCommercial 4.0 International - Creative Commons"/>
    <hyperlink ref="I542" r:id="rId1608" display="https://www.inaturalist.org/observations/375552773"/>
    <hyperlink ref="G543" r:id="rId1609" display="amir2010"/>
    <hyperlink ref="H543" r:id="rId1610" display="Deed - Attribution-NonCommercial 4.0 International - Creative Commons"/>
    <hyperlink ref="I543" r:id="rId1611" display="https://www.inaturalist.org/observations/375499709"/>
    <hyperlink ref="G544" r:id="rId1612" display="garlice99"/>
    <hyperlink ref="H544" r:id="rId1613" display="Deed - Attribution-NonCommercial 4.0 International - Creative Commons"/>
    <hyperlink ref="I544" r:id="rId1614" display="https://www.inaturalist.org/observations/375489034"/>
    <hyperlink ref="G545" r:id="rId1615" display="owen65"/>
    <hyperlink ref="H545" r:id="rId1616" display="Deed - Attribution-NonCommercial 4.0 International - Creative Commons"/>
    <hyperlink ref="I545" r:id="rId1617" display="https://www.inaturalist.org/observations/375480523"/>
    <hyperlink ref="G546" r:id="rId1618" display="benwalters"/>
    <hyperlink ref="H546" r:id="rId1619" display="Deed - Attribution-NonCommercial 4.0 International - Creative Commons"/>
    <hyperlink ref="I546" r:id="rId1620" display="https://www.inaturalist.org/observations/375462222"/>
    <hyperlink ref="G547" r:id="rId1621" display="sirlarus"/>
    <hyperlink ref="H547" r:id="rId1622" display="Deed - Attribution-NonCommercial 4.0 International - Creative Commons"/>
    <hyperlink ref="I547" r:id="rId1623" display="https://www.inaturalist.org/observations/375459683"/>
    <hyperlink ref="G548" r:id="rId1624" display="maltesellin"/>
    <hyperlink ref="H548" r:id="rId1625" display="Deed - Attribution-NonCommercial 4.0 International - Creative Commons"/>
    <hyperlink ref="I548" r:id="rId1626" display="https://www.inaturalist.org/observations/375444741"/>
    <hyperlink ref="G549" r:id="rId1627" display="wohlrab"/>
    <hyperlink ref="H549" r:id="rId1628" display="Deed - Attribution-NonCommercial 4.0 International - Creative Commons"/>
    <hyperlink ref="I549" r:id="rId1629" display="https://www.inaturalist.org/observations/375429585"/>
    <hyperlink ref="G550" r:id="rId1630" display="leytonjfreid"/>
    <hyperlink ref="H550" r:id="rId1631" display="Deed - Attribution-NonCommercial 4.0 International - Creative Commons"/>
    <hyperlink ref="I550" r:id="rId1632" display="https://www.inaturalist.org/observations/375427361"/>
    <hyperlink ref="G551" r:id="rId1633" display="yangae"/>
    <hyperlink ref="H551" r:id="rId1634" display="Deed - Attribution-NonCommercial 4.0 International - Creative Commons"/>
    <hyperlink ref="I551" r:id="rId1635" display="https://www.inaturalist.org/observations/375420315"/>
    <hyperlink ref="G552" r:id="rId1636" display="tetraponera_attenuata"/>
    <hyperlink ref="H552" r:id="rId1637" display="Deed - Attribution-NonCommercial 4.0 International - Creative Commons"/>
    <hyperlink ref="I552" r:id="rId1638" display="https://www.inaturalist.org/observations/375416216"/>
    <hyperlink ref="G553" r:id="rId1639" display="wssailor"/>
    <hyperlink ref="H553" r:id="rId1640" display="Deed - Attribution-NonCommercial 4.0 International - Creative Commons"/>
    <hyperlink ref="I553" r:id="rId1641" display="https://www.inaturalist.org/observations/375375557"/>
    <hyperlink ref="G554" r:id="rId1642" display="archiedowdeswell"/>
    <hyperlink ref="H554" r:id="rId1643" display="Deed - Attribution-NonCommercial 4.0 International - Creative Commons"/>
    <hyperlink ref="I554" r:id="rId1644" display="https://www.inaturalist.org/observations/375351009"/>
    <hyperlink ref="G555" r:id="rId1645" display="prosenjit"/>
    <hyperlink ref="H555" r:id="rId1646" display="Deed - Attribution-NonCommercial 4.0 International - Creative Commons"/>
    <hyperlink ref="I555" r:id="rId1647" display="https://www.inaturalist.org/observations/375322336"/>
    <hyperlink ref="G556" r:id="rId1648" display="meatw0rmri"/>
    <hyperlink ref="H556" r:id="rId1649" display="Deed - Attribution-NonCommercial 4.0 International - Creative Commons"/>
    <hyperlink ref="I556" r:id="rId1650" display="https://www.inaturalist.org/observations/375306367"/>
    <hyperlink ref="G557" r:id="rId1651" display="kragikuak"/>
    <hyperlink ref="H557" r:id="rId1652" display="Deed - Attribution-NonCommercial 4.0 International - Creative Commons"/>
    <hyperlink ref="I557" r:id="rId1653" display="https://www.inaturalist.org/observations/375282875"/>
    <hyperlink ref="G558" r:id="rId1654" display="kragikuak"/>
    <hyperlink ref="H558" r:id="rId1655" display="Deed - Attribution-NonCommercial 4.0 International - Creative Commons"/>
    <hyperlink ref="I558" r:id="rId1656" display="https://www.inaturalist.org/observations/375282875"/>
    <hyperlink ref="G559" r:id="rId1657" display="vlad64893"/>
    <hyperlink ref="H559" r:id="rId1658" display="Deed - Attribution-NonCommercial 4.0 International - Creative Commons"/>
    <hyperlink ref="I559" r:id="rId1659" display="https://www.inaturalist.org/observations/375263552"/>
    <hyperlink ref="G560" r:id="rId1660" display="sylviem76"/>
    <hyperlink ref="H560" r:id="rId1661" display="Deed - Attribution-NonCommercial 4.0 International - Creative Commons"/>
    <hyperlink ref="I560" r:id="rId1662" display="https://www.inaturalist.org/observations/375263225"/>
    <hyperlink ref="G561" r:id="rId1663" display="mschuang"/>
    <hyperlink ref="H561" r:id="rId1664" display="Deed - Attribution-NonCommercial 4.0 International - Creative Commons"/>
    <hyperlink ref="I561" r:id="rId1665" display="https://www.inaturalist.org/observations/375237464"/>
    <hyperlink ref="G562" r:id="rId1666" display="mschuang"/>
    <hyperlink ref="H562" r:id="rId1667" display="Deed - Attribution-NonCommercial 4.0 International - Creative Commons"/>
    <hyperlink ref="I562" r:id="rId1668" display="https://www.inaturalist.org/observations/375231455"/>
    <hyperlink ref="G563" r:id="rId1669" display="m_hoekwater"/>
    <hyperlink ref="H563" r:id="rId1670" display="Deed - Attribution-NonCommercial 4.0 International - Creative Commons"/>
    <hyperlink ref="I563" r:id="rId1671" display="https://www.inaturalist.org/observations/379843142"/>
    <hyperlink ref="G564" r:id="rId1672" display="utfarmstand"/>
    <hyperlink ref="H564" r:id="rId1673" display="Deed - Attribution-NonCommercial 4.0 International - Creative Commons"/>
    <hyperlink ref="I564" r:id="rId1674" display="https://www.inaturalist.org/observations/379837353"/>
    <hyperlink ref="G565" r:id="rId1675" display="riley_bieker"/>
    <hyperlink ref="H565" r:id="rId1676" display="Deed - Attribution-NonCommercial 4.0 International - Creative Commons"/>
    <hyperlink ref="I565" r:id="rId1677" display="https://www.inaturalist.org/observations/379832540"/>
    <hyperlink ref="G566" r:id="rId1678" display="evarant"/>
    <hyperlink ref="H566" r:id="rId1679" display="Deed - Attribution-NonCommercial 4.0 International - Creative Commons"/>
    <hyperlink ref="I566" r:id="rId1680" display="https://www.inaturalist.org/observations/379822000"/>
    <hyperlink ref="G567" r:id="rId1681" display="mokasworld"/>
    <hyperlink ref="H567" r:id="rId1682" display="Deed - Attribution-NonCommercial 4.0 International - Creative Commons"/>
    <hyperlink ref="I567" r:id="rId1683" display="https://www.inaturalist.org/observations/379818336"/>
    <hyperlink ref="G568" r:id="rId1684" display="alexia_pavard"/>
    <hyperlink ref="H568" r:id="rId1685" display="Deed - Attribution-NonCommercial 4.0 International - Creative Commons"/>
    <hyperlink ref="I568" r:id="rId1686" display="https://www.inaturalist.org/observations/379814122"/>
    <hyperlink ref="G569" r:id="rId1687" display="pschmitz"/>
    <hyperlink ref="H569" r:id="rId1688" display="Deed - Attribution-NonCommercial 4.0 International - Creative Commons"/>
    <hyperlink ref="I569" r:id="rId1689" display="https://www.inaturalist.org/observations/379790118"/>
    <hyperlink ref="G570" r:id="rId1690" display="cynsternberg"/>
    <hyperlink ref="H570" r:id="rId1691" display="Deed - Attribution-NonCommercial 4.0 International - Creative Commons"/>
    <hyperlink ref="I570" r:id="rId1692" display="https://www.inaturalist.org/observations/379782880"/>
    <hyperlink ref="G571" r:id="rId1693" display="yan_tonz"/>
    <hyperlink ref="H571" r:id="rId1694" display="Deed - Attribution-NonCommercial 4.0 International - Creative Commons"/>
    <hyperlink ref="I571" r:id="rId1695" display="https://www.inaturalist.org/observations/379766325"/>
    <hyperlink ref="G572" r:id="rId1696" display="millipedeman56"/>
    <hyperlink ref="H572" r:id="rId1697" display="Deed - Attribution-NonCommercial 4.0 International - Creative Commons"/>
    <hyperlink ref="I572" r:id="rId1698" display="https://www.inaturalist.org/observations/379765940"/>
    <hyperlink ref="G573" r:id="rId1699" display="ciaracastro09"/>
    <hyperlink ref="H573" r:id="rId1700" display="Deed - Attribution-NonCommercial 4.0 International - Creative Commons"/>
    <hyperlink ref="I573" r:id="rId1701" display="https://www.inaturalist.org/observations/379761730"/>
    <hyperlink ref="G574" r:id="rId1702" display="dwilliams95"/>
    <hyperlink ref="H574" r:id="rId1703" display="Deed - Attribution-NonCommercial 4.0 International - Creative Commons"/>
    <hyperlink ref="I574" r:id="rId1704" display="https://www.inaturalist.org/observations/379745406"/>
    <hyperlink ref="G575" r:id="rId1705" display="oscar66139"/>
    <hyperlink ref="H575" r:id="rId1706" display="Deed - Attribution-NonCommercial 4.0 International - Creative Commons"/>
    <hyperlink ref="I575" r:id="rId1707" display="https://www.inaturalist.org/observations/379719638"/>
    <hyperlink ref="G576" r:id="rId1708" display="aaron3431"/>
    <hyperlink ref="H576" r:id="rId1709" display="Deed - Attribution-NonCommercial 4.0 International - Creative Commons"/>
    <hyperlink ref="I576" r:id="rId1710" display="https://www.inaturalist.org/observations/379710128"/>
    <hyperlink ref="G577" r:id="rId1711" display="greenturtleeee"/>
    <hyperlink ref="H577" r:id="rId1712" display="Deed - Attribution-NonCommercial 4.0 International - Creative Commons"/>
    <hyperlink ref="I577" r:id="rId1713" display="https://www.inaturalist.org/observations/379698800"/>
    <hyperlink ref="G578" r:id="rId1714" display="rexstutter"/>
    <hyperlink ref="H578" r:id="rId1715" display="Deed - Attribution-NonCommercial 4.0 International - Creative Commons"/>
    <hyperlink ref="I578" r:id="rId1716" display="https://www.inaturalist.org/observations/379689369"/>
    <hyperlink ref="G579" r:id="rId1717" display="katylou90"/>
    <hyperlink ref="H579" r:id="rId1718" display="Deed - Attribution-NonCommercial 4.0 International - Creative Commons"/>
    <hyperlink ref="I579" r:id="rId1719" display="https://www.inaturalist.org/observations/379615749"/>
    <hyperlink ref="G580" r:id="rId1720" display="angelruiz303"/>
    <hyperlink ref="H580" r:id="rId1721" display="Deed - Attribution-NonCommercial 4.0 International - Creative Commons"/>
    <hyperlink ref="I580" r:id="rId1722" display="https://www.inaturalist.org/observations/379595470"/>
    <hyperlink ref="G581" r:id="rId1723" display="angelruiz303"/>
    <hyperlink ref="H581" r:id="rId1724" display="Deed - Attribution-NonCommercial 4.0 International - Creative Commons"/>
    <hyperlink ref="I581" r:id="rId1725" display="https://www.inaturalist.org/observations/379595470"/>
    <hyperlink ref="G582" r:id="rId1726" display="mako252"/>
    <hyperlink ref="H582" r:id="rId1727" display="Deed - Attribution-NonCommercial 4.0 International - Creative Commons"/>
    <hyperlink ref="I582" r:id="rId1728" display="https://www.inaturalist.org/observations/379591938"/>
    <hyperlink ref="G583" r:id="rId1729" display="luca44"/>
    <hyperlink ref="H583" r:id="rId1730" display="Deed - Attribution-NonCommercial 4.0 International - Creative Commons"/>
    <hyperlink ref="I583" r:id="rId1731" display="https://www.inaturalist.org/observations/379591785"/>
    <hyperlink ref="G584" r:id="rId1732" display="johanagf"/>
    <hyperlink ref="H584" r:id="rId1733" display="Deed - Attribution-NonCommercial 4.0 International - Creative Commons"/>
    <hyperlink ref="I584" r:id="rId1734" display="https://www.inaturalist.org/observations/379587883"/>
    <hyperlink ref="G585" r:id="rId1735" display="benzerante"/>
    <hyperlink ref="H585" r:id="rId1736" display="Deed - Attribution-NonCommercial 4.0 International - Creative Commons"/>
    <hyperlink ref="I585" r:id="rId1737" display="https://www.inaturalist.org/observations/379587818"/>
    <hyperlink ref="G586" r:id="rId1738" display="murkiness2537"/>
    <hyperlink ref="H586" r:id="rId1739" display="Deed - Attribution-NonCommercial 4.0 International - Creative Commons"/>
    <hyperlink ref="I586" r:id="rId1740" display="https://www.inaturalist.org/observations/379566113"/>
    <hyperlink ref="G587" r:id="rId1741" display="mokasworld"/>
    <hyperlink ref="H587" r:id="rId1742" display="Deed - Attribution-NonCommercial 4.0 International - Creative Commons"/>
    <hyperlink ref="I587" r:id="rId1743" display="https://www.inaturalist.org/observations/379560363"/>
    <hyperlink ref="G588" r:id="rId1744" display="sbuglug"/>
    <hyperlink ref="H588" r:id="rId1745" display="Deed - Attribution-NonCommercial 4.0 International - Creative Commons"/>
    <hyperlink ref="I588" r:id="rId1746" display="https://www.inaturalist.org/observations/379541235"/>
    <hyperlink ref="G589" r:id="rId1747" display="natasha777"/>
    <hyperlink ref="H589" r:id="rId1748" display="Deed - Attribution-NonCommercial 4.0 International - Creative Commons"/>
    <hyperlink ref="I589" r:id="rId1749" display="https://www.inaturalist.org/observations/379531274"/>
    <hyperlink ref="G590" r:id="rId1750" display="theslowloris"/>
    <hyperlink ref="H590" r:id="rId1751" display="Deed - Attribution-NonCommercial 4.0 International - Creative Commons"/>
    <hyperlink ref="I590" r:id="rId1752" display="https://www.inaturalist.org/observations/379514706"/>
    <hyperlink ref="G591" r:id="rId1753" display="martinwettges"/>
    <hyperlink ref="H591" r:id="rId1754" display="Deed - Attribution-NonCommercial 4.0 International - Creative Commons"/>
    <hyperlink ref="I591" r:id="rId1755" display="https://www.inaturalist.org/observations/379484927"/>
    <hyperlink ref="G592" r:id="rId1756" display="sam-i-am429"/>
    <hyperlink ref="H592" r:id="rId1757" display="Deed - Attribution-NonCommercial 4.0 International - Creative Commons"/>
    <hyperlink ref="I592" r:id="rId1758" display="https://www.inaturalist.org/observations/379467631"/>
    <hyperlink ref="G593" r:id="rId1759" display="neomyte"/>
    <hyperlink ref="H593" r:id="rId1760" display="Deed - Attribution-NonCommercial 4.0 International - Creative Commons"/>
    <hyperlink ref="I593" r:id="rId1761" display="https://www.inaturalist.org/observations/379433320"/>
    <hyperlink ref="G594" r:id="rId1762" display="majo4s"/>
    <hyperlink ref="H594" r:id="rId1763" display="Deed - Attribution-NonCommercial 4.0 International - Creative Commons"/>
    <hyperlink ref="I594" r:id="rId1764" display="https://www.inaturalist.org/observations/379423115"/>
    <hyperlink ref="G595" r:id="rId1765" display="radia6"/>
    <hyperlink ref="H595" r:id="rId1766" display="Deed - Attribution-NonCommercial 4.0 International - Creative Commons"/>
    <hyperlink ref="I595" r:id="rId1767" display="https://www.inaturalist.org/observations/379382430"/>
    <hyperlink ref="G596" r:id="rId1768" display="wildlife-conservation-steph"/>
    <hyperlink ref="H596" r:id="rId1769" display="Deed - Attribution-NonCommercial 4.0 International - Creative Commons"/>
    <hyperlink ref="I596" r:id="rId1770" display="https://www.inaturalist.org/observations/379357641"/>
    <hyperlink ref="G597" r:id="rId1771" display="vkohan"/>
    <hyperlink ref="H597" r:id="rId1772" display="Deed - Attribution-NonCommercial 4.0 International - Creative Commons"/>
    <hyperlink ref="I597" r:id="rId1773" display="https://www.inaturalist.org/observations/379299543"/>
    <hyperlink ref="G598" r:id="rId1774" display="merle-gara"/>
    <hyperlink ref="H598" r:id="rId1775" display="Deed - Attribution-NonCommercial 4.0 International - Creative Commons"/>
    <hyperlink ref="I598" r:id="rId1776" display="https://www.inaturalist.org/observations/379646456"/>
    <hyperlink ref="G599" r:id="rId1777" display="analisase"/>
    <hyperlink ref="H599" r:id="rId1778" display="Deed - Attribution-NonCommercial 4.0 International - Creative Commons"/>
    <hyperlink ref="I599" r:id="rId1779" display="https://www.inaturalist.org/observations/379595645"/>
    <hyperlink ref="G600" r:id="rId1780" display="louisette3"/>
    <hyperlink ref="H600" r:id="rId1781" display="Deed - Attribution-NonCommercial 4.0 International - Creative Commons"/>
    <hyperlink ref="I600" r:id="rId1782" display="https://www.inaturalist.org/observations/379544146"/>
    <hyperlink ref="G601" r:id="rId1783" display="maria74031"/>
    <hyperlink ref="H601" r:id="rId1784" display="Deed - Attribution-NonCommercial 4.0 International - Creative Commons"/>
    <hyperlink ref="I601" r:id="rId1785" display="https://www.inaturalist.org/observations/379259136"/>
    <hyperlink ref="G602" r:id="rId1786" display="egow222"/>
    <hyperlink ref="H602" r:id="rId1787" display="Deed - Attribution-NonCommercial 4.0 International - Creative Commons"/>
    <hyperlink ref="I602" r:id="rId1788" display="https://www.inaturalist.org/observations/378594754"/>
    <hyperlink ref="G603" r:id="rId1789" display="egow222"/>
    <hyperlink ref="H603" r:id="rId1790" display="Deed - Attribution-NonCommercial 4.0 International - Creative Commons"/>
    <hyperlink ref="I603" r:id="rId1791" display="https://www.inaturalist.org/observations/378594754"/>
    <hyperlink ref="G604" r:id="rId1792" display="steviekgold"/>
    <hyperlink ref="H604" r:id="rId1793" display="Deed - Attribution-NonCommercial 4.0 International - Creative Commons"/>
    <hyperlink ref="I604" r:id="rId1794" display="https://www.inaturalist.org/observations/378282919"/>
    <hyperlink ref="G605" r:id="rId1795" display="kristybaker"/>
    <hyperlink ref="H605" r:id="rId1796" display="Deed - Attribution-NonCommercial 4.0 International - Creative Commons"/>
    <hyperlink ref="I605" r:id="rId1797" display="https://www.inaturalist.org/observations/378117874"/>
    <hyperlink ref="G606" r:id="rId1798" display="kristybaker"/>
    <hyperlink ref="H606" r:id="rId1799" display="Deed - Attribution-NonCommercial 4.0 International - Creative Commons"/>
    <hyperlink ref="I606" r:id="rId1800" display="https://www.inaturalist.org/observations/378117874"/>
    <hyperlink ref="G607" r:id="rId1801" display="thisula_shehan"/>
    <hyperlink ref="H607" r:id="rId1802" display="Deed - Attribution-NonCommercial 4.0 International - Creative Commons"/>
    <hyperlink ref="I607" r:id="rId1803" display="https://www.inaturalist.org/observations/378096394"/>
    <hyperlink ref="G608" r:id="rId1804" display="cassreynolds"/>
    <hyperlink ref="H608" r:id="rId1805" display="Deed - Attribution-NonCommercial 4.0 International - Creative Commons"/>
    <hyperlink ref="I608" r:id="rId1806" display="https://www.inaturalist.org/observations/377924132"/>
    <hyperlink ref="G609" r:id="rId1807" display="chaangnoy"/>
    <hyperlink ref="H609" r:id="rId1808" display="Deed - Attribution-NonCommercial 4.0 International - Creative Commons"/>
    <hyperlink ref="I609" r:id="rId1809" display="https://www.inaturalist.org/observations/377691227"/>
    <hyperlink ref="G610" r:id="rId1810" display="salticidude"/>
    <hyperlink ref="H610" r:id="rId1811" display="Deed - Attribution-NonCommercial 4.0 International - Creative Commons"/>
    <hyperlink ref="I610" r:id="rId1812" display="https://www.inaturalist.org/observations/377297863"/>
    <hyperlink ref="G611" r:id="rId1813" display="clauderdale"/>
    <hyperlink ref="H611" r:id="rId1814" display="Deed - Attribution-NonCommercial 4.0 International - Creative Commons"/>
    <hyperlink ref="I611" r:id="rId1815" display="https://www.inaturalist.org/observations/376652949"/>
    <hyperlink ref="G612" r:id="rId1816" display="junpark2"/>
    <hyperlink ref="H612" r:id="rId1817" display="Deed - Attribution-NonCommercial 4.0 International - Creative Commons"/>
    <hyperlink ref="I612" r:id="rId1818" display="https://www.inaturalist.org/observations/376538391"/>
    <hyperlink ref="G613" r:id="rId1819" display="mitchderise"/>
    <hyperlink ref="H613" r:id="rId1820" display="Deed - Attribution-NonCommercial 4.0 International - Creative Commons"/>
    <hyperlink ref="I613" r:id="rId1821" display="https://www.inaturalist.org/observations/376433869"/>
    <hyperlink ref="G614" r:id="rId1822" display="nahualconsarna"/>
    <hyperlink ref="H614" r:id="rId1823" display="Deed - Attribution-NonCommercial 4.0 International - Creative Commons"/>
    <hyperlink ref="I614" r:id="rId1824" display="https://www.inaturalist.org/observations/375818182"/>
    <hyperlink ref="G615" r:id="rId1825" display="nahualconsarna"/>
    <hyperlink ref="H615" r:id="rId1826" display="Deed - Attribution-NonCommercial 4.0 International - Creative Commons"/>
    <hyperlink ref="I615" r:id="rId1827" display="https://www.inaturalist.org/observations/375818182"/>
    <hyperlink ref="G616" r:id="rId1828" display="selachimorpha"/>
    <hyperlink ref="H616" r:id="rId1829" display="Deed - Attribution-NonCommercial 4.0 International - Creative Commons"/>
    <hyperlink ref="I616" r:id="rId1830" display="https://www.inaturalist.org/observations/375751119"/>
    <hyperlink ref="G617" r:id="rId1831" display="bender_real"/>
    <hyperlink ref="H617" r:id="rId1832" display="Deed - Attribution-NonCommercial 4.0 International - Creative Commons"/>
    <hyperlink ref="I617" r:id="rId1833" display="https://www.inaturalist.org/observations/375731955"/>
    <hyperlink ref="G618" r:id="rId1834" display="kshirodini"/>
    <hyperlink ref="H618" r:id="rId1835" display="Deed - Attribution-NonCommercial 4.0 International - Creative Commons"/>
    <hyperlink ref="I618" r:id="rId1836" display="https://www.inaturalist.org/observations/375382355"/>
    <hyperlink ref="G619" r:id="rId1837" display="hhrewilding"/>
    <hyperlink ref="H619" r:id="rId1838" display="Deed - Attribution-NonCommercial 4.0 International - Creative Commons"/>
    <hyperlink ref="I619" r:id="rId1839" display="https://www.inaturalist.org/observations/375191300"/>
    <hyperlink ref="G620" r:id="rId1840" display="wombatgarden"/>
    <hyperlink ref="H620" r:id="rId1841" display="Deed - Attribution-NonCommercial 4.0 International - Creative Commons"/>
    <hyperlink ref="I620" r:id="rId1842" display="https://www.inaturalist.org/observations/374914897"/>
    <hyperlink ref="G621" r:id="rId1843" display="britanylynne91"/>
    <hyperlink ref="H621" r:id="rId1844" display="Deed - Attribution-NonCommercial 4.0 International - Creative Commons"/>
    <hyperlink ref="I621" r:id="rId1845" display="https://www.inaturalist.org/observations/374663370"/>
    <hyperlink ref="G622" r:id="rId1846" display="britanylynne91"/>
    <hyperlink ref="H622" r:id="rId1847" display="Deed - Attribution-NonCommercial 4.0 International - Creative Commons"/>
    <hyperlink ref="I622" r:id="rId1848" display="https://www.inaturalist.org/observations/374663370"/>
    <hyperlink ref="G623" r:id="rId1849" display="na_ti"/>
    <hyperlink ref="H623" r:id="rId1850" display="Deed - Attribution-NonCommercial 4.0 International - Creative Commons"/>
    <hyperlink ref="I623" r:id="rId1851" display="https://www.inaturalist.org/observations/372425201"/>
    <hyperlink ref="G624" r:id="rId1852" display="corah1312"/>
    <hyperlink ref="H624" r:id="rId1853" display="Deed - Attribution-NonCommercial 4.0 International - Creative Commons"/>
    <hyperlink ref="I624" r:id="rId1854" display="https://www.inaturalist.org/observations/371853159"/>
    <hyperlink ref="G625" r:id="rId1855" display="priyanshu_chowdhary"/>
    <hyperlink ref="H625" r:id="rId1856" display="Deed - Attribution-NonCommercial 4.0 International - Creative Commons"/>
    <hyperlink ref="I625" r:id="rId1857" display="https://www.inaturalist.org/observations/371259711"/>
    <hyperlink ref="G626" r:id="rId1858" display="sandrissima"/>
    <hyperlink ref="H626" r:id="rId1859" display="Deed - Attribution-NonCommercial 4.0 International - Creative Commons"/>
    <hyperlink ref="I626" r:id="rId1860" display="https://www.inaturalist.org/observations/369983264"/>
    <hyperlink ref="G627" r:id="rId1861" display="cobal"/>
    <hyperlink ref="H627" r:id="rId1862" display="Deed - Attribution-NonCommercial 4.0 International - Creative Commons"/>
    <hyperlink ref="I627" r:id="rId1863" display="https://www.inaturalist.org/observations/369832462"/>
    <hyperlink ref="G628" r:id="rId1864" display="elainamckay"/>
    <hyperlink ref="H628" r:id="rId1865" display="Deed - Attribution-NonCommercial 4.0 International - Creative Commons"/>
    <hyperlink ref="I628" r:id="rId1866" display="https://www.inaturalist.org/observations/369574499"/>
    <hyperlink ref="G629" r:id="rId1867" display="kritadi"/>
    <hyperlink ref="H629" r:id="rId1868" display="Deed - Attribution-NonCommercial 4.0 International - Creative Commons"/>
    <hyperlink ref="I629" r:id="rId1869" display="https://www.inaturalist.org/observations/369297422"/>
    <hyperlink ref="G630" r:id="rId1870" display="sylviab14"/>
    <hyperlink ref="H630" r:id="rId1871" display="Deed - Attribution-NonCommercial 4.0 International - Creative Commons"/>
    <hyperlink ref="I630" r:id="rId1872" display="https://www.inaturalist.org/observations/369193886"/>
    <hyperlink ref="G631" r:id="rId1873" display="alenalex"/>
    <hyperlink ref="H631" r:id="rId1874" display="Deed - Attribution-NonCommercial 4.0 International - Creative Commons"/>
    <hyperlink ref="I631" r:id="rId1875" display="https://www.inaturalist.org/observations/368638025"/>
    <hyperlink ref="G632" r:id="rId1876" display="crotrox"/>
    <hyperlink ref="H632" r:id="rId1877" display="Deed - Attribution-NonCommercial 4.0 International - Creative Commons"/>
    <hyperlink ref="I632" r:id="rId1878" display="https://www.inaturalist.org/observations/367169030"/>
    <hyperlink ref="G633" r:id="rId1879" display="erich_volschenk"/>
    <hyperlink ref="H633" r:id="rId1880" display="Deed - Attribution-NonCommercial 4.0 International - Creative Commons"/>
    <hyperlink ref="I633" r:id="rId1881" display="https://www.inaturalist.org/observations/327076080"/>
    <hyperlink ref="G634" r:id="rId1882" display="standapavouk"/>
    <hyperlink ref="H634" r:id="rId1883" display="Deed - Attribution-NonCommercial 4.0 International - Creative Commons"/>
    <hyperlink ref="I634" r:id="rId1884" display="https://www.inaturalist.org/observations/321282348"/>
    <hyperlink ref="G635" r:id="rId1885" display="standapavouk"/>
    <hyperlink ref="H635" r:id="rId1886" display="Deed - Attribution-NonCommercial 4.0 International - Creative Commons"/>
    <hyperlink ref="I635" r:id="rId1887" display="https://www.inaturalist.org/observations/269280828"/>
    <hyperlink ref="G636" r:id="rId1888" display="standapavouk"/>
    <hyperlink ref="H636" r:id="rId1889" display="Deed - Attribution-NonCommercial 4.0 International - Creative Commons"/>
    <hyperlink ref="I636" r:id="rId1890" display="https://www.inaturalist.org/observations/253176417"/>
    <hyperlink ref="G637" r:id="rId1891" display="standapavouk"/>
    <hyperlink ref="H637" r:id="rId1892" display="Deed - Attribution-NonCommercial 4.0 International - Creative Commons"/>
    <hyperlink ref="I637" r:id="rId1893" display="https://www.inaturalist.org/observations/251324950"/>
    <hyperlink ref="G638" r:id="rId1894" display="muehehe_hehe_cat"/>
    <hyperlink ref="H638" r:id="rId1895" display="Deed - Attribution-NonCommercial 4.0 International - Creative Commons"/>
    <hyperlink ref="I638" r:id="rId1896" display="https://www.inaturalist.org/observations/248853715"/>
    <hyperlink ref="G639" r:id="rId1897" display="lee_meow"/>
    <hyperlink ref="H639" r:id="rId1898" display="Deed - Attribution-NonCommercial 4.0 International - Creative Commons"/>
    <hyperlink ref="I639" r:id="rId1899" display="https://www.inaturalist.org/observations/245229475"/>
    <hyperlink ref="G640" r:id="rId1900" display="wingcarrie"/>
    <hyperlink ref="H640" r:id="rId1901" display="Deed - Attribution-NonCommercial 4.0 International - Creative Commons"/>
    <hyperlink ref="I640" r:id="rId1902" display="https://www.inaturalist.org/observations/237314302"/>
    <hyperlink ref="G641" r:id="rId1903" display="wingcarrie"/>
    <hyperlink ref="H641" r:id="rId1904" display="Deed - Attribution-NonCommercial 4.0 International - Creative Commons"/>
    <hyperlink ref="I641" r:id="rId1905" display="https://www.inaturalist.org/observations/237314302"/>
    <hyperlink ref="G642" r:id="rId1906" display="royc614"/>
    <hyperlink ref="H642" r:id="rId1907" display="Deed - Attribution-NonCommercial 4.0 International - Creative Commons"/>
    <hyperlink ref="I642" r:id="rId1908" display="https://www.inaturalist.org/observations/236855729"/>
    <hyperlink ref="G643" r:id="rId1909" display="muehehe_hehe_cat"/>
    <hyperlink ref="H643" r:id="rId1910" display="Deed - Attribution-NonCommercial 4.0 International - Creative Commons"/>
    <hyperlink ref="I643" r:id="rId1911" display="https://www.inaturalist.org/observations/231228547"/>
    <hyperlink ref="G644" r:id="rId1912" display="muehehe_hehe_cat"/>
    <hyperlink ref="H644" r:id="rId1913" display="Deed - Attribution-NonCommercial 4.0 International - Creative Commons"/>
    <hyperlink ref="I644" r:id="rId1914" display="https://www.inaturalist.org/observations/231228547"/>
    <hyperlink ref="G645" r:id="rId1915" display="nickvolpe"/>
    <hyperlink ref="H645" r:id="rId1916" display="Deed - Attribution-NonCommercial 4.0 International - Creative Commons"/>
    <hyperlink ref="I645" r:id="rId1917" display="https://www.inaturalist.org/observations/205446900"/>
    <hyperlink ref="G646" r:id="rId1918" display="rimbawan_37"/>
    <hyperlink ref="H646" r:id="rId1919" display="Deed - Attribution-NonCommercial 4.0 International - Creative Commons"/>
    <hyperlink ref="I646" r:id="rId1920" display="https://www.inaturalist.org/observations/200898220"/>
    <hyperlink ref="G647" r:id="rId1921" display="rimbawan_37"/>
    <hyperlink ref="H647" r:id="rId1922" display="Deed - Attribution-NonCommercial 4.0 International - Creative Commons"/>
    <hyperlink ref="I647" r:id="rId1923" display="https://www.inaturalist.org/observations/200898220"/>
    <hyperlink ref="G648" r:id="rId1924" display="rimbawan_37"/>
    <hyperlink ref="H648" r:id="rId1925" display="Deed - Attribution-NonCommercial 4.0 International - Creative Commons"/>
    <hyperlink ref="I648" r:id="rId1926" display="https://www.inaturalist.org/observations/200898220"/>
    <hyperlink ref="G649" r:id="rId1927" display="muehehe_hehe_cat"/>
    <hyperlink ref="H649" r:id="rId1928" display="Deed - Attribution-NonCommercial 4.0 International - Creative Commons"/>
    <hyperlink ref="I649" r:id="rId1929" display="https://www.inaturalist.org/observations/194631105"/>
    <hyperlink ref="G650" r:id="rId1930" display="faizolhakimi"/>
    <hyperlink ref="H650" r:id="rId1931" display="Deed - Attribution-NonCommercial 4.0 International - Creative Commons"/>
    <hyperlink ref="I650" r:id="rId1932" display="https://www.inaturalist.org/observations/193352826"/>
    <hyperlink ref="G651" r:id="rId1933" display="glendakhoo"/>
    <hyperlink ref="H651" r:id="rId1934" display="Deed - Attribution-NonCommercial 4.0 International - Creative Commons"/>
    <hyperlink ref="I651" r:id="rId1935" display="https://www.inaturalist.org/observations/187797874"/>
    <hyperlink ref="G652" r:id="rId1936" display="thomas_bader"/>
    <hyperlink ref="H652" r:id="rId1937" display="Deed - Attribution-NonCommercial 4.0 International - Creative Commons"/>
    <hyperlink ref="I652" r:id="rId1938" display="https://www.inaturalist.org/observations/168715180"/>
    <hyperlink ref="G653" r:id="rId1939" display="muehehe_hehe_cat"/>
    <hyperlink ref="H653" r:id="rId1940" display="Deed - Attribution-NonCommercial 4.0 International - Creative Commons"/>
    <hyperlink ref="I653" r:id="rId1941" display="https://www.inaturalist.org/observations/147513617"/>
    <hyperlink ref="G654" r:id="rId1942" display="muehehe_hehe_cat"/>
    <hyperlink ref="H654" r:id="rId1943" display="Deed - Attribution-NonCommercial 4.0 International - Creative Commons"/>
    <hyperlink ref="I654" r:id="rId1944" display="https://www.inaturalist.org/observations/120932176"/>
    <hyperlink ref="G655" r:id="rId1945" display="muehehe_hehe_cat"/>
    <hyperlink ref="H655" r:id="rId1946" display="Deed - Attribution-NonCommercial 4.0 International - Creative Commons"/>
    <hyperlink ref="I655" r:id="rId1947" display="https://www.inaturalist.org/observations/115296692"/>
    <hyperlink ref="G656" r:id="rId1948" display="albertkang"/>
    <hyperlink ref="H656" r:id="rId1949" display="Deed - Attribution-NonCommercial 4.0 International - Creative Commons"/>
    <hyperlink ref="I656" r:id="rId1950" display="https://www.inaturalist.org/observations/91477873"/>
    <hyperlink ref="G657" r:id="rId1951" display="albertkang"/>
    <hyperlink ref="H657" r:id="rId1952" display="Deed - Attribution-NonCommercial 4.0 International - Creative Commons"/>
    <hyperlink ref="I657" r:id="rId1953" display="https://www.inaturalist.org/observations/79113699"/>
    <hyperlink ref="G658" r:id="rId1954" display="knotsnake"/>
    <hyperlink ref="H658" r:id="rId1955" display="Deed - Attribution-NonCommercial 4.0 International - Creative Commons"/>
    <hyperlink ref="I658" r:id="rId1956" display="https://www.inaturalist.org/observations/73408762"/>
    <hyperlink ref="G659" r:id="rId1957" display="albertkang"/>
    <hyperlink ref="H659" r:id="rId1958" display="Deed - Attribution-NonCommercial 4.0 International - Creative Commons"/>
    <hyperlink ref="I659" r:id="rId1959" display="https://www.inaturalist.org/observations/72662236"/>
    <hyperlink ref="G660" r:id="rId1960" display="albertkang"/>
    <hyperlink ref="H660" r:id="rId1961" display="Deed - Attribution-NonCommercial 4.0 International - Creative Commons"/>
    <hyperlink ref="I660" r:id="rId1962" display="https://www.inaturalist.org/observations/67390180"/>
    <hyperlink ref="G661" r:id="rId1963" display="albertkang"/>
    <hyperlink ref="H661" r:id="rId1964" display="Deed - Attribution-NonCommercial 4.0 International - Creative Commons"/>
    <hyperlink ref="I661" r:id="rId1965" display="https://www.inaturalist.org/observations/66863473"/>
    <hyperlink ref="G662" r:id="rId1966" display="albertkang"/>
    <hyperlink ref="H662" r:id="rId1967" display="Deed - Attribution-NonCommercial 4.0 International - Creative Commons"/>
    <hyperlink ref="I662" r:id="rId1968" display="https://www.inaturalist.org/observations/64919932"/>
    <hyperlink ref="G663" r:id="rId1969" display="celine_ng"/>
    <hyperlink ref="H663" r:id="rId1970" display="Deed - Attribution-NonCommercial 4.0 International - Creative Commons"/>
    <hyperlink ref="I663" r:id="rId1971" display="https://www.inaturalist.org/observations/45867203"/>
    <hyperlink ref="G664" r:id="rId1972" display="gcgan"/>
    <hyperlink ref="H664" r:id="rId1973" display="Deed - Attribution-NonCommercial 4.0 International - Creative Commons"/>
    <hyperlink ref="I664" r:id="rId1974" display="https://www.inaturalist.org/observations/27021572"/>
    <hyperlink ref="G665" r:id="rId1975" display="nazirulmusidi"/>
    <hyperlink ref="H665" r:id="rId1976" display="Deed - Attribution-NonCommercial 4.0 International - Creative Commons"/>
    <hyperlink ref="I665" r:id="rId1977" display="https://www.inaturalist.org/observations/23940106"/>
    <hyperlink ref="G666" r:id="rId1978" display="hamrish_singh"/>
    <hyperlink ref="H666" r:id="rId1979" display="Deed - Attribution-NonCommercial 4.0 International - Creative Commons"/>
    <hyperlink ref="I666" r:id="rId1980" display="https://www.inaturalist.org/observations/21784706"/>
    <hyperlink ref="G667" r:id="rId1981" display="gcgan"/>
    <hyperlink ref="H667" r:id="rId1982" display="Deed - Attribution-NonCommercial 4.0 International - Creative Commons"/>
    <hyperlink ref="I667" r:id="rId1983" display="https://www.inaturalist.org/observations/21625618"/>
    <hyperlink ref="G668" r:id="rId1984" display="zspyk007"/>
    <hyperlink ref="H668" r:id="rId1985" display="Deed - Attribution-NonCommercial 4.0 International - Creative Commons"/>
    <hyperlink ref="I668" r:id="rId1986" display="https://www.inaturalist.org/observations/367673515"/>
    <hyperlink ref="G669" r:id="rId1987" display="giuliacelotto03"/>
    <hyperlink ref="H669" r:id="rId1988" display="Deed - Attribution-NonCommercial 4.0 International - Creative Commons"/>
    <hyperlink ref="I669" r:id="rId1989" display="https://www.inaturalist.org/observations/365410748"/>
    <hyperlink ref="G670" r:id="rId1990" display="zspyk007"/>
    <hyperlink ref="H670" r:id="rId1991" display="Deed - Attribution-NonCommercial 4.0 International - Creative Commons"/>
    <hyperlink ref="I670" r:id="rId1992" display="https://www.inaturalist.org/observations/364359175"/>
    <hyperlink ref="G671" r:id="rId1993" display="jorge_abad"/>
    <hyperlink ref="H671" r:id="rId1994" display="Deed - Attribution-NonCommercial 4.0 International - Creative Commons"/>
    <hyperlink ref="I671" r:id="rId1995" display="https://www.inaturalist.org/observations/358632860"/>
    <hyperlink ref="G672" r:id="rId1996" display="jorge_abad"/>
    <hyperlink ref="H672" r:id="rId1997" display="Deed - Attribution-NonCommercial 4.0 International - Creative Commons"/>
    <hyperlink ref="I672" r:id="rId1998" display="https://www.inaturalist.org/observations/358632859"/>
    <hyperlink ref="G673" r:id="rId1999" display="eldoradospencer"/>
    <hyperlink ref="H673" r:id="rId2000" display="Deed - Attribution-NonCommercial 4.0 International - Creative Commons"/>
    <hyperlink ref="I673" r:id="rId2001" display="https://www.inaturalist.org/observations/356023877"/>
    <hyperlink ref="G674" r:id="rId2002" display="vic663"/>
    <hyperlink ref="H674" r:id="rId2003" display="Deed - Attribution-NonCommercial 4.0 International - Creative Commons"/>
    <hyperlink ref="I674" r:id="rId2004" display="https://www.inaturalist.org/observations/338730830"/>
    <hyperlink ref="G675" r:id="rId2005" display="franchie"/>
    <hyperlink ref="H675" r:id="rId2006" display="Deed - Attribution-NonCommercial 4.0 International - Creative Commons"/>
    <hyperlink ref="I675" r:id="rId2007" display="https://www.inaturalist.org/observations/338562892"/>
    <hyperlink ref="G676" r:id="rId2008" display="ededwarddd"/>
    <hyperlink ref="H676" r:id="rId2009" display="Deed - Attribution-NonCommercial 4.0 International - Creative Commons"/>
    <hyperlink ref="I676" r:id="rId2010" display="https://www.inaturalist.org/observations/336947375"/>
    <hyperlink ref="G677" r:id="rId2011" display="feriet"/>
    <hyperlink ref="H677" r:id="rId2012" display="Deed - Attribution-NonCommercial 4.0 International - Creative Commons"/>
    <hyperlink ref="I677" r:id="rId2013" display="https://www.inaturalist.org/observations/333119677"/>
    <hyperlink ref="G678" r:id="rId2014" display="frelj"/>
    <hyperlink ref="H678" r:id="rId2015" display="Deed - Attribution-NonCommercial 4.0 International - Creative Commons"/>
    <hyperlink ref="I678" r:id="rId2016" display="https://www.inaturalist.org/observations/328205099"/>
    <hyperlink ref="G679" r:id="rId2017" display="christonis"/>
    <hyperlink ref="H679" r:id="rId2018" display="Deed - Attribution-NonCommercial 4.0 International - Creative Commons"/>
    <hyperlink ref="I679" r:id="rId2019" display="https://www.inaturalist.org/observations/324697261"/>
    <hyperlink ref="G680" r:id="rId2020" display="m_wilms"/>
    <hyperlink ref="H680" r:id="rId2021" display="Deed - Attribution-NonCommercial 4.0 International - Creative Commons"/>
    <hyperlink ref="I680" r:id="rId2022" display="https://www.inaturalist.org/observations/324400972"/>
    <hyperlink ref="G681" r:id="rId2023" display="m_wilms"/>
    <hyperlink ref="H681" r:id="rId2024" display="Deed - Attribution-NonCommercial 4.0 International - Creative Commons"/>
    <hyperlink ref="I681" r:id="rId2025" display="https://www.inaturalist.org/observations/324400972"/>
    <hyperlink ref="G682" r:id="rId2026" display="m_wilms"/>
    <hyperlink ref="H682" r:id="rId2027" display="Deed - Attribution-NonCommercial 4.0 International - Creative Commons"/>
    <hyperlink ref="I682" r:id="rId2028" display="https://www.inaturalist.org/observations/324400972"/>
    <hyperlink ref="G683" r:id="rId2029" display="m_wilms"/>
    <hyperlink ref="H683" r:id="rId2030" display="Deed - Attribution-NonCommercial 4.0 International - Creative Commons"/>
    <hyperlink ref="I683" r:id="rId2031" display="https://www.inaturalist.org/observations/324400972"/>
    <hyperlink ref="G684" r:id="rId2032" display="m_wilms"/>
    <hyperlink ref="H684" r:id="rId2033" display="Deed - Attribution-NonCommercial 4.0 International - Creative Commons"/>
    <hyperlink ref="I684" r:id="rId2034" display="https://www.inaturalist.org/observations/316377452"/>
    <hyperlink ref="G685" r:id="rId2035" display="m_wilms"/>
    <hyperlink ref="H685" r:id="rId2036" display="Deed - Attribution-NonCommercial 4.0 International - Creative Commons"/>
    <hyperlink ref="I685" r:id="rId2037" display="https://www.inaturalist.org/observations/316375562"/>
    <hyperlink ref="G686" r:id="rId2038" display="m_wilms"/>
    <hyperlink ref="H686" r:id="rId2039" display="Deed - Attribution-NonCommercial 4.0 International - Creative Commons"/>
    <hyperlink ref="I686" r:id="rId2040" display="https://www.inaturalist.org/observations/316375562"/>
    <hyperlink ref="G687" r:id="rId2041" display="m_wilms"/>
    <hyperlink ref="H687" r:id="rId2042" display="Deed - Attribution-NonCommercial 4.0 International - Creative Commons"/>
    <hyperlink ref="I687" r:id="rId2043" display="https://www.inaturalist.org/observations/316375562"/>
    <hyperlink ref="G688" r:id="rId2044" display="m_wilms"/>
    <hyperlink ref="H688" r:id="rId2045" display="Deed - Attribution-NonCommercial 4.0 International - Creative Commons"/>
    <hyperlink ref="I688" r:id="rId2046" display="https://www.inaturalist.org/observations/315904559"/>
    <hyperlink ref="G689" r:id="rId2047" display="oilezzsk"/>
    <hyperlink ref="H689" r:id="rId2048" display="Deed - Attribution-NonCommercial 4.0 International - Creative Commons"/>
    <hyperlink ref="I689" r:id="rId2049" display="https://www.inaturalist.org/observations/308142930"/>
    <hyperlink ref="G690" r:id="rId2050" display="sukanya_thanombuddha"/>
    <hyperlink ref="H690" r:id="rId2051" display="Deed - Attribution-NonCommercial 4.0 International - Creative Commons"/>
    <hyperlink ref="I690" r:id="rId2052" display="https://www.inaturalist.org/observations/307730636"/>
    <hyperlink ref="G691" r:id="rId2053" display="ou_wildlife"/>
    <hyperlink ref="H691" r:id="rId2054" display="Deed - Attribution-NonCommercial 4.0 International - Creative Commons"/>
    <hyperlink ref="I691" r:id="rId2055" display="https://www.inaturalist.org/observations/307229783"/>
    <hyperlink ref="G692" r:id="rId2056" display="ou_wildlife"/>
    <hyperlink ref="H692" r:id="rId2057" display="Deed - Attribution-NonCommercial 4.0 International - Creative Commons"/>
    <hyperlink ref="I692" r:id="rId2058" display="https://www.inaturalist.org/observations/307229783"/>
    <hyperlink ref="G693" r:id="rId2059" display="ou_wildlife"/>
    <hyperlink ref="H693" r:id="rId2060" display="Deed - Attribution-NonCommercial 4.0 International - Creative Commons"/>
    <hyperlink ref="I693" r:id="rId2061" display="https://www.inaturalist.org/observations/307229098"/>
    <hyperlink ref="G694" r:id="rId2062" display="ou_wildlife"/>
    <hyperlink ref="H694" r:id="rId2063" display="Deed - Attribution-NonCommercial 4.0 International - Creative Commons"/>
    <hyperlink ref="I694" r:id="rId2064" display="https://www.inaturalist.org/observations/307229098"/>
    <hyperlink ref="G695" r:id="rId2065" display="biom"/>
    <hyperlink ref="H695" r:id="rId2066" display="Deed - Attribution-NonCommercial 4.0 International - Creative Commons"/>
    <hyperlink ref="I695" r:id="rId2067" display="https://www.inaturalist.org/observations/307013601"/>
    <hyperlink ref="G696" r:id="rId2068" display="biom"/>
    <hyperlink ref="H696" r:id="rId2069" display="Deed - Attribution-NonCommercial 4.0 International - Creative Commons"/>
    <hyperlink ref="I696" r:id="rId2070" display="https://www.inaturalist.org/observations/307013601"/>
    <hyperlink ref="G697" r:id="rId2071" display="rusik-r2d2"/>
    <hyperlink ref="H697" r:id="rId2072" display="Deed - Attribution-NonCommercial 4.0 International - Creative Commons"/>
    <hyperlink ref="I697" r:id="rId2073" display="https://www.inaturalist.org/observations/276669192"/>
    <hyperlink ref="G698" r:id="rId2074" display="scalabotes"/>
    <hyperlink ref="H698" r:id="rId2075" display="Deed - Attribution-NonCommercial 4.0 International - Creative Commons"/>
    <hyperlink ref="I698" r:id="rId2076" display="https://www.inaturalist.org/observations/265425990"/>
    <hyperlink ref="G699" r:id="rId2077" display="fabiominati"/>
    <hyperlink ref="H699" r:id="rId2078" display="Deed - Attribution-NonCommercial 4.0 International - Creative Commons"/>
    <hyperlink ref="I699" r:id="rId2079" display="https://www.inaturalist.org/observations/263179619"/>
    <hyperlink ref="G700" r:id="rId2080" display="fabiominati"/>
    <hyperlink ref="H700" r:id="rId2081" display="Deed - Attribution-NonCommercial 4.0 International - Creative Commons"/>
    <hyperlink ref="I700" r:id="rId2082" display="https://www.inaturalist.org/observations/263176384"/>
    <hyperlink ref="G701" r:id="rId2083" display="lennart_schmid"/>
    <hyperlink ref="H701" r:id="rId2084" display="Deed - Attribution-NonCommercial 4.0 International - Creative Commons"/>
    <hyperlink ref="I701" r:id="rId2085" display="https://www.inaturalist.org/observations/260176714"/>
    <hyperlink ref="G702" r:id="rId2086" display="pavelkornev"/>
    <hyperlink ref="H702" r:id="rId2087" display="Deed - Attribution-NonCommercial 4.0 International - Creative Commons"/>
    <hyperlink ref="I702" r:id="rId2088" display="https://www.inaturalist.org/observations/251788733"/>
    <hyperlink ref="G703" r:id="rId2089" display="scalabotes"/>
    <hyperlink ref="H703" r:id="rId2090" display="Deed - Attribution-NonCommercial 4.0 International - Creative Commons"/>
    <hyperlink ref="I703" r:id="rId2091" display="https://www.inaturalist.org/observations/373713176"/>
    <hyperlink ref="G704" r:id="rId2092" display="thanyarat_bo"/>
    <hyperlink ref="H704" r:id="rId2093" display="Deed - Attribution-NonCommercial 4.0 International - Creative Commons"/>
    <hyperlink ref="I704" r:id="rId2094" display="https://www.inaturalist.org/observations/366318763"/>
    <hyperlink ref="G705" r:id="rId2095" display="thanyarat_bo"/>
    <hyperlink ref="H705" r:id="rId2096" display="Deed - Attribution-NonCommercial 4.0 International - Creative Commons"/>
    <hyperlink ref="I705" r:id="rId2097" display="https://www.inaturalist.org/observations/366318763"/>
    <hyperlink ref="G706" r:id="rId2098" display="thanyarat_bo"/>
    <hyperlink ref="H706" r:id="rId2099" display="Deed - Attribution-NonCommercial 4.0 International - Creative Commons"/>
    <hyperlink ref="I706" r:id="rId2100" display="https://www.inaturalist.org/observations/366318763"/>
    <hyperlink ref="G707" r:id="rId2101" display="siriwatdangsri"/>
    <hyperlink ref="H707" r:id="rId2102" display="Deed - Attribution-NonCommercial 4.0 International - Creative Commons"/>
    <hyperlink ref="I707" r:id="rId2103" display="https://www.inaturalist.org/observations/364545319"/>
    <hyperlink ref="G708" r:id="rId2104" display="charliev"/>
    <hyperlink ref="H708" r:id="rId2105" display="Deed - Attribution-NonCommercial 4.0 International - Creative Commons"/>
    <hyperlink ref="I708" r:id="rId2106" display="https://www.inaturalist.org/observations/353465221"/>
    <hyperlink ref="G709" r:id="rId2107" display="emily_tusnadi"/>
    <hyperlink ref="H709" r:id="rId2108" display="Deed - Attribution-NonCommercial 4.0 International - Creative Commons"/>
    <hyperlink ref="I709" r:id="rId2109" display="https://www.inaturalist.org/observations/330744192"/>
    <hyperlink ref="G710" r:id="rId2110" display="emily_tusnadi"/>
    <hyperlink ref="H710" r:id="rId2111" display="Deed - Attribution-NonCommercial 4.0 International - Creative Commons"/>
    <hyperlink ref="I710" r:id="rId2112" display="https://www.inaturalist.org/observations/330744192"/>
    <hyperlink ref="G711" r:id="rId2113" display="megans67"/>
    <hyperlink ref="H711" r:id="rId2114" display="Deed - Attribution-NonCommercial 4.0 International - Creative Commons"/>
    <hyperlink ref="I711" r:id="rId2115" display="https://www.inaturalist.org/observations/330471590"/>
    <hyperlink ref="G712" r:id="rId2116" display="megans67"/>
    <hyperlink ref="H712" r:id="rId2117" display="Deed - Attribution-NonCommercial 4.0 International - Creative Commons"/>
    <hyperlink ref="I712" r:id="rId2118" display="https://www.inaturalist.org/observations/330471590"/>
    <hyperlink ref="G713" r:id="rId2119" display="megans67"/>
    <hyperlink ref="H713" r:id="rId2120" display="Deed - Attribution-NonCommercial 4.0 International - Creative Commons"/>
    <hyperlink ref="I713" r:id="rId2121" display="https://www.inaturalist.org/observations/330471590"/>
    <hyperlink ref="G714" r:id="rId2122" display="megans67"/>
    <hyperlink ref="H714" r:id="rId2123" display="Deed - Attribution-NonCommercial 4.0 International - Creative Commons"/>
    <hyperlink ref="I714" r:id="rId2124" display="https://www.inaturalist.org/observations/330471590"/>
    <hyperlink ref="G715" r:id="rId2125" display="marcel_wildlife"/>
    <hyperlink ref="H715" r:id="rId2126" display="Deed - Attribution-NonCommercial 4.0 International - Creative Commons"/>
    <hyperlink ref="I715" r:id="rId2127" display="https://www.inaturalist.org/observations/327105993"/>
    <hyperlink ref="G716" r:id="rId2128" display="christonis"/>
    <hyperlink ref="H716" r:id="rId2129" display="Deed - Attribution-NonCommercial 4.0 International - Creative Commons"/>
    <hyperlink ref="I716" r:id="rId2130" display="https://www.inaturalist.org/observations/325706628"/>
    <hyperlink ref="G717" r:id="rId2131" display="emilymendel"/>
    <hyperlink ref="H717" r:id="rId2132" display="Deed - Attribution-NonCommercial 4.0 International - Creative Commons"/>
    <hyperlink ref="I717" r:id="rId2133" display="https://www.inaturalist.org/observations/324319957"/>
    <hyperlink ref="G718" r:id="rId2134" display="m_wilms"/>
    <hyperlink ref="H718" r:id="rId2135" display="Deed - Attribution-NonCommercial 4.0 International - Creative Commons"/>
    <hyperlink ref="I718" r:id="rId2136" display="https://www.inaturalist.org/observations/316156118"/>
    <hyperlink ref="G719" r:id="rId2137" display="m_wilms"/>
    <hyperlink ref="H719" r:id="rId2138" display="Deed - Attribution-NonCommercial 4.0 International - Creative Commons"/>
    <hyperlink ref="I719" r:id="rId2139" display="https://www.inaturalist.org/observations/316156118"/>
    <hyperlink ref="G720" r:id="rId2140" display="rueangritp"/>
    <hyperlink ref="H720" r:id="rId2141" display="Deed - Attribution-NonCommercial 4.0 International - Creative Commons"/>
    <hyperlink ref="I720" r:id="rId2142" display="https://www.inaturalist.org/observations/308441046"/>
    <hyperlink ref="G721" r:id="rId2143" display="sukanya_thanombuddha"/>
    <hyperlink ref="H721" r:id="rId2144" display="Deed - Attribution-NonCommercial 4.0 International - Creative Commons"/>
    <hyperlink ref="I721" r:id="rId2145" display="https://www.inaturalist.org/observations/307731821"/>
    <hyperlink ref="G722" r:id="rId2146" display="andrewpierce"/>
    <hyperlink ref="H722" r:id="rId2147" display="Deed - Attribution-NonCommercial 4.0 International - Creative Commons"/>
    <hyperlink ref="I722" r:id="rId2148" display="https://www.inaturalist.org/observations/301843397"/>
    <hyperlink ref="G723" r:id="rId2149" display="andrewpierce"/>
    <hyperlink ref="H723" r:id="rId2150" display="Deed - Attribution-NonCommercial 4.0 International - Creative Commons"/>
    <hyperlink ref="I723" r:id="rId2151" display="https://www.inaturalist.org/observations/301843397"/>
    <hyperlink ref="G724" r:id="rId2152" display="devinbyrne"/>
    <hyperlink ref="H724" r:id="rId2153" display="Deed - Attribution-NonCommercial 4.0 International - Creative Commons"/>
    <hyperlink ref="I724" r:id="rId2154" display="https://www.inaturalist.org/observations/299696072"/>
    <hyperlink ref="G725" r:id="rId2155" display="punvius_othmerius"/>
    <hyperlink ref="H725" r:id="rId2156" display="Deed - Attribution-NonCommercial 4.0 International - Creative Commons"/>
    <hyperlink ref="I725" r:id="rId2157" display="https://www.inaturalist.org/observations/292570133"/>
    <hyperlink ref="G726" r:id="rId2158" display="kdvorhies"/>
    <hyperlink ref="H726" r:id="rId2159" display="Deed - Attribution-NonCommercial 4.0 International - Creative Commons"/>
    <hyperlink ref="I726" r:id="rId2160" display="https://www.inaturalist.org/observations/291958862"/>
    <hyperlink ref="G727" r:id="rId2161" display="siriwatdangsri"/>
    <hyperlink ref="H727" r:id="rId2162" display="Deed - Attribution-NonCommercial 4.0 International - Creative Commons"/>
    <hyperlink ref="I727" r:id="rId2163" display="https://www.inaturalist.org/observations/283815120"/>
    <hyperlink ref="G728" r:id="rId2164" display="hattaya1"/>
    <hyperlink ref="H728" r:id="rId2165" display="Deed - Attribution-NonCommercial 4.0 International - Creative Commons"/>
    <hyperlink ref="I728" r:id="rId2166" display="https://www.inaturalist.org/observations/276715623"/>
    <hyperlink ref="G729" r:id="rId2167" display="charliev"/>
    <hyperlink ref="H729" r:id="rId2168" display="Deed - Attribution-NonCommercial 4.0 International - Creative Commons"/>
    <hyperlink ref="I729" r:id="rId2169" display="https://www.inaturalist.org/observations/273853660"/>
    <hyperlink ref="G730" r:id="rId2170" display="setaphong"/>
    <hyperlink ref="H730" r:id="rId2171" display="Deed - Attribution-NonCommercial 4.0 International - Creative Commons"/>
    <hyperlink ref="I730" r:id="rId2172" display="https://www.inaturalist.org/observations/262378078"/>
    <hyperlink ref="G731" r:id="rId2173" display="jtreacy"/>
    <hyperlink ref="H731" r:id="rId2174" display="Deed - Attribution-NonCommercial 4.0 International - Creative Commons"/>
    <hyperlink ref="I731" r:id="rId2175" display="https://www.inaturalist.org/observations/260651713"/>
    <hyperlink ref="G732" r:id="rId2176" display="lennart_schmid"/>
    <hyperlink ref="H732" r:id="rId2177" display="Deed - Attribution-NonCommercial 4.0 International - Creative Commons"/>
    <hyperlink ref="I732" r:id="rId2178" display="https://www.inaturalist.org/observations/260176712"/>
    <hyperlink ref="G733" r:id="rId2179" display="christonis"/>
    <hyperlink ref="H733" r:id="rId2180" display="Deed - Attribution-NonCommercial 4.0 International - Creative Commons"/>
    <hyperlink ref="I733" r:id="rId2181" display="https://www.inaturalist.org/observations/258474128"/>
    <hyperlink ref="G734" r:id="rId2182" display="piyapong"/>
    <hyperlink ref="H734" r:id="rId2183" display="Deed - Attribution-NonCommercial 4.0 International - Creative Commons"/>
    <hyperlink ref="I734" r:id="rId2184" display="https://www.inaturalist.org/observations/258032110"/>
    <hyperlink ref="G735" r:id="rId2185" display="siriwatdangsri"/>
    <hyperlink ref="H735" r:id="rId2186" display="Deed - Attribution-NonCommercial 4.0 International - Creative Commons"/>
    <hyperlink ref="I735" r:id="rId2187" display="https://www.inaturalist.org/observations/251744686"/>
    <hyperlink ref="G736" r:id="rId2188" display="siriwatdangsri"/>
    <hyperlink ref="H736" r:id="rId2189" display="Deed - Attribution-NonCommercial 4.0 International - Creative Commons"/>
    <hyperlink ref="I736" r:id="rId2190" display="https://www.inaturalist.org/observations/248866931"/>
    <hyperlink ref="G737" r:id="rId2191" display="charliev"/>
    <hyperlink ref="H737" r:id="rId2192" display="Deed - Attribution-NonCommercial 4.0 International - Creative Commons"/>
    <hyperlink ref="I737" r:id="rId2193" display="https://www.inaturalist.org/observations/237836804"/>
    <hyperlink ref="G738" r:id="rId2194" display="natviniamin"/>
    <hyperlink ref="H738" r:id="rId2195" display="Deed - Attribution-NonCommercial 4.0 International - Creative Commons"/>
    <hyperlink ref="I738" r:id="rId2196" display="https://www.inaturalist.org/observations/379317902"/>
    <hyperlink ref="G739" r:id="rId2197" display="natviniamin"/>
    <hyperlink ref="H739" r:id="rId2198" display="Deed - Attribution-NonCommercial 4.0 International - Creative Commons"/>
    <hyperlink ref="I739" r:id="rId2199" display="https://www.inaturalist.org/observations/379315342"/>
    <hyperlink ref="G740" r:id="rId2200" display="ecuwaidis"/>
    <hyperlink ref="H740" r:id="rId2201" display="Deed - Attribution-NonCommercial 4.0 International - Creative Commons"/>
    <hyperlink ref="I740" r:id="rId2202" display="https://www.inaturalist.org/observations/378211573"/>
    <hyperlink ref="G741" r:id="rId2203" display="angelomg"/>
    <hyperlink ref="H741" r:id="rId2204" display="Deed - Attribution-NonCommercial 4.0 International - Creative Commons"/>
    <hyperlink ref="I741" r:id="rId2205" display="https://www.inaturalist.org/observations/376925113"/>
    <hyperlink ref="G742" r:id="rId2206" display="aschmidt95"/>
    <hyperlink ref="H742" r:id="rId2207" display="Deed - Attribution-NonCommercial 4.0 International - Creative Commons"/>
    <hyperlink ref="I742" r:id="rId2208" display="https://www.inaturalist.org/observations/374299156"/>
    <hyperlink ref="G743" r:id="rId2209" display="kellym301"/>
    <hyperlink ref="H743" r:id="rId2210" display="Deed - Attribution-NonCommercial 4.0 International - Creative Commons"/>
    <hyperlink ref="I743" r:id="rId2211" display="https://www.inaturalist.org/observations/374001724"/>
    <hyperlink ref="G744" r:id="rId2212" display="ktschmid"/>
    <hyperlink ref="H744" r:id="rId2213" display="Deed - Attribution-NonCommercial 4.0 International - Creative Commons"/>
    <hyperlink ref="I744" r:id="rId2214" display="https://www.inaturalist.org/observations/372653415"/>
    <hyperlink ref="G745" r:id="rId2215" display="myrog333"/>
    <hyperlink ref="H745" r:id="rId2216" display="Deed - Attribution-NonCommercial 4.0 International - Creative Commons"/>
    <hyperlink ref="I745" r:id="rId2217" display="https://www.inaturalist.org/observations/372629666"/>
    <hyperlink ref="G746" r:id="rId2218" display="bakerboy92"/>
    <hyperlink ref="H746" r:id="rId2219" display="Deed - Attribution-NonCommercial 4.0 International - Creative Commons"/>
    <hyperlink ref="I746" r:id="rId2220" display="https://www.inaturalist.org/observations/370998226"/>
    <hyperlink ref="G747" r:id="rId2221" display="samuel28632"/>
    <hyperlink ref="H747" r:id="rId2222" display="Deed - Attribution-NonCommercial 4.0 International - Creative Commons"/>
    <hyperlink ref="I747" r:id="rId2223" display="https://www.inaturalist.org/observations/370842365"/>
    <hyperlink ref="G748" r:id="rId2224" display="jairo_uribarri"/>
    <hyperlink ref="H748" r:id="rId2225" display="Deed - Attribution-NonCommercial 4.0 International - Creative Commons"/>
    <hyperlink ref="I748" r:id="rId2226" display="https://www.inaturalist.org/observations/370604931"/>
    <hyperlink ref="G749" r:id="rId2227" display="morgans_finds"/>
    <hyperlink ref="H749" r:id="rId2228" display="Deed - Attribution-NonCommercial 4.0 International - Creative Commons"/>
    <hyperlink ref="I749" r:id="rId2229" display="https://www.inaturalist.org/observations/370332037"/>
    <hyperlink ref="G750" r:id="rId2230" display="hi_ocean"/>
    <hyperlink ref="H750" r:id="rId2231" display="Deed - Attribution-NonCommercial 4.0 International - Creative Commons"/>
    <hyperlink ref="I750" r:id="rId2232" display="https://www.inaturalist.org/observations/369847777"/>
    <hyperlink ref="G751" r:id="rId2233" display="surftheworld"/>
    <hyperlink ref="H751" r:id="rId2234" display="Deed - Attribution-NonCommercial 4.0 International - Creative Commons"/>
    <hyperlink ref="I751" r:id="rId2235" display="https://www.inaturalist.org/observations/368924926"/>
    <hyperlink ref="G752" r:id="rId2236" display="saty2"/>
    <hyperlink ref="H752" r:id="rId2237" display="Deed - Attribution-NonCommercial 4.0 International - Creative Commons"/>
    <hyperlink ref="I752" r:id="rId2238" display="https://www.inaturalist.org/observations/368514915"/>
    <hyperlink ref="G753" r:id="rId2239" display="ormr"/>
    <hyperlink ref="H753" r:id="rId2240" display="Deed - Attribution-NonCommercial 4.0 International - Creative Commons"/>
    <hyperlink ref="I753" r:id="rId2241" display="https://www.inaturalist.org/observations/368014724"/>
    <hyperlink ref="G754" r:id="rId2242" display="ormr"/>
    <hyperlink ref="H754" r:id="rId2243" display="Deed - Attribution-NonCommercial 4.0 International - Creative Commons"/>
    <hyperlink ref="I754" r:id="rId2244" display="https://www.inaturalist.org/observations/368014717"/>
    <hyperlink ref="G755" r:id="rId2245" display="ormr"/>
    <hyperlink ref="H755" r:id="rId2246" display="Deed - Attribution-NonCommercial 4.0 International - Creative Commons"/>
    <hyperlink ref="I755" r:id="rId2247" display="https://www.inaturalist.org/observations/368014699"/>
    <hyperlink ref="G756" r:id="rId2248" display="bmbratt"/>
    <hyperlink ref="H756" r:id="rId2249" display="Deed - Attribution-NonCommercial 4.0 International - Creative Commons"/>
    <hyperlink ref="I756" r:id="rId2250" display="https://www.inaturalist.org/observations/367252413"/>
    <hyperlink ref="G757" r:id="rId2251" display="saty2"/>
    <hyperlink ref="H757" r:id="rId2252" display="Deed - Attribution-NonCommercial 4.0 International - Creative Commons"/>
    <hyperlink ref="I757" r:id="rId2253" display="https://www.inaturalist.org/observations/366921875"/>
    <hyperlink ref="G758" r:id="rId2254" display="zouldiego"/>
    <hyperlink ref="H758" r:id="rId2255" display="Deed - Attribution-NonCommercial 4.0 International - Creative Commons"/>
    <hyperlink ref="I758" r:id="rId2256" display="https://www.inaturalist.org/observations/366590406"/>
    <hyperlink ref="G759" r:id="rId2257" display="sandboa"/>
    <hyperlink ref="H759" r:id="rId2258" display="Deed - Attribution-NonCommercial 4.0 International - Creative Commons"/>
    <hyperlink ref="I759" r:id="rId2259" display="https://www.inaturalist.org/observations/366481723"/>
    <hyperlink ref="G760" r:id="rId2260" display="albert-leaflovesafari"/>
    <hyperlink ref="H760" r:id="rId2261" display="Deed - Attribution-NonCommercial 4.0 International - Creative Commons"/>
    <hyperlink ref="I760" r:id="rId2262" display="https://www.inaturalist.org/observations/364286586"/>
    <hyperlink ref="G761" r:id="rId2263" display="calamity_jane808"/>
    <hyperlink ref="H761" r:id="rId2264" display="Deed - Attribution-NonCommercial 4.0 International - Creative Commons"/>
    <hyperlink ref="I761" r:id="rId2265" display="https://www.inaturalist.org/observations/362569779"/>
    <hyperlink ref="G762" r:id="rId2266" display="danielblanco521"/>
    <hyperlink ref="H762" r:id="rId2267" display="Deed - Attribution-NonCommercial 4.0 International - Creative Commons"/>
    <hyperlink ref="I762" r:id="rId2268" display="https://www.inaturalist.org/observations/361056200"/>
    <hyperlink ref="G763" r:id="rId2269" display="danielblanco521"/>
    <hyperlink ref="H763" r:id="rId2270" display="Deed - Attribution-NonCommercial 4.0 International - Creative Commons"/>
    <hyperlink ref="I763" r:id="rId2271" display="https://www.inaturalist.org/observations/361027596"/>
    <hyperlink ref="G764" r:id="rId2272" display="sophiegp"/>
    <hyperlink ref="H764" r:id="rId2273" display="Deed - Attribution-NonCommercial 4.0 International - Creative Commons"/>
    <hyperlink ref="I764" r:id="rId2274" display="https://www.inaturalist.org/observations/360961451"/>
    <hyperlink ref="G765" r:id="rId2275" display="tmcroydon2002"/>
    <hyperlink ref="H765" r:id="rId2276" display="Deed - Attribution-NonCommercial 4.0 International - Creative Commons"/>
    <hyperlink ref="I765" r:id="rId2277" display="https://www.inaturalist.org/observations/360797519"/>
    <hyperlink ref="G766" r:id="rId2278" display="waelbenaba"/>
    <hyperlink ref="H766" r:id="rId2279" display="Deed - Attribution-NonCommercial 4.0 International - Creative Commons"/>
    <hyperlink ref="I766" r:id="rId2280" display="https://www.inaturalist.org/observations/360379603"/>
    <hyperlink ref="G767" r:id="rId2281" display="waelbenaba"/>
    <hyperlink ref="H767" r:id="rId2282" display="Deed - Attribution-NonCommercial 4.0 International - Creative Commons"/>
    <hyperlink ref="I767" r:id="rId2283" display="https://www.inaturalist.org/observations/360369705"/>
    <hyperlink ref="G768" r:id="rId2284" display="tmcroydon2002"/>
    <hyperlink ref="H768" r:id="rId2285" display="Deed - Attribution-NonCommercial 4.0 International - Creative Commons"/>
    <hyperlink ref="I768" r:id="rId2286" display="https://www.inaturalist.org/observations/358633001"/>
    <hyperlink ref="G769" r:id="rId2287" display="nicole27903"/>
    <hyperlink ref="H769" r:id="rId2288" display="Deed - Attribution-NonCommercial 4.0 International - Creative Commons"/>
    <hyperlink ref="I769" r:id="rId2289" display="https://www.inaturalist.org/observations/356550940"/>
    <hyperlink ref="G770" r:id="rId2290" display="hasenzahn"/>
    <hyperlink ref="H770" r:id="rId2291" display="Deed - Attribution-NonCommercial 4.0 International - Creative Commons"/>
    <hyperlink ref="I770" r:id="rId2292" display="https://www.inaturalist.org/observations/357851949"/>
    <hyperlink ref="G771" r:id="rId2293" display="hasenzahn"/>
    <hyperlink ref="H771" r:id="rId2294" display="Deed - Attribution-NonCommercial 4.0 International - Creative Commons"/>
    <hyperlink ref="I771" r:id="rId2295" display="https://www.inaturalist.org/observations/355474330"/>
    <hyperlink ref="G772" r:id="rId2296" display="juliencw"/>
    <hyperlink ref="H772" r:id="rId2297" display="Deed - Attribution-NonCommercial 4.0 International - Creative Commons"/>
    <hyperlink ref="I772" r:id="rId2298" display="https://www.inaturalist.org/observations/353274211"/>
    <hyperlink ref="G773" r:id="rId2299" display="gremlinteeth"/>
    <hyperlink ref="H773" r:id="rId2300" display="Deed - Attribution-NonCommercial 4.0 International - Creative Commons"/>
    <hyperlink ref="I773" r:id="rId2301" display="https://www.inaturalist.org/observations/379612010"/>
    <hyperlink ref="G774" r:id="rId2302" display="erebus_odora"/>
    <hyperlink ref="H774" r:id="rId2303" display="Deed - Attribution-NonCommercial 4.0 International - Creative Commons"/>
    <hyperlink ref="I774" r:id="rId2304" display="https://www.inaturalist.org/observations/379492740"/>
    <hyperlink ref="G775" r:id="rId2305" display="erebus_odora"/>
    <hyperlink ref="H775" r:id="rId2306" display="Deed - Attribution-NonCommercial 4.0 International - Creative Commons"/>
    <hyperlink ref="I775" r:id="rId2307" display="https://www.inaturalist.org/observations/379492717"/>
    <hyperlink ref="G776" r:id="rId2308" display="erebus_odora"/>
    <hyperlink ref="H776" r:id="rId2309" display="Deed - Attribution-NonCommercial 4.0 International - Creative Commons"/>
    <hyperlink ref="I776" r:id="rId2310" display="https://www.inaturalist.org/observations/379492508"/>
    <hyperlink ref="G777" r:id="rId2311" display="jeremy52048"/>
    <hyperlink ref="H777" r:id="rId2312" display="Deed - Attribution-NonCommercial 4.0 International - Creative Commons"/>
    <hyperlink ref="I777" r:id="rId2313" display="https://www.inaturalist.org/observations/379265375"/>
    <hyperlink ref="G778" r:id="rId2314" display="kathyguerra25"/>
    <hyperlink ref="H778" r:id="rId2315" display="Deed - Attribution-NonCommercial 4.0 International - Creative Commons"/>
    <hyperlink ref="I778" r:id="rId2316" display="https://www.inaturalist.org/observations/379262822"/>
    <hyperlink ref="G779" r:id="rId2317" display="kathyguerra25"/>
    <hyperlink ref="H779" r:id="rId2318" display="Deed - Attribution-NonCommercial 4.0 International - Creative Commons"/>
    <hyperlink ref="I779" r:id="rId2319" display="https://www.inaturalist.org/observations/379262553"/>
    <hyperlink ref="G780" r:id="rId2320" display="michaela-ann"/>
    <hyperlink ref="H780" r:id="rId2321" display="Deed - Attribution-NonCommercial 4.0 International - Creative Commons"/>
    <hyperlink ref="I780" r:id="rId2322" display="https://www.inaturalist.org/observations/379239430"/>
    <hyperlink ref="G781" r:id="rId2323" display="benjamin_k_603"/>
    <hyperlink ref="H781" r:id="rId2324" display="Deed - Attribution-NonCommercial 4.0 International - Creative Commons"/>
    <hyperlink ref="I781" r:id="rId2325" display="https://www.inaturalist.org/observations/379214607"/>
    <hyperlink ref="G782" r:id="rId2326" display="michele86005"/>
    <hyperlink ref="H782" r:id="rId2327" display="Deed - Attribution-NonCommercial 4.0 International - Creative Commons"/>
    <hyperlink ref="I782" r:id="rId2328" display="https://www.inaturalist.org/observations/379147545"/>
    <hyperlink ref="G783" r:id="rId2329" display="hopemielke"/>
    <hyperlink ref="H783" r:id="rId2330" display="Deed - Attribution-NonCommercial 4.0 International - Creative Commons"/>
    <hyperlink ref="I783" r:id="rId2331" display="https://www.inaturalist.org/observations/379130538"/>
    <hyperlink ref="G784" r:id="rId2332" display="tdad"/>
    <hyperlink ref="H784" r:id="rId2333" display="Deed - Attribution-NonCommercial 4.0 International - Creative Commons"/>
    <hyperlink ref="I784" r:id="rId2334" display="https://www.inaturalist.org/observations/379044768"/>
    <hyperlink ref="G785" r:id="rId2335" display="adamstinks"/>
    <hyperlink ref="H785" r:id="rId2336" display="Deed - Attribution-NonCommercial 4.0 International - Creative Commons"/>
    <hyperlink ref="I785" r:id="rId2337" display="https://www.inaturalist.org/observations/378987535"/>
    <hyperlink ref="G786" r:id="rId2338" display="mermaidmagic"/>
    <hyperlink ref="H786" r:id="rId2339" display="Deed - Attribution-NonCommercial 4.0 International - Creative Commons"/>
    <hyperlink ref="I786" r:id="rId2340" display="https://www.inaturalist.org/observations/378978726"/>
    <hyperlink ref="G787" r:id="rId2341" display="life_observer"/>
    <hyperlink ref="H787" r:id="rId2342" display="Deed - Attribution-NonCommercial 4.0 International - Creative Commons"/>
    <hyperlink ref="I787" r:id="rId2343" display="https://www.inaturalist.org/observations/378976642"/>
    <hyperlink ref="G788" r:id="rId2344" display="life_observer"/>
    <hyperlink ref="H788" r:id="rId2345" display="Deed - Attribution-NonCommercial 4.0 International - Creative Commons"/>
    <hyperlink ref="I788" r:id="rId2346" display="https://www.inaturalist.org/observations/378976506"/>
    <hyperlink ref="G789" r:id="rId2347" display="trishx"/>
    <hyperlink ref="H789" r:id="rId2348" display="Deed - Attribution-NonCommercial 4.0 International - Creative Commons"/>
    <hyperlink ref="I789" r:id="rId2349" display="https://www.inaturalist.org/observations/378940972"/>
    <hyperlink ref="G790" r:id="rId2350" display="howder"/>
    <hyperlink ref="H790" r:id="rId2351" display="Deed - Attribution-NonCommercial 4.0 International - Creative Commons"/>
    <hyperlink ref="I790" r:id="rId2352" display="https://www.inaturalist.org/observations/378914368"/>
    <hyperlink ref="G791" r:id="rId2353" display="seanconway2"/>
    <hyperlink ref="H791" r:id="rId2354" display="Deed - Attribution-NonCommercial 4.0 International - Creative Commons"/>
    <hyperlink ref="I791" r:id="rId2355" display="https://www.inaturalist.org/observations/378680761"/>
    <hyperlink ref="G792" r:id="rId2356" display="roobydoo"/>
    <hyperlink ref="H792" r:id="rId2357" display="Deed - Attribution-NonCommercial 4.0 International - Creative Commons"/>
    <hyperlink ref="I792" r:id="rId2358" display="https://www.inaturalist.org/observations/378237585"/>
    <hyperlink ref="G793" r:id="rId2359" display="erebus_odora"/>
    <hyperlink ref="H793" r:id="rId2360" display="Deed - Attribution-NonCommercial 4.0 International - Creative Commons"/>
    <hyperlink ref="I793" r:id="rId2361" display="https://www.inaturalist.org/observations/377842262"/>
    <hyperlink ref="G794" r:id="rId2362" display="howder"/>
    <hyperlink ref="H794" r:id="rId2363" display="Deed - Attribution-NonCommercial 4.0 International - Creative Commons"/>
    <hyperlink ref="I794" r:id="rId2364" display="https://www.inaturalist.org/observations/377633912"/>
    <hyperlink ref="G795" r:id="rId2365" display="korbynhoerner"/>
    <hyperlink ref="H795" r:id="rId2366" display="Deed - Attribution-NonCommercial 4.0 International - Creative Commons"/>
    <hyperlink ref="I795" r:id="rId2367" display="https://www.inaturalist.org/observations/377608828"/>
    <hyperlink ref="G796" r:id="rId2368" display="hsampson96"/>
    <hyperlink ref="H796" r:id="rId2369" display="Deed - Attribution-NonCommercial 4.0 International - Creative Commons"/>
    <hyperlink ref="I796" r:id="rId2370" display="https://www.inaturalist.org/observations/377551951"/>
    <hyperlink ref="G797" r:id="rId2371" display="lguindon"/>
    <hyperlink ref="H797" r:id="rId2372" display="Deed - Attribution-NonCommercial 4.0 International - Creative Commons"/>
    <hyperlink ref="I797" r:id="rId2373" display="https://www.inaturalist.org/observations/377548938"/>
    <hyperlink ref="G798" r:id="rId2374" display="sarek05"/>
    <hyperlink ref="H798" r:id="rId2375" display="Deed - Attribution-NonCommercial 4.0 International - Creative Commons"/>
    <hyperlink ref="I798" r:id="rId2376" display="https://www.inaturalist.org/observations/377259796"/>
    <hyperlink ref="G799" r:id="rId2377" display="timbir5"/>
    <hyperlink ref="H799" r:id="rId2378" display="Deed - Attribution-NonCommercial 4.0 International - Creative Commons"/>
    <hyperlink ref="I799" r:id="rId2379" display="https://www.inaturalist.org/observations/377182829"/>
    <hyperlink ref="G800" r:id="rId2380" display="juliencw"/>
    <hyperlink ref="H800" r:id="rId2381" display="Deed - Attribution-NonCommercial 4.0 International - Creative Commons"/>
    <hyperlink ref="I800" r:id="rId2382" display="https://www.inaturalist.org/observations/377045661"/>
    <hyperlink ref="G801" r:id="rId2383" display="ava_buxton"/>
    <hyperlink ref="H801" r:id="rId2384" display="Deed - Attribution-NonCommercial 4.0 International - Creative Commons"/>
    <hyperlink ref="I801" r:id="rId2385" display="https://www.inaturalist.org/observations/377035594"/>
    <hyperlink ref="G802" r:id="rId2386" display="max_gus_minnie"/>
    <hyperlink ref="H802" r:id="rId2387" display="Deed - Attribution-NonCommercial 4.0 International - Creative Commons"/>
    <hyperlink ref="I802" r:id="rId2388" display="https://www.inaturalist.org/observations/376940959"/>
    <hyperlink ref="G803" r:id="rId2389" display="slkalish"/>
    <hyperlink ref="H803" r:id="rId2390" display="Deed - Attribution-NonCommercial 4.0 International - Creative Commons"/>
    <hyperlink ref="I803" r:id="rId2391" display="https://www.inaturalist.org/observations/376873282"/>
    <hyperlink ref="G804" r:id="rId2392" display="mathieu_dmf"/>
    <hyperlink ref="H804" r:id="rId2393" display="Deed - Attribution-NonCommercial 4.0 International - Creative Commons"/>
    <hyperlink ref="I804" r:id="rId2394" display="https://www.inaturalist.org/observations/376852948"/>
    <hyperlink ref="G805" r:id="rId2395" display="friendofafern"/>
    <hyperlink ref="H805" r:id="rId2396" display="Deed - Attribution-NonCommercial 4.0 International - Creative Commons"/>
    <hyperlink ref="I805" r:id="rId2397" display="https://www.inaturalist.org/observations/376751959"/>
    <hyperlink ref="G806" r:id="rId2398" display="kwat"/>
    <hyperlink ref="H806" r:id="rId2399" display="Deed - Attribution-NonCommercial 4.0 International - Creative Commons"/>
    <hyperlink ref="I806" r:id="rId2400" display="https://www.inaturalist.org/observations/376735536"/>
    <hyperlink ref="G807" r:id="rId2401" display="sethalopod"/>
    <hyperlink ref="H807" r:id="rId2402" display="Deed - Attribution-NonCommercial 4.0 International - Creative Commons"/>
    <hyperlink ref="I807" r:id="rId2403" display="https://www.inaturalist.org/observations/376431074"/>
    <hyperlink ref="G808" r:id="rId2404" display="kjaeger"/>
    <hyperlink ref="H808" r:id="rId2405" display="Deed - Attribution-NonCommercial 4.0 International - Creative Commons"/>
    <hyperlink ref="I808" r:id="rId2406" display="https://www.inaturalist.org/observations/376810412"/>
    <hyperlink ref="G809" r:id="rId2407" display="forosix"/>
    <hyperlink ref="H809" r:id="rId2408" display="Deed - Attribution-NonCommercial 4.0 International - Creative Commons"/>
    <hyperlink ref="I809" r:id="rId2409" display="https://www.inaturalist.org/observations/371864866"/>
    <hyperlink ref="G810" r:id="rId2410" display="cwlonie"/>
    <hyperlink ref="H810" r:id="rId2411" display="Deed - Attribution-NonCommercial 4.0 International - Creative Commons"/>
    <hyperlink ref="I810" r:id="rId2412" display="https://www.inaturalist.org/observations/371533808"/>
    <hyperlink ref="G811" r:id="rId2413" display="chrihi"/>
    <hyperlink ref="H811" r:id="rId2414" display="Deed - Attribution-NonCommercial 4.0 International - Creative Commons"/>
    <hyperlink ref="I811" r:id="rId2415" display="https://www.inaturalist.org/observations/371529790"/>
    <hyperlink ref="G812" r:id="rId2416" display="chrihi"/>
    <hyperlink ref="H812" r:id="rId2417" display="Deed - Attribution-NonCommercial 4.0 International - Creative Commons"/>
    <hyperlink ref="I812" r:id="rId2418" display="https://www.inaturalist.org/observations/371529790"/>
    <hyperlink ref="G813" r:id="rId2419" display="jsulan"/>
    <hyperlink ref="H813" r:id="rId2420" display="Deed - Attribution-NonCommercial 4.0 International - Creative Commons"/>
    <hyperlink ref="I813" r:id="rId2421" display="https://www.inaturalist.org/observations/370623596"/>
    <hyperlink ref="G814" r:id="rId2422" display="naturalistchu"/>
    <hyperlink ref="H814" r:id="rId2423" display="Deed - Attribution-NonCommercial 4.0 International - Creative Commons"/>
    <hyperlink ref="I814" r:id="rId2424" display="https://www.inaturalist.org/observations/370602692"/>
    <hyperlink ref="G815" r:id="rId2425" display="naturalistchu"/>
    <hyperlink ref="H815" r:id="rId2426" display="Deed - Attribution-NonCommercial 4.0 International - Creative Commons"/>
    <hyperlink ref="I815" r:id="rId2427" display="https://www.inaturalist.org/observations/370602692"/>
    <hyperlink ref="G816" r:id="rId2428" display="silversea_starsong"/>
    <hyperlink ref="H816" r:id="rId2429" display="Deed - Attribution-NonCommercial 4.0 International - Creative Commons"/>
    <hyperlink ref="I816" r:id="rId2430" display="https://www.inaturalist.org/observations/363521200"/>
    <hyperlink ref="G817" r:id="rId2431" display="silversea_starsong"/>
    <hyperlink ref="H817" r:id="rId2432" display="Deed - Attribution-NonCommercial 4.0 International - Creative Commons"/>
    <hyperlink ref="I817" r:id="rId2433" display="https://www.inaturalist.org/observations/363521200"/>
    <hyperlink ref="G818" r:id="rId2434" display="ormr"/>
    <hyperlink ref="H818" r:id="rId2435" display="Deed - Attribution-NonCommercial 4.0 International - Creative Commons"/>
    <hyperlink ref="I818" r:id="rId2436" display="https://www.inaturalist.org/observations/357971573"/>
    <hyperlink ref="G819" r:id="rId2437" display="rietlex"/>
    <hyperlink ref="H819" r:id="rId2438" display="Deed - Attribution-NonCommercial 4.0 International - Creative Commons"/>
    <hyperlink ref="I819" r:id="rId2439" display="https://www.inaturalist.org/observations/354182540"/>
    <hyperlink ref="G820" r:id="rId2440" display="nickbuys"/>
    <hyperlink ref="H820" r:id="rId2441" display="Deed - Attribution-NonCommercial 4.0 International - Creative Commons"/>
    <hyperlink ref="I820" r:id="rId2442" display="https://www.inaturalist.org/observations/350770666"/>
    <hyperlink ref="G821" r:id="rId2443" display="markus_b"/>
    <hyperlink ref="H821" r:id="rId2444" display="Deed - Attribution-NonCommercial 4.0 International - Creative Commons"/>
    <hyperlink ref="I821" r:id="rId2445" display="https://www.inaturalist.org/observations/350232820"/>
    <hyperlink ref="G822" r:id="rId2446" display="silversea_starsong"/>
    <hyperlink ref="H822" r:id="rId2447" display="Deed - Attribution-NonCommercial 4.0 International - Creative Commons"/>
    <hyperlink ref="I822" r:id="rId2448" display="https://www.inaturalist.org/observations/349928360"/>
    <hyperlink ref="G823" r:id="rId2449" display="silversea_starsong"/>
    <hyperlink ref="H823" r:id="rId2450" display="Deed - Attribution-NonCommercial 4.0 International - Creative Commons"/>
    <hyperlink ref="I823" r:id="rId2451" display="https://www.inaturalist.org/observations/349928360"/>
    <hyperlink ref="G824" r:id="rId2452" display="silversea_starsong"/>
    <hyperlink ref="H824" r:id="rId2453" display="Deed - Attribution-NonCommercial 4.0 International - Creative Commons"/>
    <hyperlink ref="I824" r:id="rId2454" display="https://www.inaturalist.org/observations/349864150"/>
    <hyperlink ref="G825" r:id="rId2455" display="silversea_starsong"/>
    <hyperlink ref="H825" r:id="rId2456" display="Deed - Attribution-NonCommercial 4.0 International - Creative Commons"/>
    <hyperlink ref="I825" r:id="rId2457" display="https://www.inaturalist.org/observations/349864150"/>
    <hyperlink ref="G826" r:id="rId2458" display="silversea_starsong"/>
    <hyperlink ref="H826" r:id="rId2459" display="Deed - Attribution-NonCommercial 4.0 International - Creative Commons"/>
    <hyperlink ref="I826" r:id="rId2460" display="https://www.inaturalist.org/observations/348663163"/>
    <hyperlink ref="G827" r:id="rId2461" display="mannkaii"/>
    <hyperlink ref="H827" r:id="rId2462" display="Deed - Attribution-NonCommercial 4.0 International - Creative Commons"/>
    <hyperlink ref="I827" r:id="rId2463" display="https://www.inaturalist.org/observations/348477003"/>
    <hyperlink ref="G828" r:id="rId2464" display="mannkaii"/>
    <hyperlink ref="H828" r:id="rId2465" display="Deed - Attribution-NonCommercial 4.0 International - Creative Commons"/>
    <hyperlink ref="I828" r:id="rId2466" display="https://www.inaturalist.org/observations/348477003"/>
    <hyperlink ref="G829" r:id="rId2467" display="saemmi"/>
    <hyperlink ref="H829" r:id="rId2468" display="Deed - Attribution-NonCommercial 4.0 International - Creative Commons"/>
    <hyperlink ref="I829" r:id="rId2469" display="https://www.inaturalist.org/observations/346113856"/>
    <hyperlink ref="G830" r:id="rId2470" display="botaneek"/>
    <hyperlink ref="H830" r:id="rId2471" display="Deed - Attribution-NonCommercial 4.0 International - Creative Commons"/>
    <hyperlink ref="I830" r:id="rId2472" display="https://www.inaturalist.org/observations/344889080"/>
    <hyperlink ref="G831" r:id="rId2473" display="botaneek"/>
    <hyperlink ref="H831" r:id="rId2474" display="Deed - Attribution-NonCommercial 4.0 International - Creative Commons"/>
    <hyperlink ref="I831" r:id="rId2475" display="https://www.inaturalist.org/observations/344889080"/>
    <hyperlink ref="G832" r:id="rId2476" display="eec2022"/>
    <hyperlink ref="H832" r:id="rId2477" display="Deed - Attribution-NonCommercial 4.0 International - Creative Commons"/>
    <hyperlink ref="I832" r:id="rId2478" display="https://www.inaturalist.org/observations/342419219"/>
    <hyperlink ref="G833" r:id="rId2479" display="eec2022"/>
    <hyperlink ref="H833" r:id="rId2480" display="Deed - Attribution-NonCommercial 4.0 International - Creative Commons"/>
    <hyperlink ref="I833" r:id="rId2481" display="https://www.inaturalist.org/observations/342419219"/>
    <hyperlink ref="G834" r:id="rId2482" display="rusik-r2d2"/>
    <hyperlink ref="H834" r:id="rId2483" display="Deed - Attribution-NonCommercial 4.0 International - Creative Commons"/>
    <hyperlink ref="I834" r:id="rId2484" display="https://www.inaturalist.org/observations/340003122"/>
    <hyperlink ref="G835" r:id="rId2485" display="wouterbeukema"/>
    <hyperlink ref="H835" r:id="rId2486" display="Deed - Attribution-NonCommercial 4.0 International - Creative Commons"/>
    <hyperlink ref="I835" r:id="rId2487" display="https://www.inaturalist.org/observations/339766212"/>
    <hyperlink ref="G836" r:id="rId2488" display="leo_gentile"/>
    <hyperlink ref="H836" r:id="rId2489" display="Deed - Attribution-NonCommercial 4.0 International - Creative Commons"/>
    <hyperlink ref="I836" r:id="rId2490" display="https://www.inaturalist.org/observations/339701230"/>
    <hyperlink ref="G837" r:id="rId2491" display="hollythefrog"/>
    <hyperlink ref="H837" r:id="rId2492" display="Deed - Attribution-NonCommercial 4.0 International - Creative Commons"/>
    <hyperlink ref="I837" r:id="rId2493" display="https://www.inaturalist.org/observations/334457944"/>
    <hyperlink ref="G838" r:id="rId2494" display="hollythefrog"/>
    <hyperlink ref="H838" r:id="rId2495" display="Deed - Attribution-NonCommercial 4.0 International - Creative Commons"/>
    <hyperlink ref="I838" r:id="rId2496" display="https://www.inaturalist.org/observations/334457921"/>
    <hyperlink ref="G839" r:id="rId2497" display="merec0"/>
    <hyperlink ref="H839" r:id="rId2498" display="Deed - Attribution-NonCommercial 4.0 International - Creative Commons"/>
    <hyperlink ref="I839" r:id="rId2499" display="https://www.inaturalist.org/observations/333442316"/>
    <hyperlink ref="G840" r:id="rId2500" display="pierre"/>
    <hyperlink ref="H840" r:id="rId2501" display="Deed - Attribution-NonCommercial 4.0 International - Creative Commons"/>
    <hyperlink ref="I840" r:id="rId2502" display="https://www.inaturalist.org/observations/332270041"/>
    <hyperlink ref="G841" r:id="rId2503" display="angelomg"/>
    <hyperlink ref="H841" r:id="rId2504" display="Deed - Attribution-NonCommercial 4.0 International - Creative Commons"/>
    <hyperlink ref="I841" r:id="rId2505" display="https://www.inaturalist.org/observations/329830895"/>
    <hyperlink ref="G842" r:id="rId2506" display="aandmg"/>
    <hyperlink ref="H842" r:id="rId2507" display="Deed - Attribution-NonCommercial 4.0 International - Creative Commons"/>
    <hyperlink ref="I842" r:id="rId2508" display="https://www.inaturalist.org/observations/328289981"/>
    <hyperlink ref="G843" r:id="rId2509" display="fharrihill"/>
    <hyperlink ref="H843" r:id="rId2510" display="Deed - Attribution-NonCommercial 4.0 International - Creative Commons"/>
    <hyperlink ref="I843" r:id="rId2511" display="https://www.inaturalist.org/observations/378679041"/>
    <hyperlink ref="G844" r:id="rId2512" display="kenty_8881"/>
    <hyperlink ref="H844" r:id="rId2513" display="Deed - Attribution-NonCommercial 4.0 International - Creative Commons"/>
    <hyperlink ref="I844" r:id="rId2514" display="https://www.inaturalist.org/observations/368942249"/>
    <hyperlink ref="G845" r:id="rId2515" display="lmk96"/>
    <hyperlink ref="H845" r:id="rId2516" display="Deed - Attribution-NonCommercial 4.0 International - Creative Commons"/>
    <hyperlink ref="I845" r:id="rId2517" display="https://www.inaturalist.org/observations/361939589"/>
    <hyperlink ref="G846" r:id="rId2518" display="lmk96"/>
    <hyperlink ref="H846" r:id="rId2519" display="Deed - Attribution-NonCommercial 4.0 International - Creative Commons"/>
    <hyperlink ref="I846" r:id="rId2520" display="https://www.inaturalist.org/observations/361939589"/>
    <hyperlink ref="G847" r:id="rId2521" display="misoa"/>
    <hyperlink ref="H847" r:id="rId2522" display="Deed - Attribution-NonCommercial 4.0 International - Creative Commons"/>
    <hyperlink ref="I847" r:id="rId2523" display="https://www.inaturalist.org/observations/354372448"/>
    <hyperlink ref="G848" r:id="rId2524" display="hardyhancock"/>
    <hyperlink ref="H848" r:id="rId2525" display="Deed - Attribution-NonCommercial 4.0 International - Creative Commons"/>
    <hyperlink ref="I848" r:id="rId2526" display="https://www.inaturalist.org/observations/351076587"/>
    <hyperlink ref="G849" r:id="rId2527" display="merbadger"/>
    <hyperlink ref="H849" r:id="rId2528" display="Deed - Attribution-NonCommercial 4.0 International - Creative Commons"/>
    <hyperlink ref="I849" r:id="rId2529" display="https://www.inaturalist.org/observations/349170259"/>
    <hyperlink ref="G850" r:id="rId2530" display="anatinus"/>
    <hyperlink ref="H850" r:id="rId2531" display="Deed - Attribution-NonCommercial 4.0 International - Creative Commons"/>
    <hyperlink ref="I850" r:id="rId2532" display="https://www.inaturalist.org/observations/342523184"/>
    <hyperlink ref="G851" r:id="rId2533" display="anatinus"/>
    <hyperlink ref="H851" r:id="rId2534" display="Deed - Attribution-NonCommercial 4.0 International - Creative Commons"/>
    <hyperlink ref="I851" r:id="rId2535" display="https://www.inaturalist.org/observations/342523184"/>
    <hyperlink ref="G852" r:id="rId2536" display="n_white"/>
    <hyperlink ref="H852" r:id="rId2537" display="Deed - Attribution-NonCommercial 4.0 International - Creative Commons"/>
    <hyperlink ref="I852" r:id="rId2538" display="https://www.inaturalist.org/observations/341618974"/>
    <hyperlink ref="G853" r:id="rId2539" display="anatinus"/>
    <hyperlink ref="H853" r:id="rId2540" display="Deed - Attribution-NonCommercial 4.0 International - Creative Commons"/>
    <hyperlink ref="I853" r:id="rId2541" display="https://www.inaturalist.org/observations/341525333"/>
    <hyperlink ref="G854" r:id="rId2542" display="anatinus"/>
    <hyperlink ref="H854" r:id="rId2543" display="Deed - Attribution-NonCommercial 4.0 International - Creative Commons"/>
    <hyperlink ref="I854" r:id="rId2544" display="https://www.inaturalist.org/observations/341525333"/>
    <hyperlink ref="G855" r:id="rId2545" display="nicomoll"/>
    <hyperlink ref="H855" r:id="rId2546" display="Deed - Attribution-NonCommercial 4.0 International - Creative Commons"/>
    <hyperlink ref="I855" r:id="rId2547" display="https://www.inaturalist.org/observations/339889261"/>
    <hyperlink ref="G856" r:id="rId2548" display="guigzzz"/>
    <hyperlink ref="H856" r:id="rId2549" display="Deed - Attribution-NonCommercial 4.0 International - Creative Commons"/>
    <hyperlink ref="I856" r:id="rId2550" display="https://www.inaturalist.org/observations/339254655"/>
    <hyperlink ref="G857" r:id="rId2551" display="guigzzz"/>
    <hyperlink ref="H857" r:id="rId2552" display="Deed - Attribution-NonCommercial 4.0 International - Creative Commons"/>
    <hyperlink ref="I857" r:id="rId2553" display="https://www.inaturalist.org/observations/339254655"/>
    <hyperlink ref="G858" r:id="rId2554" display="amelielague"/>
    <hyperlink ref="H858" r:id="rId2555" display="Deed - Attribution-NonCommercial 4.0 International - Creative Commons"/>
    <hyperlink ref="I858" r:id="rId2556" display="https://www.inaturalist.org/observations/335601949"/>
    <hyperlink ref="G859" r:id="rId2557" display="amelielague"/>
    <hyperlink ref="H859" r:id="rId2558" display="Deed - Attribution-NonCommercial 4.0 International - Creative Commons"/>
    <hyperlink ref="I859" r:id="rId2559" display="https://www.inaturalist.org/observations/335214881"/>
    <hyperlink ref="G860" r:id="rId2560" display="ennis_de_vos"/>
    <hyperlink ref="H860" r:id="rId2561" display="Deed - Attribution-NonCommercial 4.0 International - Creative Commons"/>
    <hyperlink ref="I860" r:id="rId2562" display="https://www.inaturalist.org/observations/332991314"/>
    <hyperlink ref="G861" r:id="rId2563" display="ennis_de_vos"/>
    <hyperlink ref="H861" r:id="rId2564" display="Deed - Attribution-NonCommercial 4.0 International - Creative Commons"/>
    <hyperlink ref="I861" r:id="rId2565" display="https://www.inaturalist.org/observations/332991314"/>
    <hyperlink ref="G862" r:id="rId2566" display="forresthe"/>
    <hyperlink ref="H862" r:id="rId2567" display="Deed - Attribution-NonCommercial 4.0 International - Creative Commons"/>
    <hyperlink ref="I862" r:id="rId2568" display="https://www.inaturalist.org/observations/331198239"/>
    <hyperlink ref="G863" r:id="rId2569" display="micaela19720"/>
    <hyperlink ref="H863" r:id="rId2570" display="Deed - Attribution-NonCommercial 4.0 International - Creative Commons"/>
    <hyperlink ref="I863" r:id="rId2571" display="https://www.inaturalist.org/observations/330342641"/>
    <hyperlink ref="G864" r:id="rId2572" display="aville"/>
    <hyperlink ref="H864" r:id="rId2573" display="Deed - Attribution-NonCommercial 4.0 International - Creative Commons"/>
    <hyperlink ref="I864" r:id="rId2574" display="https://www.inaturalist.org/observations/329831402"/>
    <hyperlink ref="G865" r:id="rId2575" display="mariodriesen"/>
    <hyperlink ref="H865" r:id="rId2576" display="Deed - Attribution-NonCommercial 4.0 International - Creative Commons"/>
    <hyperlink ref="I865" r:id="rId2577" display="https://www.inaturalist.org/observations/328450451"/>
    <hyperlink ref="G866" r:id="rId2578" display="womby"/>
    <hyperlink ref="H866" r:id="rId2579" display="Deed - Attribution-NonCommercial 4.0 International - Creative Commons"/>
    <hyperlink ref="I866" r:id="rId2580" display="https://www.inaturalist.org/observations/328336912"/>
    <hyperlink ref="G867" r:id="rId2581" display="mariodriesen"/>
    <hyperlink ref="H867" r:id="rId2582" display="Deed - Attribution-NonCommercial 4.0 International - Creative Commons"/>
    <hyperlink ref="I867" r:id="rId2583" display="https://www.inaturalist.org/observations/327234193"/>
    <hyperlink ref="G868" r:id="rId2584" display="mariodriesen"/>
    <hyperlink ref="H868" r:id="rId2585" display="Deed - Attribution-NonCommercial 4.0 International - Creative Commons"/>
    <hyperlink ref="I868" r:id="rId2586" display="https://www.inaturalist.org/observations/327064796"/>
    <hyperlink ref="G869" r:id="rId2587" display="rreams"/>
    <hyperlink ref="H869" r:id="rId2588" display="Deed - Attribution-NonCommercial 4.0 International - Creative Commons"/>
    <hyperlink ref="I869" r:id="rId2589" display="https://www.inaturalist.org/observations/326733099"/>
    <hyperlink ref="G870" r:id="rId2590" display="rreams"/>
    <hyperlink ref="H870" r:id="rId2591" display="Deed - Attribution-NonCommercial 4.0 International - Creative Commons"/>
    <hyperlink ref="I870" r:id="rId2592" display="https://www.inaturalist.org/observations/326580710"/>
    <hyperlink ref="G871" r:id="rId2593" display="mariodriesen"/>
    <hyperlink ref="H871" r:id="rId2594" display="Deed - Attribution-NonCommercial 4.0 International - Creative Commons"/>
    <hyperlink ref="I871" r:id="rId2595" display="https://www.inaturalist.org/observations/326169109"/>
    <hyperlink ref="G872" r:id="rId2596" display="mariodriesen"/>
    <hyperlink ref="H872" r:id="rId2597" display="Deed - Attribution-NonCommercial 4.0 International - Creative Commons"/>
    <hyperlink ref="I872" r:id="rId2598" display="https://www.inaturalist.org/observations/326169109"/>
    <hyperlink ref="G873" r:id="rId2599" display="emmafitzy"/>
    <hyperlink ref="H873" r:id="rId2600" display="Deed - Attribution-NonCommercial 4.0 International - Creative Commons"/>
    <hyperlink ref="I873" r:id="rId2601" display="https://www.inaturalist.org/observations/325975854"/>
    <hyperlink ref="G874" r:id="rId2602" display="emmafitzy"/>
    <hyperlink ref="H874" r:id="rId2603" display="Deed - Attribution-NonCommercial 4.0 International - Creative Commons"/>
    <hyperlink ref="I874" r:id="rId2604" display="https://www.inaturalist.org/observations/325975854"/>
    <hyperlink ref="G875" r:id="rId2605" display="emmafitzy"/>
    <hyperlink ref="H875" r:id="rId2606" display="Deed - Attribution-NonCommercial 4.0 International - Creative Commons"/>
    <hyperlink ref="I875" r:id="rId2607" display="https://www.inaturalist.org/observations/325975854"/>
    <hyperlink ref="G876" r:id="rId2608" display="delanyd"/>
    <hyperlink ref="H876" r:id="rId2609" display="Deed - Attribution-NonCommercial 4.0 International - Creative Commons"/>
    <hyperlink ref="I876" r:id="rId2610" display="https://www.inaturalist.org/observations/325476231"/>
    <hyperlink ref="G877" r:id="rId2611" display="delanyd"/>
    <hyperlink ref="H877" r:id="rId2612" display="Deed - Attribution-NonCommercial 4.0 International - Creative Commons"/>
    <hyperlink ref="I877" r:id="rId2613" display="https://www.inaturalist.org/observations/325476231"/>
    <hyperlink ref="G878" r:id="rId2614" display="finnhall"/>
    <hyperlink ref="H878" r:id="rId2615" display="Deed - Attribution-NonCommercial 4.0 International - Creative Commons"/>
    <hyperlink ref="I878" r:id="rId2616" display="https://www.inaturalist.org/observations/371091163"/>
    <hyperlink ref="G879" r:id="rId2617" display="boardy1"/>
    <hyperlink ref="H879" r:id="rId2618" display="Deed - Attribution-NonCommercial 4.0 International - Creative Commons"/>
    <hyperlink ref="I879" r:id="rId2619" display="https://www.inaturalist.org/observations/363898306"/>
    <hyperlink ref="G880" r:id="rId2620" display="boardy1"/>
    <hyperlink ref="H880" r:id="rId2621" display="Deed - Attribution-NonCommercial 4.0 International - Creative Commons"/>
    <hyperlink ref="I880" r:id="rId2622" display="https://www.inaturalist.org/observations/363898306"/>
    <hyperlink ref="G881" r:id="rId2623" display="gregory38317"/>
    <hyperlink ref="H881" r:id="rId2624" display="Deed - Attribution-NonCommercial 4.0 International - Creative Commons"/>
    <hyperlink ref="I881" r:id="rId2625" display="https://www.inaturalist.org/observations/359186652"/>
    <hyperlink ref="G882" r:id="rId2626" display="jasvink"/>
    <hyperlink ref="H882" r:id="rId2627" display="Deed - Attribution-NonCommercial 4.0 International - Creative Commons"/>
    <hyperlink ref="I882" r:id="rId2628" display="https://www.inaturalist.org/observations/346475996"/>
    <hyperlink ref="G883" r:id="rId2629" display="jackcaleo09"/>
    <hyperlink ref="H883" r:id="rId2630" display="Deed - Attribution-NonCommercial 4.0 International - Creative Commons"/>
    <hyperlink ref="I883" r:id="rId2631" display="https://www.inaturalist.org/observations/336443799"/>
    <hyperlink ref="G884" r:id="rId2632" display="jackcaleo09"/>
    <hyperlink ref="H884" r:id="rId2633" display="Deed - Attribution-NonCommercial 4.0 International - Creative Commons"/>
    <hyperlink ref="I884" r:id="rId2634" display="https://www.inaturalist.org/observations/336443799"/>
    <hyperlink ref="G885" r:id="rId2635" display="narbethong"/>
    <hyperlink ref="H885" r:id="rId2636" display="Deed - Attribution-NonCommercial 4.0 International - Creative Commons"/>
    <hyperlink ref="I885" r:id="rId2637" display="https://www.inaturalist.org/observations/336050483"/>
    <hyperlink ref="G886" r:id="rId2638" display="abiepatt"/>
    <hyperlink ref="H886" r:id="rId2639" display="Deed - Attribution-NonCommercial 4.0 International - Creative Commons"/>
    <hyperlink ref="I886" r:id="rId2640" display="https://www.inaturalist.org/observations/334324844"/>
    <hyperlink ref="G887" r:id="rId2641" display="mick76663"/>
    <hyperlink ref="H887" r:id="rId2642" display="Deed - Attribution-NonCommercial 4.0 International - Creative Commons"/>
    <hyperlink ref="I887" r:id="rId2643" display="https://www.inaturalist.org/observations/331524662"/>
    <hyperlink ref="G888" r:id="rId2644" display="mick76663"/>
    <hyperlink ref="H888" r:id="rId2645" display="Deed - Attribution-NonCommercial 4.0 International - Creative Commons"/>
    <hyperlink ref="I888" r:id="rId2646" display="https://www.inaturalist.org/observations/331524662"/>
    <hyperlink ref="G889" r:id="rId2647" display="brother-nature"/>
    <hyperlink ref="H889" r:id="rId2648" display="Deed - Attribution-NonCommercial 4.0 International - Creative Commons"/>
    <hyperlink ref="I889" r:id="rId2649" display="https://www.inaturalist.org/observations/331183501"/>
    <hyperlink ref="G890" r:id="rId2650" display="jeff55746"/>
    <hyperlink ref="H890" r:id="rId2651" display="Deed - Attribution-NonCommercial 4.0 International - Creative Commons"/>
    <hyperlink ref="I890" r:id="rId2652" display="https://www.inaturalist.org/observations/329366114"/>
    <hyperlink ref="G891" r:id="rId2653" display="jeff55746"/>
    <hyperlink ref="H891" r:id="rId2654" display="Deed - Attribution-NonCommercial 4.0 International - Creative Commons"/>
    <hyperlink ref="I891" r:id="rId2655" display="https://www.inaturalist.org/observations/329366114"/>
    <hyperlink ref="G892" r:id="rId2656" display="faunabytes"/>
    <hyperlink ref="H892" r:id="rId2657" display="Deed - Attribution-NonCommercial 4.0 International - Creative Commons"/>
    <hyperlink ref="I892" r:id="rId2658" display="https://www.inaturalist.org/observations/322691668"/>
    <hyperlink ref="G893" r:id="rId2659" display="faunabytes"/>
    <hyperlink ref="H893" r:id="rId2660" display="Deed - Attribution-NonCommercial 4.0 International - Creative Commons"/>
    <hyperlink ref="I893" r:id="rId2661" display="https://www.inaturalist.org/observations/322691668"/>
    <hyperlink ref="G894" r:id="rId2662" display="sophiemah"/>
    <hyperlink ref="H894" r:id="rId2663" display="Deed - Attribution-NonCommercial 4.0 International - Creative Commons"/>
    <hyperlink ref="I894" r:id="rId2664" display="https://www.inaturalist.org/observations/322564766"/>
    <hyperlink ref="G895" r:id="rId2665" display="jackcaleo09"/>
    <hyperlink ref="H895" r:id="rId2666" display="Deed - Attribution-NonCommercial 4.0 International - Creative Commons"/>
    <hyperlink ref="I895" r:id="rId2667" display="https://www.inaturalist.org/observations/314913365"/>
    <hyperlink ref="G896" r:id="rId2668" display="lorcanmc"/>
    <hyperlink ref="H896" r:id="rId2669" display="Deed - Attribution-NonCommercial 4.0 International - Creative Commons"/>
    <hyperlink ref="I896" r:id="rId2670" display="https://www.inaturalist.org/observations/290831069"/>
    <hyperlink ref="G897" r:id="rId2671" display="michael_chay_photography"/>
    <hyperlink ref="H897" r:id="rId2672" display="Deed - Attribution-NonCommercial 4.0 International - Creative Commons"/>
    <hyperlink ref="I897" r:id="rId2673" display="https://www.inaturalist.org/observations/290082030"/>
    <hyperlink ref="G898" r:id="rId2674" display="rufusgrandis"/>
    <hyperlink ref="H898" r:id="rId2675" display="Deed - Attribution-NonCommercial 4.0 International - Creative Commons"/>
    <hyperlink ref="I898" r:id="rId2676" display="https://www.inaturalist.org/observations/286914236"/>
    <hyperlink ref="G899" r:id="rId2677" display="rufusgrandis"/>
    <hyperlink ref="H899" r:id="rId2678" display="Deed - Attribution-NonCommercial 4.0 International - Creative Commons"/>
    <hyperlink ref="I899" r:id="rId2679" display="https://www.inaturalist.org/observations/286914236"/>
    <hyperlink ref="G900" r:id="rId2680" display="stephen_zozaya"/>
    <hyperlink ref="H900" r:id="rId2681" display="Deed - Attribution-NonCommercial 4.0 International - Creative Commons"/>
    <hyperlink ref="I900" r:id="rId2682" display="https://www.inaturalist.org/observations/276960750"/>
    <hyperlink ref="G901" r:id="rId2683" display="braden1"/>
    <hyperlink ref="H901" r:id="rId2684" display="Deed - Attribution-NonCommercial 4.0 International - Creative Commons"/>
    <hyperlink ref="I901" r:id="rId2685" display="https://www.inaturalist.org/observations/273743917"/>
    <hyperlink ref="G902" r:id="rId2686" display="stephen_zozaya"/>
    <hyperlink ref="H902" r:id="rId2687" display="Deed - Attribution-NonCommercial 4.0 International - Creative Commons"/>
    <hyperlink ref="I902" r:id="rId2688" display="https://www.inaturalist.org/observations/273414615"/>
    <hyperlink ref="G903" r:id="rId2689" display="roxylaz"/>
    <hyperlink ref="H903" r:id="rId2690" display="Deed - Attribution-NonCommercial 4.0 International - Creative Commons"/>
    <hyperlink ref="I903" r:id="rId2691" display="https://www.inaturalist.org/observations/264667987"/>
    <hyperlink ref="G904" r:id="rId2692" display="roxylaz"/>
    <hyperlink ref="H904" r:id="rId2693" display="Deed - Attribution-NonCommercial 4.0 International - Creative Commons"/>
    <hyperlink ref="I904" r:id="rId2694" display="https://www.inaturalist.org/observations/264667987"/>
    <hyperlink ref="G905" r:id="rId2695" display="camille10687"/>
    <hyperlink ref="H905" r:id="rId2696" display="Deed - Attribution-NonCommercial 4.0 International - Creative Commons"/>
    <hyperlink ref="I905" r:id="rId2697" display="https://www.inaturalist.org/observations/264467030"/>
    <hyperlink ref="G906" r:id="rId2698" display="camille10687"/>
    <hyperlink ref="H906" r:id="rId2699" display="Deed - Attribution-NonCommercial 4.0 International - Creative Commons"/>
    <hyperlink ref="I906" r:id="rId2700" display="https://www.inaturalist.org/observations/264467030"/>
    <hyperlink ref="G907" r:id="rId2701" display="beaustock350"/>
    <hyperlink ref="H907" r:id="rId2702" display="Deed - Attribution-NonCommercial 4.0 International - Creative Commons"/>
    <hyperlink ref="I907" r:id="rId2703" display="https://www.inaturalist.org/observations/258946011"/>
    <hyperlink ref="G908" r:id="rId2704" display="brucewannan"/>
    <hyperlink ref="H908" r:id="rId2705" display="Deed - Attribution-NonCommercial 4.0 International - Creative Commons"/>
    <hyperlink ref="I908" r:id="rId2706" display="https://www.inaturalist.org/observations/256730297"/>
    <hyperlink ref="G909" r:id="rId2707" display="lucaslego"/>
    <hyperlink ref="H909" r:id="rId2708" display="Deed - Attribution-NonCommercial 4.0 International - Creative Commons"/>
    <hyperlink ref="I909" r:id="rId2709" display="https://www.inaturalist.org/observations/256162286"/>
    <hyperlink ref="G910" r:id="rId2710" display="lucaslego"/>
    <hyperlink ref="H910" r:id="rId2711" display="Deed - Attribution-NonCommercial 4.0 International - Creative Commons"/>
    <hyperlink ref="I910" r:id="rId2712" display="https://www.inaturalist.org/observations/256162286"/>
    <hyperlink ref="G911" r:id="rId2713" display="lucaslego"/>
    <hyperlink ref="H911" r:id="rId2714" display="Deed - Attribution-NonCommercial 4.0 International - Creative Commons"/>
    <hyperlink ref="I911" r:id="rId2715" display="https://www.inaturalist.org/observations/256162286"/>
    <hyperlink ref="G912" r:id="rId2716" display="indrabone"/>
    <hyperlink ref="H912" r:id="rId2717" display="Deed - Attribution-NonCommercial 4.0 International - Creative Commons"/>
    <hyperlink ref="I912" r:id="rId2718" display="https://www.inaturalist.org/observations/248034708"/>
    <hyperlink ref="G913" r:id="rId2719" display="niamhdouglas"/>
    <hyperlink ref="H913" r:id="rId2720" display="Deed - Attribution-NonCommercial 4.0 International - Creative Commons"/>
    <hyperlink ref="I913" r:id="rId2721" display="https://www.inaturalist.org/observations/360536734"/>
    <hyperlink ref="G914" r:id="rId2722" display="zebsphotography"/>
    <hyperlink ref="H914" r:id="rId2723" display="Deed - Attribution-NonCommercial 4.0 International - Creative Commons"/>
    <hyperlink ref="I914" r:id="rId2724" display="https://www.inaturalist.org/observations/348870546"/>
    <hyperlink ref="G915" r:id="rId2725" display="zebsphotography"/>
    <hyperlink ref="H915" r:id="rId2726" display="Deed - Attribution-NonCommercial 4.0 International - Creative Commons"/>
    <hyperlink ref="I915" r:id="rId2727" display="https://www.inaturalist.org/observations/348870546"/>
    <hyperlink ref="G916" r:id="rId2728" display="dusk38"/>
    <hyperlink ref="H916" r:id="rId2729" display="Deed - Attribution-NonCommercial 4.0 International - Creative Commons"/>
    <hyperlink ref="I916" r:id="rId2730" display="https://www.inaturalist.org/observations/343736768"/>
    <hyperlink ref="G917" r:id="rId2731" display="dusk38"/>
    <hyperlink ref="H917" r:id="rId2732" display="Deed - Attribution-NonCommercial 4.0 International - Creative Commons"/>
    <hyperlink ref="I917" r:id="rId2733" display="https://www.inaturalist.org/observations/343736768"/>
    <hyperlink ref="G918" r:id="rId2734" display="dusk38"/>
    <hyperlink ref="H918" r:id="rId2735" display="Deed - Attribution-NonCommercial 4.0 International - Creative Commons"/>
    <hyperlink ref="I918" r:id="rId2736" display="https://www.inaturalist.org/observations/343736768"/>
    <hyperlink ref="G919" r:id="rId2737" display="chuditch"/>
    <hyperlink ref="H919" r:id="rId2738" display="Deed - Attribution-NonCommercial 4.0 International - Creative Commons"/>
    <hyperlink ref="I919" r:id="rId2739" display="https://www.inaturalist.org/observations/338870556"/>
    <hyperlink ref="G920" r:id="rId2740" display="chuditch"/>
    <hyperlink ref="H920" r:id="rId2741" display="Deed - Attribution-NonCommercial 4.0 International - Creative Commons"/>
    <hyperlink ref="I920" r:id="rId2742" display="https://www.inaturalist.org/observations/330566457"/>
    <hyperlink ref="G921" r:id="rId2743" display="stephen_zozaya"/>
    <hyperlink ref="H921" r:id="rId2744" display="Deed - Attribution-NonCommercial 4.0 International - Creative Commons"/>
    <hyperlink ref="I921" r:id="rId2745" display="https://www.inaturalist.org/observations/325462202"/>
    <hyperlink ref="G922" r:id="rId2746" display="adrianuren"/>
    <hyperlink ref="H922" r:id="rId2747" display="Deed - Attribution-NonCommercial 4.0 International - Creative Commons"/>
    <hyperlink ref="I922" r:id="rId2748" display="https://www.inaturalist.org/observations/324321075"/>
    <hyperlink ref="G923" r:id="rId2749" display="adrianuren"/>
    <hyperlink ref="H923" r:id="rId2750" display="Deed - Attribution-NonCommercial 4.0 International - Creative Commons"/>
    <hyperlink ref="I923" r:id="rId2751" display="https://www.inaturalist.org/observations/324321075"/>
    <hyperlink ref="G924" r:id="rId2752" display="adrianuren"/>
    <hyperlink ref="H924" r:id="rId2753" display="Deed - Attribution-NonCommercial 4.0 International - Creative Commons"/>
    <hyperlink ref="I924" r:id="rId2754" display="https://www.inaturalist.org/observations/324321075"/>
    <hyperlink ref="G925" r:id="rId2755" display="mbrobbins"/>
    <hyperlink ref="H925" r:id="rId2756" display="Deed - Attribution-NonCommercial 4.0 International - Creative Commons"/>
    <hyperlink ref="I925" r:id="rId2757" display="https://www.inaturalist.org/observations/321684336"/>
    <hyperlink ref="G926" r:id="rId2758" display="mbrobbins"/>
    <hyperlink ref="H926" r:id="rId2759" display="Deed - Attribution-NonCommercial 4.0 International - Creative Commons"/>
    <hyperlink ref="I926" r:id="rId2760" display="https://www.inaturalist.org/observations/321684336"/>
    <hyperlink ref="G927" r:id="rId2761" display="naturerichmond"/>
    <hyperlink ref="H927" r:id="rId2762" display="Deed - Attribution-NonCommercial 4.0 International - Creative Commons"/>
    <hyperlink ref="I927" r:id="rId2763" display="https://www.inaturalist.org/observations/302055528"/>
    <hyperlink ref="G928" r:id="rId2764" display="naturerichmond"/>
    <hyperlink ref="H928" r:id="rId2765" display="Deed - Attribution-NonCommercial 4.0 International - Creative Commons"/>
    <hyperlink ref="I928" r:id="rId2766" display="https://www.inaturalist.org/observations/302055528"/>
    <hyperlink ref="G929" r:id="rId2767" display="callani"/>
    <hyperlink ref="H929" r:id="rId2768" display="Deed - Attribution-NonCommercial 4.0 International - Creative Commons"/>
    <hyperlink ref="I929" r:id="rId2769" display="https://www.inaturalist.org/observations/277523984"/>
    <hyperlink ref="G930" r:id="rId2770" display="nick_vine"/>
    <hyperlink ref="H930" r:id="rId2771" display="Deed - Attribution-NonCommercial 4.0 International - Creative Commons"/>
    <hyperlink ref="I930" r:id="rId2772" display="https://www.inaturalist.org/observations/265332905"/>
    <hyperlink ref="G931" r:id="rId2773" display="jbilby"/>
    <hyperlink ref="H931" r:id="rId2774" display="Deed - Attribution-NonCommercial 4.0 International - Creative Commons"/>
    <hyperlink ref="I931" r:id="rId2775" display="https://www.inaturalist.org/observations/260597401"/>
    <hyperlink ref="G932" r:id="rId2776" display="emilymendel"/>
    <hyperlink ref="H932" r:id="rId2777" display="Deed - Attribution-NonCommercial 4.0 International - Creative Commons"/>
    <hyperlink ref="I932" r:id="rId2778" display="https://www.inaturalist.org/observations/257440460"/>
    <hyperlink ref="G933" r:id="rId2779" display="jvanweenen"/>
    <hyperlink ref="H933" r:id="rId2780" display="Deed - Attribution-NonCommercial 4.0 International - Creative Commons"/>
    <hyperlink ref="I933" r:id="rId2781" display="https://www.inaturalist.org/observations/257414639"/>
    <hyperlink ref="G934" r:id="rId2782" display="jvanweenen"/>
    <hyperlink ref="H934" r:id="rId2783" display="Deed - Attribution-NonCommercial 4.0 International - Creative Commons"/>
    <hyperlink ref="I934" r:id="rId2784" display="https://www.inaturalist.org/observations/257414639"/>
    <hyperlink ref="G935" r:id="rId2785" display="jvanweenen"/>
    <hyperlink ref="H935" r:id="rId2786" display="Deed - Attribution-NonCommercial 4.0 International - Creative Commons"/>
    <hyperlink ref="I935" r:id="rId2787" display="https://www.inaturalist.org/observations/257414639"/>
    <hyperlink ref="G936" r:id="rId2788" display="isaacclarey"/>
    <hyperlink ref="H936" r:id="rId2789" display="Deed - Attribution-NonCommercial 4.0 International - Creative Commons"/>
    <hyperlink ref="I936" r:id="rId2790" display="https://www.inaturalist.org/observations/257342001"/>
    <hyperlink ref="G937" r:id="rId2791" display="isaacclarey"/>
    <hyperlink ref="H937" r:id="rId2792" display="Deed - Attribution-NonCommercial 4.0 International - Creative Commons"/>
    <hyperlink ref="I937" r:id="rId2793" display="https://www.inaturalist.org/observations/257342001"/>
    <hyperlink ref="G938" r:id="rId2794" display="lilbobaggins19"/>
    <hyperlink ref="H938" r:id="rId2795" display="Deed - Attribution-NonCommercial 4.0 International - Creative Commons"/>
    <hyperlink ref="I938" r:id="rId2796" display="https://www.inaturalist.org/observations/257109044"/>
    <hyperlink ref="G939" r:id="rId2797" display="lilbobaggins19"/>
    <hyperlink ref="H939" r:id="rId2798" display="Deed - Attribution-NonCommercial 4.0 International - Creative Commons"/>
    <hyperlink ref="I939" r:id="rId2799" display="https://www.inaturalist.org/observations/257109044"/>
    <hyperlink ref="G940" r:id="rId2800" display="lilbobaggins19"/>
    <hyperlink ref="H940" r:id="rId2801" display="Deed - Attribution-NonCommercial 4.0 International - Creative Commons"/>
    <hyperlink ref="I940" r:id="rId2802" display="https://www.inaturalist.org/observations/257109044"/>
    <hyperlink ref="G941" r:id="rId2803" display="eliap"/>
    <hyperlink ref="H941" r:id="rId2804" display="Deed - Attribution-NonCommercial 4.0 International - Creative Commons"/>
    <hyperlink ref="I941" r:id="rId2805" display="https://www.inaturalist.org/observations/250556550"/>
    <hyperlink ref="G942" r:id="rId2806" display="eliap"/>
    <hyperlink ref="H942" r:id="rId2807" display="Deed - Attribution-NonCommercial 4.0 International - Creative Commons"/>
    <hyperlink ref="I942" r:id="rId2808" display="https://www.inaturalist.org/observations/250556550"/>
    <hyperlink ref="G943" r:id="rId2809" display="eliap"/>
    <hyperlink ref="H943" r:id="rId2810" display="Deed - Attribution-NonCommercial 4.0 International - Creative Commons"/>
    <hyperlink ref="I943" r:id="rId2811" display="https://www.inaturalist.org/observations/250556515"/>
    <hyperlink ref="G944" r:id="rId2812" display="eliap"/>
    <hyperlink ref="H944" r:id="rId2813" display="Deed - Attribution-NonCommercial 4.0 International - Creative Commons"/>
    <hyperlink ref="I944" r:id="rId2814" display="https://www.inaturalist.org/observations/250556515"/>
    <hyperlink ref="G945" r:id="rId2815" display="chuditch"/>
    <hyperlink ref="H945" r:id="rId2816" display="Deed - Attribution-NonCommercial 4.0 International - Creative Commons"/>
    <hyperlink ref="I945" r:id="rId2817" display="https://www.inaturalist.org/observations/204895490"/>
    <hyperlink ref="G946" r:id="rId2818" display="chuditch"/>
    <hyperlink ref="H946" r:id="rId2819" display="Deed - Attribution-NonCommercial 4.0 International - Creative Commons"/>
    <hyperlink ref="I946" r:id="rId2820" display="https://www.inaturalist.org/observations/204895490"/>
    <hyperlink ref="G947" r:id="rId2821" display="chuditch"/>
    <hyperlink ref="H947" r:id="rId2822" display="Deed - Attribution-NonCommercial 4.0 International - Creative Commons"/>
    <hyperlink ref="I947" r:id="rId2823" display="https://www.inaturalist.org/observations/204895490"/>
    <hyperlink ref="G948" r:id="rId2824" display="hannahdc"/>
    <hyperlink ref="H948" r:id="rId2825" display="Deed - Attribution-NonCommercial 4.0 International - Creative Commons"/>
    <hyperlink ref="I948" r:id="rId2826" display="https://www.inaturalist.org/observations/379574224"/>
    <hyperlink ref="G949" r:id="rId2827" display="hannahdc"/>
    <hyperlink ref="H949" r:id="rId2828" display="Deed - Attribution-NonCommercial 4.0 International - Creative Commons"/>
    <hyperlink ref="I949" r:id="rId2829" display="https://www.inaturalist.org/observations/379574224"/>
    <hyperlink ref="G950" r:id="rId2830" display="marshal451"/>
    <hyperlink ref="H950" r:id="rId2831" display="Deed - Attribution-NonCommercial 4.0 International - Creative Commons"/>
    <hyperlink ref="I950" r:id="rId2832" display="https://www.inaturalist.org/observations/378732559"/>
    <hyperlink ref="G951" r:id="rId2833" display="kalec"/>
    <hyperlink ref="H951" r:id="rId2834" display="Deed - Attribution-NonCommercial 4.0 International - Creative Commons"/>
    <hyperlink ref="I951" r:id="rId2835" display="https://www.inaturalist.org/observations/376769909"/>
    <hyperlink ref="G952" r:id="rId2836" display="sausagemahonie"/>
    <hyperlink ref="H952" r:id="rId2837" display="Deed - Attribution-NonCommercial 4.0 International - Creative Commons"/>
    <hyperlink ref="I952" r:id="rId2838" display="https://www.inaturalist.org/observations/373178100"/>
    <hyperlink ref="G953" r:id="rId2839" display="sausagemahonie"/>
    <hyperlink ref="H953" r:id="rId2840" display="Deed - Attribution-NonCommercial 4.0 International - Creative Commons"/>
    <hyperlink ref="I953" r:id="rId2841" display="https://www.inaturalist.org/observations/373178100"/>
    <hyperlink ref="G954" r:id="rId2842" display="wandering_the_hills"/>
    <hyperlink ref="H954" r:id="rId2843" display="Deed - Attribution-NonCommercial 4.0 International - Creative Commons"/>
    <hyperlink ref="I954" r:id="rId2844" display="https://www.inaturalist.org/observations/372859067"/>
    <hyperlink ref="G955" r:id="rId2845" display="mikrakov"/>
    <hyperlink ref="H955" r:id="rId2846" display="Deed - Attribution-NonCommercial 4.0 International - Creative Commons"/>
    <hyperlink ref="I955" r:id="rId2847" display="https://www.inaturalist.org/observations/372614411"/>
    <hyperlink ref="G956" r:id="rId2848" display="samuel_beerkens"/>
    <hyperlink ref="H956" r:id="rId2849" display="Deed - Attribution-NonCommercial 4.0 International - Creative Commons"/>
    <hyperlink ref="I956" r:id="rId2850" display="https://www.inaturalist.org/observations/371872433"/>
    <hyperlink ref="G957" r:id="rId2851" display="lana92247"/>
    <hyperlink ref="H957" r:id="rId2852" display="Deed - Attribution-NonCommercial 4.0 International - Creative Commons"/>
    <hyperlink ref="I957" r:id="rId2853" display="https://www.inaturalist.org/observations/370917264"/>
    <hyperlink ref="G958" r:id="rId2854" display="lana92247"/>
    <hyperlink ref="H958" r:id="rId2855" display="Deed - Attribution-NonCommercial 4.0 International - Creative Commons"/>
    <hyperlink ref="I958" r:id="rId2856" display="https://www.inaturalist.org/observations/370917264"/>
    <hyperlink ref="G959" r:id="rId2857" display="axeholmes"/>
    <hyperlink ref="H959" r:id="rId2858" display="Deed - Attribution-NonCommercial 4.0 International - Creative Commons"/>
    <hyperlink ref="I959" r:id="rId2859" display="https://www.inaturalist.org/observations/370317441"/>
    <hyperlink ref="G960" r:id="rId2860" display="ba_damson"/>
    <hyperlink ref="H960" r:id="rId2861" display="Deed - Attribution-NonCommercial 4.0 International - Creative Commons"/>
    <hyperlink ref="I960" r:id="rId2862" display="https://www.inaturalist.org/observations/370008342"/>
    <hyperlink ref="G961" r:id="rId2863" display="ba_damson"/>
    <hyperlink ref="H961" r:id="rId2864" display="Deed - Attribution-NonCommercial 4.0 International - Creative Commons"/>
    <hyperlink ref="I961" r:id="rId2865" display="https://www.inaturalist.org/observations/370008342"/>
    <hyperlink ref="G962" r:id="rId2866" display="waynechaffey"/>
    <hyperlink ref="H962" r:id="rId2867" display="Deed - Attribution-NonCommercial 4.0 International - Creative Commons"/>
    <hyperlink ref="I962" r:id="rId2868" display="https://www.inaturalist.org/observations/369634468"/>
    <hyperlink ref="G963" r:id="rId2869" display="waynechaffey"/>
    <hyperlink ref="H963" r:id="rId2870" display="Deed - Attribution-NonCommercial 4.0 International - Creative Commons"/>
    <hyperlink ref="I963" r:id="rId2871" display="https://www.inaturalist.org/observations/369634468"/>
    <hyperlink ref="G964" r:id="rId2872" display="asmolbugobserver"/>
    <hyperlink ref="H964" r:id="rId2873" display="Deed - Attribution-NonCommercial 4.0 International - Creative Commons"/>
    <hyperlink ref="I964" r:id="rId2874" display="https://www.inaturalist.org/observations/369601431"/>
    <hyperlink ref="G965" r:id="rId2875" display="johnsear"/>
    <hyperlink ref="H965" r:id="rId2876" display="Deed - Attribution-NonCommercial 4.0 International - Creative Commons"/>
    <hyperlink ref="I965" r:id="rId2877" display="https://www.inaturalist.org/observations/367976771"/>
    <hyperlink ref="G966" r:id="rId2878" display="helinurse"/>
    <hyperlink ref="H966" r:id="rId2879" display="Deed - Attribution-NonCommercial 4.0 International - Creative Commons"/>
    <hyperlink ref="I966" r:id="rId2880" display="https://www.inaturalist.org/observations/367948387"/>
    <hyperlink ref="G967" r:id="rId2881" display="cladocalyx"/>
    <hyperlink ref="H967" r:id="rId2882" display="Deed - Attribution-NonCommercial 4.0 International - Creative Commons"/>
    <hyperlink ref="I967" r:id="rId2883" display="https://www.inaturalist.org/observations/366304174"/>
    <hyperlink ref="G968" r:id="rId2884" display="snowdennis"/>
    <hyperlink ref="H968" r:id="rId2885" display="Deed - Attribution-NonCommercial 4.0 International - Creative Commons"/>
    <hyperlink ref="I968" r:id="rId2886" display="https://www.inaturalist.org/observations/366256617"/>
    <hyperlink ref="G969" r:id="rId2887" display="amelielague"/>
    <hyperlink ref="H969" r:id="rId2888" display="Deed - Attribution-NonCommercial 4.0 International - Creative Commons"/>
    <hyperlink ref="I969" r:id="rId2889" display="https://www.inaturalist.org/observations/365904043"/>
    <hyperlink ref="G970" r:id="rId2890" display="twohawk"/>
    <hyperlink ref="H970" r:id="rId2891" display="Deed - Attribution-NonCommercial 4.0 International - Creative Commons"/>
    <hyperlink ref="I970" r:id="rId2892" display="https://www.inaturalist.org/observations/365606196"/>
    <hyperlink ref="G971" r:id="rId2893" display="mad_exotics_and_reptile_care"/>
    <hyperlink ref="H971" r:id="rId2894" display="Deed - Attribution-NonCommercial 4.0 International - Creative Commons"/>
    <hyperlink ref="I971" r:id="rId2895" display="https://www.inaturalist.org/observations/364479411"/>
    <hyperlink ref="G972" r:id="rId2896" display="axeholmes"/>
    <hyperlink ref="H972" r:id="rId2897" display="Deed - Attribution-NonCommercial 4.0 International - Creative Commons"/>
    <hyperlink ref="I972" r:id="rId2898" display="https://www.inaturalist.org/observations/364172304"/>
    <hyperlink ref="G973" r:id="rId2899" display="johnlread"/>
    <hyperlink ref="H973" r:id="rId2900" display="Deed - Attribution-NonCommercial 4.0 International - Creative Commons"/>
    <hyperlink ref="I973" r:id="rId2901" display="https://www.inaturalist.org/observations/363931896"/>
    <hyperlink ref="G974" r:id="rId2902" display="llllllllll"/>
    <hyperlink ref="H974" r:id="rId2903" display="Deed - Attribution-NonCommercial 4.0 International - Creative Commons"/>
    <hyperlink ref="I974" r:id="rId2904" display="https://www.inaturalist.org/observations/363800813"/>
    <hyperlink ref="G975" r:id="rId2905" display="wa_island_havens"/>
    <hyperlink ref="H975" r:id="rId2906" display="Deed - Attribution-NonCommercial 4.0 International - Creative Commons"/>
    <hyperlink ref="I975" r:id="rId2907" display="https://www.inaturalist.org/observations/363293625"/>
    <hyperlink ref="G976" r:id="rId2908" display="snowdennis"/>
    <hyperlink ref="H976" r:id="rId2909" display="Deed - Attribution-NonCommercial 4.0 International - Creative Commons"/>
    <hyperlink ref="I976" r:id="rId2910" display="https://www.inaturalist.org/observations/362654963"/>
    <hyperlink ref="G977" r:id="rId2911" display="igviljoen"/>
    <hyperlink ref="H977" r:id="rId2912" display="Deed - Attribution-NonCommercial 4.0 International - Creative Commons"/>
    <hyperlink ref="I977" r:id="rId2913" display="https://www.inaturalist.org/observations/361670731"/>
    <hyperlink ref="G978" r:id="rId2914" display="igviljoen"/>
    <hyperlink ref="H978" r:id="rId2915" display="Deed - Attribution-NonCommercial 4.0 International - Creative Commons"/>
    <hyperlink ref="I978" r:id="rId2916" display="https://www.inaturalist.org/observations/361670731"/>
    <hyperlink ref="G979" r:id="rId2917" display="moose0505"/>
    <hyperlink ref="H979" r:id="rId2918" display="Deed - Attribution-NonCommercial 4.0 International - Creative Commons"/>
    <hyperlink ref="I979" r:id="rId2919" display="https://www.inaturalist.org/observations/361417198"/>
    <hyperlink ref="G980" r:id="rId2920" display="j_beatts"/>
    <hyperlink ref="H980" r:id="rId2921" display="Deed - Attribution-NonCommercial 4.0 International - Creative Commons"/>
    <hyperlink ref="I980" r:id="rId2922" display="https://www.inaturalist.org/observations/361153219"/>
    <hyperlink ref="G981" r:id="rId2923" display="adrianuren"/>
    <hyperlink ref="H981" r:id="rId2924" display="Deed - Attribution-NonCommercial 4.0 International - Creative Commons"/>
    <hyperlink ref="I981" r:id="rId2925" display="https://www.inaturalist.org/observations/361085986"/>
    <hyperlink ref="G982" r:id="rId2926" display="niamhdouglas"/>
    <hyperlink ref="H982" r:id="rId2927" display="Deed - Attribution-NonCommercial 4.0 International - Creative Commons"/>
    <hyperlink ref="I982" r:id="rId2928" display="https://www.inaturalist.org/observations/360537324"/>
    <hyperlink ref="G983" r:id="rId2929" display="mashalevene"/>
    <hyperlink ref="H983" r:id="rId2930" display="Deed - Attribution-NonCommercial 4.0 International - Creative Commons"/>
    <hyperlink ref="I983" r:id="rId2931" display="https://www.inaturalist.org/observations/378727309"/>
    <hyperlink ref="G984" r:id="rId2932" display="adahlby"/>
    <hyperlink ref="H984" r:id="rId2933" display="Deed - Attribution-NonCommercial 4.0 International - Creative Commons"/>
    <hyperlink ref="I984" r:id="rId2934" display="https://www.inaturalist.org/observations/368210274"/>
    <hyperlink ref="G985" r:id="rId2935" display="kym1959"/>
    <hyperlink ref="H985" r:id="rId2936" display="Deed - Attribution-NonCommercial 4.0 International - Creative Commons"/>
    <hyperlink ref="I985" r:id="rId2937" display="https://www.inaturalist.org/observations/363495093"/>
    <hyperlink ref="G986" r:id="rId2938" display="lread"/>
    <hyperlink ref="H986" r:id="rId2939" display="Deed - Attribution-NonCommercial 4.0 International - Creative Commons"/>
    <hyperlink ref="I986" r:id="rId2940" display="https://www.inaturalist.org/observations/362385283"/>
    <hyperlink ref="G987" r:id="rId2941" display="rowt"/>
    <hyperlink ref="H987" r:id="rId2942" display="Deed - Attribution-NonCommercial 4.0 International - Creative Commons"/>
    <hyperlink ref="I987" r:id="rId2943" display="https://www.inaturalist.org/observations/360765054"/>
    <hyperlink ref="G988" r:id="rId2944" display="rowt"/>
    <hyperlink ref="H988" r:id="rId2945" display="Deed - Attribution-NonCommercial 4.0 International - Creative Commons"/>
    <hyperlink ref="I988" r:id="rId2946" display="https://www.inaturalist.org/observations/360712715"/>
    <hyperlink ref="G989" r:id="rId2947" display="rowt"/>
    <hyperlink ref="H989" r:id="rId2948" display="Deed - Attribution-NonCommercial 4.0 International - Creative Commons"/>
    <hyperlink ref="I989" r:id="rId2949" display="https://www.inaturalist.org/observations/360703494"/>
    <hyperlink ref="G990" r:id="rId2950" display="meganslade96"/>
    <hyperlink ref="H990" r:id="rId2951" display="Deed - Attribution-NonCommercial 4.0 International - Creative Commons"/>
    <hyperlink ref="I990" r:id="rId2952" display="https://www.inaturalist.org/observations/346346126"/>
    <hyperlink ref="G991" r:id="rId2953" display="peterwest"/>
    <hyperlink ref="H991" r:id="rId2954" display="Deed - Attribution-NonCommercial 4.0 International - Creative Commons"/>
    <hyperlink ref="I991" r:id="rId2955" display="https://www.inaturalist.org/observations/343967623"/>
    <hyperlink ref="G992" r:id="rId2956" display="peterwest"/>
    <hyperlink ref="H992" r:id="rId2957" display="Deed - Attribution-NonCommercial 4.0 International - Creative Commons"/>
    <hyperlink ref="I992" r:id="rId2958" display="https://www.inaturalist.org/observations/343967623"/>
    <hyperlink ref="G993" r:id="rId2959" display="chienyu1"/>
    <hyperlink ref="H993" r:id="rId2960" display="Deed - Attribution-NonCommercial 4.0 International - Creative Commons"/>
    <hyperlink ref="I993" r:id="rId2961" display="https://www.inaturalist.org/observations/342744757"/>
    <hyperlink ref="G994" r:id="rId2962" display="samantha85628"/>
    <hyperlink ref="H994" r:id="rId2963" display="Deed - Attribution-NonCommercial 4.0 International - Creative Commons"/>
    <hyperlink ref="I994" r:id="rId2964" display="https://www.inaturalist.org/observations/341597581"/>
    <hyperlink ref="G995" r:id="rId2965" display="mwhoran"/>
    <hyperlink ref="H995" r:id="rId2966" display="Deed - Attribution-NonCommercial 4.0 International - Creative Commons"/>
    <hyperlink ref="I995" r:id="rId2967" display="https://www.inaturalist.org/observations/339152837"/>
    <hyperlink ref="G996" r:id="rId2968" display="rob12410"/>
    <hyperlink ref="H996" r:id="rId2969" display="Deed - Attribution-NonCommercial 4.0 International - Creative Commons"/>
    <hyperlink ref="I996" r:id="rId2970" display="https://www.inaturalist.org/observations/336730361"/>
    <hyperlink ref="G997" r:id="rId2971" display="beccbbbec"/>
    <hyperlink ref="H997" r:id="rId2972" display="Deed - Attribution-NonCommercial 4.0 International - Creative Commons"/>
    <hyperlink ref="I997" r:id="rId2973" display="https://www.inaturalist.org/observations/336051427"/>
    <hyperlink ref="G998" r:id="rId2974" display="lethalspread"/>
    <hyperlink ref="H998" r:id="rId2975" display="Deed - Attribution-NonCommercial 4.0 International - Creative Commons"/>
    <hyperlink ref="I998" r:id="rId2976" display="https://www.inaturalist.org/observations/335428205"/>
    <hyperlink ref="G999" r:id="rId2977" display="lethalspread"/>
    <hyperlink ref="H999" r:id="rId2978" display="Deed - Attribution-NonCommercial 4.0 International - Creative Commons"/>
    <hyperlink ref="I999" r:id="rId2979" display="https://www.inaturalist.org/observations/335427633"/>
    <hyperlink ref="G1000" r:id="rId2980" display="owenlishmund"/>
    <hyperlink ref="H1000" r:id="rId2981" display="Deed - Attribution-NonCommercial 4.0 International - Creative Commons"/>
    <hyperlink ref="I1000" r:id="rId2982" display="https://www.inaturalist.org/observations/330793944"/>
    <hyperlink ref="G1001" r:id="rId2983" display="owenlishmund"/>
    <hyperlink ref="H1001" r:id="rId2984" display="Deed - Attribution-NonCommercial 4.0 International - Creative Commons"/>
    <hyperlink ref="I1001" r:id="rId2985" display="https://www.inaturalist.org/observations/330793940"/>
    <hyperlink ref="G1002" r:id="rId2986" display="owenlishmund"/>
    <hyperlink ref="H1002" r:id="rId2987" display="Deed - Attribution-NonCommercial 4.0 International - Creative Commons"/>
    <hyperlink ref="I1002" r:id="rId2988" display="https://www.inaturalist.org/observations/330793933"/>
    <hyperlink ref="G1003" r:id="rId2989" display="owenlishmund"/>
    <hyperlink ref="H1003" r:id="rId2990" display="Deed - Attribution-NonCommercial 4.0 International - Creative Commons"/>
    <hyperlink ref="I1003" r:id="rId2991" display="https://www.inaturalist.org/observations/330793931"/>
    <hyperlink ref="G1004" r:id="rId2992" display="p35530"/>
    <hyperlink ref="H1004" r:id="rId2993" display="Deed - Attribution-NonCommercial 4.0 International - Creative Commons"/>
    <hyperlink ref="I1004" r:id="rId2994" display="https://www.inaturalist.org/observations/330694671"/>
    <hyperlink ref="G1005" r:id="rId2995" display="p35530"/>
    <hyperlink ref="H1005" r:id="rId2996" display="Deed - Attribution-NonCommercial 4.0 International - Creative Commons"/>
    <hyperlink ref="I1005" r:id="rId2997" display="https://www.inaturalist.org/observations/330694671"/>
    <hyperlink ref="G1006" r:id="rId2998" display="rattus_magneticus"/>
    <hyperlink ref="H1006" r:id="rId2999" display="Deed - Attribution-NonCommercial 4.0 International - Creative Commons"/>
    <hyperlink ref="I1006" r:id="rId3000" display="https://www.inaturalist.org/observations/327984201"/>
    <hyperlink ref="G1007" r:id="rId3001" display="rattus_magneticus"/>
    <hyperlink ref="H1007" r:id="rId3002" display="Deed - Attribution-NonCommercial 4.0 International - Creative Commons"/>
    <hyperlink ref="I1007" r:id="rId3003" display="https://www.inaturalist.org/observations/327984201"/>
    <hyperlink ref="G1008" r:id="rId3004" display="rattus_magneticus"/>
    <hyperlink ref="H1008" r:id="rId3005" display="Deed - Attribution-NonCommercial 4.0 International - Creative Commons"/>
    <hyperlink ref="I1008" r:id="rId3006" display="https://www.inaturalist.org/observations/327984201"/>
    <hyperlink ref="G1009" r:id="rId3007" display="rattus_magneticus"/>
    <hyperlink ref="H1009" r:id="rId3008" display="Deed - Attribution-NonCommercial 4.0 International - Creative Commons"/>
    <hyperlink ref="I1009" r:id="rId3009" display="https://www.inaturalist.org/observations/327984201"/>
    <hyperlink ref="G1010" r:id="rId3010" display="nat_is_a_lost"/>
    <hyperlink ref="H1010" r:id="rId3011" display="Deed - Attribution-NonCommercial 4.0 International - Creative Commons"/>
    <hyperlink ref="I1010" r:id="rId3012" display="https://www.inaturalist.org/observations/327443298"/>
    <hyperlink ref="G1011" r:id="rId3013" display="rreams"/>
    <hyperlink ref="H1011" r:id="rId3014" display="Deed - Attribution-NonCommercial 4.0 International - Creative Commons"/>
    <hyperlink ref="I1011" r:id="rId3015" display="https://www.inaturalist.org/observations/327033749"/>
    <hyperlink ref="G1012" r:id="rId3016" display="lucaslego"/>
    <hyperlink ref="H1012" r:id="rId3017" display="Deed - Attribution-NonCommercial 4.0 International - Creative Commons"/>
    <hyperlink ref="I1012" r:id="rId3018" display="https://www.inaturalist.org/observations/326391831"/>
    <hyperlink ref="G1013" r:id="rId3019" display="lucaslego"/>
    <hyperlink ref="H1013" r:id="rId3020" display="Deed - Attribution-NonCommercial 4.0 International - Creative Commons"/>
    <hyperlink ref="I1013" r:id="rId3021" display="https://www.inaturalist.org/observations/326391831"/>
    <hyperlink ref="G1014" r:id="rId3022" display="econeighbour_"/>
    <hyperlink ref="H1014" r:id="rId3023" display="Deed - Attribution-NonCommercial 4.0 International - Creative Commons"/>
    <hyperlink ref="I1014" r:id="rId3024" display="https://www.inaturalist.org/observations/326325537"/>
    <hyperlink ref="G1015" r:id="rId3025" display="econeighbour_"/>
    <hyperlink ref="H1015" r:id="rId3026" display="Deed - Attribution-NonCommercial 4.0 International - Creative Commons"/>
    <hyperlink ref="I1015" r:id="rId3027" display="https://www.inaturalist.org/observations/326325535"/>
    <hyperlink ref="G1016" r:id="rId3028" display="econeighbour_"/>
    <hyperlink ref="H1016" r:id="rId3029" display="Deed - Attribution-NonCommercial 4.0 International - Creative Commons"/>
    <hyperlink ref="I1016" r:id="rId3030" display="https://www.inaturalist.org/observations/326325529"/>
    <hyperlink ref="G1017" r:id="rId3031" display="econeighbour_"/>
    <hyperlink ref="H1017" r:id="rId3032" display="Deed - Attribution-NonCommercial 4.0 International - Creative Commons"/>
    <hyperlink ref="I1017" r:id="rId3033" display="https://www.inaturalist.org/observations/326325521"/>
    <hyperlink ref="G1018" r:id="rId3034" display="richardllewellyn"/>
    <hyperlink ref="H1018" r:id="rId3035" display="Deed - Attribution-NonCommercial 4.0 International - Creative Commons"/>
    <hyperlink ref="I1018" r:id="rId3036" display="https://www.inaturalist.org/observations/366555987"/>
    <hyperlink ref="G1019" r:id="rId3037" display="jackcaleo09"/>
    <hyperlink ref="H1019" r:id="rId3038" display="Deed - Attribution-NonCommercial 4.0 International - Creative Commons"/>
    <hyperlink ref="I1019" r:id="rId3039" display="https://www.inaturalist.org/observations/348565322"/>
    <hyperlink ref="G1020" r:id="rId3040" display="jackcaleo09"/>
    <hyperlink ref="H1020" r:id="rId3041" display="Deed - Attribution-NonCommercial 4.0 International - Creative Commons"/>
    <hyperlink ref="I1020" r:id="rId3042" display="https://www.inaturalist.org/observations/348565322"/>
    <hyperlink ref="G1021" r:id="rId3043" display="jackcaleo09"/>
    <hyperlink ref="H1021" r:id="rId3044" display="Deed - Attribution-NonCommercial 4.0 International - Creative Commons"/>
    <hyperlink ref="I1021" r:id="rId3045" display="https://www.inaturalist.org/observations/348565322"/>
    <hyperlink ref="G1022" r:id="rId3046" display="jackcaleo09"/>
    <hyperlink ref="H1022" r:id="rId3047" display="Deed - Attribution-NonCommercial 4.0 International - Creative Commons"/>
    <hyperlink ref="I1022" r:id="rId3048" display="https://www.inaturalist.org/observations/348565322"/>
    <hyperlink ref="G1023" r:id="rId3049" display="jackcaleo09"/>
    <hyperlink ref="H1023" r:id="rId3050" display="Deed - Attribution-NonCommercial 4.0 International - Creative Commons"/>
    <hyperlink ref="I1023" r:id="rId3051" display="https://www.inaturalist.org/observations/348565322"/>
    <hyperlink ref="G1024" r:id="rId3052" display="sally364"/>
    <hyperlink ref="H1024" r:id="rId3053" display="Deed - Attribution-NonCommercial 4.0 International - Creative Commons"/>
    <hyperlink ref="I1024" r:id="rId3054" display="https://www.inaturalist.org/observations/347744842"/>
    <hyperlink ref="G1025" r:id="rId3055" display="sally364"/>
    <hyperlink ref="H1025" r:id="rId3056" display="Deed - Attribution-NonCommercial 4.0 International - Creative Commons"/>
    <hyperlink ref="I1025" r:id="rId3057" display="https://www.inaturalist.org/observations/347744842"/>
    <hyperlink ref="G1026" r:id="rId3058" display="sally364"/>
    <hyperlink ref="H1026" r:id="rId3059" display="Deed - Attribution-NonCommercial 4.0 International - Creative Commons"/>
    <hyperlink ref="I1026" r:id="rId3060" display="https://www.inaturalist.org/observations/347744842"/>
    <hyperlink ref="G1027" r:id="rId3061" display="sally364"/>
    <hyperlink ref="H1027" r:id="rId3062" display="Deed - Attribution-NonCommercial 4.0 International - Creative Commons"/>
    <hyperlink ref="I1027" r:id="rId3063" display="https://www.inaturalist.org/observations/347744842"/>
    <hyperlink ref="G1028" r:id="rId3064" display="ross_coupland"/>
    <hyperlink ref="H1028" r:id="rId3065" display="Deed - Attribution-NonCommercial 4.0 International - Creative Commons"/>
    <hyperlink ref="I1028" r:id="rId3066" display="https://www.inaturalist.org/observations/340015516"/>
    <hyperlink ref="G1029" r:id="rId3067" display="gordon-loomberah"/>
    <hyperlink ref="H1029" r:id="rId3068" display="Deed - Attribution-NonCommercial 4.0 International - Creative Commons"/>
    <hyperlink ref="I1029" r:id="rId3069" display="https://www.inaturalist.org/observations/332560566"/>
    <hyperlink ref="G1030" r:id="rId3070" display="lisekool"/>
    <hyperlink ref="H1030" r:id="rId3071" display="Deed - Attribution-NonCommercial 4.0 International - Creative Commons"/>
    <hyperlink ref="I1030" r:id="rId3072" display="https://www.inaturalist.org/observations/321989121"/>
    <hyperlink ref="G1031" r:id="rId3073" display="springdalerd"/>
    <hyperlink ref="H1031" r:id="rId3074" display="Deed - Attribution-NonCommercial 4.0 International - Creative Commons"/>
    <hyperlink ref="I1031" r:id="rId3075" display="https://www.inaturalist.org/observations/264902592"/>
    <hyperlink ref="G1032" r:id="rId3076" display="petegrono"/>
    <hyperlink ref="H1032" r:id="rId3077" display="Deed - Attribution-NonCommercial 4.0 International - Creative Commons"/>
    <hyperlink ref="I1032" r:id="rId3078" display="https://www.inaturalist.org/observations/264641994"/>
    <hyperlink ref="G1033" r:id="rId3079" display="millyinthebush"/>
    <hyperlink ref="H1033" r:id="rId3080" display="Deed - Attribution-NonCommercial 4.0 International - Creative Commons"/>
    <hyperlink ref="I1033" r:id="rId3081" display="https://www.inaturalist.org/observations/257746991"/>
    <hyperlink ref="G1034" r:id="rId3082" display="millyinthebush"/>
    <hyperlink ref="H1034" r:id="rId3083" display="Deed - Attribution-NonCommercial 4.0 International - Creative Commons"/>
    <hyperlink ref="I1034" r:id="rId3084" display="https://www.inaturalist.org/observations/257746991"/>
    <hyperlink ref="G1035" r:id="rId3085" display="millyinthebush"/>
    <hyperlink ref="H1035" r:id="rId3086" display="Deed - Attribution-NonCommercial 4.0 International - Creative Commons"/>
    <hyperlink ref="I1035" r:id="rId3087" display="https://www.inaturalist.org/observations/257746991"/>
    <hyperlink ref="G1036" r:id="rId3088" display="oktaylor"/>
    <hyperlink ref="H1036" r:id="rId3089" display="Deed - Attribution-NonCommercial 4.0 International - Creative Commons"/>
    <hyperlink ref="I1036" r:id="rId3090" display="https://www.inaturalist.org/observations/254949059"/>
    <hyperlink ref="G1037" r:id="rId3091" display="oktaylor"/>
    <hyperlink ref="H1037" r:id="rId3092" display="Deed - Attribution-NonCommercial 4.0 International - Creative Commons"/>
    <hyperlink ref="I1037" r:id="rId3093" display="https://www.inaturalist.org/observations/254949059"/>
    <hyperlink ref="G1038" r:id="rId3094" display="oktaylor"/>
    <hyperlink ref="H1038" r:id="rId3095" display="Deed - Attribution-NonCommercial 4.0 International - Creative Commons"/>
    <hyperlink ref="I1038" r:id="rId3096" display="https://www.inaturalist.org/observations/254949059"/>
    <hyperlink ref="G1039" r:id="rId3097" display="oktaylor"/>
    <hyperlink ref="H1039" r:id="rId3098" display="Deed - Attribution-NonCommercial 4.0 International - Creative Commons"/>
    <hyperlink ref="I1039" r:id="rId3099" display="https://www.inaturalist.org/observations/254949059"/>
    <hyperlink ref="G1040" r:id="rId3100" display="darren_fielder"/>
    <hyperlink ref="H1040" r:id="rId3101" display="Deed - Attribution-NonCommercial 4.0 International - Creative Commons"/>
    <hyperlink ref="I1040" r:id="rId3102" display="https://www.inaturalist.org/observations/248218135"/>
    <hyperlink ref="G1041" r:id="rId3103" display="darren_fielder"/>
    <hyperlink ref="H1041" r:id="rId3104" display="Deed - Attribution-NonCommercial 4.0 International - Creative Commons"/>
    <hyperlink ref="I1041" r:id="rId3105" display="https://www.inaturalist.org/observations/248218135"/>
    <hyperlink ref="G1042" r:id="rId3106" display="darren_fielder"/>
    <hyperlink ref="H1042" r:id="rId3107" display="Deed - Attribution-NonCommercial 4.0 International - Creative Commons"/>
    <hyperlink ref="I1042" r:id="rId3108" display="https://www.inaturalist.org/observations/248209312"/>
    <hyperlink ref="G1043" r:id="rId3109" display="darren_fielder"/>
    <hyperlink ref="H1043" r:id="rId3110" display="Deed - Attribution-NonCommercial 4.0 International - Creative Commons"/>
    <hyperlink ref="I1043" r:id="rId3111" display="https://www.inaturalist.org/observations/248209312"/>
    <hyperlink ref="G1044" r:id="rId3112" display="darren_fielder"/>
    <hyperlink ref="H1044" r:id="rId3113" display="Deed - Attribution-NonCommercial 4.0 International - Creative Commons"/>
    <hyperlink ref="I1044" r:id="rId3114" display="https://www.inaturalist.org/observations/247734148"/>
    <hyperlink ref="G1045" r:id="rId3115" display="darren_fielder"/>
    <hyperlink ref="H1045" r:id="rId3116" display="Deed - Attribution-NonCommercial 4.0 International - Creative Commons"/>
    <hyperlink ref="I1045" r:id="rId3117" display="https://www.inaturalist.org/observations/247291762"/>
    <hyperlink ref="G1046" r:id="rId3118" display="darren_fielder"/>
    <hyperlink ref="H1046" r:id="rId3119" display="Deed - Attribution-NonCommercial 4.0 International - Creative Commons"/>
    <hyperlink ref="I1046" r:id="rId3120" display="https://www.inaturalist.org/observations/247291762"/>
    <hyperlink ref="G1047" r:id="rId3121" display="oktaylor"/>
    <hyperlink ref="H1047" r:id="rId3122" display="Deed - Attribution-NonCommercial 4.0 International - Creative Commons"/>
    <hyperlink ref="I1047" r:id="rId3123" display="https://www.inaturalist.org/observations/202895610"/>
    <hyperlink ref="G1048" r:id="rId3124" display="oktaylor"/>
    <hyperlink ref="H1048" r:id="rId3125" display="Deed - Attribution-NonCommercial 4.0 International - Creative Commons"/>
    <hyperlink ref="I1048" r:id="rId3126" display="https://www.inaturalist.org/observations/202895610"/>
    <hyperlink ref="G1049" r:id="rId3127" display="lintukoto"/>
    <hyperlink ref="H1049" r:id="rId3128" display="Deed - Attribution-NonCommercial 4.0 International - Creative Commons"/>
    <hyperlink ref="I1049" r:id="rId3129" display="https://www.inaturalist.org/observations/385009141"/>
    <hyperlink ref="G1050" r:id="rId3130" display="owenlishmund"/>
    <hyperlink ref="H1050" r:id="rId3131" display="Deed - Attribution-NonCommercial 4.0 International - Creative Commons"/>
    <hyperlink ref="I1050" r:id="rId3132" display="https://www.inaturalist.org/observations/187741008"/>
    <hyperlink ref="G1051" r:id="rId3133" display="spookpadda"/>
    <hyperlink ref="H1051" r:id="rId3134" display="Deed - Attribution-NonCommercial 4.0 International - Creative Commons"/>
    <hyperlink ref="I1051" r:id="rId3135" display="https://www.inaturalist.org/observations/147857440"/>
    <hyperlink ref="G1052" r:id="rId3136" display="spookpadda"/>
    <hyperlink ref="H1052" r:id="rId3137" display="Deed - Attribution-NonCommercial 4.0 International - Creative Commons"/>
    <hyperlink ref="I1052" r:id="rId3138" display="https://www.inaturalist.org/observations/147857440"/>
    <hyperlink ref="G1053" r:id="rId3139" display="superbum2"/>
    <hyperlink ref="H1053" r:id="rId3140" display="Deed - Attribution-NonCommercial 4.0 International - Creative Commons"/>
    <hyperlink ref="I1053" r:id="rId3141" display="https://www.inaturalist.org/observations/379055040"/>
    <hyperlink ref="G1054" r:id="rId3142" display="angusf"/>
    <hyperlink ref="H1054" r:id="rId3143" display="Deed - Attribution-NonCommercial 4.0 International - Creative Commons"/>
    <hyperlink ref="I1054" r:id="rId3144" display="https://www.inaturalist.org/observations/378992418"/>
    <hyperlink ref="G1055" r:id="rId3145" display="pin_"/>
    <hyperlink ref="H1055" r:id="rId3146" display="Deed - Attribution-NonCommercial 4.0 International - Creative Commons"/>
    <hyperlink ref="I1055" r:id="rId3147" display="https://www.inaturalist.org/observations/377418539"/>
    <hyperlink ref="G1056" r:id="rId3148" display="elysia_desille"/>
    <hyperlink ref="H1056" r:id="rId3149" display="Deed - Attribution-NonCommercial 4.0 International - Creative Commons"/>
    <hyperlink ref="I1056" r:id="rId3150" display="https://www.inaturalist.org/observations/375726835"/>
    <hyperlink ref="G1057" r:id="rId3151" display="jennytathome"/>
    <hyperlink ref="H1057" r:id="rId3152" display="Deed - Attribution-NonCommercial 4.0 International - Creative Commons"/>
    <hyperlink ref="I1057" r:id="rId3153" display="https://www.inaturalist.org/observations/375437013"/>
    <hyperlink ref="G1058" r:id="rId3154" display="bellack"/>
    <hyperlink ref="H1058" r:id="rId3155" display="Deed - Attribution-NonCommercial 4.0 International - Creative Commons"/>
    <hyperlink ref="I1058" r:id="rId3156" display="https://www.inaturalist.org/observations/374514673"/>
    <hyperlink ref="G1059" r:id="rId3157" display="jesbarbz"/>
    <hyperlink ref="H1059" r:id="rId3158" display="Deed - Attribution-NonCommercial 4.0 International - Creative Commons"/>
    <hyperlink ref="I1059" r:id="rId3159" display="https://www.inaturalist.org/observations/373509166"/>
    <hyperlink ref="G1060" r:id="rId3160" display="bargosnows"/>
    <hyperlink ref="H1060" r:id="rId3161" display="Deed - Attribution-NonCommercial 4.0 International - Creative Commons"/>
    <hyperlink ref="I1060" r:id="rId3162" display="https://www.inaturalist.org/observations/373124095"/>
    <hyperlink ref="G1061" r:id="rId3163" display="jackwoodswildlife"/>
    <hyperlink ref="H1061" r:id="rId3164" display="Deed - Attribution-NonCommercial 4.0 International - Creative Commons"/>
    <hyperlink ref="I1061" r:id="rId3165" display="https://www.inaturalist.org/observations/369570748"/>
    <hyperlink ref="G1062" r:id="rId3166" display="pkelgren"/>
    <hyperlink ref="H1062" r:id="rId3167" display="Deed - Attribution-NonCommercial 4.0 International - Creative Commons"/>
    <hyperlink ref="I1062" r:id="rId3168" display="https://www.inaturalist.org/observations/369557632"/>
    <hyperlink ref="G1063" r:id="rId3169" display="donglerthrongler"/>
    <hyperlink ref="H1063" r:id="rId3170" display="Deed - Attribution-NonCommercial 4.0 International - Creative Commons"/>
    <hyperlink ref="I1063" r:id="rId3171" display="https://www.inaturalist.org/observations/366511137"/>
    <hyperlink ref="G1064" r:id="rId3172" display="bpscicada"/>
    <hyperlink ref="H1064" r:id="rId3173" display="Deed - Attribution-NonCommercial 4.0 International - Creative Commons"/>
    <hyperlink ref="I1064" r:id="rId3174" display="https://www.inaturalist.org/observations/366317439"/>
    <hyperlink ref="G1065" r:id="rId3175" display="jhd_australia"/>
    <hyperlink ref="H1065" r:id="rId3176" display="Deed - Attribution-NonCommercial 4.0 International - Creative Commons"/>
    <hyperlink ref="I1065" r:id="rId3177" display="https://www.inaturalist.org/observations/365961598"/>
    <hyperlink ref="G1066" r:id="rId3178" display="jhd_australia"/>
    <hyperlink ref="H1066" r:id="rId3179" display="Deed - Attribution-NonCommercial 4.0 International - Creative Commons"/>
    <hyperlink ref="I1066" r:id="rId3180" display="https://www.inaturalist.org/observations/365961598"/>
    <hyperlink ref="G1067" r:id="rId3181" display="jhd_australia"/>
    <hyperlink ref="H1067" r:id="rId3182" display="Deed - Attribution-NonCommercial 4.0 International - Creative Commons"/>
    <hyperlink ref="I1067" r:id="rId3183" display="https://www.inaturalist.org/observations/365961598"/>
    <hyperlink ref="G1068" r:id="rId3184" display="purplesneakers"/>
    <hyperlink ref="H1068" r:id="rId3185" display="Deed - Attribution-NonCommercial 4.0 International - Creative Commons"/>
    <hyperlink ref="I1068" r:id="rId3186" display="https://www.inaturalist.org/observations/365960182"/>
    <hyperlink ref="G1069" r:id="rId3187" display="alexmsc"/>
    <hyperlink ref="H1069" r:id="rId3188" display="Deed - Attribution-NonCommercial 4.0 International - Creative Commons"/>
    <hyperlink ref="I1069" r:id="rId3189" display="https://www.inaturalist.org/observations/365899350"/>
    <hyperlink ref="G1070" r:id="rId3190" display="jess11107"/>
    <hyperlink ref="H1070" r:id="rId3191" display="Deed - Attribution-NonCommercial 4.0 International - Creative Commons"/>
    <hyperlink ref="I1070" r:id="rId3192" display="https://www.inaturalist.org/observations/365510710"/>
    <hyperlink ref="G1071" r:id="rId3193" display="sije"/>
    <hyperlink ref="H1071" r:id="rId3194" display="Deed - Attribution-NonCommercial 4.0 International - Creative Commons"/>
    <hyperlink ref="I1071" r:id="rId3195" display="https://www.inaturalist.org/observations/365367395"/>
    <hyperlink ref="G1072" r:id="rId3196" display="sije"/>
    <hyperlink ref="H1072" r:id="rId3197" display="Deed - Attribution-NonCommercial 4.0 International - Creative Commons"/>
    <hyperlink ref="I1072" r:id="rId3198" display="https://www.inaturalist.org/observations/365367370"/>
    <hyperlink ref="G1073" r:id="rId3199" display="chris16887"/>
    <hyperlink ref="H1073" r:id="rId3200" display="Deed - Attribution-NonCommercial 4.0 International - Creative Commons"/>
    <hyperlink ref="I1073" r:id="rId3201" display="https://www.inaturalist.org/observations/365016910"/>
    <hyperlink ref="G1074" r:id="rId3202" display="jilllist"/>
    <hyperlink ref="H1074" r:id="rId3203" display="Deed - Attribution-NonCommercial 4.0 International - Creative Commons"/>
    <hyperlink ref="I1074" r:id="rId3204" display="https://www.inaturalist.org/observations/364594183"/>
    <hyperlink ref="G1075" r:id="rId3205" display="beckie_gee"/>
    <hyperlink ref="H1075" r:id="rId3206" display="Deed - Attribution-NonCommercial 4.0 International - Creative Commons"/>
    <hyperlink ref="I1075" r:id="rId3207" display="https://www.inaturalist.org/observations/364242410"/>
    <hyperlink ref="G1076" r:id="rId3208" display="meygels"/>
    <hyperlink ref="H1076" r:id="rId3209" display="Deed - Attribution-NonCommercial 4.0 International - Creative Commons"/>
    <hyperlink ref="I1076" r:id="rId3210" display="https://www.inaturalist.org/observations/363302317"/>
    <hyperlink ref="G1077" r:id="rId3211" display="aussiemarg"/>
    <hyperlink ref="H1077" r:id="rId3212" display="Deed - Attribution-NonCommercial 4.0 International - Creative Commons"/>
    <hyperlink ref="I1077" r:id="rId3213" display="https://www.inaturalist.org/observations/362717668"/>
    <hyperlink ref="G1078" r:id="rId3214" display="jamesjosephroberts"/>
    <hyperlink ref="H1078" r:id="rId3215" display="Deed - Attribution-NonCommercial 4.0 International - Creative Commons"/>
    <hyperlink ref="I1078" r:id="rId3216" display="https://www.inaturalist.org/observations/362264514"/>
    <hyperlink ref="G1079" r:id="rId3217" display="almaandalan"/>
    <hyperlink ref="H1079" r:id="rId3218" display="Deed - Attribution-NonCommercial 4.0 International - Creative Commons"/>
    <hyperlink ref="I1079" r:id="rId3219" display="https://www.inaturalist.org/observations/362186510"/>
    <hyperlink ref="G1080" r:id="rId3220" display="sije"/>
    <hyperlink ref="H1080" r:id="rId3221" display="Deed - Attribution-NonCommercial 4.0 International - Creative Commons"/>
    <hyperlink ref="I1080" r:id="rId3222" display="https://www.inaturalist.org/observations/361964389"/>
    <hyperlink ref="G1081" r:id="rId3223" display="chrissie-ids"/>
    <hyperlink ref="H1081" r:id="rId3224" display="Deed - Attribution-NonCommercial 4.0 International - Creative Commons"/>
    <hyperlink ref="I1081" r:id="rId3225" display="https://www.inaturalist.org/observations/361613229"/>
    <hyperlink ref="G1082" r:id="rId3226" display="nutsaboutplants"/>
    <hyperlink ref="H1082" r:id="rId3227" display="Deed - Attribution-NonCommercial 4.0 International - Creative Commons"/>
    <hyperlink ref="I1082" r:id="rId3228" display="https://www.inaturalist.org/observations/361571368"/>
    <hyperlink ref="G1083" r:id="rId3229" display="veliidae"/>
    <hyperlink ref="H1083" r:id="rId3230" display="Deed - Attribution-NonCommercial 4.0 International - Creative Commons"/>
    <hyperlink ref="I1083" r:id="rId3231" display="https://www.inaturalist.org/observations/361549020"/>
    <hyperlink ref="G1084" r:id="rId3232" display="joshua38131"/>
    <hyperlink ref="H1084" r:id="rId3233" display="Deed - Attribution-NonCommercial 4.0 International - Creative Commons"/>
    <hyperlink ref="I1084" r:id="rId3234" display="https://www.inaturalist.org/observations/361063647"/>
    <hyperlink ref="G1085" r:id="rId3235" display="scib123"/>
    <hyperlink ref="H1085" r:id="rId3236" display="Deed - Attribution-NonCommercial 4.0 International - Creative Commons"/>
    <hyperlink ref="I1085" r:id="rId3237" display="https://www.inaturalist.org/observations/360836994"/>
    <hyperlink ref="G1086" r:id="rId3238" display="littledino"/>
    <hyperlink ref="H1086" r:id="rId3239" display="Deed - Attribution-NonCommercial 4.0 International - Creative Commons"/>
    <hyperlink ref="I1086" r:id="rId3240" display="https://www.inaturalist.org/observations/360835082"/>
    <hyperlink ref="G1087" r:id="rId3241" display="andrewpavlov"/>
    <hyperlink ref="H1087" r:id="rId3242" display="Deed - Attribution-NonCommercial 4.0 International - Creative Commons"/>
    <hyperlink ref="I1087" r:id="rId3243" display="https://www.inaturalist.org/observations/360542359"/>
    <hyperlink ref="G1088" r:id="rId3244" display="jasvink"/>
    <hyperlink ref="H1088" r:id="rId3245" display="Deed - Attribution-NonCommercial 4.0 International - Creative Commons"/>
    <hyperlink ref="I1088" r:id="rId3246" display="https://www.inaturalist.org/observations/367915983"/>
    <hyperlink ref="G1089" r:id="rId3247" display="gjn"/>
    <hyperlink ref="H1089" r:id="rId3248" display="Deed - Attribution-NonCommercial 4.0 International - Creative Commons"/>
    <hyperlink ref="I1089" r:id="rId3249" display="https://www.inaturalist.org/observations/362257718"/>
    <hyperlink ref="G1090" r:id="rId3250" display="gjn"/>
    <hyperlink ref="H1090" r:id="rId3251" display="Deed - Attribution-NonCommercial 4.0 International - Creative Commons"/>
    <hyperlink ref="I1090" r:id="rId3252" display="https://www.inaturalist.org/observations/362257718"/>
    <hyperlink ref="G1091" r:id="rId3253" display="wyliecath"/>
    <hyperlink ref="H1091" r:id="rId3254" display="Deed - Attribution-NonCommercial 4.0 International - Creative Commons"/>
    <hyperlink ref="I1091" r:id="rId3255" display="https://www.inaturalist.org/observations/360466833"/>
    <hyperlink ref="G1092" r:id="rId3256" display="anniesn"/>
    <hyperlink ref="H1092" r:id="rId3257" display="Deed - Attribution-NonCommercial 4.0 International - Creative Commons"/>
    <hyperlink ref="I1092" r:id="rId3258" display="https://www.inaturalist.org/observations/359131393"/>
    <hyperlink ref="G1093" r:id="rId3259" display="setaphong"/>
    <hyperlink ref="H1093" r:id="rId3260" display="Deed - Attribution-NonCommercial 4.0 International - Creative Commons"/>
    <hyperlink ref="I1093" r:id="rId3261" display="https://www.inaturalist.org/observations/340761369"/>
    <hyperlink ref="G1094" r:id="rId3262" display="gratitude888"/>
    <hyperlink ref="H1094" r:id="rId3263" display="Deed - Attribution-NonCommercial 4.0 International - Creative Commons"/>
    <hyperlink ref="I1094" r:id="rId3264" display="https://www.inaturalist.org/observations/296364852"/>
    <hyperlink ref="G1095" r:id="rId3265" display="gratitude888"/>
    <hyperlink ref="H1095" r:id="rId3266" display="Deed - Attribution-NonCommercial 4.0 International - Creative Commons"/>
    <hyperlink ref="I1095" r:id="rId3267" display="https://www.inaturalist.org/observations/296364852"/>
    <hyperlink ref="G1096" r:id="rId3268" display="cannon_family"/>
    <hyperlink ref="H1096" r:id="rId3269" display="Deed - Attribution-NonCommercial 4.0 International - Creative Commons"/>
    <hyperlink ref="I1096" r:id="rId3270" display="https://www.inaturalist.org/observations/288136534"/>
    <hyperlink ref="G1097" r:id="rId3271" display="alexdaviesz"/>
    <hyperlink ref="H1097" r:id="rId3272" display="Deed - Attribution-NonCommercial 4.0 International - Creative Commons"/>
    <hyperlink ref="I1097" r:id="rId3273" display="https://www.inaturalist.org/observations/284437006"/>
    <hyperlink ref="G1098" r:id="rId3274" display="ijacopo"/>
    <hyperlink ref="H1098" r:id="rId3275" display="Deed - Attribution-NonCommercial 4.0 International - Creative Commons"/>
    <hyperlink ref="I1098" r:id="rId3276" display="https://www.inaturalist.org/observations/266838103"/>
    <hyperlink ref="G1099" r:id="rId3277" display="twooldies"/>
    <hyperlink ref="H1099" r:id="rId3278" display="Deed - Attribution-NonCommercial 4.0 International - Creative Commons"/>
    <hyperlink ref="I1099" r:id="rId3279" display="https://www.inaturalist.org/observations/260563268"/>
    <hyperlink ref="G1100" r:id="rId3280" display="gratitude888"/>
    <hyperlink ref="H1100" r:id="rId3281" display="Deed - Attribution-NonCommercial 4.0 International - Creative Commons"/>
    <hyperlink ref="I1100" r:id="rId3282" display="https://www.inaturalist.org/observations/260185658"/>
    <hyperlink ref="G1101" r:id="rId3283" display="gratitude888"/>
    <hyperlink ref="H1101" r:id="rId3284" display="Deed - Attribution-NonCommercial 4.0 International - Creative Commons"/>
    <hyperlink ref="I1101" r:id="rId3285" display="https://www.inaturalist.org/observations/252843117"/>
    <hyperlink ref="G1102" r:id="rId3286" display="beaniana08"/>
    <hyperlink ref="H1102" r:id="rId3287" display="Deed - Attribution-NonCommercial 4.0 International - Creative Commons"/>
    <hyperlink ref="I1102" r:id="rId3288" display="https://www.inaturalist.org/observations/251484849"/>
    <hyperlink ref="G1103" r:id="rId3289" display="beaniana08"/>
    <hyperlink ref="H1103" r:id="rId3290" display="Deed - Attribution-NonCommercial 4.0 International - Creative Commons"/>
    <hyperlink ref="I1103" r:id="rId3291" display="https://www.inaturalist.org/observations/251484848"/>
    <hyperlink ref="G1104" r:id="rId3292" display="beaniana08"/>
    <hyperlink ref="H1104" r:id="rId3293" display="Deed - Attribution-NonCommercial 4.0 International - Creative Commons"/>
    <hyperlink ref="I1104" r:id="rId3294" display="https://www.inaturalist.org/observations/251484848"/>
    <hyperlink ref="G1105" r:id="rId3295" display="beaniana08"/>
    <hyperlink ref="H1105" r:id="rId3296" display="Deed - Attribution-NonCommercial 4.0 International - Creative Commons"/>
    <hyperlink ref="I1105" r:id="rId3297" display="https://www.inaturalist.org/observations/251484844"/>
    <hyperlink ref="G1106" r:id="rId3298" display="beaniana08"/>
    <hyperlink ref="H1106" r:id="rId3299" display="Deed - Attribution-NonCommercial 4.0 International - Creative Commons"/>
    <hyperlink ref="I1106" r:id="rId3300" display="https://www.inaturalist.org/observations/251484841"/>
    <hyperlink ref="G1107" r:id="rId3301" display="beaniana08"/>
    <hyperlink ref="H1107" r:id="rId3302" display="Deed - Attribution-NonCommercial 4.0 International - Creative Commons"/>
    <hyperlink ref="I1107" r:id="rId3303" display="https://www.inaturalist.org/observations/251484840"/>
    <hyperlink ref="G1108" r:id="rId3304" display="beaniana08"/>
    <hyperlink ref="H1108" r:id="rId3305" display="Deed - Attribution-NonCommercial 4.0 International - Creative Commons"/>
    <hyperlink ref="I1108" r:id="rId3306" display="https://www.inaturalist.org/observations/251484838"/>
    <hyperlink ref="G1109" r:id="rId3307" display="gratitude888"/>
    <hyperlink ref="H1109" r:id="rId3308" display="Deed - Attribution-NonCommercial 4.0 International - Creative Commons"/>
    <hyperlink ref="I1109" r:id="rId3309" display="https://www.inaturalist.org/observations/246214906"/>
    <hyperlink ref="G1110" r:id="rId3310" display="gabsun"/>
    <hyperlink ref="H1110" r:id="rId3311" display="Deed - Attribution-NonCommercial 4.0 International - Creative Commons"/>
    <hyperlink ref="I1110" r:id="rId3312" display="https://www.inaturalist.org/observations/218865723"/>
    <hyperlink ref="G1111" r:id="rId3313" display="gabsun"/>
    <hyperlink ref="H1111" r:id="rId3314" display="Deed - Attribution-NonCommercial 4.0 International - Creative Commons"/>
    <hyperlink ref="I1111" r:id="rId3315" display="https://www.inaturalist.org/observations/218865723"/>
    <hyperlink ref="G1112" r:id="rId3316" display="gabsun"/>
    <hyperlink ref="H1112" r:id="rId3317" display="Deed - Attribution-NonCommercial 4.0 International - Creative Commons"/>
    <hyperlink ref="I1112" r:id="rId3318" display="https://www.inaturalist.org/observations/218865723"/>
    <hyperlink ref="G1113" r:id="rId3319" display="trakka53"/>
    <hyperlink ref="H1113" r:id="rId3320" display="Deed - Attribution-NonCommercial 4.0 International - Creative Commons"/>
    <hyperlink ref="I1113" r:id="rId3321" display="https://www.inaturalist.org/observations/215674256"/>
    <hyperlink ref="G1114" r:id="rId3322" display="gratitude888"/>
    <hyperlink ref="H1114" r:id="rId3323" display="Deed - Attribution-NonCommercial 4.0 International - Creative Commons"/>
    <hyperlink ref="I1114" r:id="rId3324" display="https://www.inaturalist.org/observations/214752263"/>
    <hyperlink ref="G1115" r:id="rId3325" display="gratitude888"/>
    <hyperlink ref="H1115" r:id="rId3326" display="Deed - Attribution-NonCommercial 4.0 International - Creative Commons"/>
    <hyperlink ref="I1115" r:id="rId3327" display="https://www.inaturalist.org/observations/214752263"/>
    <hyperlink ref="G1116" r:id="rId3328" display="wildflowergirl"/>
    <hyperlink ref="H1116" r:id="rId3329" display="Deed - Attribution-NonCommercial 4.0 International - Creative Commons"/>
    <hyperlink ref="I1116" r:id="rId3330" display="https://www.inaturalist.org/observations/387355244"/>
    <hyperlink ref="G1117" r:id="rId3331" display="ethanmoon"/>
    <hyperlink ref="H1117" r:id="rId3332" display="Deed - Attribution-NonCommercial 4.0 International - Creative Commons"/>
    <hyperlink ref="I1117" r:id="rId3333" display="https://www.inaturalist.org/observations/195427296"/>
    <hyperlink ref="G1118" r:id="rId3334" display="lucegoose"/>
    <hyperlink ref="H1118" r:id="rId3335" display="Deed - Attribution-NonCommercial 4.0 International - Creative Commons"/>
    <hyperlink ref="I1118" r:id="rId3336" display="https://www.inaturalist.org/observations/193295887"/>
    <hyperlink ref="G1119" r:id="rId3337" display="lucegoose"/>
    <hyperlink ref="H1119" r:id="rId3338" display="Deed - Attribution-NonCommercial 4.0 International - Creative Commons"/>
    <hyperlink ref="I1119" r:id="rId3339" display="https://www.inaturalist.org/observations/193295887"/>
    <hyperlink ref="G1120" r:id="rId3340" display="jordan_a_mulder"/>
    <hyperlink ref="H1120" r:id="rId3341" display="Deed - Attribution-NonCommercial 4.0 International - Creative Commons"/>
    <hyperlink ref="I1120" r:id="rId3342" display="https://www.inaturalist.org/observations/192910066"/>
    <hyperlink ref="G1121" r:id="rId3343" display="indrabone"/>
    <hyperlink ref="H1121" r:id="rId3344" display="Deed - Attribution-NonCommercial 4.0 International - Creative Commons"/>
    <hyperlink ref="I1121" r:id="rId3345" display="https://www.inaturalist.org/observations/157536042"/>
    <hyperlink ref="G1122" r:id="rId3346" display="jonpleizier"/>
    <hyperlink ref="H1122" r:id="rId3347" display="Deed - Attribution-NonCommercial 4.0 International - Creative Commons"/>
    <hyperlink ref="I1122" r:id="rId3348" display="https://www.inaturalist.org/observations/150243214"/>
    <hyperlink ref="G1123" r:id="rId3349" display="lizsnow"/>
    <hyperlink ref="H1123" r:id="rId3350" display="Deed - Attribution-NonCommercial 4.0 International - Creative Commons"/>
    <hyperlink ref="I1123" r:id="rId3351" display="https://www.inaturalist.org/observations/339411495"/>
    <hyperlink ref="G1124" r:id="rId3352" display="donglerthrongler"/>
    <hyperlink ref="H1124" r:id="rId3353" display="Deed - Attribution-NonCommercial 4.0 International - Creative Commons"/>
    <hyperlink ref="I1124" r:id="rId3354" display="https://www.inaturalist.org/observations/337784298"/>
    <hyperlink ref="G1125" r:id="rId3355" display="ray_turnbull"/>
    <hyperlink ref="H1125" r:id="rId3356" display="Deed - Attribution-NonCommercial 4.0 International - Creative Commons"/>
    <hyperlink ref="I1125" r:id="rId3357" display="https://www.inaturalist.org/observations/336326636"/>
    <hyperlink ref="G1126" r:id="rId3358" display="ray_turnbull"/>
    <hyperlink ref="H1126" r:id="rId3359" display="Deed - Attribution-NonCommercial 4.0 International - Creative Commons"/>
    <hyperlink ref="I1126" r:id="rId3360" display="https://www.inaturalist.org/observations/336030696"/>
    <hyperlink ref="G1127" r:id="rId3361" display="ray_turnbull"/>
    <hyperlink ref="H1127" r:id="rId3362" display="Deed - Attribution-NonCommercial 4.0 International - Creative Commons"/>
    <hyperlink ref="I1127" r:id="rId3363" display="https://www.inaturalist.org/observations/336030692"/>
    <hyperlink ref="G1128" r:id="rId3364" display="margot_oorebeek"/>
    <hyperlink ref="H1128" r:id="rId3365" display="Deed - Attribution-NonCommercial 4.0 International - Creative Commons"/>
    <hyperlink ref="I1128" r:id="rId3366" display="https://www.inaturalist.org/observations/335690524"/>
    <hyperlink ref="G1129" r:id="rId3367" display="margot_oorebeek"/>
    <hyperlink ref="H1129" r:id="rId3368" display="Deed - Attribution-NonCommercial 4.0 International - Creative Commons"/>
    <hyperlink ref="I1129" r:id="rId3369" display="https://www.inaturalist.org/observations/335690524"/>
    <hyperlink ref="G1130" r:id="rId3370" display="kevinrothschild"/>
    <hyperlink ref="H1130" r:id="rId3371" display="Deed - Attribution-NonCommercial 4.0 International - Creative Commons"/>
    <hyperlink ref="I1130" r:id="rId3372" display="https://www.inaturalist.org/observations/333660428"/>
    <hyperlink ref="G1131" r:id="rId3373" display="kevinrothschild"/>
    <hyperlink ref="H1131" r:id="rId3374" display="Deed - Attribution-NonCommercial 4.0 International - Creative Commons"/>
    <hyperlink ref="I1131" r:id="rId3375" display="https://www.inaturalist.org/observations/333541823"/>
    <hyperlink ref="G1132" r:id="rId3376" display="jacquirc"/>
    <hyperlink ref="H1132" r:id="rId3377" display="Deed - Attribution-NonCommercial 4.0 International - Creative Commons"/>
    <hyperlink ref="I1132" r:id="rId3378" display="https://www.inaturalist.org/observations/332816056"/>
    <hyperlink ref="G1133" r:id="rId3379" display="jacquirc"/>
    <hyperlink ref="H1133" r:id="rId3380" display="Deed - Attribution-NonCommercial 4.0 International - Creative Commons"/>
    <hyperlink ref="I1133" r:id="rId3381" display="https://www.inaturalist.org/observations/332816056"/>
    <hyperlink ref="G1134" r:id="rId3382" display="lachlan_harriman"/>
    <hyperlink ref="H1134" r:id="rId3383" display="Deed - Attribution-NonCommercial 4.0 International - Creative Commons"/>
    <hyperlink ref="I1134" r:id="rId3384" display="https://www.inaturalist.org/observations/332561889"/>
    <hyperlink ref="G1135" r:id="rId3385" display="lachlan_harriman"/>
    <hyperlink ref="H1135" r:id="rId3386" display="Deed - Attribution-NonCommercial 4.0 International - Creative Commons"/>
    <hyperlink ref="I1135" r:id="rId3387" display="https://www.inaturalist.org/observations/332561885"/>
    <hyperlink ref="G1136" r:id="rId3388" display="boogman"/>
    <hyperlink ref="H1136" r:id="rId3389" display="Deed - Attribution-NonCommercial 4.0 International - Creative Commons"/>
    <hyperlink ref="I1136" r:id="rId3390" display="https://www.inaturalist.org/observations/332355352"/>
    <hyperlink ref="G1137" r:id="rId3391" display="boogman"/>
    <hyperlink ref="H1137" r:id="rId3392" display="Deed - Attribution-NonCommercial 4.0 International - Creative Commons"/>
    <hyperlink ref="I1137" r:id="rId3393" display="https://www.inaturalist.org/observations/332355177"/>
    <hyperlink ref="G1138" r:id="rId3394" display="boogman"/>
    <hyperlink ref="H1138" r:id="rId3395" display="Deed - Attribution-NonCommercial 4.0 International - Creative Commons"/>
    <hyperlink ref="I1138" r:id="rId3396" display="https://www.inaturalist.org/observations/332354991"/>
    <hyperlink ref="G1139" r:id="rId3397" display="darren_fielder"/>
    <hyperlink ref="H1139" r:id="rId3398" display="Deed - Attribution-NonCommercial 4.0 International - Creative Commons"/>
    <hyperlink ref="I1139" r:id="rId3399" display="https://www.inaturalist.org/observations/327827839"/>
    <hyperlink ref="G1140" r:id="rId3400" display="darren_fielder"/>
    <hyperlink ref="H1140" r:id="rId3401" display="Deed - Attribution-NonCommercial 4.0 International - Creative Commons"/>
    <hyperlink ref="I1140" r:id="rId3402" display="https://www.inaturalist.org/observations/327827839"/>
    <hyperlink ref="G1141" r:id="rId3403" display="darren_fielder"/>
    <hyperlink ref="H1141" r:id="rId3404" display="Deed - Attribution-NonCommercial 4.0 International - Creative Commons"/>
    <hyperlink ref="I1141" r:id="rId3405" display="https://www.inaturalist.org/observations/327827838"/>
    <hyperlink ref="G1142" r:id="rId3406" display="sebastian_frank"/>
    <hyperlink ref="H1142" r:id="rId3407" display="Deed - Attribution-NonCommercial 4.0 International - Creative Commons"/>
    <hyperlink ref="I1142" r:id="rId3408" display="https://www.inaturalist.org/observations/326114730"/>
    <hyperlink ref="G1143" r:id="rId3409" display="sebastian_frank"/>
    <hyperlink ref="H1143" r:id="rId3410" display="Deed - Attribution-NonCommercial 4.0 International - Creative Commons"/>
    <hyperlink ref="I1143" r:id="rId3411" display="https://www.inaturalist.org/observations/326103301"/>
    <hyperlink ref="G1144" r:id="rId3412" display="sebastian_frank"/>
    <hyperlink ref="H1144" r:id="rId3413" display="Deed - Attribution-NonCommercial 4.0 International - Creative Commons"/>
    <hyperlink ref="I1144" r:id="rId3414" display="https://www.inaturalist.org/observations/326091707"/>
    <hyperlink ref="G1145" r:id="rId3415" display="sebastian_frank"/>
    <hyperlink ref="H1145" r:id="rId3416" display="Deed - Attribution-NonCommercial 4.0 International - Creative Commons"/>
    <hyperlink ref="I1145" r:id="rId3417" display="https://www.inaturalist.org/observations/326091624"/>
    <hyperlink ref="G1146" r:id="rId3418" display="darren_fielder"/>
    <hyperlink ref="H1146" r:id="rId3419" display="Deed - Attribution-NonCommercial 4.0 International - Creative Commons"/>
    <hyperlink ref="I1146" r:id="rId3420" display="https://www.inaturalist.org/observations/325609489"/>
    <hyperlink ref="G1147" r:id="rId3421" display="willjmatthews04"/>
    <hyperlink ref="H1147" r:id="rId3422" display="Deed - Attribution-NonCommercial 4.0 International - Creative Commons"/>
    <hyperlink ref="I1147" r:id="rId3423" display="https://www.inaturalist.org/observations/317940587"/>
    <hyperlink ref="G1148" r:id="rId3424" display="willjmatthews04"/>
    <hyperlink ref="H1148" r:id="rId3425" display="Deed - Attribution-NonCommercial 4.0 International - Creative Commons"/>
    <hyperlink ref="I1148" r:id="rId3426" display="https://www.inaturalist.org/observations/317940587"/>
    <hyperlink ref="G1149" r:id="rId3427" display="riki_paleatus"/>
    <hyperlink ref="H1149" r:id="rId3428" display="Deed - Attribution-NonCommercial 4.0 International - Creative Commons"/>
    <hyperlink ref="I1149" r:id="rId3429" display="https://www.inaturalist.org/observations/317927106"/>
    <hyperlink ref="G1150" r:id="rId3430" display="riki_paleatus"/>
    <hyperlink ref="H1150" r:id="rId3431" display="Deed - Attribution-NonCommercial 4.0 International - Creative Commons"/>
    <hyperlink ref="I1150" r:id="rId3432" display="https://www.inaturalist.org/observations/317927106"/>
    <hyperlink ref="G1151" r:id="rId3433" display="riki_paleatus"/>
    <hyperlink ref="H1151" r:id="rId3434" display="Deed - Attribution-NonCommercial 4.0 International - Creative Commons"/>
    <hyperlink ref="I1151" r:id="rId3435" display="https://www.inaturalist.org/observations/317927106"/>
    <hyperlink ref="G1152" r:id="rId3436" display="jusarm"/>
    <hyperlink ref="H1152" r:id="rId3437" display="Deed - Attribution-NonCommercial 4.0 International - Creative Commons"/>
    <hyperlink ref="I1152" r:id="rId3438" display="https://www.inaturalist.org/observations/316716141"/>
    <hyperlink ref="G1153" r:id="rId3439" display="willjmatthews04"/>
    <hyperlink ref="H1153" r:id="rId3440" display="Deed - Attribution-NonCommercial 4.0 International - Creative Commons"/>
    <hyperlink ref="I1153" r:id="rId3441" display="https://www.inaturalist.org/observations/317940860"/>
    <hyperlink ref="G1154" r:id="rId3442" display="darren_fielder"/>
    <hyperlink ref="H1154" r:id="rId3443" display="Deed - Attribution-NonCommercial 4.0 International - Creative Commons"/>
    <hyperlink ref="I1154" r:id="rId3444" display="https://www.inaturalist.org/observations/325609485"/>
    <hyperlink ref="G1155" r:id="rId3445" display="darren_fielder"/>
    <hyperlink ref="H1155" r:id="rId3446" display="Deed - Attribution-NonCommercial 4.0 International - Creative Commons"/>
    <hyperlink ref="I1155" r:id="rId3447" display="https://www.inaturalist.org/observations/325609485"/>
    <hyperlink ref="G1156" r:id="rId3448" display="darren_fielder"/>
    <hyperlink ref="H1156" r:id="rId3449" display="Deed - Attribution-NonCommercial 4.0 International - Creative Commons"/>
    <hyperlink ref="I1156" r:id="rId3450" display="https://www.inaturalist.org/observations/325609485"/>
    <hyperlink ref="G1157" r:id="rId3451" display="trachyrhynchus"/>
    <hyperlink ref="H1157" r:id="rId3452" display="Deed - Attribution-NonCommercial 4.0 International - Creative Commons"/>
    <hyperlink ref="I1157" r:id="rId3453" display="https://www.inaturalist.org/observations/325864236"/>
    <hyperlink ref="G1158" r:id="rId3454" display="mypatchofheaven"/>
    <hyperlink ref="H1158" r:id="rId3455" display="Deed - Attribution-NonCommercial 4.0 International - Creative Commons"/>
    <hyperlink ref="I1158" r:id="rId3456" display="https://www.inaturalist.org/observations/379919265"/>
    <hyperlink ref="G1159" r:id="rId3457" display="econeighbour_"/>
    <hyperlink ref="H1159" r:id="rId3458" display="Deed - Attribution-NonCommercial 4.0 International - Creative Commons"/>
    <hyperlink ref="I1159" r:id="rId3459" display="https://www.inaturalist.org/observations/379531004"/>
    <hyperlink ref="G1160" r:id="rId3460" display="p35530"/>
    <hyperlink ref="H1160" r:id="rId3461" display="Deed - Attribution-NonCommercial 4.0 International - Creative Commons"/>
    <hyperlink ref="I1160" r:id="rId3462" display="https://www.inaturalist.org/observations/373510554"/>
    <hyperlink ref="G1161" r:id="rId3463" display="chapmanexplores"/>
    <hyperlink ref="H1161" r:id="rId3464" display="Deed - Attribution-NonCommercial 4.0 International - Creative Commons"/>
    <hyperlink ref="I1161" r:id="rId3465" display="https://www.inaturalist.org/observations/377125358"/>
    <hyperlink ref="G1162" r:id="rId3466" display="p35530"/>
    <hyperlink ref="H1162" r:id="rId3467" display="Deed - Attribution-NonCommercial 4.0 International - Creative Commons"/>
    <hyperlink ref="I1162" r:id="rId3468" display="https://www.inaturalist.org/observations/370877560"/>
    <hyperlink ref="G1163" r:id="rId3469" display="crocattackdatabase"/>
    <hyperlink ref="H1163" r:id="rId3470" display="Deed - Attribution-NonCommercial 4.0 International - Creative Commons"/>
    <hyperlink ref="I1163" r:id="rId3471" display="https://www.inaturalist.org/observations/370015935"/>
    <hyperlink ref="G1164" r:id="rId3472" display="crocattackdatabase"/>
    <hyperlink ref="H1164" r:id="rId3473" display="Deed - Attribution-NonCommercial 4.0 International - Creative Commons"/>
    <hyperlink ref="I1164" r:id="rId3474" display="https://www.inaturalist.org/observations/370015930"/>
    <hyperlink ref="G1165" r:id="rId3475" display="jasvink"/>
    <hyperlink ref="H1165" r:id="rId3476" display="Deed - Attribution-NonCommercial 4.0 International - Creative Commons"/>
    <hyperlink ref="I1165" r:id="rId3477" display="https://www.inaturalist.org/observations/367693933"/>
    <hyperlink ref="G1166" r:id="rId3478" display="chuditch"/>
    <hyperlink ref="H1166" r:id="rId3479" display="Deed - Attribution-NonCommercial 4.0 International - Creative Commons"/>
    <hyperlink ref="I1166" r:id="rId3480" display="https://www.inaturalist.org/observations/367390495"/>
    <hyperlink ref="G1167" r:id="rId3481" display="walkersnakewrangler"/>
    <hyperlink ref="H1167" r:id="rId3482" display="Deed - Attribution-NonCommercial 4.0 International - Creative Commons"/>
    <hyperlink ref="I1167" r:id="rId3483" display="https://www.inaturalist.org/observations/366997614"/>
    <hyperlink ref="G1168" r:id="rId3484" display="lread"/>
    <hyperlink ref="H1168" r:id="rId3485" display="Deed - Attribution-NonCommercial 4.0 International - Creative Commons"/>
    <hyperlink ref="I1168" r:id="rId3486" display="https://www.inaturalist.org/observations/362650291"/>
    <hyperlink ref="G1169" r:id="rId3487" display="chloedmonte"/>
    <hyperlink ref="H1169" r:id="rId3488" display="Deed - Attribution-NonCommercial 4.0 International - Creative Commons"/>
    <hyperlink ref="I1169" r:id="rId3489" display="https://www.inaturalist.org/observations/361558604"/>
    <hyperlink ref="G1170" r:id="rId3490" display="econeighbour_"/>
    <hyperlink ref="H1170" r:id="rId3491" display="Deed - Attribution-NonCommercial 4.0 International - Creative Commons"/>
    <hyperlink ref="I1170" r:id="rId3492" display="https://www.inaturalist.org/observations/361416818"/>
    <hyperlink ref="G1171" r:id="rId3493" display="sharaya_summers"/>
    <hyperlink ref="H1171" r:id="rId3494" display="Deed - Attribution-NonCommercial 4.0 International - Creative Commons"/>
    <hyperlink ref="I1171" r:id="rId3495" display="https://www.inaturalist.org/observations/361140554"/>
    <hyperlink ref="G1172" r:id="rId3496" display="rowt"/>
    <hyperlink ref="H1172" r:id="rId3497" display="Deed - Attribution-NonCommercial 4.0 International - Creative Commons"/>
    <hyperlink ref="I1172" r:id="rId3498" display="https://www.inaturalist.org/observations/360595270"/>
    <hyperlink ref="G1173" r:id="rId3499" display="rowt"/>
    <hyperlink ref="H1173" r:id="rId3500" display="Deed - Attribution-NonCommercial 4.0 International - Creative Commons"/>
    <hyperlink ref="I1173" r:id="rId3501" display="https://www.inaturalist.org/observations/360595270"/>
    <hyperlink ref="G1174" r:id="rId3502" display="lread"/>
    <hyperlink ref="H1174" r:id="rId3503" display="Deed - Attribution-NonCommercial 4.0 International - Creative Commons"/>
    <hyperlink ref="I1174" r:id="rId3504" display="https://www.inaturalist.org/observations/360565950"/>
    <hyperlink ref="G1175" r:id="rId3505" display="ruth_huckstepp"/>
    <hyperlink ref="H1175" r:id="rId3506" display="Deed - Attribution-NonCommercial 4.0 International - Creative Commons"/>
    <hyperlink ref="I1175" r:id="rId3507" display="https://www.inaturalist.org/observations/360389410"/>
    <hyperlink ref="G1176" r:id="rId3508" display="littlebrownskink"/>
    <hyperlink ref="H1176" r:id="rId3509" display="Deed - Attribution-NonCommercial 4.0 International - Creative Commons"/>
    <hyperlink ref="I1176" r:id="rId3510" display="https://www.inaturalist.org/observations/359862290"/>
    <hyperlink ref="G1177" r:id="rId3511" display="georgiabishop__"/>
    <hyperlink ref="H1177" r:id="rId3512" display="Deed - Attribution-NonCommercial 4.0 International - Creative Commons"/>
    <hyperlink ref="I1177" r:id="rId3513" display="https://www.inaturalist.org/observations/355100985"/>
    <hyperlink ref="G1178" r:id="rId3514" display="darcy_roeger"/>
    <hyperlink ref="H1178" r:id="rId3515" display="Deed - Attribution-NonCommercial 4.0 International - Creative Commons"/>
    <hyperlink ref="I1178" r:id="rId3516" display="https://www.inaturalist.org/observations/352454053"/>
    <hyperlink ref="G1179" r:id="rId3517" display="inaturalist-arthur"/>
    <hyperlink ref="H1179" r:id="rId3518" display="Deed - Attribution-NonCommercial 4.0 International - Creative Commons"/>
    <hyperlink ref="I1179" r:id="rId3519" display="https://www.inaturalist.org/observations/349332959"/>
    <hyperlink ref="G1180" r:id="rId3520" display="jasvink"/>
    <hyperlink ref="H1180" r:id="rId3521" display="Deed - Attribution-NonCommercial 4.0 International - Creative Commons"/>
    <hyperlink ref="I1180" r:id="rId3522" display="https://www.inaturalist.org/observations/344648096"/>
    <hyperlink ref="G1181" r:id="rId3523" display="chienyu1"/>
    <hyperlink ref="H1181" r:id="rId3524" display="Deed - Attribution-NonCommercial 4.0 International - Creative Commons"/>
    <hyperlink ref="I1181" r:id="rId3525" display="https://www.inaturalist.org/observations/342744749"/>
    <hyperlink ref="G1182" r:id="rId3526" display="jasvink"/>
    <hyperlink ref="H1182" r:id="rId3527" display="Deed - Attribution-NonCommercial 4.0 International - Creative Commons"/>
    <hyperlink ref="I1182" r:id="rId3528" display="https://www.inaturalist.org/observations/342685671"/>
    <hyperlink ref="G1183" r:id="rId3529" display="jasvink"/>
    <hyperlink ref="H1183" r:id="rId3530" display="Deed - Attribution-NonCommercial 4.0 International - Creative Commons"/>
    <hyperlink ref="I1183" r:id="rId3531" display="https://www.inaturalist.org/observations/342573703"/>
    <hyperlink ref="G1184" r:id="rId3532" display="mypatchofheaven"/>
    <hyperlink ref="H1184" r:id="rId3533" display="Deed - Attribution-NonCommercial 4.0 International - Creative Commons"/>
    <hyperlink ref="I1184" r:id="rId3534" display="https://www.inaturalist.org/observations/379306451"/>
    <hyperlink ref="G1185" r:id="rId3535" display="mypatchofheaven"/>
    <hyperlink ref="H1185" r:id="rId3536" display="Deed - Attribution-NonCommercial 4.0 International - Creative Commons"/>
    <hyperlink ref="I1185" r:id="rId3537" display="https://www.inaturalist.org/observations/379306449"/>
    <hyperlink ref="G1186" r:id="rId3538" display="leahjohnston_wildlife"/>
    <hyperlink ref="H1186" r:id="rId3539" display="Deed - Attribution-NonCommercial 4.0 International - Creative Commons"/>
    <hyperlink ref="I1186" r:id="rId3540" display="https://www.inaturalist.org/observations/378723964"/>
    <hyperlink ref="G1187" r:id="rId3541" display="leahjohnston_wildlife"/>
    <hyperlink ref="H1187" r:id="rId3542" display="Deed - Attribution-NonCommercial 4.0 International - Creative Commons"/>
    <hyperlink ref="I1187" r:id="rId3543" display="https://www.inaturalist.org/observations/378723964"/>
    <hyperlink ref="G1188" r:id="rId3544" display="littlepardalotelover"/>
    <hyperlink ref="H1188" r:id="rId3545" display="Deed - Attribution-NonCommercial 4.0 International - Creative Commons"/>
    <hyperlink ref="I1188" r:id="rId3546" display="https://www.inaturalist.org/observations/378014857"/>
    <hyperlink ref="G1189" r:id="rId3547" display="littlepardalotelover"/>
    <hyperlink ref="H1189" r:id="rId3548" display="Deed - Attribution-NonCommercial 4.0 International - Creative Commons"/>
    <hyperlink ref="I1189" r:id="rId3549" display="https://www.inaturalist.org/observations/378014857"/>
    <hyperlink ref="G1190" r:id="rId3550" display="littlepardalotelover"/>
    <hyperlink ref="H1190" r:id="rId3551" display="Deed - Attribution-NonCommercial 4.0 International - Creative Commons"/>
    <hyperlink ref="I1190" r:id="rId3552" display="https://www.inaturalist.org/observations/378014857"/>
    <hyperlink ref="G1191" r:id="rId3553" display="owenlishmund"/>
    <hyperlink ref="H1191" r:id="rId3554" display="Deed - Attribution-NonCommercial 4.0 International - Creative Commons"/>
    <hyperlink ref="I1191" r:id="rId3555" display="https://www.inaturalist.org/observations/330793942"/>
    <hyperlink ref="G1192" r:id="rId3556" display="rbonduriansky"/>
    <hyperlink ref="H1192" r:id="rId3557" display="Deed - Attribution-NonCommercial 4.0 International - Creative Commons"/>
    <hyperlink ref="I1192" r:id="rId3558" display="https://www.inaturalist.org/observations/335164552"/>
    <hyperlink ref="G1193" r:id="rId3559" display="craig-r"/>
    <hyperlink ref="H1193" r:id="rId3560" display="Deed - Attribution-NonCommercial 4.0 International - Creative Commons"/>
    <hyperlink ref="I1193" r:id="rId3561" display="https://www.inaturalist.org/observations/379282045"/>
    <hyperlink ref="G1194" r:id="rId3562" display="benackerley"/>
    <hyperlink ref="H1194" r:id="rId3563" display="Deed - Attribution-NonCommercial 4.0 International - Creative Commons"/>
    <hyperlink ref="I1194" r:id="rId3564" display="https://www.inaturalist.org/observations/378221839"/>
    <hyperlink ref="G1195" r:id="rId3565" display="jacintafrancesca"/>
    <hyperlink ref="H1195" r:id="rId3566" display="Deed - Attribution-NonCommercial 4.0 International - Creative Commons"/>
    <hyperlink ref="I1195" r:id="rId3567" display="https://www.inaturalist.org/observations/377983336"/>
    <hyperlink ref="G1196" r:id="rId3568" display="indrabone"/>
    <hyperlink ref="H1196" r:id="rId3569" display="Deed - Attribution-NonCommercial 4.0 International - Creative Commons"/>
    <hyperlink ref="I1196" r:id="rId3570" display="https://www.inaturalist.org/observations/372580515"/>
    <hyperlink ref="G1197" r:id="rId3571" display="indrabone"/>
    <hyperlink ref="H1197" r:id="rId3572" display="Deed - Attribution-NonCommercial 4.0 International - Creative Commons"/>
    <hyperlink ref="I1197" r:id="rId3573" display="https://www.inaturalist.org/observations/371217608"/>
    <hyperlink ref="G1198" r:id="rId3574" display="adam_bateman"/>
    <hyperlink ref="H1198" r:id="rId3575" display="Deed - Attribution-NonCommercial 4.0 International - Creative Commons"/>
    <hyperlink ref="I1198" r:id="rId3576" display="https://www.inaturalist.org/observations/365009653"/>
    <hyperlink ref="G1199" r:id="rId3577" display="olliescully1"/>
    <hyperlink ref="H1199" r:id="rId3578" display="Deed - Attribution-NonCommercial 4.0 International - Creative Commons"/>
    <hyperlink ref="I1199" r:id="rId3579" display="https://www.inaturalist.org/observations/358233516"/>
    <hyperlink ref="G1200" r:id="rId3580" display="oedura"/>
    <hyperlink ref="H1200" r:id="rId3581" display="Deed - Attribution-NonCommercial 4.0 International - Creative Commons"/>
    <hyperlink ref="I1200" r:id="rId3582" display="https://www.inaturalist.org/observations/351620736"/>
    <hyperlink ref="G1201" r:id="rId3583" display="oedura"/>
    <hyperlink ref="H1201" r:id="rId3584" display="Deed - Attribution-NonCommercial 4.0 International - Creative Commons"/>
    <hyperlink ref="I1201" r:id="rId3585" display="https://www.inaturalist.org/observations/351603579"/>
    <hyperlink ref="G1202" r:id="rId3586" display="oedura"/>
    <hyperlink ref="H1202" r:id="rId3587" display="Deed - Attribution-NonCommercial 4.0 International - Creative Commons"/>
    <hyperlink ref="I1202" r:id="rId3588" display="https://www.inaturalist.org/observations/351593176"/>
    <hyperlink ref="G1203" r:id="rId3589" display="oedura"/>
    <hyperlink ref="H1203" r:id="rId3590" display="Deed - Attribution-NonCommercial 4.0 International - Creative Commons"/>
    <hyperlink ref="I1203" r:id="rId3591" display="https://www.inaturalist.org/observations/351592977"/>
    <hyperlink ref="G1204" r:id="rId3592" display="oedura"/>
    <hyperlink ref="H1204" r:id="rId3593" display="Deed - Attribution-NonCommercial 4.0 International - Creative Commons"/>
    <hyperlink ref="I1204" r:id="rId3594" display="https://www.inaturalist.org/observations/351592312"/>
    <hyperlink ref="G1205" r:id="rId3595" display="oedura"/>
    <hyperlink ref="H1205" r:id="rId3596" display="Deed - Attribution-NonCommercial 4.0 International - Creative Commons"/>
    <hyperlink ref="I1205" r:id="rId3597" display="https://www.inaturalist.org/observations/351592289"/>
    <hyperlink ref="G1206" r:id="rId3598" display="oedura"/>
    <hyperlink ref="H1206" r:id="rId3599" display="Deed - Attribution-NonCommercial 4.0 International - Creative Commons"/>
    <hyperlink ref="I1206" r:id="rId3600" display="https://www.inaturalist.org/observations/351592269"/>
    <hyperlink ref="G1207" r:id="rId3601" display="jerrygggg"/>
    <hyperlink ref="H1207" r:id="rId3602" display="Deed - Attribution-NonCommercial 4.0 International - Creative Commons"/>
    <hyperlink ref="I1207" r:id="rId3603" display="https://www.inaturalist.org/observations/350714544"/>
    <hyperlink ref="G1208" r:id="rId3604" display="jerrygggg"/>
    <hyperlink ref="H1208" r:id="rId3605" display="Deed - Attribution-NonCommercial 4.0 International - Creative Commons"/>
    <hyperlink ref="I1208" r:id="rId3606" display="https://www.inaturalist.org/observations/350714544"/>
    <hyperlink ref="G1209" r:id="rId3607" display="rishi_sh4rma"/>
    <hyperlink ref="H1209" r:id="rId3608" display="Deed - Attribution-NonCommercial 4.0 International - Creative Commons"/>
    <hyperlink ref="I1209" r:id="rId3609" display="https://www.inaturalist.org/observations/350703482"/>
    <hyperlink ref="G1210" r:id="rId3610" display="leemijts"/>
    <hyperlink ref="H1210" r:id="rId3611" display="Deed - Attribution-NonCommercial 4.0 International - Creative Commons"/>
    <hyperlink ref="I1210" r:id="rId3612" display="https://www.inaturalist.org/observations/350615731"/>
    <hyperlink ref="G1211" r:id="rId3613" display="snotsausage"/>
    <hyperlink ref="H1211" r:id="rId3614" display="Deed - Attribution-NonCommercial 4.0 International - Creative Commons"/>
    <hyperlink ref="I1211" r:id="rId3615" display="https://www.inaturalist.org/observations/349041151"/>
    <hyperlink ref="G1212" r:id="rId3616" display="snotsausage"/>
    <hyperlink ref="H1212" r:id="rId3617" display="Deed - Attribution-NonCommercial 4.0 International - Creative Commons"/>
    <hyperlink ref="I1212" r:id="rId3618" display="https://www.inaturalist.org/observations/349041042"/>
    <hyperlink ref="G1213" r:id="rId3619" display="snotsausage"/>
    <hyperlink ref="H1213" r:id="rId3620" display="Deed - Attribution-NonCommercial 4.0 International - Creative Commons"/>
    <hyperlink ref="I1213" r:id="rId3621" display="https://www.inaturalist.org/observations/349040854"/>
    <hyperlink ref="G1214" r:id="rId3622" display="darren_fielder"/>
    <hyperlink ref="H1214" r:id="rId3623" display="Deed - Attribution-NonCommercial 4.0 International - Creative Commons"/>
    <hyperlink ref="I1214" r:id="rId3624" display="https://www.inaturalist.org/observations/348917293"/>
    <hyperlink ref="G1215" r:id="rId3625" display="darren_fielder"/>
    <hyperlink ref="H1215" r:id="rId3626" display="Deed - Attribution-NonCommercial 4.0 International - Creative Commons"/>
    <hyperlink ref="I1215" r:id="rId3627" display="https://www.inaturalist.org/observations/348917282"/>
    <hyperlink ref="G1216" r:id="rId3628" display="riki_paleatus"/>
    <hyperlink ref="H1216" r:id="rId3629" display="Deed - Attribution-NonCommercial 4.0 International - Creative Commons"/>
    <hyperlink ref="I1216" r:id="rId3630" display="https://www.inaturalist.org/observations/348540827"/>
    <hyperlink ref="G1217" r:id="rId3631" display="riki_paleatus"/>
    <hyperlink ref="H1217" r:id="rId3632" display="Deed - Attribution-NonCommercial 4.0 International - Creative Commons"/>
    <hyperlink ref="I1217" r:id="rId3633" display="https://www.inaturalist.org/observations/348540233"/>
    <hyperlink ref="G1218" r:id="rId3634" display="riki_paleatus"/>
    <hyperlink ref="H1218" r:id="rId3635" display="Deed - Attribution-NonCommercial 4.0 International - Creative Commons"/>
    <hyperlink ref="I1218" r:id="rId3636" display="https://www.inaturalist.org/observations/348540233"/>
    <hyperlink ref="G1219" r:id="rId3637" display="riki_paleatus"/>
    <hyperlink ref="H1219" r:id="rId3638" display="Deed - Attribution-NonCommercial 4.0 International - Creative Commons"/>
    <hyperlink ref="I1219" r:id="rId3639" display="https://www.inaturalist.org/observations/348540233"/>
    <hyperlink ref="G1220" r:id="rId3640" display="riki_paleatus"/>
    <hyperlink ref="H1220" r:id="rId3641" display="Deed - Attribution-NonCommercial 4.0 International - Creative Commons"/>
    <hyperlink ref="I1220" r:id="rId3642" display="https://www.inaturalist.org/observations/348540233"/>
    <hyperlink ref="G1221" r:id="rId3643" display="riki_paleatus"/>
    <hyperlink ref="H1221" r:id="rId3644" display="Deed - Attribution-NonCommercial 4.0 International - Creative Commons"/>
    <hyperlink ref="I1221" r:id="rId3645" display="https://www.inaturalist.org/observations/348540222"/>
    <hyperlink ref="G1222" r:id="rId3646" display="majesticchook"/>
    <hyperlink ref="H1222" r:id="rId3647" display="Deed - Attribution-NonCommercial 4.0 International - Creative Commons"/>
    <hyperlink ref="I1222" r:id="rId3648" display="https://www.inaturalist.org/observations/347751022"/>
    <hyperlink ref="G1223" r:id="rId3649" display="indrabone"/>
    <hyperlink ref="H1223" r:id="rId3650" display="Deed - Attribution-NonCommercial 4.0 International - Creative Commons"/>
    <hyperlink ref="I1223" r:id="rId3651" display="https://www.inaturalist.org/observations/346123488"/>
    <hyperlink ref="G1224" r:id="rId3652" display="craig-r"/>
    <hyperlink ref="H1224" r:id="rId3653" display="Deed - Attribution-NonCommercial 4.0 International - Creative Commons"/>
    <hyperlink ref="I1224" r:id="rId3654" display="https://www.inaturalist.org/observations/345228015"/>
    <hyperlink ref="G1225" r:id="rId3655" display="jacksonnugent"/>
    <hyperlink ref="H1225" r:id="rId3656" display="Deed - Attribution-NonCommercial 4.0 International - Creative Commons"/>
    <hyperlink ref="I1225" r:id="rId3657" display="https://www.inaturalist.org/observations/345052715"/>
    <hyperlink ref="G1226" r:id="rId3658" display="jacksonnugent"/>
    <hyperlink ref="H1226" r:id="rId3659" display="Deed - Attribution-NonCommercial 4.0 International - Creative Commons"/>
    <hyperlink ref="I1226" r:id="rId3660" display="https://www.inaturalist.org/observations/345052715"/>
    <hyperlink ref="G1227" r:id="rId3661" display="jacksonnugent"/>
    <hyperlink ref="H1227" r:id="rId3662" display="Deed - Attribution-NonCommercial 4.0 International - Creative Commons"/>
    <hyperlink ref="I1227" r:id="rId3663" display="https://www.inaturalist.org/observations/345052715"/>
    <hyperlink ref="G1228" r:id="rId3664" display="shelfand"/>
    <hyperlink ref="H1228" r:id="rId3665" display="Deed - Attribution-NonCommercial 4.0 International - Creative Commons"/>
    <hyperlink ref="I1228" r:id="rId3666" display="https://www.inaturalist.org/observations/371157312"/>
    <hyperlink ref="G1229" r:id="rId3667" display="normfarmerimages"/>
    <hyperlink ref="H1229" r:id="rId3668" display="Deed - Attribution-NonCommercial 4.0 International - Creative Commons"/>
    <hyperlink ref="I1229" r:id="rId3669" display="https://www.inaturalist.org/observations/362782402"/>
    <hyperlink ref="G1230" r:id="rId3670" display="normfarmerimages"/>
    <hyperlink ref="H1230" r:id="rId3671" display="Deed - Attribution-NonCommercial 4.0 International - Creative Commons"/>
    <hyperlink ref="I1230" r:id="rId3672" display="https://www.inaturalist.org/observations/362782402"/>
    <hyperlink ref="G1231" r:id="rId3673" display="normfarmerimages"/>
    <hyperlink ref="H1231" r:id="rId3674" display="Deed - Attribution-NonCommercial 4.0 International - Creative Commons"/>
    <hyperlink ref="I1231" r:id="rId3675" display="https://www.inaturalist.org/observations/362782402"/>
    <hyperlink ref="G1232" r:id="rId3676" display="normfarmerimages"/>
    <hyperlink ref="H1232" r:id="rId3677" display="Deed - Attribution-NonCommercial 4.0 International - Creative Commons"/>
    <hyperlink ref="I1232" r:id="rId3678" display="https://www.inaturalist.org/observations/362782402"/>
    <hyperlink ref="G1233" r:id="rId3679" display="normfarmerimages"/>
    <hyperlink ref="H1233" r:id="rId3680" display="Deed - Attribution-NonCommercial 4.0 International - Creative Commons"/>
    <hyperlink ref="I1233" r:id="rId3681" display="https://www.inaturalist.org/observations/362782402"/>
    <hyperlink ref="G1234" r:id="rId3682" display="normfarmerimages"/>
    <hyperlink ref="H1234" r:id="rId3683" display="Deed - Attribution-NonCommercial 4.0 International - Creative Commons"/>
    <hyperlink ref="I1234" r:id="rId3684" display="https://www.inaturalist.org/observations/362782402"/>
    <hyperlink ref="G1235" r:id="rId3685" display="normfarmerimages"/>
    <hyperlink ref="H1235" r:id="rId3686" display="Deed - Attribution-NonCommercial 4.0 International - Creative Commons"/>
    <hyperlink ref="I1235" r:id="rId3687" display="https://www.inaturalist.org/observations/362782402"/>
    <hyperlink ref="G1236" r:id="rId3688" display="normfarmerimages"/>
    <hyperlink ref="H1236" r:id="rId3689" display="Deed - Attribution-NonCommercial 4.0 International - Creative Commons"/>
    <hyperlink ref="I1236" r:id="rId3690" display="https://www.inaturalist.org/observations/362782402"/>
    <hyperlink ref="G1237" r:id="rId3691" display="normfarmerimages"/>
    <hyperlink ref="H1237" r:id="rId3692" display="Deed - Attribution-NonCommercial 4.0 International - Creative Commons"/>
    <hyperlink ref="I1237" r:id="rId3693" display="https://www.inaturalist.org/observations/362782402"/>
    <hyperlink ref="G1238" r:id="rId3694" display="normfarmerimages"/>
    <hyperlink ref="H1238" r:id="rId3695" display="Deed - Attribution-NonCommercial 4.0 International - Creative Commons"/>
    <hyperlink ref="I1238" r:id="rId3696" display="https://www.inaturalist.org/observations/362782402"/>
    <hyperlink ref="G1239" r:id="rId3697" display="normfarmerimages"/>
    <hyperlink ref="H1239" r:id="rId3698" display="Deed - Attribution-NonCommercial 4.0 International - Creative Commons"/>
    <hyperlink ref="I1239" r:id="rId3699" display="https://www.inaturalist.org/observations/362782402"/>
    <hyperlink ref="G1240" r:id="rId3700" display="normfarmerimages"/>
    <hyperlink ref="H1240" r:id="rId3701" display="Deed - Attribution-NonCommercial 4.0 International - Creative Commons"/>
    <hyperlink ref="I1240" r:id="rId3702" display="https://www.inaturalist.org/observations/362782402"/>
    <hyperlink ref="G1241" r:id="rId3703" display="mossy_gulch"/>
    <hyperlink ref="H1241" r:id="rId3704" display="Deed - Attribution-NonCommercial 4.0 International - Creative Commons"/>
    <hyperlink ref="I1241" r:id="rId3705" display="https://www.inaturalist.org/observations/361538616"/>
    <hyperlink ref="G1242" r:id="rId3706" display="mossy_gulch"/>
    <hyperlink ref="H1242" r:id="rId3707" display="Deed - Attribution-NonCommercial 4.0 International - Creative Commons"/>
    <hyperlink ref="I1242" r:id="rId3708" display="https://www.inaturalist.org/observations/361538616"/>
    <hyperlink ref="G1243" r:id="rId3709" display="ss49"/>
    <hyperlink ref="H1243" r:id="rId3710" display="Deed - Attribution-NonCommercial 4.0 International - Creative Commons"/>
    <hyperlink ref="I1243" r:id="rId3711" display="https://www.inaturalist.org/observations/358581301"/>
    <hyperlink ref="G1244" r:id="rId3712" display="tamban"/>
    <hyperlink ref="H1244" r:id="rId3713" display="Deed - Attribution-NonCommercial 4.0 International - Creative Commons"/>
    <hyperlink ref="I1244" r:id="rId3714" display="https://www.inaturalist.org/observations/356800237"/>
    <hyperlink ref="G1245" r:id="rId3715" display="heathercoffs"/>
    <hyperlink ref="H1245" r:id="rId3716" display="Deed - Attribution-NonCommercial 4.0 International - Creative Commons"/>
    <hyperlink ref="I1245" r:id="rId3717" display="https://www.inaturalist.org/observations/355263945"/>
    <hyperlink ref="G1246" r:id="rId3718" display="hiddyp"/>
    <hyperlink ref="H1246" r:id="rId3719" display="Deed - Attribution-NonCommercial 4.0 International - Creative Commons"/>
    <hyperlink ref="I1246" r:id="rId3720" display="https://www.inaturalist.org/observations/351456335"/>
    <hyperlink ref="G1247" r:id="rId3721" display="naomicase"/>
    <hyperlink ref="H1247" r:id="rId3722" display="Deed - Attribution-NonCommercial 4.0 International - Creative Commons"/>
    <hyperlink ref="I1247" r:id="rId3723" display="https://www.inaturalist.org/observations/351424053"/>
    <hyperlink ref="G1248" r:id="rId3724" display="stefano_nature-through-the-lens"/>
    <hyperlink ref="H1248" r:id="rId3725" display="Deed - Attribution-NonCommercial 4.0 International - Creative Commons"/>
    <hyperlink ref="I1248" r:id="rId3726" display="https://www.inaturalist.org/observations/349982392"/>
    <hyperlink ref="G1249" r:id="rId3727" display="stefano_nature-through-the-lens"/>
    <hyperlink ref="H1249" r:id="rId3728" display="Deed - Attribution-NonCommercial 4.0 International - Creative Commons"/>
    <hyperlink ref="I1249" r:id="rId3729" display="https://www.inaturalist.org/observations/349982392"/>
    <hyperlink ref="G1250" r:id="rId3730" display="rowleysrest"/>
    <hyperlink ref="H1250" r:id="rId3731" display="Deed - Attribution-NonCommercial 4.0 International - Creative Commons"/>
    <hyperlink ref="I1250" r:id="rId3732" display="https://www.inaturalist.org/observations/344595108"/>
    <hyperlink ref="G1251" r:id="rId3733" display="aussiemaarten"/>
    <hyperlink ref="H1251" r:id="rId3734" display="Deed - Attribution-NonCommercial 4.0 International - Creative Commons"/>
    <hyperlink ref="I1251" r:id="rId3735" display="https://www.inaturalist.org/observations/343689703"/>
    <hyperlink ref="G1252" r:id="rId3736" display="pmmridge"/>
    <hyperlink ref="H1252" r:id="rId3737" display="Deed - Attribution-NonCommercial 4.0 International - Creative Commons"/>
    <hyperlink ref="I1252" r:id="rId3738" display="https://www.inaturalist.org/observations/340909290"/>
    <hyperlink ref="G1253" r:id="rId3739" display="pmmridge"/>
    <hyperlink ref="H1253" r:id="rId3740" display="Deed - Attribution-NonCommercial 4.0 International - Creative Commons"/>
    <hyperlink ref="I1253" r:id="rId3741" display="https://www.inaturalist.org/observations/340909290"/>
    <hyperlink ref="G1254" r:id="rId3742" display="pellier"/>
    <hyperlink ref="H1254" r:id="rId3743" display="Deed - Attribution-NonCommercial 4.0 International - Creative Commons"/>
    <hyperlink ref="I1254" r:id="rId3744" display="https://www.inaturalist.org/observations/338044554"/>
    <hyperlink ref="G1255" r:id="rId3745" display="donglerthrongler"/>
    <hyperlink ref="H1255" r:id="rId3746" display="Deed - Attribution-NonCommercial 4.0 International - Creative Commons"/>
    <hyperlink ref="I1255" r:id="rId3747" display="https://www.inaturalist.org/observations/337784302"/>
    <hyperlink ref="G1256" r:id="rId3748" display="brenden_margieson"/>
    <hyperlink ref="H1256" r:id="rId3749" display="Deed - Attribution-NonCommercial 4.0 International - Creative Commons"/>
    <hyperlink ref="I1256" r:id="rId3750" display="https://www.inaturalist.org/observations/333566148"/>
    <hyperlink ref="G1257" r:id="rId3751" display="drmattnimbs"/>
    <hyperlink ref="H1257" r:id="rId3752" display="Deed - Attribution-NonCommercial 4.0 International - Creative Commons"/>
    <hyperlink ref="I1257" r:id="rId3753" display="https://www.inaturalist.org/observations/332925265"/>
    <hyperlink ref="G1258" r:id="rId3754" display="drmattnimbs"/>
    <hyperlink ref="H1258" r:id="rId3755" display="Deed - Attribution-NonCommercial 4.0 International - Creative Commons"/>
    <hyperlink ref="I1258" r:id="rId3756" display="https://www.inaturalist.org/observations/332925264"/>
    <hyperlink ref="G1259" r:id="rId3757" display="mcgregor777"/>
    <hyperlink ref="H1259" r:id="rId3758" display="Deed - Attribution-NonCommercial 4.0 International - Creative Commons"/>
    <hyperlink ref="I1259" r:id="rId3759" display="https://www.inaturalist.org/observations/332089074"/>
    <hyperlink ref="G1260" r:id="rId3760" display="mcgregor777"/>
    <hyperlink ref="H1260" r:id="rId3761" display="Deed - Attribution-NonCommercial 4.0 International - Creative Commons"/>
    <hyperlink ref="I1260" r:id="rId3762" display="https://www.inaturalist.org/observations/332089074"/>
    <hyperlink ref="G1261" r:id="rId3763" display="sebastian_frank"/>
    <hyperlink ref="H1261" r:id="rId3764" display="Deed - Attribution-NonCommercial 4.0 International - Creative Commons"/>
    <hyperlink ref="I1261" r:id="rId3765" display="https://www.inaturalist.org/observations/326596288"/>
    <hyperlink ref="G1262" r:id="rId3766" display="sebastian_frank"/>
    <hyperlink ref="H1262" r:id="rId3767" display="Deed - Attribution-NonCommercial 4.0 International - Creative Commons"/>
    <hyperlink ref="I1262" r:id="rId3768" display="https://www.inaturalist.org/observations/326596167"/>
    <hyperlink ref="G1263" r:id="rId3769" display="accidentalshrike"/>
    <hyperlink ref="H1263" r:id="rId3770" display="Deed - Attribution-NonCommercial 4.0 International - Creative Commons"/>
    <hyperlink ref="I1263" r:id="rId3771" display="https://www.inaturalist.org/observations/369663700"/>
    <hyperlink ref="G1264" r:id="rId3772" display="jerrygggg"/>
    <hyperlink ref="H1264" r:id="rId3773" display="Deed - Attribution-NonCommercial 4.0 International - Creative Commons"/>
    <hyperlink ref="I1264" r:id="rId3774" display="https://www.inaturalist.org/observations/350712045"/>
    <hyperlink ref="G1265" r:id="rId3775" display="antoineteitel"/>
    <hyperlink ref="H1265" r:id="rId3776" display="Deed - Attribution-NonCommercial 4.0 International - Creative Commons"/>
    <hyperlink ref="I1265" r:id="rId3777" display="https://www.inaturalist.org/observations/336494224"/>
    <hyperlink ref="G1266" r:id="rId3778" display="stephentho"/>
    <hyperlink ref="H1266" r:id="rId3779" display="Deed - Attribution-NonCommercial 4.0 International - Creative Commons"/>
    <hyperlink ref="I1266" r:id="rId3780" display="https://www.inaturalist.org/observations/289754300"/>
    <hyperlink ref="G1267" r:id="rId3781" display="nicolas_rinck"/>
    <hyperlink ref="H1267" r:id="rId3782" display="Deed - Attribution-NonCommercial 4.0 International - Creative Commons"/>
    <hyperlink ref="I1267" r:id="rId3783" display="https://www.inaturalist.org/observations/274714761"/>
    <hyperlink ref="G1268" r:id="rId3784" display="antoineteitel"/>
    <hyperlink ref="H1268" r:id="rId3785" display="Deed - Attribution-NonCommercial 4.0 International - Creative Commons"/>
    <hyperlink ref="I1268" r:id="rId3786" display="https://www.inaturalist.org/observations/265138379"/>
    <hyperlink ref="G1269" r:id="rId3787" display="stephentho"/>
    <hyperlink ref="H1269" r:id="rId3788" display="Deed - Attribution-NonCommercial 4.0 International - Creative Commons"/>
    <hyperlink ref="I1269" r:id="rId3789" display="https://www.inaturalist.org/observations/264781568"/>
    <hyperlink ref="G1270" r:id="rId3790" display="antoineteitel"/>
    <hyperlink ref="H1270" r:id="rId3791" display="Deed - Attribution-NonCommercial 4.0 International - Creative Commons"/>
    <hyperlink ref="I1270" r:id="rId3792" display="https://www.inaturalist.org/observations/264077469"/>
    <hyperlink ref="G1271" r:id="rId3793" display="antoineteitel"/>
    <hyperlink ref="H1271" r:id="rId3794" display="Deed - Attribution-NonCommercial 4.0 International - Creative Commons"/>
    <hyperlink ref="I1271" r:id="rId3795" display="https://www.inaturalist.org/observations/263472637"/>
    <hyperlink ref="G1272" r:id="rId3796" display="adnarimk"/>
    <hyperlink ref="H1272" r:id="rId3797" display="Deed - Attribution-NonCommercial 4.0 International - Creative Commons"/>
    <hyperlink ref="I1272" r:id="rId3798" display="https://www.inaturalist.org/observations/260127014"/>
    <hyperlink ref="G1273" r:id="rId3799" display="adnarimk"/>
    <hyperlink ref="H1273" r:id="rId3800" display="Deed - Attribution-NonCommercial 4.0 International - Creative Commons"/>
    <hyperlink ref="I1273" r:id="rId3801" display="https://www.inaturalist.org/observations/260127014"/>
    <hyperlink ref="G1274" r:id="rId3802" display="mael_dewynter"/>
    <hyperlink ref="H1274" r:id="rId3803" display="Deed - Attribution-NonCommercial 4.0 International - Creative Commons"/>
    <hyperlink ref="I1274" r:id="rId3804" display="https://www.inaturalist.org/observations/246726829"/>
    <hyperlink ref="G1275" r:id="rId3805" display="mael_dewynter"/>
    <hyperlink ref="H1275" r:id="rId3806" display="Deed - Attribution-NonCommercial 4.0 International - Creative Commons"/>
    <hyperlink ref="I1275" r:id="rId3807" display="https://www.inaturalist.org/observations/246592522"/>
    <hyperlink ref="G1276" r:id="rId3808" display="mael_dewynter"/>
    <hyperlink ref="H1276" r:id="rId3809" display="Deed - Attribution-NonCommercial 4.0 International - Creative Commons"/>
    <hyperlink ref="I1276" r:id="rId3810" display="https://www.inaturalist.org/observations/246592520"/>
    <hyperlink ref="G1277" r:id="rId3811" display="mssrbox"/>
    <hyperlink ref="H1277" r:id="rId3812" display="Deed - Attribution-NonCommercial 4.0 International - Creative Commons"/>
    <hyperlink ref="I1277" r:id="rId3813" display="https://www.inaturalist.org/observations/238401382"/>
    <hyperlink ref="G1278" r:id="rId3814" display="sydneybirding"/>
    <hyperlink ref="H1278" r:id="rId3815" display="Deed - Attribution-NonCommercial 4.0 International - Creative Commons"/>
    <hyperlink ref="I1278" r:id="rId3816" display="https://www.inaturalist.org/observations/214748203"/>
    <hyperlink ref="G1279" r:id="rId3817" display="stephentho"/>
    <hyperlink ref="H1279" r:id="rId3818" display="Deed - Attribution-NonCommercial 4.0 International - Creative Commons"/>
    <hyperlink ref="I1279" r:id="rId3819" display="https://www.inaturalist.org/observations/209048250"/>
    <hyperlink ref="G1280" r:id="rId3820" display="stephentho"/>
    <hyperlink ref="H1280" r:id="rId3821" display="Deed - Attribution-NonCommercial 4.0 International - Creative Commons"/>
    <hyperlink ref="I1280" r:id="rId3822" display="https://www.inaturalist.org/observations/209047651"/>
    <hyperlink ref="G1281" r:id="rId3823" display="elinamg"/>
    <hyperlink ref="H1281" r:id="rId3824" display="Deed - Attribution-NonCommercial 4.0 International - Creative Commons"/>
    <hyperlink ref="I1281" r:id="rId3825" display="https://www.inaturalist.org/observations/206147136"/>
    <hyperlink ref="G1282" r:id="rId3826" display="momaz"/>
    <hyperlink ref="H1282" r:id="rId3827" display="Deed - Attribution-NonCommercial 4.0 International - Creative Commons"/>
    <hyperlink ref="I1282" r:id="rId3828" display="https://www.inaturalist.org/observations/191455221"/>
    <hyperlink ref="G1283" r:id="rId3829" display="momaz"/>
    <hyperlink ref="H1283" r:id="rId3830" display="Deed - Attribution-NonCommercial 4.0 International - Creative Commons"/>
    <hyperlink ref="I1283" r:id="rId3831" display="https://www.inaturalist.org/observations/191451835"/>
    <hyperlink ref="G1284" r:id="rId3832" display="hervevan"/>
    <hyperlink ref="H1284" r:id="rId3833" display="Deed - Attribution-NonCommercial 4.0 International - Creative Commons"/>
    <hyperlink ref="I1284" r:id="rId3834" display="https://www.inaturalist.org/observations/177252326"/>
    <hyperlink ref="G1285" r:id="rId3835" display="jsameit"/>
    <hyperlink ref="H1285" r:id="rId3836" display="Deed - Attribution-NonCommercial 4.0 International - Creative Commons"/>
    <hyperlink ref="I1285" r:id="rId3837" display="https://www.inaturalist.org/observations/139607943"/>
    <hyperlink ref="G1286" r:id="rId3838" display="jsameit"/>
    <hyperlink ref="H1286" r:id="rId3839" display="Deed - Attribution-NonCommercial 4.0 International - Creative Commons"/>
    <hyperlink ref="I1286" r:id="rId3840" display="https://www.inaturalist.org/observations/139607943"/>
    <hyperlink ref="G1287" r:id="rId3841" display="rog973"/>
    <hyperlink ref="H1287" r:id="rId3842" display="Deed - Attribution-NonCommercial 4.0 International - Creative Commons"/>
    <hyperlink ref="I1287" r:id="rId3843" display="https://www.inaturalist.org/observations/132465741"/>
    <hyperlink ref="G1288" r:id="rId3844" display="rog973"/>
    <hyperlink ref="H1288" r:id="rId3845" display="Deed - Attribution-NonCommercial 4.0 International - Creative Commons"/>
    <hyperlink ref="I1288" r:id="rId3846" display="https://www.inaturalist.org/observations/132465736"/>
    <hyperlink ref="G1289" r:id="rId3847" display="pl_stenger"/>
    <hyperlink ref="H1289" r:id="rId3848" display="Deed - Attribution-NonCommercial 4.0 International - Creative Commons"/>
    <hyperlink ref="I1289" r:id="rId3849" display="https://www.inaturalist.org/observations/106413691"/>
    <hyperlink ref="G1290" r:id="rId3850" display="pl_stenger"/>
    <hyperlink ref="H1290" r:id="rId3851" display="Deed - Attribution-NonCommercial 4.0 International - Creative Commons"/>
    <hyperlink ref="I1290" r:id="rId3852" display="https://www.inaturalist.org/observations/104245546"/>
    <hyperlink ref="G1291" r:id="rId3853" display="pl_stenger"/>
    <hyperlink ref="H1291" r:id="rId3854" display="Deed - Attribution-NonCommercial 4.0 International - Creative Commons"/>
    <hyperlink ref="I1291" r:id="rId3855" display="https://www.inaturalist.org/observations/104245542"/>
    <hyperlink ref="G1292" r:id="rId3856" display="pl_stenger"/>
    <hyperlink ref="H1292" r:id="rId3857" display="Deed - Attribution-NonCommercial 4.0 International - Creative Commons"/>
    <hyperlink ref="I1292" r:id="rId3858" display="https://www.inaturalist.org/observations/104245542"/>
    <hyperlink ref="G1293" r:id="rId3859" display="pl_stenger"/>
    <hyperlink ref="H1293" r:id="rId3860" display="Deed - Attribution-NonCommercial 4.0 International - Creative Commons"/>
    <hyperlink ref="I1293" r:id="rId3861" display="https://www.inaturalist.org/observations/102983502"/>
    <hyperlink ref="G1294" r:id="rId3862" display="pl_stenger"/>
    <hyperlink ref="H1294" r:id="rId3863" display="Deed - Attribution-NonCommercial 4.0 International - Creative Commons"/>
    <hyperlink ref="I1294" r:id="rId3864" display="https://www.inaturalist.org/observations/102983502"/>
    <hyperlink ref="G1295" r:id="rId3865" display="pl_stenger"/>
    <hyperlink ref="H1295" r:id="rId3866" display="Deed - Attribution-NonCommercial 4.0 International - Creative Commons"/>
    <hyperlink ref="I1295" r:id="rId3867" display="https://www.inaturalist.org/observations/100128308"/>
    <hyperlink ref="G1296" r:id="rId3868" display="pl_stenger"/>
    <hyperlink ref="H1296" r:id="rId3869" display="Deed - Attribution-NonCommercial 4.0 International - Creative Commons"/>
    <hyperlink ref="I1296" r:id="rId3870" display="https://www.inaturalist.org/observations/63924799"/>
    <hyperlink ref="G1297" r:id="rId3871" display="pl_stenger"/>
    <hyperlink ref="H1297" r:id="rId3872" display="Deed - Attribution-NonCommercial 4.0 International - Creative Commons"/>
    <hyperlink ref="I1297" r:id="rId3873" display="https://www.inaturalist.org/observations/57616870"/>
    <hyperlink ref="G1298" r:id="rId3874" display="pl_stenger "/>
    <hyperlink ref="H1298" r:id="rId3875" display="Deed - Attribution-NonCommercial 4.0 International - Creative Commons"/>
    <hyperlink ref="I1298" r:id="rId3876" display="https://www.inaturalist.org/observations/99609246"/>
    <hyperlink ref="G1299" r:id="rId3877" display="dominique_fleurot"/>
    <hyperlink ref="H1299" r:id="rId3878" display="Deed - Attribution-NonCommercial 4.0 International - Creative Commons"/>
    <hyperlink ref="I1299" r:id="rId3879" display="https://www.inaturalist.org/observations/264589849"/>
    <hyperlink ref="G1300" r:id="rId3880" display="dominique_fleurot"/>
    <hyperlink ref="H1300" r:id="rId3881" display="Deed - Attribution-NonCommercial 4.0 International - Creative Commons"/>
    <hyperlink ref="I1300" r:id="rId3882" display="https://www.inaturalist.org/observations/264589853"/>
    <hyperlink ref="G1301" r:id="rId3883" display="dominique_fleurot"/>
    <hyperlink ref="H1301" r:id="rId3884" display="Deed - Attribution-NonCommercial 4.0 International - Creative Commons"/>
    <hyperlink ref="I1301" r:id="rId3885" display="https://www.inaturalist.org/observations/264589855"/>
    <hyperlink ref="G1302" r:id="rId3886" display="pl_stenger"/>
    <hyperlink ref="H1302" r:id="rId3887" display="Deed - Attribution-NonCommercial 4.0 International - Creative Commons"/>
    <hyperlink ref="I1302" r:id="rId3888" display="https://www.inaturalist.org/observations/105532202"/>
    <hyperlink ref="G1303" r:id="rId3889" display="dominique_fleurot"/>
    <hyperlink ref="H1303" r:id="rId3890" display="Deed - Attribution-NonCommercial 4.0 International - Creative Commons"/>
    <hyperlink ref="I1303" r:id="rId3891" display="https://www.inaturalist.org/observations/264589856"/>
    <hyperlink ref="G1304" r:id="rId3892" display="dominique_fleurot"/>
    <hyperlink ref="H1304" r:id="rId3893" display="Deed - Attribution-NonCommercial 4.0 International - Creative Commons"/>
    <hyperlink ref="I1304" r:id="rId3894" display="https://www.inaturalist.org/observations/264589857"/>
    <hyperlink ref="G1305" r:id="rId3895" display="dominique_fleurot"/>
    <hyperlink ref="H1305" r:id="rId3896" display="Deed - Attribution-NonCommercial 4.0 International - Creative Commons"/>
    <hyperlink ref="I1305" r:id="rId3897" display="https://www.inaturalist.org/observations/264589863"/>
    <hyperlink ref="G1306" r:id="rId3898" display="pl_stenger"/>
    <hyperlink ref="H1306" r:id="rId3899" display="Deed - Attribution-NonCommercial 4.0 International - Creative Commons"/>
    <hyperlink ref="I1306" r:id="rId3900" display="https://www.inaturalist.org/observations/105532200"/>
    <hyperlink ref="G1307" r:id="rId3901" display="dominique_fleurot"/>
    <hyperlink ref="H1307" r:id="rId3902" display="Deed - Attribution-NonCommercial 4.0 International - Creative Commons"/>
    <hyperlink ref="I1307" r:id="rId3903" display="https://www.inaturalist.org/observations/265490615"/>
    <hyperlink ref="G1308" r:id="rId3904" display="val91"/>
    <hyperlink ref="H1308" r:id="rId3905" display="Deed - Attribution-NonCommercial 4.0 International - Creative Commons"/>
    <hyperlink ref="I1308" r:id="rId3906" display="https://www.inaturalist.org/observations/272931437"/>
    <hyperlink ref="G1309" r:id="rId3907" display="adurbano"/>
    <hyperlink ref="H1309" r:id="rId3908" display="Deed - Attribution-NonCommercial 4.0 International - Creative Commons"/>
    <hyperlink ref="I1309" r:id="rId3909" display="https://www.inaturalist.org/observations/307897712"/>
    <hyperlink ref="G1310" r:id="rId3910" display="persimonn"/>
    <hyperlink ref="H1310" r:id="rId3911" display="Deed - Attribution-NonCommercial 4.0 International - Creative Commons"/>
    <hyperlink ref="I1310" r:id="rId3912" display="https://www.inaturalist.org/observations/167868509"/>
    <hyperlink ref="G1311" r:id="rId3913" display="persimonn"/>
    <hyperlink ref="H1311" r:id="rId3914" display="Deed - Attribution-NonCommercial 4.0 International - Creative Commons"/>
    <hyperlink ref="I1311" r:id="rId3915" display="https://www.inaturalist.org/observations/167868509"/>
    <hyperlink ref="G1312" r:id="rId3916" display="persimonn"/>
    <hyperlink ref="H1312" r:id="rId3917" display="Deed - Attribution-NonCommercial 4.0 International - Creative Commons"/>
    <hyperlink ref="I1312" r:id="rId3918" display="https://www.inaturalist.org/observations/167868509"/>
    <hyperlink ref="G1313" r:id="rId3919" display="vbnt"/>
    <hyperlink ref="H1313" r:id="rId3920" display="Deed - Attribution-NonCommercial 4.0 International - Creative Commons"/>
    <hyperlink ref="I1313" r:id="rId3921" display="https://www.inaturalist.org/observations/276856415"/>
    <hyperlink ref="G1314" r:id="rId3922" display="adurbano"/>
    <hyperlink ref="H1314" r:id="rId3923" display="Deed - Attribution-NonCommercial 4.0 International - Creative Commons"/>
    <hyperlink ref="I1314" r:id="rId3924" display="https://www.inaturalist.org/observations/338680748"/>
    <hyperlink ref="G1315" r:id="rId3925" display="accidentalshrike"/>
    <hyperlink ref="H1315" r:id="rId3926" display="Deed - Attribution-NonCommercial 4.0 International - Creative Commons"/>
    <hyperlink ref="I1315" r:id="rId3927" display="https://www.inaturalist.org/observations/350708735"/>
    <hyperlink ref="G1316" r:id="rId3928" display="jerrygggg"/>
    <hyperlink ref="H1316" r:id="rId3929" display="Deed - Attribution-NonCommercial 4.0 International - Creative Commons"/>
    <hyperlink ref="I1316" r:id="rId3930" display="https://www.inaturalist.org/observations/350723039"/>
    <hyperlink ref="G1317" r:id="rId3931" display="pl_stenger"/>
    <hyperlink ref="H1317" r:id="rId3932" display="Deed - Attribution-NonCommercial 4.0 International - Creative Commons"/>
    <hyperlink ref="I1317" r:id="rId3933" display="https://www.inaturalist.org/observations/105486704"/>
    <hyperlink ref="G1318" r:id="rId3934" display="adurbano"/>
    <hyperlink ref="H1318" r:id="rId3935" display="Deed - Attribution-NonCommercial 4.0 International - Creative Commons"/>
    <hyperlink ref="I1318" r:id="rId3936" display="https://www.inaturalist.org/observations/358564654"/>
    <hyperlink ref="G1319" r:id="rId3937" display="accidentalshrike"/>
    <hyperlink ref="H1319" r:id="rId3938" display="Deed - Attribution-NonCommercial 4.0 International - Creative Commons"/>
    <hyperlink ref="I1319" r:id="rId3939" display="https://www.inaturalist.org/observations/369662000"/>
    <hyperlink ref="G1320" r:id="rId3940" display="accidentalshrike"/>
    <hyperlink ref="H1320" r:id="rId3941" display="Deed - Attribution-NonCommercial 4.0 International - Creative Commons"/>
    <hyperlink ref="I1320" r:id="rId3942" display="https://www.inaturalist.org/observations/369662222"/>
    <hyperlink ref="G1321" r:id="rId3943" display="pl_stenger"/>
    <hyperlink ref="H1321" r:id="rId3944" display="Deed - Attribution-NonCommercial 4.0 International - Creative Commons"/>
    <hyperlink ref="I1321" r:id="rId3945" display="https://www.inaturalist.org/observations/92539524"/>
    <hyperlink ref="G1322" r:id="rId3946" display="accidentalshrike"/>
    <hyperlink ref="H1322" r:id="rId3947" display="Deed - Attribution-NonCommercial 4.0 International - Creative Commons"/>
    <hyperlink ref="I1322" r:id="rId3948" display="https://www.inaturalist.org/observations/369662222"/>
    <hyperlink ref="G1323" r:id="rId3949" display="accidentalshrike"/>
    <hyperlink ref="H1323" r:id="rId3950" display="Deed - Attribution-NonCommercial 4.0 International - Creative Commons"/>
    <hyperlink ref="I1323" r:id="rId3951" display="https://www.inaturalist.org/observations/369662398"/>
    <hyperlink ref="G1324" r:id="rId3952" display="accidentalshrike"/>
    <hyperlink ref="H1324" r:id="rId3953" display="Deed - Attribution-NonCommercial 4.0 International - Creative Commons"/>
    <hyperlink ref="I1324" r:id="rId3954" display="https://www.inaturalist.org/observations/369662624"/>
    <hyperlink ref="G1325" r:id="rId3955" display="adurbano"/>
    <hyperlink ref="H1325" r:id="rId3956" display="Deed - Attribution-NonCommercial 4.0 International - Creative Commons"/>
    <hyperlink ref="I1325" r:id="rId3957" display="https://www.inaturalist.org/observations/323473329"/>
    <hyperlink ref="G1326" r:id="rId3958" display="adurbano"/>
    <hyperlink ref="H1326" r:id="rId3959" display="Deed - Attribution-NonCommercial 4.0 International - Creative Commons"/>
    <hyperlink ref="I1326" r:id="rId3960" display="https://www.inaturalist.org/observations/323473329"/>
    <hyperlink ref="G1327" r:id="rId3961" display="adurbano"/>
    <hyperlink ref="H1327" r:id="rId3962" display="Deed - Attribution-NonCommercial 4.0 International - Creative Commons"/>
    <hyperlink ref="I1327" r:id="rId3963" display="https://www.inaturalist.org/observations/323473329"/>
    <hyperlink ref="G1328" r:id="rId3964" display="accidentalshrike"/>
    <hyperlink ref="H1328" r:id="rId3965" display="Deed - Attribution-NonCommercial 4.0 International - Creative Commons"/>
    <hyperlink ref="I1328" r:id="rId3966" display="https://www.inaturalist.org/observations/371087091"/>
    <hyperlink ref="G1329" r:id="rId3967" display="accidentalshrike"/>
    <hyperlink ref="H1329" r:id="rId3968" display="Deed - Attribution-NonCommercial 4.0 International - Creative Commons"/>
    <hyperlink ref="I1329" r:id="rId3969" display="https://www.inaturalist.org/observations/371087189"/>
    <hyperlink ref="G1330" r:id="rId3970" display="juju98"/>
    <hyperlink ref="H1330" r:id="rId3971" display="Deed - Attribution-NonCommercial 4.0 International - Creative Commons"/>
    <hyperlink ref="I1330" r:id="rId3972" display="https://www.inaturalist.org/observations/372483799"/>
    <hyperlink ref="G1331" r:id="rId3973" display="stephentho"/>
    <hyperlink ref="H1331" r:id="rId3974" display="Deed - Attribution-NonCommercial 4.0 International - Creative Commons"/>
    <hyperlink ref="I1331" r:id="rId3975" display="https://www.inaturalist.org/observations/153901585"/>
    <hyperlink ref="G1332" r:id="rId3976" display="adurbano"/>
    <hyperlink ref="H1332" r:id="rId3977" display="Deed - Attribution-NonCommercial 4.0 International - Creative Commons"/>
    <hyperlink ref="I1332" r:id="rId3978" display="https://www.inaturalist.org/observations/377083620"/>
    <hyperlink ref="G1333" r:id="rId3979" display="tommo1234"/>
    <hyperlink ref="H1333" r:id="rId3980" display="Deed - Attribution-NonCommercial 4.0 International - Creative Commons"/>
    <hyperlink ref="I1333" r:id="rId3981" display="https://www.inaturalist.org/observations/378925531"/>
    <hyperlink ref="G1334" r:id="rId3982" display="kbatjunior"/>
    <hyperlink ref="H1334" r:id="rId3983" display="Deed - Attribution-NonCommercial 4.0 International - Creative Commons"/>
    <hyperlink ref="I1334" r:id="rId3984" display="https://www.inaturalist.org/observations/375974821"/>
    <hyperlink ref="G1335" r:id="rId3985" display="ratus_ratus_mus_musculus"/>
    <hyperlink ref="H1335" r:id="rId3986" display="Deed - Attribution-NonCommercial 4.0 International - Creative Commons"/>
    <hyperlink ref="I1335" r:id="rId3987" display="https://www.inaturalist.org/observations/375771660"/>
    <hyperlink ref="G1336" r:id="rId3988" display="ratus_ratus_mus_musculus"/>
    <hyperlink ref="H1336" r:id="rId3989" display="Deed - Attribution-NonCommercial 4.0 International - Creative Commons"/>
    <hyperlink ref="I1336" r:id="rId3990" display="https://www.inaturalist.org/observations/375771660"/>
    <hyperlink ref="G1337" r:id="rId3991" display="ratus_ratus_mus_musculus"/>
    <hyperlink ref="H1337" r:id="rId3992" display="Deed - Attribution-NonCommercial 4.0 International - Creative Commons"/>
    <hyperlink ref="I1337" r:id="rId3993" display="https://www.inaturalist.org/observations/375771660"/>
    <hyperlink ref="G1338" r:id="rId3994" display="ratus_ratus_mus_musculus"/>
    <hyperlink ref="H1338" r:id="rId3995" display="Deed - Attribution-NonCommercial 4.0 International - Creative Commons"/>
    <hyperlink ref="I1338" r:id="rId3996" display="https://www.inaturalist.org/observations/375771660"/>
    <hyperlink ref="G1339" r:id="rId3997" display="ratus_ratus_mus_musculus"/>
    <hyperlink ref="H1339" r:id="rId3998" display="Deed - Attribution-NonCommercial 4.0 International - Creative Commons"/>
    <hyperlink ref="I1339" r:id="rId3999" display="https://www.inaturalist.org/observations/375771660"/>
    <hyperlink ref="G1340" r:id="rId4000" display="sihoey"/>
    <hyperlink ref="H1340" r:id="rId4001" display="Deed - Attribution-NonCommercial 4.0 International - Creative Commons"/>
    <hyperlink ref="I1340" r:id="rId4002" display="https://www.inaturalist.org/observations/375513809"/>
    <hyperlink ref="G1341" r:id="rId4003" display="craeofsunshine"/>
    <hyperlink ref="H1341" r:id="rId4004" display="Deed - Attribution-NonCommercial 4.0 International - Creative Commons"/>
    <hyperlink ref="I1341" r:id="rId4005" display="https://www.inaturalist.org/observations/374204117"/>
    <hyperlink ref="G1342" r:id="rId4006" display="tmyknckr"/>
    <hyperlink ref="H1342" r:id="rId4007" display="Deed - Attribution-NonCommercial 4.0 International - Creative Commons"/>
    <hyperlink ref="I1342" r:id="rId4008" display="https://www.inaturalist.org/observations/374151342"/>
    <hyperlink ref="G1343" r:id="rId4009" display="sonya78"/>
    <hyperlink ref="H1343" r:id="rId4010" display="Deed - Attribution-NonCommercial 4.0 International - Creative Commons"/>
    <hyperlink ref="I1343" r:id="rId4011" display="https://www.inaturalist.org/observations/373805738"/>
    <hyperlink ref="G1344" r:id="rId4012" display="anne-mariesydes"/>
    <hyperlink ref="H1344" r:id="rId4013" display="Deed - Attribution-NonCommercial 4.0 International - Creative Commons"/>
    <hyperlink ref="I1344" r:id="rId4014" display="https://www.inaturalist.org/observations/371899277"/>
    <hyperlink ref="G1345" r:id="rId4015" display="bignatureboiii"/>
    <hyperlink ref="H1345" r:id="rId4016" display="Deed - Attribution-NonCommercial 4.0 International - Creative Commons"/>
    <hyperlink ref="I1345" r:id="rId4017" display="https://www.inaturalist.org/observations/368276380"/>
    <hyperlink ref="G1346" r:id="rId4018" display="roratheexplorer"/>
    <hyperlink ref="H1346" r:id="rId4019" display="Deed - Attribution-NonCommercial 4.0 International - Creative Commons"/>
    <hyperlink ref="I1346" r:id="rId4020" display="https://www.inaturalist.org/observations/367339355"/>
    <hyperlink ref="G1347" r:id="rId4021" display="roratheexplorer"/>
    <hyperlink ref="H1347" r:id="rId4022" display="Deed - Attribution-NonCommercial 4.0 International - Creative Commons"/>
    <hyperlink ref="I1347" r:id="rId4023" display="https://www.inaturalist.org/observations/367339355"/>
    <hyperlink ref="G1348" r:id="rId4024" display="alisonpearson"/>
    <hyperlink ref="H1348" r:id="rId4025" display="Deed - Attribution-NonCommercial 4.0 International - Creative Commons"/>
    <hyperlink ref="I1348" r:id="rId4026" display="https://www.inaturalist.org/observations/365576973"/>
    <hyperlink ref="G1349" r:id="rId4027" display="allthingswildlife2004"/>
    <hyperlink ref="H1349" r:id="rId4028" display="Deed - Attribution-NonCommercial 4.0 International - Creative Commons"/>
    <hyperlink ref="I1349" r:id="rId4029" display="https://www.inaturalist.org/observations/364198023"/>
    <hyperlink ref="G1350" r:id="rId4030" display="livvy_tyson"/>
    <hyperlink ref="H1350" r:id="rId4031" display="Deed - Attribution-NonCommercial 4.0 International - Creative Commons"/>
    <hyperlink ref="I1350" r:id="rId4032" display="https://www.inaturalist.org/observations/362714528"/>
    <hyperlink ref="G1351" r:id="rId4033" display="suzia97"/>
    <hyperlink ref="H1351" r:id="rId4034" display="Deed - Attribution-NonCommercial 4.0 International - Creative Commons"/>
    <hyperlink ref="I1351" r:id="rId4035" display="https://www.inaturalist.org/observations/362700575"/>
    <hyperlink ref="G1352" r:id="rId4036" display="leannep"/>
    <hyperlink ref="H1352" r:id="rId4037" display="Deed - Attribution-NonCommercial 4.0 International - Creative Commons"/>
    <hyperlink ref="I1352" r:id="rId4038" display="https://www.inaturalist.org/observations/361399270"/>
    <hyperlink ref="G1353" r:id="rId4039" display="debmetters"/>
    <hyperlink ref="H1353" r:id="rId4040" display="Deed - Attribution-NonCommercial 4.0 International - Creative Commons"/>
    <hyperlink ref="I1353" r:id="rId4041" display="https://www.inaturalist.org/observations/360855930"/>
    <hyperlink ref="G1354" r:id="rId4042" display="debmetters"/>
    <hyperlink ref="H1354" r:id="rId4043" display="Deed - Attribution-NonCommercial 4.0 International - Creative Commons"/>
    <hyperlink ref="I1354" r:id="rId4044" display="https://www.inaturalist.org/observations/360855925"/>
    <hyperlink ref="G1355" r:id="rId4045" display="mieke_van_der_merwe"/>
    <hyperlink ref="H1355" r:id="rId4046" display="Deed - Attribution-NonCommercial 4.0 International - Creative Commons"/>
    <hyperlink ref="I1355" r:id="rId4047" display="https://www.inaturalist.org/observations/359781290"/>
    <hyperlink ref="G1356" r:id="rId4048" display="jjlc"/>
    <hyperlink ref="H1356" r:id="rId4049" display="Deed - Attribution-NonCommercial 4.0 International - Creative Commons"/>
    <hyperlink ref="I1356" r:id="rId4050" display="https://www.inaturalist.org/observations/358741407"/>
    <hyperlink ref="G1357" r:id="rId4051" display="corticulturalist"/>
    <hyperlink ref="H1357" r:id="rId4052" display="Deed - Attribution-NonCommercial 4.0 International - Creative Commons"/>
    <hyperlink ref="I1357" r:id="rId4053" display="https://www.inaturalist.org/observations/357852425"/>
    <hyperlink ref="G1358" r:id="rId4054" display="tyraman"/>
    <hyperlink ref="H1358" r:id="rId4055" display="Deed - Attribution-NonCommercial 4.0 International - Creative Commons"/>
    <hyperlink ref="I1358" r:id="rId4056" display="https://www.inaturalist.org/observations/357779380"/>
    <hyperlink ref="G1359" r:id="rId4057" display="rreams"/>
    <hyperlink ref="H1359" r:id="rId4058" display="Deed - Attribution-NonCommercial 4.0 International - Creative Commons"/>
    <hyperlink ref="I1359" r:id="rId4059" display="https://www.inaturalist.org/observations/355729138"/>
    <hyperlink ref="G1360" r:id="rId4060" display="liamjsmith"/>
    <hyperlink ref="H1360" r:id="rId4061" display="Deed - Attribution-NonCommercial 4.0 International - Creative Commons"/>
    <hyperlink ref="I1360" r:id="rId4062" display="https://www.inaturalist.org/observations/354228873"/>
    <hyperlink ref="G1361" r:id="rId4063" display="cookie_dough1212"/>
    <hyperlink ref="H1361" r:id="rId4064" display="Deed - Attribution-NonCommercial 4.0 International - Creative Commons"/>
    <hyperlink ref="I1361" r:id="rId4065" display="https://www.inaturalist.org/observations/352418160"/>
    <hyperlink ref="G1362" r:id="rId4066" display="cookie_dough1212"/>
    <hyperlink ref="H1362" r:id="rId4067" display="Deed - Attribution-NonCommercial 4.0 International - Creative Commons"/>
    <hyperlink ref="I1362" r:id="rId4068" display="https://www.inaturalist.org/observations/352418160"/>
    <hyperlink ref="G1363" r:id="rId4069" display="cookie_dough1212"/>
    <hyperlink ref="H1363" r:id="rId4070" display="Deed - Attribution-NonCommercial 4.0 International - Creative Commons"/>
    <hyperlink ref="I1363" r:id="rId4071" display="https://www.inaturalist.org/observations/352418160"/>
    <hyperlink ref="G1364" r:id="rId4072" display="sfitty"/>
    <hyperlink ref="H1364" r:id="rId4073" display="Deed - Attribution-NonCommercial 4.0 International - Creative Commons"/>
    <hyperlink ref="I1364" r:id="rId4074" display="https://www.inaturalist.org/observations/351858991"/>
    <hyperlink ref="G1365" r:id="rId4075" display="mickdrews"/>
    <hyperlink ref="H1365" r:id="rId4076" display="Deed - Attribution-NonCommercial 4.0 International - Creative Commons"/>
    <hyperlink ref="I1365" r:id="rId4077" display="https://www.inaturalist.org/observations/351581355"/>
    <hyperlink ref="G1366" r:id="rId4078" display="rattytattatt"/>
    <hyperlink ref="H1366" r:id="rId4079" display="Deed - Attribution-NonCommercial 4.0 International - Creative Commons"/>
    <hyperlink ref="I1366" r:id="rId4080" display="https://www.inaturalist.org/observations/351426147"/>
    <hyperlink ref="G1367" r:id="rId4081" display="hilarydavern"/>
    <hyperlink ref="H1367" r:id="rId4082" display="Deed - Attribution-NonCommercial 4.0 International - Creative Commons"/>
    <hyperlink ref="I1367" r:id="rId4083" display="https://www.inaturalist.org/observations/350778497"/>
    <hyperlink ref="G1368" r:id="rId4084" display="nait_butterworth"/>
    <hyperlink ref="H1368" r:id="rId4085" display="Deed - Attribution-NonCommercial 4.0 International - Creative Commons"/>
    <hyperlink ref="I1368" r:id="rId4086" display="https://www.inaturalist.org/observations/380274273"/>
    <hyperlink ref="G1369" r:id="rId4087" display="timshroom"/>
    <hyperlink ref="H1369" r:id="rId4088" display="Deed - Attribution-NonCommercial 4.0 International - Creative Commons"/>
    <hyperlink ref="I1369" r:id="rId4089" display="https://www.inaturalist.org/observations/366248169"/>
    <hyperlink ref="G1370" r:id="rId4090" display="blake_fittler"/>
    <hyperlink ref="H1370" r:id="rId4091" display="Deed - Attribution-NonCommercial 4.0 International - Creative Commons"/>
    <hyperlink ref="I1370" r:id="rId4092" display="https://www.inaturalist.org/observations/363588567"/>
    <hyperlink ref="G1371" r:id="rId4093" display="benschultz1"/>
    <hyperlink ref="H1371" r:id="rId4094" display="Deed - Attribution-NonCommercial 4.0 International - Creative Commons"/>
    <hyperlink ref="I1371" r:id="rId4095" display="https://www.inaturalist.org/observations/363205017"/>
    <hyperlink ref="G1372" r:id="rId4096" display="edwardsjn"/>
    <hyperlink ref="H1372" r:id="rId4097" display="Deed - Attribution-NonCommercial 4.0 International - Creative Commons"/>
    <hyperlink ref="I1372" r:id="rId4098" display="https://www.inaturalist.org/observations/363203077"/>
    <hyperlink ref="G1373" r:id="rId4099" display="nick_vine"/>
    <hyperlink ref="H1373" r:id="rId4100" display="Deed - Attribution-NonCommercial 4.0 International - Creative Commons"/>
    <hyperlink ref="I1373" r:id="rId4101" display="https://www.inaturalist.org/observations/362178430"/>
    <hyperlink ref="G1374" r:id="rId4102" display="beckie_gee"/>
    <hyperlink ref="H1374" r:id="rId4103" display="Deed - Attribution-NonCommercial 4.0 International - Creative Commons"/>
    <hyperlink ref="I1374" r:id="rId4104" display="https://www.inaturalist.org/observations/360166788"/>
    <hyperlink ref="G1375" r:id="rId4105" display="beckie_gee"/>
    <hyperlink ref="H1375" r:id="rId4106" display="Deed - Attribution-NonCommercial 4.0 International - Creative Commons"/>
    <hyperlink ref="I1375" r:id="rId4107" display="https://www.inaturalist.org/observations/360166788"/>
    <hyperlink ref="G1376" r:id="rId4108" display="woollahrabiodiversity"/>
    <hyperlink ref="H1376" r:id="rId4109" display="Deed - Attribution-NonCommercial 4.0 International - Creative Commons"/>
    <hyperlink ref="I1376" r:id="rId4110" display="https://www.inaturalist.org/observations/359105606"/>
    <hyperlink ref="G1377" r:id="rId4111" display="lincolnwallerr"/>
    <hyperlink ref="H1377" r:id="rId4112" display="Deed - Attribution-NonCommercial 4.0 International - Creative Commons"/>
    <hyperlink ref="I1377" r:id="rId4113" display="https://www.inaturalist.org/observations/357457228"/>
    <hyperlink ref="G1378" r:id="rId4114" display="blake_fittler"/>
    <hyperlink ref="H1378" r:id="rId4115" display="Deed - Attribution-NonCommercial 4.0 International - Creative Commons"/>
    <hyperlink ref="I1378" r:id="rId4116" display="https://www.inaturalist.org/observations/355218200"/>
    <hyperlink ref="G1379" r:id="rId4117" display="forestrain"/>
    <hyperlink ref="H1379" r:id="rId4118" display="Deed - Attribution-NonCommercial 4.0 International - Creative Commons"/>
    <hyperlink ref="I1379" r:id="rId4119" display="https://www.inaturalist.org/observations/350695820"/>
    <hyperlink ref="G1380" r:id="rId4120" display="iriki"/>
    <hyperlink ref="H1380" r:id="rId4121" display="Deed - Attribution-NonCommercial 4.0 International - Creative Commons"/>
    <hyperlink ref="I1380" r:id="rId4122" display="https://www.inaturalist.org/observations/348723813"/>
    <hyperlink ref="G1381" r:id="rId4123" display="blake_fittler"/>
    <hyperlink ref="H1381" r:id="rId4124" display="Deed - Attribution-NonCommercial 4.0 International - Creative Commons"/>
    <hyperlink ref="I1381" r:id="rId4125" display="https://www.inaturalist.org/observations/347483047"/>
    <hyperlink ref="G1382" r:id="rId4126" display="peterdejongh5"/>
    <hyperlink ref="H1382" r:id="rId4127" display="Deed - Attribution-NonCommercial 4.0 International - Creative Commons"/>
    <hyperlink ref="I1382" r:id="rId4128" display="https://www.inaturalist.org/observations/346120559"/>
    <hyperlink ref="G1383" r:id="rId4129" display="andrewpavlov"/>
    <hyperlink ref="H1383" r:id="rId4130" display="Deed - Attribution-NonCommercial 4.0 International - Creative Commons"/>
    <hyperlink ref="I1383" r:id="rId4131" display="https://www.inaturalist.org/observations/337914221"/>
    <hyperlink ref="G1384" r:id="rId4132" display="andrewpavlov"/>
    <hyperlink ref="H1384" r:id="rId4133" display="Deed - Attribution-NonCommercial 4.0 International - Creative Commons"/>
    <hyperlink ref="I1384" r:id="rId4134" display="https://www.inaturalist.org/observations/337914221"/>
    <hyperlink ref="G1385" r:id="rId4135" display="nashj_e"/>
    <hyperlink ref="H1385" r:id="rId4136" display="Deed - Attribution-NonCommercial 4.0 International - Creative Commons"/>
    <hyperlink ref="I1385" r:id="rId4137" display="https://www.inaturalist.org/observations/337533201"/>
    <hyperlink ref="G1386" r:id="rId4138" display="charliedv87"/>
    <hyperlink ref="H1386" r:id="rId4139" display="Deed - Attribution-NonCommercial 4.0 International - Creative Commons"/>
    <hyperlink ref="I1386" r:id="rId4140" display="https://www.inaturalist.org/observations/337308475"/>
    <hyperlink ref="G1387" r:id="rId4141" display="mitch_612"/>
    <hyperlink ref="H1387" r:id="rId4142" display="Deed - Attribution-NonCommercial 4.0 International - Creative Commons"/>
    <hyperlink ref="I1387" r:id="rId4143" display="https://www.inaturalist.org/observations/336926138"/>
    <hyperlink ref="G1388" r:id="rId4144" display="harrison_hogden"/>
    <hyperlink ref="H1388" r:id="rId4145" display="Deed - Attribution-NonCommercial 4.0 International - Creative Commons"/>
    <hyperlink ref="I1388" r:id="rId4146" display="https://www.inaturalist.org/observations/336638393"/>
    <hyperlink ref="G1389" r:id="rId4147" display="ray_turnbull"/>
    <hyperlink ref="H1389" r:id="rId4148" display="Deed - Attribution-NonCommercial 4.0 International - Creative Commons"/>
    <hyperlink ref="I1389" r:id="rId4149" display="https://www.inaturalist.org/observations/336030683"/>
    <hyperlink ref="G1390" r:id="rId4150" display="rickshine"/>
    <hyperlink ref="H1390" r:id="rId4151" display="Deed - Attribution-NonCommercial 4.0 International - Creative Commons"/>
    <hyperlink ref="I1390" r:id="rId4152" display="https://www.inaturalist.org/observations/335809474"/>
    <hyperlink ref="G1391" r:id="rId4153" display="gregmccroary"/>
    <hyperlink ref="H1391" r:id="rId4154" display="Deed - Attribution-NonCommercial 4.0 International - Creative Commons"/>
    <hyperlink ref="I1391" r:id="rId4155" display="https://www.inaturalist.org/observations/335632234"/>
    <hyperlink ref="G1392" r:id="rId4156" display="gregmccroary"/>
    <hyperlink ref="H1392" r:id="rId4157" display="Deed - Attribution-NonCommercial 4.0 International - Creative Commons"/>
    <hyperlink ref="I1392" r:id="rId4158" display="https://www.inaturalist.org/observations/335632234"/>
    <hyperlink ref="G1393" r:id="rId4159" display="margot_oorebeek"/>
    <hyperlink ref="H1393" r:id="rId4160" display="Deed - Attribution-NonCommercial 4.0 International - Creative Commons"/>
    <hyperlink ref="I1393" r:id="rId4161" display="https://www.inaturalist.org/observations/335325021"/>
    <hyperlink ref="G1394" r:id="rId4162" display="margot_oorebeek"/>
    <hyperlink ref="H1394" r:id="rId4163" display="Deed - Attribution-NonCommercial 4.0 International - Creative Commons"/>
    <hyperlink ref="I1394" r:id="rId4164" display="https://www.inaturalist.org/observations/335325021"/>
    <hyperlink ref="G1395" r:id="rId4165" display="margot_oorebeek"/>
    <hyperlink ref="H1395" r:id="rId4166" display="Deed - Attribution-NonCommercial 4.0 International - Creative Commons"/>
    <hyperlink ref="I1395" r:id="rId4167" display="https://www.inaturalist.org/observations/335325021"/>
    <hyperlink ref="G1396" r:id="rId4168" display="kevinrothschild"/>
    <hyperlink ref="H1396" r:id="rId4169" display="Deed - Attribution-NonCommercial 4.0 International - Creative Commons"/>
    <hyperlink ref="I1396" r:id="rId4170" display="https://www.inaturalist.org/observations/333660145"/>
    <hyperlink ref="G1397" r:id="rId4171" display="debmetters"/>
    <hyperlink ref="H1397" r:id="rId4172" display="Deed - Attribution-NonCommercial 4.0 International - Creative Commons"/>
    <hyperlink ref="I1397" r:id="rId4173" display="https://www.inaturalist.org/observations/332411415"/>
    <hyperlink ref="G1398" r:id="rId4174" display="marzngard"/>
    <hyperlink ref="H1398" r:id="rId4175" display="Deed - Attribution-NonCommercial 4.0 International - Creative Commons"/>
    <hyperlink ref="I1398" r:id="rId4176" display="https://www.inaturalist.org/observations/331618539"/>
    <hyperlink ref="G1399" r:id="rId4177" display="thewildgtrv"/>
    <hyperlink ref="H1399" r:id="rId4178" display="Deed - Attribution-NonCommercial 4.0 International - Creative Commons"/>
    <hyperlink ref="I1399" r:id="rId4179" display="https://www.inaturalist.org/observations/331498018"/>
    <hyperlink ref="G1400" r:id="rId4180" display="charliedv87"/>
    <hyperlink ref="H1400" r:id="rId4181" display="Deed - Attribution-NonCommercial 4.0 International - Creative Commons"/>
    <hyperlink ref="I1400" r:id="rId4182" display="https://www.inaturalist.org/observations/330705893"/>
    <hyperlink ref="G1401" r:id="rId4183" display="charliedv87"/>
    <hyperlink ref="H1401" r:id="rId4184" display="Deed - Attribution-NonCommercial 4.0 International - Creative Commons"/>
    <hyperlink ref="I1401" r:id="rId4185" display="https://www.inaturalist.org/observations/330705893"/>
    <hyperlink ref="G1402" r:id="rId4186" display="mhocking"/>
    <hyperlink ref="H1402" r:id="rId4187" display="Deed - Attribution-NonCommercial 4.0 International - Creative Commons"/>
    <hyperlink ref="I1402" r:id="rId4188" display="https://www.inaturalist.org/observations/330258316"/>
    <hyperlink ref="G1403" r:id="rId4189" display="nirbnom"/>
    <hyperlink ref="H1403" r:id="rId4190" display="Deed - Attribution-NonCommercial 4.0 International - Creative Commons"/>
    <hyperlink ref="I1403" r:id="rId4191" display="https://www.inaturalist.org/observations/379630561"/>
    <hyperlink ref="G1404" r:id="rId4192" display="davidgwhite"/>
    <hyperlink ref="H1404" r:id="rId4193" display="Deed - Attribution-NonCommercial 4.0 International - Creative Commons"/>
    <hyperlink ref="I1404" r:id="rId4194" display="https://www.inaturalist.org/observations/378956768"/>
    <hyperlink ref="G1405" r:id="rId4195" display="julieward"/>
    <hyperlink ref="H1405" r:id="rId4196" display="Deed - Attribution-NonCommercial 4.0 International - Creative Commons"/>
    <hyperlink ref="I1405" r:id="rId4197" display="https://www.inaturalist.org/observations/378328871"/>
    <hyperlink ref="G1406" r:id="rId4198" display="julieward"/>
    <hyperlink ref="H1406" r:id="rId4199" display="Deed - Attribution-NonCommercial 4.0 International - Creative Commons"/>
    <hyperlink ref="I1406" r:id="rId4200" display="https://www.inaturalist.org/observations/378328871"/>
    <hyperlink ref="G1407" r:id="rId4201" display="mieke_van_der_merwe"/>
    <hyperlink ref="H1407" r:id="rId4202" display="Deed - Attribution-NonCommercial 4.0 International - Creative Commons"/>
    <hyperlink ref="I1407" r:id="rId4203" display="https://www.inaturalist.org/observations/371158471"/>
    <hyperlink ref="G1408" r:id="rId4204" display="davidgwhite"/>
    <hyperlink ref="H1408" r:id="rId4205" display="Deed - Attribution-NonCommercial 4.0 International - Creative Commons"/>
    <hyperlink ref="I1408" r:id="rId4206" display="https://www.inaturalist.org/observations/367319690"/>
    <hyperlink ref="G1409" r:id="rId4207" display="davidgwhite"/>
    <hyperlink ref="H1409" r:id="rId4208" display="Deed - Attribution-NonCommercial 4.0 International - Creative Commons"/>
    <hyperlink ref="I1409" r:id="rId4209" display="https://www.inaturalist.org/observations/367319690"/>
    <hyperlink ref="G1410" r:id="rId4210" display="davidgwhite"/>
    <hyperlink ref="H1410" r:id="rId4211" display="Deed - Attribution-NonCommercial 4.0 International - Creative Commons"/>
    <hyperlink ref="I1410" r:id="rId4212" display="https://www.inaturalist.org/observations/367319690"/>
    <hyperlink ref="G1411" r:id="rId4213" display="davidgwhite"/>
    <hyperlink ref="H1411" r:id="rId4214" display="Deed - Attribution-NonCommercial 4.0 International - Creative Commons"/>
    <hyperlink ref="I1411" r:id="rId4215" display="https://www.inaturalist.org/observations/367319690"/>
    <hyperlink ref="G1412" r:id="rId4216" display="livvy_tyson"/>
    <hyperlink ref="H1412" r:id="rId4217" display="Deed - Attribution-NonCommercial 4.0 International - Creative Commons"/>
    <hyperlink ref="I1412" r:id="rId4218" display="https://www.inaturalist.org/observations/362899660"/>
    <hyperlink ref="G1413" r:id="rId4219" display="livvy_tyson"/>
    <hyperlink ref="H1413" r:id="rId4220" display="Deed - Attribution-NonCommercial 4.0 International - Creative Commons"/>
    <hyperlink ref="I1413" r:id="rId4221" display="https://www.inaturalist.org/observations/361286874"/>
    <hyperlink ref="G1414" r:id="rId4222" display="living_daynagerously"/>
    <hyperlink ref="H1414" r:id="rId4223" display="Deed - Attribution-NonCommercial 4.0 International - Creative Commons"/>
    <hyperlink ref="I1414" r:id="rId4224" display="https://www.inaturalist.org/observations/358561764"/>
    <hyperlink ref="G1415" r:id="rId4225" display="living_daynagerously"/>
    <hyperlink ref="H1415" r:id="rId4226" display="Deed - Attribution-NonCommercial 4.0 International - Creative Commons"/>
    <hyperlink ref="I1415" r:id="rId4227" display="https://www.inaturalist.org/observations/358561764"/>
    <hyperlink ref="G1416" r:id="rId4228" display="sburnett"/>
    <hyperlink ref="H1416" r:id="rId4229" display="Deed - Attribution-NonCommercial 4.0 International - Creative Commons"/>
    <hyperlink ref="I1416" r:id="rId4230" display="https://www.inaturalist.org/observations/342510866"/>
    <hyperlink ref="G1417" r:id="rId4231" display="allthingswildlife2004"/>
    <hyperlink ref="H1417" r:id="rId4232" display="Deed - Attribution-NonCommercial 4.0 International - Creative Commons"/>
    <hyperlink ref="I1417" r:id="rId4233" display="https://www.inaturalist.org/observations/337391665"/>
    <hyperlink ref="G1418" r:id="rId4234" display="alisssssssa"/>
    <hyperlink ref="H1418" r:id="rId4235" display="Deed - Attribution-NonCommercial 4.0 International - Creative Commons"/>
    <hyperlink ref="I1418" r:id="rId4236" display="https://www.inaturalist.org/observations/335675566"/>
    <hyperlink ref="G1419" r:id="rId4237" display="davidgwhite"/>
    <hyperlink ref="H1419" r:id="rId4238" display="Deed - Attribution-NonCommercial 4.0 International - Creative Commons"/>
    <hyperlink ref="I1419" r:id="rId4239" display="https://www.inaturalist.org/observations/333930946"/>
    <hyperlink ref="G1420" r:id="rId4240" display="remiaosborne"/>
    <hyperlink ref="H1420" r:id="rId4241" display="Deed - Attribution-NonCommercial 4.0 International - Creative Commons"/>
    <hyperlink ref="I1420" r:id="rId4242" display="https://www.inaturalist.org/observations/330447365"/>
    <hyperlink ref="G1421" r:id="rId4243" display="remiaosborne"/>
    <hyperlink ref="H1421" r:id="rId4244" display="Deed - Attribution-NonCommercial 4.0 International - Creative Commons"/>
    <hyperlink ref="I1421" r:id="rId4245" display="https://www.inaturalist.org/observations/330447365"/>
    <hyperlink ref="G1422" r:id="rId4246" display="dark_morelia"/>
    <hyperlink ref="H1422" r:id="rId4247" display="Deed - Attribution-NonCommercial 4.0 International - Creative Commons"/>
    <hyperlink ref="I1422" r:id="rId4248" display="https://www.inaturalist.org/observations/329137363"/>
    <hyperlink ref="G1423" r:id="rId4249" display="dark_morelia"/>
    <hyperlink ref="H1423" r:id="rId4250" display="Deed - Attribution-NonCommercial 4.0 International - Creative Commons"/>
    <hyperlink ref="I1423" r:id="rId4251" display="https://www.inaturalist.org/observations/329137363"/>
    <hyperlink ref="G1424" r:id="rId4252" display="remiaosborne"/>
    <hyperlink ref="H1424" r:id="rId4253" display="Deed - Attribution-NonCommercial 4.0 International - Creative Commons"/>
    <hyperlink ref="I1424" r:id="rId4254" display="https://www.inaturalist.org/observations/327812482"/>
    <hyperlink ref="G1425" r:id="rId4255" display="leito19"/>
    <hyperlink ref="H1425" r:id="rId4256" display="Deed - Attribution-NonCommercial 4.0 International - Creative Commons"/>
    <hyperlink ref="I1425" r:id="rId4257" display="https://www.inaturalist.org/observations/322203986"/>
    <hyperlink ref="G1426" r:id="rId4258" display="leito19"/>
    <hyperlink ref="H1426" r:id="rId4259" display="Deed - Attribution-NonCommercial 4.0 International - Creative Commons"/>
    <hyperlink ref="I1426" r:id="rId4260" display="https://www.inaturalist.org/observations/322203986"/>
    <hyperlink ref="G1427" r:id="rId4261" display="axeholmes"/>
    <hyperlink ref="H1427" r:id="rId4262" display="Deed - Attribution-NonCommercial 4.0 International - Creative Commons"/>
    <hyperlink ref="I1427" r:id="rId4263" display="https://www.inaturalist.org/observations/320626465"/>
    <hyperlink ref="G1428" r:id="rId4264" display="grahamarmstrong"/>
    <hyperlink ref="H1428" r:id="rId4265" display="Deed - Attribution-NonCommercial 4.0 International - Creative Commons"/>
    <hyperlink ref="I1428" r:id="rId4266" display="https://www.inaturalist.org/observations/318373738"/>
    <hyperlink ref="G1429" r:id="rId4267" display="jpitcher"/>
    <hyperlink ref="H1429" r:id="rId4268" display="Deed - Attribution-NonCommercial 4.0 International - Creative Commons"/>
    <hyperlink ref="I1429" r:id="rId4269" display="https://www.inaturalist.org/observations/316417454"/>
    <hyperlink ref="G1430" r:id="rId4270" display="mikhab"/>
    <hyperlink ref="H1430" r:id="rId4271" display="Deed - Attribution-NonCommercial 4.0 International - Creative Commons"/>
    <hyperlink ref="I1430" r:id="rId4272" display="https://www.inaturalist.org/observations/312594501"/>
    <hyperlink ref="G1431" r:id="rId4273" display="patrickcoleman"/>
    <hyperlink ref="H1431" r:id="rId4274" display="Deed - Attribution-NonCommercial 4.0 International - Creative Commons"/>
    <hyperlink ref="I1431" r:id="rId4275" display="https://www.inaturalist.org/observations/309617136"/>
    <hyperlink ref="G1432" r:id="rId4276" display="patrickcoleman"/>
    <hyperlink ref="H1432" r:id="rId4277" display="Deed - Attribution-NonCommercial 4.0 International - Creative Commons"/>
    <hyperlink ref="I1432" r:id="rId4278" display="https://www.inaturalist.org/observations/309617136"/>
    <hyperlink ref="G1433" r:id="rId4279" display="aleckarcz"/>
    <hyperlink ref="H1433" r:id="rId4280" display="Deed - Attribution-NonCommercial 4.0 International - Creative Commons"/>
    <hyperlink ref="I1433" r:id="rId4281" display="https://www.inaturalist.org/observations/280936396"/>
    <hyperlink ref="G1434" r:id="rId4282" display="fnqnaturetours"/>
    <hyperlink ref="H1434" r:id="rId4283" display="Deed - Attribution-NonCommercial 4.0 International - Creative Commons"/>
    <hyperlink ref="I1434" r:id="rId4284" display="https://www.inaturalist.org/observations/260782853"/>
    <hyperlink ref="G1435" r:id="rId4285" display="aleckarcz"/>
    <hyperlink ref="H1435" r:id="rId4286" display="Deed - Attribution-NonCommercial 4.0 International - Creative Commons"/>
    <hyperlink ref="I1435" r:id="rId4287" display="https://www.inaturalist.org/observations/242993339"/>
    <hyperlink ref="G1436" r:id="rId4288" display="riki_paleatus"/>
    <hyperlink ref="H1436" r:id="rId4289" display="Deed - Attribution-NonCommercial 4.0 International - Creative Commons"/>
    <hyperlink ref="I1436" r:id="rId4290" display="https://www.inaturalist.org/observations/227044626"/>
    <hyperlink ref="G1437" r:id="rId4291" display="matthew_connors"/>
    <hyperlink ref="H1437" r:id="rId4292" display="Deed - Attribution-NonCommercial 4.0 International - Creative Commons"/>
    <hyperlink ref="I1437" r:id="rId4293" display="https://www.inaturalist.org/observations/209243039"/>
    <hyperlink ref="G1438" r:id="rId4294" display="roxylaz"/>
    <hyperlink ref="H1438" r:id="rId4295" display="Deed - Attribution-NonCommercial 4.0 International - Creative Commons"/>
    <hyperlink ref="I1438" r:id="rId4296" display="https://www.inaturalist.org/observations/365936433"/>
    <hyperlink ref="G1439" r:id="rId4297" display="roxylaz"/>
    <hyperlink ref="H1439" r:id="rId4298" display="Deed - Attribution-NonCommercial 4.0 International - Creative Commons"/>
    <hyperlink ref="I1439" r:id="rId4299" display="https://www.inaturalist.org/observations/365936433"/>
    <hyperlink ref="G1440" r:id="rId4300" display="axeholmes"/>
    <hyperlink ref="H1440" r:id="rId4301" display="Deed - Attribution-NonCommercial 4.0 International - Creative Commons"/>
    <hyperlink ref="I1440" r:id="rId4302" display="https://www.inaturalist.org/observations/362716153"/>
    <hyperlink ref="G1441" r:id="rId4303" display="albonez"/>
    <hyperlink ref="H1441" r:id="rId4304" display="Deed - Attribution-NonCommercial 4.0 International - Creative Commons"/>
    <hyperlink ref="I1441" r:id="rId4305" display="https://www.inaturalist.org/observations/357497565"/>
    <hyperlink ref="G1442" r:id="rId4306" display="elocyn"/>
    <hyperlink ref="H1442" r:id="rId4307" display="Deed - Attribution-NonCommercial 4.0 International - Creative Commons"/>
    <hyperlink ref="I1442" r:id="rId4308" display="https://www.inaturalist.org/observations/353090967"/>
    <hyperlink ref="G1443" r:id="rId4309" display="elocyn"/>
    <hyperlink ref="H1443" r:id="rId4310" display="Deed - Attribution-NonCommercial 4.0 International - Creative Commons"/>
    <hyperlink ref="I1443" r:id="rId4311" display="https://www.inaturalist.org/observations/351696368"/>
    <hyperlink ref="G1444" r:id="rId4312" display="anatinus"/>
    <hyperlink ref="H1444" r:id="rId4313" display="Deed - Attribution-NonCommercial 4.0 International - Creative Commons"/>
    <hyperlink ref="I1444" r:id="rId4314" display="https://www.inaturalist.org/observations/346445399"/>
    <hyperlink ref="G1445" r:id="rId4315" display="khensen"/>
    <hyperlink ref="H1445" r:id="rId4316" display="Deed - Attribution-NonCommercial 4.0 International - Creative Commons"/>
    <hyperlink ref="I1445" r:id="rId4317" display="https://www.inaturalist.org/observations/339014183"/>
    <hyperlink ref="G1446" r:id="rId4318" display="moocattle"/>
    <hyperlink ref="H1446" r:id="rId4319" display="Deed - Attribution-NonCommercial 4.0 International - Creative Commons"/>
    <hyperlink ref="I1446" r:id="rId4320" display="https://www.inaturalist.org/observations/338395552"/>
    <hyperlink ref="G1447" r:id="rId4321" display="dbrhplcd"/>
    <hyperlink ref="H1447" r:id="rId4322" display="Deed - Attribution-NonCommercial 4.0 International - Creative Commons"/>
    <hyperlink ref="I1447" r:id="rId4323" display="https://www.inaturalist.org/observations/336568284"/>
    <hyperlink ref="G1448" r:id="rId4324" display="dbrhplcd"/>
    <hyperlink ref="H1448" r:id="rId4325" display="Deed - Attribution-NonCommercial 4.0 International - Creative Commons"/>
    <hyperlink ref="I1448" r:id="rId4326" display="https://www.inaturalist.org/observations/336520572"/>
    <hyperlink ref="G1449" r:id="rId4327" display="tanyahattingh"/>
    <hyperlink ref="H1449" r:id="rId4328" display="Deed - Attribution-NonCommercial 4.0 International - Creative Commons"/>
    <hyperlink ref="I1449" r:id="rId4329" display="https://www.inaturalist.org/observations/333823393"/>
    <hyperlink ref="G1450" r:id="rId4330" display="jules_farquhar"/>
    <hyperlink ref="H1450" r:id="rId4331" display="Deed - Attribution-NonCommercial 4.0 International - Creative Commons"/>
    <hyperlink ref="I1450" r:id="rId4332" display="https://www.inaturalist.org/observations/327216060"/>
    <hyperlink ref="G1451" r:id="rId4333" display="jacopo_cristoni"/>
    <hyperlink ref="H1451" r:id="rId4334" display="Deed - Attribution-NonCommercial 4.0 International - Creative Commons"/>
    <hyperlink ref="I1451" r:id="rId4335" display="https://www.inaturalist.org/observations/318165910"/>
    <hyperlink ref="G1452" r:id="rId4336" display="edwardsjn"/>
    <hyperlink ref="H1452" r:id="rId4337" display="Deed - Attribution-NonCommercial 4.0 International - Creative Commons"/>
    <hyperlink ref="I1452" r:id="rId4338" display="https://www.inaturalist.org/observations/317670027"/>
    <hyperlink ref="G1453" r:id="rId4339" display="tmyknckr"/>
    <hyperlink ref="H1453" r:id="rId4340" display="Deed - Attribution-NonCommercial 4.0 International - Creative Commons"/>
    <hyperlink ref="I1453" r:id="rId4341" display="https://www.inaturalist.org/observations/312594679"/>
    <hyperlink ref="G1454" r:id="rId4342" display="lachlan_c"/>
    <hyperlink ref="H1454" r:id="rId4343" display="Deed - Attribution-NonCommercial 4.0 International - Creative Commons"/>
    <hyperlink ref="I1454" r:id="rId4344" display="https://www.inaturalist.org/observations/309171984"/>
    <hyperlink ref="G1455" r:id="rId4345" display="rubynats"/>
    <hyperlink ref="H1455" r:id="rId4346" display="Deed - Attribution-NonCommercial 4.0 International - Creative Commons"/>
    <hyperlink ref="I1455" r:id="rId4347" display="https://www.inaturalist.org/observations/290370990"/>
    <hyperlink ref="G1456" r:id="rId4348" display="margot_oorebeek"/>
    <hyperlink ref="H1456" r:id="rId4349" display="Deed - Attribution-NonCommercial 4.0 International - Creative Commons"/>
    <hyperlink ref="I1456" r:id="rId4350" display="https://www.inaturalist.org/observations/283853889"/>
    <hyperlink ref="G1457" r:id="rId4351" display="brendancasey"/>
    <hyperlink ref="H1457" r:id="rId4352" display="Deed - Attribution-NonCommercial 4.0 International - Creative Commons"/>
    <hyperlink ref="I1457" r:id="rId4353" display="https://www.inaturalist.org/observations/263150103"/>
    <hyperlink ref="G1458" r:id="rId4354" display="brendancasey"/>
    <hyperlink ref="H1458" r:id="rId4355" display="Deed - Attribution-NonCommercial 4.0 International - Creative Commons"/>
    <hyperlink ref="I1458" r:id="rId4356" display="https://www.inaturalist.org/observations/263150103"/>
    <hyperlink ref="G1459" r:id="rId4357" display="velocitams"/>
    <hyperlink ref="H1459" r:id="rId4358" display="Deed - Attribution-NonCommercial 4.0 International - Creative Commons"/>
    <hyperlink ref="I1459" r:id="rId4359" display="https://www.inaturalist.org/observations/254688161"/>
    <hyperlink ref="G1460" r:id="rId4360" display="jordan_a_mulder"/>
    <hyperlink ref="H1460" r:id="rId4361" display="Deed - Attribution-NonCommercial 4.0 International - Creative Commons"/>
    <hyperlink ref="I1460" r:id="rId4362" display="https://www.inaturalist.org/observations/249750471"/>
    <hyperlink ref="G1461" r:id="rId4363" display="jmag1"/>
    <hyperlink ref="H1461" r:id="rId4364" display="Deed - Attribution-NonCommercial 4.0 International - Creative Commons"/>
    <hyperlink ref="I1461" r:id="rId4365" display="https://www.inaturalist.org/observations/236430013"/>
    <hyperlink ref="G1462" r:id="rId4366" display="jmag1"/>
    <hyperlink ref="H1462" r:id="rId4367" display="Deed - Attribution-NonCommercial 4.0 International - Creative Commons"/>
    <hyperlink ref="I1462" r:id="rId4368" display="https://www.inaturalist.org/observations/236430013"/>
    <hyperlink ref="G1463" r:id="rId4369" display="danicalockett"/>
    <hyperlink ref="H1463" r:id="rId4370" display="Deed - Attribution-NonCommercial 4.0 International - Creative Commons"/>
    <hyperlink ref="I1463" r:id="rId4371" display="https://www.inaturalist.org/observations/229670893"/>
    <hyperlink ref="G1464" r:id="rId4372" display="danicalockett"/>
    <hyperlink ref="H1464" r:id="rId4373" display="Deed - Attribution-NonCommercial 4.0 International - Creative Commons"/>
    <hyperlink ref="I1464" r:id="rId4374" display="https://www.inaturalist.org/observations/229670893"/>
    <hyperlink ref="G1465" r:id="rId4375" display="jordanaquilina"/>
    <hyperlink ref="H1465" r:id="rId4376" display="Deed - Attribution-NonCommercial 4.0 International - Creative Commons"/>
    <hyperlink ref="I1465" r:id="rId4377" display="https://www.inaturalist.org/observations/203414088"/>
    <hyperlink ref="G1466" r:id="rId4378" display="lucegoose"/>
    <hyperlink ref="H1466" r:id="rId4379" display="Deed - Attribution-NonCommercial 4.0 International - Creative Commons"/>
    <hyperlink ref="I1466" r:id="rId4380" display="https://www.inaturalist.org/observations/193874096"/>
    <hyperlink ref="G1467" r:id="rId4381" display="adelaidef19"/>
    <hyperlink ref="H1467" r:id="rId4382" display="Deed - Attribution-NonCommercial 4.0 International - Creative Commons"/>
    <hyperlink ref="I1467" r:id="rId4383" display="https://www.inaturalist.org/observations/149713697"/>
    <hyperlink ref="G1468" r:id="rId4384" display="adelaidef19"/>
    <hyperlink ref="H1468" r:id="rId4385" display="Deed - Attribution-NonCommercial 4.0 International - Creative Commons"/>
    <hyperlink ref="I1468" r:id="rId4386" display="https://www.inaturalist.org/observations/149713697"/>
    <hyperlink ref="G1469" r:id="rId4387" display="morgan-rae"/>
    <hyperlink ref="H1469" r:id="rId4388" display="Deed - Attribution-NonCommercial 4.0 International - Creative Commons"/>
    <hyperlink ref="I1469" r:id="rId4389" display="https://www.inaturalist.org/observations/141783489"/>
    <hyperlink ref="G1470" r:id="rId4390" display="danpvdb"/>
    <hyperlink ref="H1470" r:id="rId4391" display="Deed - Attribution-NonCommercial 4.0 International - Creative Commons"/>
    <hyperlink ref="I1470" r:id="rId4392" display="https://www.inaturalist.org/observations/138541435"/>
    <hyperlink ref="G1471" r:id="rId4393" display="kingbrown87"/>
    <hyperlink ref="H1471" r:id="rId4394" display="Deed - Attribution-NonCommercial 4.0 International - Creative Commons"/>
    <hyperlink ref="I1471" r:id="rId4395" display="https://www.inaturalist.org/observations/135046668"/>
    <hyperlink ref="G1472" r:id="rId4396" display="cryptidbones"/>
    <hyperlink ref="H1472" r:id="rId4397" display="Deed - Attribution-NonCommercial 4.0 International - Creative Commons"/>
    <hyperlink ref="I1472" r:id="rId4398" display="https://www.inaturalist.org/observations/110745828"/>
    <hyperlink ref="G1473" r:id="rId4399" display="trasp"/>
    <hyperlink ref="H1473" r:id="rId4400" display="Deed - Attribution-NonCommercial 4.0 International - Creative Commons"/>
    <hyperlink ref="I1473" r:id="rId4401" display="https://www.inaturalist.org/observations/378730440"/>
    <hyperlink ref="G1474" r:id="rId4402" display="trasp"/>
    <hyperlink ref="H1474" r:id="rId4403" display="Deed - Attribution-NonCommercial 4.0 International - Creative Commons"/>
    <hyperlink ref="I1474" r:id="rId4404" display="https://www.inaturalist.org/observations/378730440"/>
    <hyperlink ref="G1475" r:id="rId4405" display="chris_dunning"/>
    <hyperlink ref="H1475" r:id="rId4406" display="Deed - Attribution-NonCommercial 4.0 International - Creative Commons"/>
    <hyperlink ref="I1475" r:id="rId4407" display="https://www.inaturalist.org/observations/372894665"/>
    <hyperlink ref="G1476" r:id="rId4408" display="jake-lovell98"/>
    <hyperlink ref="H1476" r:id="rId4409" display="Deed - Attribution-NonCommercial 4.0 International - Creative Commons"/>
    <hyperlink ref="I1476" r:id="rId4410" display="https://www.inaturalist.org/observations/372201455"/>
    <hyperlink ref="G1477" r:id="rId4411" display="jake-lovell98"/>
    <hyperlink ref="H1477" r:id="rId4412" display="Deed - Attribution-NonCommercial 4.0 International - Creative Commons"/>
    <hyperlink ref="I1477" r:id="rId4413" display="https://www.inaturalist.org/observations/372201455"/>
    <hyperlink ref="G1478" r:id="rId4414" display="millyinthebush"/>
    <hyperlink ref="H1478" r:id="rId4415" display="Deed - Attribution-NonCommercial 4.0 International - Creative Commons"/>
    <hyperlink ref="I1478" r:id="rId4416" display="https://www.inaturalist.org/observations/370465950"/>
    <hyperlink ref="G1479" r:id="rId4417" display="wanderingeco"/>
    <hyperlink ref="H1479" r:id="rId4418" display="Deed - Attribution-NonCommercial 4.0 International - Creative Commons"/>
    <hyperlink ref="I1479" r:id="rId4419" display="https://www.inaturalist.org/observations/369574123"/>
    <hyperlink ref="G1480" r:id="rId4420" display="lucbenper"/>
    <hyperlink ref="H1480" r:id="rId4421" display="Deed - Attribution-NonCommercial 4.0 International - Creative Commons"/>
    <hyperlink ref="I1480" r:id="rId4422" display="https://www.inaturalist.org/observations/367697627"/>
    <hyperlink ref="G1481" r:id="rId4423" display="edwardsjn"/>
    <hyperlink ref="H1481" r:id="rId4424" display="Deed - Attribution-NonCommercial 4.0 International - Creative Commons"/>
    <hyperlink ref="I1481" r:id="rId4425" display="https://www.inaturalist.org/observations/363203076"/>
    <hyperlink ref="G1482" r:id="rId4426" display="j_beatts"/>
    <hyperlink ref="H1482" r:id="rId4427" display="Deed - Attribution-NonCommercial 4.0 International - Creative Commons"/>
    <hyperlink ref="I1482" r:id="rId4428" display="https://www.inaturalist.org/observations/361147043"/>
    <hyperlink ref="G1483" r:id="rId4429" display="meggiew"/>
    <hyperlink ref="H1483" r:id="rId4430" display="Deed - Attribution-NonCommercial 4.0 International - Creative Commons"/>
    <hyperlink ref="I1483" r:id="rId4431" display="https://www.inaturalist.org/observations/356501868"/>
    <hyperlink ref="G1484" r:id="rId4432" display="jasvink"/>
    <hyperlink ref="H1484" r:id="rId4433" display="Deed - Attribution-NonCommercial 4.0 International - Creative Commons"/>
    <hyperlink ref="I1484" r:id="rId4434" display="https://www.inaturalist.org/observations/350483505"/>
    <hyperlink ref="G1485" r:id="rId4435" display="richardllewellyn"/>
    <hyperlink ref="H1485" r:id="rId4436" display="Deed - Attribution-NonCommercial 4.0 International - Creative Commons"/>
    <hyperlink ref="I1485" r:id="rId4437" display="https://www.inaturalist.org/observations/349971047"/>
    <hyperlink ref="G1486" r:id="rId4438" display="blake_fittler"/>
    <hyperlink ref="H1486" r:id="rId4439" display="Deed - Attribution-NonCommercial 4.0 International - Creative Commons"/>
    <hyperlink ref="I1486" r:id="rId4440" display="https://www.inaturalist.org/observations/348038285"/>
    <hyperlink ref="G1487" r:id="rId4441" display="willjmatthews04"/>
    <hyperlink ref="H1487" r:id="rId4442" display="Deed - Attribution-NonCommercial 4.0 International - Creative Commons"/>
    <hyperlink ref="I1487" r:id="rId4443" display="https://www.inaturalist.org/observations/347975194"/>
    <hyperlink ref="G1488" r:id="rId4444" display="willjmatthews04"/>
    <hyperlink ref="H1488" r:id="rId4445" display="Deed - Attribution-NonCommercial 4.0 International - Creative Commons"/>
    <hyperlink ref="I1488" r:id="rId4446" display="https://www.inaturalist.org/observations/347975194"/>
    <hyperlink ref="G1489" r:id="rId4447" display="riki_paleatus"/>
    <hyperlink ref="H1489" r:id="rId4448" display="Deed - Attribution-NonCommercial 4.0 International - Creative Commons"/>
    <hyperlink ref="I1489" r:id="rId4449" display="https://www.inaturalist.org/observations/347834918"/>
    <hyperlink ref="G1490" r:id="rId4450" display="riki_paleatus"/>
    <hyperlink ref="H1490" r:id="rId4451" display="Deed - Attribution-NonCommercial 4.0 International - Creative Commons"/>
    <hyperlink ref="I1490" r:id="rId4452" display="https://www.inaturalist.org/observations/347834918"/>
    <hyperlink ref="G1491" r:id="rId4453" display="remiaosborne"/>
    <hyperlink ref="H1491" r:id="rId4454" display="Deed - Attribution-NonCommercial 4.0 International - Creative Commons"/>
    <hyperlink ref="I1491" r:id="rId4455" display="https://www.inaturalist.org/observations/347186631"/>
    <hyperlink ref="G1492" r:id="rId4456" display="andyliving"/>
    <hyperlink ref="H1492" r:id="rId4457" display="Deed - Attribution-NonCommercial 4.0 International - Creative Commons"/>
    <hyperlink ref="I1492" r:id="rId4458" display="https://www.inaturalist.org/observations/346982084"/>
    <hyperlink ref="G1493" r:id="rId4459" display="andyliving"/>
    <hyperlink ref="H1493" r:id="rId4460" display="Deed - Attribution-NonCommercial 4.0 International - Creative Commons"/>
    <hyperlink ref="I1493" r:id="rId4461" display="https://www.inaturalist.org/observations/346782686"/>
    <hyperlink ref="G1494" r:id="rId4462" display="candiceskelton"/>
    <hyperlink ref="H1494" r:id="rId4463" display="Deed - Attribution-NonCommercial 4.0 International - Creative Commons"/>
    <hyperlink ref="I1494" r:id="rId4464" display="https://www.inaturalist.org/observations/344652718"/>
    <hyperlink ref="G1495" r:id="rId4465" display="blake_fittler"/>
    <hyperlink ref="H1495" r:id="rId4466" display="Deed - Attribution-NonCommercial 4.0 International - Creative Commons"/>
    <hyperlink ref="I1495" r:id="rId4467" display="https://www.inaturalist.org/observations/342260405"/>
    <hyperlink ref="G1496" r:id="rId4468" display="quollsskinks"/>
    <hyperlink ref="H1496" r:id="rId4469" display="Deed - Attribution-NonCommercial 4.0 International - Creative Commons"/>
    <hyperlink ref="I1496" r:id="rId4470" display="https://www.inaturalist.org/observations/342236205"/>
    <hyperlink ref="G1497" r:id="rId4471" display="quollsskinks"/>
    <hyperlink ref="H1497" r:id="rId4472" display="Deed - Attribution-NonCommercial 4.0 International - Creative Commons"/>
    <hyperlink ref="I1497" r:id="rId4473" display="https://www.inaturalist.org/observations/342236205"/>
    <hyperlink ref="G1498" r:id="rId4474" display="jye_brooksy"/>
    <hyperlink ref="H1498" r:id="rId4475" display="Deed - Attribution-NonCommercial 4.0 International - Creative Commons"/>
    <hyperlink ref="I1498" r:id="rId4476" display="https://www.inaturalist.org/observations/342175627"/>
    <hyperlink ref="G1499" r:id="rId4477" display="andrea93iga"/>
    <hyperlink ref="H1499" r:id="rId4478" display="Deed - Attribution-NonCommercial 4.0 International - Creative Commons"/>
    <hyperlink ref="I1499" r:id="rId4479" display="https://www.inaturalist.org/observations/341890638"/>
    <hyperlink ref="G1500" r:id="rId4480" display="sophiemah"/>
    <hyperlink ref="H1500" r:id="rId4481" display="Deed - Attribution-NonCommercial 4.0 International - Creative Commons"/>
    <hyperlink ref="I1500" r:id="rId4482" display="https://www.inaturalist.org/observations/341377352"/>
    <hyperlink ref="G1501" r:id="rId4483" display="sophiemah"/>
    <hyperlink ref="H1501" r:id="rId4484" display="Deed - Attribution-NonCommercial 4.0 International - Creative Commons"/>
    <hyperlink ref="I1501" r:id="rId4485" display="https://www.inaturalist.org/observations/341377352"/>
    <hyperlink ref="G1502" r:id="rId4486" display="dgreenwood53"/>
    <hyperlink ref="H1502" r:id="rId4487" display="Deed - Attribution-NonCommercial 4.0 International - Creative Commons"/>
    <hyperlink ref="I1502" r:id="rId4488" display="https://www.inaturalist.org/observations/341076904"/>
    <hyperlink ref="G1503" r:id="rId4489" display="duke_n"/>
    <hyperlink ref="H1503" r:id="rId4490" display="Deed - Attribution-NonCommercial 4.0 International - Creative Commons"/>
    <hyperlink ref="I1503" r:id="rId4491" display="https://www.inaturalist.org/observations/340930408"/>
    <hyperlink ref="G1504" r:id="rId4492" display="duke_n"/>
    <hyperlink ref="H1504" r:id="rId4493" display="Deed - Attribution-NonCommercial 4.0 International - Creative Commons"/>
    <hyperlink ref="I1504" r:id="rId4494" display="https://www.inaturalist.org/observations/340930408"/>
    <hyperlink ref="G1505" r:id="rId4495" display="eliap"/>
    <hyperlink ref="H1505" r:id="rId4496" display="Deed - Attribution-NonCommercial 4.0 International - Creative Commons"/>
    <hyperlink ref="I1505" r:id="rId4497" display="https://www.inaturalist.org/observations/339986114"/>
    <hyperlink ref="G1506" r:id="rId4498" display="osmosisly"/>
    <hyperlink ref="H1506" r:id="rId4499" display="Deed - Attribution-NonCommercial 4.0 International - Creative Commons"/>
    <hyperlink ref="I1506" r:id="rId4500" display="https://www.inaturalist.org/observations/337925531"/>
    <hyperlink ref="G1507" r:id="rId4501" display="jacobdevine"/>
    <hyperlink ref="H1507" r:id="rId4502" display="Deed - Attribution-NonCommercial 4.0 International - Creative Commons"/>
    <hyperlink ref="I1507" r:id="rId4503" display="https://www.inaturalist.org/observations/337617350"/>
    <hyperlink ref="G1508" r:id="rId4504" display="ulas_tekin"/>
    <hyperlink ref="H1508" r:id="rId4505" display="Deed - Attribution-NonCommercial 4.0 International - Creative Commons"/>
    <hyperlink ref="I1508" r:id="rId4506" display="https://www.inaturalist.org/observations/369260388"/>
    <hyperlink ref="G1509" r:id="rId4507" display="bugs_n_slugs"/>
    <hyperlink ref="H1509" r:id="rId4508" display="Deed - Attribution-NonCommercial 4.0 International - Creative Commons"/>
    <hyperlink ref="I1509" r:id="rId4509" display="https://www.inaturalist.org/observations/368300854"/>
    <hyperlink ref="G1510" r:id="rId4510" display="j_beatts"/>
    <hyperlink ref="H1510" r:id="rId4511" display="Deed - Attribution-NonCommercial 4.0 International - Creative Commons"/>
    <hyperlink ref="I1510" r:id="rId4512" display="https://www.inaturalist.org/observations/361153780"/>
    <hyperlink ref="G1511" r:id="rId4513" display="conscientiousobserver"/>
    <hyperlink ref="H1511" r:id="rId4514" display="Deed - Attribution-NonCommercial 4.0 International - Creative Commons"/>
    <hyperlink ref="I1511" r:id="rId4515" display="https://www.inaturalist.org/observations/361125139"/>
    <hyperlink ref="G1512" r:id="rId4516" display="ellerobertson"/>
    <hyperlink ref="H1512" r:id="rId4517" display="Deed - Attribution-NonCommercial 4.0 International - Creative Commons"/>
    <hyperlink ref="I1512" r:id="rId4518" display="https://www.inaturalist.org/observations/360135951"/>
    <hyperlink ref="G1513" r:id="rId4519" display="distinguished_orca"/>
    <hyperlink ref="H1513" r:id="rId4520" display="Deed - Attribution-NonCommercial 4.0 International - Creative Commons"/>
    <hyperlink ref="I1513" r:id="rId4521" display="https://www.inaturalist.org/observations/357797871"/>
    <hyperlink ref="G1514" r:id="rId4522" display="jenks04"/>
    <hyperlink ref="H1514" r:id="rId4523" display="Deed - Attribution-NonCommercial 4.0 International - Creative Commons"/>
    <hyperlink ref="I1514" r:id="rId4524" display="https://www.inaturalist.org/observations/351949126"/>
    <hyperlink ref="G1515" r:id="rId4525" display="damienesquerre2"/>
    <hyperlink ref="H1515" r:id="rId4526" display="Deed - Attribution-NonCommercial 4.0 International - Creative Commons"/>
    <hyperlink ref="I1515" r:id="rId4527" display="https://www.inaturalist.org/observations/351424157"/>
    <hyperlink ref="G1516" r:id="rId4528" display="mrlachlanb"/>
    <hyperlink ref="H1516" r:id="rId4529" display="Deed - Attribution-NonCommercial 4.0 International - Creative Commons"/>
    <hyperlink ref="I1516" r:id="rId4530" display="https://www.inaturalist.org/observations/349909250"/>
    <hyperlink ref="G1517" r:id="rId4531" display="mrlachlanb"/>
    <hyperlink ref="H1517" r:id="rId4532" display="Deed - Attribution-NonCommercial 4.0 International - Creative Commons"/>
    <hyperlink ref="I1517" r:id="rId4533" display="https://www.inaturalist.org/observations/349909250"/>
    <hyperlink ref="G1518" r:id="rId4534" display="mrlachlanb"/>
    <hyperlink ref="H1518" r:id="rId4535" display="Deed - Attribution-NonCommercial 4.0 International - Creative Commons"/>
    <hyperlink ref="I1518" r:id="rId4536" display="https://www.inaturalist.org/observations/348158005"/>
    <hyperlink ref="G1519" r:id="rId4537" display="murrayp88"/>
    <hyperlink ref="H1519" r:id="rId4538" display="Deed - Attribution-NonCommercial 4.0 International - Creative Commons"/>
    <hyperlink ref="I1519" r:id="rId4539" display="https://www.inaturalist.org/observations/348036559"/>
    <hyperlink ref="G1520" r:id="rId4540" display="murrayp88"/>
    <hyperlink ref="H1520" r:id="rId4541" display="Deed - Attribution-NonCommercial 4.0 International - Creative Commons"/>
    <hyperlink ref="I1520" r:id="rId4542" display="https://www.inaturalist.org/observations/348036559"/>
    <hyperlink ref="G1521" r:id="rId4543" display="insectivor3"/>
    <hyperlink ref="H1521" r:id="rId4544" display="Deed - Attribution-NonCommercial 4.0 International - Creative Commons"/>
    <hyperlink ref="I1521" r:id="rId4545" display="https://www.inaturalist.org/observations/348010676"/>
    <hyperlink ref="G1522" r:id="rId4546" display="fraserj09"/>
    <hyperlink ref="H1522" r:id="rId4547" display="Deed - Attribution-NonCommercial 4.0 International - Creative Commons"/>
    <hyperlink ref="I1522" r:id="rId4548" display="https://www.inaturalist.org/observations/347774798"/>
    <hyperlink ref="G1523" r:id="rId4549" display="tanb9"/>
    <hyperlink ref="H1523" r:id="rId4550" display="Deed - Attribution-NonCommercial 4.0 International - Creative Commons"/>
    <hyperlink ref="I1523" r:id="rId4551" display="https://www.inaturalist.org/observations/347761576"/>
    <hyperlink ref="G1524" r:id="rId4552" display="patsoates"/>
    <hyperlink ref="H1524" r:id="rId4553" display="Deed - Attribution-NonCommercial 4.0 International - Creative Commons"/>
    <hyperlink ref="I1524" r:id="rId4554" display="https://www.inaturalist.org/observations/347312370"/>
    <hyperlink ref="G1525" r:id="rId4555" display="kurtmck"/>
    <hyperlink ref="H1525" r:id="rId4556" display="Deed - Attribution-NonCommercial 4.0 International - Creative Commons"/>
    <hyperlink ref="I1525" r:id="rId4557" display="https://www.inaturalist.org/observations/346219689"/>
    <hyperlink ref="G1526" r:id="rId4558" display="jenks04"/>
    <hyperlink ref="H1526" r:id="rId4559" display="Deed - Attribution-NonCommercial 4.0 International - Creative Commons"/>
    <hyperlink ref="I1526" r:id="rId4560" display="https://www.inaturalist.org/observations/343093194"/>
    <hyperlink ref="G1527" r:id="rId4561" display="jenks04"/>
    <hyperlink ref="H1527" r:id="rId4562" display="Deed - Attribution-NonCommercial 4.0 International - Creative Commons"/>
    <hyperlink ref="I1527" r:id="rId4563" display="https://www.inaturalist.org/observations/343093194"/>
    <hyperlink ref="G1528" r:id="rId4564" display="jenks04"/>
    <hyperlink ref="H1528" r:id="rId4565" display="Deed - Attribution-NonCommercial 4.0 International - Creative Commons"/>
    <hyperlink ref="I1528" r:id="rId4566" display="https://www.inaturalist.org/observations/341220934"/>
    <hyperlink ref="G1529" r:id="rId4567" display="living_daynagerously"/>
    <hyperlink ref="H1529" r:id="rId4568" display="Deed - Attribution-NonCommercial 4.0 International - Creative Commons"/>
    <hyperlink ref="I1529" r:id="rId4569" display="https://www.inaturalist.org/observations/340285747"/>
    <hyperlink ref="G1530" r:id="rId4570" display="living_daynagerously"/>
    <hyperlink ref="H1530" r:id="rId4571" display="Deed - Attribution-NonCommercial 4.0 International - Creative Commons"/>
    <hyperlink ref="I1530" r:id="rId4572" display="https://www.inaturalist.org/observations/340285747"/>
    <hyperlink ref="G1531" r:id="rId4573" display="jenks04"/>
    <hyperlink ref="H1531" r:id="rId4574" display="Deed - Attribution-NonCommercial 4.0 International - Creative Commons"/>
    <hyperlink ref="I1531" r:id="rId4575" display="https://www.inaturalist.org/observations/340285568"/>
    <hyperlink ref="G1532" r:id="rId4576" display="jenks04"/>
    <hyperlink ref="H1532" r:id="rId4577" display="Deed - Attribution-NonCommercial 4.0 International - Creative Commons"/>
    <hyperlink ref="I1532" r:id="rId4578" display="https://www.inaturalist.org/observations/340285568"/>
    <hyperlink ref="G1533" r:id="rId4579" display="jenks04"/>
    <hyperlink ref="H1533" r:id="rId4580" display="Deed - Attribution-NonCommercial 4.0 International - Creative Commons"/>
    <hyperlink ref="I1533" r:id="rId4581" display="https://www.inaturalist.org/observations/340285568"/>
    <hyperlink ref="G1534" r:id="rId4582" display="nat_is_a_lost"/>
    <hyperlink ref="H1534" r:id="rId4583" display="Deed - Attribution-NonCommercial 4.0 International - Creative Commons"/>
    <hyperlink ref="I1534" r:id="rId4584" display="https://www.inaturalist.org/observations/340016560"/>
    <hyperlink ref="G1535" r:id="rId4585" display="mia_hosken"/>
    <hyperlink ref="H1535" r:id="rId4586" display="Deed - Attribution-NonCommercial 4.0 International - Creative Commons"/>
    <hyperlink ref="I1535" r:id="rId4587" display="https://www.inaturalist.org/observations/339709437"/>
    <hyperlink ref="G1536" r:id="rId4588" display="mia_hosken"/>
    <hyperlink ref="H1536" r:id="rId4589" display="Deed - Attribution-NonCommercial 4.0 International - Creative Commons"/>
    <hyperlink ref="I1536" r:id="rId4590" display="https://www.inaturalist.org/observations/339709437"/>
    <hyperlink ref="G1537" r:id="rId4591" display="fraserj09"/>
    <hyperlink ref="H1537" r:id="rId4592" display="Deed - Attribution-NonCommercial 4.0 International - Creative Commons"/>
    <hyperlink ref="I1537" r:id="rId4593" display="https://www.inaturalist.org/observations/339621624"/>
    <hyperlink ref="G1538" r:id="rId4594" display="fraserj09"/>
    <hyperlink ref="H1538" r:id="rId4595" display="Deed - Attribution-NonCommercial 4.0 International - Creative Commons"/>
    <hyperlink ref="I1538" r:id="rId4596" display="https://www.inaturalist.org/observations/339621623"/>
    <hyperlink ref="G1539" r:id="rId4597" display="fraserj09"/>
    <hyperlink ref="H1539" r:id="rId4598" display="Deed - Attribution-NonCommercial 4.0 International - Creative Commons"/>
    <hyperlink ref="I1539" r:id="rId4599" display="https://www.inaturalist.org/observations/339621622"/>
    <hyperlink ref="G1540" r:id="rId4600" display="t-weichselbaum"/>
    <hyperlink ref="H1540" r:id="rId4601" display="Deed - Attribution-NonCommercial 4.0 International - Creative Commons"/>
    <hyperlink ref="I1540" r:id="rId4602" display="https://www.inaturalist.org/observations/336440788"/>
    <hyperlink ref="G1541" r:id="rId4603" display="t-weichselbaum"/>
    <hyperlink ref="H1541" r:id="rId4604" display="Deed - Attribution-NonCommercial 4.0 International - Creative Commons"/>
    <hyperlink ref="I1541" r:id="rId4605" display="https://www.inaturalist.org/observations/336440788"/>
    <hyperlink ref="G1542" r:id="rId4606" display="t-weichselbaum"/>
    <hyperlink ref="H1542" r:id="rId4607" display="Deed - Attribution-NonCommercial 4.0 International - Creative Commons"/>
    <hyperlink ref="I1542" r:id="rId4608" display="https://www.inaturalist.org/observations/336440787"/>
    <hyperlink ref="G1543" r:id="rId4609" display="harry32845"/>
    <hyperlink ref="H1543" r:id="rId4610" display="Deed - Attribution-NonCommercial 4.0 International - Creative Commons"/>
    <hyperlink ref="I1543" r:id="rId4611" display="https://www.inaturalist.org/observations/379679786"/>
    <hyperlink ref="G1544" r:id="rId4612" display="nswparkranger"/>
    <hyperlink ref="H1544" r:id="rId4613" display="Deed - Attribution-NonCommercial 4.0 International - Creative Commons"/>
    <hyperlink ref="I1544" r:id="rId4614" display="https://www.inaturalist.org/observations/376380846"/>
    <hyperlink ref="G1545" r:id="rId4615" display="michelleljonesau"/>
    <hyperlink ref="H1545" r:id="rId4616" display="Deed - Attribution-NonCommercial 4.0 International - Creative Commons"/>
    <hyperlink ref="I1545" r:id="rId4617" display="https://www.inaturalist.org/observations/371134276"/>
    <hyperlink ref="G1546" r:id="rId4618" display="mrsmumme"/>
    <hyperlink ref="H1546" r:id="rId4619" display="Deed - Attribution-NonCommercial 4.0 International - Creative Commons"/>
    <hyperlink ref="I1546" r:id="rId4620" display="https://www.inaturalist.org/observations/369564198"/>
    <hyperlink ref="G1547" r:id="rId4621" display="mrsmumme"/>
    <hyperlink ref="H1547" r:id="rId4622" display="Deed - Attribution-NonCommercial 4.0 International - Creative Commons"/>
    <hyperlink ref="I1547" r:id="rId4623" display="https://www.inaturalist.org/observations/369564198"/>
    <hyperlink ref="G1548" r:id="rId4624" display="adurbano"/>
    <hyperlink ref="H1548" r:id="rId4625" display="Deed - Attribution-NonCommercial 4.0 International - Creative Commons"/>
    <hyperlink ref="I1548" r:id="rId4626" display="https://www.inaturalist.org/observations/377083623"/>
    <hyperlink ref="G1549" r:id="rId4627" display="jasvink"/>
    <hyperlink ref="H1549" r:id="rId4628" display="Deed - Attribution-NonCommercial 4.0 International - Creative Commons"/>
    <hyperlink ref="I1549" r:id="rId4629" display="https://www.inaturalist.org/observations/367997902"/>
    <hyperlink ref="G1550" r:id="rId4630" display="koiz"/>
    <hyperlink ref="H1550" r:id="rId4631" display="Deed - Attribution-NonCommercial 4.0 International - Creative Commons"/>
    <hyperlink ref="I1550" r:id="rId4632" display="https://www.inaturalist.org/observations/364208532"/>
    <hyperlink ref="G1551" r:id="rId4633" display="pamday4"/>
    <hyperlink ref="H1551" r:id="rId4634" display="Deed - Attribution-NonCommercial 4.0 International - Creative Commons"/>
    <hyperlink ref="I1551" r:id="rId4635" display="https://www.inaturalist.org/observations/363569209"/>
    <hyperlink ref="G1552" r:id="rId4636" display="livvy_tyson"/>
    <hyperlink ref="H1552" r:id="rId4637" display="Deed - Attribution-NonCommercial 4.0 International - Creative Commons"/>
    <hyperlink ref="I1552" r:id="rId4638" display="https://www.inaturalist.org/observations/362899595"/>
    <hyperlink ref="G1553" r:id="rId4639" display="livvy_tyson"/>
    <hyperlink ref="H1553" r:id="rId4640" display="Deed - Attribution-NonCommercial 4.0 International - Creative Commons"/>
    <hyperlink ref="I1553" r:id="rId4641" display="https://www.inaturalist.org/observations/362714419"/>
    <hyperlink ref="G1554" r:id="rId4642" display="randall_f"/>
    <hyperlink ref="H1554" r:id="rId4643" display="Deed - Attribution-NonCommercial 4.0 International - Creative Commons"/>
    <hyperlink ref="I1554" r:id="rId4644" display="https://www.inaturalist.org/observations/358529096"/>
    <hyperlink ref="G1555" r:id="rId4645" display="rreams"/>
    <hyperlink ref="H1555" r:id="rId4646" display="Deed - Attribution-NonCommercial 4.0 International - Creative Commons"/>
    <hyperlink ref="I1555" r:id="rId4647" display="https://www.inaturalist.org/observations/353993355"/>
    <hyperlink ref="G1556" r:id="rId4648" display="julien9uwr"/>
    <hyperlink ref="H1556" r:id="rId4649" display="Deed - Attribution-NonCommercial 4.0 International - Creative Commons"/>
    <hyperlink ref="I1556" r:id="rId4650" display="https://www.inaturalist.org/observations/353296551"/>
    <hyperlink ref="G1557" r:id="rId4651" display="markayers"/>
    <hyperlink ref="H1557" r:id="rId4652" display="Deed - Attribution-NonCommercial 4.0 International - Creative Commons"/>
    <hyperlink ref="I1557" r:id="rId4653" display="https://www.inaturalist.org/observations/351944726"/>
    <hyperlink ref="G1558" r:id="rId4654" display="andrew184"/>
    <hyperlink ref="H1558" r:id="rId4655" display="Deed - Attribution-NonCommercial 4.0 International - Creative Commons"/>
    <hyperlink ref="I1558" r:id="rId4656" display="https://www.inaturalist.org/observations/351922664"/>
    <hyperlink ref="G1559" r:id="rId4657" display="emma_karence_bormlund"/>
    <hyperlink ref="H1559" r:id="rId4658" display="Deed - Attribution-NonCommercial 4.0 International - Creative Commons"/>
    <hyperlink ref="I1559" r:id="rId4659" display="https://www.inaturalist.org/observations/351825144"/>
    <hyperlink ref="G1560" r:id="rId4660" display="jmrgardens"/>
    <hyperlink ref="H1560" r:id="rId4661" display="Deed - Attribution-NonCommercial 4.0 International - Creative Commons"/>
    <hyperlink ref="I1560" r:id="rId4662" display="https://www.inaturalist.org/observations/351654119"/>
    <hyperlink ref="G1561" r:id="rId4663" display="jimbobwe"/>
    <hyperlink ref="H1561" r:id="rId4664" display="Deed - Attribution-NonCommercial 4.0 International - Creative Commons"/>
    <hyperlink ref="I1561" r:id="rId4665" display="https://www.inaturalist.org/observations/351128327"/>
    <hyperlink ref="G1562" r:id="rId4666" display="jake-lovell98"/>
    <hyperlink ref="H1562" r:id="rId4667" display="Deed - Attribution-NonCommercial 4.0 International - Creative Commons"/>
    <hyperlink ref="I1562" r:id="rId4668" display="https://www.inaturalist.org/observations/351075840"/>
    <hyperlink ref="G1563" r:id="rId4669" display="jake-lovell98"/>
    <hyperlink ref="H1563" r:id="rId4670" display="Deed - Attribution-NonCommercial 4.0 International - Creative Commons"/>
    <hyperlink ref="I1563" r:id="rId4671" display="https://www.inaturalist.org/observations/351075840"/>
    <hyperlink ref="G1564" r:id="rId4672" display="weevilyday"/>
    <hyperlink ref="H1564" r:id="rId4673" display="Deed - Attribution-NonCommercial 4.0 International - Creative Commons"/>
    <hyperlink ref="I1564" r:id="rId4674" display="https://www.inaturalist.org/observations/350725857"/>
    <hyperlink ref="G1565" r:id="rId4675" display="darren_fielder"/>
    <hyperlink ref="H1565" r:id="rId4676" display="Deed - Attribution-NonCommercial 4.0 International - Creative Commons"/>
    <hyperlink ref="I1565" r:id="rId4677" display="https://www.inaturalist.org/observations/349202719"/>
    <hyperlink ref="G1566" r:id="rId4678" display="suecc"/>
    <hyperlink ref="H1566" r:id="rId4679" display="Deed - Attribution-NonCommercial 4.0 International - Creative Commons"/>
    <hyperlink ref="I1566" r:id="rId4680" display="https://www.inaturalist.org/observations/348879180"/>
    <hyperlink ref="G1567" r:id="rId4681" display="izaacrad"/>
    <hyperlink ref="H1567" r:id="rId4682" display="Deed - Attribution-NonCommercial 4.0 International - Creative Commons"/>
    <hyperlink ref="I1567" r:id="rId4683" display="https://www.inaturalist.org/observations/348870721"/>
    <hyperlink ref="G1568" r:id="rId4684" display="bhare3"/>
    <hyperlink ref="H1568" r:id="rId4685" display="Deed - Attribution-NonCommercial 4.0 International - Creative Commons"/>
    <hyperlink ref="I1568" r:id="rId4686" display="https://www.inaturalist.org/observations/348596112"/>
    <hyperlink ref="G1569" r:id="rId4687" display="bhare3"/>
    <hyperlink ref="H1569" r:id="rId4688" display="Deed - Attribution-NonCommercial 4.0 International - Creative Commons"/>
    <hyperlink ref="I1569" r:id="rId4689" display="https://www.inaturalist.org/observations/348596112"/>
    <hyperlink ref="G1570" r:id="rId4690" display="oz-e-wild"/>
    <hyperlink ref="H1570" r:id="rId4691" display="Deed - Attribution-NonCommercial 4.0 International - Creative Commons"/>
    <hyperlink ref="I1570" r:id="rId4692" display="https://www.inaturalist.org/observations/347170089"/>
    <hyperlink ref="G1571" r:id="rId4693" display="frankief"/>
    <hyperlink ref="H1571" r:id="rId4694" display="Deed - Attribution-NonCommercial 4.0 International - Creative Commons"/>
    <hyperlink ref="I1571" r:id="rId4695" display="https://www.inaturalist.org/observations/346344487"/>
    <hyperlink ref="G1572" r:id="rId4696" display="lisekool"/>
    <hyperlink ref="H1572" r:id="rId4697" display="Deed - Attribution-NonCommercial 4.0 International - Creative Commons"/>
    <hyperlink ref="I1572" r:id="rId4698" display="https://www.inaturalist.org/observations/345182733"/>
    <hyperlink ref="G1573" r:id="rId4699" display="burtony"/>
    <hyperlink ref="H1573" r:id="rId4700" display="Deed - Attribution-NonCommercial 4.0 International - Creative Commons"/>
    <hyperlink ref="I1573" r:id="rId4701" display="https://www.inaturalist.org/observations/342693075"/>
    <hyperlink ref="G1574" r:id="rId4702" display="living_daynagerously"/>
    <hyperlink ref="H1574" r:id="rId4703" display="Deed - Attribution-NonCommercial 4.0 International - Creative Commons"/>
    <hyperlink ref="I1574" r:id="rId4704" display="https://www.inaturalist.org/observations/342432471"/>
    <hyperlink ref="G1575" r:id="rId4705" display="mwhoran"/>
    <hyperlink ref="H1575" r:id="rId4706" display="Deed - Attribution-NonCommercial 4.0 International - Creative Commons"/>
    <hyperlink ref="I1575" r:id="rId4707" display="https://www.inaturalist.org/observations/341192361"/>
    <hyperlink ref="G1576" r:id="rId4708" display="setaphong"/>
    <hyperlink ref="H1576" r:id="rId4709" display="Deed - Attribution-NonCommercial 4.0 International - Creative Commons"/>
    <hyperlink ref="I1576" r:id="rId4710" display="https://www.inaturalist.org/observations/340761379"/>
    <hyperlink ref="G1577" r:id="rId4711" display="setaphong"/>
    <hyperlink ref="H1577" r:id="rId4712" display="Deed - Attribution-NonCommercial 4.0 International - Creative Commons"/>
    <hyperlink ref="I1577" r:id="rId4713" display="https://www.inaturalist.org/observations/340761375"/>
    <hyperlink ref="G1578" r:id="rId4714" display="axeholmes"/>
    <hyperlink ref="H1578" r:id="rId4715" display="Deed - Attribution-NonCommercial 4.0 International - Creative Commons"/>
    <hyperlink ref="I1578" r:id="rId4716" display="https://www.inaturalist.org/observations/362971137"/>
    <hyperlink ref="G1579" r:id="rId4717" display="axeholmes"/>
    <hyperlink ref="H1579" r:id="rId4718" display="Deed - Attribution-NonCommercial 4.0 International - Creative Commons"/>
    <hyperlink ref="I1579" r:id="rId4719" display="https://www.inaturalist.org/observations/362178390"/>
    <hyperlink ref="G1580" r:id="rId4720" display="brad_gabriel"/>
    <hyperlink ref="H1580" r:id="rId4721" display="Deed - Attribution-NonCommercial 4.0 International - Creative Commons"/>
    <hyperlink ref="I1580" r:id="rId4722" display="https://www.inaturalist.org/observations/355378606"/>
    <hyperlink ref="G1581" r:id="rId4723" display="damienesquerre2"/>
    <hyperlink ref="H1581" r:id="rId4724" display="Deed - Attribution-NonCommercial 4.0 International - Creative Commons"/>
    <hyperlink ref="I1581" r:id="rId4725" display="https://www.inaturalist.org/observations/351424200"/>
    <hyperlink ref="G1582" r:id="rId4726" display="jackfegan"/>
    <hyperlink ref="H1582" r:id="rId4727" display="Deed - Attribution-NonCommercial 4.0 International - Creative Commons"/>
    <hyperlink ref="I1582" r:id="rId4728" display="https://www.inaturalist.org/observations/350489123"/>
    <hyperlink ref="G1583" r:id="rId4729" display="rosrunciman"/>
    <hyperlink ref="H1583" r:id="rId4730" display="Deed - Attribution-NonCommercial 4.0 International - Creative Commons"/>
    <hyperlink ref="I1583" r:id="rId4731" display="https://www.inaturalist.org/observations/348929422"/>
    <hyperlink ref="G1584" r:id="rId4732" display="beaniana08"/>
    <hyperlink ref="H1584" r:id="rId4733" display="Deed - Attribution-NonCommercial 4.0 International - Creative Commons"/>
    <hyperlink ref="I1584" r:id="rId4734" display="https://www.inaturalist.org/observations/348691325"/>
    <hyperlink ref="G1585" r:id="rId4735" display="coanne"/>
    <hyperlink ref="H1585" r:id="rId4736" display="Deed - Attribution-NonCommercial 4.0 International - Creative Commons"/>
    <hyperlink ref="I1585" r:id="rId4737" display="https://www.inaturalist.org/observations/347185442"/>
    <hyperlink ref="G1586" r:id="rId4738" display="coanne"/>
    <hyperlink ref="H1586" r:id="rId4739" display="Deed - Attribution-NonCommercial 4.0 International - Creative Commons"/>
    <hyperlink ref="I1586" r:id="rId4740" display="https://www.inaturalist.org/observations/347184925"/>
    <hyperlink ref="G1587" r:id="rId4741" display="coanne"/>
    <hyperlink ref="H1587" r:id="rId4742" display="Deed - Attribution-NonCommercial 4.0 International - Creative Commons"/>
    <hyperlink ref="I1587" r:id="rId4743" display="https://www.inaturalist.org/observations/347184432"/>
    <hyperlink ref="G1588" r:id="rId4744" display="rosrunciman"/>
    <hyperlink ref="H1588" r:id="rId4745" display="Deed - Attribution-NonCommercial 4.0 International - Creative Commons"/>
    <hyperlink ref="I1588" r:id="rId4746" display="https://www.inaturalist.org/observations/346746278"/>
    <hyperlink ref="G1589" r:id="rId4747" display="candiceskelton"/>
    <hyperlink ref="H1589" r:id="rId4748" display="Deed - Attribution-NonCommercial 4.0 International - Creative Commons"/>
    <hyperlink ref="I1589" r:id="rId4749" display="https://www.inaturalist.org/observations/345173998"/>
    <hyperlink ref="G1590" r:id="rId4750" display="bushratz"/>
    <hyperlink ref="H1590" r:id="rId4751" display="Deed - Attribution-NonCommercial 4.0 International - Creative Commons"/>
    <hyperlink ref="I1590" r:id="rId4752" display="https://www.inaturalist.org/observations/340565347"/>
    <hyperlink ref="G1591" r:id="rId4753" display="bushratz"/>
    <hyperlink ref="H1591" r:id="rId4754" display="Deed - Attribution-NonCommercial 4.0 International - Creative Commons"/>
    <hyperlink ref="I1591" r:id="rId4755" display="https://www.inaturalist.org/observations/340565342"/>
    <hyperlink ref="G1592" r:id="rId4756" display="mia_hosken"/>
    <hyperlink ref="H1592" r:id="rId4757" display="Deed - Attribution-NonCommercial 4.0 International - Creative Commons"/>
    <hyperlink ref="I1592" r:id="rId4758" display="https://www.inaturalist.org/observations/339709348"/>
    <hyperlink ref="G1593" r:id="rId4759" display="robbiemily"/>
    <hyperlink ref="H1593" r:id="rId4760" display="Deed - Attribution-NonCommercial 4.0 International - Creative Commons"/>
    <hyperlink ref="I1593" r:id="rId4761" display="https://www.inaturalist.org/observations/339632694"/>
    <hyperlink ref="G1594" r:id="rId4762" display="t-weichselbaum"/>
    <hyperlink ref="H1594" r:id="rId4763" display="Deed - Attribution-NonCommercial 4.0 International - Creative Commons"/>
    <hyperlink ref="I1594" r:id="rId4764" display="https://www.inaturalist.org/observations/336442457"/>
    <hyperlink ref="G1595" r:id="rId4765" display="donglerthrongler"/>
    <hyperlink ref="H1595" r:id="rId4766" display="Deed - Attribution-NonCommercial 4.0 International - Creative Commons"/>
    <hyperlink ref="I1595" r:id="rId4767" display="https://www.inaturalist.org/observations/336221882"/>
    <hyperlink ref="G1596" r:id="rId4768" display="donglerthrongler"/>
    <hyperlink ref="H1596" r:id="rId4769" display="Deed - Attribution-NonCommercial 4.0 International - Creative Commons"/>
    <hyperlink ref="I1596" r:id="rId4770" display="https://www.inaturalist.org/observations/336221882"/>
    <hyperlink ref="G1597" r:id="rId4771" display="mrlachlanb"/>
    <hyperlink ref="H1597" r:id="rId4772" display="Deed - Attribution-NonCommercial 4.0 International - Creative Commons"/>
    <hyperlink ref="I1597" r:id="rId4773" display="https://www.inaturalist.org/observations/334426759"/>
    <hyperlink ref="G1598" r:id="rId4774" display="khensen"/>
    <hyperlink ref="H1598" r:id="rId4775" display="Deed - Attribution-NonCommercial 4.0 International - Creative Commons"/>
    <hyperlink ref="I1598" r:id="rId4776" display="https://www.inaturalist.org/observations/333781966"/>
    <hyperlink ref="G1599" r:id="rId4777" display="riki_paleatus"/>
    <hyperlink ref="H1599" r:id="rId4778" display="Deed - Attribution-NonCommercial 4.0 International - Creative Commons"/>
    <hyperlink ref="I1599" r:id="rId4779" display="https://www.inaturalist.org/observations/330947160"/>
    <hyperlink ref="G1600" r:id="rId4780" display="riki_paleatus"/>
    <hyperlink ref="H1600" r:id="rId4781" display="Deed - Attribution-NonCommercial 4.0 International - Creative Commons"/>
    <hyperlink ref="I1600" r:id="rId4782" display="https://www.inaturalist.org/observations/330947160"/>
    <hyperlink ref="G1601" r:id="rId4783" display="riki_paleatus"/>
    <hyperlink ref="H1601" r:id="rId4784" display="Deed - Attribution-NonCommercial 4.0 International - Creative Commons"/>
    <hyperlink ref="I1601" r:id="rId4785" display="https://www.inaturalist.org/observations/330947160"/>
    <hyperlink ref="G1602" r:id="rId4786" display="riki_paleatus"/>
    <hyperlink ref="H1602" r:id="rId4787" display="Deed - Attribution-NonCommercial 4.0 International - Creative Commons"/>
    <hyperlink ref="I1602" r:id="rId4788" display="https://www.inaturalist.org/observations/330947160"/>
    <hyperlink ref="G1603" r:id="rId4789" display="grahamarmstrong"/>
    <hyperlink ref="H1603" r:id="rId4790" display="Deed - Attribution-NonCommercial 4.0 International - Creative Commons"/>
    <hyperlink ref="I1603" r:id="rId4791" display="https://www.inaturalist.org/observations/330261830"/>
    <hyperlink ref="G1604" r:id="rId4792" display="caedamortus"/>
    <hyperlink ref="H1604" r:id="rId4793" display="Deed - Attribution-NonCommercial 4.0 International - Creative Commons"/>
    <hyperlink ref="I1604" r:id="rId4794" display="https://www.inaturalist.org/observations/328169453"/>
    <hyperlink ref="G1605" r:id="rId4795" display="caedamortus"/>
    <hyperlink ref="H1605" r:id="rId4796" display="Deed - Attribution-NonCommercial 4.0 International - Creative Commons"/>
    <hyperlink ref="I1605" r:id="rId4797" display="https://www.inaturalist.org/observations/328169453"/>
    <hyperlink ref="G1606" r:id="rId4798" display="caedamortus"/>
    <hyperlink ref="H1606" r:id="rId4799" display="Deed - Attribution-NonCommercial 4.0 International - Creative Commons"/>
    <hyperlink ref="I1606" r:id="rId4800" display="https://www.inaturalist.org/observations/328169453"/>
    <hyperlink ref="G1607" r:id="rId4801" display="riki_paleatus"/>
    <hyperlink ref="H1607" r:id="rId4802" display="Deed - Attribution-NonCommercial 4.0 International - Creative Commons"/>
    <hyperlink ref="I1607" r:id="rId4803" display="https://www.inaturalist.org/observations/328149336"/>
    <hyperlink ref="G1608" r:id="rId4804" display="riki_paleatus"/>
    <hyperlink ref="H1608" r:id="rId4805" display="Deed - Attribution-NonCommercial 4.0 International - Creative Commons"/>
    <hyperlink ref="I1608" r:id="rId4806" display="https://www.inaturalist.org/observations/328149336"/>
    <hyperlink ref="G1609" r:id="rId4807" display="j_wheeler22"/>
    <hyperlink ref="H1609" r:id="rId4808" display="Deed - Attribution-NonCommercial 4.0 International - Creative Commons"/>
    <hyperlink ref="I1609" r:id="rId4809" display="https://www.inaturalist.org/observations/322360222"/>
    <hyperlink ref="G1610" r:id="rId4810" display="mitchmyrtaceae"/>
    <hyperlink ref="H1610" r:id="rId4811" display="Deed - Attribution-NonCommercial 4.0 International - Creative Commons"/>
    <hyperlink ref="I1610" r:id="rId4812" display="https://www.inaturalist.org/observations/322052909"/>
    <hyperlink ref="G1611" r:id="rId4813" display="mitchmyrtaceae"/>
    <hyperlink ref="H1611" r:id="rId4814" display="Deed - Attribution-NonCommercial 4.0 International - Creative Commons"/>
    <hyperlink ref="I1611" r:id="rId4815" display="https://www.inaturalist.org/observations/322052909"/>
    <hyperlink ref="G1612" r:id="rId4816" display="lucaspigeon"/>
    <hyperlink ref="H1612" r:id="rId4817" display="Deed - Attribution-NonCommercial 4.0 International - Creative Commons"/>
    <hyperlink ref="I1612" r:id="rId4818" display="https://www.inaturalist.org/observations/321218948"/>
    <hyperlink ref="G1613" r:id="rId4819" display="ingreen626"/>
    <hyperlink ref="H1613" r:id="rId4820" display="Deed - Attribution-NonCommercial 4.0 International - Creative Commons"/>
    <hyperlink ref="I1613" r:id="rId4821" display="https://www.inaturalist.org/observations/378709405"/>
    <hyperlink ref="G1614" r:id="rId4822" display="popera"/>
    <hyperlink ref="H1614" r:id="rId4823" display="Deed - Attribution-NonCommercial 4.0 International - Creative Commons"/>
    <hyperlink ref="I1614" r:id="rId4824" display="https://www.inaturalist.org/observations/373821118"/>
    <hyperlink ref="G1615" r:id="rId4825" display="popera"/>
    <hyperlink ref="H1615" r:id="rId4826" display="Deed - Attribution-NonCommercial 4.0 International - Creative Commons"/>
    <hyperlink ref="I1615" r:id="rId4827" display="https://www.inaturalist.org/observations/373821118"/>
    <hyperlink ref="G1616" r:id="rId4828" display="matthew_connors"/>
    <hyperlink ref="H1616" r:id="rId4829" display="Deed - Attribution-NonCommercial 4.0 International - Creative Commons"/>
    <hyperlink ref="I1616" r:id="rId4830" display="https://www.inaturalist.org/observations/373817179"/>
    <hyperlink ref="G1617" r:id="rId4831" display="jodie_b"/>
    <hyperlink ref="H1617" r:id="rId4832" display="Deed - Attribution-NonCommercial 4.0 International - Creative Commons"/>
    <hyperlink ref="I1617" r:id="rId4833" display="https://www.inaturalist.org/observations/357767308"/>
    <hyperlink ref="G1618" r:id="rId4834" display="jodie_b"/>
    <hyperlink ref="H1618" r:id="rId4835" display="Deed - Attribution-NonCommercial 4.0 International - Creative Commons"/>
    <hyperlink ref="I1618" r:id="rId4836" display="https://www.inaturalist.org/observations/357767308"/>
    <hyperlink ref="G1619" r:id="rId4837" display="jodie_b"/>
    <hyperlink ref="H1619" r:id="rId4838" display="Deed - Attribution-NonCommercial 4.0 International - Creative Commons"/>
    <hyperlink ref="I1619" r:id="rId4839" display="https://www.inaturalist.org/observations/357767308"/>
    <hyperlink ref="G1620" r:id="rId4840" display="jodie_b"/>
    <hyperlink ref="H1620" r:id="rId4841" display="Deed - Attribution-NonCommercial 4.0 International - Creative Commons"/>
    <hyperlink ref="I1620" r:id="rId4842" display="https://www.inaturalist.org/observations/357767308"/>
    <hyperlink ref="G1621" r:id="rId4843" display="wildren"/>
    <hyperlink ref="H1621" r:id="rId4844" display="Deed - Attribution-NonCommercial 4.0 International - Creative Commons"/>
    <hyperlink ref="I1621" r:id="rId4845" display="https://www.inaturalist.org/observations/351413066"/>
    <hyperlink ref="G1622" r:id="rId4846" display="petehallinwildlife"/>
    <hyperlink ref="H1622" r:id="rId4847" display="Deed - Attribution-NonCommercial 4.0 International - Creative Commons"/>
    <hyperlink ref="I1622" r:id="rId4848" display="https://www.inaturalist.org/observations/349204937"/>
    <hyperlink ref="G1623" r:id="rId4849" display="petehallinwildlife"/>
    <hyperlink ref="H1623" r:id="rId4850" display="Deed - Attribution-NonCommercial 4.0 International - Creative Commons"/>
    <hyperlink ref="I1623" r:id="rId4851" display="https://www.inaturalist.org/observations/349204937"/>
    <hyperlink ref="G1624" r:id="rId4852" display="jasvink"/>
    <hyperlink ref="H1624" r:id="rId4853" display="Deed - Attribution-NonCommercial 4.0 International - Creative Commons"/>
    <hyperlink ref="I1624" r:id="rId4854" display="https://www.inaturalist.org/observations/348221247"/>
    <hyperlink ref="G1625" r:id="rId4855" display="ehenri218"/>
    <hyperlink ref="H1625" r:id="rId4856" display="Deed - Attribution-NonCommercial 4.0 International - Creative Commons"/>
    <hyperlink ref="I1625" r:id="rId4857" display="https://www.inaturalist.org/observations/342881612"/>
    <hyperlink ref="G1626" r:id="rId4858" display="nanjian_xiao"/>
    <hyperlink ref="H1626" r:id="rId4859" display="Deed - Attribution-NonCommercial 4.0 International - Creative Commons"/>
    <hyperlink ref="I1626" r:id="rId4860" display="https://www.inaturalist.org/observations/342755643"/>
    <hyperlink ref="G1627" r:id="rId4861" display="nanjian_xiao"/>
    <hyperlink ref="H1627" r:id="rId4862" display="Deed - Attribution-NonCommercial 4.0 International - Creative Commons"/>
    <hyperlink ref="I1627" r:id="rId4863" display="https://www.inaturalist.org/observations/340962852"/>
    <hyperlink ref="G1628" r:id="rId4864" display="setaphong"/>
    <hyperlink ref="H1628" r:id="rId4865" display="Deed - Attribution-NonCommercial 4.0 International - Creative Commons"/>
    <hyperlink ref="I1628" r:id="rId4866" display="https://www.inaturalist.org/observations/340761258"/>
    <hyperlink ref="G1629" r:id="rId4867" display="davidgwhite"/>
    <hyperlink ref="H1629" r:id="rId4868" display="Deed - Attribution-NonCommercial 4.0 International - Creative Commons"/>
    <hyperlink ref="I1629" r:id="rId4869" display="https://www.inaturalist.org/observations/339965965"/>
    <hyperlink ref="G1630" r:id="rId4870" display="brother-nature"/>
    <hyperlink ref="H1630" r:id="rId4871" display="Deed - Attribution-NonCommercial 4.0 International - Creative Commons"/>
    <hyperlink ref="I1630" r:id="rId4872" display="https://www.inaturalist.org/observations/331266025"/>
    <hyperlink ref="G1631" r:id="rId4873" display="bridgetteaussiemacro"/>
    <hyperlink ref="H1631" r:id="rId4874" display="Deed - Attribution-NonCommercial 4.0 International - Creative Commons"/>
    <hyperlink ref="I1631" r:id="rId4875" display="https://www.inaturalist.org/observations/328453465"/>
    <hyperlink ref="G1632" r:id="rId4876" display="gar_rethus"/>
    <hyperlink ref="H1632" r:id="rId4877" display="Deed - Attribution-NonCommercial 4.0 International - Creative Commons"/>
    <hyperlink ref="I1632" r:id="rId4878" display="https://www.inaturalist.org/observations/328268486"/>
    <hyperlink ref="G1633" r:id="rId4879" display="mitchell73"/>
    <hyperlink ref="H1633" r:id="rId4880" display="Deed - Attribution-NonCommercial 4.0 International - Creative Commons"/>
    <hyperlink ref="I1633" r:id="rId4881" display="https://www.inaturalist.org/observations/325330195"/>
    <hyperlink ref="G1634" r:id="rId4882" display="caleb_yates"/>
    <hyperlink ref="H1634" r:id="rId4883" display="Deed - Attribution-NonCommercial 4.0 International - Creative Commons"/>
    <hyperlink ref="I1634" r:id="rId4884" display="https://www.inaturalist.org/observations/321796597"/>
    <hyperlink ref="G1635" r:id="rId4885" display="nashj_e"/>
    <hyperlink ref="H1635" r:id="rId4886" display="Deed - Attribution-NonCommercial 4.0 International - Creative Commons"/>
    <hyperlink ref="I1635" r:id="rId4887" display="https://www.inaturalist.org/observations/321550221"/>
    <hyperlink ref="G1636" r:id="rId4888" display="axeholmes"/>
    <hyperlink ref="H1636" r:id="rId4889" display="Deed - Attribution-NonCommercial 4.0 International - Creative Commons"/>
    <hyperlink ref="I1636" r:id="rId4890" display="https://www.inaturalist.org/observations/319850750"/>
    <hyperlink ref="G1637" r:id="rId4891" display="adrianna_pisharkchick"/>
    <hyperlink ref="H1637" r:id="rId4892" display="Deed - Attribution-NonCommercial 4.0 International - Creative Commons"/>
    <hyperlink ref="I1637" r:id="rId4893" display="https://www.inaturalist.org/observations/319477228"/>
    <hyperlink ref="G1638" r:id="rId4894" display="beaniana08"/>
    <hyperlink ref="H1638" r:id="rId4895" display="Deed - Attribution-NonCommercial 4.0 International - Creative Commons"/>
    <hyperlink ref="I1638" r:id="rId4896" display="https://www.inaturalist.org/observations/319462200"/>
    <hyperlink ref="G1639" r:id="rId4897" display="beaniana08"/>
    <hyperlink ref="H1639" r:id="rId4898" display="Deed - Attribution-NonCommercial 4.0 International - Creative Commons"/>
    <hyperlink ref="I1639" r:id="rId4899" display="https://www.inaturalist.org/observations/319462200"/>
    <hyperlink ref="G1640" r:id="rId4900" display="beaniana08"/>
    <hyperlink ref="H1640" r:id="rId4901" display="Deed - Attribution-NonCommercial 4.0 International - Creative Commons"/>
    <hyperlink ref="I1640" r:id="rId4902" display="https://www.inaturalist.org/observations/319462200"/>
    <hyperlink ref="G1641" r:id="rId4903" display="jackcaleo09"/>
    <hyperlink ref="H1641" r:id="rId4904" display="Deed - Attribution-NonCommercial 4.0 International - Creative Commons"/>
    <hyperlink ref="I1641" r:id="rId4905" display="https://www.inaturalist.org/observations/315102833"/>
    <hyperlink ref="G1642" r:id="rId4906" display="jacintafrancesca"/>
    <hyperlink ref="H1642" r:id="rId4907" display="Deed - Attribution-NonCommercial 4.0 International - Creative Commons"/>
    <hyperlink ref="I1642" r:id="rId4908" display="https://www.inaturalist.org/observations/307869602"/>
    <hyperlink ref="G1643" r:id="rId4909" display="willjmatthews04"/>
    <hyperlink ref="H1643" r:id="rId4910" display="Deed - Attribution-NonCommercial 4.0 International - Creative Commons"/>
    <hyperlink ref="I1643" r:id="rId4911" display="https://www.inaturalist.org/observations/300087965"/>
    <hyperlink ref="G1644" r:id="rId4912" display="willjmatthews04"/>
    <hyperlink ref="H1644" r:id="rId4913" display="Deed - Attribution-NonCommercial 4.0 International - Creative Commons"/>
    <hyperlink ref="I1644" r:id="rId4914" display="https://www.inaturalist.org/observations/300087703"/>
    <hyperlink ref="G1645" r:id="rId4915" display="willjmatthews04"/>
    <hyperlink ref="H1645" r:id="rId4916" display="Deed - Attribution-NonCommercial 4.0 International - Creative Commons"/>
    <hyperlink ref="I1645" r:id="rId4917" display="https://www.inaturalist.org/observations/300087703"/>
    <hyperlink ref="G1646" r:id="rId4918" display="wiiiywagtail"/>
    <hyperlink ref="H1646" r:id="rId4919" display="Deed - Attribution-NonCommercial 4.0 International - Creative Commons"/>
    <hyperlink ref="I1646" r:id="rId4920" display="https://www.inaturalist.org/observations/264431794"/>
    <hyperlink ref="G1647" r:id="rId4921" display="riley_byrne"/>
    <hyperlink ref="H1647" r:id="rId4922" display="Deed - Attribution-NonCommercial 4.0 International - Creative Commons"/>
    <hyperlink ref="I1647" r:id="rId4923" display="https://www.inaturalist.org/observations/264413352"/>
    <hyperlink ref="G1648" r:id="rId4924" display="hrnature"/>
    <hyperlink ref="H1648" r:id="rId4925" display="Deed - Attribution-NonCommercial 4.0 International - Creative Commons"/>
    <hyperlink ref="I1648" r:id="rId4926" display="https://www.inaturalist.org/observations/379915876"/>
    <hyperlink ref="G1649" r:id="rId4927" display="asaph01"/>
    <hyperlink ref="H1649" r:id="rId4928" display="Deed - Attribution-NonCommercial 4.0 International - Creative Commons"/>
    <hyperlink ref="I1649" r:id="rId4929" display="https://www.inaturalist.org/observations/378709802"/>
    <hyperlink ref="G1650" r:id="rId4930" display="lmk96"/>
    <hyperlink ref="H1650" r:id="rId4931" display="Deed - Attribution-NonCommercial 4.0 International - Creative Commons"/>
    <hyperlink ref="I1650" r:id="rId4932" display="https://www.inaturalist.org/observations/378668411"/>
    <hyperlink ref="G1651" r:id="rId4933" display="lmk96"/>
    <hyperlink ref="H1651" r:id="rId4934" display="Deed - Attribution-NonCommercial 4.0 International - Creative Commons"/>
    <hyperlink ref="I1651" r:id="rId4935" display="https://www.inaturalist.org/observations/378668357"/>
    <hyperlink ref="G1652" r:id="rId4936" display="lmk96"/>
    <hyperlink ref="H1652" r:id="rId4937" display="Deed - Attribution-NonCommercial 4.0 International - Creative Commons"/>
    <hyperlink ref="I1652" r:id="rId4938" display="https://www.inaturalist.org/observations/378668357"/>
    <hyperlink ref="G1653" r:id="rId4939" display="lmk96"/>
    <hyperlink ref="H1653" r:id="rId4940" display="Deed - Attribution-NonCommercial 4.0 International - Creative Commons"/>
    <hyperlink ref="I1653" r:id="rId4941" display="https://www.inaturalist.org/observations/378668161"/>
    <hyperlink ref="G1654" r:id="rId4942" display="lmk96"/>
    <hyperlink ref="H1654" r:id="rId4943" display="Deed - Attribution-NonCommercial 4.0 International - Creative Commons"/>
    <hyperlink ref="I1654" r:id="rId4944" display="https://www.inaturalist.org/observations/378667269"/>
    <hyperlink ref="G1655" r:id="rId4945" display="nweigner"/>
    <hyperlink ref="H1655" r:id="rId4946" display="Deed - Attribution-NonCommercial 4.0 International - Creative Commons"/>
    <hyperlink ref="I1655" r:id="rId4947" display="https://www.inaturalist.org/observations/374820789"/>
    <hyperlink ref="G1656" r:id="rId4948" display="khensen"/>
    <hyperlink ref="H1656" r:id="rId4949" display="Deed - Attribution-NonCommercial 4.0 International - Creative Commons"/>
    <hyperlink ref="I1656" r:id="rId4950" display="https://www.inaturalist.org/observations/373781900"/>
    <hyperlink ref="G1657" r:id="rId4951" display="littlebrownskink"/>
    <hyperlink ref="H1657" r:id="rId4952" display="Deed - Attribution-NonCommercial 4.0 International - Creative Commons"/>
    <hyperlink ref="I1657" r:id="rId4953" display="https://www.inaturalist.org/observations/372646129"/>
    <hyperlink ref="G1658" r:id="rId4954" display="littlebrownskink"/>
    <hyperlink ref="H1658" r:id="rId4955" display="Deed - Attribution-NonCommercial 4.0 International - Creative Commons"/>
    <hyperlink ref="I1658" r:id="rId4956" display="https://www.inaturalist.org/observations/372640241"/>
    <hyperlink ref="G1659" r:id="rId4957" display="crocattackdatabase"/>
    <hyperlink ref="H1659" r:id="rId4958" display="Deed - Attribution-NonCommercial 4.0 International - Creative Commons"/>
    <hyperlink ref="I1659" r:id="rId4959" display="https://www.inaturalist.org/observations/372402743"/>
    <hyperlink ref="G1660" r:id="rId4960" display="kurtle88"/>
    <hyperlink ref="H1660" r:id="rId4961" display="Deed - Attribution-NonCommercial 4.0 International - Creative Commons"/>
    <hyperlink ref="I1660" r:id="rId4962" display="https://www.inaturalist.org/observations/371935261"/>
    <hyperlink ref="G1661" r:id="rId4963" display="natechu0"/>
    <hyperlink ref="H1661" r:id="rId4964" display="Deed - Attribution-NonCommercial 4.0 International - Creative Commons"/>
    <hyperlink ref="I1661" r:id="rId4965" display="https://www.inaturalist.org/observations/369692363"/>
    <hyperlink ref="G1662" r:id="rId4966" display="beccbbbec"/>
    <hyperlink ref="H1662" r:id="rId4967" display="Deed - Attribution-NonCommercial 4.0 International - Creative Commons"/>
    <hyperlink ref="I1662" r:id="rId4968" display="https://www.inaturalist.org/observations/367964825"/>
    <hyperlink ref="G1663" r:id="rId4969" display="kenty_8881"/>
    <hyperlink ref="H1663" r:id="rId4970" display="Deed - Attribution-NonCommercial 4.0 International - Creative Commons"/>
    <hyperlink ref="I1663" r:id="rId4971" display="https://www.inaturalist.org/observations/367664394"/>
    <hyperlink ref="G1664" r:id="rId4972" display="glen_murray"/>
    <hyperlink ref="H1664" r:id="rId4973" display="Deed - Attribution-NonCommercial 4.0 International - Creative Commons"/>
    <hyperlink ref="I1664" r:id="rId4974" display="https://www.inaturalist.org/observations/358252039"/>
    <hyperlink ref="G1665" r:id="rId4975" display="glen_murray"/>
    <hyperlink ref="H1665" r:id="rId4976" display="Deed - Attribution-NonCommercial 4.0 International - Creative Commons"/>
    <hyperlink ref="I1665" r:id="rId4977" display="https://www.inaturalist.org/observations/358252039"/>
    <hyperlink ref="G1666" r:id="rId4978" display="rreams"/>
    <hyperlink ref="H1666" r:id="rId4979" display="Deed - Attribution-NonCommercial 4.0 International - Creative Commons"/>
    <hyperlink ref="I1666" r:id="rId4980" display="https://www.inaturalist.org/observations/357320555"/>
    <hyperlink ref="G1667" r:id="rId4981" display="rreams"/>
    <hyperlink ref="H1667" r:id="rId4982" display="Deed - Attribution-NonCommercial 4.0 International - Creative Commons"/>
    <hyperlink ref="I1667" r:id="rId4983" display="https://www.inaturalist.org/observations/354805570"/>
    <hyperlink ref="G1668" r:id="rId4984" display="brad_gabriel"/>
    <hyperlink ref="H1668" r:id="rId4985" display="Deed - Attribution-NonCommercial 4.0 International - Creative Commons"/>
    <hyperlink ref="I1668" r:id="rId4986" display="https://www.inaturalist.org/observations/351704881"/>
    <hyperlink ref="G1669" r:id="rId4987" display="jordanferguson"/>
    <hyperlink ref="H1669" r:id="rId4988" display="Deed - Attribution-NonCommercial 4.0 International - Creative Commons"/>
    <hyperlink ref="I1669" r:id="rId4989" display="https://www.inaturalist.org/observations/349112459"/>
    <hyperlink ref="G1670" r:id="rId4990" display="anatinus"/>
    <hyperlink ref="H1670" r:id="rId4991" display="Deed - Attribution-NonCommercial 4.0 International - Creative Commons"/>
    <hyperlink ref="I1670" r:id="rId4992" display="https://www.inaturalist.org/observations/347842221"/>
    <hyperlink ref="G1671" r:id="rId4993" display="froggyreptile"/>
    <hyperlink ref="H1671" r:id="rId4994" display="Deed - Attribution-NonCommercial 4.0 International - Creative Commons"/>
    <hyperlink ref="I1671" r:id="rId4995" display="https://www.inaturalist.org/observations/346308385"/>
    <hyperlink ref="G1672" r:id="rId4996" display="louisoneill"/>
    <hyperlink ref="H1672" r:id="rId4997" display="Deed - Attribution-NonCommercial 4.0 International - Creative Commons"/>
    <hyperlink ref="I1672" r:id="rId4998" display="https://www.inaturalist.org/observations/342498953"/>
    <hyperlink ref="G1673" r:id="rId4999" display="louisoneill"/>
    <hyperlink ref="H1673" r:id="rId5000" display="Deed - Attribution-NonCommercial 4.0 International - Creative Commons"/>
    <hyperlink ref="I1673" r:id="rId5001" display="https://www.inaturalist.org/observations/342498953"/>
    <hyperlink ref="G1674" r:id="rId5002" display="dbrhplcd"/>
    <hyperlink ref="H1674" r:id="rId5003" display="Deed - Attribution-NonCommercial 4.0 International - Creative Commons"/>
    <hyperlink ref="I1674" r:id="rId5004" display="https://www.inaturalist.org/observations/336568119"/>
    <hyperlink ref="G1675" r:id="rId5005" display="nicomoll"/>
    <hyperlink ref="H1675" r:id="rId5006" display="Deed - Attribution-NonCommercial 4.0 International - Creative Commons"/>
    <hyperlink ref="I1675" r:id="rId5007" display="https://www.inaturalist.org/observations/339837405"/>
    <hyperlink ref="G1676" r:id="rId5008" display="clarissahuman"/>
    <hyperlink ref="H1676" r:id="rId5009" display="Deed - Attribution-NonCommercial 4.0 International - Creative Commons"/>
    <hyperlink ref="I1676" r:id="rId5010" display="https://www.inaturalist.org/observations/342072352"/>
    <hyperlink ref="G1677" r:id="rId5011" display="beccbbbec"/>
    <hyperlink ref="H1677" r:id="rId5012" display="Deed - Attribution-NonCommercial 4.0 International - Creative Commons"/>
    <hyperlink ref="I1677" r:id="rId5013" display="https://www.inaturalist.org/observations/336051466"/>
    <hyperlink ref="G1678" r:id="rId5014" display="cemonehedges"/>
    <hyperlink ref="H1678" r:id="rId5015" display="Deed - Attribution-NonCommercial 4.0 International - Creative Commons"/>
    <hyperlink ref="I1678" r:id="rId5016" display="https://www.inaturalist.org/observations/335263811"/>
    <hyperlink ref="G1679" r:id="rId5017" display="anaellefrc"/>
    <hyperlink ref="H1679" r:id="rId5018" display="Deed - Attribution-NonCommercial 4.0 International - Creative Commons"/>
    <hyperlink ref="I1679" r:id="rId5019" display="https://www.inaturalist.org/observations/334954614"/>
    <hyperlink ref="G1680" r:id="rId5020" display="anaellefrc"/>
    <hyperlink ref="H1680" r:id="rId5021" display="Deed - Attribution-NonCommercial 4.0 International - Creative Commons"/>
    <hyperlink ref="I1680" r:id="rId5022" display="https://www.inaturalist.org/observations/334954614"/>
    <hyperlink ref="G1681" r:id="rId5023" display="rubynats"/>
    <hyperlink ref="H1681" r:id="rId5024" display="Deed - Attribution-NonCommercial 4.0 International - Creative Commons"/>
    <hyperlink ref="I1681" r:id="rId5025" display="https://www.inaturalist.org/observations/329507742"/>
    <hyperlink ref="G1682" r:id="rId5026" display="rubynats"/>
    <hyperlink ref="H1682" r:id="rId5027" display="Deed - Attribution-NonCommercial 4.0 International - Creative Commons"/>
    <hyperlink ref="I1682" r:id="rId5028" display="https://www.inaturalist.org/observations/329507742"/>
    <hyperlink ref="G1683" r:id="rId5029" display="pkmouse"/>
    <hyperlink ref="H1683" r:id="rId5030" display="Deed - Attribution-NonCommercial 4.0 International - Creative Commons"/>
    <hyperlink ref="I1683" r:id="rId5031" display="https://www.inaturalist.org/observations/380525101"/>
    <hyperlink ref="G1684" r:id="rId5032" display="pasanci"/>
    <hyperlink ref="H1684" r:id="rId5033" display="Deed - Attribution-NonCommercial 4.0 International - Creative Commons"/>
    <hyperlink ref="I1684" r:id="rId5034" display="https://www.inaturalist.org/observations/380524701"/>
    <hyperlink ref="G1685" r:id="rId5035" display="santino1126"/>
    <hyperlink ref="H1685" r:id="rId5036" display="Deed - Attribution-NonCommercial 4.0 International - Creative Commons"/>
    <hyperlink ref="I1685" r:id="rId5037" display="https://www.inaturalist.org/observations/380503336"/>
    <hyperlink ref="G1686" r:id="rId5038" display="santino1126"/>
    <hyperlink ref="H1686" r:id="rId5039" display="Deed - Attribution-NonCommercial 4.0 International - Creative Commons"/>
    <hyperlink ref="I1686" r:id="rId5040" display="https://www.inaturalist.org/observations/380503336"/>
    <hyperlink ref="G1687" r:id="rId5041" display="iokolate"/>
    <hyperlink ref="H1687" r:id="rId5042" display="Deed - Attribution-NonCommercial 4.0 International - Creative Commons"/>
    <hyperlink ref="I1687" r:id="rId5043" display="https://www.inaturalist.org/observations/380492766"/>
    <hyperlink ref="G1688" r:id="rId5044" display="iokolate"/>
    <hyperlink ref="H1688" r:id="rId5045" display="Deed - Attribution-NonCommercial 4.0 International - Creative Commons"/>
    <hyperlink ref="I1688" r:id="rId5046" display="https://www.inaturalist.org/observations/380492766"/>
    <hyperlink ref="G1689" r:id="rId5047" display="matt68772"/>
    <hyperlink ref="H1689" r:id="rId5048" display="Deed - Attribution-NonCommercial 4.0 International - Creative Commons"/>
    <hyperlink ref="I1689" r:id="rId5049" display="https://www.inaturalist.org/observations/380170125"/>
    <hyperlink ref="G1690" r:id="rId5050" display="giel_photography"/>
    <hyperlink ref="H1690" r:id="rId5051" display="Deed - Attribution-NonCommercial 4.0 International - Creative Commons"/>
    <hyperlink ref="I1690" r:id="rId5052" display="https://www.inaturalist.org/observations/380441937"/>
    <hyperlink ref="G1691" r:id="rId5053" display="tragicomico"/>
    <hyperlink ref="H1691" r:id="rId5054" display="Deed - Attribution-NonCommercial 4.0 International - Creative Commons"/>
    <hyperlink ref="I1691" r:id="rId5055" display="https://www.inaturalist.org/observations/380418041"/>
    <hyperlink ref="G1692" r:id="rId5056" display="francescomocci"/>
    <hyperlink ref="H1692" r:id="rId5057" display="Deed - Attribution-NonCommercial 4.0 International - Creative Commons"/>
    <hyperlink ref="I1692" r:id="rId5058" display="https://www.inaturalist.org/observations/380338316"/>
    <hyperlink ref="G1693" r:id="rId5059" display="sduarte22"/>
    <hyperlink ref="H1693" r:id="rId5060" display="Deed - Attribution-NonCommercial 4.0 International - Creative Commons"/>
    <hyperlink ref="I1693" r:id="rId5061" display="https://www.inaturalist.org/observations/380292368"/>
    <hyperlink ref="G1694" r:id="rId5062" display="tomeubosch"/>
    <hyperlink ref="H1694" r:id="rId5063" display="Deed - Attribution-NonCommercial 4.0 International - Creative Commons"/>
    <hyperlink ref="I1694" r:id="rId5064" display="https://www.inaturalist.org/observations/380256267"/>
    <hyperlink ref="G1695" r:id="rId5065" display="lucapassalacqua"/>
    <hyperlink ref="H1695" r:id="rId5066" display="Deed - Attribution-NonCommercial 4.0 International - Creative Commons"/>
    <hyperlink ref="I1695" r:id="rId5067" display="https://www.inaturalist.org/observations/380232171"/>
    <hyperlink ref="G1696" r:id="rId5068" display="mb_diaries"/>
    <hyperlink ref="H1696" r:id="rId5069" display="Deed - Attribution-NonCommercial 4.0 International - Creative Commons"/>
    <hyperlink ref="I1696" r:id="rId5070" display="https://www.inaturalist.org/observations/380112288"/>
    <hyperlink ref="G1697" r:id="rId5071" display="giorgio3b"/>
    <hyperlink ref="H1697" r:id="rId5072" display="Deed - Attribution-NonCommercial 4.0 International - Creative Commons"/>
    <hyperlink ref="I1697" r:id="rId5073" display="https://www.inaturalist.org/observations/380053618"/>
    <hyperlink ref="G1698" r:id="rId5074" display="giorgio3b"/>
    <hyperlink ref="H1698" r:id="rId5075" display="Deed - Attribution-NonCommercial 4.0 International - Creative Commons"/>
    <hyperlink ref="I1698" r:id="rId5076" display="https://www.inaturalist.org/observations/380053618"/>
    <hyperlink ref="G1699" r:id="rId5077" display="jaxoncai"/>
    <hyperlink ref="H1699" r:id="rId5078" display="Deed - Attribution-NonCommercial 4.0 International - Creative Commons"/>
    <hyperlink ref="I1699" r:id="rId5079" display="https://www.inaturalist.org/observations/380044682"/>
    <hyperlink ref="G1700" r:id="rId5080" display="srochholz"/>
    <hyperlink ref="H1700" r:id="rId5081" display="Deed - Attribution-NonCommercial 4.0 International - Creative Commons"/>
    <hyperlink ref="I1700" r:id="rId5082" display="https://www.inaturalist.org/observations/380001077"/>
    <hyperlink ref="G1701" r:id="rId5083" display="kitty_"/>
    <hyperlink ref="H1701" r:id="rId5084" display="Deed - Attribution-NonCommercial 4.0 International - Creative Commons"/>
    <hyperlink ref="I1701" r:id="rId5085" display="https://www.inaturalist.org/observations/379978443"/>
    <hyperlink ref="G1702" r:id="rId5086" display="chiarimax"/>
    <hyperlink ref="H1702" r:id="rId5087" display="Deed - Attribution-NonCommercial 4.0 International - Creative Commons"/>
    <hyperlink ref="I1702" r:id="rId5088" display="https://www.inaturalist.org/observations/379959638"/>
    <hyperlink ref="G1703" r:id="rId5089" display="hellosunbirds"/>
    <hyperlink ref="H1703" r:id="rId5090" display="Deed - Attribution-NonCommercial 4.0 International - Creative Commons"/>
    <hyperlink ref="I1703" r:id="rId5091" display="https://www.inaturalist.org/observations/379955606"/>
    <hyperlink ref="G1704" r:id="rId5092" display="jacques_hallot"/>
    <hyperlink ref="H1704" r:id="rId5093" display="Deed - Attribution-NonCommercial 4.0 International - Creative Commons"/>
    <hyperlink ref="I1704" r:id="rId5094" display="https://www.inaturalist.org/observations/379915069"/>
    <hyperlink ref="G1705" r:id="rId5095" display="galancho"/>
    <hyperlink ref="H1705" r:id="rId5096" display="Deed - Attribution-NonCommercial 4.0 International - Creative Commons"/>
    <hyperlink ref="I1705" r:id="rId5097" display="https://www.inaturalist.org/observations/379873583"/>
    <hyperlink ref="G1706" r:id="rId5098" display="davidflumm"/>
    <hyperlink ref="H1706" r:id="rId5099" display="Deed - Attribution-NonCommercial 4.0 International - Creative Commons"/>
    <hyperlink ref="I1706" r:id="rId5100" display="https://www.inaturalist.org/observations/379852199"/>
    <hyperlink ref="G1707" r:id="rId5101" display="stafen"/>
    <hyperlink ref="H1707" r:id="rId5102" display="Deed - Attribution-NonCommercial 4.0 International - Creative Commons"/>
    <hyperlink ref="I1707" r:id="rId5103" display="https://www.inaturalist.org/observations/379842838"/>
    <hyperlink ref="G1708" r:id="rId5104" display="max-pics"/>
    <hyperlink ref="H1708" r:id="rId5105" display="Deed - Attribution-NonCommercial 4.0 International - Creative Commons"/>
    <hyperlink ref="I1708" r:id="rId5106" display="https://www.inaturalist.org/observations/379839060"/>
    <hyperlink ref="G1709" r:id="rId5107" display="ricardoblanco"/>
    <hyperlink ref="H1709" r:id="rId5108" display="Deed - Attribution-NonCommercial 4.0 International - Creative Commons"/>
    <hyperlink ref="I1709" r:id="rId5109" display="https://www.inaturalist.org/observations/379825758"/>
    <hyperlink ref="G1710" r:id="rId5110" display="eva18593"/>
    <hyperlink ref="H1710" r:id="rId5111" display="Deed - Attribution-NonCommercial 4.0 International - Creative Commons"/>
    <hyperlink ref="I1710" r:id="rId5112" display="https://www.inaturalist.org/observations/379825342"/>
    <hyperlink ref="G1711" r:id="rId5113" display="eva18593"/>
    <hyperlink ref="H1711" r:id="rId5114" display="Deed - Attribution-NonCommercial 4.0 International - Creative Commons"/>
    <hyperlink ref="I1711" r:id="rId5115" display="https://www.inaturalist.org/observations/379825232"/>
    <hyperlink ref="G1712" r:id="rId5116" display="eduardo86187"/>
    <hyperlink ref="H1712" r:id="rId5117" display="Deed - Attribution-NonCommercial 4.0 International - Creative Commons"/>
    <hyperlink ref="I1712" r:id="rId5118" display="https://www.inaturalist.org/observations/379810722"/>
    <hyperlink ref="G1713" r:id="rId5119" display="dilophosaurus_69"/>
    <hyperlink ref="H1713" r:id="rId5120" display="Deed - Attribution-NonCommercial 4.0 International - Creative Commons"/>
    <hyperlink ref="I1713" r:id="rId5121" display="https://www.inaturalist.org/observations/379809115"/>
    <hyperlink ref="G1714" r:id="rId5122" display="jost_holtzmann"/>
    <hyperlink ref="H1714" r:id="rId5123" display="Deed - Attribution-NonCommercial 4.0 International - Creative Commons"/>
    <hyperlink ref="I1714" r:id="rId5124" display="https://www.inaturalist.org/observations/379803140"/>
    <hyperlink ref="G1715" r:id="rId5125" display="angelique84704"/>
    <hyperlink ref="H1715" r:id="rId5126" display="Deed - Attribution-NonCommercial 4.0 International - Creative Commons"/>
    <hyperlink ref="I1715" r:id="rId5127" display="https://www.inaturalist.org/observations/379802558"/>
    <hyperlink ref="G1716" r:id="rId5128" display="mclarke1123"/>
    <hyperlink ref="H1716" r:id="rId5129" display="Deed - Attribution-NonCommercial 4.0 International - Creative Commons"/>
    <hyperlink ref="I1716" r:id="rId5130" display="https://www.inaturalist.org/observations/379796160"/>
    <hyperlink ref="G1717" r:id="rId5131" display="mauro_fioretto"/>
    <hyperlink ref="H1717" r:id="rId5132" display="Deed - Attribution-NonCommercial 4.0 International - Creative Commons"/>
    <hyperlink ref="I1717" r:id="rId5133" display="https://www.inaturalist.org/observations/380079065"/>
    <hyperlink ref="G1718" r:id="rId5134" display="olivehead"/>
    <hyperlink ref="H1718" r:id="rId5135" display="Deed - Attribution-NonCommercial 4.0 International - Creative Commons"/>
    <hyperlink ref="I1718" r:id="rId5136" display="https://www.inaturalist.org/observations/373514350"/>
    <hyperlink ref="G1719" r:id="rId5137" display="olivehead"/>
    <hyperlink ref="H1719" r:id="rId5138" display="Deed - Attribution-NonCommercial 4.0 International - Creative Commons"/>
    <hyperlink ref="I1719" r:id="rId5139" display="https://www.inaturalist.org/observations/373514350"/>
    <hyperlink ref="G1720" r:id="rId5140" display="gaialucia"/>
    <hyperlink ref="H1720" r:id="rId5141" display="Deed - Attribution-NonCommercial 4.0 International - Creative Commons"/>
    <hyperlink ref="I1720" r:id="rId5142" display="https://www.inaturalist.org/observations/372375703"/>
    <hyperlink ref="G1721" r:id="rId5143" display="nau_"/>
    <hyperlink ref="H1721" r:id="rId5144" display="Deed - Attribution-NonCommercial 4.0 International - Creative Commons"/>
    <hyperlink ref="I1721" r:id="rId5145" display="https://www.inaturalist.org/observations/370742201"/>
    <hyperlink ref="G1722" r:id="rId5146" display="marc_meynadier"/>
    <hyperlink ref="H1722" r:id="rId5147" display="Deed - Attribution-NonCommercial 4.0 International - Creative Commons"/>
    <hyperlink ref="I1722" r:id="rId5148" display="https://www.inaturalist.org/observations/369304234"/>
    <hyperlink ref="G1723" r:id="rId5149" display="steiblys"/>
    <hyperlink ref="H1723" r:id="rId5150" display="Deed - Attribution-NonCommercial 4.0 International - Creative Commons"/>
    <hyperlink ref="I1723" r:id="rId5151" display="https://www.inaturalist.org/observations/366021427"/>
    <hyperlink ref="G1724" r:id="rId5152" display="steiblys"/>
    <hyperlink ref="H1724" r:id="rId5153" display="Deed - Attribution-NonCommercial 4.0 International - Creative Commons"/>
    <hyperlink ref="I1724" r:id="rId5154" display="https://www.inaturalist.org/observations/364314499"/>
    <hyperlink ref="G1725" r:id="rId5155" display="ubif"/>
    <hyperlink ref="H1725" r:id="rId5156" display="Deed - Attribution-NonCommercial 4.0 International - Creative Commons"/>
    <hyperlink ref="I1725" r:id="rId5157" display="https://www.inaturalist.org/observations/360188388"/>
    <hyperlink ref="G1726" r:id="rId5158" display="tuero"/>
    <hyperlink ref="H1726" r:id="rId5159" display="Deed - Attribution-NonCommercial 4.0 International - Creative Commons"/>
    <hyperlink ref="I1726" r:id="rId5160" display="https://www.inaturalist.org/observations/357494384"/>
    <hyperlink ref="G1727" r:id="rId5161" display="ahevcar"/>
    <hyperlink ref="H1727" r:id="rId5162" display="Deed - Attribution-NonCommercial 4.0 International - Creative Commons"/>
    <hyperlink ref="I1727" r:id="rId5163" display="https://www.inaturalist.org/observations/357481414"/>
    <hyperlink ref="G1728" r:id="rId5164" display="ahevcar"/>
    <hyperlink ref="H1728" r:id="rId5165" display="Deed - Attribution-NonCommercial 4.0 International - Creative Commons"/>
    <hyperlink ref="I1728" r:id="rId5166" display="https://www.inaturalist.org/observations/357264152"/>
    <hyperlink ref="G1729" r:id="rId5167" display="mickmilner"/>
    <hyperlink ref="H1729" r:id="rId5168" display="Deed - Attribution-NonCommercial 4.0 International - Creative Commons"/>
    <hyperlink ref="I1729" r:id="rId5169" display="https://www.inaturalist.org/observations/349802145"/>
    <hyperlink ref="G1730" r:id="rId5170" display="naiki_gallotia_auaritae"/>
    <hyperlink ref="H1730" r:id="rId5171" display="Deed - Attribution-NonCommercial 4.0 International - Creative Commons"/>
    <hyperlink ref="I1730" r:id="rId5172" display="https://www.inaturalist.org/observations/349969838"/>
    <hyperlink ref="G1731" r:id="rId5173" display="naiki_gallotia_auaritae"/>
    <hyperlink ref="H1731" r:id="rId5174" display="Deed - Attribution-NonCommercial 4.0 International - Creative Commons"/>
    <hyperlink ref="I1731" r:id="rId5175" display="https://www.inaturalist.org/observations/349969838"/>
    <hyperlink ref="G1732" r:id="rId5176" display="cassi_astronomy"/>
    <hyperlink ref="H1732" r:id="rId5177" display="Deed - Attribution-NonCommercial 4.0 International - Creative Commons"/>
    <hyperlink ref="I1732" r:id="rId5178" display="https://www.inaturalist.org/observations/349354315"/>
    <hyperlink ref="G1733" r:id="rId5179" display="wendy2718"/>
    <hyperlink ref="H1733" r:id="rId5180" display="Deed - Attribution-NonCommercial 4.0 International - Creative Commons"/>
    <hyperlink ref="I1733" r:id="rId5181" display="https://www.inaturalist.org/observations/346861173"/>
    <hyperlink ref="G1734" r:id="rId5182" display="pkocare1"/>
    <hyperlink ref="H1734" r:id="rId5183" display="Deed - Attribution-NonCommercial 4.0 International - Creative Commons"/>
    <hyperlink ref="I1734" r:id="rId5184" display="https://www.inaturalist.org/observations/345338152"/>
    <hyperlink ref="G1735" r:id="rId5185" display="perenquen007"/>
    <hyperlink ref="H1735" r:id="rId5186" display="Deed - Attribution-NonCommercial 4.0 International - Creative Commons"/>
    <hyperlink ref="I1735" r:id="rId5187" display="https://www.inaturalist.org/observations/344668073"/>
    <hyperlink ref="G1736" r:id="rId5188" display="perenquen007"/>
    <hyperlink ref="H1736" r:id="rId5189" display="Deed - Attribution-NonCommercial 4.0 International - Creative Commons"/>
    <hyperlink ref="I1736" r:id="rId5190" display="https://www.inaturalist.org/observations/344668073"/>
    <hyperlink ref="G1737" r:id="rId5191" display="wernerr"/>
    <hyperlink ref="H1737" r:id="rId5192" display="Deed - Attribution-NonCommercial 4.0 International - Creative Commons"/>
    <hyperlink ref="I1737" r:id="rId5193" display="https://www.inaturalist.org/observations/345288866"/>
    <hyperlink ref="G1738" r:id="rId5194" display="perenquen007"/>
    <hyperlink ref="H1738" r:id="rId5195" display="Deed - Attribution-NonCommercial 4.0 International - Creative Commons"/>
    <hyperlink ref="I1738" r:id="rId5196" display="https://www.inaturalist.org/observations/343341003"/>
    <hyperlink ref="G1739" r:id="rId5197" display="andrea93iga"/>
    <hyperlink ref="H1739" r:id="rId5198" display="Deed - Attribution-NonCommercial 4.0 International - Creative Commons"/>
    <hyperlink ref="I1739" r:id="rId5199" display="https://www.inaturalist.org/observations/341424175"/>
    <hyperlink ref="G1740" r:id="rId5200" display="little_mud_fish"/>
    <hyperlink ref="H1740" r:id="rId5201" display="Deed - Attribution-NonCommercial 4.0 International - Creative Commons"/>
    <hyperlink ref="I1740" r:id="rId5202" display="https://www.inaturalist.org/observations/339301092"/>
    <hyperlink ref="G1741" r:id="rId5203" display="fred11869"/>
    <hyperlink ref="H1741" r:id="rId5204" display="Deed - Attribution-NonCommercial 4.0 International - Creative Commons"/>
    <hyperlink ref="I1741" r:id="rId5205" display="https://www.inaturalist.org/observations/339194533"/>
    <hyperlink ref="G1742" r:id="rId5206" display="matteopolo"/>
    <hyperlink ref="H1742" r:id="rId5207" display="Deed - Attribution-NonCommercial 4.0 International - Creative Commons"/>
    <hyperlink ref="I1742" r:id="rId5208" display="https://www.inaturalist.org/observations/338189678"/>
    <hyperlink ref="G1743" r:id="rId5209" display="vasek22"/>
    <hyperlink ref="H1743" r:id="rId5210" display="Deed - Attribution-NonCommercial 4.0 International - Creative Commons"/>
    <hyperlink ref="I1743" r:id="rId5211" display="https://www.inaturalist.org/observations/337524637"/>
    <hyperlink ref="G1744" r:id="rId5212" display="martatischer"/>
    <hyperlink ref="H1744" r:id="rId5213" display="Deed - Attribution-NonCommercial 4.0 International - Creative Commons"/>
    <hyperlink ref="I1744" r:id="rId5214" display="https://www.inaturalist.org/observations/335384134"/>
    <hyperlink ref="G1745" r:id="rId5215" display="martatischer"/>
    <hyperlink ref="H1745" r:id="rId5216" display="Deed - Attribution-NonCommercial 4.0 International - Creative Commons"/>
    <hyperlink ref="I1745" r:id="rId5217" display="https://www.inaturalist.org/observations/335384290"/>
    <hyperlink ref="G1746" r:id="rId5218" display="martatischer"/>
    <hyperlink ref="H1746" r:id="rId5219" display="Deed - Attribution-NonCommercial 4.0 International - Creative Commons"/>
    <hyperlink ref="I1746" r:id="rId5220" display="https://www.inaturalist.org/observations/335384290"/>
    <hyperlink ref="G1747" r:id="rId5221" display="walter_zoccarato"/>
    <hyperlink ref="H1747" r:id="rId5222" display="Deed - Attribution-NonCommercial 4.0 International - Creative Commons"/>
    <hyperlink ref="I1747" r:id="rId5223" display="https://www.inaturalist.org/observations/334588275"/>
    <hyperlink ref="G1748" r:id="rId5224" display="evigierisch"/>
    <hyperlink ref="H1748" r:id="rId5225" display="Deed - Attribution-NonCommercial 4.0 International - Creative Commons"/>
    <hyperlink ref="I1748" r:id="rId5226" display="https://www.inaturalist.org/observations/334590339"/>
    <hyperlink ref="G1749" r:id="rId5227" display="coleraptor"/>
    <hyperlink ref="H1749" r:id="rId5228" display="Deed - Attribution-NonCommercial 4.0 International - Creative Commons"/>
    <hyperlink ref="I1749" r:id="rId5229" display="https://www.inaturalist.org/observations/334079424"/>
    <hyperlink ref="G1750" r:id="rId5230" display="silviupetrovan"/>
    <hyperlink ref="H1750" r:id="rId5231" display="Deed - Attribution-NonCommercial 4.0 International - Creative Commons"/>
    <hyperlink ref="I1750" r:id="rId5232" display="https://www.inaturalist.org/observations/332434608"/>
    <hyperlink ref="G1751" r:id="rId5233" display="aitorlop"/>
    <hyperlink ref="H1751" r:id="rId5234" display="Deed - Attribution-NonCommercial 4.0 International - Creative Commons"/>
    <hyperlink ref="I1751" r:id="rId5235" display="https://www.inaturalist.org/observations/319368344"/>
    <hyperlink ref="G1752" r:id="rId5236" display="dajinmaak"/>
    <hyperlink ref="H1752" r:id="rId5237" display="Deed - Attribution-NonCommercial 4.0 International - Creative Commons"/>
    <hyperlink ref="I1752" r:id="rId5238" display="https://www.inaturalist.org/observations/299471183"/>
    <hyperlink ref="G1753" r:id="rId5239" display="risak"/>
    <hyperlink ref="H1753" r:id="rId5240" display="Deed - Attribution-NonCommercial 4.0 International - Creative Commons"/>
    <hyperlink ref="I1753" r:id="rId5241" display="https://www.inaturalist.org/observations/380830752"/>
    <hyperlink ref="G1754" r:id="rId5242" display="carlos-fierro"/>
    <hyperlink ref="H1754" r:id="rId5243" display="Deed - Attribution-NonCommercial 4.0 International - Creative Commons"/>
    <hyperlink ref="I1754" r:id="rId5244" display="https://www.inaturalist.org/observations/380394280"/>
    <hyperlink ref="G1755" r:id="rId5245" display="carlos-fierro"/>
    <hyperlink ref="H1755" r:id="rId5246" display="Deed - Attribution-NonCommercial 4.0 International - Creative Commons"/>
    <hyperlink ref="I1755" r:id="rId5247" display="https://www.inaturalist.org/observations/380394280"/>
    <hyperlink ref="G1756" r:id="rId5248" display="jesicar"/>
    <hyperlink ref="H1756" r:id="rId5249" display="Deed - Attribution-NonCommercial 4.0 International - Creative Commons"/>
    <hyperlink ref="I1756" r:id="rId5250" display="https://www.inaturalist.org/observations/378784983"/>
    <hyperlink ref="G1757" r:id="rId5251" display="jeiras"/>
    <hyperlink ref="H1757" r:id="rId5252" display="Deed - Attribution-NonCommercial 4.0 International - Creative Commons"/>
    <hyperlink ref="I1757" r:id="rId5253" display="https://www.inaturalist.org/observations/378736376"/>
    <hyperlink ref="G1758" r:id="rId5254" display="ern_est"/>
    <hyperlink ref="H1758" r:id="rId5255" display="Deed - Attribution-NonCommercial 4.0 International - Creative Commons"/>
    <hyperlink ref="I1758" r:id="rId5256" display="https://www.inaturalist.org/observations/374322261"/>
    <hyperlink ref="G1759" r:id="rId5257" display="nstern"/>
    <hyperlink ref="H1759" r:id="rId5258" display="Deed - Attribution-NonCommercial 4.0 International - Creative Commons"/>
    <hyperlink ref="I1759" r:id="rId5259" display="https://www.inaturalist.org/observations/364473400"/>
    <hyperlink ref="G1760" r:id="rId5260" display="chloe3044"/>
    <hyperlink ref="H1760" r:id="rId5261" display="Deed - Attribution-NonCommercial 4.0 International - Creative Commons"/>
    <hyperlink ref="I1760" r:id="rId5262" display="https://www.inaturalist.org/observations/364410172"/>
    <hyperlink ref="G1761" r:id="rId5263" display="amaneko"/>
    <hyperlink ref="H1761" r:id="rId5264" display="Deed - Attribution-NonCommercial 4.0 International - Creative Commons"/>
    <hyperlink ref="I1761" r:id="rId5265" display="https://www.inaturalist.org/observations/348108208"/>
    <hyperlink ref="G1762" r:id="rId5266" display="brunoandmartin"/>
    <hyperlink ref="H1762" r:id="rId5267" display="Deed - Attribution-NonCommercial 4.0 International - Creative Commons"/>
    <hyperlink ref="I1762" r:id="rId5268" display="https://www.inaturalist.org/observations/345526693"/>
    <hyperlink ref="G1763" r:id="rId5269" display="marcdomenech"/>
    <hyperlink ref="H1763" r:id="rId5270" display="Deed - Attribution-NonCommercial 4.0 International - Creative Commons"/>
    <hyperlink ref="I1763" r:id="rId5271" display="https://www.inaturalist.org/observations/342164842"/>
    <hyperlink ref="G1764" r:id="rId5272" display="andrea93iga"/>
    <hyperlink ref="H1764" r:id="rId5273" display="Deed - Attribution-NonCommercial 4.0 International - Creative Commons"/>
    <hyperlink ref="I1764" r:id="rId5274" display="https://www.inaturalist.org/observations/341426535"/>
    <hyperlink ref="G1765" r:id="rId5275" display="vasek22"/>
    <hyperlink ref="H1765" r:id="rId5276" display="Deed - Attribution-NonCommercial 4.0 International - Creative Commons"/>
    <hyperlink ref="I1765" r:id="rId5277" display="https://www.inaturalist.org/observations/337524166"/>
    <hyperlink ref="G1766" r:id="rId5278" display="bargon"/>
    <hyperlink ref="H1766" r:id="rId5279" display="Deed - Attribution-NonCommercial 4.0 International - Creative Commons"/>
    <hyperlink ref="I1766" r:id="rId5280" display="https://www.inaturalist.org/observations/336604830"/>
    <hyperlink ref="G1767" r:id="rId5281" display="verstraeten"/>
    <hyperlink ref="H1767" r:id="rId5282" display="Deed - Attribution-NonCommercial 4.0 International - Creative Commons"/>
    <hyperlink ref="I1767" r:id="rId5283" display="https://www.inaturalist.org/observations/331915489"/>
    <hyperlink ref="G1768" r:id="rId5284" display="naturalonso"/>
    <hyperlink ref="H1768" r:id="rId5285" display="Deed - Attribution-NonCommercial 4.0 International - Creative Commons"/>
    <hyperlink ref="I1768" r:id="rId5286" display="https://www.inaturalist.org/observations/331533888"/>
    <hyperlink ref="G1769" r:id="rId5287" display="amaneko"/>
    <hyperlink ref="H1769" r:id="rId5288" display="Deed - Attribution-NonCommercial 4.0 International - Creative Commons"/>
    <hyperlink ref="I1769" r:id="rId5289" display="https://www.inaturalist.org/observations/330755014"/>
    <hyperlink ref="G1770" r:id="rId5290" display="amaneko"/>
    <hyperlink ref="H1770" r:id="rId5291" display="Deed - Attribution-NonCommercial 4.0 International - Creative Commons"/>
    <hyperlink ref="I1770" r:id="rId5292" display="https://www.inaturalist.org/observations/330755014"/>
    <hyperlink ref="G1771" r:id="rId5293" display="mariomjg999"/>
    <hyperlink ref="H1771" r:id="rId5294" display="Deed - Attribution-NonCommercial 4.0 International - Creative Commons"/>
    <hyperlink ref="I1771" r:id="rId5295" display="https://www.inaturalist.org/observations/329880948"/>
    <hyperlink ref="G1772" r:id="rId5296" display="whoisababybear"/>
    <hyperlink ref="H1772" r:id="rId5297" display="Deed - Attribution-NonCommercial 4.0 International - Creative Commons"/>
    <hyperlink ref="I1772" r:id="rId5298" display="https://www.inaturalist.org/observations/327914220"/>
    <hyperlink ref="G1773" r:id="rId5299" display="luaines"/>
    <hyperlink ref="H1773" r:id="rId5300" display="Deed - Attribution-NonCommercial 4.0 International - Creative Commons"/>
    <hyperlink ref="I1773" r:id="rId5301" display="https://www.inaturalist.org/observations/315192001"/>
    <hyperlink ref="G1774" r:id="rId5302" display="juliangums"/>
    <hyperlink ref="H1774" r:id="rId5303" display="Deed - Attribution-NonCommercial 4.0 International - Creative Commons"/>
    <hyperlink ref="I1774" r:id="rId5304" display="https://www.inaturalist.org/observations/307751904"/>
    <hyperlink ref="G1775" r:id="rId5305" display="phil_newman"/>
    <hyperlink ref="H1775" r:id="rId5306" display="Deed - Attribution-NonCommercial 4.0 International - Creative Commons"/>
    <hyperlink ref="I1775" r:id="rId5307" display="https://www.inaturalist.org/observations/310248056"/>
    <hyperlink ref="G1776" r:id="rId5308" display="felicity0907"/>
    <hyperlink ref="H1776" r:id="rId5309" display="Deed - Attribution-NonCommercial 4.0 International - Creative Commons"/>
    <hyperlink ref="I1776" r:id="rId5310" display="https://www.inaturalist.org/observations/304911946"/>
    <hyperlink ref="G1777" r:id="rId5311" display="alexander_a"/>
    <hyperlink ref="H1777" r:id="rId5312" display="Deed - Attribution-NonCommercial 4.0 International - Creative Commons"/>
    <hyperlink ref="I1777" r:id="rId5313" display="https://www.inaturalist.org/observations/303937240"/>
    <hyperlink ref="G1778" r:id="rId5314" display="carmelo_lopez"/>
    <hyperlink ref="H1778" r:id="rId5315" display="Deed - Attribution-NonCommercial 4.0 International - Creative Commons"/>
    <hyperlink ref="I1778" r:id="rId5316" display="https://www.inaturalist.org/observations/303843571"/>
    <hyperlink ref="G1779" r:id="rId5317" display="adrian_tizon"/>
    <hyperlink ref="H1779" r:id="rId5318" display="Deed - Attribution-NonCommercial 4.0 International - Creative Commons"/>
    <hyperlink ref="I1779" r:id="rId5319" display="https://www.inaturalist.org/observations/302761191"/>
    <hyperlink ref="G1780" r:id="rId5320" display="ulexeuropaeus"/>
    <hyperlink ref="H1780" r:id="rId5321" display="Deed - Attribution-NonCommercial 4.0 International - Creative Commons"/>
    <hyperlink ref="I1780" r:id="rId5322" display="https://www.inaturalist.org/observations/302545483"/>
    <hyperlink ref="G1781" r:id="rId5323" display="adrian_tizon"/>
    <hyperlink ref="H1781" r:id="rId5324" display="Deed - Attribution-NonCommercial 4.0 International - Creative Commons"/>
    <hyperlink ref="I1781" r:id="rId5325" display="https://www.inaturalist.org/observations/300264322"/>
    <hyperlink ref="G1782" r:id="rId5326" display="adrian_tizon"/>
    <hyperlink ref="H1782" r:id="rId5327" display="Deed - Attribution-NonCommercial 4.0 International - Creative Commons"/>
    <hyperlink ref="I1782" r:id="rId5328" display="https://www.inaturalist.org/observations/300264322"/>
    <hyperlink ref="G1783" r:id="rId5329" display="martingrimm"/>
    <hyperlink ref="H1783" r:id="rId5330" display="Deed - Attribution-NonCommercial 4.0 International - Creative Commons"/>
    <hyperlink ref="I1783" r:id="rId5331" display="https://www.inaturalist.org/observations/245190402"/>
    <hyperlink ref="G1784" r:id="rId5332" display="swann19"/>
    <hyperlink ref="H1784" r:id="rId5333" display="Deed - Attribution-NonCommercial 4.0 International - Creative Commons"/>
    <hyperlink ref="I1784" r:id="rId5334" display="https://www.inaturalist.org/observations/244747940"/>
    <hyperlink ref="G1785" r:id="rId5335" display="javieralmunia"/>
    <hyperlink ref="H1785" r:id="rId5336" display="Deed - Attribution-NonCommercial 4.0 International - Creative Commons"/>
    <hyperlink ref="I1785" r:id="rId5337" display="https://www.inaturalist.org/observations/146213463"/>
    <hyperlink ref="G1786" r:id="rId5338" display="silvitruki"/>
    <hyperlink ref="H1786" r:id="rId5339" display="Deed - Attribution-NonCommercial 4.0 International - Creative Commons"/>
    <hyperlink ref="I1786" r:id="rId5340" display="https://www.inaturalist.org/observations/146263557"/>
    <hyperlink ref="G1787" r:id="rId5341" display="vicentebuet"/>
    <hyperlink ref="H1787" r:id="rId5342" display="Deed - Attribution-NonCommercial 4.0 International - Creative Commons"/>
    <hyperlink ref="I1787" r:id="rId5343" display="https://www.inaturalist.org/observations/63103283"/>
    <hyperlink ref="G1788" r:id="rId5344" display="tityus_is_cool"/>
    <hyperlink ref="H1788" r:id="rId5345" display="Deed - Attribution-NonCommercial 4.0 International - Creative Commons"/>
    <hyperlink ref="I1788" r:id="rId5346" display="https://www.inaturalist.org/observations/381846703"/>
    <hyperlink ref="G1789" r:id="rId5347" display="tityus_is_cool"/>
    <hyperlink ref="H1789" r:id="rId5348" display="Deed - Attribution-NonCommercial 4.0 International - Creative Commons"/>
    <hyperlink ref="I1789" r:id="rId5349" display="https://www.inaturalist.org/observations/381846703"/>
    <hyperlink ref="G1790" r:id="rId5350" display="iska_syubay"/>
    <hyperlink ref="H1790" r:id="rId5351" display="Deed - Attribution-NonCommercial 4.0 International - Creative Commons"/>
    <hyperlink ref="I1790" r:id="rId5352" display="https://www.inaturalist.org/observations/380963455"/>
    <hyperlink ref="G1791" r:id="rId5353" display="anthonyu"/>
    <hyperlink ref="H1791" r:id="rId5354" display="Deed - Attribution-NonCommercial 4.0 International - Creative Commons"/>
    <hyperlink ref="I1791" r:id="rId5355" display="https://www.inaturalist.org/observations/379493432"/>
    <hyperlink ref="G1792" r:id="rId5356" display="anthonyu"/>
    <hyperlink ref="H1792" r:id="rId5357" display="Deed - Attribution-NonCommercial 4.0 International - Creative Commons"/>
    <hyperlink ref="I1792" r:id="rId5358" display="https://www.inaturalist.org/observations/379493432"/>
    <hyperlink ref="G1793" r:id="rId5359" display="ale-jan-dra"/>
    <hyperlink ref="H1793" r:id="rId5360" display="Deed - Attribution-NonCommercial 4.0 International - Creative Commons"/>
    <hyperlink ref="I1793" r:id="rId5361" display="https://www.inaturalist.org/observations/378287400"/>
    <hyperlink ref="G1794" r:id="rId5362" display="pigrorospo"/>
    <hyperlink ref="H1794" r:id="rId5363" display="Deed - Attribution-NonCommercial 4.0 International - Creative Commons"/>
    <hyperlink ref="I1794" r:id="rId5364" display="https://www.inaturalist.org/observations/378119930"/>
    <hyperlink ref="G1795" r:id="rId5365" display="nourrmw14"/>
    <hyperlink ref="H1795" r:id="rId5366" display="Deed - Attribution-NonCommercial 4.0 International - Creative Commons"/>
    <hyperlink ref="I1795" r:id="rId5367" display="https://www.inaturalist.org/observations/378024787"/>
    <hyperlink ref="G1796" r:id="rId5368" display="daymaorg"/>
    <hyperlink ref="H1796" r:id="rId5369" display="Deed - Attribution-NonCommercial 4.0 International - Creative Commons"/>
    <hyperlink ref="I1796" r:id="rId5370" display="https://www.inaturalist.org/observations/377805288"/>
    <hyperlink ref="G1797" r:id="rId5371" display="mahmoud_fayez"/>
    <hyperlink ref="H1797" r:id="rId5372" display="Deed - Attribution-NonCommercial 4.0 International - Creative Commons"/>
    <hyperlink ref="I1797" r:id="rId5373" display="https://www.inaturalist.org/observations/375655867"/>
    <hyperlink ref="G1798" r:id="rId5374" display="jm_blake"/>
    <hyperlink ref="H1798" r:id="rId5375" display="Deed - Attribution-NonCommercial 4.0 International - Creative Commons"/>
    <hyperlink ref="I1798" r:id="rId5376" display="https://www.inaturalist.org/observations/372862888"/>
    <hyperlink ref="G1799" r:id="rId5377" display="mahmoud_fayez"/>
    <hyperlink ref="H1799" r:id="rId5378" display="Deed - Attribution-NonCommercial 4.0 International - Creative Commons"/>
    <hyperlink ref="I1799" r:id="rId5379" display="https://www.inaturalist.org/observations/372042098"/>
    <hyperlink ref="G1800" r:id="rId5380" display="philippeloyoddin"/>
    <hyperlink ref="H1800" r:id="rId5381" display="Deed - Attribution-NonCommercial 4.0 International - Creative Commons"/>
    <hyperlink ref="I1800" r:id="rId5382" display="https://www.inaturalist.org/observations/371401215"/>
    <hyperlink ref="G1801" r:id="rId5383" display="erik6306"/>
    <hyperlink ref="H1801" r:id="rId5384" display="Deed - Attribution-NonCommercial 4.0 International - Creative Commons"/>
    <hyperlink ref="I1801" r:id="rId5385" display="https://www.inaturalist.org/observations/368897616"/>
    <hyperlink ref="G1802" r:id="rId5386" display="einati125"/>
    <hyperlink ref="H1802" r:id="rId5387" display="Deed - Attribution-NonCommercial 4.0 International - Creative Commons"/>
    <hyperlink ref="I1802" r:id="rId5388" display="https://www.inaturalist.org/observations/368428961"/>
    <hyperlink ref="G1803" r:id="rId5389" display="silke10067"/>
    <hyperlink ref="H1803" r:id="rId5390" display="Deed - Attribution-NonCommercial 4.0 International - Creative Commons"/>
    <hyperlink ref="I1803" r:id="rId5391" display="https://www.inaturalist.org/observations/368387303"/>
    <hyperlink ref="G1804" r:id="rId5392" display="roberto-villarreal"/>
    <hyperlink ref="H1804" r:id="rId5393" display="Deed - Attribution-NonCommercial 4.0 International - Creative Commons"/>
    <hyperlink ref="I1804" r:id="rId5394" display="https://www.inaturalist.org/observations/367299390"/>
    <hyperlink ref="G1805" r:id="rId5395" display="bac_77"/>
    <hyperlink ref="H1805" r:id="rId5396" display="Deed - Attribution-NonCommercial 4.0 International - Creative Commons"/>
    <hyperlink ref="I1805" r:id="rId5397" display="https://www.inaturalist.org/observations/364449160"/>
    <hyperlink ref="G1806" r:id="rId5398" display="bac_77"/>
    <hyperlink ref="H1806" r:id="rId5399" display="Deed - Attribution-NonCommercial 4.0 International - Creative Commons"/>
    <hyperlink ref="I1806" r:id="rId5400" display="https://www.inaturalist.org/observations/364449160"/>
    <hyperlink ref="G1807" r:id="rId5401" display="alexb0000"/>
    <hyperlink ref="H1807" r:id="rId5402" display="Deed - Attribution-NonCommercial 4.0 International - Creative Commons"/>
    <hyperlink ref="I1807" r:id="rId5403" display="https://www.inaturalist.org/observations/364132756"/>
    <hyperlink ref="G1808" r:id="rId5404" display="marcosilv"/>
    <hyperlink ref="H1808" r:id="rId5405" display="Deed - Attribution-NonCommercial 4.0 International - Creative Commons"/>
    <hyperlink ref="I1808" r:id="rId5406" display="https://www.inaturalist.org/observations/360544813"/>
    <hyperlink ref="G1809" r:id="rId5407" display="ya_sergey"/>
    <hyperlink ref="H1809" r:id="rId5408" display="Deed - Attribution-NonCommercial 4.0 International - Creative Commons"/>
    <hyperlink ref="I1809" r:id="rId5409" display="https://www.inaturalist.org/observations/360382966"/>
    <hyperlink ref="G1810" r:id="rId5410" display="mahmoud_fayez"/>
    <hyperlink ref="H1810" r:id="rId5411" display="Deed - Attribution-NonCommercial 4.0 International - Creative Commons"/>
    <hyperlink ref="I1810" r:id="rId5412" display="https://www.inaturalist.org/observations/358353767"/>
    <hyperlink ref="G1811" r:id="rId5413" display="mahmoud_fayez"/>
    <hyperlink ref="H1811" r:id="rId5414" display="Deed - Attribution-NonCommercial 4.0 International - Creative Commons"/>
    <hyperlink ref="I1811" r:id="rId5415" display="https://www.inaturalist.org/observations/358353767"/>
    <hyperlink ref="G1812" r:id="rId5416" display="kingkotgal12"/>
    <hyperlink ref="H1812" r:id="rId5417" display="Deed - Attribution-NonCommercial 4.0 International - Creative Commons"/>
    <hyperlink ref="I1812" r:id="rId5418" display="https://www.inaturalist.org/observations/359749419"/>
    <hyperlink ref="G1813" r:id="rId5419" display="moshe_neeman"/>
    <hyperlink ref="H1813" r:id="rId5420" display="Deed - Attribution-NonCommercial 4.0 International - Creative Commons"/>
    <hyperlink ref="I1813" r:id="rId5421" display="https://www.inaturalist.org/observations/357846843"/>
    <hyperlink ref="G1814" r:id="rId5422" display="scchaney"/>
    <hyperlink ref="H1814" r:id="rId5423" display="Deed - Attribution-NonCommercial 4.0 International - Creative Commons"/>
    <hyperlink ref="I1814" r:id="rId5424" display="https://www.inaturalist.org/observations/354862893"/>
    <hyperlink ref="G1815" r:id="rId5425" display="aleksandrchekalov"/>
    <hyperlink ref="H1815" r:id="rId5426" display="Deed - Attribution-NonCommercial 4.0 International - Creative Commons"/>
    <hyperlink ref="I1815" r:id="rId5427" display="https://www.inaturalist.org/observations/350330766"/>
    <hyperlink ref="G1816" r:id="rId5428" display="siberian_birdguide"/>
    <hyperlink ref="H1816" r:id="rId5429" display="Deed - Attribution-NonCommercial 4.0 International - Creative Commons"/>
    <hyperlink ref="I1816" r:id="rId5430" display="https://www.inaturalist.org/observations/348709415"/>
    <hyperlink ref="G1817" r:id="rId5431" display="nocturnal_darkness"/>
    <hyperlink ref="H1817" r:id="rId5432" display="Deed - Attribution-NonCommercial 4.0 International - Creative Commons"/>
    <hyperlink ref="I1817" r:id="rId5433" display="https://www.inaturalist.org/observations/348525759"/>
    <hyperlink ref="G1818" r:id="rId5434" display="mansourelkerdany"/>
    <hyperlink ref="H1818" r:id="rId5435" display="Deed - Attribution-NonCommercial 4.0 International - Creative Commons"/>
    <hyperlink ref="I1818" r:id="rId5436" display="https://www.inaturalist.org/observations/348170895"/>
    <hyperlink ref="G1819" r:id="rId5437" display="mariomjg999"/>
    <hyperlink ref="H1819" r:id="rId5438" display="Deed - Attribution-NonCommercial 4.0 International - Creative Commons"/>
    <hyperlink ref="I1819" r:id="rId5439" display="https://www.inaturalist.org/observations/329823761"/>
    <hyperlink ref="G1820" r:id="rId5440" display="reptilemen"/>
    <hyperlink ref="H1820" r:id="rId5441" display="Deed - Attribution-NonCommercial 4.0 International - Creative Commons"/>
    <hyperlink ref="I1820" r:id="rId5442" display="https://www.inaturalist.org/observations/339063818"/>
    <hyperlink ref="G1821" r:id="rId5443" display="saxifraga13"/>
    <hyperlink ref="H1821" r:id="rId5444" display="Deed - Attribution-NonCommercial 4.0 International - Creative Commons"/>
    <hyperlink ref="I1821" r:id="rId5445" display="https://www.inaturalist.org/observations/342428036"/>
    <hyperlink ref="G1822" r:id="rId5446" display="majarogus"/>
    <hyperlink ref="H1822" r:id="rId5447" display="Deed - Attribution-NonCommercial 4.0 International - Creative Commons"/>
    <hyperlink ref="I1822" r:id="rId5448" display="https://www.inaturalist.org/observations/361224934"/>
    <hyperlink ref="G1823" r:id="rId5449" display="bryansarauer"/>
    <hyperlink ref="H1823" r:id="rId5450" display="Deed - Attribution-NonCommercial 4.0 International - Creative Commons"/>
    <hyperlink ref="I1823" r:id="rId5451" display="https://www.inaturalist.org/observations/382288851"/>
    <hyperlink ref="G1824" r:id="rId5452" display="yosef1234567"/>
    <hyperlink ref="H1824" r:id="rId5453" display="Deed - Attribution-NonCommercial 4.0 International - Creative Commons"/>
    <hyperlink ref="I1824" r:id="rId5454" display="https://www.inaturalist.org/observations/380901563"/>
    <hyperlink ref="G1825" r:id="rId5455" display="yosef1234567"/>
    <hyperlink ref="H1825" r:id="rId5456" display="Deed - Attribution-NonCommercial 4.0 International - Creative Commons"/>
    <hyperlink ref="I1825" r:id="rId5457" display="https://www.inaturalist.org/observations/380901563"/>
    <hyperlink ref="G1826" r:id="rId5458" display="drorf"/>
    <hyperlink ref="H1826" r:id="rId5459" display="Deed - Attribution-NonCommercial 4.0 International - Creative Commons"/>
    <hyperlink ref="I1826" r:id="rId5460" display="https://www.inaturalist.org/observations/380690841"/>
    <hyperlink ref="G1827" r:id="rId5461" display="mantis_lover321"/>
    <hyperlink ref="H1827" r:id="rId5462" display="Deed - Attribution-NonCommercial 4.0 International - Creative Commons"/>
    <hyperlink ref="I1827" r:id="rId5463" display="https://www.inaturalist.org/observations/380060274"/>
    <hyperlink ref="G1828" r:id="rId5464" display="themooshi"/>
    <hyperlink ref="H1828" r:id="rId5465" display="Deed - Attribution-NonCommercial 4.0 International - Creative Commons"/>
    <hyperlink ref="I1828" r:id="rId5466" display="https://www.inaturalist.org/observations/378661379"/>
    <hyperlink ref="G1829" r:id="rId5467" display="themooshi"/>
    <hyperlink ref="H1829" r:id="rId5468" display="Deed - Attribution-NonCommercial 4.0 International - Creative Commons"/>
    <hyperlink ref="I1829" r:id="rId5469" display="https://www.inaturalist.org/observations/378646187"/>
    <hyperlink ref="G1830" r:id="rId5470" display="shmul"/>
    <hyperlink ref="H1830" r:id="rId5471" display="Deed - Attribution-NonCommercial 4.0 International - Creative Commons"/>
    <hyperlink ref="I1830" r:id="rId5472" display="https://www.inaturalist.org/observations/376608847"/>
    <hyperlink ref="G1831" r:id="rId5473" display="jonigr"/>
    <hyperlink ref="H1831" r:id="rId5474" display="Deed - Attribution-NonCommercial 4.0 International - Creative Commons"/>
    <hyperlink ref="I1831" r:id="rId5475" display="https://www.inaturalist.org/observations/374313753"/>
    <hyperlink ref="G1832" r:id="rId5476" display="liam_hall"/>
    <hyperlink ref="H1832" r:id="rId5477" display="Deed - Attribution-NonCommercial 4.0 International - Creative Commons"/>
    <hyperlink ref="I1832" r:id="rId5478" display="https://www.inaturalist.org/observations/372526693"/>
    <hyperlink ref="G1833" r:id="rId5479" display="yuvitescu"/>
    <hyperlink ref="H1833" r:id="rId5480" display="Deed - Attribution-NonCommercial 4.0 International - Creative Commons"/>
    <hyperlink ref="I1833" r:id="rId5481" display="https://www.inaturalist.org/observations/370083191"/>
    <hyperlink ref="G1834" r:id="rId5482" display="ghammouri"/>
    <hyperlink ref="H1834" r:id="rId5483" display="Deed - Attribution-NonCommercial 4.0 International - Creative Commons"/>
    <hyperlink ref="I1834" r:id="rId5484" display="https://www.inaturalist.org/observations/369593024"/>
    <hyperlink ref="G1835" r:id="rId5485" display="itgypsy"/>
    <hyperlink ref="H1835" r:id="rId5486" display="Deed - Attribution-NonCommercial 4.0 International - Creative Commons"/>
    <hyperlink ref="I1835" r:id="rId5487" display="https://www.inaturalist.org/observations/366325332"/>
    <hyperlink ref="G1836" r:id="rId5488" display="omermeshulam"/>
    <hyperlink ref="H1836" r:id="rId5489" display="Deed - Attribution-NonCommercial 4.0 International - Creative Commons"/>
    <hyperlink ref="I1836" r:id="rId5490" display="https://www.inaturalist.org/observations/364016958"/>
    <hyperlink ref="G1837" r:id="rId5491" display="greenstep-iris"/>
    <hyperlink ref="H1837" r:id="rId5492" display="Deed - Attribution-NonCommercial 4.0 International - Creative Commons"/>
    <hyperlink ref="I1837" r:id="rId5493" display="https://www.inaturalist.org/observations/362508415"/>
    <hyperlink ref="G1838" r:id="rId5494" display="avishugar"/>
    <hyperlink ref="H1838" r:id="rId5495" display="Deed - Attribution-NonCommercial 4.0 International - Creative Commons"/>
    <hyperlink ref="I1838" r:id="rId5496" display="https://www.inaturalist.org/observations/361443629"/>
    <hyperlink ref="G1839" r:id="rId5497" display="jonigr"/>
    <hyperlink ref="H1839" r:id="rId5498" display="Deed - Attribution-NonCommercial 4.0 International - Creative Commons"/>
    <hyperlink ref="I1839" r:id="rId5499" display="https://www.inaturalist.org/observations/361203684"/>
    <hyperlink ref="G1840" r:id="rId5500" display="aharon_p"/>
    <hyperlink ref="H1840" r:id="rId5501" display="Deed - Attribution-NonCommercial 4.0 International - Creative Commons"/>
    <hyperlink ref="I1840" r:id="rId5502" display="https://www.inaturalist.org/observations/360970143"/>
    <hyperlink ref="G1841" r:id="rId5503" display="mantis_lover321"/>
    <hyperlink ref="H1841" r:id="rId5504" display="Deed - Attribution-NonCommercial 4.0 International - Creative Commons"/>
    <hyperlink ref="I1841" r:id="rId5505" display="https://www.inaturalist.org/observations/360563273"/>
    <hyperlink ref="G1842" r:id="rId5506" display="mantis_lover321"/>
    <hyperlink ref="H1842" r:id="rId5507" display="Deed - Attribution-NonCommercial 4.0 International - Creative Commons"/>
    <hyperlink ref="I1842" r:id="rId5508" display="https://www.inaturalist.org/observations/360563273"/>
    <hyperlink ref="G1843" r:id="rId5509" display="nataliya_kolyupanova"/>
    <hyperlink ref="H1843" r:id="rId5510" display="Deed - Attribution-NonCommercial 4.0 International - Creative Commons"/>
    <hyperlink ref="I1843" r:id="rId5511" display="https://www.inaturalist.org/observations/359554273"/>
    <hyperlink ref="G1844" r:id="rId5512" display="ezvegan"/>
    <hyperlink ref="H1844" r:id="rId5513" display="Deed - Attribution-NonCommercial 4.0 International - Creative Commons"/>
    <hyperlink ref="I1844" r:id="rId5514" display="https://www.inaturalist.org/observations/350342364"/>
    <hyperlink ref="G1845" r:id="rId5515" display="david_777"/>
    <hyperlink ref="H1845" r:id="rId5516" display="Deed - Attribution-NonCommercial 4.0 International - Creative Commons"/>
    <hyperlink ref="I1845" r:id="rId5517" display="https://www.inaturalist.org/observations/352872319"/>
    <hyperlink ref="G1846" r:id="rId5518" display="inaturalist-arthur"/>
    <hyperlink ref="H1846" r:id="rId5519" display="Deed - Attribution-NonCommercial 4.0 International - Creative Commons"/>
    <hyperlink ref="I1846" r:id="rId5520" display="https://www.inaturalist.org/observations/355796959"/>
    <hyperlink ref="G1847" r:id="rId5521" display="okalachov"/>
    <hyperlink ref="H1847" r:id="rId5522" display="Deed - Attribution-NonCommercial 4.0 International - Creative Commons"/>
    <hyperlink ref="I1847" r:id="rId5523" display="https://www.inaturalist.org/observations/348324458"/>
    <hyperlink ref="G1848" r:id="rId5524" display="hilly_hendel"/>
    <hyperlink ref="H1848" r:id="rId5525" display="Deed - Attribution-NonCommercial 4.0 International - Creative Commons"/>
    <hyperlink ref="I1848" r:id="rId5526" display="https://www.inaturalist.org/observations/338441439"/>
    <hyperlink ref="G1849" r:id="rId5527" display="polyabel"/>
    <hyperlink ref="H1849" r:id="rId5528" display="Deed - Attribution-NonCommercial 4.0 International - Creative Commons"/>
    <hyperlink ref="I1849" r:id="rId5529" display="https://www.inaturalist.org/observations/342221190"/>
    <hyperlink ref="G1850" r:id="rId5530" display="david_777"/>
    <hyperlink ref="H1850" r:id="rId5531" display="Deed - Attribution-NonCommercial 4.0 International - Creative Commons"/>
    <hyperlink ref="I1850" r:id="rId5532" display="https://www.inaturalist.org/observations/334918666"/>
    <hyperlink ref="G1851" r:id="rId5533" display="polkovnikov_aa"/>
    <hyperlink ref="H1851" r:id="rId5534" display="Deed - Attribution-NonCommercial 4.0 International - Creative Commons"/>
    <hyperlink ref="I1851" r:id="rId5535" display="https://www.inaturalist.org/observations/324633448"/>
    <hyperlink ref="G1852" r:id="rId5536" display="polkovnikov_aa"/>
    <hyperlink ref="H1852" r:id="rId5537" display="Deed - Attribution-NonCommercial 4.0 International - Creative Commons"/>
    <hyperlink ref="I1852" r:id="rId5538" display="https://www.inaturalist.org/observations/324633448"/>
    <hyperlink ref="G1853" r:id="rId5539" display="tal_l"/>
    <hyperlink ref="H1853" r:id="rId5540" display="Deed - Attribution-NonCommercial 4.0 International - Creative Commons"/>
    <hyperlink ref="I1853" r:id="rId5541" display="https://www.inaturalist.org/observations/322962145"/>
    <hyperlink ref="G1854" r:id="rId5542" display="jonigr"/>
    <hyperlink ref="H1854" r:id="rId5543" display="Deed - Attribution-NonCommercial 4.0 International - Creative Commons"/>
    <hyperlink ref="I1854" r:id="rId5544" display="https://www.inaturalist.org/observations/322438249"/>
    <hyperlink ref="G1855" r:id="rId5545" display="elenakuraeva"/>
    <hyperlink ref="H1855" r:id="rId5546" display="Deed - Attribution-NonCommercial 4.0 International - Creative Commons"/>
    <hyperlink ref="I1855" r:id="rId5547" display="https://www.inaturalist.org/observations/321308487"/>
    <hyperlink ref="G1856" r:id="rId5548" display="elenakuraeva"/>
    <hyperlink ref="H1856" r:id="rId5549" display="Deed - Attribution-NonCommercial 4.0 International - Creative Commons"/>
    <hyperlink ref="I1856" r:id="rId5550" display="https://www.inaturalist.org/observations/321308487"/>
    <hyperlink ref="G1857" r:id="rId5551" display="omrilium"/>
    <hyperlink ref="H1857" r:id="rId5552" display="Deed - Attribution-NonCommercial 4.0 International - Creative Commons"/>
    <hyperlink ref="I1857" r:id="rId5553" display="https://www.inaturalist.org/observations/322936998"/>
    <hyperlink ref="G1858" r:id="rId5554" display="spbugs"/>
    <hyperlink ref="H1858" r:id="rId5555" display="Deed - Attribution-NonCommercial 4.0 International - Creative Commons"/>
    <hyperlink ref="I1858" r:id="rId5556" display="https://www.inaturalist.org/observations/369260437"/>
    <hyperlink ref="G1859" r:id="rId5557" display="jingyilu"/>
    <hyperlink ref="H1859" r:id="rId5558" display="Deed - Attribution-NonCommercial 4.0 International - Creative Commons"/>
    <hyperlink ref="I1859" r:id="rId5559" display="https://www.inaturalist.org/observations/368819114"/>
    <hyperlink ref="G1860" r:id="rId5560" display="jingyilu"/>
    <hyperlink ref="H1860" r:id="rId5561" display="Deed - Attribution-NonCommercial 4.0 International - Creative Commons"/>
    <hyperlink ref="I1860" r:id="rId5562" display="https://www.inaturalist.org/observations/368819114"/>
    <hyperlink ref="G1861" r:id="rId5563" display="greenfeldarom"/>
    <hyperlink ref="H1861" r:id="rId5564" display="Deed - Attribution-NonCommercial 4.0 International - Creative Commons"/>
    <hyperlink ref="I1861" r:id="rId5565" display="https://www.inaturalist.org/observations/367753154"/>
    <hyperlink ref="G1862" r:id="rId5566" display="or_prepelizki"/>
    <hyperlink ref="H1862" r:id="rId5567" display="Deed - Attribution-NonCommercial 4.0 International - Creative Commons"/>
    <hyperlink ref="I1862" r:id="rId5568" display="https://www.inaturalist.org/observations/359256346"/>
    <hyperlink ref="G1863" r:id="rId5569" display="amora_ayn"/>
    <hyperlink ref="H1863" r:id="rId5570" display="Deed - Attribution-NonCommercial 4.0 International - Creative Commons"/>
    <hyperlink ref="I1863" r:id="rId5571" display="https://www.inaturalist.org/observations/351913914"/>
    <hyperlink ref="G1864" r:id="rId5572" display="amit_goldstein"/>
    <hyperlink ref="H1864" r:id="rId5573" display="Deed - Attribution-NonCommercial 4.0 International - Creative Commons"/>
    <hyperlink ref="I1864" r:id="rId5574" display="https://www.inaturalist.org/observations/349247277"/>
    <hyperlink ref="G1865" r:id="rId5575" display="maio_eshet"/>
    <hyperlink ref="H1865" r:id="rId5576" display="Deed - Attribution-NonCommercial 4.0 International - Creative Commons"/>
    <hyperlink ref="I1865" r:id="rId5577" display="https://www.inaturalist.org/observations/342771991"/>
    <hyperlink ref="G1866" r:id="rId5578" display="ur6s77"/>
    <hyperlink ref="H1866" r:id="rId5579" display="Deed - Attribution-NonCommercial 4.0 International - Creative Commons"/>
    <hyperlink ref="I1866" r:id="rId5580" display="https://www.inaturalist.org/observations/342100777"/>
    <hyperlink ref="G1867" r:id="rId5581" display="guy80368"/>
    <hyperlink ref="H1867" r:id="rId5582" display="Deed - Attribution-NonCommercial 4.0 International - Creative Commons"/>
    <hyperlink ref="I1867" r:id="rId5583" display="https://www.inaturalist.org/observations/324871189"/>
    <hyperlink ref="G1868" r:id="rId5584" display="moshe_neeman"/>
    <hyperlink ref="H1868" r:id="rId5585" display="Deed - Attribution-NonCommercial 4.0 International - Creative Commons"/>
    <hyperlink ref="I1868" r:id="rId5586" display="https://www.inaturalist.org/observations/318266423"/>
    <hyperlink ref="G1869" r:id="rId5587" display="tricks96"/>
    <hyperlink ref="H1869" r:id="rId5588" display="Deed - Attribution-NonCommercial 4.0 International - Creative Commons"/>
    <hyperlink ref="I1869" r:id="rId5589" display="https://www.inaturalist.org/observations/300816951"/>
    <hyperlink ref="G1870" r:id="rId5590" display="hugoatross"/>
    <hyperlink ref="H1870" r:id="rId5591" display="Deed - Attribution-NonCommercial 4.0 International - Creative Commons"/>
    <hyperlink ref="I1870" r:id="rId5592" display="https://www.inaturalist.org/observations/281878057"/>
    <hyperlink ref="G1871" r:id="rId5593" display="malachigivon"/>
    <hyperlink ref="H1871" r:id="rId5594" display="Deed - Attribution-NonCommercial 4.0 International - Creative Commons"/>
    <hyperlink ref="I1871" r:id="rId5595" display="https://www.inaturalist.org/observations/272702433"/>
    <hyperlink ref="G1872" r:id="rId5596" display="voegelein"/>
    <hyperlink ref="H1872" r:id="rId5597" display="Deed - Attribution-NonCommercial 4.0 International - Creative Commons"/>
    <hyperlink ref="I1872" r:id="rId5598" display="https://www.inaturalist.org/observations/269834395"/>
    <hyperlink ref="G1873" r:id="rId5599" display="voegelein"/>
    <hyperlink ref="H1873" r:id="rId5600" display="Deed - Attribution-NonCommercial 4.0 International - Creative Commons"/>
    <hyperlink ref="I1873" r:id="rId5601" display="https://www.inaturalist.org/observations/269834395"/>
    <hyperlink ref="G1874" r:id="rId5602" display="neriya123"/>
    <hyperlink ref="H1874" r:id="rId5603" display="Deed - Attribution-NonCommercial 4.0 International - Creative Commons"/>
    <hyperlink ref="I1874" r:id="rId5604" display="https://www.inaturalist.org/observations/268359688"/>
    <hyperlink ref="G1875" r:id="rId5605" display="neriya123"/>
    <hyperlink ref="H1875" r:id="rId5606" display="Deed - Attribution-NonCommercial 4.0 International - Creative Commons"/>
    <hyperlink ref="I1875" r:id="rId5607" display="https://www.inaturalist.org/observations/268359688"/>
    <hyperlink ref="G1876" r:id="rId5608" display="neriya123"/>
    <hyperlink ref="H1876" r:id="rId5609" display="Deed - Attribution-NonCommercial 4.0 International - Creative Commons"/>
    <hyperlink ref="I1876" r:id="rId5610" display="https://www.inaturalist.org/observations/268359688"/>
    <hyperlink ref="G1877" r:id="rId5611" display="urielevy"/>
    <hyperlink ref="H1877" r:id="rId5612" display="Deed - Attribution-NonCommercial 4.0 International - Creative Commons"/>
    <hyperlink ref="I1877" r:id="rId5613" display="https://www.inaturalist.org/observations/267914233"/>
    <hyperlink ref="G1878" r:id="rId5614" display="omerweiner"/>
    <hyperlink ref="H1878" r:id="rId5615" display="Deed - Attribution-NonCommercial 4.0 International - Creative Commons"/>
    <hyperlink ref="I1878" r:id="rId5616" display="https://www.inaturalist.org/observations/254190713"/>
    <hyperlink ref="G1879" r:id="rId5617" display="frantrabalon"/>
    <hyperlink ref="H1879" r:id="rId5618" display="Deed - Attribution-NonCommercial 4.0 International - Creative Commons"/>
    <hyperlink ref="I1879" r:id="rId5619" display="https://www.inaturalist.org/observations/253731864"/>
    <hyperlink ref="G1880" r:id="rId5620" display="yasmine0-0"/>
    <hyperlink ref="H1880" r:id="rId5621" display="Deed - Attribution-NonCommercial 4.0 International - Creative Commons"/>
    <hyperlink ref="I1880" r:id="rId5622" display="https://www.inaturalist.org/observations/253647186"/>
    <hyperlink ref="G1881" r:id="rId5623" display="mohammad-sarayreh"/>
    <hyperlink ref="H1881" r:id="rId5624" display="Deed - Attribution-NonCommercial 4.0 International - Creative Commons"/>
    <hyperlink ref="I1881" r:id="rId5625" display="https://www.inaturalist.org/observations/249058286"/>
    <hyperlink ref="G1882" r:id="rId5626" display="jactm"/>
    <hyperlink ref="H1882" r:id="rId5627" display="Deed - Attribution-NonCommercial 4.0 International - Creative Commons"/>
    <hyperlink ref="I1882" r:id="rId5628" display="https://www.inaturalist.org/observations/237307197"/>
    <hyperlink ref="G1883" r:id="rId5629" display="jactm"/>
    <hyperlink ref="H1883" r:id="rId5630" display="Deed - Attribution-NonCommercial 4.0 International - Creative Commons"/>
    <hyperlink ref="I1883" r:id="rId5631" display="https://www.inaturalist.org/observations/229596939"/>
    <hyperlink ref="G1884" r:id="rId5632" display="yishay"/>
    <hyperlink ref="H1884" r:id="rId5633" display="Deed - Attribution-NonCommercial 4.0 International - Creative Commons"/>
    <hyperlink ref="I1884" r:id="rId5634" display="https://www.inaturalist.org/observations/222479163"/>
    <hyperlink ref="G1885" r:id="rId5635" display="reisegali"/>
    <hyperlink ref="H1885" r:id="rId5636" display="Deed - Attribution-NonCommercial 4.0 International - Creative Commons"/>
    <hyperlink ref="I1885" r:id="rId5637" display="https://www.inaturalist.org/observations/221690797"/>
    <hyperlink ref="G1886" r:id="rId5638" display="reisegali"/>
    <hyperlink ref="H1886" r:id="rId5639" display="Deed - Attribution-NonCommercial 4.0 International - Creative Commons"/>
    <hyperlink ref="I1886" r:id="rId5640" display="https://www.inaturalist.org/observations/212421675"/>
    <hyperlink ref="G1887" r:id="rId5641" display="reisegali"/>
    <hyperlink ref="H1887" r:id="rId5642" display="Deed - Attribution-NonCommercial 4.0 International - Creative Commons"/>
    <hyperlink ref="I1887" r:id="rId5643" display="https://www.inaturalist.org/observations/212421675"/>
    <hyperlink ref="H1888" r:id="rId5644" display="Deed - Attribution-NonCommercial 4.0 International - Creative Commons"/>
    <hyperlink ref="G1889" r:id="rId5645" display="reisegali"/>
    <hyperlink ref="H1889" r:id="rId5646" display="Deed - Attribution-NonCommercial 4.0 International - Creative Commons"/>
    <hyperlink ref="I1889" r:id="rId5647" display="https://www.inaturalist.org/observations/207648601"/>
    <hyperlink ref="G1890" r:id="rId5648" display="reisegali"/>
    <hyperlink ref="H1890" r:id="rId5649" display="Deed - Attribution-NonCommercial 4.0 International - Creative Commons"/>
    <hyperlink ref="I1890" r:id="rId5650" display="https://www.inaturalist.org/observations/207648601"/>
    <hyperlink ref="G1891" r:id="rId5651" display="reisegali"/>
    <hyperlink ref="H1891" r:id="rId5652" display="Deed - Attribution-NonCommercial 4.0 International - Creative Commons"/>
    <hyperlink ref="I1891" r:id="rId5653" display="https://www.inaturalist.org/observations/207648601"/>
    <hyperlink ref="G1892" r:id="rId5654" display="aburgas"/>
    <hyperlink ref="H1892" r:id="rId5655" display="Deed - Attribution-NonCommercial 4.0 International - Creative Commons"/>
    <hyperlink ref="I1892" r:id="rId5656" display="https://www.inaturalist.org/observations/205726531"/>
    <hyperlink ref="G1893" r:id="rId5657" display="lauren55097"/>
    <hyperlink ref="H1893" r:id="rId5658" display="Deed - Attribution-NonCommercial 4.0 International - Creative Commons"/>
    <hyperlink ref="I1893" r:id="rId5659" display="https://www.inaturalist.org/observations/382757516"/>
    <hyperlink ref="G1894" r:id="rId5660" display="mrblonde"/>
    <hyperlink ref="H1894" r:id="rId5661" display="Deed - Attribution-NonCommercial 4.0 International - Creative Commons"/>
    <hyperlink ref="I1894" r:id="rId5662" display="https://www.inaturalist.org/observations/382510792"/>
    <hyperlink ref="G1895" r:id="rId5663" display="mrblonde"/>
    <hyperlink ref="H1895" r:id="rId5664" display="Deed - Attribution-NonCommercial 4.0 International - Creative Commons"/>
    <hyperlink ref="I1895" r:id="rId5665" display="https://www.inaturalist.org/observations/382510792"/>
    <hyperlink ref="G1896" r:id="rId5666" display="darkart"/>
    <hyperlink ref="H1896" r:id="rId5667" display="Deed - Attribution-NonCommercial 4.0 International - Creative Commons"/>
    <hyperlink ref="I1896" r:id="rId5668" display="https://www.inaturalist.org/observations/382451737"/>
    <hyperlink ref="G1897" r:id="rId5669" display="ky-an"/>
    <hyperlink ref="H1897" r:id="rId5670" display="Deed - Attribution-NonCommercial 4.0 International - Creative Commons"/>
    <hyperlink ref="I1897" r:id="rId5671" display="https://www.inaturalist.org/observations/382769778"/>
    <hyperlink ref="G1898" r:id="rId5672" display="malvijet7"/>
    <hyperlink ref="H1898" r:id="rId5673" display="Deed - Attribution-NonCommercial 4.0 International - Creative Commons"/>
    <hyperlink ref="I1898" r:id="rId5674" display="https://www.inaturalist.org/observations/382419192"/>
    <hyperlink ref="G1899" r:id="rId5675" display="ctorr19"/>
    <hyperlink ref="H1899" r:id="rId5676" display="Deed - Attribution-NonCommercial 4.0 International - Creative Commons"/>
    <hyperlink ref="I1899" r:id="rId5677" display="https://www.inaturalist.org/observations/382279382"/>
    <hyperlink ref="G1900" r:id="rId5678" display="ctorr19"/>
    <hyperlink ref="H1900" r:id="rId5679" display="Deed - Attribution-NonCommercial 4.0 International - Creative Commons"/>
    <hyperlink ref="I1900" r:id="rId5680" display="https://www.inaturalist.org/observations/382279382"/>
    <hyperlink ref="H1901" r:id="rId5681" display="Deed - Attribution-NonCommercial 4.0 International - Creative Commons"/>
    <hyperlink ref="I1901" r:id="rId5682" display="https://www.inaturalist.org/observations/381982064"/>
    <hyperlink ref="G1902" r:id="rId5683" display="nirelharmon"/>
    <hyperlink ref="H1902" r:id="rId5684" display="Deed - Attribution-NonCommercial 4.0 International - Creative Commons"/>
    <hyperlink ref="I1902" r:id="rId5685" display="https://www.inaturalist.org/observations/381581201"/>
    <hyperlink ref="G1903" r:id="rId5686" display="mintren"/>
    <hyperlink ref="H1903" r:id="rId5687" display="Deed - Attribution-NonCommercial 4.0 International - Creative Commons"/>
    <hyperlink ref="I1903" r:id="rId5688" display="https://www.inaturalist.org/observations/380210281"/>
    <hyperlink ref="G1904" r:id="rId5689" display="camila18324"/>
    <hyperlink ref="H1904" r:id="rId5690" display="Deed - Attribution-NonCommercial 4.0 International - Creative Commons"/>
    <hyperlink ref="I1904" r:id="rId5691" display="https://www.inaturalist.org/observations/379876948"/>
    <hyperlink ref="G1905" r:id="rId5692" display="venox41"/>
    <hyperlink ref="H1905" r:id="rId5693" display="Deed - Attribution-NonCommercial 4.0 International - Creative Commons"/>
    <hyperlink ref="I1905" r:id="rId5694" display="https://www.inaturalist.org/observations/379788720"/>
    <hyperlink ref="G1906" r:id="rId5695" display="tk-421"/>
    <hyperlink ref="H1906" r:id="rId5696" display="Deed - Attribution-NonCommercial 4.0 International - Creative Commons"/>
    <hyperlink ref="I1906" r:id="rId5697" display="https://www.inaturalist.org/observations/379786758"/>
    <hyperlink ref="G1907" r:id="rId5698" display="rkostecke"/>
    <hyperlink ref="H1907" r:id="rId5699" display="Deed - Attribution-NonCommercial 4.0 International - Creative Commons"/>
    <hyperlink ref="I1907" r:id="rId5700" display="https://www.inaturalist.org/observations/379505377"/>
    <hyperlink ref="G1908" r:id="rId5701" display="david_haymeister"/>
    <hyperlink ref="H1908" r:id="rId5702" display="Deed - Attribution-NonCommercial 4.0 International - Creative Commons"/>
    <hyperlink ref="I1908" r:id="rId5703" display="https://www.inaturalist.org/observations/378820268"/>
    <hyperlink ref="G1909" r:id="rId5704" display="cesarsanchez2"/>
    <hyperlink ref="H1909" r:id="rId5705" display="Deed - Attribution-NonCommercial 4.0 International - Creative Commons"/>
    <hyperlink ref="I1909" r:id="rId5706" display="https://www.inaturalist.org/observations/378605297"/>
    <hyperlink ref="G1910" r:id="rId5707" display="carstonchance"/>
    <hyperlink ref="H1910" r:id="rId5708" display="Deed - Attribution-NonCommercial 4.0 International - Creative Commons"/>
    <hyperlink ref="I1910" r:id="rId5709" display="https://www.inaturalist.org/observations/378803415"/>
    <hyperlink ref="G1911" r:id="rId5710" display="claradevi"/>
    <hyperlink ref="H1911" r:id="rId5711" display="Deed - Attribution-NonCommercial 4.0 International - Creative Commons"/>
    <hyperlink ref="I1911" r:id="rId5712" display="https://www.inaturalist.org/observations/377936075"/>
    <hyperlink ref="G1912" r:id="rId5713" display="roxanne_gasperetti"/>
    <hyperlink ref="H1912" r:id="rId5714" display="Deed - Attribution-NonCommercial 4.0 International - Creative Commons"/>
    <hyperlink ref="I1912" r:id="rId5715" display="https://www.inaturalist.org/observations/377023126"/>
    <hyperlink ref="G1913" r:id="rId5716" display="annmcpete"/>
    <hyperlink ref="H1913" r:id="rId5717" display="Deed - Attribution-NonCommercial 4.0 International - Creative Commons"/>
    <hyperlink ref="I1913" r:id="rId5718" display="https://www.inaturalist.org/observations/376632226"/>
    <hyperlink ref="G1914" r:id="rId5719" display="yariastral"/>
    <hyperlink ref="H1914" r:id="rId5720" display="Deed - Attribution-NonCommercial 4.0 International - Creative Commons"/>
    <hyperlink ref="I1914" r:id="rId5721" display="https://www.inaturalist.org/observations/376417599"/>
    <hyperlink ref="G1915" r:id="rId5722" display="yariastral"/>
    <hyperlink ref="H1915" r:id="rId5723" display="Deed - Attribution-NonCommercial 4.0 International - Creative Commons"/>
    <hyperlink ref="I1915" r:id="rId5724" display="https://www.inaturalist.org/observations/376417599"/>
    <hyperlink ref="G1916" r:id="rId5725" display="st4rm4n"/>
    <hyperlink ref="H1916" r:id="rId5726" display="Deed - Attribution-NonCommercial 4.0 International - Creative Commons"/>
    <hyperlink ref="I1916" r:id="rId5727" display="https://www.inaturalist.org/observations/375858964"/>
    <hyperlink ref="G1917" r:id="rId5728" display="zakry7"/>
    <hyperlink ref="H1917" r:id="rId5729" display="Deed - Attribution-NonCommercial 4.0 International - Creative Commons"/>
    <hyperlink ref="I1917" r:id="rId5730" display="https://www.inaturalist.org/observations/375085518"/>
    <hyperlink ref="G1918" r:id="rId5731" display="ethanol_casas"/>
    <hyperlink ref="H1918" r:id="rId5732" display="Deed - Attribution-NonCommercial 4.0 International - Creative Commons"/>
    <hyperlink ref="I1918" r:id="rId5733" display="https://www.inaturalist.org/observations/375082137"/>
    <hyperlink ref="G1919" r:id="rId5734" display="dlafebre"/>
    <hyperlink ref="H1919" r:id="rId5735" display="Deed - Attribution-NonCommercial 4.0 International - Creative Commons"/>
    <hyperlink ref="I1919" r:id="rId5736" display="https://www.inaturalist.org/observations/375005734"/>
    <hyperlink ref="G1920" r:id="rId5737" display="jaydenmalone"/>
    <hyperlink ref="H1920" r:id="rId5738" display="Deed - Attribution-NonCommercial 4.0 International - Creative Commons"/>
    <hyperlink ref="I1920" r:id="rId5739" display="https://www.inaturalist.org/observations/374831470"/>
    <hyperlink ref="G1921" r:id="rId5740" display="josuergg"/>
    <hyperlink ref="H1921" r:id="rId5741" display="Deed - Attribution-NonCommercial 4.0 International - Creative Commons"/>
    <hyperlink ref="I1921" r:id="rId5742" display="https://www.inaturalist.org/observations/374700150"/>
    <hyperlink ref="G1922" r:id="rId5743" display="darlionei"/>
    <hyperlink ref="H1922" r:id="rId5744" display="Deed - Attribution-NonCommercial 4.0 International - Creative Commons"/>
    <hyperlink ref="I1922" r:id="rId5745" display="https://www.inaturalist.org/observations/374155514"/>
    <hyperlink ref="G1923" r:id="rId5746" display="ethanol_casas"/>
    <hyperlink ref="H1923" r:id="rId5747" display="Deed - Attribution-NonCommercial 4.0 International - Creative Commons"/>
    <hyperlink ref="I1923" r:id="rId5748" display="https://www.inaturalist.org/observations/373422782"/>
    <hyperlink ref="G1924" r:id="rId5749" display="henry180"/>
    <hyperlink ref="H1924" r:id="rId5750" display="Deed - Attribution-NonCommercial 4.0 International - Creative Commons"/>
    <hyperlink ref="I1924" r:id="rId5751" display="https://www.inaturalist.org/observations/373925455"/>
    <hyperlink ref="G1925" r:id="rId5752" display="ranchodelsol"/>
    <hyperlink ref="H1925" r:id="rId5753" display="Deed - Attribution-NonCommercial 4.0 International - Creative Commons"/>
    <hyperlink ref="I1925" r:id="rId5754" display="https://www.inaturalist.org/observations/373364159"/>
    <hyperlink ref="G1926" r:id="rId5755" display="rkostecke"/>
    <hyperlink ref="H1926" r:id="rId5756" display="Deed - Attribution-NonCommercial 4.0 International - Creative Commons"/>
    <hyperlink ref="I1926" r:id="rId5757" display="https://www.inaturalist.org/observations/373350530"/>
    <hyperlink ref="G1927" r:id="rId5758" display="chepe2112"/>
    <hyperlink ref="H1927" r:id="rId5759" display="Deed - Attribution-NonCommercial 4.0 International - Creative Commons"/>
    <hyperlink ref="I1927" r:id="rId5760" display="https://www.inaturalist.org/observations/372982065"/>
    <hyperlink ref="G1928" r:id="rId5761" display="renatoguzman"/>
    <hyperlink ref="H1928" r:id="rId5762" display="Deed - Attribution-NonCommercial 4.0 International - Creative Commons"/>
    <hyperlink ref="I1928" r:id="rId5763" display="https://www.inaturalist.org/observations/382031436"/>
    <hyperlink ref="G1929" r:id="rId5764" display="matty86795"/>
    <hyperlink ref="H1929" r:id="rId5765" display="Deed - Attribution-NonCommercial 4.0 International - Creative Commons"/>
    <hyperlink ref="I1929" r:id="rId5766" display="https://www.inaturalist.org/observations/380528788"/>
    <hyperlink ref="G1930" r:id="rId5767" display="lana_klemencic"/>
    <hyperlink ref="H1930" r:id="rId5768" display="Deed - Attribution-NonCommercial 4.0 International - Creative Commons"/>
    <hyperlink ref="I1930" r:id="rId5769" display="https://www.inaturalist.org/observations/380235938"/>
    <hyperlink ref="G1931" r:id="rId5770" display="lana_klemencic"/>
    <hyperlink ref="H1931" r:id="rId5771" display="Deed - Attribution-NonCommercial 4.0 International - Creative Commons"/>
    <hyperlink ref="I1931" r:id="rId5772" display="https://www.inaturalist.org/observations/380235938"/>
    <hyperlink ref="G1932" r:id="rId5773" display="or_prepelizki"/>
    <hyperlink ref="H1932" r:id="rId5774" display="Deed - Attribution-NonCommercial 4.0 International - Creative Commons"/>
    <hyperlink ref="I1932" r:id="rId5775" display="https://www.inaturalist.org/observations/379652104"/>
    <hyperlink ref="G1933" r:id="rId5776" display="josegranizo"/>
    <hyperlink ref="H1933" r:id="rId5777" display="Deed - Attribution-NonCommercial 4.0 International - Creative Commons"/>
    <hyperlink ref="I1933" r:id="rId5778" display="https://www.inaturalist.org/observations/379254820"/>
    <hyperlink ref="G1934" r:id="rId5779" display="josegranizo"/>
    <hyperlink ref="H1934" r:id="rId5780" display="Deed - Attribution-NonCommercial 4.0 International - Creative Commons"/>
    <hyperlink ref="I1934" r:id="rId5781" display="https://www.inaturalist.org/observations/379254820"/>
    <hyperlink ref="G1935" r:id="rId5782" display="khobdy"/>
    <hyperlink ref="H1935" r:id="rId5783" display="Deed - Attribution-NonCommercial 4.0 International - Creative Commons"/>
    <hyperlink ref="I1935" r:id="rId5784" display="https://www.inaturalist.org/observations/378179874"/>
    <hyperlink ref="G1936" r:id="rId5785" display="maria95950"/>
    <hyperlink ref="H1936" r:id="rId5786" display="Deed - Attribution-NonCommercial 4.0 International - Creative Commons"/>
    <hyperlink ref="I1936" r:id="rId5787" display="https://www.inaturalist.org/observations/376756462"/>
    <hyperlink ref="G1937" r:id="rId5788" display="renatoguzman"/>
    <hyperlink ref="H1937" r:id="rId5789" display="Deed - Attribution-NonCommercial 4.0 International - Creative Commons"/>
    <hyperlink ref="I1937" r:id="rId5790" display="https://www.inaturalist.org/observations/374526519"/>
    <hyperlink ref="G1938" r:id="rId5791" display="ricardocatalan"/>
    <hyperlink ref="H1938" r:id="rId5792" display="Deed - Attribution-NonCommercial 4.0 International - Creative Commons"/>
    <hyperlink ref="I1938" r:id="rId5793" display="https://www.inaturalist.org/observations/373121379"/>
    <hyperlink ref="G1939" r:id="rId5794" display="edwin_jurado"/>
    <hyperlink ref="H1939" r:id="rId5795" display="Deed - Attribution-NonCommercial 4.0 International - Creative Commons"/>
    <hyperlink ref="I1939" r:id="rId5796" display="https://www.inaturalist.org/observations/372974080"/>
    <hyperlink ref="G1940" r:id="rId5797" display="sigfrield"/>
    <hyperlink ref="H1940" r:id="rId5798" display="Deed - Attribution-NonCommercial 4.0 International - Creative Commons"/>
    <hyperlink ref="I1940" r:id="rId5799" display="https://www.inaturalist.org/observations/372590888"/>
    <hyperlink ref="G1941" r:id="rId5800" display="j_ale315"/>
    <hyperlink ref="H1941" r:id="rId5801" display="Deed - Attribution-NonCommercial 4.0 International - Creative Commons"/>
    <hyperlink ref="I1941" r:id="rId5802" display="https://www.inaturalist.org/observations/369907429"/>
    <hyperlink ref="G1942" r:id="rId5803" display="tucker02"/>
    <hyperlink ref="H1942" r:id="rId5804" display="Deed - Attribution-NonCommercial 4.0 International - Creative Commons"/>
    <hyperlink ref="I1942" r:id="rId5805" display="https://www.inaturalist.org/observations/368344126"/>
    <hyperlink ref="G1943" r:id="rId5806" display="timhoffman013"/>
    <hyperlink ref="H1943" r:id="rId5807" display="Deed - Attribution-NonCommercial 4.0 International - Creative Commons"/>
    <hyperlink ref="I1943" r:id="rId5808" display="https://www.inaturalist.org/observations/368029184"/>
    <hyperlink ref="G1944" r:id="rId5809" display="gonzalonazati"/>
    <hyperlink ref="H1944" r:id="rId5810" display="Deed - Attribution-NonCommercial 4.0 International - Creative Commons"/>
    <hyperlink ref="I1944" r:id="rId5811" display="https://www.inaturalist.org/observations/367461424"/>
    <hyperlink ref="G1945" r:id="rId5812" display="eli_ren"/>
    <hyperlink ref="H1945" r:id="rId5813" display="Deed - Attribution-NonCommercial 4.0 International - Creative Commons"/>
    <hyperlink ref="I1945" r:id="rId5814" display="https://www.inaturalist.org/observations/364309423"/>
    <hyperlink ref="G1946" r:id="rId5815" display="eli_ren"/>
    <hyperlink ref="H1946" r:id="rId5816" display="Deed - Attribution-NonCommercial 4.0 International - Creative Commons"/>
    <hyperlink ref="I1946" r:id="rId5817" display="https://www.inaturalist.org/observations/364309423"/>
    <hyperlink ref="G1947" r:id="rId5818" display="andreyquicenorojas"/>
    <hyperlink ref="H1947" r:id="rId5819" display="Deed - Attribution-NonCommercial 4.0 International - Creative Commons"/>
    <hyperlink ref="I1947" r:id="rId5820" display="https://www.inaturalist.org/observations/362346064"/>
    <hyperlink ref="G1948" r:id="rId5821" display="emma73031"/>
    <hyperlink ref="H1948" r:id="rId5822" display="Deed - Attribution-NonCommercial 4.0 International - Creative Commons"/>
    <hyperlink ref="I1948" r:id="rId5823" display="https://www.inaturalist.org/observations/363375608"/>
    <hyperlink ref="G1949" r:id="rId5824" display="cesb2003"/>
    <hyperlink ref="H1949" r:id="rId5825" display="Deed - Attribution-NonCommercial 4.0 International - Creative Commons"/>
    <hyperlink ref="I1949" r:id="rId5826" display="https://www.inaturalist.org/observations/359409103"/>
    <hyperlink ref="G1950" r:id="rId5827" display="axies_the_collector"/>
    <hyperlink ref="H1950" r:id="rId5828" display="Deed - Attribution-NonCommercial 4.0 International - Creative Commons"/>
    <hyperlink ref="I1950" r:id="rId5829" display="https://www.inaturalist.org/observations/357678146"/>
    <hyperlink ref="G1951" r:id="rId5830" display="axies_the_collector"/>
    <hyperlink ref="H1951" r:id="rId5831" display="Deed - Attribution-NonCommercial 4.0 International - Creative Commons"/>
    <hyperlink ref="I1951" r:id="rId5832" display="https://www.inaturalist.org/observations/357678146"/>
    <hyperlink ref="G1952" r:id="rId5833" display="josfersan"/>
    <hyperlink ref="H1952" r:id="rId5834" display="Deed - Attribution-NonCommercial 4.0 International - Creative Commons"/>
    <hyperlink ref="I1952" r:id="rId5835" display="https://www.inaturalist.org/observations/356293922"/>
    <hyperlink ref="G1953" r:id="rId5836" display="fundacion_proaves"/>
    <hyperlink ref="H1953" r:id="rId5837" display="Deed - Attribution-NonCommercial 4.0 International - Creative Commons"/>
    <hyperlink ref="I1953" r:id="rId5838" display="https://www.inaturalist.org/observations/352778029"/>
    <hyperlink ref="G1954" r:id="rId5839" display="fundacion_proaves"/>
    <hyperlink ref="H1954" r:id="rId5840" display="Deed - Attribution-NonCommercial 4.0 International - Creative Commons"/>
    <hyperlink ref="I1954" r:id="rId5841" display="https://www.inaturalist.org/observations/352778029"/>
    <hyperlink ref="G1955" r:id="rId5842" display="damienesquerre2"/>
    <hyperlink ref="H1955" r:id="rId5843" display="Deed - Attribution-NonCommercial 4.0 International - Creative Commons"/>
    <hyperlink ref="I1955" r:id="rId5844" display="https://www.inaturalist.org/observations/351689856"/>
    <hyperlink ref="G1956" r:id="rId5845" display="mayaklem"/>
    <hyperlink ref="H1956" r:id="rId5846" display="Deed - Attribution-NonCommercial 4.0 International - Creative Commons"/>
    <hyperlink ref="I1956" r:id="rId5847" display="https://www.inaturalist.org/observations/350709087"/>
    <hyperlink ref="G1957" r:id="rId5848" display="mik_26"/>
    <hyperlink ref="H1957" r:id="rId5849" display="Deed - Attribution-NonCommercial 4.0 International - Creative Commons"/>
    <hyperlink ref="I1957" r:id="rId5850" display="https://www.inaturalist.org/observations/349619752"/>
    <hyperlink ref="G1958" r:id="rId5851" display="yucheol_shin"/>
    <hyperlink ref="H1958" r:id="rId5852" display="Deed - Attribution-NonCommercial 4.0 International - Creative Commons"/>
    <hyperlink ref="I1958" r:id="rId5853" display="https://www.inaturalist.org/observations/347384629"/>
    <hyperlink ref="G1959" r:id="rId5854" display="beavisnail"/>
    <hyperlink ref="H1959" r:id="rId5855" display="Deed - Attribution-NonCommercial 4.0 International - Creative Commons"/>
    <hyperlink ref="I1959" r:id="rId5856" display="https://www.inaturalist.org/observations/346930204"/>
    <hyperlink ref="G1960" r:id="rId5857" display="tree_gia"/>
    <hyperlink ref="H1960" r:id="rId5858" display="Deed - Attribution-NonCommercial 4.0 International - Creative Commons"/>
    <hyperlink ref="I1960" r:id="rId5859" display="https://www.inaturalist.org/observations/346519582"/>
    <hyperlink ref="G1961" r:id="rId5860" display="edilson_luiz_candido"/>
    <hyperlink ref="H1961" r:id="rId5861" display="Deed - Attribution-NonCommercial 4.0 International - Creative Commons"/>
    <hyperlink ref="I1961" r:id="rId5862" display="https://www.inaturalist.org/observations/346708934"/>
    <hyperlink ref="G1962" r:id="rId5863" display="nickvolpe"/>
    <hyperlink ref="H1962" r:id="rId5864" display="Deed - Attribution-NonCommercial 4.0 International - Creative Commons"/>
    <hyperlink ref="I1962" r:id="rId5865" display="https://www.inaturalist.org/observations/346406213"/>
    <hyperlink ref="G1963" r:id="rId5866" display="vincentroberts_2004"/>
    <hyperlink ref="H1963" r:id="rId5867" display="Deed - Attribution-NonCommercial 4.0 International - Creative Commons"/>
    <hyperlink ref="I1963" r:id="rId5868" display="https://www.inaturalist.org/observations/370418149"/>
    <hyperlink ref="G1964" r:id="rId5869" display="nzb_wildlife"/>
    <hyperlink ref="H1964" r:id="rId5870" display="Deed - Attribution-NonCommercial 4.0 International - Creative Commons"/>
    <hyperlink ref="I1964" r:id="rId5871" display="https://www.inaturalist.org/observations/380322699"/>
    <hyperlink ref="G1965" r:id="rId5872" display="greeganowo"/>
    <hyperlink ref="H1965" r:id="rId5873" display="Deed - Attribution-NonCommercial 4.0 International - Creative Commons"/>
    <hyperlink ref="I1965" r:id="rId5874" display="https://www.inaturalist.org/observations/367267997"/>
    <hyperlink ref="G1966" r:id="rId5875" display="greeganowo"/>
    <hyperlink ref="H1966" r:id="rId5876" display="Deed - Attribution-NonCommercial 4.0 International - Creative Commons"/>
    <hyperlink ref="I1966" r:id="rId5877" display="https://www.inaturalist.org/observations/366812228"/>
    <hyperlink ref="G1967" r:id="rId5878" display="clem_bonna"/>
    <hyperlink ref="H1967" r:id="rId5879" display="Deed - Attribution-NonCommercial 4.0 International - Creative Commons"/>
    <hyperlink ref="I1967" r:id="rId5880" display="https://www.inaturalist.org/observations/352338946"/>
    <hyperlink ref="G1968" r:id="rId5881" display="nzb_wildlife"/>
    <hyperlink ref="H1968" r:id="rId5882" display="Deed - Attribution-NonCommercial 4.0 International - Creative Commons"/>
    <hyperlink ref="I1968" r:id="rId5883" display="https://www.inaturalist.org/observations/363068605"/>
    <hyperlink ref="G1969" r:id="rId5884" display="nzb_wildlife"/>
    <hyperlink ref="H1969" r:id="rId5885" display="Deed - Attribution-NonCommercial 4.0 International - Creative Commons"/>
    <hyperlink ref="I1969" r:id="rId5886" display="https://www.inaturalist.org/observations/363068605"/>
    <hyperlink ref="G1970" r:id="rId5887" display="cheeri0s"/>
    <hyperlink ref="H1970" r:id="rId5888" display="Deed - Attribution-NonCommercial 4.0 International - Creative Commons"/>
    <hyperlink ref="I1970" r:id="rId5889" display="https://www.inaturalist.org/observations/347937721"/>
    <hyperlink ref="G1971" r:id="rId5890" display="gwendalquimbre"/>
    <hyperlink ref="H1971" r:id="rId5891" display="Deed - Attribution-NonCommercial 4.0 International - Creative Commons"/>
    <hyperlink ref="I1971" r:id="rId5892" display="https://www.inaturalist.org/observations/345298592"/>
    <hyperlink ref="G1972" r:id="rId5893" display="jvdwinden"/>
    <hyperlink ref="H1972" r:id="rId5894" display="Deed - Attribution-NonCommercial 4.0 International - Creative Commons"/>
    <hyperlink ref="I1972" r:id="rId5895" display="https://www.inaturalist.org/observations/334027590"/>
    <hyperlink ref="G1973" r:id="rId5896" display="luciechassot"/>
    <hyperlink ref="H1973" r:id="rId5897" display="Deed - Attribution-NonCommercial 4.0 International - Creative Commons"/>
    <hyperlink ref="I1973" r:id="rId5898" display="https://www.inaturalist.org/observations/330859902"/>
    <hyperlink ref="G1974" r:id="rId5899" display="julien40478"/>
    <hyperlink ref="H1974" r:id="rId5900" display="Deed - Attribution-NonCommercial 4.0 International - Creative Commons"/>
    <hyperlink ref="I1974" r:id="rId5901" display="https://www.inaturalist.org/observations/323496003"/>
    <hyperlink ref="G1975" r:id="rId5902" display="onnkar"/>
    <hyperlink ref="H1975" r:id="rId5903" display="Deed - Attribution-NonCommercial 4.0 International - Creative Commons"/>
    <hyperlink ref="I1975" r:id="rId5904" display="https://www.inaturalist.org/observations/320464268"/>
    <hyperlink ref="G1976" r:id="rId5905" display="jacob10"/>
    <hyperlink ref="H1976" r:id="rId5906" display="Deed - Attribution-NonCommercial 4.0 International - Creative Commons"/>
    <hyperlink ref="I1976" r:id="rId5907" display="https://www.inaturalist.org/observations/336180338"/>
    <hyperlink ref="G1977" r:id="rId5908" display="noth5700"/>
    <hyperlink ref="H1977" r:id="rId5909" display="Deed - Attribution-NonCommercial 4.0 International - Creative Commons"/>
    <hyperlink ref="I1977" r:id="rId5910" display="https://www.inaturalist.org/observations/323375269"/>
    <hyperlink ref="G1978" r:id="rId5911" display="noth5700"/>
    <hyperlink ref="H1978" r:id="rId5912" display="Deed - Attribution-NonCommercial 4.0 International - Creative Commons"/>
    <hyperlink ref="I1978" r:id="rId5913" display="https://www.inaturalist.org/observations/323375269"/>
    <hyperlink ref="G1979" r:id="rId5914" display="franciscoriquelme"/>
    <hyperlink ref="H1979" r:id="rId5915" display="Deed - Attribution-NonCommercial 4.0 International - Creative Commons"/>
    <hyperlink ref="I1979" r:id="rId5916" display="https://www.inaturalist.org/observations/323488841"/>
    <hyperlink ref="G1980" r:id="rId5917" display="javiantum"/>
    <hyperlink ref="H1980" r:id="rId5918" display="Deed - Attribution-NonCommercial 4.0 International - Creative Commons"/>
    <hyperlink ref="I1980" r:id="rId5919" display="https://www.inaturalist.org/observations/322170767"/>
    <hyperlink ref="G1981" r:id="rId5920" display="danielmpina"/>
    <hyperlink ref="H1981" r:id="rId5921" display="Deed - Attribution-NonCommercial 4.0 International - Creative Commons"/>
    <hyperlink ref="I1981" r:id="rId5922" display="https://www.inaturalist.org/observations/300310671"/>
    <hyperlink ref="G1982" r:id="rId5923" display="ricardocatalan"/>
    <hyperlink ref="H1982" r:id="rId5924" display="Deed - Attribution-NonCommercial 4.0 International - Creative Commons"/>
    <hyperlink ref="I1982" r:id="rId5925" display="https://www.inaturalist.org/observations/287920759"/>
    <hyperlink ref="G1983" r:id="rId5926" display="botanils"/>
    <hyperlink ref="H1983" r:id="rId5927" display="Deed - Attribution-NonCommercial 4.0 International - Creative Commons"/>
    <hyperlink ref="I1983" r:id="rId5928" display="https://www.inaturalist.org/observations/204766294"/>
    <hyperlink ref="G1984" r:id="rId5929" display="botanils"/>
    <hyperlink ref="H1984" r:id="rId5930" display="Deed - Attribution-NonCommercial 4.0 International - Creative Commons"/>
    <hyperlink ref="I1984" r:id="rId5931" display="https://www.inaturalist.org/observations/204766294"/>
    <hyperlink ref="G1985" r:id="rId5932" display="botanils"/>
    <hyperlink ref="H1985" r:id="rId5933" display="Deed - Attribution-NonCommercial 4.0 International - Creative Commons"/>
    <hyperlink ref="I1985" r:id="rId5934" display="https://www.inaturalist.org/observations/204766294"/>
    <hyperlink ref="G1986" r:id="rId5935" display="botanils"/>
    <hyperlink ref="H1986" r:id="rId5936" display="Deed - Attribution-NonCommercial 4.0 International - Creative Commons"/>
    <hyperlink ref="I1986" r:id="rId5937" display="https://www.inaturalist.org/observations/204766294"/>
    <hyperlink ref="G1987" r:id="rId5938" display="daniel-pinelli"/>
    <hyperlink ref="H1987" r:id="rId5939" display="Deed - Attribution-NonCommercial 4.0 International - Creative Commons"/>
    <hyperlink ref="I1987" r:id="rId5940" display="https://www.inaturalist.org/observations/173833857"/>
    <hyperlink ref="G1988" r:id="rId5941" display="ricardocatalan"/>
    <hyperlink ref="H1988" r:id="rId5942" display="Deed - Attribution-NonCommercial 4.0 International - Creative Commons"/>
    <hyperlink ref="I1988" r:id="rId5943" display="https://www.inaturalist.org/observations/287920759"/>
    <hyperlink ref="G1989" r:id="rId5944" display="javiera102"/>
    <hyperlink ref="H1989" r:id="rId5945" display="Deed - Attribution-NonCommercial 4.0 International - Creative Commons"/>
    <hyperlink ref="I1989" r:id="rId5946" display="https://www.inaturalist.org/observations/287633955"/>
    <hyperlink ref="G1990" r:id="rId5947" display="gbrl_nativa"/>
    <hyperlink ref="H1990" r:id="rId5948" display="Deed - Attribution-NonCommercial 4.0 International - Creative Commons"/>
    <hyperlink ref="I1990" r:id="rId5949" display="https://www.inaturalist.org/observations/258405591"/>
    <hyperlink ref="G1991" r:id="rId5950" display="greensxm"/>
    <hyperlink ref="H1991" r:id="rId5951" display="Deed - Attribution-NonCommercial 4.0 International - Creative Commons"/>
    <hyperlink ref="I1991" r:id="rId5952" display="https://www.inaturalist.org/observations/38151350"/>
    <hyperlink ref="G1992" r:id="rId5953" display="bichorraro"/>
    <hyperlink ref="H1992" r:id="rId5954" display="Deed - Attribution-NonCommercial 4.0 International - Creative Commons"/>
    <hyperlink ref="I1992" r:id="rId5955" display="https://www.inaturalist.org/observations/257406375"/>
    <hyperlink ref="G1993" r:id="rId5956" display="bichorraro"/>
    <hyperlink ref="H1993" r:id="rId5957" display="Deed - Attribution-NonCommercial 4.0 International - Creative Commons"/>
    <hyperlink ref="I1993" r:id="rId5958" display="https://www.inaturalist.org/observations/257406375"/>
    <hyperlink ref="G1994" r:id="rId5959" display="bichorraro"/>
    <hyperlink ref="H1994" r:id="rId5960" display="Deed - Attribution-NonCommercial 4.0 International - Creative Commons"/>
    <hyperlink ref="I1994" r:id="rId5961" display="https://www.inaturalist.org/observations/257406375"/>
    <hyperlink ref="G1995" r:id="rId5962" display="greensxm"/>
    <hyperlink ref="H1995" r:id="rId5963" display="Deed - Attribution-NonCommercial 4.0 International - Creative Commons"/>
    <hyperlink ref="I1995" r:id="rId5964" display="https://www.inaturalist.org/observations/37298389"/>
    <hyperlink ref="G1996" r:id="rId5965" display="gmm18"/>
    <hyperlink ref="H1996" r:id="rId5966" display="Deed - Attribution-NonCommercial 4.0 International - Creative Commons"/>
    <hyperlink ref="I1996" r:id="rId5967" display="https://www.inaturalist.org/observations/246721051"/>
    <hyperlink ref="G1997" r:id="rId5968" display="gmm18"/>
    <hyperlink ref="H1997" r:id="rId5969" display="Deed - Attribution-NonCommercial 4.0 International - Creative Commons"/>
    <hyperlink ref="I1997" r:id="rId5970" display="https://www.inaturalist.org/observations/246721051"/>
    <hyperlink ref="G1998" r:id="rId5971" display="david_broek"/>
    <hyperlink ref="H1998" r:id="rId5972" display="Deed - Attribution-NonCommercial 4.0 International - Creative Commons"/>
    <hyperlink ref="I1998" r:id="rId5973" display="https://www.inaturalist.org/observations/382533574"/>
    <hyperlink ref="G1999" r:id="rId5974" display="kateryna_f"/>
    <hyperlink ref="H1999" r:id="rId5975" display="Deed - Attribution-NonCommercial 4.0 International - Creative Commons"/>
    <hyperlink ref="I1999" r:id="rId5976" display="https://www.inaturalist.org/observations/369716406"/>
    <hyperlink ref="G2000" r:id="rId5977" display="kateryna_f"/>
    <hyperlink ref="H2000" r:id="rId5978" display="Deed - Attribution-NonCommercial 4.0 International - Creative Commons"/>
    <hyperlink ref="I2000" r:id="rId5979" display="https://www.inaturalist.org/observations/369716406"/>
    <hyperlink ref="G2001" r:id="rId5980" display="tnaturalworld"/>
    <hyperlink ref="H2001" r:id="rId5981" display="Deed - Attribution-NonCommercial 4.0 International - Creative Commons"/>
    <hyperlink ref="I2001" r:id="rId5982" display="https://www.inaturalist.org/observations/368908144"/>
    <hyperlink ref="G2002" r:id="rId5983" display="naiara87"/>
    <hyperlink ref="H2002" r:id="rId5984" display="Deed - Attribution-NonCommercial 4.0 International - Creative Commons"/>
    <hyperlink ref="I2002" r:id="rId5985" display="https://www.inaturalist.org/observations/368896890"/>
    <hyperlink ref="G2003" r:id="rId5986" display="naiara87"/>
    <hyperlink ref="H2003" r:id="rId5987" display="Deed - Attribution-NonCommercial 4.0 International - Creative Commons"/>
    <hyperlink ref="I2003" r:id="rId5988" display="https://www.inaturalist.org/observations/368896890"/>
    <hyperlink ref="G2004" r:id="rId5989" display="shanepelser"/>
    <hyperlink ref="H2004" r:id="rId5990" display="Deed - Attribution-NonCommercial 4.0 International - Creative Commons"/>
    <hyperlink ref="I2004" r:id="rId5991" display="https://www.inaturalist.org/observations/368882068"/>
    <hyperlink ref="G2005" r:id="rId5992" display="christieelouise"/>
    <hyperlink ref="H2005" r:id="rId5993" display="Deed - Attribution-NonCommercial 4.0 International - Creative Commons"/>
    <hyperlink ref="I2005" r:id="rId5994" display="https://www.inaturalist.org/observations/368880613"/>
    <hyperlink ref="G2006" r:id="rId5995" display="christieelouise"/>
    <hyperlink ref="H2006" r:id="rId5996" display="Deed - Attribution-NonCommercial 4.0 International - Creative Commons"/>
    <hyperlink ref="I2006" r:id="rId5997" display="https://www.inaturalist.org/observations/368880481"/>
    <hyperlink ref="G2007" r:id="rId5998" display="iftekarkhan"/>
    <hyperlink ref="H2007" r:id="rId5999" display="Deed - Attribution-NonCommercial 4.0 International - Creative Commons"/>
    <hyperlink ref="I2007" r:id="rId6000" display="https://www.inaturalist.org/observations/368880338"/>
    <hyperlink ref="G2008" r:id="rId6001" display="iftekarkhan"/>
    <hyperlink ref="H2008" r:id="rId6002" display="Deed - Attribution-NonCommercial 4.0 International - Creative Commons"/>
    <hyperlink ref="I2008" r:id="rId6003" display="https://www.inaturalist.org/observations/368880338"/>
    <hyperlink ref="G2009" r:id="rId6004" display="iftekarkhan"/>
    <hyperlink ref="H2009" r:id="rId6005" display="Deed - Attribution-NonCommercial 4.0 International - Creative Commons"/>
    <hyperlink ref="I2009" r:id="rId6006" display="https://www.inaturalist.org/observations/368880338"/>
    <hyperlink ref="G2010" r:id="rId6007" display="drithi_diwakar"/>
    <hyperlink ref="H2010" r:id="rId6008" display="Deed - Attribution-NonCommercial 4.0 International - Creative Commons"/>
    <hyperlink ref="I2010" r:id="rId6009" display="https://www.inaturalist.org/observations/368732975"/>
    <hyperlink ref="G2011" r:id="rId6010" display="ahabib"/>
    <hyperlink ref="H2011" r:id="rId6011" display="Deed - Attribution-NonCommercial 4.0 International - Creative Commons"/>
    <hyperlink ref="I2011" r:id="rId6012" display="https://www.inaturalist.org/observations/367949002"/>
    <hyperlink ref="G2012" r:id="rId6013" display="ahabib"/>
    <hyperlink ref="H2012" r:id="rId6014" display="Deed - Attribution-NonCommercial 4.0 International - Creative Commons"/>
    <hyperlink ref="I2012" r:id="rId6015" display="https://www.inaturalist.org/observations/367949002"/>
    <hyperlink ref="G2013" r:id="rId6016" display="nathenm"/>
    <hyperlink ref="H2013" r:id="rId6017" display="Deed - Attribution-NonCommercial 4.0 International - Creative Commons"/>
    <hyperlink ref="I2013" r:id="rId6018" display="https://www.inaturalist.org/observations/365989180"/>
    <hyperlink ref="G2014" r:id="rId6019" display="nathenm"/>
    <hyperlink ref="H2014" r:id="rId6020" display="Deed - Attribution-NonCommercial 4.0 International - Creative Commons"/>
    <hyperlink ref="I2014" r:id="rId6021" display="https://www.inaturalist.org/observations/365198670"/>
    <hyperlink ref="G2015" r:id="rId6022" display="ahabib"/>
    <hyperlink ref="H2015" r:id="rId6023" display="Deed - Attribution-NonCommercial 4.0 International - Creative Commons"/>
    <hyperlink ref="I2015" r:id="rId6024" display="https://www.inaturalist.org/observations/360525486"/>
    <hyperlink ref="G2016" r:id="rId6025" display="ahabib"/>
    <hyperlink ref="H2016" r:id="rId6026" display="Deed - Attribution-NonCommercial 4.0 International - Creative Commons"/>
    <hyperlink ref="I2016" r:id="rId6027" display="https://www.inaturalist.org/observations/360525486"/>
    <hyperlink ref="G2017" r:id="rId6028" display="ahabib"/>
    <hyperlink ref="H2017" r:id="rId6029" display="Deed - Attribution-NonCommercial 4.0 International - Creative Commons"/>
    <hyperlink ref="I2017" r:id="rId6030" display="https://www.inaturalist.org/observations/360525486"/>
    <hyperlink ref="G2018" r:id="rId6031" display="patrickdebeuf"/>
    <hyperlink ref="H2018" r:id="rId6032" display="Deed - Attribution-NonCommercial 4.0 International - Creative Commons"/>
    <hyperlink ref="I2018" r:id="rId6033" display="https://www.inaturalist.org/observations/329857889"/>
    <hyperlink ref="G2019" r:id="rId6034" display="feng63538"/>
    <hyperlink ref="H2019" r:id="rId6035" display="Deed - Attribution-NonCommercial 4.0 International - Creative Commons"/>
    <hyperlink ref="I2019" r:id="rId6036" display="https://www.inaturalist.org/observations/323146235"/>
    <hyperlink ref="G2020" r:id="rId6037" display="shiderob"/>
    <hyperlink ref="H2020" r:id="rId6038" display="Deed - Attribution-NonCommercial 4.0 International - Creative Commons"/>
    <hyperlink ref="I2020" r:id="rId6039" display="https://www.inaturalist.org/observations/311963648"/>
    <hyperlink ref="G2021" r:id="rId6040" display="shiderob"/>
    <hyperlink ref="H2021" r:id="rId6041" display="Deed - Attribution-NonCommercial 4.0 International - Creative Commons"/>
    <hyperlink ref="I2021" r:id="rId6042" display="https://www.inaturalist.org/observations/311963648"/>
    <hyperlink ref="G2022" r:id="rId6043" display="globalherping"/>
    <hyperlink ref="H2022" r:id="rId6044" display="Deed - Attribution-NonCommercial 4.0 International - Creative Commons"/>
    <hyperlink ref="I2022" r:id="rId6045" display="https://www.inaturalist.org/observations/283314331"/>
    <hyperlink ref="G2023" r:id="rId6046" display="globalherping"/>
    <hyperlink ref="H2023" r:id="rId6047" display="Deed - Attribution-NonCommercial 4.0 International - Creative Commons"/>
    <hyperlink ref="I2023" r:id="rId6048" display="https://www.inaturalist.org/observations/283314331"/>
    <hyperlink ref="G2024" r:id="rId6049" display="nathenm"/>
    <hyperlink ref="H2024" r:id="rId6050" display="Deed - Attribution-NonCommercial 4.0 International - Creative Commons"/>
    <hyperlink ref="I2024" r:id="rId6051" display="https://www.inaturalist.org/observations/280344807"/>
    <hyperlink ref="G2025" r:id="rId6052" display="lucaghess"/>
    <hyperlink ref="H2025" r:id="rId6053" display="Deed - Attribution-NonCommercial 4.0 International - Creative Commons"/>
    <hyperlink ref="I2025" r:id="rId6054" display="https://www.inaturalist.org/observations/277849064"/>
    <hyperlink ref="G2026" r:id="rId6055" display="thomas_bareyre"/>
    <hyperlink ref="H2026" r:id="rId6056" display="Deed - Attribution-NonCommercial 4.0 International - Creative Commons"/>
    <hyperlink ref="I2026" r:id="rId6057" display="https://www.inaturalist.org/observations/268092045"/>
    <hyperlink ref="G2027" r:id="rId6058" display="vojtechvita"/>
    <hyperlink ref="H2027" r:id="rId6059" display="Deed - Attribution-NonCommercial 4.0 International - Creative Commons"/>
    <hyperlink ref="I2027" r:id="rId6060" display="https://www.inaturalist.org/observations/145174004"/>
    <hyperlink ref="G2028" r:id="rId6061" display="vojtechvita"/>
    <hyperlink ref="H2028" r:id="rId6062" display="Deed - Attribution-NonCommercial 4.0 International - Creative Commons"/>
    <hyperlink ref="I2028" r:id="rId6063" display="https://www.inaturalist.org/observations/144975840"/>
    <hyperlink ref="G2029" r:id="rId6064" display="vojtechvita"/>
    <hyperlink ref="H2029" r:id="rId6065" display="Deed - Attribution-NonCommercial 4.0 International - Creative Commons"/>
    <hyperlink ref="I2029" r:id="rId6066" display="https://www.inaturalist.org/observations/144534318"/>
    <hyperlink ref="G2030" r:id="rId6067" display="neymark"/>
    <hyperlink ref="H2030" r:id="rId6068" display="Deed - Attribution-NonCommercial 4.0 International - Creative Commons"/>
    <hyperlink ref="I2030" r:id="rId6069" display="https://www.inaturalist.org/observations/88686240"/>
    <hyperlink ref="G2031" r:id="rId6070" display="lrasran"/>
    <hyperlink ref="H2031" r:id="rId6071" display="Deed - Attribution-NonCommercial 4.0 International - Creative Commons"/>
    <hyperlink ref="I2031" r:id="rId6072" display="https://www.inaturalist.org/observations/41678175"/>
    <hyperlink ref="G2032" r:id="rId6073" display="aville"/>
    <hyperlink ref="H2032" r:id="rId6074" display="Deed - Attribution-NonCommercial 4.0 International - Creative Commons"/>
    <hyperlink ref="I2032" r:id="rId6075" display="https://www.inaturalist.org/observations/40684911"/>
    <hyperlink ref="G2033" r:id="rId6076" display="franciscoriquelme"/>
    <hyperlink ref="H2033" r:id="rId6077" display="Deed - Attribution-NonCommercial 4.0 International - Creative Commons"/>
    <hyperlink ref="I2033" r:id="rId6078" display="https://www.inaturalist.org/observations/236068247"/>
    <hyperlink ref="G2034" r:id="rId6079" display="bastian_riveros"/>
    <hyperlink ref="H2034" r:id="rId6080" display="Deed - Attribution-NonCommercial 4.0 International - Creative Commons"/>
    <hyperlink ref="I2034" r:id="rId6081" display="https://www.inaturalist.org/observations/234127155"/>
    <hyperlink ref="G2035" r:id="rId6082" display="bastian_riveros"/>
    <hyperlink ref="H2035" r:id="rId6083" display="Deed - Attribution-NonCommercial 4.0 International - Creative Commons"/>
    <hyperlink ref="I2035" r:id="rId6084" display="https://www.inaturalist.org/observations/233995076"/>
    <hyperlink ref="G2036" r:id="rId6085" display="alexandrasina"/>
    <hyperlink ref="H2036" r:id="rId6086" display="Deed - Attribution-NonCommercial 4.0 International - Creative Commons"/>
    <hyperlink ref="I2036" r:id="rId6087" display="https://www.inaturalist.org/observations/231060934"/>
    <hyperlink ref="G2037" r:id="rId6088" display="alexanderr "/>
    <hyperlink ref="H2037" r:id="rId6089" display="Deed - Attribution-NonCommercial 4.0 International - Creative Commons"/>
    <hyperlink ref="I2037" r:id="rId6090" display="https://www.inaturalist.org/observations/334740779"/>
    <hyperlink ref="G2038" r:id="rId6091" display="jachatata"/>
    <hyperlink ref="H2038" r:id="rId6092" display="Deed - Attribution-NonCommercial 4.0 International - Creative Commons"/>
    <hyperlink ref="I2038" r:id="rId6093" display="https://www.inaturalist.org/observations/201591678"/>
    <hyperlink ref="G2039" r:id="rId6094" display="jachatata"/>
    <hyperlink ref="H2039" r:id="rId6095" display="Deed - Attribution-NonCommercial 4.0 International - Creative Commons"/>
    <hyperlink ref="I2039" r:id="rId6096" display="https://www.inaturalist.org/observations/201591678"/>
    <hyperlink ref="G2040" r:id="rId6097" display="jachatata"/>
    <hyperlink ref="H2040" r:id="rId6098" display="Deed - Attribution-NonCommercial 4.0 International - Creative Commons"/>
    <hyperlink ref="I2040" r:id="rId6099" display="https://www.inaturalist.org/observations/199287139"/>
    <hyperlink ref="G2041" r:id="rId6100" display="alexanderr"/>
    <hyperlink ref="H2041" r:id="rId6101" display="Deed - Attribution-NonCommercial 4.0 International - Creative Commons"/>
    <hyperlink ref="I2041" r:id="rId6102" display="https://www.inaturalist.org/observations/334740764"/>
    <hyperlink ref="G2042" r:id="rId6103" display="jachatata"/>
    <hyperlink ref="H2042" r:id="rId6104" display="Deed - Attribution-NonCommercial 4.0 International - Creative Commons"/>
    <hyperlink ref="I2042" r:id="rId6105" display="https://www.inaturalist.org/observations/199161655"/>
    <hyperlink ref="G2043" r:id="rId6106" display="diegoalmendras"/>
    <hyperlink ref="H2043" r:id="rId6107" display="Deed - Attribution-NonCommercial 4.0 International - Creative Commons"/>
    <hyperlink ref="I2043" r:id="rId6108" display="https://www.inaturalist.org/observations/198312753"/>
    <hyperlink ref="G2044" r:id="rId6109" display="jachatata"/>
    <hyperlink ref="H2044" r:id="rId6110" display="Deed - Attribution-NonCommercial 4.0 International - Creative Commons"/>
    <hyperlink ref="I2044" r:id="rId6111" display="https://www.inaturalist.org/observations/198148724"/>
    <hyperlink ref="G2045" r:id="rId6112" display="alexanderr"/>
    <hyperlink ref="H2045" r:id="rId6113" display="Deed - Attribution-NonCommercial 4.0 International - Creative Commons"/>
    <hyperlink ref="I2045" r:id="rId6114" display="https://www.inaturalist.org/observations/334740762"/>
    <hyperlink ref="G2046" r:id="rId6115" display="theo_fiedler"/>
    <hyperlink ref="H2046" r:id="rId6116" display="Deed - Attribution-NonCommercial 4.0 International - Creative Commons"/>
    <hyperlink ref="I2046" r:id="rId6117" display="https://www.inaturalist.org/observations/196670184"/>
    <hyperlink ref="G2047" r:id="rId6118" display="theo_fiedler"/>
    <hyperlink ref="H2047" r:id="rId6119" display="Deed - Attribution-NonCommercial 4.0 International - Creative Commons"/>
    <hyperlink ref="I2047" r:id="rId6120" display="https://www.inaturalist.org/observations/196670184"/>
    <hyperlink ref="G2048" r:id="rId6121" display="brunobertin"/>
    <hyperlink ref="H2048" r:id="rId6122" display="Deed - Attribution-NonCommercial 4.0 International - Creative Commons"/>
    <hyperlink ref="I2048" r:id="rId6123" display="https://www.inaturalist.org/observations/187273892"/>
    <hyperlink ref="G2049" r:id="rId6124" display="alexanderr"/>
    <hyperlink ref="H2049" r:id="rId6125" display="Deed - Attribution-NonCommercial 4.0 International - Creative Commons"/>
    <hyperlink ref="I2049" r:id="rId6126" display="https://www.inaturalist.org/observations/334740762"/>
    <hyperlink ref="G2050" r:id="rId6127" display="brunobertin"/>
    <hyperlink ref="H2050" r:id="rId6128" display="Deed - Attribution-NonCommercial 4.0 International - Creative Commons"/>
    <hyperlink ref="I2050" r:id="rId6129" display="https://www.inaturalist.org/observations/187273892"/>
    <hyperlink ref="G2051" r:id="rId6130" display="brunobertin"/>
    <hyperlink ref="H2051" r:id="rId6131" display="Deed - Attribution-NonCommercial 4.0 International - Creative Commons"/>
    <hyperlink ref="I2051" r:id="rId6132" display="https://www.inaturalist.org/observations/186869917"/>
    <hyperlink ref="G2052" r:id="rId6133" display="brunobertin"/>
    <hyperlink ref="H2052" r:id="rId6134" display="Deed - Attribution-NonCommercial 4.0 International - Creative Commons"/>
    <hyperlink ref="I2052" r:id="rId6135" display="https://www.inaturalist.org/observations/186869917"/>
    <hyperlink ref="G2053" r:id="rId6136" display="alexanderr"/>
    <hyperlink ref="H2053" r:id="rId6137" display="Deed - Attribution-NonCommercial 4.0 International - Creative Commons"/>
    <hyperlink ref="I2053" r:id="rId6138" display="https://www.inaturalist.org/observations/334740761"/>
    <hyperlink ref="G2054" r:id="rId6139" display="franciscoriquelme"/>
    <hyperlink ref="H2054" r:id="rId6140" display="Deed - Attribution-NonCommercial 4.0 International - Creative Commons"/>
    <hyperlink ref="I2054" r:id="rId6141" display="https://www.inaturalist.org/observations/167873627"/>
    <hyperlink ref="G2055" r:id="rId6142" display="mauricioflorescab"/>
    <hyperlink ref="H2055" r:id="rId6143" display="Deed - Attribution-NonCommercial 4.0 International - Creative Commons"/>
    <hyperlink ref="I2055" r:id="rId6144" display="https://www.inaturalist.org/observations/151890892"/>
    <hyperlink ref="G2056" r:id="rId6145" display="mauricioflorescab"/>
    <hyperlink ref="H2056" r:id="rId6146" display="Deed - Attribution-NonCommercial 4.0 International - Creative Commons"/>
    <hyperlink ref="I2056" r:id="rId6147" display="https://www.inaturalist.org/observations/151890107"/>
    <hyperlink ref="G2057" r:id="rId6148" display="alexanderr"/>
    <hyperlink ref="H2057" r:id="rId6149" display="Deed - Attribution-NonCommercial 4.0 International - Creative Commons"/>
    <hyperlink ref="I2057" r:id="rId6150" display="https://www.inaturalist.org/observations/334740761"/>
    <hyperlink ref="G2058" r:id="rId6151" display="chrisolea"/>
    <hyperlink ref="H2058" r:id="rId6152" display="Deed - Attribution-NonCommercial 4.0 International - Creative Commons"/>
    <hyperlink ref="I2058" r:id="rId6153" display="https://www.inaturalist.org/observations/145906043"/>
    <hyperlink ref="G2059" r:id="rId6154" display="chrisolea"/>
    <hyperlink ref="H2059" r:id="rId6155" display="Deed - Attribution-NonCommercial 4.0 International - Creative Commons"/>
    <hyperlink ref="I2059" r:id="rId6156" display="https://www.inaturalist.org/observations/145877006"/>
    <hyperlink ref="G2060" r:id="rId6157" display="chrisolea"/>
    <hyperlink ref="H2060" r:id="rId6158" display="Deed - Attribution-NonCommercial 4.0 International - Creative Commons"/>
    <hyperlink ref="I2060" r:id="rId6159" display="https://www.inaturalist.org/observations/145876954"/>
    <hyperlink ref="G2061" r:id="rId6160" display="alexanderr"/>
    <hyperlink ref="H2061" r:id="rId6161" display="Deed - Attribution-NonCommercial 4.0 International - Creative Commons"/>
    <hyperlink ref="I2061" r:id="rId6162" display="https://www.inaturalist.org/observations/334740761"/>
    <hyperlink ref="G2062" r:id="rId6163" display="catha_miranda-veliz"/>
    <hyperlink ref="H2062" r:id="rId6164" display="Deed - Attribution-NonCommercial 4.0 International - Creative Commons"/>
    <hyperlink ref="I2062" r:id="rId6165" display="https://www.inaturalist.org/observations/141031268"/>
    <hyperlink ref="G2063" r:id="rId6166" display="bichorraro"/>
    <hyperlink ref="H2063" r:id="rId6167" display="Deed - Attribution-NonCommercial 4.0 International - Creative Commons"/>
    <hyperlink ref="I2063" r:id="rId6168" display="https://www.inaturalist.org/observations/135612610"/>
    <hyperlink ref="G2064" r:id="rId6169" display="josfac"/>
    <hyperlink ref="H2064" r:id="rId6170" display="Deed - Attribution-NonCommercial 4.0 International - Creative Commons"/>
    <hyperlink ref="I2064" r:id="rId6171" display="https://www.inaturalist.org/observations/131288359"/>
    <hyperlink ref="G2065" r:id="rId6172" display="dhandanot"/>
    <hyperlink ref="H2065" r:id="rId6173" display="Deed - Attribution-NonCommercial 4.0 International - Creative Commons"/>
    <hyperlink ref="I2065" r:id="rId6174" display="https://www.inaturalist.org/observations/237838718"/>
    <hyperlink ref="G2066" r:id="rId6175" display="bastian_riveros"/>
    <hyperlink ref="H2066" r:id="rId6176" display="Deed - Attribution-NonCommercial 4.0 International - Creative Commons"/>
    <hyperlink ref="I2066" r:id="rId6177" display="https://www.inaturalist.org/observations/130887882"/>
    <hyperlink ref="G2067" r:id="rId6178" display="francisco_eduardo"/>
    <hyperlink ref="H2067" r:id="rId6179" display="Deed - Attribution-NonCommercial 4.0 International - Creative Commons"/>
    <hyperlink ref="I2067" r:id="rId6180" display="https://www.inaturalist.org/observations/138866474"/>
    <hyperlink ref="G2068" r:id="rId6181" display="quentinvdm"/>
    <hyperlink ref="H2068" r:id="rId6182" display="Deed - Attribution-NonCommercial 4.0 International - Creative Commons"/>
    <hyperlink ref="I2068" r:id="rId6183" display="https://www.inaturalist.org/observations/326251491"/>
    <hyperlink ref="G2069" r:id="rId6184" display="lautarolrs"/>
    <hyperlink ref="H2069" r:id="rId6185" display="Deed - Attribution-NonCommercial 4.0 International - Creative Commons"/>
    <hyperlink ref="I2069" r:id="rId6186" display="https://www.inaturalist.org/observations/320624246"/>
    <hyperlink ref="G2070" r:id="rId6187" display="hyla75"/>
    <hyperlink ref="H2070" r:id="rId6188" display="Deed - Attribution-NonCommercial 4.0 International - Creative Commons"/>
    <hyperlink ref="I2070" r:id="rId6189" display="https://www.inaturalist.org/observations/319870482"/>
    <hyperlink ref="G2071" r:id="rId6190" display="alexx_21"/>
    <hyperlink ref="H2071" r:id="rId6191" display="Deed - Attribution-NonCommercial 4.0 International - Creative Commons"/>
    <hyperlink ref="I2071" r:id="rId6192" display="https://www.inaturalist.org/observations/270539295"/>
    <hyperlink ref="G2072" r:id="rId6193" display="portagonia"/>
    <hyperlink ref="H2072" r:id="rId6194" display="Deed - Attribution-NonCommercial 4.0 International - Creative Commons"/>
    <hyperlink ref="I2072" r:id="rId6195" display="https://www.inaturalist.org/observations/266167956"/>
    <hyperlink ref="G2073" r:id="rId6196" display="portagonia"/>
    <hyperlink ref="H2073" r:id="rId6197" display="Deed - Attribution-NonCommercial 4.0 International - Creative Commons"/>
    <hyperlink ref="I2073" r:id="rId6198" display="https://www.inaturalist.org/observations/265000355"/>
    <hyperlink ref="G2074" r:id="rId6199" display="ben_rittner"/>
    <hyperlink ref="H2074" r:id="rId6200" display="Deed - Attribution-NonCommercial 4.0 International - Creative Commons"/>
    <hyperlink ref="I2074" r:id="rId6201" display="https://www.inaturalist.org/observations/258959915"/>
    <hyperlink ref="G2075" r:id="rId6202" display="tinchobrogger"/>
    <hyperlink ref="H2075" r:id="rId6203" display="Deed - Attribution-NonCommercial 4.0 International - Creative Commons"/>
    <hyperlink ref="I2075" r:id="rId6204" display="https://www.inaturalist.org/observations/204724691"/>
    <hyperlink ref="G2076" r:id="rId6205" display="tinchobrogger"/>
    <hyperlink ref="H2076" r:id="rId6206" display="Deed - Attribution-NonCommercial 4.0 International - Creative Commons"/>
    <hyperlink ref="I2076" r:id="rId6207" display="https://www.inaturalist.org/observations/204724691"/>
    <hyperlink ref="G2077" r:id="rId6208" display="fiorella_buglione"/>
    <hyperlink ref="H2077" r:id="rId6209" display="Deed - Attribution-NonCommercial 4.0 International - Creative Commons"/>
    <hyperlink ref="I2077" r:id="rId6210" display="https://www.inaturalist.org/observations/204442719"/>
    <hyperlink ref="G2078" r:id="rId6211" display="charly_romeo43"/>
    <hyperlink ref="H2078" r:id="rId6212" display="Deed - Attribution-NonCommercial 4.0 International - Creative Commons"/>
    <hyperlink ref="I2078" r:id="rId6213" display="https://www.inaturalist.org/observations/203340308"/>
    <hyperlink ref="G2079" r:id="rId6214" display="brianhof"/>
    <hyperlink ref="H2079" r:id="rId6215" display="Deed - Attribution-NonCommercial 4.0 International - Creative Commons"/>
    <hyperlink ref="I2079" r:id="rId6216" display="https://www.inaturalist.org/observations/199907740"/>
    <hyperlink ref="G2080" r:id="rId6217" display="alexx_21"/>
    <hyperlink ref="H2080" r:id="rId6218" display="Deed - Attribution-NonCommercial 4.0 International - Creative Commons"/>
    <hyperlink ref="I2080" r:id="rId6219" display="https://www.inaturalist.org/observations/199799202"/>
    <hyperlink ref="G2081" r:id="rId6220" display="michelledelaloye"/>
    <hyperlink ref="H2081" r:id="rId6221" display="Deed - Attribution-NonCommercial 4.0 International - Creative Commons"/>
    <hyperlink ref="I2081" r:id="rId6222" display="https://www.inaturalist.org/observations/198534647"/>
    <hyperlink ref="G2082" r:id="rId6223" display="mthiel"/>
    <hyperlink ref="H2082" r:id="rId6224" display="Deed - Attribution-NonCommercial 4.0 International - Creative Commons"/>
    <hyperlink ref="I2082" r:id="rId6225" display="https://www.inaturalist.org/observations/198097215"/>
    <hyperlink ref="G2083" r:id="rId6226" display="mthiel"/>
    <hyperlink ref="H2083" r:id="rId6227" display="Deed - Attribution-NonCommercial 4.0 International - Creative Commons"/>
    <hyperlink ref="I2083" r:id="rId6228" display="https://www.inaturalist.org/observations/198097215"/>
    <hyperlink ref="G2084" r:id="rId6229" display="kurtrademacher"/>
    <hyperlink ref="H2084" r:id="rId6230" display="Deed - Attribution-NonCommercial 4.0 International - Creative Commons"/>
    <hyperlink ref="I2084" r:id="rId6231" display="https://www.inaturalist.org/observations/195349590"/>
    <hyperlink ref="G2085" r:id="rId6232" display="jacquescousteau2"/>
    <hyperlink ref="H2085" r:id="rId6233" display="Deed - Attribution-NonCommercial 4.0 International - Creative Commons"/>
    <hyperlink ref="I2085" r:id="rId6234" display="https://www.inaturalist.org/observations/193674837"/>
    <hyperlink ref="G2086" r:id="rId6235" display="jacquescousteau2"/>
    <hyperlink ref="H2086" r:id="rId6236" display="Deed - Attribution-NonCommercial 4.0 International - Creative Commons"/>
    <hyperlink ref="I2086" r:id="rId6237" display="https://www.inaturalist.org/observations/193674837"/>
    <hyperlink ref="G2087" r:id="rId6238" display="iprocheret"/>
    <hyperlink ref="H2087" r:id="rId6239" display="Deed - Attribution-NonCommercial 4.0 International - Creative Commons"/>
    <hyperlink ref="I2087" r:id="rId6240" display="https://www.inaturalist.org/observations/191283288"/>
    <hyperlink ref="G2088" r:id="rId6241" display="sofiaseg"/>
    <hyperlink ref="H2088" r:id="rId6242" display="Deed - Attribution-NonCommercial 4.0 International - Creative Commons"/>
    <hyperlink ref="I2088" r:id="rId6243" display="https://www.inaturalist.org/observations/181650327"/>
    <hyperlink ref="G2089" r:id="rId6244" display="leomiskoff"/>
    <hyperlink ref="H2089" r:id="rId6245" display="Deed - Attribution-NonCommercial 4.0 International - Creative Commons"/>
    <hyperlink ref="I2089" r:id="rId6246" display="https://www.inaturalist.org/observations/148694524"/>
    <hyperlink ref="G2090" r:id="rId6247" display="pablisola"/>
    <hyperlink ref="H2090" r:id="rId6248" display="Deed - Attribution-NonCommercial 4.0 International - Creative Commons"/>
    <hyperlink ref="I2090" r:id="rId6249" display="https://www.inaturalist.org/observations/147076741"/>
    <hyperlink ref="G2091" r:id="rId6250" display="raul_horacio_mak"/>
    <hyperlink ref="H2091" r:id="rId6251" display="Deed - Attribution-NonCommercial 4.0 International - Creative Commons"/>
    <hyperlink ref="I2091" r:id="rId6252" display="https://www.inaturalist.org/observations/144154251"/>
    <hyperlink ref="G2092" r:id="rId6253" display="facundovarelab"/>
    <hyperlink ref="H2092" r:id="rId6254" display="Deed - Attribution-NonCommercial 4.0 International - Creative Commons"/>
    <hyperlink ref="I2092" r:id="rId6255" display="https://www.inaturalist.org/observations/142907225"/>
    <hyperlink ref="G2093" r:id="rId6256" display="viole2309"/>
    <hyperlink ref="H2093" r:id="rId6257" display="Deed - Attribution-NonCommercial 4.0 International - Creative Commons"/>
    <hyperlink ref="I2093" r:id="rId6258" display="https://www.inaturalist.org/observations/142288400"/>
    <hyperlink ref="G2094" r:id="rId6259" display="viole2309"/>
    <hyperlink ref="H2094" r:id="rId6260" display="Deed - Attribution-NonCommercial 4.0 International - Creative Commons"/>
    <hyperlink ref="I2094" r:id="rId6261" display="https://www.inaturalist.org/observations/142288400"/>
    <hyperlink ref="G2095" r:id="rId6262" display="viole2309"/>
    <hyperlink ref="H2095" r:id="rId6263" display="Deed - Attribution-NonCommercial 4.0 International - Creative Commons"/>
    <hyperlink ref="I2095" r:id="rId6264" display="https://www.inaturalist.org/observations/138504707"/>
    <hyperlink ref="G2096" r:id="rId6265" display="viole2309"/>
    <hyperlink ref="H2096" r:id="rId6266" display="Deed - Attribution-NonCommercial 4.0 International - Creative Commons"/>
    <hyperlink ref="I2096" r:id="rId6267" display="https://www.inaturalist.org/observations/138504707"/>
    <hyperlink ref="G2097" r:id="rId6268" display="viole2309"/>
    <hyperlink ref="H2097" r:id="rId6269" display="Deed - Attribution-NonCommercial 4.0 International - Creative Commons"/>
    <hyperlink ref="I2097" r:id="rId6270" display="https://www.inaturalist.org/observations/138504573"/>
    <hyperlink ref="G2098" r:id="rId6271" display="viole2309"/>
    <hyperlink ref="H2098" r:id="rId6272" display="Deed - Attribution-NonCommercial 4.0 International - Creative Commons"/>
    <hyperlink ref="I2098" r:id="rId6273" display="https://www.inaturalist.org/observations/138504573"/>
    <hyperlink ref="G2099" r:id="rId6274" display="viole2309"/>
    <hyperlink ref="H2099" r:id="rId6275" display="Deed - Attribution-NonCommercial 4.0 International - Creative Commons"/>
    <hyperlink ref="I2099" r:id="rId6276" display="https://www.inaturalist.org/observations/138504573"/>
    <hyperlink ref="G2100" r:id="rId6277" display="ah3315"/>
    <hyperlink ref="H2100" r:id="rId6278" display="Deed - Attribution-NonCommercial 4.0 International - Creative Commons"/>
    <hyperlink ref="I2100" r:id="rId6279" display="https://www.inaturalist.org/observations/373556492"/>
    <hyperlink ref="G2101" r:id="rId6280" display="mangoverde"/>
    <hyperlink ref="H2101" r:id="rId6281" display="Deed - Attribution-NonCommercial 4.0 International - Creative Commons"/>
    <hyperlink ref="I2101" r:id="rId6282" display="https://www.inaturalist.org/observations/340501956"/>
    <hyperlink ref="G2102" r:id="rId6283" display="mangoverde"/>
    <hyperlink ref="H2102" r:id="rId6284" display="Deed - Attribution-NonCommercial 4.0 International - Creative Commons"/>
    <hyperlink ref="I2102" r:id="rId6285" display="https://www.inaturalist.org/observations/339557169"/>
    <hyperlink ref="H2103" r:id="rId6286" display="Deed - Attribution-NonCommercial 4.0 International - Creative Commons"/>
    <hyperlink ref="I2103" r:id="rId6287" display="https://www.inaturalist.org/observations/382587793"/>
    <hyperlink ref="H2104" r:id="rId6288" display="Deed - Attribution-NonCommercial 4.0 International - Creative Commons"/>
    <hyperlink ref="I2104" r:id="rId6289" display="https://www.inaturalist.org/observations/382162651"/>
    <hyperlink ref="H2105" r:id="rId6290" display="Deed - Attribution-NonCommercial 4.0 International - Creative Commons"/>
    <hyperlink ref="I2105" r:id="rId6291" display="https://www.inaturalist.org/observations/380892697"/>
    <hyperlink ref="H2106" r:id="rId6292" display="Deed - Attribution-NonCommercial 4.0 International - Creative Commons"/>
    <hyperlink ref="I2106" r:id="rId6293" display="https://www.inaturalist.org/observations/380886054"/>
    <hyperlink ref="H2107" r:id="rId6294" display="Deed - Attribution-NonCommercial 4.0 International - Creative Commons"/>
    <hyperlink ref="I2107" r:id="rId6295" display="https://www.inaturalist.org/observations/377866794"/>
    <hyperlink ref="H2108" r:id="rId6296" display="Deed - Attribution-NonCommercial 4.0 International - Creative Commons"/>
    <hyperlink ref="I2108" r:id="rId6297" display="https://www.inaturalist.org/observations/377866758"/>
    <hyperlink ref="H2109" r:id="rId6298" display="Deed - Attribution-NonCommercial 4.0 International - Creative Commons"/>
    <hyperlink ref="I2109" r:id="rId6299" display="https://www.inaturalist.org/observations/377632099"/>
    <hyperlink ref="H2110" r:id="rId6300" display="Deed - Attribution-NonCommercial 4.0 International - Creative Commons"/>
    <hyperlink ref="I2110" r:id="rId6301" display="https://www.inaturalist.org/observations/376625800"/>
    <hyperlink ref="H2111" r:id="rId6302" display="Deed - Attribution-NonCommercial 4.0 International - Creative Commons"/>
    <hyperlink ref="I2111" r:id="rId6303" display="https://www.inaturalist.org/observations/376046898"/>
    <hyperlink ref="H2112" r:id="rId6304" display="Deed - Attribution-NonCommercial 4.0 International - Creative Commons"/>
    <hyperlink ref="I2112" r:id="rId6305" display="https://www.inaturalist.org/observations/376034885"/>
    <hyperlink ref="H2113" r:id="rId6306" display="Deed - Attribution-NonCommercial 4.0 International - Creative Commons"/>
    <hyperlink ref="I2113" r:id="rId6307" display="https://www.inaturalist.org/observations/375721990"/>
    <hyperlink ref="H2114" r:id="rId6308" display="Deed - Attribution-NonCommercial 4.0 International - Creative Commons"/>
    <hyperlink ref="I2114" r:id="rId6309" display="https://www.inaturalist.org/observations/375645833"/>
    <hyperlink ref="H2115" r:id="rId6310" display="Deed - Attribution-NonCommercial 4.0 International - Creative Commons"/>
    <hyperlink ref="I2115" r:id="rId6311" display="https://www.inaturalist.org/observations/375404150"/>
    <hyperlink ref="H2116" r:id="rId6312" display="Deed - Attribution-NonCommercial 4.0 International - Creative Commons"/>
    <hyperlink ref="I2116" r:id="rId6313" display="https://www.inaturalist.org/observations/374575773"/>
    <hyperlink ref="H2117" r:id="rId6314" display="Deed - Attribution-NonCommercial 4.0 International - Creative Commons"/>
    <hyperlink ref="I2117" r:id="rId6315" display="https://www.inaturalist.org/observations/373793762"/>
    <hyperlink ref="H2118" r:id="rId6316" display="Deed - Attribution-NonCommercial 4.0 International - Creative Commons"/>
    <hyperlink ref="I2118" r:id="rId6317" display="https://www.inaturalist.org/observations/373793514"/>
    <hyperlink ref="H2119" r:id="rId6318" display="Deed - Attribution-NonCommercial 4.0 International - Creative Commons"/>
    <hyperlink ref="I2119" r:id="rId6319" display="https://www.inaturalist.org/observations/373431692"/>
    <hyperlink ref="H2120" r:id="rId6320" display="Deed - Attribution-NonCommercial 4.0 International - Creative Commons"/>
    <hyperlink ref="I2120" r:id="rId6321" display="https://www.inaturalist.org/observations/373422009"/>
    <hyperlink ref="H2121" r:id="rId6322" display="Deed - Attribution-NonCommercial 4.0 International - Creative Commons"/>
    <hyperlink ref="I2121" r:id="rId6323" display="https://www.inaturalist.org/observations/373070508"/>
    <hyperlink ref="H2122" r:id="rId6324" display="Deed - Attribution-NonCommercial 4.0 International - Creative Commons"/>
    <hyperlink ref="I2122" r:id="rId6325" display="https://www.inaturalist.org/observations/372014431"/>
    <hyperlink ref="H2123" r:id="rId6326" display="Deed - Attribution-NonCommercial 4.0 International - Creative Commons"/>
    <hyperlink ref="I2123" r:id="rId6327" display="https://www.inaturalist.org/observations/371372452"/>
    <hyperlink ref="H2124" r:id="rId6328" display="Deed - Attribution-NonCommercial 4.0 International - Creative Commons"/>
    <hyperlink ref="I2124" r:id="rId6329" display="https://www.inaturalist.org/observations/370765632"/>
    <hyperlink ref="H2125" r:id="rId6330" display="Deed - Attribution-NonCommercial 4.0 International - Creative Commons"/>
    <hyperlink ref="I2125" r:id="rId6331" display="https://www.inaturalist.org/observations/370765631"/>
    <hyperlink ref="H2126" r:id="rId6332" display="Deed - Attribution-NonCommercial 4.0 International - Creative Commons"/>
    <hyperlink ref="I2126" r:id="rId6333" display="https://www.inaturalist.org/observations/370378247"/>
    <hyperlink ref="H2127" r:id="rId6334" display="Deed - Attribution-NonCommercial 4.0 International - Creative Commons"/>
    <hyperlink ref="I2127" r:id="rId6335" display="https://www.inaturalist.org/observations/369043048"/>
    <hyperlink ref="H2128" r:id="rId6336" display="Deed - Attribution-NonCommercial 4.0 International - Creative Commons"/>
    <hyperlink ref="I2128" r:id="rId6337" display="https://www.inaturalist.org/observations/367704738"/>
    <hyperlink ref="H2129" r:id="rId6338" display="Deed - Attribution-NonCommercial 4.0 International - Creative Commons"/>
    <hyperlink ref="I2129" r:id="rId6339" display="https://www.inaturalist.org/observations/366158002"/>
    <hyperlink ref="H2130" r:id="rId6340" display="Deed - Attribution-NonCommercial 4.0 International - Creative Commons"/>
    <hyperlink ref="I2130" r:id="rId6341" display="https://www.inaturalist.org/observations/365167091"/>
    <hyperlink ref="H2131" r:id="rId6342" display="Deed - Attribution-NonCommercial 4.0 International - Creative Commons"/>
    <hyperlink ref="I2131" r:id="rId6343" display="https://www.inaturalist.org/observations/360901610"/>
    <hyperlink ref="H2132" r:id="rId6344" display="Deed - Attribution-NonCommercial 4.0 International - Creative Commons"/>
    <hyperlink ref="I2132" r:id="rId6345" display="https://www.inaturalist.org/observations/355510143"/>
    <hyperlink ref="H2133" r:id="rId6346" display="Deed - Attribution-NonCommercial 4.0 International - Creative Commons"/>
    <hyperlink ref="I2133" r:id="rId6347" display="https://www.inaturalist.org/observations/352241945"/>
    <hyperlink ref="H2134" r:id="rId6348" display="Deed - Attribution-NonCommercial 4.0 International - Creative Commons"/>
    <hyperlink ref="I2134" r:id="rId6349" display="https://www.inaturalist.org/observations/350672345"/>
    <hyperlink ref="H2135" r:id="rId6350" display="Deed - Attribution-NonCommercial 4.0 International - Creative Commons"/>
    <hyperlink ref="I2135" r:id="rId6351" display="https://www.inaturalist.org/observations/350455727"/>
    <hyperlink ref="H2136" r:id="rId6352" display="Deed - Attribution-NonCommercial 4.0 International - Creative Commons"/>
    <hyperlink ref="I2136" r:id="rId6353" display="https://www.inaturalist.org/observations/348797556"/>
    <hyperlink ref="H2137" r:id="rId6354" display="Deed - Attribution-NonCommercial 4.0 International - Creative Commons"/>
    <hyperlink ref="I2137" r:id="rId6355" display="https://www.inaturalist.org/observations/347975169"/>
    <hyperlink ref="H2138" r:id="rId6356" display="Deed - Attribution-NonCommercial 4.0 International - Creative Commons"/>
    <hyperlink ref="I2138" r:id="rId6357" display="https://www.inaturalist.org/observations/382636478"/>
    <hyperlink ref="H2139" r:id="rId6358" display="Deed - Attribution-NonCommercial 4.0 International - Creative Commons"/>
    <hyperlink ref="I2139" r:id="rId6359" display="https://www.inaturalist.org/observations/382407507"/>
    <hyperlink ref="H2140" r:id="rId6360" display="Deed - Attribution-NonCommercial 4.0 International - Creative Commons"/>
    <hyperlink ref="I2140" r:id="rId6361" display="https://www.inaturalist.org/observations/382301192"/>
    <hyperlink ref="H2141" r:id="rId6362" display="Deed - Attribution-NonCommercial 4.0 International - Creative Commons"/>
    <hyperlink ref="I2141" r:id="rId6363" display="https://www.inaturalist.org/observations/382163402"/>
    <hyperlink ref="H2142" r:id="rId6364" display="Deed - Attribution-NonCommercial 4.0 International - Creative Commons"/>
    <hyperlink ref="I2142" r:id="rId6365" display="https://www.inaturalist.org/observations/381980235"/>
    <hyperlink ref="H2143" r:id="rId6366" display="Deed - Attribution-NonCommercial 4.0 International - Creative Commons"/>
    <hyperlink ref="I2143" r:id="rId6367" display="https://www.inaturalist.org/observations/381871514"/>
    <hyperlink ref="H2144" r:id="rId6368" display="Deed - Attribution-NonCommercial 4.0 International - Creative Commons"/>
    <hyperlink ref="I2144" r:id="rId6369" display="https://www.inaturalist.org/observations/381846526"/>
    <hyperlink ref="H2145" r:id="rId6370" display="Deed - Attribution-NonCommercial 4.0 International - Creative Commons"/>
    <hyperlink ref="I2145" r:id="rId6371" display="https://www.inaturalist.org/observations/380623894"/>
    <hyperlink ref="H2146" r:id="rId6372" display="Deed - Attribution-NonCommercial 4.0 International - Creative Commons"/>
    <hyperlink ref="I2146" r:id="rId6373" display="https://www.inaturalist.org/observations/380557466"/>
    <hyperlink ref="H2147" r:id="rId6374" display="Deed - Attribution-NonCommercial 4.0 International - Creative Commons"/>
    <hyperlink ref="I2147" r:id="rId6375" display="https://www.inaturalist.org/observations/380536462"/>
    <hyperlink ref="H2148" r:id="rId6376" display="Deed - Attribution-NonCommercial 4.0 International - Creative Commons"/>
    <hyperlink ref="I2148" r:id="rId6377" display="https://www.inaturalist.org/observations/380519116"/>
    <hyperlink ref="H2149" r:id="rId6378" display="Deed - Attribution-NonCommercial 4.0 International - Creative Commons"/>
    <hyperlink ref="I2149" r:id="rId6379" display="https://www.inaturalist.org/observations/379902442"/>
    <hyperlink ref="H2150" r:id="rId6380" display="Deed - Attribution-NonCommercial 4.0 International - Creative Commons"/>
    <hyperlink ref="I2150" r:id="rId6381" display="https://www.inaturalist.org/observations/379887731"/>
    <hyperlink ref="H2151" r:id="rId6382" display="Deed - Attribution-NonCommercial 4.0 International - Creative Commons"/>
    <hyperlink ref="I2151" r:id="rId6383" display="https://www.inaturalist.org/observations/379836816"/>
    <hyperlink ref="H2152" r:id="rId6384" display="Deed - Attribution-NonCommercial 4.0 International - Creative Commons"/>
    <hyperlink ref="I2152" r:id="rId6385" display="https://www.inaturalist.org/observations/379835754"/>
    <hyperlink ref="H2153" r:id="rId6386" display="Deed - Attribution-NonCommercial 4.0 International - Creative Commons"/>
    <hyperlink ref="I2153" r:id="rId6387" display="https://www.inaturalist.org/observations/379814373"/>
    <hyperlink ref="H2154" r:id="rId6388" display="Deed - Attribution-NonCommercial 4.0 International - Creative Commons"/>
    <hyperlink ref="I2154" r:id="rId6389" display="https://www.inaturalist.org/observations/379814369"/>
    <hyperlink ref="H2155" r:id="rId6390" display="Deed - Attribution-NonCommercial 4.0 International - Creative Commons"/>
    <hyperlink ref="I2155" r:id="rId6391" display="https://www.inaturalist.org/observations/379263324"/>
    <hyperlink ref="H2156" r:id="rId6392" display="Deed - Attribution-NonCommercial 4.0 International - Creative Commons"/>
    <hyperlink ref="I2156" r:id="rId6393" display="https://www.inaturalist.org/observations/379143498"/>
    <hyperlink ref="H2157" r:id="rId6394" display="Deed - Attribution-NonCommercial 4.0 International - Creative Commons"/>
    <hyperlink ref="I2157" r:id="rId6395" display="https://www.inaturalist.org/observations/379098133"/>
    <hyperlink ref="H2158" r:id="rId6396" display="Deed - Attribution-NonCommercial 4.0 International - Creative Commons"/>
    <hyperlink ref="I2158" r:id="rId6397" display="https://www.inaturalist.org/observations/378302665"/>
    <hyperlink ref="H2159" r:id="rId6398" display="Deed - Attribution-NonCommercial 4.0 International - Creative Commons"/>
    <hyperlink ref="I2159" r:id="rId6399" display="https://www.inaturalist.org/observations/378072113"/>
    <hyperlink ref="H2160" r:id="rId6400" display="Deed - Attribution-NonCommercial 4.0 International - Creative Commons"/>
    <hyperlink ref="I2160" r:id="rId6401" display="https://www.inaturalist.org/observations/378032959"/>
    <hyperlink ref="H2161" r:id="rId6402" display="Deed - Attribution-NonCommercial 4.0 International - Creative Commons"/>
    <hyperlink ref="I2161" r:id="rId6403" display="https://www.inaturalist.org/observations/377813759"/>
    <hyperlink ref="H2162" r:id="rId6404" display="Deed - Attribution-NonCommercial 4.0 International - Creative Commons"/>
    <hyperlink ref="I2162" r:id="rId6405" display="https://www.inaturalist.org/observations/377282682"/>
    <hyperlink ref="H2163" r:id="rId6406" display="Deed - Attribution-NonCommercial 4.0 International - Creative Commons"/>
    <hyperlink ref="I2163" r:id="rId6407" display="https://www.inaturalist.org/observations/377280502"/>
    <hyperlink ref="H2164" r:id="rId6408" display="Deed - Attribution-NonCommercial 4.0 International - Creative Commons"/>
    <hyperlink ref="I2164" r:id="rId6409" display="https://www.inaturalist.org/observations/377234840"/>
    <hyperlink ref="H2165" r:id="rId6410" display="Deed - Attribution-NonCommercial 4.0 International - Creative Commons"/>
    <hyperlink ref="I2165" r:id="rId6411" display="https://www.inaturalist.org/observations/376953892"/>
    <hyperlink ref="H2166" r:id="rId6412" display="Deed - Attribution-NonCommercial 4.0 International - Creative Commons"/>
    <hyperlink ref="I2166" r:id="rId6413" display="https://www.inaturalist.org/observations/376740933"/>
    <hyperlink ref="H2167" r:id="rId6414" display="Deed - Attribution-NonCommercial 4.0 International - Creative Commons"/>
    <hyperlink ref="I2167" r:id="rId6415" display="https://www.inaturalist.org/observations/376564379"/>
    <hyperlink ref="H2168" r:id="rId6416" display="Deed - Attribution-NonCommercial 4.0 International - Creative Commons"/>
    <hyperlink ref="I2168" r:id="rId6417" display="https://www.inaturalist.org/observations/375870130"/>
    <hyperlink ref="H2169" r:id="rId6418" display="Deed - Attribution-NonCommercial 4.0 International - Creative Commons"/>
    <hyperlink ref="I2169" r:id="rId6419" display="https://www.inaturalist.org/observations/375640477"/>
    <hyperlink ref="H2170" r:id="rId6420" display="Deed - Attribution-NonCommercial 4.0 International - Creative Commons"/>
    <hyperlink ref="I2170" r:id="rId6421" display="https://www.inaturalist.org/observations/375614522"/>
    <hyperlink ref="H2171" r:id="rId6422" display="Deed - Attribution-NonCommercial 4.0 International - Creative Commons"/>
    <hyperlink ref="I2171" r:id="rId6423" display="https://www.inaturalist.org/observations/375561575"/>
    <hyperlink ref="H2172" r:id="rId6424" display="Deed - Attribution-NonCommercial 4.0 International - Creative Commons"/>
    <hyperlink ref="I2172" r:id="rId6425" display="https://www.inaturalist.org/observations/375544520"/>
    <hyperlink ref="H2173" r:id="rId6426" display="Deed - Attribution-NonCommercial 4.0 International - Creative Commons"/>
    <hyperlink ref="I2173" r:id="rId6427" display="https://www.inaturalist.org/observations/377827546"/>
    <hyperlink ref="H2174" r:id="rId6428" display="Deed - Attribution-NonCommercial 4.0 International - Creative Commons"/>
    <hyperlink ref="I2174" r:id="rId6429" display="https://www.inaturalist.org/observations/372035315"/>
    <hyperlink ref="H2175" r:id="rId6430" display="Deed - Attribution-NonCommercial 4.0 International - Creative Commons"/>
    <hyperlink ref="I2175" r:id="rId6431" display="https://www.inaturalist.org/observations/367997757"/>
    <hyperlink ref="H2176" r:id="rId6432" display="Deed - Attribution-NonCommercial 4.0 International - Creative Commons"/>
    <hyperlink ref="I2176" r:id="rId6433" display="https://www.inaturalist.org/observations/364732369"/>
    <hyperlink ref="H2177" r:id="rId6434" display="Deed - Attribution-NonCommercial 4.0 International - Creative Commons"/>
    <hyperlink ref="I2177" r:id="rId6435" display="https://www.inaturalist.org/observations/354974376"/>
    <hyperlink ref="H2178" r:id="rId6436" display="Deed - Attribution-NonCommercial 4.0 International - Creative Commons"/>
    <hyperlink ref="I2178" r:id="rId6437" display="https://www.inaturalist.org/observations/354950525"/>
    <hyperlink ref="H2179" r:id="rId6438" display="Deed - Attribution-NonCommercial 4.0 International - Creative Commons"/>
    <hyperlink ref="I2179" r:id="rId6439" display="https://www.inaturalist.org/observations/350324064"/>
    <hyperlink ref="H2180" r:id="rId6440" display="Deed - Attribution-NonCommercial 4.0 International - Creative Commons"/>
    <hyperlink ref="I2180" r:id="rId6441" display="https://www.inaturalist.org/observations/349440958"/>
    <hyperlink ref="H2181" r:id="rId6442" display="Deed - Attribution-NonCommercial 4.0 International - Creative Commons"/>
    <hyperlink ref="I2181" r:id="rId6443" display="https://www.inaturalist.org/observations/349116695"/>
    <hyperlink ref="H2182" r:id="rId6444" display="Deed - Attribution-NonCommercial 4.0 International - Creative Commons"/>
    <hyperlink ref="I2182" r:id="rId6445" display="https://www.inaturalist.org/observations/344010560"/>
    <hyperlink ref="H2183" r:id="rId6446" display="Deed - Attribution-NonCommercial 4.0 International - Creative Commons"/>
    <hyperlink ref="I2183" r:id="rId6447" display="https://www.inaturalist.org/observations/344010482"/>
    <hyperlink ref="H2184" r:id="rId6448" display="Deed - Attribution-NonCommercial 4.0 International - Creative Commons"/>
    <hyperlink ref="I2184" r:id="rId6449" display="https://www.inaturalist.org/observations/343226544"/>
    <hyperlink ref="H2185" r:id="rId6450" display="Deed - Attribution-NonCommercial 4.0 International - Creative Commons"/>
    <hyperlink ref="I2185" r:id="rId6451" display="https://www.inaturalist.org/observations/341220944"/>
    <hyperlink ref="H2186" r:id="rId6452" display="Deed - Attribution-NonCommercial 4.0 International - Creative Commons"/>
    <hyperlink ref="I2186" r:id="rId6453" display="https://www.inaturalist.org/observations/340892584"/>
    <hyperlink ref="H2187" r:id="rId6454" display="Deed - Attribution-NonCommercial 4.0 International - Creative Commons"/>
    <hyperlink ref="I2187" r:id="rId6455" display="https://www.inaturalist.org/observations/334655811"/>
    <hyperlink ref="H2188" r:id="rId6456" display="Deed - Attribution-NonCommercial 4.0 International - Creative Commons"/>
    <hyperlink ref="I2188" r:id="rId6457" display="https://www.inaturalist.org/observations/331358492"/>
    <hyperlink ref="H2189" r:id="rId6458" display="Deed - Attribution-NonCommercial 4.0 International - Creative Commons"/>
    <hyperlink ref="I2189" r:id="rId6459" display="https://www.inaturalist.org/observations/331249023"/>
    <hyperlink ref="H2190" r:id="rId6460" display="Deed - Attribution-NonCommercial 4.0 International - Creative Commons"/>
    <hyperlink ref="I2190" r:id="rId6461" display="https://www.inaturalist.org/observations/325681053"/>
    <hyperlink ref="H2191" r:id="rId6462" display="Deed - Attribution-NonCommercial 4.0 International - Creative Commons"/>
    <hyperlink ref="I2191" r:id="rId6463" display="https://www.inaturalist.org/observations/325054737"/>
    <hyperlink ref="H2192" r:id="rId6464" display="Deed - Attribution-NonCommercial 4.0 International - Creative Commons"/>
    <hyperlink ref="I2192" r:id="rId6465" display="https://www.inaturalist.org/observations/324551192"/>
    <hyperlink ref="H2193" r:id="rId6466" display="Deed - Attribution-NonCommercial 4.0 International - Creative Commons"/>
    <hyperlink ref="I2193" r:id="rId6467" display="https://www.inaturalist.org/observations/324396231"/>
    <hyperlink ref="H2194" r:id="rId6468" display="Deed - Attribution-NonCommercial 4.0 International - Creative Commons"/>
    <hyperlink ref="I2194" r:id="rId6469" display="https://www.inaturalist.org/observations/319282905"/>
    <hyperlink ref="H2195" r:id="rId6470" display="Deed - Attribution-NonCommercial 4.0 International - Creative Commons"/>
    <hyperlink ref="I2195" r:id="rId6471" display="https://www.inaturalist.org/observations/308301584"/>
    <hyperlink ref="H2196" r:id="rId6472" display="Deed - Attribution-NonCommercial 4.0 International - Creative Commons"/>
    <hyperlink ref="I2196" r:id="rId6473" display="https://www.inaturalist.org/observations/298279213"/>
    <hyperlink ref="H2197" r:id="rId6474" display="Deed - Attribution-NonCommercial 4.0 International - Creative Commons"/>
    <hyperlink ref="I2197" r:id="rId6475" display="https://www.inaturalist.org/observations/295741353"/>
    <hyperlink ref="H2198" r:id="rId6476" display="Deed - Attribution-NonCommercial 4.0 International - Creative Commons"/>
    <hyperlink ref="I2198" r:id="rId6477" display="https://www.inaturalist.org/observations/292881497"/>
    <hyperlink ref="H2199" r:id="rId6478" display="Deed - Attribution-NonCommercial 4.0 International - Creative Commons"/>
    <hyperlink ref="I2199" r:id="rId6479" display="https://www.inaturalist.org/observations/291617342"/>
    <hyperlink ref="H2200" r:id="rId6480" display="Deed - Attribution-NonCommercial 4.0 International - Creative Commons"/>
    <hyperlink ref="I2200" r:id="rId6481" display="https://www.inaturalist.org/observations/288984464"/>
    <hyperlink ref="H2201" r:id="rId6482" display="Deed - Attribution-NonCommercial 4.0 International - Creative Commons"/>
    <hyperlink ref="I2201" r:id="rId6483" display="https://www.inaturalist.org/observations/288259043"/>
    <hyperlink ref="H2202" r:id="rId6484" display="Deed - Attribution-NonCommercial 4.0 International - Creative Commons"/>
    <hyperlink ref="I2202" r:id="rId6485" display="https://www.inaturalist.org/observations/282169888"/>
    <hyperlink ref="H2203" r:id="rId6486" display="Deed - Attribution-NonCommercial 4.0 International - Creative Commons"/>
    <hyperlink ref="I2203" r:id="rId6487" display="https://www.inaturalist.org/observations/281548398"/>
    <hyperlink ref="H2204" r:id="rId6488" display="Deed - Attribution-NonCommercial 4.0 International - Creative Commons"/>
    <hyperlink ref="I2204" r:id="rId6489" display="https://www.inaturalist.org/observations/279257237"/>
    <hyperlink ref="H2205" r:id="rId6490" display="Deed - Attribution-NonCommercial 4.0 International - Creative Commons"/>
    <hyperlink ref="I2205" r:id="rId6491" display="https://www.inaturalist.org/observations/278729478"/>
    <hyperlink ref="H2206" r:id="rId6492" display="Deed - Attribution-NonCommercial 4.0 International - Creative Commons"/>
    <hyperlink ref="I2206" r:id="rId6493" display="https://www.inaturalist.org/observations/277915868"/>
    <hyperlink ref="H2207" r:id="rId6494" display="Deed - Attribution-NonCommercial 4.0 International - Creative Commons"/>
    <hyperlink ref="I2207" r:id="rId6495" display="https://www.inaturalist.org/observations/272222154"/>
    <hyperlink ref="H2208" r:id="rId6496" display="Deed - Attribution-NonCommercial 4.0 International - Creative Commons"/>
    <hyperlink ref="I2208" r:id="rId6497" display="https://www.inaturalist.org/observations/375876678"/>
    <hyperlink ref="H2209" r:id="rId6498" display="Deed - Attribution-NonCommercial 4.0 International - Creative Commons"/>
    <hyperlink ref="I2209" r:id="rId6499" display="https://www.inaturalist.org/observations/374454874"/>
    <hyperlink ref="H2210" r:id="rId6500" display="Deed - Attribution-NonCommercial 4.0 International - Creative Commons"/>
    <hyperlink ref="I2210" r:id="rId6501" display="https://www.inaturalist.org/observations/374454340"/>
    <hyperlink ref="H2211" r:id="rId6502" display="Deed - Attribution-NonCommercial 4.0 International - Creative Commons"/>
    <hyperlink ref="I2211" r:id="rId6503" display="https://www.inaturalist.org/observations/371496385"/>
    <hyperlink ref="H2212" r:id="rId6504" display="Deed - Attribution-NonCommercial 4.0 International - Creative Commons"/>
    <hyperlink ref="I2212" r:id="rId6505" display="https://www.inaturalist.org/observations/331613955"/>
    <hyperlink ref="H2213" r:id="rId6506" display="Deed - Attribution-NonCommercial 4.0 International - Creative Commons"/>
    <hyperlink ref="I2213" r:id="rId6507" display="https://www.inaturalist.org/observations/318755852"/>
    <hyperlink ref="H2214" r:id="rId6508" display="Deed - Attribution-NonCommercial 4.0 International - Creative Commons"/>
    <hyperlink ref="I2214" r:id="rId6509" display="https://www.inaturalist.org/observations/306334969"/>
    <hyperlink ref="H2215" r:id="rId6510" display="Deed - Attribution-NonCommercial 4.0 International - Creative Commons"/>
    <hyperlink ref="I2215" r:id="rId6511" display="https://www.inaturalist.org/observations/264578094"/>
    <hyperlink ref="H2216" r:id="rId6512" display="Deed - Attribution-NonCommercial 4.0 International - Creative Commons"/>
    <hyperlink ref="I2216" r:id="rId6513" display="https://www.inaturalist.org/observations/259021917"/>
    <hyperlink ref="H2217" r:id="rId6514" display="Deed - Attribution-NonCommercial 4.0 International - Creative Commons"/>
    <hyperlink ref="I2217" r:id="rId6515" display="https://www.inaturalist.org/observations/254670872"/>
    <hyperlink ref="H2218" r:id="rId6516" display="Deed - Attribution-NonCommercial 4.0 International - Creative Commons"/>
    <hyperlink ref="I2218" r:id="rId6517" display="https://www.inaturalist.org/observations/249911371"/>
    <hyperlink ref="H2219" r:id="rId6518" display="Deed - Attribution-NonCommercial 4.0 International - Creative Commons"/>
    <hyperlink ref="I2219" r:id="rId6519" display="https://www.inaturalist.org/observations/246903163"/>
    <hyperlink ref="H2220" r:id="rId6520" display="Deed - Attribution-NonCommercial 4.0 International - Creative Commons"/>
    <hyperlink ref="I2220" r:id="rId6521" display="https://www.inaturalist.org/observations/242615277"/>
    <hyperlink ref="H2221" r:id="rId6522" display="Deed - Attribution-NonCommercial 4.0 International - Creative Commons"/>
    <hyperlink ref="I2221" r:id="rId6523" display="https://www.inaturalist.org/observations/242279402"/>
    <hyperlink ref="H2222" r:id="rId6524" display="Deed - Attribution-NonCommercial 4.0 International - Creative Commons"/>
    <hyperlink ref="I2222" r:id="rId6525" display="https://www.inaturalist.org/observations/242223706"/>
    <hyperlink ref="H2223" r:id="rId6526" display="Deed - Attribution-NonCommercial 4.0 International - Creative Commons"/>
    <hyperlink ref="I2223" r:id="rId6527" display="https://www.inaturalist.org/observations/242141814"/>
    <hyperlink ref="H2224" r:id="rId6528" display="Deed - Attribution-NonCommercial 4.0 International - Creative Commons"/>
    <hyperlink ref="I2224" r:id="rId6529" display="https://www.inaturalist.org/observations/241589784"/>
    <hyperlink ref="H2225" r:id="rId6530" display="Deed - Attribution-NonCommercial 4.0 International - Creative Commons"/>
    <hyperlink ref="I2225" r:id="rId6531" display="https://www.inaturalist.org/observations/241354078"/>
    <hyperlink ref="H2226" r:id="rId6532" display="Deed - Attribution-NonCommercial 4.0 International - Creative Commons"/>
    <hyperlink ref="I2226" r:id="rId6533" display="https://www.inaturalist.org/observations/241346512"/>
    <hyperlink ref="H2227" r:id="rId6534" display="Deed - Attribution-NonCommercial 4.0 International - Creative Commons"/>
    <hyperlink ref="I2227" r:id="rId6535" display="https://www.inaturalist.org/observations/241341397"/>
    <hyperlink ref="H2228" r:id="rId6536" display="Deed - Attribution-NonCommercial 4.0 International - Creative Commons"/>
    <hyperlink ref="I2228" r:id="rId6537" display="https://www.inaturalist.org/observations/241327876"/>
    <hyperlink ref="H2229" r:id="rId6538" display="Deed - Attribution-NonCommercial 4.0 International - Creative Commons"/>
    <hyperlink ref="I2229" r:id="rId6539" display="https://www.inaturalist.org/observations/241300808"/>
    <hyperlink ref="H2230" r:id="rId6540" display="Deed - Attribution-NonCommercial 4.0 International - Creative Commons"/>
    <hyperlink ref="I2230" r:id="rId6541" display="https://www.inaturalist.org/observations/232068053"/>
    <hyperlink ref="H2231" r:id="rId6542" display="Deed - Attribution-NonCommercial 4.0 International - Creative Commons"/>
    <hyperlink ref="I2231" r:id="rId6543" display="https://www.inaturalist.org/observations/226966490"/>
    <hyperlink ref="H2232" r:id="rId6544" display="Deed - Attribution-NonCommercial 4.0 International - Creative Commons"/>
    <hyperlink ref="I2232" r:id="rId6545" display="https://www.inaturalist.org/observations/205533965"/>
    <hyperlink ref="H2233" r:id="rId6546" display="Deed - Attribution-NonCommercial 4.0 International - Creative Commons"/>
    <hyperlink ref="I2233" r:id="rId6547" display="https://www.inaturalist.org/observations/200825296"/>
    <hyperlink ref="H2234" r:id="rId6548" display="Deed - Attribution-NonCommercial 4.0 International - Creative Commons"/>
    <hyperlink ref="I2234" r:id="rId6549" display="https://www.inaturalist.org/observations/200825282"/>
    <hyperlink ref="H2235" r:id="rId6550" display="Deed - Attribution-NonCommercial 4.0 International - Creative Commons"/>
    <hyperlink ref="I2235" r:id="rId6551" display="https://www.inaturalist.org/observations/199641426"/>
    <hyperlink ref="H2236" r:id="rId6552" display="Deed - Attribution-NonCommercial 4.0 International - Creative Commons"/>
    <hyperlink ref="I2236" r:id="rId6553" display="https://www.inaturalist.org/observations/197745709"/>
    <hyperlink ref="H2237" r:id="rId6554" display="Deed - Attribution-NonCommercial 4.0 International - Creative Commons"/>
    <hyperlink ref="I2237" r:id="rId6555" display="https://www.inaturalist.org/observations/193430241"/>
    <hyperlink ref="H2238" r:id="rId6556" display="Deed - Attribution-NonCommercial 4.0 International - Creative Commons"/>
    <hyperlink ref="I2238" r:id="rId6557" display="https://www.inaturalist.org/observations/188862064"/>
    <hyperlink ref="H2239" r:id="rId6558" display="Deed - Attribution-NonCommercial 4.0 International - Creative Commons"/>
    <hyperlink ref="I2239" r:id="rId6559" display="https://www.inaturalist.org/observations/156512745"/>
    <hyperlink ref="H2240" r:id="rId6560" display="Deed - Attribution-NonCommercial 4.0 International - Creative Commons"/>
    <hyperlink ref="I2240" r:id="rId6561" display="https://www.inaturalist.org/observations/154056827"/>
    <hyperlink ref="H2241" r:id="rId6562" display="Deed - Attribution-NonCommercial 4.0 International - Creative Commons"/>
    <hyperlink ref="I2241" r:id="rId6563" display="https://www.inaturalist.org/observations/141008311"/>
    <hyperlink ref="H2242" r:id="rId6564" display="Deed - Attribution-NonCommercial 4.0 International - Creative Commons"/>
    <hyperlink ref="I2242" r:id="rId6565" display="https://www.inaturalist.org/observations/140953125"/>
    <hyperlink ref="H2243" r:id="rId6566" display="Deed - Attribution-NonCommercial 4.0 International - Creative Commons"/>
    <hyperlink ref="I2243" r:id="rId6567" display="https://www.inaturalist.org/observations/371328908"/>
    <hyperlink ref="H2244" r:id="rId6568" display="Deed - Attribution-NonCommercial 4.0 International - Creative Commons"/>
    <hyperlink ref="I2244" r:id="rId6569" display="https://www.inaturalist.org/observations/350099417"/>
    <hyperlink ref="H2245" r:id="rId6570" display="Deed - Attribution-NonCommercial 4.0 International - Creative Commons"/>
    <hyperlink ref="I2245" r:id="rId6571" display="https://www.inaturalist.org/observations/346512160"/>
    <hyperlink ref="H2246" r:id="rId6572" display="Deed - Attribution-NonCommercial 4.0 International - Creative Commons"/>
    <hyperlink ref="I2246" r:id="rId6573" display="https://www.inaturalist.org/observations/344683842"/>
    <hyperlink ref="H2247" r:id="rId6574" display="Deed - Attribution-NonCommercial 4.0 International - Creative Commons"/>
    <hyperlink ref="I2247" r:id="rId6575" display="https://www.inaturalist.org/observations/341642852"/>
    <hyperlink ref="H2248" r:id="rId6576" display="Deed - Attribution-NonCommercial 4.0 International - Creative Commons"/>
    <hyperlink ref="I2248" r:id="rId6577" display="https://www.inaturalist.org/observations/340847286"/>
    <hyperlink ref="H2249" r:id="rId6578" display="Deed - Attribution-NonCommercial 4.0 International - Creative Commons"/>
    <hyperlink ref="I2249" r:id="rId6579" display="https://www.inaturalist.org/observations/337613070"/>
    <hyperlink ref="H2250" r:id="rId6580" display="Deed - Attribution-NonCommercial 4.0 International - Creative Commons"/>
    <hyperlink ref="I2250" r:id="rId6581" display="https://www.inaturalist.org/observations/334905730"/>
    <hyperlink ref="H2251" r:id="rId6582" display="Deed - Attribution-NonCommercial 4.0 International - Creative Commons"/>
    <hyperlink ref="I2251" r:id="rId6583" display="https://www.inaturalist.org/observations/334835683"/>
    <hyperlink ref="H2252" r:id="rId6584" display="Deed - Attribution-NonCommercial 4.0 International - Creative Commons"/>
    <hyperlink ref="I2252" r:id="rId6585" display="https://www.inaturalist.org/observations/329225111"/>
    <hyperlink ref="H2253" r:id="rId6586" display="Deed - Attribution-NonCommercial 4.0 International - Creative Commons"/>
    <hyperlink ref="I2253" r:id="rId6587" display="https://www.inaturalist.org/observations/327432186"/>
    <hyperlink ref="H2254" r:id="rId6588" display="Deed - Attribution-NonCommercial 4.0 International - Creative Commons"/>
    <hyperlink ref="I2254" r:id="rId6589" display="https://www.inaturalist.org/observations/327432126"/>
    <hyperlink ref="H2255" r:id="rId6590" display="Deed - Attribution-NonCommercial 4.0 International - Creative Commons"/>
    <hyperlink ref="I2255" r:id="rId6591" display="https://www.inaturalist.org/observations/327432087"/>
    <hyperlink ref="H2256" r:id="rId6592" display="Deed - Attribution-NonCommercial 4.0 International - Creative Commons"/>
    <hyperlink ref="I2256" r:id="rId6593" display="https://www.inaturalist.org/observations/326699640"/>
    <hyperlink ref="H2257" r:id="rId6594" display="Deed - Attribution-NonCommercial 4.0 International - Creative Commons"/>
    <hyperlink ref="I2257" r:id="rId6595" display="https://www.inaturalist.org/observations/321520182"/>
    <hyperlink ref="H2258" r:id="rId6596" display="Deed - Attribution-NonCommercial 4.0 International - Creative Commons"/>
    <hyperlink ref="I2258" r:id="rId6597" display="https://www.inaturalist.org/observations/311776416"/>
    <hyperlink ref="H2259" r:id="rId6598" display="Deed - Attribution-NonCommercial 4.0 International - Creative Commons"/>
    <hyperlink ref="I2259" r:id="rId6599" display="https://www.inaturalist.org/observations/310765681"/>
    <hyperlink ref="H2260" r:id="rId6600" display="Deed - Attribution-NonCommercial 4.0 International - Creative Commons"/>
    <hyperlink ref="I2260" r:id="rId6601" display="https://www.inaturalist.org/observations/308030612"/>
    <hyperlink ref="H2261" r:id="rId6602" display="Deed - Attribution-NonCommercial 4.0 International - Creative Commons"/>
    <hyperlink ref="I2261" r:id="rId6603" display="https://www.inaturalist.org/observations/306120970"/>
    <hyperlink ref="H2262" r:id="rId6604" display="Deed - Attribution-NonCommercial 4.0 International - Creative Commons"/>
    <hyperlink ref="I2262" r:id="rId6605" display="https://www.inaturalist.org/observations/292536816"/>
    <hyperlink ref="H2263" r:id="rId6606" display="Deed - Attribution-NonCommercial 4.0 International - Creative Commons"/>
    <hyperlink ref="I2263" r:id="rId6607" display="https://www.inaturalist.org/observations/281272137"/>
    <hyperlink ref="H2264" r:id="rId6608" display="Deed - Attribution-NonCommercial 4.0 International - Creative Commons"/>
    <hyperlink ref="I2264" r:id="rId6609" display="https://www.inaturalist.org/observations/279558809"/>
    <hyperlink ref="H2265" r:id="rId6610" display="Deed - Attribution-NonCommercial 4.0 International - Creative Commons"/>
    <hyperlink ref="I2265" r:id="rId6611" display="https://www.inaturalist.org/observations/276724474"/>
    <hyperlink ref="H2266" r:id="rId6612" display="Deed - Attribution-NonCommercial 4.0 International - Creative Commons"/>
    <hyperlink ref="I2266" r:id="rId6613" display="https://www.inaturalist.org/observations/264575493"/>
    <hyperlink ref="H2267" r:id="rId6614" display="Deed - Attribution-NonCommercial 4.0 International - Creative Commons"/>
    <hyperlink ref="I2267" r:id="rId6615" display="https://www.inaturalist.org/observations/260725366"/>
    <hyperlink ref="H2268" r:id="rId6616" display="Deed - Attribution-NonCommercial 4.0 International - Creative Commons"/>
    <hyperlink ref="I2268" r:id="rId6617" display="https://www.inaturalist.org/observations/259128554"/>
    <hyperlink ref="H2269" r:id="rId6618" display="Deed - Attribution-NonCommercial 4.0 International - Creative Commons"/>
    <hyperlink ref="I2269" r:id="rId6619" display="https://www.inaturalist.org/observations/257708982"/>
    <hyperlink ref="H2270" r:id="rId6620" display="Deed - Attribution-NonCommercial 4.0 International - Creative Commons"/>
    <hyperlink ref="I2270" r:id="rId6621" display="https://www.inaturalist.org/observations/255488766"/>
    <hyperlink ref="H2271" r:id="rId6622" display="Deed - Attribution-NonCommercial 4.0 International - Creative Commons"/>
    <hyperlink ref="I2271" r:id="rId6623" display="https://www.inaturalist.org/observations/254122952"/>
    <hyperlink ref="H2272" r:id="rId6624" display="Deed - Attribution-NonCommercial 4.0 International - Creative Commons"/>
    <hyperlink ref="I2272" r:id="rId6625" display="https://www.inaturalist.org/observations/249211213"/>
    <hyperlink ref="H2273" r:id="rId6626" display="Deed - Attribution-NonCommercial 4.0 International - Creative Commons"/>
    <hyperlink ref="I2273" r:id="rId6627" display="https://www.inaturalist.org/observations/240357123"/>
    <hyperlink ref="H2274" r:id="rId6628" display="Deed - Attribution-NonCommercial 4.0 International - Creative Commons"/>
    <hyperlink ref="I2274" r:id="rId6629" display="https://www.inaturalist.org/observations/234804856"/>
    <hyperlink ref="H2275" r:id="rId6630" display="Deed - Attribution-NonCommercial 4.0 International - Creative Commons"/>
    <hyperlink ref="I2275" r:id="rId6631" display="https://www.inaturalist.org/observations/228653613"/>
    <hyperlink ref="H2276" r:id="rId6632" display="Deed - Attribution-NonCommercial 4.0 International - Creative Commons"/>
    <hyperlink ref="I2276" r:id="rId6633" display="https://www.inaturalist.org/observations/228560944"/>
    <hyperlink ref="H2277" r:id="rId6634" display="Deed - Attribution-NonCommercial 4.0 International - Creative Commons"/>
    <hyperlink ref="I2277" r:id="rId6635" display="https://www.inaturalist.org/observations/221173234"/>
    <hyperlink ref="H2278" r:id="rId6636" display="Deed - Attribution-NonCommercial 4.0 International - Creative Commons"/>
    <hyperlink ref="I2278" r:id="rId6637" display="https://www.inaturalist.org/observations/369922516"/>
    <hyperlink ref="H2279" r:id="rId6638" display="Deed - Attribution-NonCommercial 4.0 International - Creative Commons"/>
    <hyperlink ref="I2279" r:id="rId6639" display="https://www.inaturalist.org/observations/368910281"/>
    <hyperlink ref="H2280" r:id="rId6640" display="Deed - Attribution-NonCommercial 4.0 International - Creative Commons"/>
    <hyperlink ref="I2280" r:id="rId6641" display="https://www.inaturalist.org/observations/366191861"/>
    <hyperlink ref="H2281" r:id="rId6642" display="Deed - Attribution-NonCommercial 4.0 International - Creative Commons"/>
    <hyperlink ref="I2281" r:id="rId6643" display="https://www.inaturalist.org/observations/365591083"/>
    <hyperlink ref="H2282" r:id="rId6644" display="Deed - Attribution-NonCommercial 4.0 International - Creative Commons"/>
    <hyperlink ref="I2282" r:id="rId6645" display="https://www.inaturalist.org/observations/362202015"/>
    <hyperlink ref="H2283" r:id="rId6646" display="Deed - Attribution-NonCommercial 4.0 International - Creative Commons"/>
    <hyperlink ref="I2283" r:id="rId6647" display="https://www.inaturalist.org/observations/352075358"/>
    <hyperlink ref="H2284" r:id="rId6648" display="Deed - Attribution-NonCommercial 4.0 International - Creative Commons"/>
    <hyperlink ref="I2284" r:id="rId6649" display="https://www.inaturalist.org/observations/341997524"/>
    <hyperlink ref="H2285" r:id="rId6650" display="Deed - Attribution-NonCommercial 4.0 International - Creative Commons"/>
    <hyperlink ref="I2285" r:id="rId6651" display="https://www.inaturalist.org/observations/336886552"/>
    <hyperlink ref="H2286" r:id="rId6652" display="Deed - Attribution-NonCommercial 4.0 International - Creative Commons"/>
    <hyperlink ref="I2286" r:id="rId6653" display="https://www.inaturalist.org/observations/332614332"/>
    <hyperlink ref="H2287" r:id="rId6654" display="Deed - Attribution-NonCommercial 4.0 International - Creative Commons"/>
    <hyperlink ref="I2287" r:id="rId6655" display="https://www.inaturalist.org/observations/327045977"/>
    <hyperlink ref="H2288" r:id="rId6656" display="Deed - Attribution-NonCommercial 4.0 International - Creative Commons"/>
    <hyperlink ref="I2288" r:id="rId6657" display="https://www.inaturalist.org/observations/320411568"/>
    <hyperlink ref="H2289" r:id="rId6658" display="Deed - Attribution-NonCommercial 4.0 International - Creative Commons"/>
    <hyperlink ref="I2289" r:id="rId6659" display="https://www.inaturalist.org/observations/316954730"/>
    <hyperlink ref="H2290" r:id="rId6660" display="Deed - Attribution-NonCommercial 4.0 International - Creative Commons"/>
    <hyperlink ref="I2290" r:id="rId6661" display="https://www.inaturalist.org/observations/310513207"/>
    <hyperlink ref="H2291" r:id="rId6662" display="Deed - Attribution-NonCommercial 4.0 International - Creative Commons"/>
    <hyperlink ref="I2291" r:id="rId6663" display="https://www.inaturalist.org/observations/299310937"/>
    <hyperlink ref="H2292" r:id="rId6664" display="Deed - Attribution-NonCommercial 4.0 International - Creative Commons"/>
    <hyperlink ref="I2292" r:id="rId6665" display="https://www.inaturalist.org/observations/298583232"/>
    <hyperlink ref="H2293" r:id="rId6666" display="Deed - Attribution-NonCommercial 4.0 International - Creative Commons"/>
    <hyperlink ref="I2293" r:id="rId6667" display="https://www.inaturalist.org/observations/284597309"/>
    <hyperlink ref="H2294" r:id="rId6668" display="Deed - Attribution-NonCommercial 4.0 International - Creative Commons"/>
    <hyperlink ref="I2294" r:id="rId6669" display="https://www.inaturalist.org/observations/254619898"/>
    <hyperlink ref="H2295" r:id="rId6670" display="Deed - Attribution-NonCommercial 4.0 International - Creative Commons"/>
    <hyperlink ref="I2295" r:id="rId6671" display="https://www.inaturalist.org/observations/253820424"/>
    <hyperlink ref="H2296" r:id="rId6672" display="Deed - Attribution-NonCommercial 4.0 International - Creative Commons"/>
    <hyperlink ref="I2296" r:id="rId6673" display="https://www.inaturalist.org/observations/253791018"/>
    <hyperlink ref="H2297" r:id="rId6674" display="Deed - Attribution-NonCommercial 4.0 International - Creative Commons"/>
    <hyperlink ref="I2297" r:id="rId6675" display="https://www.inaturalist.org/observations/247175904"/>
    <hyperlink ref="H2298" r:id="rId6676" display="Deed - Attribution-NonCommercial 4.0 International - Creative Commons"/>
    <hyperlink ref="I2298" r:id="rId6677" display="https://www.inaturalist.org/observations/240852516"/>
    <hyperlink ref="H2299" r:id="rId6678" display="Deed - Attribution-NonCommercial 4.0 International - Creative Commons"/>
    <hyperlink ref="I2299" r:id="rId6679" display="https://www.inaturalist.org/observations/239864399"/>
    <hyperlink ref="H2300" r:id="rId6680" display="Deed - Attribution-NonCommercial 4.0 International - Creative Commons"/>
    <hyperlink ref="I2300" r:id="rId6681" display="https://www.inaturalist.org/observations/196481124"/>
    <hyperlink ref="H2301" r:id="rId6682" display="Deed - Attribution-NonCommercial 4.0 International - Creative Commons"/>
    <hyperlink ref="I2301" r:id="rId6683" display="https://www.inaturalist.org/observations/186382456"/>
    <hyperlink ref="H2302" r:id="rId6684" display="Deed - Attribution-NonCommercial 4.0 International - Creative Commons"/>
    <hyperlink ref="I2302" r:id="rId6685" display="https://www.inaturalist.org/observations/179987397"/>
    <hyperlink ref="H2303" r:id="rId6686" display="Deed - Attribution-NonCommercial 4.0 International - Creative Commons"/>
    <hyperlink ref="I2303" r:id="rId6687" display="https://www.inaturalist.org/observations/155534186"/>
    <hyperlink ref="H2304" r:id="rId6688" display="Deed - Attribution-NonCommercial 4.0 International - Creative Commons"/>
    <hyperlink ref="I2304" r:id="rId6689" display="https://www.inaturalist.org/observations/152667260"/>
    <hyperlink ref="H2305" r:id="rId6690" display="Deed - Attribution-NonCommercial 4.0 International - Creative Commons"/>
    <hyperlink ref="I2305" r:id="rId6691" display="https://www.inaturalist.org/observations/149618814"/>
    <hyperlink ref="H2306" r:id="rId6692" display="Deed - Attribution-NonCommercial 4.0 International - Creative Commons"/>
    <hyperlink ref="I2306" r:id="rId6693" display="https://www.inaturalist.org/observations/148561612"/>
    <hyperlink ref="H2307" r:id="rId6694" display="Deed - Attribution-NonCommercial 4.0 International - Creative Commons"/>
    <hyperlink ref="I2307" r:id="rId6695" display="https://www.inaturalist.org/observations/144030670"/>
    <hyperlink ref="H2308" r:id="rId6696" display="Deed - Attribution-NonCommercial 4.0 International - Creative Commons"/>
    <hyperlink ref="I2308" r:id="rId6697" display="https://www.inaturalist.org/observations/129348360"/>
    <hyperlink ref="H2309" r:id="rId6698" display="Deed - Attribution-NonCommercial 4.0 International - Creative Commons"/>
    <hyperlink ref="I2309" r:id="rId6699" display="https://www.inaturalist.org/observations/91179061"/>
    <hyperlink ref="H2310" r:id="rId6700" display="Deed - Attribution-NonCommercial 4.0 International - Creative Commons"/>
    <hyperlink ref="I2310" r:id="rId6701" display="https://www.inaturalist.org/observations/79596657"/>
    <hyperlink ref="H2311" r:id="rId6702" display="Deed - Attribution-NonCommercial 4.0 International - Creative Commons"/>
    <hyperlink ref="I2311" r:id="rId6703" display="https://www.inaturalist.org/observations/35435381"/>
    <hyperlink ref="H2312" r:id="rId6704" display="Deed - Attribution-NonCommercial 4.0 International - Creative Commons"/>
    <hyperlink ref="I2312" r:id="rId6705" display="https://www.inaturalist.org/observations/7509653"/>
    <hyperlink ref="H2313" r:id="rId6706" display="Deed - Attribution-NonCommercial 4.0 International - Creative Commons"/>
    <hyperlink ref="I2313" r:id="rId6707" display="https://www.inaturalist.org/observations/369906594"/>
    <hyperlink ref="H2314" r:id="rId6708" display="Deed - Attribution-NonCommercial 4.0 International - Creative Commons"/>
    <hyperlink ref="I2314" r:id="rId6709" display="https://www.inaturalist.org/observations/362622088"/>
    <hyperlink ref="H2315" r:id="rId6710" display="Deed - Attribution-NonCommercial 4.0 International - Creative Commons"/>
    <hyperlink ref="I2315" r:id="rId6711" display="https://www.inaturalist.org/observations/360870717"/>
    <hyperlink ref="H2316" r:id="rId6712" display="Deed - Attribution-NonCommercial 4.0 International - Creative Commons"/>
    <hyperlink ref="I2316" r:id="rId6713" display="https://www.inaturalist.org/observations/342849918"/>
    <hyperlink ref="H2317" r:id="rId6714" display="Deed - Attribution-NonCommercial 4.0 International - Creative Commons"/>
    <hyperlink ref="I2317" r:id="rId6715" display="https://www.inaturalist.org/observations/334048992"/>
    <hyperlink ref="H2318" r:id="rId6716" display="Deed - Attribution-NonCommercial 4.0 International - Creative Commons"/>
    <hyperlink ref="I2318" r:id="rId6717" display="https://www.inaturalist.org/observations/333386608"/>
    <hyperlink ref="H2319" r:id="rId6718" display="Deed - Attribution-NonCommercial 4.0 International - Creative Commons"/>
    <hyperlink ref="I2319" r:id="rId6719" display="https://www.inaturalist.org/observations/332383630"/>
    <hyperlink ref="H2320" r:id="rId6720" display="Deed - Attribution-NonCommercial 4.0 International - Creative Commons"/>
    <hyperlink ref="I2320" r:id="rId6721" display="https://www.inaturalist.org/observations/330532598"/>
    <hyperlink ref="H2321" r:id="rId6722" display="Deed - Attribution-NonCommercial 4.0 International - Creative Commons"/>
    <hyperlink ref="I2321" r:id="rId6723" display="https://www.inaturalist.org/observations/330529108"/>
    <hyperlink ref="H2322" r:id="rId6724" display="Deed - Attribution-NonCommercial 4.0 International - Creative Commons"/>
    <hyperlink ref="I2322" r:id="rId6725" display="https://www.inaturalist.org/observations/329388435"/>
    <hyperlink ref="H2323" r:id="rId6726" display="Deed - Attribution-NonCommercial 4.0 International - Creative Commons"/>
    <hyperlink ref="I2323" r:id="rId6727" display="https://www.inaturalist.org/observations/329149818"/>
    <hyperlink ref="H2324" r:id="rId6728" display="Deed - Attribution-NonCommercial 4.0 International - Creative Commons"/>
    <hyperlink ref="I2324" r:id="rId6729" display="https://www.inaturalist.org/observations/319229138"/>
    <hyperlink ref="H2325" r:id="rId6730" display="Deed - Attribution-NonCommercial 4.0 International - Creative Commons"/>
    <hyperlink ref="I2325" r:id="rId6731" display="https://www.inaturalist.org/observations/318614067"/>
    <hyperlink ref="H2326" r:id="rId6732" display="Deed - Attribution-NonCommercial 4.0 International - Creative Commons"/>
    <hyperlink ref="I2326" r:id="rId6733" display="https://www.inaturalist.org/observations/318528997"/>
    <hyperlink ref="H2327" r:id="rId6734" display="Deed - Attribution-NonCommercial 4.0 International - Creative Commons"/>
    <hyperlink ref="I2327" r:id="rId6735" display="https://www.inaturalist.org/observations/318528996"/>
    <hyperlink ref="H2328" r:id="rId6736" display="Deed - Attribution-NonCommercial 4.0 International - Creative Commons"/>
    <hyperlink ref="I2328" r:id="rId6737" display="https://www.inaturalist.org/observations/318198155"/>
    <hyperlink ref="H2329" r:id="rId6738" display="Deed - Attribution-NonCommercial 4.0 International - Creative Commons"/>
    <hyperlink ref="I2329" r:id="rId6739" display="https://www.inaturalist.org/observations/317538366"/>
    <hyperlink ref="H2330" r:id="rId6740" display="Deed - Attribution-NonCommercial 4.0 International - Creative Commons"/>
    <hyperlink ref="I2330" r:id="rId6741" display="https://www.inaturalist.org/observations/293122938"/>
    <hyperlink ref="H2331" r:id="rId6742" display="Deed - Attribution-NonCommercial 4.0 International - Creative Commons"/>
    <hyperlink ref="I2331" r:id="rId6743" display="https://www.inaturalist.org/observations/284159189"/>
    <hyperlink ref="H2332" r:id="rId6744" display="Deed - Attribution-NonCommercial 4.0 International - Creative Commons"/>
    <hyperlink ref="I2332" r:id="rId6745" display="https://www.inaturalist.org/observations/282693630"/>
    <hyperlink ref="H2333" r:id="rId6746" display="Deed - Attribution-NonCommercial 4.0 International - Creative Commons"/>
    <hyperlink ref="I2333" r:id="rId6747" display="https://www.inaturalist.org/observations/278631516"/>
    <hyperlink ref="H2334" r:id="rId6748" display="Deed - Attribution-NonCommercial 4.0 International - Creative Commons"/>
    <hyperlink ref="I2334" r:id="rId6749" display="https://www.inaturalist.org/observations/274449676"/>
    <hyperlink ref="H2335" r:id="rId6750" display="Deed - Attribution-NonCommercial 4.0 International - Creative Commons"/>
    <hyperlink ref="I2335" r:id="rId6751" display="https://www.inaturalist.org/observations/271806277"/>
    <hyperlink ref="H2336" r:id="rId6752" display="Deed - Attribution-NonCommercial 4.0 International - Creative Commons"/>
    <hyperlink ref="I2336" r:id="rId6753" display="https://www.inaturalist.org/observations/265918412"/>
    <hyperlink ref="H2337" r:id="rId6754" display="Deed - Attribution-NonCommercial 4.0 International - Creative Commons"/>
    <hyperlink ref="I2337" r:id="rId6755" display="https://www.inaturalist.org/observations/261471444"/>
    <hyperlink ref="H2338" r:id="rId6756" display="Deed - Attribution-NonCommercial 4.0 International - Creative Commons"/>
    <hyperlink ref="I2338" r:id="rId6757" display="https://www.inaturalist.org/observations/261340432"/>
    <hyperlink ref="H2339" r:id="rId6758" display="Deed - Attribution-NonCommercial 4.0 International - Creative Commons"/>
    <hyperlink ref="I2339" r:id="rId6759" display="https://www.inaturalist.org/observations/259107470"/>
    <hyperlink ref="H2340" r:id="rId6760" display="Deed - Attribution-NonCommercial 4.0 International - Creative Commons"/>
    <hyperlink ref="I2340" r:id="rId6761" display="https://www.inaturalist.org/observations/258323524"/>
    <hyperlink ref="H2341" r:id="rId6762" display="Deed - Attribution-NonCommercial 4.0 International - Creative Commons"/>
    <hyperlink ref="I2341" r:id="rId6763" display="https://www.inaturalist.org/observations/257942957"/>
    <hyperlink ref="H2342" r:id="rId6764" display="Deed - Attribution-NonCommercial 4.0 International - Creative Commons"/>
    <hyperlink ref="I2342" r:id="rId6765" display="https://www.inaturalist.org/observations/257288103"/>
    <hyperlink ref="H2343" r:id="rId6766" display="Deed - Attribution-NonCommercial 4.0 International - Creative Commons"/>
    <hyperlink ref="I2343" r:id="rId6767" display="https://www.inaturalist.org/observations/255345313"/>
    <hyperlink ref="H2344" r:id="rId6768" display="Deed - Attribution-NonCommercial 4.0 International - Creative Commons"/>
    <hyperlink ref="I2344" r:id="rId6769" display="https://www.inaturalist.org/observations/253775506"/>
    <hyperlink ref="H2345" r:id="rId6770" display="Deed - Attribution-NonCommercial 4.0 International - Creative Commons"/>
    <hyperlink ref="I2345" r:id="rId6771" display="https://www.inaturalist.org/observations/253476242"/>
    <hyperlink ref="H2346" r:id="rId6772" display="Deed - Attribution-NonCommercial 4.0 International - Creative Commons"/>
    <hyperlink ref="I2346" r:id="rId6773" display="https://www.inaturalist.org/observations/252237864"/>
    <hyperlink ref="H2347" r:id="rId6774" display="Deed - Attribution-NonCommercial 4.0 International - Creative Commons"/>
    <hyperlink ref="I2347" r:id="rId6775" display="https://www.inaturalist.org/observations/251879534"/>
    <hyperlink ref="H2348" r:id="rId6776" display="Deed - Attribution-NonCommercial 4.0 International - Creative Commons"/>
    <hyperlink ref="I2348" r:id="rId6777" display="https://www.inaturalist.org/observations/381657336"/>
    <hyperlink ref="H2349" r:id="rId6778" display="Deed - Attribution-NonCommercial 4.0 International - Creative Commons"/>
    <hyperlink ref="I2349" r:id="rId6779" display="https://www.inaturalist.org/observations/375052143"/>
    <hyperlink ref="H2350" r:id="rId6780" display="Deed - Attribution-NonCommercial 4.0 International - Creative Commons"/>
    <hyperlink ref="I2350" r:id="rId6781" display="https://www.inaturalist.org/observations/367318595"/>
    <hyperlink ref="H2351" r:id="rId6782" display="Deed - Attribution-NonCommercial 4.0 International - Creative Commons"/>
    <hyperlink ref="I2351" r:id="rId6783" display="https://www.inaturalist.org/observations/349908036"/>
    <hyperlink ref="H2352" r:id="rId6784" display="Deed - Attribution-NonCommercial 4.0 International - Creative Commons"/>
    <hyperlink ref="I2352" r:id="rId6785" display="https://www.inaturalist.org/observations/341158265"/>
    <hyperlink ref="H2353" r:id="rId6786" display="Deed - Attribution-NonCommercial 4.0 International - Creative Commons"/>
    <hyperlink ref="I2353" r:id="rId6787" display="https://www.inaturalist.org/observations/335824362"/>
    <hyperlink ref="H2354" r:id="rId6788" display="Deed - Attribution-NonCommercial 4.0 International - Creative Commons"/>
    <hyperlink ref="I2354" r:id="rId6789" display="https://www.inaturalist.org/observations/329332206"/>
    <hyperlink ref="H2355" r:id="rId6790" display="Deed - Attribution-NonCommercial 4.0 International - Creative Commons"/>
    <hyperlink ref="I2355" r:id="rId6791" display="https://www.inaturalist.org/observations/327969111"/>
    <hyperlink ref="H2356" r:id="rId6792" display="Deed - Attribution-NonCommercial 4.0 International - Creative Commons"/>
    <hyperlink ref="I2356" r:id="rId6793" display="https://www.inaturalist.org/observations/315951602"/>
    <hyperlink ref="H2357" r:id="rId6794" display="Deed - Attribution-NonCommercial 4.0 International - Creative Commons"/>
    <hyperlink ref="I2357" r:id="rId6795" display="https://www.inaturalist.org/observations/306418232"/>
    <hyperlink ref="H2358" r:id="rId6796" display="Deed - Attribution-NonCommercial 4.0 International - Creative Commons"/>
    <hyperlink ref="I2358" r:id="rId6797" display="https://www.inaturalist.org/observations/302743315"/>
    <hyperlink ref="H2359" r:id="rId6798" display="Deed - Attribution-NonCommercial 4.0 International - Creative Commons"/>
    <hyperlink ref="I2359" r:id="rId6799" display="https://www.inaturalist.org/observations/285619275"/>
    <hyperlink ref="H2360" r:id="rId6800" display="Deed - Attribution-NonCommercial 4.0 International - Creative Commons"/>
    <hyperlink ref="I2360" r:id="rId6801" display="https://www.inaturalist.org/observations/266049761"/>
    <hyperlink ref="H2361" r:id="rId6802" display="Deed - Attribution-NonCommercial 4.0 International - Creative Commons"/>
    <hyperlink ref="I2361" r:id="rId6803" display="https://www.inaturalist.org/observations/260471391"/>
    <hyperlink ref="H2362" r:id="rId6804" display="Deed - Attribution-NonCommercial 4.0 International - Creative Commons"/>
    <hyperlink ref="I2362" r:id="rId6805" display="https://www.inaturalist.org/observations/259182676"/>
    <hyperlink ref="H2363" r:id="rId6806" display="Deed - Attribution-NonCommercial 4.0 International - Creative Commons"/>
    <hyperlink ref="I2363" r:id="rId6807" display="https://www.inaturalist.org/observations/256427337"/>
    <hyperlink ref="H2364" r:id="rId6808" display="Deed - Attribution-NonCommercial 4.0 International - Creative Commons"/>
    <hyperlink ref="I2364" r:id="rId6809" display="https://www.inaturalist.org/observations/253463612"/>
    <hyperlink ref="H2365" r:id="rId6810" display="Deed - Attribution-NonCommercial 4.0 International - Creative Commons"/>
    <hyperlink ref="I2365" r:id="rId6811" display="https://www.inaturalist.org/observations/233420247"/>
    <hyperlink ref="H2366" r:id="rId6812" display="Deed - Attribution-NonCommercial 4.0 International - Creative Commons"/>
    <hyperlink ref="I2366" r:id="rId6813" display="https://www.inaturalist.org/observations/231701547"/>
    <hyperlink ref="H2367" r:id="rId6814" display="Deed - Attribution-NonCommercial 4.0 International - Creative Commons"/>
    <hyperlink ref="I2367" r:id="rId6815" display="https://www.inaturalist.org/observations/230888870"/>
    <hyperlink ref="H2368" r:id="rId6816" display="Deed - Attribution-NonCommercial 4.0 International - Creative Commons"/>
    <hyperlink ref="I2368" r:id="rId6817" display="https://www.inaturalist.org/observations/230680210"/>
    <hyperlink ref="H2369" r:id="rId6818" display="Deed - Attribution-NonCommercial 4.0 International - Creative Commons"/>
    <hyperlink ref="I2369" r:id="rId6819" display="https://www.inaturalist.org/observations/230680141"/>
    <hyperlink ref="H2370" r:id="rId6820" display="Deed - Attribution-NonCommercial 4.0 International - Creative Commons"/>
    <hyperlink ref="I2370" r:id="rId6821" display="https://www.inaturalist.org/observations/227670910"/>
    <hyperlink ref="H2371" r:id="rId6822" display="Deed - Attribution-NonCommercial 4.0 International - Creative Commons"/>
    <hyperlink ref="I2371" r:id="rId6823" display="https://www.inaturalist.org/observations/216217082"/>
    <hyperlink ref="H2372" r:id="rId6824" display="Deed - Attribution-NonCommercial 4.0 International - Creative Commons"/>
    <hyperlink ref="I2372" r:id="rId6825" display="https://www.inaturalist.org/observations/201744302"/>
    <hyperlink ref="H2373" r:id="rId6826" display="Deed - Attribution-NonCommercial 4.0 International - Creative Commons"/>
    <hyperlink ref="I2373" r:id="rId6827" display="https://www.inaturalist.org/observations/200478050"/>
    <hyperlink ref="H2374" r:id="rId6828" display="Deed - Attribution-NonCommercial 4.0 International - Creative Commons"/>
    <hyperlink ref="I2374" r:id="rId6829" display="https://www.inaturalist.org/observations/197924890"/>
    <hyperlink ref="H2375" r:id="rId6830" display="Deed - Attribution-NonCommercial 4.0 International - Creative Commons"/>
    <hyperlink ref="I2375" r:id="rId6831" display="https://www.inaturalist.org/observations/197924889"/>
    <hyperlink ref="H2376" r:id="rId6832" display="Deed - Attribution-NonCommercial 4.0 International - Creative Commons"/>
    <hyperlink ref="I2376" r:id="rId6833" display="https://www.inaturalist.org/observations/197061983"/>
    <hyperlink ref="H2377" r:id="rId6834" display="Deed - Attribution-NonCommercial 4.0 International - Creative Commons"/>
    <hyperlink ref="I2377" r:id="rId6835" display="https://www.inaturalist.org/observations/195771364"/>
    <hyperlink ref="H2378" r:id="rId6836" display="Deed - Attribution-NonCommercial 4.0 International - Creative Commons"/>
    <hyperlink ref="I2378" r:id="rId6837" display="https://www.inaturalist.org/observations/179061810"/>
    <hyperlink ref="H2379" r:id="rId6838" display="Deed - Attribution-NonCommercial 4.0 International - Creative Commons"/>
    <hyperlink ref="I2379" r:id="rId6839" display="https://www.inaturalist.org/observations/175286213"/>
    <hyperlink ref="H2380" r:id="rId6840" display="Deed - Attribution-NonCommercial 4.0 International - Creative Commons"/>
    <hyperlink ref="I2380" r:id="rId6841" display="https://www.inaturalist.org/observations/154712487"/>
    <hyperlink ref="H2381" r:id="rId6842" display="Deed - Attribution-NonCommercial 4.0 International - Creative Commons"/>
    <hyperlink ref="I2381" r:id="rId6843" display="https://www.inaturalist.org/observations/152635921"/>
    <hyperlink ref="H2382" r:id="rId6844" display="Deed - Attribution-NonCommercial 4.0 International - Creative Commons"/>
    <hyperlink ref="I2382" r:id="rId6845" display="https://www.inaturalist.org/observations/147444063"/>
    <hyperlink ref="H2383" r:id="rId6846" display="Deed - Attribution-NonCommercial 4.0 International - Creative Commons"/>
    <hyperlink ref="I2383" r:id="rId6847" display="https://www.inaturalist.org/observations/377098518"/>
    <hyperlink ref="H2384" r:id="rId6848" display="Deed - Attribution-NonCommercial 4.0 International - Creative Commons"/>
    <hyperlink ref="I2384" r:id="rId6849" display="https://www.inaturalist.org/observations/371834204"/>
    <hyperlink ref="H2385" r:id="rId6850" display="Deed - Attribution-NonCommercial 4.0 International - Creative Commons"/>
    <hyperlink ref="I2385" r:id="rId6851" display="https://www.inaturalist.org/observations/348092686"/>
    <hyperlink ref="H2386" r:id="rId6852" display="Deed - Attribution-NonCommercial 4.0 International - Creative Commons"/>
    <hyperlink ref="I2386" r:id="rId6853" display="https://www.inaturalist.org/observations/348083595"/>
    <hyperlink ref="H2387" r:id="rId6854" display="Deed - Attribution-NonCommercial 4.0 International - Creative Commons"/>
    <hyperlink ref="I2387" r:id="rId6855" display="https://www.inaturalist.org/observations/347479037"/>
    <hyperlink ref="H2388" r:id="rId6856" display="Deed - Attribution-NonCommercial 4.0 International - Creative Commons"/>
    <hyperlink ref="I2388" r:id="rId6857" display="https://www.inaturalist.org/observations/340678202"/>
    <hyperlink ref="H2389" r:id="rId6858" display="Deed - Attribution-NonCommercial 4.0 International - Creative Commons"/>
    <hyperlink ref="I2389" r:id="rId6859" display="https://www.inaturalist.org/observations/339159013"/>
    <hyperlink ref="H2390" r:id="rId6860" display="Deed - Attribution-NonCommercial 4.0 International - Creative Commons"/>
    <hyperlink ref="I2390" r:id="rId6861" display="https://www.inaturalist.org/observations/338670985"/>
    <hyperlink ref="H2391" r:id="rId6862" display="Deed - Attribution-NonCommercial 4.0 International - Creative Commons"/>
    <hyperlink ref="I2391" r:id="rId6863" display="https://www.inaturalist.org/observations/334934078"/>
    <hyperlink ref="H2392" r:id="rId6864" display="Deed - Attribution-NonCommercial 4.0 International - Creative Commons"/>
    <hyperlink ref="I2392" r:id="rId6865" display="https://www.inaturalist.org/observations/334598674"/>
    <hyperlink ref="H2393" r:id="rId6866" display="Deed - Attribution-NonCommercial 4.0 International - Creative Commons"/>
    <hyperlink ref="I2393" r:id="rId6867" display="https://www.inaturalist.org/observations/334597984"/>
    <hyperlink ref="H2394" r:id="rId6868" display="Deed - Attribution-NonCommercial 4.0 International - Creative Commons"/>
    <hyperlink ref="I2394" r:id="rId6869" display="https://www.inaturalist.org/observations/331833517"/>
    <hyperlink ref="H2395" r:id="rId6870" display="Deed - Attribution-NonCommercial 4.0 International - Creative Commons"/>
    <hyperlink ref="I2395" r:id="rId6871" display="https://www.inaturalist.org/observations/331832376"/>
    <hyperlink ref="H2396" r:id="rId6872" display="Deed - Attribution-NonCommercial 4.0 International - Creative Commons"/>
    <hyperlink ref="I2396" r:id="rId6873" display="https://www.inaturalist.org/observations/331832048"/>
    <hyperlink ref="H2397" r:id="rId6874" display="Deed - Attribution-NonCommercial 4.0 International - Creative Commons"/>
    <hyperlink ref="I2397" r:id="rId6875" display="https://www.inaturalist.org/observations/331831783"/>
    <hyperlink ref="H2398" r:id="rId6876" display="Deed - Attribution-NonCommercial 4.0 International - Creative Commons"/>
    <hyperlink ref="I2398" r:id="rId6877" display="https://www.inaturalist.org/observations/331828973"/>
    <hyperlink ref="H2399" r:id="rId6878" display="Deed - Attribution-NonCommercial 4.0 International - Creative Commons"/>
    <hyperlink ref="I2399" r:id="rId6879" display="https://www.inaturalist.org/observations/331828794"/>
    <hyperlink ref="H2400" r:id="rId6880" display="Deed - Attribution-NonCommercial 4.0 International - Creative Commons"/>
    <hyperlink ref="I2400" r:id="rId6881" display="https://www.inaturalist.org/observations/331697803"/>
    <hyperlink ref="H2401" r:id="rId6882" display="Deed - Attribution-NonCommercial 4.0 International - Creative Commons"/>
    <hyperlink ref="I2401" r:id="rId6883" display="https://www.inaturalist.org/observations/331697128"/>
    <hyperlink ref="H2402" r:id="rId6884" display="Deed - Attribution-NonCommercial 4.0 International - Creative Commons"/>
    <hyperlink ref="I2402" r:id="rId6885" display="https://www.inaturalist.org/observations/331217627"/>
    <hyperlink ref="H2403" r:id="rId6886" display="Deed - Attribution-NonCommercial 4.0 International - Creative Commons"/>
    <hyperlink ref="I2403" r:id="rId6887" display="https://www.inaturalist.org/observations/331215876"/>
    <hyperlink ref="H2404" r:id="rId6888" display="Deed - Attribution-NonCommercial 4.0 International - Creative Commons"/>
    <hyperlink ref="I2404" r:id="rId6889" display="https://www.inaturalist.org/observations/331215850"/>
    <hyperlink ref="H2405" r:id="rId6890" display="Deed - Attribution-NonCommercial 4.0 International - Creative Commons"/>
    <hyperlink ref="I2405" r:id="rId6891" display="https://www.inaturalist.org/observations/331215497"/>
    <hyperlink ref="H2406" r:id="rId6892" display="Deed - Attribution-NonCommercial 4.0 International - Creative Commons"/>
    <hyperlink ref="I2406" r:id="rId6893" display="https://www.inaturalist.org/observations/330985230"/>
    <hyperlink ref="H2407" r:id="rId6894" display="Deed - Attribution-NonCommercial 4.0 International - Creative Commons"/>
    <hyperlink ref="I2407" r:id="rId6895" display="https://www.inaturalist.org/observations/330878873"/>
    <hyperlink ref="H2408" r:id="rId6896" display="Deed - Attribution-NonCommercial 4.0 International - Creative Commons"/>
    <hyperlink ref="I2408" r:id="rId6897" display="https://www.inaturalist.org/observations/330483838"/>
    <hyperlink ref="H2409" r:id="rId6898" display="Deed - Attribution-NonCommercial 4.0 International - Creative Commons"/>
    <hyperlink ref="I2409" r:id="rId6899" display="https://www.inaturalist.org/observations/330265922"/>
    <hyperlink ref="H2410" r:id="rId6900" display="Deed - Attribution-NonCommercial 4.0 International - Creative Commons"/>
    <hyperlink ref="I2410" r:id="rId6901" display="https://www.inaturalist.org/observations/330081083"/>
    <hyperlink ref="H2411" r:id="rId6902" display="Deed - Attribution-NonCommercial 4.0 International - Creative Commons"/>
    <hyperlink ref="I2411" r:id="rId6903" display="https://www.inaturalist.org/observations/329951908"/>
    <hyperlink ref="H2412" r:id="rId6904" display="Deed - Attribution-NonCommercial 4.0 International - Creative Commons"/>
    <hyperlink ref="I2412" r:id="rId6905" display="https://www.inaturalist.org/observations/329695539"/>
    <hyperlink ref="H2413" r:id="rId6906" display="Deed - Attribution-NonCommercial 4.0 International - Creative Commons"/>
    <hyperlink ref="I2413" r:id="rId6907" display="https://www.inaturalist.org/observations/329375448"/>
    <hyperlink ref="H2414" r:id="rId6908" display="Deed - Attribution-NonCommercial 4.0 International - Creative Commons"/>
    <hyperlink ref="I2414" r:id="rId6909" display="https://www.inaturalist.org/observations/329293556"/>
    <hyperlink ref="H2415" r:id="rId6910" display="Deed - Attribution-NonCommercial 4.0 International - Creative Commons"/>
    <hyperlink ref="I2415" r:id="rId6911" display="https://www.inaturalist.org/observations/328237620"/>
    <hyperlink ref="H2416" r:id="rId6912" display="Deed - Attribution-NonCommercial 4.0 International - Creative Commons"/>
    <hyperlink ref="I2416" r:id="rId6913" display="https://www.inaturalist.org/observations/328231413"/>
    <hyperlink ref="H2417" r:id="rId6914" display="Deed - Attribution-NonCommercial 4.0 International - Creative Commons"/>
    <hyperlink ref="I2417" r:id="rId6915" display="https://www.inaturalist.org/observations/328227458"/>
    <hyperlink ref="H2418" r:id="rId6916" display="Deed - Attribution-NonCommercial 4.0 International - Creative Commons"/>
    <hyperlink ref="I2418" r:id="rId6917" display="https://www.inaturalist.org/observations/343153449"/>
    <hyperlink ref="H2419" r:id="rId6918" display="Deed - Attribution-NonCommercial 4.0 International - Creative Commons"/>
    <hyperlink ref="I2419" r:id="rId6919" display="https://www.inaturalist.org/observations/342419001"/>
    <hyperlink ref="H2420" r:id="rId6920" display="Deed - Attribution-NonCommercial 4.0 International - Creative Commons"/>
    <hyperlink ref="I2420" r:id="rId6921" display="https://www.inaturalist.org/observations/339587884"/>
    <hyperlink ref="H2421" r:id="rId6922" display="Deed - Attribution-NonCommercial 4.0 International - Creative Commons"/>
    <hyperlink ref="I2421" r:id="rId6923" display="https://www.inaturalist.org/observations/339511948"/>
    <hyperlink ref="H2422" r:id="rId6924" display="Deed - Attribution-NonCommercial 4.0 International - Creative Commons"/>
    <hyperlink ref="I2422" r:id="rId6925" display="https://www.inaturalist.org/observations/339405553"/>
    <hyperlink ref="H2423" r:id="rId6926" display="Deed - Attribution-NonCommercial 4.0 International - Creative Commons"/>
    <hyperlink ref="I2423" r:id="rId6927" display="https://www.inaturalist.org/observations/339405552"/>
    <hyperlink ref="H2424" r:id="rId6928" display="Deed - Attribution-NonCommercial 4.0 International - Creative Commons"/>
    <hyperlink ref="I2424" r:id="rId6929" display="https://www.inaturalist.org/observations/337693026"/>
    <hyperlink ref="H2425" r:id="rId6930" display="Deed - Attribution-NonCommercial 4.0 International - Creative Commons"/>
    <hyperlink ref="I2425" r:id="rId6931" display="https://www.inaturalist.org/observations/337692854"/>
    <hyperlink ref="H2426" r:id="rId6932" display="Deed - Attribution-NonCommercial 4.0 International - Creative Commons"/>
    <hyperlink ref="I2426" r:id="rId6933" display="https://www.inaturalist.org/observations/334811445"/>
    <hyperlink ref="H2427" r:id="rId6934" display="Deed - Attribution-NonCommercial 4.0 International - Creative Commons"/>
    <hyperlink ref="I2427" r:id="rId6935" display="https://www.inaturalist.org/observations/334070566"/>
    <hyperlink ref="H2428" r:id="rId6936" display="Deed - Attribution-NonCommercial 4.0 International - Creative Commons"/>
    <hyperlink ref="I2428" r:id="rId6937" display="https://www.inaturalist.org/observations/333758947"/>
    <hyperlink ref="H2429" r:id="rId6938" display="Deed - Attribution-NonCommercial 4.0 International - Creative Commons"/>
    <hyperlink ref="I2429" r:id="rId6939" display="https://www.inaturalist.org/observations/333758925"/>
    <hyperlink ref="H2430" r:id="rId6940" display="Deed - Attribution-NonCommercial 4.0 International - Creative Commons"/>
    <hyperlink ref="I2430" r:id="rId6941" display="https://www.inaturalist.org/observations/333754070"/>
    <hyperlink ref="H2431" r:id="rId6942" display="Deed - Attribution-NonCommercial 4.0 International - Creative Commons"/>
    <hyperlink ref="I2431" r:id="rId6943" display="https://www.inaturalist.org/observations/333462463"/>
    <hyperlink ref="H2432" r:id="rId6944" display="Deed - Attribution-NonCommercial 4.0 International - Creative Commons"/>
    <hyperlink ref="I2432" r:id="rId6945" display="https://www.inaturalist.org/observations/333308510"/>
    <hyperlink ref="H2433" r:id="rId6946" display="Deed - Attribution-NonCommercial 4.0 International - Creative Commons"/>
    <hyperlink ref="I2433" r:id="rId6947" display="https://www.inaturalist.org/observations/331829981"/>
    <hyperlink ref="H2434" r:id="rId6948" display="Deed - Attribution-NonCommercial 4.0 International - Creative Commons"/>
    <hyperlink ref="I2434" r:id="rId6949" display="https://www.inaturalist.org/observations/331705954"/>
    <hyperlink ref="H2435" r:id="rId6950" display="Deed - Attribution-NonCommercial 4.0 International - Creative Commons"/>
    <hyperlink ref="I2435" r:id="rId6951" display="https://www.inaturalist.org/observations/331705560"/>
    <hyperlink ref="H2436" r:id="rId6952" display="Deed - Attribution-NonCommercial 4.0 International - Creative Commons"/>
    <hyperlink ref="I2436" r:id="rId6953" display="https://www.inaturalist.org/observations/330439618"/>
    <hyperlink ref="H2437" r:id="rId6954" display="Deed - Attribution-NonCommercial 4.0 International - Creative Commons"/>
    <hyperlink ref="I2437" r:id="rId6955" display="https://www.inaturalist.org/observations/330088215"/>
    <hyperlink ref="H2438" r:id="rId6956" display="Deed - Attribution-NonCommercial 4.0 International - Creative Commons"/>
    <hyperlink ref="I2438" r:id="rId6957" display="https://www.inaturalist.org/observations/330087443"/>
    <hyperlink ref="H2439" r:id="rId6958" display="Deed - Attribution-NonCommercial 4.0 International - Creative Commons"/>
    <hyperlink ref="I2439" r:id="rId6959" display="https://www.inaturalist.org/observations/329861603"/>
    <hyperlink ref="H2440" r:id="rId6960" display="Deed - Attribution-NonCommercial 4.0 International - Creative Commons"/>
    <hyperlink ref="I2440" r:id="rId6961" display="https://www.inaturalist.org/observations/329861033"/>
    <hyperlink ref="H2441" r:id="rId6962" display="Deed - Attribution-NonCommercial 4.0 International - Creative Commons"/>
    <hyperlink ref="I2441" r:id="rId6963" display="https://www.inaturalist.org/observations/328986202"/>
    <hyperlink ref="H2442" r:id="rId6964" display="Deed - Attribution-NonCommercial 4.0 International - Creative Commons"/>
    <hyperlink ref="I2442" r:id="rId6965" display="https://www.inaturalist.org/observations/328220025"/>
    <hyperlink ref="H2443" r:id="rId6966" display="Deed - Attribution-NonCommercial 4.0 International - Creative Commons"/>
    <hyperlink ref="I2443" r:id="rId6967" display="https://www.inaturalist.org/observations/328220023"/>
    <hyperlink ref="H2444" r:id="rId6968" display="Deed - Attribution-NonCommercial 4.0 International - Creative Commons"/>
    <hyperlink ref="I2444" r:id="rId6969" display="https://www.inaturalist.org/observations/326578456"/>
    <hyperlink ref="H2445" r:id="rId6970" display="Deed - Attribution-NonCommercial 4.0 International - Creative Commons"/>
    <hyperlink ref="I2445" r:id="rId6971" display="https://www.inaturalist.org/observations/326578291"/>
    <hyperlink ref="H2446" r:id="rId6972" display="Deed - Attribution-NonCommercial 4.0 International - Creative Commons"/>
    <hyperlink ref="I2446" r:id="rId6973" display="https://www.inaturalist.org/observations/326460052"/>
    <hyperlink ref="H2447" r:id="rId6974" display="Deed - Attribution-NonCommercial 4.0 International - Creative Commons"/>
    <hyperlink ref="I2447" r:id="rId6975" display="https://www.inaturalist.org/observations/325923978"/>
    <hyperlink ref="H2448" r:id="rId6976" display="Deed - Attribution-NonCommercial 4.0 International - Creative Commons"/>
    <hyperlink ref="I2448" r:id="rId6977" display="https://www.inaturalist.org/observations/325923837"/>
    <hyperlink ref="H2449" r:id="rId6978" display="Deed - Attribution-NonCommercial 4.0 International - Creative Commons"/>
    <hyperlink ref="I2449" r:id="rId6979" display="https://www.inaturalist.org/observations/325923683"/>
    <hyperlink ref="H2450" r:id="rId6980" display="Deed - Attribution-NonCommercial 4.0 International - Creative Commons"/>
    <hyperlink ref="I2450" r:id="rId6981" display="https://www.inaturalist.org/observations/325456991"/>
    <hyperlink ref="H2451" r:id="rId6982" display="Deed - Attribution-NonCommercial 4.0 International - Creative Commons"/>
    <hyperlink ref="I2451" r:id="rId6983" display="https://www.inaturalist.org/observations/325292281"/>
    <hyperlink ref="H2452" r:id="rId6984" display="Deed - Attribution-NonCommercial 4.0 International - Creative Commons"/>
    <hyperlink ref="I2452" r:id="rId6985" display="https://www.inaturalist.org/observations/318890347"/>
    <hyperlink ref="H2453" r:id="rId6986" display="Deed - Attribution-NonCommercial 4.0 International - Creative Commons"/>
    <hyperlink ref="I2453" r:id="rId6987" display="https://www.inaturalist.org/observations/381177190"/>
    <hyperlink ref="H2454" r:id="rId6988" display="Deed - Attribution-NonCommercial 4.0 International - Creative Commons"/>
    <hyperlink ref="I2454" r:id="rId6989" display="https://www.inaturalist.org/observations/379716179"/>
    <hyperlink ref="H2455" r:id="rId6990" display="Deed - Attribution-NonCommercial 4.0 International - Creative Commons"/>
    <hyperlink ref="I2455" r:id="rId6991" display="https://www.inaturalist.org/observations/379269043"/>
    <hyperlink ref="H2456" r:id="rId6992" display="Deed - Attribution-NonCommercial 4.0 International - Creative Commons"/>
    <hyperlink ref="I2456" r:id="rId6993" display="https://www.inaturalist.org/observations/379185391"/>
    <hyperlink ref="H2457" r:id="rId6994" display="Deed - Attribution-NonCommercial 4.0 International - Creative Commons"/>
    <hyperlink ref="I2457" r:id="rId6995" display="https://www.inaturalist.org/observations/378487165"/>
    <hyperlink ref="H2458" r:id="rId6996" display="Deed - Attribution-NonCommercial 4.0 International - Creative Commons"/>
    <hyperlink ref="I2458" r:id="rId6997" display="https://www.inaturalist.org/observations/377068722"/>
    <hyperlink ref="H2459" r:id="rId6998" display="Deed - Attribution-NonCommercial 4.0 International - Creative Commons"/>
    <hyperlink ref="I2459" r:id="rId6999" display="https://www.inaturalist.org/observations/375163588"/>
    <hyperlink ref="H2460" r:id="rId7000" display="Deed - Attribution-NonCommercial 4.0 International - Creative Commons"/>
    <hyperlink ref="I2460" r:id="rId7001" display="https://www.inaturalist.org/observations/363165285"/>
    <hyperlink ref="H2461" r:id="rId7002" display="Deed - Attribution-NonCommercial 4.0 International - Creative Commons"/>
    <hyperlink ref="I2461" r:id="rId7003" display="https://www.inaturalist.org/observations/362894519"/>
    <hyperlink ref="H2462" r:id="rId7004" display="Deed - Attribution-NonCommercial 4.0 International - Creative Commons"/>
    <hyperlink ref="I2462" r:id="rId7005" display="https://www.inaturalist.org/observations/351291339"/>
    <hyperlink ref="H2463" r:id="rId7006" display="Deed - Attribution-NonCommercial 4.0 International - Creative Commons"/>
    <hyperlink ref="I2463" r:id="rId7007" display="https://www.inaturalist.org/observations/347049907"/>
    <hyperlink ref="H2464" r:id="rId7008" display="Deed - Attribution-NonCommercial 4.0 International - Creative Commons"/>
    <hyperlink ref="I2464" r:id="rId7009" display="https://www.inaturalist.org/observations/339960050"/>
    <hyperlink ref="H2465" r:id="rId7010" display="Deed - Attribution-NonCommercial 4.0 International - Creative Commons"/>
    <hyperlink ref="I2465" r:id="rId7011" display="https://www.inaturalist.org/observations/339794150"/>
    <hyperlink ref="H2466" r:id="rId7012" display="Deed - Attribution-NonCommercial 4.0 International - Creative Commons"/>
    <hyperlink ref="I2466" r:id="rId7013" display="https://www.inaturalist.org/observations/336133109"/>
    <hyperlink ref="H2467" r:id="rId7014" display="Deed - Attribution-NonCommercial 4.0 International - Creative Commons"/>
    <hyperlink ref="I2467" r:id="rId7015" display="https://www.inaturalist.org/observations/335861255"/>
    <hyperlink ref="H2468" r:id="rId7016" display="Deed - Attribution-NonCommercial 4.0 International - Creative Commons"/>
    <hyperlink ref="I2468" r:id="rId7017" display="https://www.inaturalist.org/observations/334763819"/>
    <hyperlink ref="H2469" r:id="rId7018" display="Deed - Attribution-NonCommercial 4.0 International - Creative Commons"/>
    <hyperlink ref="I2469" r:id="rId7019" display="https://www.inaturalist.org/observations/334658156"/>
    <hyperlink ref="H2470" r:id="rId7020" display="Deed - Attribution-NonCommercial 4.0 International - Creative Commons"/>
    <hyperlink ref="I2470" r:id="rId7021" display="https://www.inaturalist.org/observations/334356901"/>
    <hyperlink ref="H2471" r:id="rId7022" display="Deed - Attribution-NonCommercial 4.0 International - Creative Commons"/>
    <hyperlink ref="I2471" r:id="rId7023" display="https://www.inaturalist.org/observations/329786180"/>
    <hyperlink ref="H2472" r:id="rId7024" display="Deed - Attribution-NonCommercial 4.0 International - Creative Commons"/>
    <hyperlink ref="I2472" r:id="rId7025" display="https://www.inaturalist.org/observations/328440934"/>
    <hyperlink ref="H2473" r:id="rId7026" display="Deed - Attribution-NonCommercial 4.0 International - Creative Commons"/>
    <hyperlink ref="I2473" r:id="rId7027" display="https://www.inaturalist.org/observations/327119006"/>
    <hyperlink ref="H2474" r:id="rId7028" display="Deed - Attribution-NonCommercial 4.0 International - Creative Commons"/>
    <hyperlink ref="I2474" r:id="rId7029" display="https://www.inaturalist.org/observations/326888523"/>
    <hyperlink ref="H2475" r:id="rId7030" display="Deed - Attribution-NonCommercial 4.0 International - Creative Commons"/>
    <hyperlink ref="I2475" r:id="rId7031" display="https://www.inaturalist.org/observations/326782138"/>
    <hyperlink ref="H2476" r:id="rId7032" display="Deed - Attribution-NonCommercial 4.0 International - Creative Commons"/>
    <hyperlink ref="I2476" r:id="rId7033" display="https://www.inaturalist.org/observations/323768617"/>
    <hyperlink ref="H2477" r:id="rId7034" display="Deed - Attribution-NonCommercial 4.0 International - Creative Commons"/>
    <hyperlink ref="I2477" r:id="rId7035" display="https://www.inaturalist.org/observations/323707859"/>
    <hyperlink ref="H2478" r:id="rId7036" display="Deed - Attribution-NonCommercial 4.0 International - Creative Commons"/>
    <hyperlink ref="I2478" r:id="rId7037" display="https://www.inaturalist.org/observations/322386015"/>
    <hyperlink ref="H2479" r:id="rId7038" display="Deed - Attribution-NonCommercial 4.0 International - Creative Commons"/>
    <hyperlink ref="I2479" r:id="rId7039" display="https://www.inaturalist.org/observations/322301895"/>
    <hyperlink ref="H2480" r:id="rId7040" display="Deed - Attribution-NonCommercial 4.0 International - Creative Commons"/>
    <hyperlink ref="I2480" r:id="rId7041" display="https://www.inaturalist.org/observations/321429444"/>
    <hyperlink ref="H2481" r:id="rId7042" display="Deed - Attribution-NonCommercial 4.0 International - Creative Commons"/>
    <hyperlink ref="I2481" r:id="rId7043" display="https://www.inaturalist.org/observations/321429442"/>
    <hyperlink ref="H2482" r:id="rId7044" display="Deed - Attribution-NonCommercial 4.0 International - Creative Commons"/>
    <hyperlink ref="I2482" r:id="rId7045" display="https://www.inaturalist.org/observations/321110524"/>
    <hyperlink ref="H2483" r:id="rId7046" display="Deed - Attribution-NonCommercial 4.0 International - Creative Commons"/>
    <hyperlink ref="I2483" r:id="rId7047" display="https://www.inaturalist.org/observations/320313322"/>
    <hyperlink ref="H2484" r:id="rId7048" display="Deed - Attribution-NonCommercial 4.0 International - Creative Commons"/>
    <hyperlink ref="I2484" r:id="rId7049" display="https://www.inaturalist.org/observations/319393246"/>
    <hyperlink ref="H2485" r:id="rId7050" display="Deed - Attribution-NonCommercial 4.0 International - Creative Commons"/>
    <hyperlink ref="I2485" r:id="rId7051" display="https://www.inaturalist.org/observations/317892318"/>
    <hyperlink ref="H2486" r:id="rId7052" display="Deed - Attribution-NonCommercial 4.0 International - Creative Commons"/>
    <hyperlink ref="I2486" r:id="rId7053" display="https://www.inaturalist.org/observations/315940333"/>
    <hyperlink ref="H2487" r:id="rId7054" display="Deed - Attribution-NonCommercial 4.0 International - Creative Commons"/>
    <hyperlink ref="I2487" r:id="rId7055" display="https://www.inaturalist.org/observations/315721419"/>
    <hyperlink ref="H2488" r:id="rId7056" display="Deed - Attribution-NonCommercial 4.0 International - Creative Commons"/>
    <hyperlink ref="I2488" r:id="rId7057" display="https://www.inaturalist.org/observations/373074142"/>
    <hyperlink ref="H2489" r:id="rId7058" display="Deed - Attribution-NonCommercial 4.0 International - Creative Commons"/>
    <hyperlink ref="I2489" r:id="rId7059" display="https://www.inaturalist.org/observations/366074009"/>
    <hyperlink ref="H2490" r:id="rId7060" display="Deed - Attribution-NonCommercial 4.0 International - Creative Commons"/>
    <hyperlink ref="I2490" r:id="rId7061" display="https://www.inaturalist.org/observations/360012452"/>
    <hyperlink ref="H2491" r:id="rId7062" display="Deed - Attribution-NonCommercial 4.0 International - Creative Commons"/>
    <hyperlink ref="I2491" r:id="rId7063" display="https://www.inaturalist.org/observations/348426148"/>
    <hyperlink ref="H2492" r:id="rId7064" display="Deed - Attribution-NonCommercial 4.0 International - Creative Commons"/>
    <hyperlink ref="I2492" r:id="rId7065" display="https://www.inaturalist.org/observations/343175298"/>
    <hyperlink ref="H2493" r:id="rId7066" display="Deed - Attribution-NonCommercial 4.0 International - Creative Commons"/>
    <hyperlink ref="I2493" r:id="rId7067" display="https://www.inaturalist.org/observations/336278484"/>
    <hyperlink ref="H2494" r:id="rId7068" display="Deed - Attribution-NonCommercial 4.0 International - Creative Commons"/>
    <hyperlink ref="I2494" r:id="rId7069" display="https://www.inaturalist.org/observations/332069916"/>
    <hyperlink ref="H2495" r:id="rId7070" display="Deed - Attribution-NonCommercial 4.0 International - Creative Commons"/>
    <hyperlink ref="I2495" r:id="rId7071" display="https://www.inaturalist.org/observations/326660963"/>
    <hyperlink ref="H2496" r:id="rId7072" display="Deed - Attribution-NonCommercial 4.0 International - Creative Commons"/>
    <hyperlink ref="I2496" r:id="rId7073" display="https://www.inaturalist.org/observations/325501952"/>
    <hyperlink ref="H2497" r:id="rId7074" display="Deed - Attribution-NonCommercial 4.0 International - Creative Commons"/>
    <hyperlink ref="I2497" r:id="rId7075" display="https://www.inaturalist.org/observations/325329841"/>
    <hyperlink ref="H2498" r:id="rId7076" display="Deed - Attribution-NonCommercial 4.0 International - Creative Commons"/>
    <hyperlink ref="I2498" r:id="rId7077" display="https://www.inaturalist.org/observations/324315875"/>
    <hyperlink ref="H2499" r:id="rId7078" display="Deed - Attribution-NonCommercial 4.0 International - Creative Commons"/>
    <hyperlink ref="I2499" r:id="rId7079" display="https://www.inaturalist.org/observations/319811637"/>
    <hyperlink ref="H2500" r:id="rId7080" display="Deed - Attribution-NonCommercial 4.0 International - Creative Commons"/>
    <hyperlink ref="I2500" r:id="rId7081" display="https://www.inaturalist.org/observations/318199941"/>
    <hyperlink ref="H2501" r:id="rId7082" display="Deed - Attribution-NonCommercial 4.0 International - Creative Commons"/>
    <hyperlink ref="I2501" r:id="rId7083" display="https://www.inaturalist.org/observations/305142415"/>
    <hyperlink ref="H2502" r:id="rId7084" display="Deed - Attribution-NonCommercial 4.0 International - Creative Commons"/>
    <hyperlink ref="I2502" r:id="rId7085" display="https://www.inaturalist.org/observations/303871022"/>
    <hyperlink ref="H2503" r:id="rId7086" display="Deed - Attribution-NonCommercial 4.0 International - Creative Commons"/>
    <hyperlink ref="I2503" r:id="rId7087" display="https://www.inaturalist.org/observations/303415785"/>
    <hyperlink ref="H2504" r:id="rId7088" display="Deed - Attribution-NonCommercial 4.0 International - Creative Commons"/>
    <hyperlink ref="I2504" r:id="rId7089" display="https://www.inaturalist.org/observations/299709385"/>
    <hyperlink ref="H2505" r:id="rId7090" display="Deed - Attribution-NonCommercial 4.0 International - Creative Commons"/>
    <hyperlink ref="I2505" r:id="rId7091" display="https://www.inaturalist.org/observations/298774296"/>
    <hyperlink ref="H2506" r:id="rId7092" display="Deed - Attribution-NonCommercial 4.0 International - Creative Commons"/>
    <hyperlink ref="I2506" r:id="rId7093" display="https://www.inaturalist.org/observations/297940402"/>
    <hyperlink ref="H2507" r:id="rId7094" display="Deed - Attribution-NonCommercial 4.0 International - Creative Commons"/>
    <hyperlink ref="I2507" r:id="rId7095" display="https://www.inaturalist.org/observations/296179445"/>
    <hyperlink ref="H2508" r:id="rId7096" display="Deed - Attribution-NonCommercial 4.0 International - Creative Commons"/>
    <hyperlink ref="I2508" r:id="rId7097" display="https://www.inaturalist.org/observations/285353132"/>
    <hyperlink ref="H2509" r:id="rId7098" display="Deed - Attribution-NonCommercial 4.0 International - Creative Commons"/>
    <hyperlink ref="I2509" r:id="rId7099" display="https://www.inaturalist.org/observations/266801180"/>
    <hyperlink ref="H2510" r:id="rId7100" display="Deed - Attribution-NonCommercial 4.0 International - Creative Commons"/>
    <hyperlink ref="I2510" r:id="rId7101" display="https://www.inaturalist.org/observations/266251346"/>
    <hyperlink ref="H2511" r:id="rId7102" display="Deed - Attribution-NonCommercial 4.0 International - Creative Commons"/>
    <hyperlink ref="I2511" r:id="rId7103" display="https://www.inaturalist.org/observations/265409591"/>
    <hyperlink ref="H2512" r:id="rId7104" display="Deed - Attribution-NonCommercial 4.0 International - Creative Commons"/>
    <hyperlink ref="I2512" r:id="rId7105" display="https://www.inaturalist.org/observations/262480979"/>
    <hyperlink ref="H2513" r:id="rId7106" display="Deed - Attribution-NonCommercial 4.0 International - Creative Commons"/>
    <hyperlink ref="I2513" r:id="rId7107" display="https://www.inaturalist.org/observations/259063346"/>
    <hyperlink ref="H2514" r:id="rId7108" display="Deed - Attribution-NonCommercial 4.0 International - Creative Commons"/>
    <hyperlink ref="I2514" r:id="rId7109" display="https://www.inaturalist.org/observations/258447425"/>
    <hyperlink ref="H2515" r:id="rId7110" display="Deed - Attribution-NonCommercial 4.0 International - Creative Commons"/>
    <hyperlink ref="I2515" r:id="rId7111" display="https://www.inaturalist.org/observations/258405563"/>
    <hyperlink ref="H2516" r:id="rId7112" display="Deed - Attribution-NonCommercial 4.0 International - Creative Commons"/>
    <hyperlink ref="I2516" r:id="rId7113" display="https://www.inaturalist.org/observations/256340152"/>
    <hyperlink ref="H2517" r:id="rId7114" display="Deed - Attribution-NonCommercial 4.0 International - Creative Commons"/>
    <hyperlink ref="I2517" r:id="rId7115" display="https://www.inaturalist.org/observations/253445098"/>
    <hyperlink ref="H2518" r:id="rId7116" display="Deed - Attribution-NonCommercial 4.0 International - Creative Commons"/>
    <hyperlink ref="I2518" r:id="rId7117" display="https://www.inaturalist.org/observations/253445097"/>
    <hyperlink ref="H2519" r:id="rId7118" display="Deed - Attribution-NonCommercial 4.0 International - Creative Commons"/>
    <hyperlink ref="I2519" r:id="rId7119" display="https://www.inaturalist.org/observations/253445086"/>
    <hyperlink ref="H2520" r:id="rId7120" display="Deed - Attribution-NonCommercial 4.0 International - Creative Commons"/>
    <hyperlink ref="I2520" r:id="rId7121" display="https://www.inaturalist.org/observations/253445027"/>
    <hyperlink ref="H2521" r:id="rId7122" display="Deed - Attribution-NonCommercial 4.0 International - Creative Commons"/>
    <hyperlink ref="I2521" r:id="rId7123" display="https://www.inaturalist.org/observations/253445025"/>
    <hyperlink ref="H2522" r:id="rId7124" display="Deed - Attribution-NonCommercial 4.0 International - Creative Commons"/>
    <hyperlink ref="I2522" r:id="rId7125" display="https://www.inaturalist.org/observations/250189460"/>
    <hyperlink ref="G2523" r:id="rId7126" display="asimakis_patitsas"/>
    <hyperlink ref="H2523" r:id="rId7127" display="Deed - Attribution-NonCommercial 4.0 International - Creative Commons"/>
    <hyperlink ref="I2523" r:id="rId7128" display="https://www.inaturalist.org/observations/386817939"/>
    <hyperlink ref="G2524" r:id="rId7129" display="asimakis_patitsas"/>
    <hyperlink ref="H2524" r:id="rId7130" display="Deed - Attribution-NonCommercial 4.0 International - Creative Commons"/>
    <hyperlink ref="I2524" r:id="rId7131" display="https://www.inaturalist.org/observations/386817939"/>
    <hyperlink ref="G2525" r:id="rId7132" display="emubirb24"/>
    <hyperlink ref="H2525" r:id="rId7133" display="Deed - Attribution-NonCommercial 4.0 International - Creative Commons"/>
    <hyperlink ref="I2525" r:id="rId7134" display="https://www.inaturalist.org/observations/368985723"/>
    <hyperlink ref="G2526" r:id="rId7135" display="damienesquerre2"/>
    <hyperlink ref="H2526" r:id="rId7136" display="Deed - Attribution-NonCommercial 4.0 International - Creative Commons"/>
    <hyperlink ref="I2526" r:id="rId7137" display="https://www.inaturalist.org/observations/350701633"/>
    <hyperlink ref="G2527" r:id="rId7138" display="timrudman"/>
    <hyperlink ref="H2527" r:id="rId7139" display="Deed - Attribution-NonCommercial 4.0 International - Creative Commons"/>
    <hyperlink ref="I2527" r:id="rId7140" display="https://www.inaturalist.org/observations/345429288"/>
    <hyperlink ref="G2528" r:id="rId7141" display="antjames"/>
    <hyperlink ref="H2528" r:id="rId7142" display="Deed - Attribution-NonCommercial 4.0 International - Creative Commons"/>
    <hyperlink ref="I2528" r:id="rId7143" display="https://www.inaturalist.org/observations/331760925"/>
    <hyperlink ref="G2529" r:id="rId7144" display="forresthe"/>
    <hyperlink ref="H2529" r:id="rId7145" display="Deed - Attribution-NonCommercial 4.0 International - Creative Commons"/>
    <hyperlink ref="I2529" r:id="rId7146" display="https://www.inaturalist.org/observations/331381271"/>
    <hyperlink ref="G2530" r:id="rId7147" display="dsortino"/>
    <hyperlink ref="H2530" r:id="rId7148" display="Deed - Attribution-NonCommercial 4.0 International - Creative Commons"/>
    <hyperlink ref="I2530" r:id="rId7149" display="https://www.inaturalist.org/observations/330289992"/>
    <hyperlink ref="G2531" r:id="rId7150" display="slowpoke12"/>
    <hyperlink ref="H2531" r:id="rId7151" display="Deed - Attribution-NonCommercial 4.0 International - Creative Commons"/>
    <hyperlink ref="I2531" r:id="rId7152" display="https://www.inaturalist.org/observations/326102525"/>
    <hyperlink ref="G2532" r:id="rId7153" display="hudsonbrowne"/>
    <hyperlink ref="H2532" r:id="rId7154" display="Deed - Attribution-NonCommercial 4.0 International - Creative Commons"/>
    <hyperlink ref="I2532" r:id="rId7155" display="https://www.inaturalist.org/observations/325826181"/>
    <hyperlink ref="G2533" r:id="rId7156" display="alcapriotti"/>
    <hyperlink ref="H2533" r:id="rId7157" display="Deed - Attribution-NonCommercial 4.0 International - Creative Commons"/>
    <hyperlink ref="I2533" r:id="rId7158" display="https://www.inaturalist.org/observations/325452130"/>
    <hyperlink ref="G2534" r:id="rId7159" display="omarvela"/>
    <hyperlink ref="H2534" r:id="rId7160" display="Deed - Attribution-NonCommercial 4.0 International - Creative Commons"/>
    <hyperlink ref="I2534" r:id="rId7161" display="https://www.inaturalist.org/observations/325001230"/>
    <hyperlink ref="G2535" r:id="rId7162" display="ebarker1"/>
    <hyperlink ref="H2535" r:id="rId7163" display="Deed - Attribution-NonCommercial 4.0 International - Creative Commons"/>
    <hyperlink ref="I2535" r:id="rId7164" display="https://www.inaturalist.org/observations/324961533"/>
    <hyperlink ref="G2536" r:id="rId7165" display="deanna_wilderlands"/>
    <hyperlink ref="H2536" r:id="rId7166" display="Deed - Attribution-NonCommercial 4.0 International - Creative Commons"/>
    <hyperlink ref="I2536" r:id="rId7167" display="https://www.inaturalist.org/observations/307180592"/>
    <hyperlink ref="G2537" r:id="rId7168" display="jvanweenen"/>
    <hyperlink ref="H2537" r:id="rId7169" display="Deed - Attribution-NonCommercial 4.0 International - Creative Commons"/>
    <hyperlink ref="I2537" r:id="rId7170" display="https://www.inaturalist.org/observations/299143721"/>
    <hyperlink ref="G2538" r:id="rId7171" display="jvanweenen"/>
    <hyperlink ref="H2538" r:id="rId7172" display="Deed - Attribution-NonCommercial 4.0 International - Creative Commons"/>
    <hyperlink ref="I2538" r:id="rId7173" display="https://www.inaturalist.org/observations/299143676"/>
    <hyperlink ref="G2539" r:id="rId7174" display="moth_nut"/>
    <hyperlink ref="H2539" r:id="rId7175" display="Deed - Attribution-NonCommercial 4.0 International - Creative Commons"/>
    <hyperlink ref="I2539" r:id="rId7176" display="https://www.inaturalist.org/observations/258070673"/>
    <hyperlink ref="G2540" r:id="rId7177" display="anthonypaul"/>
    <hyperlink ref="H2540" r:id="rId7178" display="Deed - Attribution-NonCommercial 4.0 International - Creative Commons"/>
    <hyperlink ref="I2540" r:id="rId7179" display="https://www.inaturalist.org/observations/155587771"/>
    <hyperlink ref="G2541" r:id="rId7180" display="owenlishmund"/>
    <hyperlink ref="H2541" r:id="rId7181" display="Deed - Attribution-NonCommercial 4.0 International - Creative Commons"/>
    <hyperlink ref="I2541" r:id="rId7182" display="https://www.inaturalist.org/observations/142804060"/>
    <hyperlink ref="G2542" r:id="rId7183" display="owenlishmund"/>
    <hyperlink ref="H2542" r:id="rId7184" display="Deed - Attribution-NonCommercial 4.0 International - Creative Commons"/>
    <hyperlink ref="I2542" r:id="rId7185" display="https://www.inaturalist.org/observations/142804060"/>
    <hyperlink ref="G2543" r:id="rId7186" display="don_endriu_wildlife"/>
    <hyperlink ref="H2543" r:id="rId7187" display="Deed - Attribution-NonCommercial 4.0 International - Creative Commons"/>
    <hyperlink ref="I2543" r:id="rId7188" display="https://www.inaturalist.org/observations/182463264"/>
    <hyperlink ref="G2544" r:id="rId7189" display="don_endriu_wildlife"/>
    <hyperlink ref="H2544" r:id="rId7190" display="Deed - Attribution-NonCommercial 4.0 International - Creative Commons"/>
    <hyperlink ref="I2544" r:id="rId7191" display="https://www.inaturalist.org/observations/182463264"/>
    <hyperlink ref="G2545" r:id="rId7192" display="don_endriu_wildlife"/>
    <hyperlink ref="H2545" r:id="rId7193" display="Deed - Attribution-NonCommercial 4.0 International - Creative Commons"/>
    <hyperlink ref="I2545" r:id="rId7194" display="https://www.inaturalist.org/observations/182463264"/>
    <hyperlink ref="G2546" r:id="rId7195" display="jari_cornelis"/>
    <hyperlink ref="H2546" r:id="rId7196" display="Deed - Attribution-NonCommercial 4.0 International - Creative Commons"/>
    <hyperlink ref="I2546" r:id="rId7197" display="https://www.inaturalist.org/observations/140109001"/>
    <hyperlink ref="G2547" r:id="rId7198" display="snakesrcool"/>
    <hyperlink ref="H2547" r:id="rId7199" display="Deed - Attribution-NonCommercial 4.0 International - Creative Commons"/>
    <hyperlink ref="I2547" r:id="rId7200" display="https://www.inaturalist.org/observations/115073931"/>
    <hyperlink ref="G2548" r:id="rId7201" display="treeder86"/>
    <hyperlink ref="H2548" r:id="rId7202" display="Deed - Attribution-NonCommercial 4.0 International - Creative Commons"/>
    <hyperlink ref="I2548" r:id="rId7203" display="https://www.inaturalist.org/observations/900765"/>
    <hyperlink ref="G2549" r:id="rId7204" display="herpsinthescrub"/>
    <hyperlink ref="H2549" r:id="rId7205" display="Deed - Attribution-NonCommercial 4.0 International - Creative Commons"/>
    <hyperlink ref="I2549" r:id="rId7206" display="https://www.inaturalist.org/observations/348219685"/>
    <hyperlink ref="G2550" r:id="rId7207" display="ben_hicks_"/>
    <hyperlink ref="H2550" r:id="rId7208" display="Deed - Attribution-NonCommercial 4.0 International - Creative Commons"/>
    <hyperlink ref="I2550" r:id="rId7209" display="https://www.inaturalist.org/observations/337166259"/>
    <hyperlink ref="G2551" r:id="rId7210" display="herpsinthescrub"/>
    <hyperlink ref="H2551" r:id="rId7211" display="Deed - Attribution-NonCommercial 4.0 International - Creative Commons"/>
    <hyperlink ref="I2551" r:id="rId7212" display="https://www.inaturalist.org/observations/325253710"/>
    <hyperlink ref="G2552" r:id="rId7213" display="levimacdonald"/>
    <hyperlink ref="H2552" r:id="rId7214" display="Deed - Attribution-NonCommercial 4.0 International - Creative Commons"/>
    <hyperlink ref="I2552" r:id="rId7215" display="https://www.inaturalist.org/observations/311912375"/>
    <hyperlink ref="G2553" r:id="rId7216" display="forresthe"/>
    <hyperlink ref="H2553" r:id="rId7217" display="Deed - Attribution-NonCommercial 4.0 International - Creative Commons"/>
    <hyperlink ref="I2553" r:id="rId7218" display="https://www.inaturalist.org/observations/302586469"/>
    <hyperlink ref="G2554" r:id="rId7219" display="jackllewelyn"/>
    <hyperlink ref="H2554" r:id="rId7220" display="Deed - Attribution-NonCommercial 4.0 International - Creative Commons"/>
    <hyperlink ref="I2554" r:id="rId7221" display="https://www.inaturalist.org/observations/292341664"/>
    <hyperlink ref="G2555" r:id="rId7222" display="jackllewelyn"/>
    <hyperlink ref="H2555" r:id="rId7223" display="Deed - Attribution-NonCommercial 4.0 International - Creative Commons"/>
    <hyperlink ref="I2555" r:id="rId7224" display="https://www.inaturalist.org/observations/292340802"/>
    <hyperlink ref="G2556" r:id="rId7225" display="dibbling"/>
    <hyperlink ref="H2556" r:id="rId7226" display="Deed - Attribution-NonCommercial 4.0 International - Creative Commons"/>
    <hyperlink ref="I2556" r:id="rId7227" display="https://www.inaturalist.org/observations/266554855"/>
    <hyperlink ref="G2557" r:id="rId7228" display="jackllewelyn"/>
    <hyperlink ref="H2557" r:id="rId7229" display="Deed - Attribution-NonCommercial 4.0 International - Creative Commons"/>
    <hyperlink ref="I2557" r:id="rId7230" display="https://www.inaturalist.org/observations/250437546"/>
    <hyperlink ref="G2558" r:id="rId7231" display="jackllewelyn"/>
    <hyperlink ref="H2558" r:id="rId7232" display="Deed - Attribution-NonCommercial 4.0 International - Creative Commons"/>
    <hyperlink ref="I2558" r:id="rId7233" display="https://www.inaturalist.org/observations/250437546"/>
    <hyperlink ref="G2559" r:id="rId7234" display="marniem"/>
    <hyperlink ref="H2559" r:id="rId7235" display="Deed - Attribution-NonCommercial 4.0 International - Creative Commons"/>
    <hyperlink ref="I2559" r:id="rId7236" display="https://www.inaturalist.org/observations/202258220"/>
    <hyperlink ref="G2560" r:id="rId7237" display="snakesrcool"/>
    <hyperlink ref="H2560" r:id="rId7238" display="Deed - Attribution-NonCommercial 4.0 International - Creative Commons"/>
    <hyperlink ref="I2560" r:id="rId7239" display="https://www.inaturalist.org/observations/201351714"/>
    <hyperlink ref="G2561" r:id="rId7240" display="snakesrcool"/>
    <hyperlink ref="H2561" r:id="rId7241" display="Deed - Attribution-NonCommercial 4.0 International - Creative Commons"/>
    <hyperlink ref="I2561" r:id="rId7242" display="https://www.inaturalist.org/observations/201351712"/>
    <hyperlink ref="G2562" r:id="rId7243" display="forresthe"/>
    <hyperlink ref="H2562" r:id="rId7244" display="Deed - Attribution-NonCommercial 4.0 International - Creative Commons"/>
    <hyperlink ref="I2562" r:id="rId7245" display="https://www.inaturalist.org/observations/199352292"/>
    <hyperlink ref="G2563" r:id="rId7246" display="littlebrownskink"/>
    <hyperlink ref="H2563" r:id="rId7247" display="Deed - Attribution-NonCommercial 4.0 International - Creative Commons"/>
    <hyperlink ref="I2563" r:id="rId7248" display="https://www.inaturalist.org/observations/395675754"/>
    <hyperlink ref="G2564" r:id="rId7249" display="bobgood"/>
    <hyperlink ref="H2564" r:id="rId7250" display="Deed - Attribution-NonCommercial 4.0 International - Creative Commons"/>
    <hyperlink ref="I2564" r:id="rId7251" display="https://www.inaturalist.org/observations/394879010"/>
    <hyperlink ref="G2565" r:id="rId7252" display="grahamarmstrong"/>
    <hyperlink ref="H2565" r:id="rId7253" display="Deed - Attribution-NonCommercial 4.0 International - Creative Commons"/>
    <hyperlink ref="I2565" r:id="rId7254" display="https://www.inaturalist.org/observations/392307766"/>
    <hyperlink ref="G2566" r:id="rId7255" display="grahamarmstrong"/>
    <hyperlink ref="H2566" r:id="rId7256" display="Deed - Attribution-NonCommercial 4.0 International - Creative Commons"/>
    <hyperlink ref="I2566" r:id="rId7257" display="https://www.inaturalist.org/observations/392307766"/>
    <hyperlink ref="G2567" r:id="rId7258" display="levibrownwild"/>
    <hyperlink ref="H2567" r:id="rId7259" display="Deed - Attribution-NonCommercial 4.0 International - Creative Commons"/>
    <hyperlink ref="I2567" r:id="rId7260" display="https://www.inaturalist.org/observations/355251141"/>
    <hyperlink ref="G2568" r:id="rId7261" display="ben_hicks_"/>
    <hyperlink ref="H2568" r:id="rId7262" display="Deed - Attribution-NonCommercial 4.0 International - Creative Commons"/>
    <hyperlink ref="I2568" r:id="rId7263" display="https://www.inaturalist.org/observations/337165859"/>
    <hyperlink ref="G2569" r:id="rId7264" display="periplaneta"/>
    <hyperlink ref="H2569" r:id="rId7265" display="Deed - Attribution-NonCommercial 4.0 International - Creative Commons"/>
    <hyperlink ref="I2569" r:id="rId7266" display="https://www.inaturalist.org/observations/320569877"/>
    <hyperlink ref="G2570" r:id="rId7267" display="periplaneta"/>
    <hyperlink ref="H2570" r:id="rId7268" display="Deed - Attribution-NonCommercial 4.0 International - Creative Commons"/>
    <hyperlink ref="I2570" r:id="rId7269" display="https://www.inaturalist.org/observations/320569877"/>
    <hyperlink ref="G2571" r:id="rId7270" display="lorenzofraysse"/>
    <hyperlink ref="H2571" r:id="rId7271" display="Deed - Attribution-NonCommercial 4.0 International - Creative Commons"/>
    <hyperlink ref="I2571" r:id="rId7272" display="https://www.inaturalist.org/observations/318164830"/>
    <hyperlink ref="G2572" r:id="rId7273" display="lorenzofraysse"/>
    <hyperlink ref="H2572" r:id="rId7274" display="Deed - Attribution-NonCommercial 4.0 International - Creative Commons"/>
    <hyperlink ref="I2572" r:id="rId7275" display="https://www.inaturalist.org/observations/318164614"/>
    <hyperlink ref="G2573" r:id="rId7276" display="rabbitboy64"/>
    <hyperlink ref="H2573" r:id="rId7277" display="Deed - Attribution-NonCommercial 4.0 International - Creative Commons"/>
    <hyperlink ref="I2573" r:id="rId7278" display="https://www.inaturalist.org/observations/315785633"/>
    <hyperlink ref="G2574" r:id="rId7279" display="amelielague"/>
    <hyperlink ref="H2574" r:id="rId7280" display="Deed - Attribution-NonCommercial 4.0 International - Creative Commons"/>
    <hyperlink ref="I2574" r:id="rId7281" display="https://www.inaturalist.org/observations/315168371"/>
    <hyperlink ref="G2575" r:id="rId7282" display="snakesrcool"/>
    <hyperlink ref="H2575" r:id="rId7283" display="Deed - Attribution-NonCommercial 4.0 International - Creative Commons"/>
    <hyperlink ref="I2575" r:id="rId7284" display="https://www.inaturalist.org/observations/234841835"/>
    <hyperlink ref="G2576" r:id="rId7285" display="forresthe"/>
    <hyperlink ref="H2576" r:id="rId7286" display="Deed - Attribution-NonCommercial 4.0 International - Creative Commons"/>
    <hyperlink ref="I2576" r:id="rId7287" display="https://www.inaturalist.org/observations/230495058"/>
    <hyperlink ref="G2577" r:id="rId7288" display="forresthe"/>
    <hyperlink ref="H2577" r:id="rId7289" display="Deed - Attribution-NonCommercial 4.0 International - Creative Commons"/>
    <hyperlink ref="I2577" r:id="rId7290" display="https://www.inaturalist.org/observations/197370114"/>
    <hyperlink ref="G2578" r:id="rId7291" display="forresthe"/>
    <hyperlink ref="H2578" r:id="rId7292" display="Deed - Attribution-NonCommercial 4.0 International - Creative Commons"/>
    <hyperlink ref="I2578" r:id="rId7293" display="https://www.inaturalist.org/observations/197380438"/>
    <hyperlink ref="G2579" r:id="rId7294" display="snakesrcool"/>
    <hyperlink ref="H2579" r:id="rId7295" display="Deed - Attribution-NonCommercial 4.0 International - Creative Commons"/>
    <hyperlink ref="I2579" r:id="rId7296" display="https://www.inaturalist.org/observations/182908239"/>
    <hyperlink ref="G2580" r:id="rId7297" display="snakesrcool"/>
    <hyperlink ref="H2580" r:id="rId7298" display="Deed - Attribution-NonCommercial 4.0 International - Creative Commons"/>
    <hyperlink ref="I2580" r:id="rId7299" display="https://www.inaturalist.org/observations/154566354"/>
    <hyperlink ref="G2581" r:id="rId7300" display="snakesrcool"/>
    <hyperlink ref="H2581" r:id="rId7301" display="Deed - Attribution-NonCommercial 4.0 International - Creative Commons"/>
    <hyperlink ref="I2581" r:id="rId7302" display="https://www.inaturalist.org/observations/176905727"/>
    <hyperlink ref="G2582" r:id="rId7303" display="snakesrcool"/>
    <hyperlink ref="H2582" r:id="rId7304" display="Deed - Attribution-NonCommercial 4.0 International - Creative Commons"/>
    <hyperlink ref="I2582" r:id="rId7305" display="https://www.inaturalist.org/observations/171329845"/>
    <hyperlink ref="G2583" r:id="rId7306" display="forresthe"/>
    <hyperlink ref="H2583" r:id="rId7307" display="Deed - Attribution-NonCommercial 4.0 International - Creative Commons"/>
    <hyperlink ref="I2583" r:id="rId7308" display="https://www.inaturalist.org/observations/252148454"/>
    <hyperlink ref="G2584" r:id="rId7309" display="pglaouto"/>
    <hyperlink ref="H2584" r:id="rId7310" display="Deed - Attribution-NonCommercial 4.0 International - Creative Commons"/>
    <hyperlink ref="I2584" r:id="rId7311" display="https://www.inaturalist.org/observations/203419475"/>
    <hyperlink ref="G2585" r:id="rId7312" display="snakesrcool"/>
    <hyperlink ref="H2585" r:id="rId7313" display="Deed - Attribution-NonCommercial 4.0 International - Creative Commons"/>
    <hyperlink ref="I2585" r:id="rId7314" display="https://www.inaturalist.org/observations/198275490"/>
    <hyperlink ref="G2586" r:id="rId7315" display="snakesrcool"/>
    <hyperlink ref="H2586" r:id="rId7316" display="Deed - Attribution-NonCommercial 4.0 International - Creative Commons"/>
    <hyperlink ref="I2586" r:id="rId7317" display="https://www.inaturalist.org/observations/191810621"/>
    <hyperlink ref="G2587" r:id="rId7318" display="snakesrcool"/>
    <hyperlink ref="H2587" r:id="rId7319" display="Deed - Attribution-NonCommercial 4.0 International - Creative Commons"/>
    <hyperlink ref="I2587" r:id="rId7320" display="https://www.inaturalist.org/observations/191648752"/>
    <hyperlink ref="G2588" r:id="rId7321" display="snakesrcool"/>
    <hyperlink ref="H2588" r:id="rId7322" display="Deed - Attribution-NonCommercial 4.0 International - Creative Commons"/>
    <hyperlink ref="I2588" r:id="rId7323" display="https://www.inaturalist.org/observations/182908262"/>
    <hyperlink ref="G2589" r:id="rId7324" display="snakesrcool"/>
    <hyperlink ref="H2589" r:id="rId7325" display="Deed - Attribution-NonCommercial 4.0 International - Creative Commons"/>
    <hyperlink ref="I2589" r:id="rId7326" display="https://www.inaturalist.org/observations/174065364"/>
    <hyperlink ref="G2590" r:id="rId7327" display="bigpseudemoia123"/>
    <hyperlink ref="H2590" r:id="rId7328" display="Deed - Attribution-NonCommercial 4.0 International - Creative Commons"/>
    <hyperlink ref="I2590" r:id="rId7329" display="https://www.inaturalist.org/observations/170250345"/>
    <hyperlink ref="G2591" r:id="rId7330" display="bigpseudemoia123"/>
    <hyperlink ref="H2591" r:id="rId7331" display="Deed - Attribution-NonCommercial 4.0 International - Creative Commons"/>
    <hyperlink ref="I2591" r:id="rId7332" display="https://www.inaturalist.org/observations/169353469"/>
    <hyperlink ref="G2592" r:id="rId7333" display="jules_farquhar"/>
    <hyperlink ref="H2592" r:id="rId7334" display="Deed - Attribution-NonCommercial 4.0 International - Creative Commons"/>
    <hyperlink ref="I2592" r:id="rId7335" display="https://www.inaturalist.org/observations/164777064"/>
    <hyperlink ref="G2593" r:id="rId7336" display="snakesrcool"/>
    <hyperlink ref="H2593" r:id="rId7337" display="Deed - Attribution-NonCommercial 4.0 International - Creative Commons"/>
    <hyperlink ref="I2593" r:id="rId7338" display="https://www.inaturalist.org/observations/150401772"/>
    <hyperlink ref="G2594" r:id="rId7339" display="snakesrcool"/>
    <hyperlink ref="H2594" r:id="rId7340" display="Deed - Attribution-NonCommercial 4.0 International - Creative Commons"/>
    <hyperlink ref="I2594" r:id="rId7341" display="https://www.inaturalist.org/observations/148346349"/>
    <hyperlink ref="G2595" r:id="rId7342" display="snakesrcool"/>
    <hyperlink ref="H2595" r:id="rId7343" display="Deed - Attribution-NonCommercial 4.0 International - Creative Commons"/>
    <hyperlink ref="I2595" r:id="rId7344" display="https://www.inaturalist.org/observations/147024263"/>
    <hyperlink ref="G2596" r:id="rId7345" display="snakesrcool"/>
    <hyperlink ref="H2596" r:id="rId7346" display="Deed - Attribution-NonCommercial 4.0 International - Creative Commons"/>
    <hyperlink ref="I2596" r:id="rId7347" display="https://www.inaturalist.org/observations/135245746"/>
    <hyperlink ref="G2597" r:id="rId7348" display="snakesrcool"/>
    <hyperlink ref="H2597" r:id="rId7349" display="Deed - Attribution-NonCommercial 4.0 International - Creative Commons"/>
    <hyperlink ref="I2597" r:id="rId7350" display="https://www.inaturalist.org/observations/108164731"/>
    <hyperlink ref="G2598" r:id="rId7351" display="snakesrcool"/>
    <hyperlink ref="H2598" r:id="rId7352" display="Deed - Attribution-NonCommercial 4.0 International - Creative Commons"/>
    <hyperlink ref="I2598" r:id="rId7353" display="https://www.inaturalist.org/observations/103290019"/>
    <hyperlink ref="G2599" r:id="rId7354" display="snakesrcool"/>
    <hyperlink ref="H2599" r:id="rId7355" display="Deed - Attribution-NonCommercial 4.0 International - Creative Commons"/>
    <hyperlink ref="I2599" r:id="rId7356" display="https://www.inaturalist.org/observations/103290019"/>
    <hyperlink ref="G2600" r:id="rId7357" display="grahamarmstrong"/>
    <hyperlink ref="H2600" r:id="rId7358" display="Deed - Attribution-NonCommercial 4.0 International - Creative Commons"/>
    <hyperlink ref="I2600" r:id="rId7359" display="https://www.inaturalist.org/observations/98435231"/>
    <hyperlink ref="G2601" r:id="rId7360" display="alifsmithii"/>
    <hyperlink ref="H2601" r:id="rId7361" display="Deed - Attribution-NonCommercial 4.0 International - Creative Commons"/>
    <hyperlink ref="I2601" r:id="rId7362" display="https://www.inaturalist.org/observations/388652326"/>
    <hyperlink ref="G2602" r:id="rId7363" display="bitterns_and_brolgas"/>
    <hyperlink ref="H2602" r:id="rId7364" display="Deed - Attribution-NonCommercial 4.0 International - Creative Commons"/>
    <hyperlink ref="I2602" r:id="rId7365" display="https://www.inaturalist.org/observations/380172849"/>
    <hyperlink ref="G2603" r:id="rId7366" display="nevosfarm"/>
    <hyperlink ref="H2603" r:id="rId7367" display="Deed - Attribution-NonCommercial 4.0 International - Creative Commons"/>
    <hyperlink ref="I2603" r:id="rId7368" display="https://www.inaturalist.org/observations/373394231"/>
    <hyperlink ref="G2604" r:id="rId7369" display="jackfegan"/>
    <hyperlink ref="H2604" r:id="rId7370" display="Deed - Attribution-NonCommercial 4.0 International - Creative Commons"/>
    <hyperlink ref="I2604" r:id="rId7371" display="https://www.inaturalist.org/observations/350489124"/>
    <hyperlink ref="G2605" r:id="rId7372" display="willjmatthews04"/>
    <hyperlink ref="H2605" r:id="rId7373" display="Deed - Attribution-NonCommercial 4.0 International - Creative Commons"/>
    <hyperlink ref="I2605" r:id="rId7374" display="https://www.inaturalist.org/observations/330943670"/>
    <hyperlink ref="G2606" r:id="rId7375" display="philip_g"/>
    <hyperlink ref="H2606" r:id="rId7376" display="Deed - Attribution-NonCommercial 4.0 International - Creative Commons"/>
    <hyperlink ref="I2606" r:id="rId7377" display="https://www.inaturalist.org/observations/325121062"/>
    <hyperlink ref="G2607" r:id="rId7378" display="brad_gabriel"/>
    <hyperlink ref="H2607" r:id="rId7379" display="Deed - Attribution-NonCommercial 4.0 International - Creative Commons"/>
    <hyperlink ref="I2607" r:id="rId7380" display="https://www.inaturalist.org/observations/319735000"/>
    <hyperlink ref="G2608" r:id="rId7381" display="shanewalsh"/>
    <hyperlink ref="H2608" r:id="rId7382" display="Deed - Attribution-NonCommercial 4.0 International - Creative Commons"/>
    <hyperlink ref="I2608" r:id="rId7383" display="https://www.inaturalist.org/observations/309414861"/>
    <hyperlink ref="G2609" r:id="rId7384" display="stucochrane"/>
    <hyperlink ref="H2609" r:id="rId7385" display="Deed - Attribution-NonCommercial 4.0 International - Creative Commons"/>
    <hyperlink ref="I2609" r:id="rId7386" display="https://www.inaturalist.org/observations/308933050"/>
    <hyperlink ref="G2610" r:id="rId7387" display="alburyw"/>
    <hyperlink ref="H2610" r:id="rId7388" display="Deed - Attribution-NonCommercial 4.0 International - Creative Commons"/>
    <hyperlink ref="I2610" r:id="rId7389" display="https://www.inaturalist.org/observations/307467212"/>
    <hyperlink ref="G2611" r:id="rId7390" display="alburyw"/>
    <hyperlink ref="H2611" r:id="rId7391" display="Deed - Attribution-NonCommercial 4.0 International - Creative Commons"/>
    <hyperlink ref="I2611" r:id="rId7392" display="https://www.inaturalist.org/observations/307467212"/>
    <hyperlink ref="G2612" r:id="rId7393" display="nchp"/>
    <hyperlink ref="H2612" r:id="rId7394" display="Deed - Attribution-NonCommercial 4.0 International - Creative Commons"/>
    <hyperlink ref="I2612" r:id="rId7395" display="https://www.inaturalist.org/observations/282292887"/>
    <hyperlink ref="G2613" r:id="rId7396" display="semi-milker"/>
    <hyperlink ref="H2613" r:id="rId7397" display="Deed - Attribution-NonCommercial 4.0 International - Creative Commons"/>
    <hyperlink ref="I2613" r:id="rId7398" display="https://www.inaturalist.org/observations/259725429"/>
    <hyperlink ref="G2614" r:id="rId7399" display="lynchyw1ldlife"/>
    <hyperlink ref="H2614" r:id="rId7400" display="Deed - Attribution-NonCommercial 4.0 International - Creative Commons"/>
    <hyperlink ref="I2614" r:id="rId7401" display="https://www.inaturalist.org/observations/256307633"/>
    <hyperlink ref="G2615" r:id="rId7402" display="greenhamburger"/>
    <hyperlink ref="H2615" r:id="rId7403" display="Deed - Attribution-NonCommercial 4.0 International - Creative Commons"/>
    <hyperlink ref="I2615" r:id="rId7404" display="https://www.inaturalist.org/observations/252791246"/>
    <hyperlink ref="G2616" r:id="rId7405" display="m-jbetts"/>
    <hyperlink ref="H2616" r:id="rId7406" display="Deed - Attribution-NonCommercial 4.0 International - Creative Commons"/>
    <hyperlink ref="I2616" r:id="rId7407" display="https://www.inaturalist.org/observations/250995167"/>
    <hyperlink ref="G2617" r:id="rId7408" display="jcmcinerney"/>
    <hyperlink ref="H2617" r:id="rId7409" display="Deed - Attribution-NonCommercial 4.0 International - Creative Commons"/>
    <hyperlink ref="I2617" r:id="rId7410" display="https://www.inaturalist.org/observations/234880254"/>
    <hyperlink ref="G2618" r:id="rId7411" display="jcmcinerney"/>
    <hyperlink ref="H2618" r:id="rId7412" display="Deed - Attribution-NonCommercial 4.0 International - Creative Commons"/>
    <hyperlink ref="I2618" r:id="rId7413" display="https://www.inaturalist.org/observations/234880254"/>
    <hyperlink ref="G2619" r:id="rId7414" display="owenlishmund"/>
    <hyperlink ref="H2619" r:id="rId7415" display="Deed - Attribution-NonCommercial 4.0 International - Creative Commons"/>
    <hyperlink ref="I2619" r:id="rId7416" display="https://www.inaturalist.org/observations/232220092"/>
    <hyperlink ref="G2620" r:id="rId7417" display="em_nature"/>
    <hyperlink ref="H2620" r:id="rId7418" display="Deed - Attribution-NonCommercial 4.0 International - Creative Commons"/>
    <hyperlink ref="I2620" r:id="rId7419" display="https://www.inaturalist.org/observations/224521432"/>
    <hyperlink ref="G2621" r:id="rId7420" display="alexander_dudley"/>
    <hyperlink ref="H2621" r:id="rId7421" display="Deed - Attribution-NonCommercial 4.0 International - Creative Commons"/>
    <hyperlink ref="I2621" r:id="rId7422" display="https://www.inaturalist.org/observations/201080202"/>
    <hyperlink ref="G2622" r:id="rId7423" display="kimtemby"/>
    <hyperlink ref="H2622" r:id="rId7424" display="Deed - Attribution-NonCommercial 4.0 International - Creative Commons"/>
    <hyperlink ref="I2622" r:id="rId7425" display="https://www.inaturalist.org/observations/198598280"/>
    <hyperlink ref="G2623" r:id="rId7426" display="darcywhittaker"/>
    <hyperlink ref="H2623" r:id="rId7427" display="Deed - Attribution-NonCommercial 4.0 International - Creative Commons"/>
    <hyperlink ref="I2623" r:id="rId7428" display="https://www.inaturalist.org/observations/393769415"/>
    <hyperlink ref="G2624" r:id="rId7429" display="darcywhittaker"/>
    <hyperlink ref="H2624" r:id="rId7430" display="Deed - Attribution-NonCommercial 4.0 International - Creative Commons"/>
    <hyperlink ref="I2624" r:id="rId7431" display="https://www.inaturalist.org/observations/393769415"/>
    <hyperlink ref="G2625" r:id="rId7432" display="jacintafrancesca"/>
    <hyperlink ref="H2625" r:id="rId7433" display="Deed - Attribution-NonCommercial 4.0 International - Creative Commons"/>
    <hyperlink ref="I2625" r:id="rId7434" display="https://www.inaturalist.org/observations/393336189"/>
    <hyperlink ref="G2626" r:id="rId7435" display="ingreen626"/>
    <hyperlink ref="H2626" r:id="rId7436" display="Deed - Attribution-NonCommercial 4.0 International - Creative Commons"/>
    <hyperlink ref="I2626" r:id="rId7437" display="https://www.inaturalist.org/observations/387126115"/>
    <hyperlink ref="G2627" r:id="rId7438" display="cmarquis"/>
    <hyperlink ref="H2627" r:id="rId7439" display="Deed - Attribution-NonCommercial 4.0 International - Creative Commons"/>
    <hyperlink ref="I2627" r:id="rId7440" display="https://www.inaturalist.org/observations/385596229"/>
    <hyperlink ref="G2628" r:id="rId7441" display="aidan_21"/>
    <hyperlink ref="H2628" r:id="rId7442" display="Deed - Attribution-NonCommercial 4.0 International - Creative Commons"/>
    <hyperlink ref="I2628" r:id="rId7443" display="https://www.inaturalist.org/observations/362671891"/>
    <hyperlink ref="G2629" r:id="rId7444" display="scottybertus"/>
    <hyperlink ref="H2629" r:id="rId7445" display="Deed - Attribution-NonCommercial 4.0 International - Creative Commons"/>
    <hyperlink ref="I2629" r:id="rId7446" display="https://www.inaturalist.org/observations/358175232"/>
    <hyperlink ref="G2630" r:id="rId7447" display="anatinus"/>
    <hyperlink ref="H2630" r:id="rId7448" display="Deed - Attribution-NonCommercial 4.0 International - Creative Commons"/>
    <hyperlink ref="I2630" r:id="rId7449" display="https://www.inaturalist.org/observations/352121340"/>
    <hyperlink ref="G2631" r:id="rId7450" display="lucindra"/>
    <hyperlink ref="H2631" r:id="rId7451" display="Deed - Attribution-NonCommercial 4.0 International - Creative Commons"/>
    <hyperlink ref="I2631" r:id="rId7452" display="https://www.inaturalist.org/observations/348849486"/>
    <hyperlink ref="G2632" r:id="rId7453" display="grahamarmstrong"/>
    <hyperlink ref="H2632" r:id="rId7454" display="Deed - Attribution-NonCommercial 4.0 International - Creative Commons"/>
    <hyperlink ref="I2632" r:id="rId7455" display="https://www.inaturalist.org/observations/346728102"/>
    <hyperlink ref="G2633" r:id="rId7456" display="khensen"/>
    <hyperlink ref="H2633" r:id="rId7457" display="Deed - Attribution-NonCommercial 4.0 International - Creative Commons"/>
    <hyperlink ref="I2633" r:id="rId7458" display="https://www.inaturalist.org/observations/334062630"/>
    <hyperlink ref="G2634" r:id="rId7459" display="willjmatthews04"/>
    <hyperlink ref="H2634" r:id="rId7460" display="Deed - Attribution-NonCommercial 4.0 International - Creative Commons"/>
    <hyperlink ref="I2634" r:id="rId7461" display="https://www.inaturalist.org/observations/328154478"/>
    <hyperlink ref="G2635" r:id="rId7462" display="brookiehutchy"/>
    <hyperlink ref="H2635" r:id="rId7463" display="Deed - Attribution-NonCommercial 4.0 International - Creative Commons"/>
    <hyperlink ref="I2635" r:id="rId7464" display="https://www.inaturalist.org/observations/326877296"/>
    <hyperlink ref="G2636" r:id="rId7465" display="carnham"/>
    <hyperlink ref="H2636" r:id="rId7466" display="Deed - Attribution-NonCommercial 4.0 International - Creative Commons"/>
    <hyperlink ref="I2636" r:id="rId7467" display="https://www.inaturalist.org/observations/324065785"/>
    <hyperlink ref="G2637" r:id="rId7468" display="caroljmiller"/>
    <hyperlink ref="H2637" r:id="rId7469" display="Deed - Attribution-NonCommercial 4.0 International - Creative Commons"/>
    <hyperlink ref="I2637" r:id="rId7470" display="https://www.inaturalist.org/observations/320979164"/>
    <hyperlink ref="G2638" r:id="rId7471" display="christinemauger"/>
    <hyperlink ref="H2638" r:id="rId7472" display="Deed - Attribution-NonCommercial 4.0 International - Creative Commons"/>
    <hyperlink ref="I2638" r:id="rId7473" display="https://www.inaturalist.org/observations/318740793"/>
    <hyperlink ref="G2639" r:id="rId7474" display="inspector_frog"/>
    <hyperlink ref="H2639" r:id="rId7475" display="Deed - Attribution-NonCommercial 4.0 International - Creative Commons"/>
    <hyperlink ref="I2639" r:id="rId7476" display="https://www.inaturalist.org/observations/307897967"/>
    <hyperlink ref="G2640" r:id="rId7477" display="herphendrie"/>
    <hyperlink ref="H2640" r:id="rId7478" display="Deed - Attribution-NonCommercial 4.0 International - Creative Commons"/>
    <hyperlink ref="I2640" r:id="rId7479" display="https://www.inaturalist.org/observations/298880034"/>
    <hyperlink ref="G2641" r:id="rId7480" display="aquila00"/>
    <hyperlink ref="H2641" r:id="rId7481" display="Deed - Attribution-NonCommercial 4.0 International - Creative Commons"/>
    <hyperlink ref="I2641" r:id="rId7482" display="https://www.inaturalist.org/observations/280108605"/>
    <hyperlink ref="G2642" r:id="rId7483" display="cesdamess"/>
    <hyperlink ref="H2642" r:id="rId7484" display="Deed - Attribution-NonCommercial 4.0 International - Creative Commons"/>
    <hyperlink ref="I2642" r:id="rId7485" display="https://www.inaturalist.org/observations/278021813"/>
    <hyperlink ref="G2643" r:id="rId7486" display="rycarter"/>
    <hyperlink ref="H2643" r:id="rId7487" display="Deed - Attribution-NonCommercial 4.0 International - Creative Commons"/>
    <hyperlink ref="I2643" r:id="rId7488" display="https://www.inaturalist.org/observations/398419971"/>
    <hyperlink ref="G2644" r:id="rId7489" display="kentdalekelpies"/>
    <hyperlink ref="H2644" r:id="rId7490" display="Deed - Attribution-NonCommercial 4.0 International - Creative Commons"/>
    <hyperlink ref="I2644" r:id="rId7491" display="https://www.inaturalist.org/observations/398405311"/>
    <hyperlink ref="G2645" r:id="rId7492" display="xaver73412"/>
    <hyperlink ref="H2645" r:id="rId7493" display="Deed - Attribution-NonCommercial 4.0 International - Creative Commons"/>
    <hyperlink ref="I2645" r:id="rId7494" display="https://www.inaturalist.org/observations/398346617"/>
    <hyperlink ref="G2646" r:id="rId7495" display="pmartin1"/>
    <hyperlink ref="H2646" r:id="rId7496" display="Deed - Attribution-NonCommercial 4.0 International - Creative Commons"/>
    <hyperlink ref="I2646" r:id="rId7497" display="https://www.inaturalist.org/observations/398081840"/>
    <hyperlink ref="G2647" r:id="rId7498" display="boogman"/>
    <hyperlink ref="H2647" r:id="rId7499" display="Deed - Attribution-NonCommercial 4.0 International - Creative Commons"/>
    <hyperlink ref="I2647" r:id="rId7500" display="https://www.inaturalist.org/observations/397928642"/>
    <hyperlink ref="G2648" r:id="rId7501" display="beccbbbec"/>
    <hyperlink ref="H2648" r:id="rId7502" display="Deed - Attribution-NonCommercial 4.0 International - Creative Commons"/>
    <hyperlink ref="I2648" r:id="rId7503" display="https://www.inaturalist.org/observations/397715714"/>
    <hyperlink ref="G2649" r:id="rId7504" display="brendancasey"/>
    <hyperlink ref="H2649" r:id="rId7505" display="Deed - Attribution-NonCommercial 4.0 International - Creative Commons"/>
    <hyperlink ref="I2649" r:id="rId7506" display="https://www.inaturalist.org/observations/397678937"/>
    <hyperlink ref="G2650" r:id="rId7507" display="brendancasey"/>
    <hyperlink ref="H2650" r:id="rId7508" display="Deed - Attribution-NonCommercial 4.0 International - Creative Commons"/>
    <hyperlink ref="I2650" r:id="rId7509" display="https://www.inaturalist.org/observations/397678937"/>
    <hyperlink ref="G2651" r:id="rId7510" display="boogman"/>
    <hyperlink ref="H2651" r:id="rId7511" display="Deed - Attribution-NonCommercial 4.0 International - Creative Commons"/>
    <hyperlink ref="I2651" r:id="rId7512" display="https://www.inaturalist.org/observations/397675978"/>
    <hyperlink ref="G2652" r:id="rId7513" display="boogman"/>
    <hyperlink ref="H2652" r:id="rId7514" display="Deed - Attribution-NonCommercial 4.0 International - Creative Commons"/>
    <hyperlink ref="I2652" r:id="rId7515" display="https://www.inaturalist.org/observations/397675978"/>
    <hyperlink ref="G2653" r:id="rId7516" display="matthew39722"/>
    <hyperlink ref="H2653" r:id="rId7517" display="Deed - Attribution-NonCommercial 4.0 International - Creative Commons"/>
    <hyperlink ref="I2653" r:id="rId7518" display="https://www.inaturalist.org/observations/397344381"/>
    <hyperlink ref="G2654" r:id="rId7519" display="allthingswildlife2004"/>
    <hyperlink ref="H2654" r:id="rId7520" display="Deed - Attribution-NonCommercial 4.0 International - Creative Commons"/>
    <hyperlink ref="I2654" r:id="rId7521" display="https://www.inaturalist.org/observations/397160531"/>
    <hyperlink ref="G2655" r:id="rId7522" display="allthingswildlife2004"/>
    <hyperlink ref="H2655" r:id="rId7523" display="Deed - Attribution-NonCommercial 4.0 International - Creative Commons"/>
    <hyperlink ref="I2655" r:id="rId7524" display="https://www.inaturalist.org/observations/397160407"/>
    <hyperlink ref="G2656" r:id="rId7525" display="fraserj09"/>
    <hyperlink ref="H2656" r:id="rId7526" display="Deed - Attribution-NonCommercial 4.0 International - Creative Commons"/>
    <hyperlink ref="I2656" r:id="rId7527" display="https://www.inaturalist.org/observations/397066096"/>
    <hyperlink ref="G2657" r:id="rId7528" display="allthingswildlife2004"/>
    <hyperlink ref="H2657" r:id="rId7529" display="Deed - Attribution-NonCommercial 4.0 International - Creative Commons"/>
    <hyperlink ref="I2657" r:id="rId7530" display="https://www.inaturalist.org/observations/396607133"/>
    <hyperlink ref="G2658" r:id="rId7531" display="igomak"/>
    <hyperlink ref="H2658" r:id="rId7532" display="Deed - Attribution-NonCommercial 4.0 International - Creative Commons"/>
    <hyperlink ref="I2658" r:id="rId7533" display="https://www.inaturalist.org/observations/396473511"/>
    <hyperlink ref="G2659" r:id="rId7534" display="sburnett"/>
    <hyperlink ref="H2659" r:id="rId7535" display="Deed - Attribution-NonCommercial 4.0 International - Creative Commons"/>
    <hyperlink ref="I2659" r:id="rId7536" display="https://www.inaturalist.org/observations/398911429"/>
    <hyperlink ref="G2660" r:id="rId7537" display="econeighbour_"/>
    <hyperlink ref="H2660" r:id="rId7538" display="Deed - Attribution-NonCommercial 4.0 International - Creative Commons"/>
    <hyperlink ref="I2660" r:id="rId7539" display="https://www.inaturalist.org/observations/391422759"/>
    <hyperlink ref="G2661" r:id="rId7540" display="wxs3344"/>
    <hyperlink ref="H2661" r:id="rId7541" display="Deed - Attribution-NonCommercial 4.0 International - Creative Commons"/>
    <hyperlink ref="I2661" r:id="rId7542" display="https://www.inaturalist.org/observations/390259305"/>
    <hyperlink ref="G2662" r:id="rId7543" display="garthwimbush"/>
    <hyperlink ref="H2662" r:id="rId7544" display="Deed - Attribution-NonCommercial 4.0 International - Creative Commons"/>
    <hyperlink ref="I2662" r:id="rId7545" display="https://www.inaturalist.org/observations/390184185"/>
    <hyperlink ref="G2663" r:id="rId7546" display="rubynats"/>
    <hyperlink ref="H2663" r:id="rId7547" display="Deed - Attribution-NonCommercial 4.0 International - Creative Commons"/>
    <hyperlink ref="I2663" r:id="rId7548" display="https://www.inaturalist.org/observations/389559078"/>
    <hyperlink ref="G2664" r:id="rId7549" display="neverwinter"/>
    <hyperlink ref="H2664" r:id="rId7550" display="Deed - Attribution-NonCommercial 4.0 International - Creative Commons"/>
    <hyperlink ref="I2664" r:id="rId7551" display="https://www.inaturalist.org/observations/389257303"/>
    <hyperlink ref="G2665" r:id="rId7552" display="fenningy"/>
    <hyperlink ref="H2665" r:id="rId7553" display="Deed - Attribution-NonCommercial 4.0 International - Creative Commons"/>
    <hyperlink ref="I2665" r:id="rId7554" display="https://www.inaturalist.org/observations/389230371"/>
    <hyperlink ref="G2666" r:id="rId7555" display="cesdamess"/>
    <hyperlink ref="H2666" r:id="rId7556" display="Deed - Attribution-NonCommercial 4.0 International - Creative Commons"/>
    <hyperlink ref="I2666" r:id="rId7557" display="https://www.inaturalist.org/observations/388950257"/>
    <hyperlink ref="G2667" r:id="rId7558" display="nickowesto"/>
    <hyperlink ref="H2667" r:id="rId7559" display="Deed - Attribution-NonCommercial 4.0 International - Creative Commons"/>
    <hyperlink ref="I2667" r:id="rId7560" display="https://www.inaturalist.org/observations/388703767"/>
    <hyperlink ref="G2668" r:id="rId7561" display="beccbbbec"/>
    <hyperlink ref="H2668" r:id="rId7562" display="Deed - Attribution-NonCommercial 4.0 International - Creative Commons"/>
    <hyperlink ref="I2668" r:id="rId7563" display="https://www.inaturalist.org/observations/388699237"/>
    <hyperlink ref="G2669" r:id="rId7564" display="beccbbbec"/>
    <hyperlink ref="H2669" r:id="rId7565" display="Deed - Attribution-NonCommercial 4.0 International - Creative Commons"/>
    <hyperlink ref="I2669" r:id="rId7566" display="https://www.inaturalist.org/observations/388699232"/>
    <hyperlink ref="G2670" r:id="rId7567" display="beccbbbec"/>
    <hyperlink ref="H2670" r:id="rId7568" display="Deed - Attribution-NonCommercial 4.0 International - Creative Commons"/>
    <hyperlink ref="I2670" r:id="rId7569" display="https://www.inaturalist.org/observations/388699227"/>
    <hyperlink ref="G2671" r:id="rId7570" display="davidk4895"/>
    <hyperlink ref="H2671" r:id="rId7571" display="Deed - Attribution-NonCommercial 4.0 International - Creative Commons"/>
    <hyperlink ref="I2671" r:id="rId7572" display="https://www.inaturalist.org/observations/388337856"/>
    <hyperlink ref="G2672" r:id="rId7573" display="cannabinoid-respecter"/>
    <hyperlink ref="H2672" r:id="rId7574" display="Deed - Attribution-NonCommercial 4.0 International - Creative Commons"/>
    <hyperlink ref="I2672" r:id="rId7575" display="https://www.inaturalist.org/observations/388075157"/>
    <hyperlink ref="G2673" r:id="rId7576" display="deec1322"/>
    <hyperlink ref="H2673" r:id="rId7577" display="Deed - Attribution-NonCommercial 4.0 International - Creative Commons"/>
    <hyperlink ref="I2673" r:id="rId7578" display="https://www.inaturalist.org/observations/387873305"/>
    <hyperlink ref="G2674" r:id="rId7579" display="norman22291"/>
    <hyperlink ref="H2674" r:id="rId7580" display="Deed - Attribution-NonCommercial 4.0 International - Creative Commons"/>
    <hyperlink ref="I2674" r:id="rId7581" display="https://www.inaturalist.org/observations/387836173"/>
    <hyperlink ref="G2675" r:id="rId7582" display="tomvig2024"/>
    <hyperlink ref="H2675" r:id="rId7583" display="Deed - Attribution-NonCommercial 4.0 International - Creative Commons"/>
    <hyperlink ref="I2675" r:id="rId7584" display="https://www.inaturalist.org/observations/386476262"/>
    <hyperlink ref="G2676" r:id="rId7585" display="tomvig2024"/>
    <hyperlink ref="H2676" r:id="rId7586" display="Deed - Attribution-NonCommercial 4.0 International - Creative Commons"/>
    <hyperlink ref="I2676" r:id="rId7587" display="https://www.inaturalist.org/observations/386476262"/>
    <hyperlink ref="G2677" r:id="rId7588" display="darcy_c"/>
    <hyperlink ref="H2677" r:id="rId7589" display="Deed - Attribution-NonCommercial 4.0 International - Creative Commons"/>
    <hyperlink ref="I2677" r:id="rId7590" display="https://www.inaturalist.org/observations/385938725"/>
    <hyperlink ref="G2678" r:id="rId7591" display="thepittofdan"/>
    <hyperlink ref="H2678" r:id="rId7592" display="Deed - Attribution-NonCommercial 4.0 International - Creative Commons"/>
    <hyperlink ref="I2678" r:id="rId7593" display="https://www.inaturalist.org/observations/385890638"/>
    <hyperlink ref="G2679" r:id="rId7594" display="jmag1"/>
    <hyperlink ref="H2679" r:id="rId7595" display="Deed - Attribution-NonCommercial 4.0 International - Creative Commons"/>
    <hyperlink ref="I2679" r:id="rId7596" display="https://www.inaturalist.org/observations/384864123"/>
    <hyperlink ref="G2680" r:id="rId7597" display="catfood"/>
    <hyperlink ref="H2680" r:id="rId7598" display="Deed - Attribution-NonCommercial 4.0 International - Creative Commons"/>
    <hyperlink ref="I2680" r:id="rId7599" display="https://www.inaturalist.org/observations/384780909"/>
    <hyperlink ref="G2681" r:id="rId7600" display="oonawuwow"/>
    <hyperlink ref="H2681" r:id="rId7601" display="Deed - Attribution-NonCommercial 4.0 International - Creative Commons"/>
    <hyperlink ref="I2681" r:id="rId7602" display="https://www.inaturalist.org/observations/384739602"/>
    <hyperlink ref="G2682" r:id="rId7603" display="tom18072"/>
    <hyperlink ref="H2682" r:id="rId7604" display="Deed - Attribution-NonCommercial 4.0 International - Creative Commons"/>
    <hyperlink ref="I2682" r:id="rId7605" display="https://www.inaturalist.org/observations/383888995"/>
    <hyperlink ref="G2683" r:id="rId7606" display="petehallinwildlife"/>
    <hyperlink ref="H2683" r:id="rId7607" display="Deed - Attribution-NonCommercial 4.0 International - Creative Commons"/>
    <hyperlink ref="I2683" r:id="rId7608" display="https://www.inaturalist.org/observations/383849838"/>
    <hyperlink ref="G2684" r:id="rId7609" display="mitchell73"/>
    <hyperlink ref="H2684" r:id="rId7610" display="Deed - Attribution-NonCommercial 4.0 International - Creative Commons"/>
    <hyperlink ref="I2684" r:id="rId7611" display="https://www.inaturalist.org/observations/383835650"/>
    <hyperlink ref="G2685" r:id="rId7612" display="khensen"/>
    <hyperlink ref="H2685" r:id="rId7613" display="Deed - Attribution-NonCommercial 4.0 International - Creative Commons"/>
    <hyperlink ref="I2685" r:id="rId7614" display="https://www.inaturalist.org/observations/383592124"/>
    <hyperlink ref="G2686" r:id="rId7615" display="georgiarainey"/>
    <hyperlink ref="H2686" r:id="rId7616" display="Deed - Attribution-NonCommercial 4.0 International - Creative Commons"/>
    <hyperlink ref="I2686" r:id="rId7617" display="https://www.inaturalist.org/observations/383161140"/>
    <hyperlink ref="G2687" r:id="rId7618" display="finnycohen"/>
    <hyperlink ref="H2687" r:id="rId7619" display="Deed - Attribution-NonCommercial 4.0 International - Creative Commons"/>
    <hyperlink ref="I2687" r:id="rId7620" display="https://www.inaturalist.org/observations/382786921"/>
    <hyperlink ref="G2688" r:id="rId7621" display="geoffwilkins"/>
    <hyperlink ref="H2688" r:id="rId7622" display="Deed - Attribution-NonCommercial 4.0 International - Creative Commons"/>
    <hyperlink ref="I2688" r:id="rId7623" display="https://www.inaturalist.org/observations/382485450"/>
    <hyperlink ref="G2689" r:id="rId7624" display="jeff55746"/>
    <hyperlink ref="H2689" r:id="rId7625" display="Deed - Attribution-NonCommercial 4.0 International - Creative Commons"/>
    <hyperlink ref="I2689" r:id="rId7626" display="https://www.inaturalist.org/observations/380605676"/>
    <hyperlink ref="G2690" r:id="rId7627" display="rossbrockway"/>
    <hyperlink ref="H2690" r:id="rId7628" display="Deed - Attribution-NonCommercial 4.0 International - Creative Commons"/>
    <hyperlink ref="I2690" r:id="rId7629" display="https://www.inaturalist.org/observations/379923916"/>
    <hyperlink ref="G2691" r:id="rId7630" display="scoll362"/>
    <hyperlink ref="H2691" r:id="rId7631" display="Deed - Attribution-NonCommercial 4.0 International - Creative Commons"/>
    <hyperlink ref="I2691" r:id="rId7632" display="https://www.inaturalist.org/observations/379343741"/>
    <hyperlink ref="G2692" r:id="rId7633" display="scoll362"/>
    <hyperlink ref="H2692" r:id="rId7634" display="Deed - Attribution-NonCommercial 4.0 International - Creative Commons"/>
    <hyperlink ref="I2692" r:id="rId7635" display="https://www.inaturalist.org/observations/379343741"/>
    <hyperlink ref="G2693" r:id="rId7636" display="will_hickling99"/>
    <hyperlink ref="H2693" r:id="rId7637" display="Deed - Attribution-NonCommercial 4.0 International - Creative Commons"/>
    <hyperlink ref="I2693" r:id="rId7638" display="https://www.inaturalist.org/observations/378960576"/>
    <hyperlink ref="G2694" r:id="rId7639" display="dadwhatsthis"/>
    <hyperlink ref="H2694" r:id="rId7640" display="Deed - Attribution-NonCommercial 4.0 International - Creative Commons"/>
    <hyperlink ref="I2694" r:id="rId7641" display="https://www.inaturalist.org/observations/378592907"/>
    <hyperlink ref="G2695" r:id="rId7642" display="lovejoyinfinity"/>
    <hyperlink ref="H2695" r:id="rId7643" display="Deed - Attribution-NonCommercial 4.0 International - Creative Commons"/>
    <hyperlink ref="I2695" r:id="rId7644" display="https://www.inaturalist.org/observations/378317149"/>
    <hyperlink ref="G2696" r:id="rId7645" display="beccbbbec"/>
    <hyperlink ref="H2696" r:id="rId7646" display="Deed - Attribution-NonCommercial 4.0 International - Creative Commons"/>
    <hyperlink ref="I2696" r:id="rId7647" display="https://www.inaturalist.org/observations/377993392"/>
    <hyperlink ref="G2697" r:id="rId7648" display="mieke_van_der_merwe"/>
    <hyperlink ref="H2697" r:id="rId7649" display="Deed - Attribution-NonCommercial 4.0 International - Creative Commons"/>
    <hyperlink ref="I2697" r:id="rId7650" display="https://www.inaturalist.org/observations/376129175"/>
    <hyperlink ref="G2698" r:id="rId7651" display="tdjsayers"/>
    <hyperlink ref="H2698" r:id="rId7652" display="Deed - Attribution-NonCommercial 4.0 International - Creative Commons"/>
    <hyperlink ref="I2698" r:id="rId7653" display="https://www.inaturalist.org/observations/374548128"/>
    <hyperlink ref="G2699" r:id="rId7654" display="nick_vine"/>
    <hyperlink ref="H2699" r:id="rId7655" display="Deed - Attribution-NonCommercial 4.0 International - Creative Commons"/>
    <hyperlink ref="I2699" r:id="rId7656" display="https://www.inaturalist.org/observations/372207484"/>
    <hyperlink ref="G2700" r:id="rId7657" display="kiaoraroy"/>
    <hyperlink ref="H2700" r:id="rId7658" display="Deed - Attribution-NonCommercial 4.0 International - Creative Commons"/>
    <hyperlink ref="I2700" r:id="rId7659" display="https://www.inaturalist.org/observations/371772504"/>
    <hyperlink ref="G2701" r:id="rId7660" display="takayna"/>
    <hyperlink ref="H2701" r:id="rId7661" display="Deed - Attribution-NonCommercial 4.0 International - Creative Commons"/>
    <hyperlink ref="I2701" r:id="rId7662" display="https://www.inaturalist.org/observations/367977082"/>
    <hyperlink ref="G2702" r:id="rId7663" display="j_beatts"/>
    <hyperlink ref="H2702" r:id="rId7664" display="Deed - Attribution-NonCommercial 4.0 International - Creative Commons"/>
    <hyperlink ref="I2702" r:id="rId7665" display="https://www.inaturalist.org/observations/361376821"/>
    <hyperlink ref="G2703" r:id="rId7666" display="mwhoran"/>
    <hyperlink ref="H2703" r:id="rId7667" display="Deed - Attribution-NonCommercial 4.0 International - Creative Commons"/>
    <hyperlink ref="I2703" r:id="rId7668" display="https://www.inaturalist.org/observations/360452514"/>
    <hyperlink ref="G2704" r:id="rId7669" display="mwhoran"/>
    <hyperlink ref="H2704" r:id="rId7670" display="Deed - Attribution-NonCommercial 4.0 International - Creative Commons"/>
    <hyperlink ref="I2704" r:id="rId7671" display="https://www.inaturalist.org/observations/360452514"/>
    <hyperlink ref="G2705" r:id="rId7672" display="sophiemah"/>
    <hyperlink ref="H2705" r:id="rId7673" display="Deed - Attribution-NonCommercial 4.0 International - Creative Commons"/>
    <hyperlink ref="I2705" r:id="rId7674" display="https://www.inaturalist.org/observations/341298899"/>
    <hyperlink ref="G2706" r:id="rId7675" display="beaustock350"/>
    <hyperlink ref="H2706" r:id="rId7676" display="Deed - Attribution-NonCommercial 4.0 International - Creative Commons"/>
    <hyperlink ref="I2706" r:id="rId7677" display="https://www.inaturalist.org/observations/340570358"/>
    <hyperlink ref="G2707" r:id="rId7678" display="williamscott279"/>
    <hyperlink ref="H2707" r:id="rId7679" display="Deed - Attribution-NonCommercial 4.0 International - Creative Commons"/>
    <hyperlink ref="I2707" r:id="rId7680" display="https://www.inaturalist.org/observations/337071843"/>
    <hyperlink ref="G2708" r:id="rId7681" display="donglerthrongler"/>
    <hyperlink ref="H2708" r:id="rId7682" display="Deed - Attribution-NonCommercial 4.0 International - Creative Commons"/>
    <hyperlink ref="I2708" r:id="rId7683" display="https://www.inaturalist.org/observations/336221875"/>
    <hyperlink ref="G2709" r:id="rId7684" display="elliesexotics"/>
    <hyperlink ref="H2709" r:id="rId7685" display="Deed - Attribution-NonCommercial 4.0 International - Creative Commons"/>
    <hyperlink ref="I2709" r:id="rId7686" display="https://www.inaturalist.org/observations/328433459"/>
    <hyperlink ref="G2710" r:id="rId7687" display="sophiemah"/>
    <hyperlink ref="H2710" r:id="rId7688" display="Deed - Attribution-NonCommercial 4.0 International - Creative Commons"/>
    <hyperlink ref="I2710" r:id="rId7689" display="https://www.inaturalist.org/observations/322696463"/>
    <hyperlink ref="G2711" r:id="rId7690" display="sophiemah"/>
    <hyperlink ref="H2711" r:id="rId7691" display="Deed - Attribution-NonCommercial 4.0 International - Creative Commons"/>
    <hyperlink ref="I2711" r:id="rId7692" display="https://www.inaturalist.org/observations/322564394"/>
    <hyperlink ref="G2712" r:id="rId7693" display="mingeuncho"/>
    <hyperlink ref="H2712" r:id="rId7694" display="Deed - Attribution-NonCommercial 4.0 International - Creative Commons"/>
    <hyperlink ref="I2712" r:id="rId7695" display="https://www.inaturalist.org/observations/322355630"/>
    <hyperlink ref="G2713" r:id="rId7696" display="leito19"/>
    <hyperlink ref="H2713" r:id="rId7697" display="Deed - Attribution-NonCommercial 4.0 International - Creative Commons"/>
    <hyperlink ref="I2713" r:id="rId7698" display="https://www.inaturalist.org/observations/322203943"/>
    <hyperlink ref="G2714" r:id="rId7699" display="willjmatthews04"/>
    <hyperlink ref="H2714" r:id="rId7700" display="Deed - Attribution-NonCommercial 4.0 International - Creative Commons"/>
    <hyperlink ref="I2714" r:id="rId7701" display="https://www.inaturalist.org/observations/321880945"/>
    <hyperlink ref="G2715" r:id="rId7702" display="alexdaviesz"/>
    <hyperlink ref="H2715" r:id="rId7703" display="Deed - Attribution-NonCommercial 4.0 International - Creative Commons"/>
    <hyperlink ref="I2715" r:id="rId7704" display="https://www.inaturalist.org/observations/284436577"/>
    <hyperlink ref="G2716" r:id="rId7705" display="jacobdevine"/>
    <hyperlink ref="H2716" r:id="rId7706" display="Deed - Attribution-NonCommercial 4.0 International - Creative Commons"/>
    <hyperlink ref="I2716" r:id="rId7707" display="https://www.inaturalist.org/observations/272370884"/>
    <hyperlink ref="G2717" r:id="rId7708" display="jacobdevine"/>
    <hyperlink ref="H2717" r:id="rId7709" display="Deed - Attribution-NonCommercial 4.0 International - Creative Commons"/>
    <hyperlink ref="I2717" r:id="rId7710" display="https://www.inaturalist.org/observations/272370877"/>
    <hyperlink ref="G2718" r:id="rId7711" display="owenlishmund"/>
    <hyperlink ref="H2718" r:id="rId7712" display="Deed - Attribution-NonCommercial 4.0 International - Creative Commons"/>
    <hyperlink ref="I2718" r:id="rId7713" display="https://www.inaturalist.org/observations/259328789"/>
    <hyperlink ref="G2719" r:id="rId7714" display="owenlishmund"/>
    <hyperlink ref="H2719" r:id="rId7715" display="Deed - Attribution-NonCommercial 4.0 International - Creative Commons"/>
    <hyperlink ref="I2719" r:id="rId7716" display="https://www.inaturalist.org/observations/259325837"/>
    <hyperlink ref="G2720" r:id="rId7717" display="westerndownssnakecatcher"/>
    <hyperlink ref="H2720" r:id="rId7718" display="Deed - Attribution-NonCommercial 4.0 International - Creative Commons"/>
    <hyperlink ref="I2720" r:id="rId7719" display="https://www.inaturalist.org/observations/256555501"/>
    <hyperlink ref="G2721" r:id="rId7720" display="jairand18"/>
    <hyperlink ref="H2721" r:id="rId7721" display="Deed - Attribution-NonCommercial 4.0 International - Creative Commons"/>
    <hyperlink ref="I2721" r:id="rId7722" display="https://www.inaturalist.org/observations/253939971"/>
    <hyperlink ref="G2722" r:id="rId7723" display="cooky89"/>
    <hyperlink ref="H2722" r:id="rId7724" display="Deed - Attribution-NonCommercial 4.0 International - Creative Commons"/>
    <hyperlink ref="I2722" r:id="rId7725" display="https://www.inaturalist.org/observations/238163550"/>
    <hyperlink ref="G2723" r:id="rId7726" display="joel-cohen"/>
    <hyperlink ref="H2723" r:id="rId7727" display="Deed - Attribution-NonCommercial 4.0 International - Creative Commons"/>
    <hyperlink ref="I2723" r:id="rId7728" display="https://www.inaturalist.org/observations/208251034"/>
    <hyperlink ref="G2724" r:id="rId7729" display="braden1"/>
    <hyperlink ref="H2724" r:id="rId7730" display="Deed - Attribution-NonCommercial 4.0 International - Creative Commons"/>
    <hyperlink ref="I2724" r:id="rId7731" display="https://www.inaturalist.org/observations/200612533"/>
    <hyperlink ref="G2725" r:id="rId7732" display="nicgambold"/>
    <hyperlink ref="H2725" r:id="rId7733" display="Deed - Attribution-NonCommercial 4.0 International - Creative Commons"/>
    <hyperlink ref="I2725" r:id="rId7734" display="https://www.inaturalist.org/observations/196870734"/>
    <hyperlink ref="G2726" r:id="rId7735" display="williamscott279"/>
    <hyperlink ref="H2726" r:id="rId7736" display="Deed - Attribution-NonCommercial 4.0 International - Creative Commons"/>
    <hyperlink ref="I2726" r:id="rId7737" display="https://www.inaturalist.org/observations/195775988"/>
    <hyperlink ref="G2727" r:id="rId7738" display="underwatergirl"/>
    <hyperlink ref="H2727" r:id="rId7739" display="Deed - Attribution-NonCommercial 4.0 International - Creative Commons"/>
    <hyperlink ref="I2727" r:id="rId7740" display="https://www.inaturalist.org/observations/189052291"/>
    <hyperlink ref="G2728" r:id="rId7741" display="grahamarmstrong"/>
    <hyperlink ref="H2728" r:id="rId7742" display="Deed - Attribution-NonCommercial 4.0 International - Creative Commons"/>
    <hyperlink ref="I2728" r:id="rId7743" display="https://www.inaturalist.org/observations/177291275"/>
    <hyperlink ref="G2729" r:id="rId7744" display="gibbergavin"/>
    <hyperlink ref="H2729" r:id="rId7745" display="Deed - Attribution-NonCommercial 4.0 International - Creative Commons"/>
    <hyperlink ref="I2729" r:id="rId7746" display="https://www.inaturalist.org/observations/150520342"/>
    <hyperlink ref="G2730" r:id="rId7747" display="phallec0"/>
    <hyperlink ref="H2730" r:id="rId7748" display="Deed - Attribution-NonCommercial 4.0 International - Creative Commons"/>
    <hyperlink ref="I2730" r:id="rId7749" display="https://www.inaturalist.org/observations/146429237"/>
    <hyperlink ref="G2731" r:id="rId7750" display="melissa_bruton"/>
    <hyperlink ref="H2731" r:id="rId7751" display="Deed - Attribution-NonCommercial 4.0 International - Creative Commons"/>
    <hyperlink ref="I2731" r:id="rId7752" display="https://www.inaturalist.org/observations/103815808"/>
    <hyperlink ref="G2732" r:id="rId7753" display="rreams"/>
    <hyperlink ref="H2732" r:id="rId7754" display="Deed - Attribution-NonCommercial 4.0 International - Creative Commons"/>
    <hyperlink ref="I2732" r:id="rId7755" display="https://www.inaturalist.org/observations/101164991"/>
    <hyperlink ref="G2733" r:id="rId7756" display="grahamarmstrong"/>
    <hyperlink ref="H2733" r:id="rId7757" display="Deed - Attribution-NonCommercial 4.0 International - Creative Commons"/>
    <hyperlink ref="I2733" r:id="rId7758" display="https://www.inaturalist.org/observations/98568118"/>
    <hyperlink ref="G2734" r:id="rId7759" display="jdobson"/>
    <hyperlink ref="H2734" r:id="rId7760" display="Deed - Attribution-NonCommercial 4.0 International - Creative Commons"/>
    <hyperlink ref="I2734" r:id="rId7761" display="https://www.inaturalist.org/observations/38737273"/>
    <hyperlink ref="G2735" r:id="rId7762" display="aville"/>
    <hyperlink ref="H2735" r:id="rId7763" display="Deed - Attribution-NonCommercial 4.0 International - Creative Commons"/>
    <hyperlink ref="I2735" r:id="rId7764" display="https://www.inaturalist.org/observations/4259407"/>
    <hyperlink ref="G2736" r:id="rId7765" display="lucegoose"/>
    <hyperlink ref="H2736" r:id="rId7766" display="Deed - Attribution-NonCommercial 4.0 International - Creative Commons"/>
    <hyperlink ref="I2736" r:id="rId7767" display="https://www.inaturalist.org/observations/394375793"/>
    <hyperlink ref="G2737" r:id="rId7768" display="jmag1"/>
    <hyperlink ref="H2737" r:id="rId7769" display="Deed - Attribution-NonCommercial 4.0 International - Creative Commons"/>
    <hyperlink ref="I2737" r:id="rId7770" display="https://www.inaturalist.org/observations/400176674"/>
    <hyperlink ref="G2738" r:id="rId7771" display="nathanbeerkens"/>
    <hyperlink ref="H2738" r:id="rId7772" display="Deed - Attribution-NonCommercial 4.0 International - Creative Commons"/>
    <hyperlink ref="I2738" r:id="rId7773" display="https://www.inaturalist.org/observations/396088269"/>
    <hyperlink ref="G2739" r:id="rId7774" display="crocattackdatabase"/>
    <hyperlink ref="H2739" r:id="rId7775" display="Deed - Attribution-NonCommercial 4.0 International - Creative Commons"/>
    <hyperlink ref="I2739" r:id="rId7776" display="https://www.inaturalist.org/observations/372403244"/>
    <hyperlink ref="G2740" r:id="rId7777" display="crocattackdatabase"/>
    <hyperlink ref="H2740" r:id="rId7778" display="Deed - Attribution-NonCommercial 4.0 International - Creative Commons"/>
    <hyperlink ref="I2740" r:id="rId7779" display="https://www.inaturalist.org/observations/370015899"/>
    <hyperlink ref="G2741" r:id="rId7780" display="khensen"/>
    <hyperlink ref="H2741" r:id="rId7781" display="Deed - Attribution-NonCommercial 4.0 International - Creative Commons"/>
    <hyperlink ref="I2741" r:id="rId7782" display="https://www.inaturalist.org/observations/333785328"/>
    <hyperlink ref="G2742" r:id="rId7783" display="rreams"/>
    <hyperlink ref="H2742" r:id="rId7784" display="Deed - Attribution-NonCommercial 4.0 International - Creative Commons"/>
    <hyperlink ref="I2742" r:id="rId7785" display="https://www.inaturalist.org/observations/327220436"/>
    <hyperlink ref="G2743" r:id="rId7786" display="beccbbbec"/>
    <hyperlink ref="H2743" r:id="rId7787" display="Deed - Attribution-NonCommercial 4.0 International - Creative Commons"/>
    <hyperlink ref="I2743" r:id="rId7788" display="https://www.inaturalist.org/observations/321353828"/>
    <hyperlink ref="G2744" r:id="rId7789" display="will_loveridge99"/>
    <hyperlink ref="H2744" r:id="rId7790" display="Deed - Attribution-NonCommercial 4.0 International - Creative Commons"/>
    <hyperlink ref="I2744" r:id="rId7791" display="https://www.inaturalist.org/observations/320071799"/>
    <hyperlink ref="G2745" r:id="rId7792" display="will_loveridge99"/>
    <hyperlink ref="H2745" r:id="rId7793" display="Deed - Attribution-NonCommercial 4.0 International - Creative Commons"/>
    <hyperlink ref="I2745" r:id="rId7794" display="https://www.inaturalist.org/observations/320071799"/>
    <hyperlink ref="G2746" r:id="rId7795" display="owenlishmund"/>
    <hyperlink ref="H2746" r:id="rId7796" display="Deed - Attribution-NonCommercial 4.0 International - Creative Commons"/>
    <hyperlink ref="I2746" r:id="rId7797" display="https://www.inaturalist.org/observations/294539279"/>
    <hyperlink ref="G2747" r:id="rId7798" display="lynchyw1ldlife"/>
    <hyperlink ref="H2747" r:id="rId7799" display="Deed - Attribution-NonCommercial 4.0 International - Creative Commons"/>
    <hyperlink ref="I2747" r:id="rId7800" display="https://www.inaturalist.org/observations/252493048"/>
    <hyperlink ref="G2748" r:id="rId7801" display="adelaidef19"/>
    <hyperlink ref="H2748" r:id="rId7802" display="Deed - Attribution-NonCommercial 4.0 International - Creative Commons"/>
    <hyperlink ref="I2748" r:id="rId7803" display="https://www.inaturalist.org/observations/166401684"/>
    <hyperlink ref="G2749" r:id="rId7804" display="nweigner"/>
    <hyperlink ref="H2749" r:id="rId7805" display="Deed - Attribution-NonCommercial 4.0 International - Creative Commons"/>
    <hyperlink ref="I2749" r:id="rId7806" display="https://www.inaturalist.org/observations/152391714"/>
    <hyperlink ref="G2750" r:id="rId7807" display="allira89"/>
    <hyperlink ref="H2750" r:id="rId7808" display="Deed - Attribution-NonCommercial 4.0 International - Creative Commons"/>
    <hyperlink ref="I2750" r:id="rId7809" display="https://www.inaturalist.org/observations/108574715"/>
    <hyperlink ref="G2751" r:id="rId7810" display="koality_content"/>
    <hyperlink ref="H2751" r:id="rId7811" display="Deed - Attribution-NonCommercial 4.0 International - Creative Commons"/>
    <hyperlink ref="I2751" r:id="rId7812" display="https://www.inaturalist.org/observations/107755720"/>
    <hyperlink ref="G2752" r:id="rId7813" display="nhaass"/>
    <hyperlink ref="H2752" r:id="rId7814" display="Deed - Attribution-NonCommercial 4.0 International - Creative Commons"/>
    <hyperlink ref="I2752" r:id="rId7815" display="https://www.inaturalist.org/observations/105594541"/>
    <hyperlink ref="G2753" r:id="rId7816" display="rreams"/>
    <hyperlink ref="H2753" r:id="rId7817" display="Deed - Attribution-NonCommercial 4.0 International - Creative Commons"/>
    <hyperlink ref="I2753" r:id="rId7818" display="https://www.inaturalist.org/observations/101167185"/>
    <hyperlink ref="G2754" r:id="rId7819" display="braden1"/>
    <hyperlink ref="H2754" r:id="rId7820" display="Deed - Attribution-NonCommercial 4.0 International - Creative Commons"/>
    <hyperlink ref="I2754" r:id="rId7821" display="https://www.inaturalist.org/observations/100224461"/>
    <hyperlink ref="G2755" r:id="rId7822" display="jdobson"/>
    <hyperlink ref="H2755" r:id="rId7823" display="Deed - Attribution-NonCommercial 4.0 International - Creative Commons"/>
    <hyperlink ref="I2755" r:id="rId7824" display="https://www.inaturalist.org/observations/67178649"/>
    <hyperlink ref="G2756" r:id="rId7825" display="sarlou85"/>
    <hyperlink ref="H2756" r:id="rId7826" display="Deed - Attribution-NonCommercial 4.0 International - Creative Commons"/>
    <hyperlink ref="I2756" r:id="rId7827" display="https://www.inaturalist.org/observations/38749700"/>
    <hyperlink ref="G2757" r:id="rId7828" display="pratty90"/>
    <hyperlink ref="H2757" r:id="rId7829" display="Deed - Attribution-NonCommercial 4.0 International - Creative Commons"/>
    <hyperlink ref="I2757" r:id="rId7830" display="https://www.inaturalist.org/observations/34953379"/>
    <hyperlink ref="G2758" r:id="rId7831" display="kazeedee"/>
    <hyperlink ref="H2758" r:id="rId7832" display="Deed - Attribution-NonCommercial 4.0 International - Creative Commons"/>
    <hyperlink ref="I2758" r:id="rId7833" display="https://www.inaturalist.org/observations/399524167"/>
    <hyperlink ref="G2759" r:id="rId7834" display="kazeedee"/>
    <hyperlink ref="H2759" r:id="rId7835" display="Deed - Attribution-NonCommercial 4.0 International - Creative Commons"/>
    <hyperlink ref="I2759" r:id="rId7836" display="https://www.inaturalist.org/observations/399524167"/>
    <hyperlink ref="G2760" r:id="rId7837" display="kenty_8881"/>
    <hyperlink ref="H2760" r:id="rId7838" display="Deed - Attribution-NonCommercial 4.0 International - Creative Commons"/>
    <hyperlink ref="I2760" r:id="rId7839" display="https://www.inaturalist.org/observations/397794678"/>
    <hyperlink ref="G2761" r:id="rId7840" display="mulgamaid"/>
    <hyperlink ref="H2761" r:id="rId7841" display="Deed - Attribution-NonCommercial 4.0 International - Creative Commons"/>
    <hyperlink ref="I2761" r:id="rId7842" display="https://www.inaturalist.org/observations/389872554"/>
    <hyperlink ref="G2762" r:id="rId7843" display="mulgamaid"/>
    <hyperlink ref="H2762" r:id="rId7844" display="Deed - Attribution-NonCommercial 4.0 International - Creative Commons"/>
    <hyperlink ref="I2762" r:id="rId7845" display="https://www.inaturalist.org/observations/389872504"/>
    <hyperlink ref="G2763" r:id="rId7846" display="mulgamaid"/>
    <hyperlink ref="H2763" r:id="rId7847" display="Deed - Attribution-NonCommercial 4.0 International - Creative Commons"/>
    <hyperlink ref="I2763" r:id="rId7848" display="https://www.inaturalist.org/observations/389872427"/>
    <hyperlink ref="G2764" r:id="rId7849" display="kezzagilby"/>
    <hyperlink ref="H2764" r:id="rId7850" display="Deed - Attribution-NonCommercial 4.0 International - Creative Commons"/>
    <hyperlink ref="I2764" r:id="rId7851" display="https://www.inaturalist.org/observations/379304726"/>
    <hyperlink ref="G2765" r:id="rId7852" display="christine0510"/>
    <hyperlink ref="H2765" r:id="rId7853" display="Deed - Attribution-NonCommercial 4.0 International - Creative Commons"/>
    <hyperlink ref="I2765" r:id="rId7854" display="https://www.inaturalist.org/observations/373937734"/>
    <hyperlink ref="G2766" r:id="rId7855" display="geodyssian"/>
    <hyperlink ref="H2766" r:id="rId7856" display="Deed - Attribution-NonCommercial 4.0 International - Creative Commons"/>
    <hyperlink ref="I2766" r:id="rId7857" display="https://www.inaturalist.org/observations/369156312"/>
    <hyperlink ref="G2767" r:id="rId7858" display="geodyssian"/>
    <hyperlink ref="H2767" r:id="rId7859" display="Deed - Attribution-NonCommercial 4.0 International - Creative Commons"/>
    <hyperlink ref="I2767" r:id="rId7860" display="https://www.inaturalist.org/observations/369156312"/>
    <hyperlink ref="G2768" r:id="rId7861" display="dog-tits"/>
    <hyperlink ref="H2768" r:id="rId7862" display="Deed - Attribution-NonCommercial 4.0 International - Creative Commons"/>
    <hyperlink ref="I2768" r:id="rId7863" display="https://www.inaturalist.org/observations/366944265"/>
    <hyperlink ref="G2769" r:id="rId7864" display="elocyn"/>
    <hyperlink ref="H2769" r:id="rId7865" display="Deed - Attribution-NonCommercial 4.0 International - Creative Commons"/>
    <hyperlink ref="I2769" r:id="rId7866" display="https://www.inaturalist.org/observations/348281541"/>
    <hyperlink ref="G2770" r:id="rId7867" display="elocyn"/>
    <hyperlink ref="H2770" r:id="rId7868" display="Deed - Attribution-NonCommercial 4.0 International - Creative Commons"/>
    <hyperlink ref="I2770" r:id="rId7869" display="https://www.inaturalist.org/observations/348281541"/>
    <hyperlink ref="G2771" r:id="rId7870" display="kurtis_w"/>
    <hyperlink ref="H2771" r:id="rId7871" display="Deed - Attribution-NonCommercial 4.0 International - Creative Commons"/>
    <hyperlink ref="I2771" r:id="rId7872" display="https://www.inaturalist.org/observations/347687141"/>
    <hyperlink ref="G2772" r:id="rId7873" display="thewildgtrv"/>
    <hyperlink ref="H2772" r:id="rId7874" display="Deed - Attribution-NonCommercial 4.0 International - Creative Commons"/>
    <hyperlink ref="I2772" r:id="rId7875" display="https://www.inaturalist.org/observations/346249016"/>
    <hyperlink ref="G2773" r:id="rId7876" display="darcy_c"/>
    <hyperlink ref="H2773" r:id="rId7877" display="Deed - Attribution-NonCommercial 4.0 International - Creative Commons"/>
    <hyperlink ref="I2773" r:id="rId7878" display="https://www.inaturalist.org/observations/345461653"/>
    <hyperlink ref="G2774" r:id="rId7879" display="christine0510"/>
    <hyperlink ref="H2774" r:id="rId7880" display="Deed - Attribution-NonCommercial 4.0 International - Creative Commons"/>
    <hyperlink ref="I2774" r:id="rId7881" display="https://www.inaturalist.org/observations/343465762"/>
    <hyperlink ref="G2775" r:id="rId7882" display="jaysond"/>
    <hyperlink ref="H2775" r:id="rId7883" display="Deed - Attribution-NonCommercial 4.0 International - Creative Commons"/>
    <hyperlink ref="I2775" r:id="rId7884" display="https://www.inaturalist.org/observations/340744138"/>
    <hyperlink ref="G2776" r:id="rId7885" display="bushblood"/>
    <hyperlink ref="H2776" r:id="rId7886" display="Deed - Attribution-NonCommercial 4.0 International - Creative Commons"/>
    <hyperlink ref="I2776" r:id="rId7887" display="https://www.inaturalist.org/observations/339693939"/>
    <hyperlink ref="G2777" r:id="rId7888" display="don_endriu_wildlife"/>
    <hyperlink ref="H2777" r:id="rId7889" display="Deed - Attribution-NonCommercial 4.0 International - Creative Commons"/>
    <hyperlink ref="I2777" r:id="rId7890" display="https://www.inaturalist.org/observations/338842958"/>
    <hyperlink ref="G2778" r:id="rId7891" display="jonahwilts"/>
    <hyperlink ref="H2778" r:id="rId7892" display="Deed - Attribution-NonCommercial 4.0 International - Creative Commons"/>
    <hyperlink ref="I2778" r:id="rId7893" display="https://www.inaturalist.org/observations/336420164"/>
    <hyperlink ref="G2779" r:id="rId7894" display="jameskennerley"/>
    <hyperlink ref="H2779" r:id="rId7895" display="Deed - Attribution-NonCommercial 4.0 International - Creative Commons"/>
    <hyperlink ref="I2779" r:id="rId7896" display="https://www.inaturalist.org/observations/334271258"/>
    <hyperlink ref="G2780" r:id="rId7897" display="aliciapace"/>
    <hyperlink ref="H2780" r:id="rId7898" display="Deed - Attribution-NonCommercial 4.0 International - Creative Commons"/>
    <hyperlink ref="I2780" r:id="rId7899" display="https://www.inaturalist.org/observations/330287872"/>
    <hyperlink ref="G2781" r:id="rId7900" display="rubynats"/>
    <hyperlink ref="H2781" r:id="rId7901" display="Deed - Attribution-NonCommercial 4.0 International - Creative Commons"/>
    <hyperlink ref="I2781" r:id="rId7902" display="https://www.inaturalist.org/observations/329128941"/>
    <hyperlink ref="G2782" r:id="rId7903" display="rubynats"/>
    <hyperlink ref="H2782" r:id="rId7904" display="Deed - Attribution-NonCommercial 4.0 International - Creative Commons"/>
    <hyperlink ref="I2782" r:id="rId7905" display="https://www.inaturalist.org/observations/328588705"/>
    <hyperlink ref="G2783" r:id="rId7906" display="mariodriesen"/>
    <hyperlink ref="H2783" r:id="rId7907" display="Deed - Attribution-NonCommercial 4.0 International - Creative Commons"/>
    <hyperlink ref="I2783" r:id="rId7908" display="https://www.inaturalist.org/observations/327466894"/>
    <hyperlink ref="G2784" r:id="rId7909" display="mariodriesen"/>
    <hyperlink ref="H2784" r:id="rId7910" display="Deed - Attribution-NonCommercial 4.0 International - Creative Commons"/>
    <hyperlink ref="I2784" r:id="rId7911" display="https://www.inaturalist.org/observations/327466872"/>
    <hyperlink ref="G2785" r:id="rId7912" display="mariodriesen"/>
    <hyperlink ref="H2785" r:id="rId7913" display="Deed - Attribution-NonCommercial 4.0 International - Creative Commons"/>
    <hyperlink ref="I2785" r:id="rId7914" display="https://www.inaturalist.org/observations/327351653"/>
    <hyperlink ref="G2786" r:id="rId7915" display="maxi-t_152637"/>
    <hyperlink ref="H2786" r:id="rId7916" display="Deed - Attribution-NonCommercial 4.0 International - Creative Commons"/>
    <hyperlink ref="I2786" r:id="rId7917" display="https://www.inaturalist.org/observations/327235147"/>
    <hyperlink ref="G2787" r:id="rId7918" display="mattcampbellaus"/>
    <hyperlink ref="H2787" r:id="rId7919" display="Deed - Attribution-NonCommercial 4.0 International - Creative Commons"/>
    <hyperlink ref="I2787" r:id="rId7920" display="https://www.inaturalist.org/observations/327040112"/>
    <hyperlink ref="G2788" r:id="rId7921" display="moth_nut"/>
    <hyperlink ref="H2788" r:id="rId7922" display="Deed - Attribution-NonCommercial 4.0 International - Creative Commons"/>
    <hyperlink ref="I2788" r:id="rId7923" display="https://www.inaturalist.org/observations/324244598"/>
    <hyperlink ref="G2789" r:id="rId7924" display="moth_nut"/>
    <hyperlink ref="H2789" r:id="rId7925" display="Deed - Attribution-NonCommercial 4.0 International - Creative Commons"/>
    <hyperlink ref="I2789" r:id="rId7926" display="https://www.inaturalist.org/observations/324244584"/>
    <hyperlink ref="G2790" r:id="rId7927" display="thijsgudden"/>
    <hyperlink ref="H2790" r:id="rId7928" display="Deed - Attribution-NonCommercial 4.0 International - Creative Commons"/>
    <hyperlink ref="I2790" r:id="rId7929" display="https://www.inaturalist.org/observations/322402419"/>
    <hyperlink ref="G2791" r:id="rId7930" display="thijsgudden"/>
    <hyperlink ref="H2791" r:id="rId7931" display="Deed - Attribution-NonCommercial 4.0 International - Creative Commons"/>
    <hyperlink ref="I2791" r:id="rId7932" display="https://www.inaturalist.org/observations/321815721"/>
    <hyperlink ref="G2792" r:id="rId7933" display="urbanreptileremoval"/>
    <hyperlink ref="H2792" r:id="rId7934" display="Deed - Attribution-NonCommercial 4.0 International - Creative Commons"/>
    <hyperlink ref="I2792" r:id="rId7935" display="https://www.inaturalist.org/observations/312641220"/>
    <hyperlink ref="G2793" r:id="rId7936" display="court_rae"/>
    <hyperlink ref="H2793" r:id="rId7937" display="Deed - Attribution-NonCommercial 4.0 International - Creative Commons"/>
    <hyperlink ref="I2793" r:id="rId7938" display="https://www.inaturalist.org/observations/302967788"/>
    <hyperlink ref="G2794" r:id="rId7939" display="court_rae"/>
    <hyperlink ref="H2794" r:id="rId7940" display="Deed - Attribution-NonCommercial 4.0 International - Creative Commons"/>
    <hyperlink ref="I2794" r:id="rId7941" display="https://www.inaturalist.org/observations/302967467"/>
    <hyperlink ref="G2795" r:id="rId7942" display="court_rae"/>
    <hyperlink ref="H2795" r:id="rId7943" display="Deed - Attribution-NonCommercial 4.0 International - Creative Commons"/>
    <hyperlink ref="I2795" r:id="rId7944" display="https://www.inaturalist.org/observations/301705714"/>
    <hyperlink ref="G2796" r:id="rId7945" display="margot_oorebeek"/>
    <hyperlink ref="H2796" r:id="rId7946" display="Deed - Attribution-NonCommercial 4.0 International - Creative Commons"/>
    <hyperlink ref="I2796" r:id="rId7947" display="https://www.inaturalist.org/observations/285562892"/>
    <hyperlink ref="G2797" r:id="rId7948" display="bluejay11"/>
    <hyperlink ref="H2797" r:id="rId7949" display="Deed - Attribution-NonCommercial 4.0 International - Creative Commons"/>
    <hyperlink ref="I2797" r:id="rId7950" display="https://www.inaturalist.org/observations/281482348"/>
    <hyperlink ref="G2798" r:id="rId7951" display="jorden_perrett"/>
    <hyperlink ref="H2798" r:id="rId7952" display="Deed - Attribution-NonCommercial 4.0 International - Creative Commons"/>
    <hyperlink ref="I2798" r:id="rId7953" display="https://www.inaturalist.org/observations/277593456"/>
    <hyperlink ref="G2799" r:id="rId7954" display="nick_vine"/>
    <hyperlink ref="H2799" r:id="rId7955" display="Deed - Attribution-NonCommercial 4.0 International - Creative Commons"/>
    <hyperlink ref="I2799" r:id="rId7956" display="https://www.inaturalist.org/observations/265349921"/>
    <hyperlink ref="G2800" r:id="rId7957" display="sarlou85"/>
    <hyperlink ref="H2800" r:id="rId7958" display="Deed - Attribution-NonCommercial 4.0 International - Creative Commons"/>
    <hyperlink ref="I2800" r:id="rId7959" display="https://www.inaturalist.org/observations/264910769"/>
    <hyperlink ref="G2801" r:id="rId7960" display="snakesrcool"/>
    <hyperlink ref="H2801" r:id="rId7961" display="Deed - Attribution-NonCommercial 4.0 International - Creative Commons"/>
    <hyperlink ref="I2801" r:id="rId7962" display="https://www.inaturalist.org/observations/263129196"/>
    <hyperlink ref="G2802" r:id="rId7963" display="owen65"/>
    <hyperlink ref="H2802" r:id="rId7964" display="Deed - Attribution-NonCommercial 4.0 International - Creative Commons"/>
    <hyperlink ref="I2802" r:id="rId7965" display="https://www.inaturalist.org/observations/262700257"/>
    <hyperlink ref="G2803" r:id="rId7966" display="t_sheehan"/>
    <hyperlink ref="H2803" r:id="rId7967" display="Deed - Attribution-NonCommercial 4.0 International - Creative Commons"/>
    <hyperlink ref="I2803" r:id="rId7968" display="https://www.inaturalist.org/observations/260155774"/>
    <hyperlink ref="G2804" r:id="rId7969" display="rhytiphora"/>
    <hyperlink ref="H2804" r:id="rId7970" display="Deed - Attribution-NonCommercial 4.0 International - Creative Commons"/>
    <hyperlink ref="I2804" r:id="rId7971" display="https://www.inaturalist.org/observations/258017893"/>
    <hyperlink ref="G2805" r:id="rId7972" display="rhytiphora"/>
    <hyperlink ref="H2805" r:id="rId7973" display="Deed - Attribution-NonCommercial 4.0 International - Creative Commons"/>
    <hyperlink ref="I2805" r:id="rId7974" display="https://www.inaturalist.org/observations/258017893"/>
    <hyperlink ref="G2806" r:id="rId7975" display="levibrownwild"/>
    <hyperlink ref="H2806" r:id="rId7976" display="Deed - Attribution-NonCommercial 4.0 International - Creative Commons"/>
    <hyperlink ref="I2806" r:id="rId7977" display="https://www.inaturalist.org/observations/257285639"/>
    <hyperlink ref="G2807" r:id="rId7978" display="jdolphinphoto"/>
    <hyperlink ref="H2807" r:id="rId7979" display="Deed - Attribution-NonCommercial 4.0 International - Creative Commons"/>
    <hyperlink ref="I2807" r:id="rId7980" display="https://www.inaturalist.org/observations/257013544"/>
    <hyperlink ref="G2808" r:id="rId7981" display="naturegirlkh"/>
    <hyperlink ref="H2808" r:id="rId7982" display="Deed - Attribution-NonCommercial 4.0 International - Creative Commons"/>
    <hyperlink ref="I2808" r:id="rId7983" display="https://www.inaturalist.org/observations/256900465"/>
    <hyperlink ref="G2809" r:id="rId7984" display="naturegirlkh"/>
    <hyperlink ref="H2809" r:id="rId7985" display="Deed - Attribution-NonCommercial 4.0 International - Creative Commons"/>
    <hyperlink ref="I2809" r:id="rId7986" display="https://www.inaturalist.org/observations/256896017"/>
    <hyperlink ref="G2810" r:id="rId7987" display="emilymendel"/>
    <hyperlink ref="H2810" r:id="rId7988" display="Deed - Attribution-NonCommercial 4.0 International - Creative Commons"/>
    <hyperlink ref="I2810" r:id="rId7989" display="https://www.inaturalist.org/observations/256764941"/>
    <hyperlink ref="G2811" r:id="rId7990" display="tiaberro"/>
    <hyperlink ref="H2811" r:id="rId7991" display="Deed - Attribution-NonCommercial 4.0 International - Creative Commons"/>
    <hyperlink ref="I2811" r:id="rId7992" display="https://www.inaturalist.org/observations/255654416"/>
    <hyperlink ref="G2812" r:id="rId7993" display="don_endriu_wildlife"/>
    <hyperlink ref="H2812" r:id="rId7994" display="Deed - Attribution-NonCommercial 4.0 International - Creative Commons"/>
    <hyperlink ref="I2812" r:id="rId7995" display="https://www.inaturalist.org/observations/255282339"/>
    <hyperlink ref="G2813" r:id="rId7996" display="isaacclarey"/>
    <hyperlink ref="H2813" r:id="rId7997" display="Deed - Attribution-NonCommercial 4.0 International - Creative Commons"/>
    <hyperlink ref="I2813" r:id="rId7998" display="https://www.inaturalist.org/observations/255063250"/>
    <hyperlink ref="G2814" r:id="rId7999" display="donglerthrongler"/>
    <hyperlink ref="H2814" r:id="rId8000" display="Deed - Attribution-NonCommercial 4.0 International - Creative Commons"/>
    <hyperlink ref="I2814" r:id="rId8001" display="https://www.inaturalist.org/observations/253142682"/>
    <hyperlink ref="G2815" r:id="rId8002" display="snakesrcool"/>
    <hyperlink ref="H2815" r:id="rId8003" display="Deed - Attribution-NonCommercial 4.0 International - Creative Commons"/>
    <hyperlink ref="I2815" r:id="rId8004" display="https://www.inaturalist.org/observations/252561193"/>
    <hyperlink ref="G2816" r:id="rId8005" display="jarah"/>
    <hyperlink ref="H2816" r:id="rId8006" display="Deed - Attribution-NonCommercial 4.0 International - Creative Commons"/>
    <hyperlink ref="I2816" r:id="rId8007" display="https://www.inaturalist.org/observations/251972845"/>
    <hyperlink ref="G2817" r:id="rId8008" display="mywildbackyard"/>
    <hyperlink ref="H2817" r:id="rId8009" display="Deed - Attribution-NonCommercial 4.0 International - Creative Commons"/>
    <hyperlink ref="I2817" r:id="rId8010" display="https://www.inaturalist.org/observations/251377723"/>
    <hyperlink ref="G2818" r:id="rId8011" display="dartagnan1"/>
    <hyperlink ref="H2818" r:id="rId8012" display="Deed - Attribution-NonCommercial 4.0 International - Creative Commons"/>
    <hyperlink ref="I2818" r:id="rId8013" display="https://www.inaturalist.org/observations/249942790"/>
    <hyperlink ref="G2819" r:id="rId8014" display="lezanimaux"/>
    <hyperlink ref="H2819" r:id="rId8015" display="Deed - Attribution-NonCommercial 4.0 International - Creative Commons"/>
    <hyperlink ref="I2819" r:id="rId8016" display="https://www.inaturalist.org/observations/246767352"/>
    <hyperlink ref="G2820" r:id="rId8017" display="owenlishmund"/>
    <hyperlink ref="H2820" r:id="rId8018" display="Deed - Attribution-NonCommercial 4.0 International - Creative Commons"/>
    <hyperlink ref="I2820" r:id="rId8019" display="https://www.inaturalist.org/observations/245698821"/>
    <hyperlink ref="G2821" r:id="rId8020" display="mia_hosken"/>
    <hyperlink ref="H2821" r:id="rId8021" display="Deed - Attribution-NonCommercial 4.0 International - Creative Commons"/>
    <hyperlink ref="I2821" r:id="rId8022" display="https://www.inaturalist.org/observations/245679587"/>
    <hyperlink ref="G2822" r:id="rId8023" display="mia_hosken"/>
    <hyperlink ref="H2822" r:id="rId8024" display="Deed - Attribution-NonCommercial 4.0 International - Creative Commons"/>
    <hyperlink ref="I2822" r:id="rId8025" display="https://www.inaturalist.org/observations/245679587"/>
    <hyperlink ref="G2823" r:id="rId8026" display="alburyw"/>
    <hyperlink ref="H2823" r:id="rId8027" display="Deed - Attribution-NonCommercial 4.0 International - Creative Commons"/>
    <hyperlink ref="I2823" r:id="rId8028" display="https://www.inaturalist.org/observations/394631379"/>
    <hyperlink ref="G2824" r:id="rId8029" display="alburyw"/>
    <hyperlink ref="H2824" r:id="rId8030" display="Deed - Attribution-NonCommercial 4.0 International - Creative Commons"/>
    <hyperlink ref="I2824" r:id="rId8031" display="https://www.inaturalist.org/observations/394631379"/>
    <hyperlink ref="G2825" r:id="rId8032" display="susannew7"/>
    <hyperlink ref="H2825" r:id="rId8033" display="Deed - Attribution-NonCommercial 4.0 International - Creative Commons"/>
    <hyperlink ref="I2825" r:id="rId8034" display="https://www.inaturalist.org/observations/391716515"/>
    <hyperlink ref="G2826" r:id="rId8035" display="tracee01"/>
    <hyperlink ref="H2826" r:id="rId8036" display="Deed - Attribution-NonCommercial 4.0 International - Creative Commons"/>
    <hyperlink ref="I2826" r:id="rId8037" display="https://www.inaturalist.org/observations/367350899"/>
    <hyperlink ref="G2827" r:id="rId8038" display="nat_is_a_lost"/>
    <hyperlink ref="H2827" r:id="rId8039" display="Deed - Attribution-NonCommercial 4.0 International - Creative Commons"/>
    <hyperlink ref="I2827" r:id="rId8040" display="https://www.inaturalist.org/observations/366971983"/>
    <hyperlink ref="G2828" r:id="rId8041" display="nat_is_a_lost"/>
    <hyperlink ref="H2828" r:id="rId8042" display="Deed - Attribution-NonCommercial 4.0 International - Creative Commons"/>
    <hyperlink ref="I2828" r:id="rId8043" display="https://www.inaturalist.org/observations/328840918"/>
    <hyperlink ref="G2829" r:id="rId8044" display="nat_is_a_lost"/>
    <hyperlink ref="H2829" r:id="rId8045" display="Deed - Attribution-NonCommercial 4.0 International - Creative Commons"/>
    <hyperlink ref="I2829" r:id="rId8046" display="https://www.inaturalist.org/observations/307479318"/>
    <hyperlink ref="G2830" r:id="rId8047" display="alburyw"/>
    <hyperlink ref="H2830" r:id="rId8048" display="Deed - Attribution-NonCommercial 4.0 International - Creative Commons"/>
    <hyperlink ref="I2830" r:id="rId8049" display="https://www.inaturalist.org/observations/307467214"/>
    <hyperlink ref="G2831" r:id="rId8050" display="alburyw"/>
    <hyperlink ref="H2831" r:id="rId8051" display="Deed - Attribution-NonCommercial 4.0 International - Creative Commons"/>
    <hyperlink ref="I2831" r:id="rId8052" display="https://www.inaturalist.org/observations/307467214"/>
    <hyperlink ref="G2832" r:id="rId8053" display="fraserasquith"/>
    <hyperlink ref="H2832" r:id="rId8054" display="Deed - Attribution-NonCommercial 4.0 International - Creative Commons"/>
    <hyperlink ref="I2832" r:id="rId8055" display="https://www.inaturalist.org/observations/271345761"/>
    <hyperlink ref="G2833" r:id="rId8056" display="indrabone"/>
    <hyperlink ref="H2833" r:id="rId8057" display="Deed - Attribution-NonCommercial 4.0 International - Creative Commons"/>
    <hyperlink ref="I2833" r:id="rId8058" display="https://www.inaturalist.org/observations/269059652"/>
    <hyperlink ref="G2834" r:id="rId8059" display="braden1"/>
    <hyperlink ref="H2834" r:id="rId8060" display="Deed - Attribution-NonCommercial 4.0 International - Creative Commons"/>
    <hyperlink ref="I2834" r:id="rId8061" display="https://www.inaturalist.org/observations/254049526"/>
    <hyperlink ref="G2835" r:id="rId8062" display="cesdamess"/>
    <hyperlink ref="H2835" r:id="rId8063" display="Deed - Attribution-NonCommercial 4.0 International - Creative Commons"/>
    <hyperlink ref="I2835" r:id="rId8064" display="https://www.inaturalist.org/observations/237579026"/>
    <hyperlink ref="G2836" r:id="rId8065" display="brittgregory"/>
    <hyperlink ref="H2836" r:id="rId8066" display="Deed - Attribution-NonCommercial 4.0 International - Creative Commons"/>
    <hyperlink ref="I2836" r:id="rId8067" display="https://www.inaturalist.org/observations/235839311"/>
    <hyperlink ref="G2837" r:id="rId8068" display="brittgregory"/>
    <hyperlink ref="H2837" r:id="rId8069" display="Deed - Attribution-NonCommercial 4.0 International - Creative Commons"/>
    <hyperlink ref="I2837" r:id="rId8070" display="https://www.inaturalist.org/observations/235839311"/>
    <hyperlink ref="G2838" r:id="rId8071" display="nickvolpe"/>
    <hyperlink ref="H2838" r:id="rId8072" display="Deed - Attribution-NonCommercial 4.0 International - Creative Commons"/>
    <hyperlink ref="I2838" r:id="rId8073" display="https://www.inaturalist.org/observations/191670423"/>
    <hyperlink ref="G2839" r:id="rId8074" display="ktucky"/>
    <hyperlink ref="H2839" r:id="rId8075" display="Deed - Attribution-NonCommercial 4.0 International - Creative Commons"/>
    <hyperlink ref="I2839" r:id="rId8076" display="https://www.inaturalist.org/observations/191650728"/>
    <hyperlink ref="G2840" r:id="rId8077" display="johneichler"/>
    <hyperlink ref="H2840" r:id="rId8078" display="Deed - Attribution-NonCommercial 4.0 International - Creative Commons"/>
    <hyperlink ref="I2840" r:id="rId8079" display="https://www.inaturalist.org/observations/190450921"/>
    <hyperlink ref="G2841" r:id="rId8080" display="dorcustitanus"/>
    <hyperlink ref="H2841" r:id="rId8081" display="Deed - Attribution-NonCommercial 4.0 International - Creative Commons"/>
    <hyperlink ref="I2841" r:id="rId8082" display="https://www.inaturalist.org/observations/190041335"/>
    <hyperlink ref="G2842" r:id="rId8083" display="dorcustitanus"/>
    <hyperlink ref="H2842" r:id="rId8084" display="Deed - Attribution-NonCommercial 4.0 International - Creative Commons"/>
    <hyperlink ref="I2842" r:id="rId8085" display="https://www.inaturalist.org/observations/144717588"/>
    <hyperlink ref="G2843" r:id="rId8086" display="sho_"/>
    <hyperlink ref="H2843" r:id="rId8087" display="Deed - Attribution-NonCommercial 4.0 International - Creative Commons"/>
    <hyperlink ref="I2843" r:id="rId8088" display="https://www.inaturalist.org/observations/139290607"/>
    <hyperlink ref="G2844" r:id="rId8089" display="bio329"/>
    <hyperlink ref="H2844" r:id="rId8090" display="Deed - Attribution-NonCommercial 4.0 International - Creative Commons"/>
    <hyperlink ref="I2844" r:id="rId8091" display="https://www.inaturalist.org/observations/124342483"/>
    <hyperlink ref="G2845" r:id="rId8092" display="bio329"/>
    <hyperlink ref="H2845" r:id="rId8093" display="Deed - Attribution-NonCommercial 4.0 International - Creative Commons"/>
    <hyperlink ref="I2845" r:id="rId8094" display="https://www.inaturalist.org/observations/91202965"/>
    <hyperlink ref="G2846" r:id="rId8095" display="dancg"/>
    <hyperlink ref="H2846" r:id="rId8096" display="Deed - Attribution-NonCommercial 4.0 International - Creative Commons"/>
    <hyperlink ref="I2846" r:id="rId8097" display="https://www.inaturalist.org/observations/75015253"/>
    <hyperlink ref="G2847" r:id="rId8098" display="owenlishmund"/>
    <hyperlink ref="H2847" r:id="rId8099" display="Deed - Attribution-NonCommercial 4.0 International - Creative Commons"/>
    <hyperlink ref="I2847" r:id="rId8100" display="https://www.inaturalist.org/observations/46070718"/>
    <hyperlink ref="G2848" r:id="rId8101" display="wandiyali"/>
    <hyperlink ref="H2848" r:id="rId8102" display="Deed - Attribution-NonCommercial 4.0 International - Creative Commons"/>
    <hyperlink ref="I2848" r:id="rId8103" display="https://www.inaturalist.org/observations/35876137"/>
    <hyperlink ref="G2849" r:id="rId8104" display="rossco"/>
    <hyperlink ref="H2849" r:id="rId8105" display="Deed - Attribution-NonCommercial 4.0 International - Creative Commons"/>
    <hyperlink ref="I2849" r:id="rId8106" display="https://www.inaturalist.org/observations/19183038"/>
    <hyperlink ref="G2850" r:id="rId8107" display="wandiyali"/>
    <hyperlink ref="H2850" r:id="rId8108" display="Deed - Attribution-NonCommercial 4.0 International - Creative Commons"/>
    <hyperlink ref="I2850" r:id="rId8109" display="https://www.inaturalist.org/observations/35875895"/>
    <hyperlink ref="G2851" r:id="rId8110" display="amvincent92"/>
    <hyperlink ref="H2851" r:id="rId8111" display="Deed - Attribution-NonCommercial 4.0 International - Creative Commons"/>
    <hyperlink ref="I2851" r:id="rId8112" display="https://www.inaturalist.org/observations/18667522"/>
    <hyperlink ref="G2852" r:id="rId8113" display="kenty_8881"/>
    <hyperlink ref="H2852" r:id="rId8114" display="Deed - Attribution-NonCommercial 4.0 International - Creative Commons"/>
    <hyperlink ref="I2852" r:id="rId8115" display="https://www.inaturalist.org/observations/395471806"/>
    <hyperlink ref="G2853" r:id="rId8116" display="axeholmes"/>
    <hyperlink ref="H2853" r:id="rId8117" display="Deed - Attribution-NonCommercial 4.0 International - Creative Commons"/>
    <hyperlink ref="I2853" r:id="rId8118" display="https://www.inaturalist.org/observations/361970649"/>
    <hyperlink ref="G2854" r:id="rId8119" display="johnlread"/>
    <hyperlink ref="H2854" r:id="rId8120" display="Deed - Attribution-NonCommercial 4.0 International - Creative Commons"/>
    <hyperlink ref="I2854" r:id="rId8121" display="https://www.inaturalist.org/observations/334193889"/>
    <hyperlink ref="G2855" r:id="rId8122" display="johnlread"/>
    <hyperlink ref="H2855" r:id="rId8123" display="Deed - Attribution-NonCommercial 4.0 International - Creative Commons"/>
    <hyperlink ref="I2855" r:id="rId8124" display="https://www.inaturalist.org/observations/334193889"/>
    <hyperlink ref="G2856" r:id="rId8125" display="leah_donnelly"/>
    <hyperlink ref="H2856" r:id="rId8126" display="Deed - Attribution-NonCommercial 4.0 International - Creative Commons"/>
    <hyperlink ref="I2856" r:id="rId8127" display="https://www.inaturalist.org/observations/320030541"/>
    <hyperlink ref="G2857" r:id="rId8128" display="they_ctenot_like_us"/>
    <hyperlink ref="H2857" r:id="rId8129" display="Deed - Attribution-NonCommercial 4.0 International - Creative Commons"/>
    <hyperlink ref="I2857" r:id="rId8130" display="https://www.inaturalist.org/observations/314058463"/>
    <hyperlink ref="G2858" r:id="rId8131" display="charliesonn"/>
    <hyperlink ref="H2858" r:id="rId8132" display="Deed - Attribution-NonCommercial 4.0 International - Creative Commons"/>
    <hyperlink ref="I2858" r:id="rId8133" display="https://www.inaturalist.org/observations/278392932"/>
    <hyperlink ref="G2859" r:id="rId8134" display="nickvolpe"/>
    <hyperlink ref="H2859" r:id="rId8135" display="Deed - Attribution-NonCommercial 4.0 International - Creative Commons"/>
    <hyperlink ref="I2859" r:id="rId8136" display="https://www.inaturalist.org/observations/191670422"/>
    <hyperlink ref="G2860" r:id="rId8137" display="kstenman"/>
    <hyperlink ref="H2860" r:id="rId8138" display="Deed - Attribution-NonCommercial 4.0 International - Creative Commons"/>
    <hyperlink ref="I2860" r:id="rId8139" display="https://www.inaturalist.org/observations/185789792"/>
    <hyperlink ref="G2861" r:id="rId8140" display="kstenman"/>
    <hyperlink ref="H2861" r:id="rId8141" display="Deed - Attribution-NonCommercial 4.0 International - Creative Commons"/>
    <hyperlink ref="I2861" r:id="rId8142" display="https://www.inaturalist.org/observations/185789792"/>
    <hyperlink ref="G2862" r:id="rId8143" display="owenlishmund"/>
    <hyperlink ref="H2862" r:id="rId8144" display="Deed - Attribution-NonCommercial 4.0 International - Creative Commons"/>
    <hyperlink ref="I2862" r:id="rId8145" display="https://www.inaturalist.org/observations/183446782"/>
    <hyperlink ref="G2863" r:id="rId8146" display="aidan_jk"/>
    <hyperlink ref="H2863" r:id="rId8147" display="Deed - Attribution-NonCommercial 4.0 International - Creative Commons"/>
    <hyperlink ref="I2863" r:id="rId8148" display="https://www.inaturalist.org/observations/111495418"/>
    <hyperlink ref="G2864" r:id="rId8149" display="aidan_jk"/>
    <hyperlink ref="H2864" r:id="rId8150" display="Deed - Attribution-NonCommercial 4.0 International - Creative Commons"/>
    <hyperlink ref="I2864" r:id="rId8151" display="https://www.inaturalist.org/observations/52119673"/>
    <hyperlink ref="G2865" r:id="rId8152" display="dudz"/>
    <hyperlink ref="H2865" r:id="rId8153" display="Deed - Attribution-NonCommercial 4.0 International - Creative Commons"/>
    <hyperlink ref="I2865" r:id="rId8154" display="https://www.inaturalist.org/observations/41878368"/>
    <hyperlink ref="G2866" r:id="rId8155" display="olli_hallam"/>
    <hyperlink ref="H2866" r:id="rId8156" display="Deed - Attribution-NonCommercial 4.0 International - Creative Commons"/>
    <hyperlink ref="I2866" r:id="rId8157" display="https://www.inaturalist.org/observations/351636612"/>
    <hyperlink ref="G2867" r:id="rId8158" display="siennahow"/>
    <hyperlink ref="H2867" r:id="rId8159" display="Deed - Attribution-NonCommercial 4.0 International - Creative Commons"/>
    <hyperlink ref="I2867" r:id="rId8160" display="https://www.inaturalist.org/observations/351635693"/>
    <hyperlink ref="G2868" r:id="rId8161" display="tc01"/>
    <hyperlink ref="H2868" r:id="rId8162" display="Deed - Attribution-NonCommercial 4.0 International - Creative Commons"/>
    <hyperlink ref="I2868" r:id="rId8163" display="https://www.inaturalist.org/observations/330205869"/>
    <hyperlink ref="G2869" r:id="rId8164" display="dsortino"/>
    <hyperlink ref="H2869" r:id="rId8165" display="Deed - Attribution-NonCommercial 4.0 International - Creative Commons"/>
    <hyperlink ref="I2869" r:id="rId8166" display="https://www.inaturalist.org/observations/329538018"/>
    <hyperlink ref="G2870" r:id="rId8167" display="hudsonbrowne"/>
    <hyperlink ref="H2870" r:id="rId8168" display="Deed - Attribution-NonCommercial 4.0 International - Creative Commons"/>
    <hyperlink ref="I2870" r:id="rId8169" display="https://www.inaturalist.org/observations/327214938"/>
    <hyperlink ref="G2871" r:id="rId8170" display="hudsonbrowne"/>
    <hyperlink ref="H2871" r:id="rId8171" display="Deed - Attribution-NonCommercial 4.0 International - Creative Commons"/>
    <hyperlink ref="I2871" r:id="rId8172" display="https://www.inaturalist.org/observations/327214906"/>
    <hyperlink ref="G2872" r:id="rId8173" display="jvanweenen"/>
    <hyperlink ref="H2872" r:id="rId8174" display="Deed - Attribution-NonCommercial 4.0 International - Creative Commons"/>
    <hyperlink ref="I2872" r:id="rId8175" display="https://www.inaturalist.org/observations/320046246"/>
    <hyperlink ref="G2873" r:id="rId8176" display="hudsonbrowne"/>
    <hyperlink ref="H2873" r:id="rId8177" display="Deed - Attribution-NonCommercial 4.0 International - Creative Commons"/>
    <hyperlink ref="I2873" r:id="rId8178" display="https://www.inaturalist.org/observations/316839348"/>
    <hyperlink ref="G2874" r:id="rId8179" display="lynchj"/>
    <hyperlink ref="H2874" r:id="rId8180" display="Deed - Attribution-NonCommercial 4.0 International - Creative Commons"/>
    <hyperlink ref="I2874" r:id="rId8181" display="https://www.inaturalist.org/observations/315394389"/>
    <hyperlink ref="G2875" r:id="rId8182" display="petebird"/>
    <hyperlink ref="H2875" r:id="rId8183" display="Deed - Attribution-NonCommercial 4.0 International - Creative Commons"/>
    <hyperlink ref="I2875" r:id="rId8184" display="https://www.inaturalist.org/observations/314231744"/>
    <hyperlink ref="G2876" r:id="rId8185" display="darcywhittaker"/>
    <hyperlink ref="H2876" r:id="rId8186" display="Deed - Attribution-NonCommercial 4.0 International - Creative Commons"/>
    <hyperlink ref="I2876" r:id="rId8187" display="https://www.inaturalist.org/observations/314474592"/>
    <hyperlink ref="G2877" r:id="rId8188" display="darcywhittaker"/>
    <hyperlink ref="H2877" r:id="rId8189" display="Deed - Attribution-NonCommercial 4.0 International - Creative Commons"/>
    <hyperlink ref="I2877" r:id="rId8190" display="https://www.inaturalist.org/observations/314486494"/>
    <hyperlink ref="G2878" r:id="rId8191" display="emersoncastle"/>
    <hyperlink ref="H2878" r:id="rId8192" display="Deed - Attribution-NonCommercial 4.0 International - Creative Commons"/>
    <hyperlink ref="I2878" r:id="rId8193" display="https://www.inaturalist.org/observations/313827470"/>
    <hyperlink ref="G2879" r:id="rId8194" display="bugbirder"/>
    <hyperlink ref="H2879" r:id="rId8195" display="Deed - Attribution-NonCommercial 4.0 International - Creative Commons"/>
    <hyperlink ref="I2879" r:id="rId8196" display="https://www.inaturalist.org/observations/308582596"/>
    <hyperlink ref="G2880" r:id="rId8197" display="bugbirder"/>
    <hyperlink ref="H2880" r:id="rId8198" display="Deed - Attribution-NonCommercial 4.0 International - Creative Commons"/>
    <hyperlink ref="I2880" r:id="rId8199" display="https://www.inaturalist.org/observations/308581227"/>
    <hyperlink ref="G2881" r:id="rId8200" display="chuditch"/>
    <hyperlink ref="H2881" r:id="rId8201" display="Deed - Attribution-NonCommercial 4.0 International - Creative Commons"/>
    <hyperlink ref="I2881" r:id="rId8202" display="https://www.inaturalist.org/observations/308136791"/>
    <hyperlink ref="G2882" r:id="rId8203" display="chuditch"/>
    <hyperlink ref="H2882" r:id="rId8204" display="Deed - Attribution-NonCommercial 4.0 International - Creative Commons"/>
    <hyperlink ref="I2882" r:id="rId8205" display="https://www.inaturalist.org/observations/308136712"/>
    <hyperlink ref="G2883" r:id="rId8206" display="chuditch"/>
    <hyperlink ref="H2883" r:id="rId8207" display="Deed - Attribution-NonCommercial 4.0 International - Creative Commons"/>
    <hyperlink ref="I2883" r:id="rId8208" display="https://www.inaturalist.org/observations/249849723"/>
    <hyperlink ref="G2884" r:id="rId8209" display="chuditch"/>
    <hyperlink ref="H2884" r:id="rId8210" display="Deed - Attribution-NonCommercial 4.0 International - Creative Commons"/>
    <hyperlink ref="I2884" r:id="rId8211" display="https://www.inaturalist.org/observations/249849722"/>
    <hyperlink ref="G2885" r:id="rId8212" display="chuditch"/>
    <hyperlink ref="H2885" r:id="rId8213" display="Deed - Attribution-NonCommercial 4.0 International - Creative Commons"/>
    <hyperlink ref="I2885" r:id="rId8214" display="https://www.inaturalist.org/observations/249847977"/>
    <hyperlink ref="G2886" r:id="rId8215" display="chuditch"/>
    <hyperlink ref="H2886" r:id="rId8216" display="Deed - Attribution-NonCommercial 4.0 International - Creative Commons"/>
    <hyperlink ref="I2886" r:id="rId8217" display="https://www.inaturalist.org/observations/249847945"/>
    <hyperlink ref="G2887" r:id="rId8218" display="chuditch"/>
    <hyperlink ref="H2887" r:id="rId8219" display="Deed - Attribution-NonCommercial 4.0 International - Creative Commons"/>
    <hyperlink ref="I2887" r:id="rId8220" display="https://www.inaturalist.org/observations/249846754"/>
    <hyperlink ref="G2888" r:id="rId8221" display="grahamarmstrong"/>
    <hyperlink ref="H2888" r:id="rId8222" display="Deed - Attribution-NonCommercial 4.0 International - Creative Commons"/>
    <hyperlink ref="I2888" r:id="rId8223" display="https://www.inaturalist.org/observations/243525124"/>
    <hyperlink ref="G2889" r:id="rId8224" display="harrisonhards8"/>
    <hyperlink ref="H2889" r:id="rId8225" display="Deed - Attribution-NonCommercial 4.0 International - Creative Commons"/>
    <hyperlink ref="I2889" r:id="rId8226" display="https://www.inaturalist.org/observations/243037156"/>
    <hyperlink ref="G2890" r:id="rId8227" display="harrisonhards8"/>
    <hyperlink ref="H2890" r:id="rId8228" display="Deed - Attribution-NonCommercial 4.0 International - Creative Commons"/>
    <hyperlink ref="I2890" r:id="rId8229" display="https://www.inaturalist.org/observations/243037060"/>
    <hyperlink ref="G2891" r:id="rId8230" display="harrisonhards8"/>
    <hyperlink ref="H2891" r:id="rId8231" display="Deed - Attribution-NonCommercial 4.0 International - Creative Commons"/>
    <hyperlink ref="I2891" r:id="rId8232" display="https://www.inaturalist.org/observations/243036925"/>
    <hyperlink ref="G2892" r:id="rId8233" display="sebas00"/>
    <hyperlink ref="H2892" r:id="rId8234" display="Deed - Attribution-NonCommercial 4.0 International - Creative Commons"/>
    <hyperlink ref="I2892" r:id="rId8235" display="https://www.inaturalist.org/observations/397341160"/>
    <hyperlink ref="G2893" r:id="rId8236" display="hanslambers"/>
    <hyperlink ref="H2893" r:id="rId8237" display="Deed - Attribution-NonCommercial 4.0 International - Creative Commons"/>
    <hyperlink ref="I2893" r:id="rId8238" display="https://www.inaturalist.org/observations/400306448"/>
    <hyperlink ref="G2894" r:id="rId8239" display="keenasfish"/>
    <hyperlink ref="H2894" r:id="rId8240" display="Deed - Attribution-NonCommercial 4.0 International - Creative Commons"/>
    <hyperlink ref="I2894" r:id="rId8241" display="https://www.inaturalist.org/observations/399817365"/>
    <hyperlink ref="G2895" r:id="rId8242" display="npk"/>
    <hyperlink ref="H2895" r:id="rId8243" display="Deed - Attribution-NonCommercial 4.0 International - Creative Commons"/>
    <hyperlink ref="I2895" r:id="rId8244" display="https://www.inaturalist.org/observations/399776129"/>
    <hyperlink ref="G2896" r:id="rId8245" display="beachcomber23"/>
    <hyperlink ref="H2896" r:id="rId8246" display="Deed - Attribution-NonCommercial 4.0 International - Creative Commons"/>
    <hyperlink ref="I2896" r:id="rId8247" display="https://www.inaturalist.org/observations/398640536"/>
    <hyperlink ref="G2897" r:id="rId8248" display="nswparkranger"/>
    <hyperlink ref="H2897" r:id="rId8249" display="Deed - Attribution-NonCommercial 4.0 International - Creative Commons"/>
    <hyperlink ref="I2897" r:id="rId8250" display="https://www.inaturalist.org/observations/398350148"/>
    <hyperlink ref="G2898" r:id="rId8251" display="matt_hue_man"/>
    <hyperlink ref="H2898" r:id="rId8252" display="Deed - Attribution-NonCommercial 4.0 International - Creative Commons"/>
    <hyperlink ref="I2898" r:id="rId8253" display="https://www.inaturalist.org/observations/398209921"/>
    <hyperlink ref="G2899" r:id="rId8254" display="lachlan_c"/>
    <hyperlink ref="H2899" r:id="rId8255" display="Deed - Attribution-NonCommercial 4.0 International - Creative Commons"/>
    <hyperlink ref="I2899" r:id="rId8256" display="https://www.inaturalist.org/observations/397731947"/>
    <hyperlink ref="G2900" r:id="rId8257" display="zebsphotography"/>
    <hyperlink ref="H2900" r:id="rId8258" display="Deed - Attribution-NonCommercial 4.0 International - Creative Commons"/>
    <hyperlink ref="I2900" r:id="rId8259" display="https://www.inaturalist.org/observations/394563340"/>
    <hyperlink ref="G2901" r:id="rId8260" display="creatmatt"/>
    <hyperlink ref="H2901" r:id="rId8261" display="Deed - Attribution-NonCommercial 4.0 International - Creative Commons"/>
    <hyperlink ref="I2901" r:id="rId8262" display="https://www.inaturalist.org/observations/394289320"/>
    <hyperlink ref="G2902" r:id="rId8263" display="leoniec1965"/>
    <hyperlink ref="H2902" r:id="rId8264" display="Deed - Attribution-NonCommercial 4.0 International - Creative Commons"/>
    <hyperlink ref="I2902" r:id="rId8265" display="https://www.inaturalist.org/observations/393445763"/>
    <hyperlink ref="G2903" r:id="rId8266" display="jolanalan"/>
    <hyperlink ref="H2903" r:id="rId8267" display="Deed - Attribution-NonCommercial 4.0 International - Creative Commons"/>
    <hyperlink ref="I2903" r:id="rId8268" display="https://www.inaturalist.org/observations/393389400"/>
    <hyperlink ref="G2904" r:id="rId8269" display="liezlbez"/>
    <hyperlink ref="H2904" r:id="rId8270" display="Deed - Attribution-NonCommercial 4.0 International - Creative Commons"/>
    <hyperlink ref="I2904" r:id="rId8271" display="https://www.inaturalist.org/observations/393160338"/>
    <hyperlink ref="G2905" r:id="rId8272" display="esspeeess"/>
    <hyperlink ref="H2905" r:id="rId8273" display="Deed - Attribution-NonCommercial 4.0 International - Creative Commons"/>
    <hyperlink ref="I2905" r:id="rId8274" display="https://www.inaturalist.org/observations/393137616"/>
    <hyperlink ref="G2906" r:id="rId8275" display="adam_cross03"/>
    <hyperlink ref="H2906" r:id="rId8276" display="Deed - Attribution-NonCommercial 4.0 International - Creative Commons"/>
    <hyperlink ref="I2906" r:id="rId8277" display="https://www.inaturalist.org/observations/392554555"/>
    <hyperlink ref="G2907" r:id="rId8278" display="levibrownwild"/>
    <hyperlink ref="H2907" r:id="rId8279" display="Deed - Attribution-NonCommercial 4.0 International - Creative Commons"/>
    <hyperlink ref="I2907" r:id="rId8280" display="https://www.inaturalist.org/observations/389658335"/>
    <hyperlink ref="G2908" r:id="rId8281" display="benwx"/>
    <hyperlink ref="H2908" r:id="rId8282" display="Deed - Attribution-NonCommercial 4.0 International - Creative Commons"/>
    <hyperlink ref="I2908" r:id="rId8283" display="https://www.inaturalist.org/observations/388933504"/>
    <hyperlink ref="G2909" r:id="rId8284" display="henrycarrick"/>
    <hyperlink ref="H2909" r:id="rId8285" display="Deed - Attribution-NonCommercial 4.0 International - Creative Commons"/>
    <hyperlink ref="I2909" r:id="rId8286" display="https://www.inaturalist.org/observations/388144768"/>
    <hyperlink ref="G2910" r:id="rId8287" display="rachel59021"/>
    <hyperlink ref="H2910" r:id="rId8288" display="Deed - Attribution-NonCommercial 4.0 International - Creative Commons"/>
    <hyperlink ref="I2910" r:id="rId8289" display="https://www.inaturalist.org/observations/384792333"/>
    <hyperlink ref="G2911" r:id="rId8290" display="taylor_fleming"/>
    <hyperlink ref="H2911" r:id="rId8291" display="Deed - Attribution-NonCommercial 4.0 International - Creative Commons"/>
    <hyperlink ref="I2911" r:id="rId8292" display="https://www.inaturalist.org/observations/384471480"/>
    <hyperlink ref="G2912" r:id="rId8293" display="fharrihill"/>
    <hyperlink ref="H2912" r:id="rId8294" display="Deed - Attribution-NonCommercial 4.0 International - Creative Commons"/>
    <hyperlink ref="I2912" r:id="rId8295" display="https://www.inaturalist.org/observations/378934271"/>
    <hyperlink ref="G2913" r:id="rId8296" display="annecasson"/>
    <hyperlink ref="H2913" r:id="rId8297" display="Deed - Attribution-NonCommercial 4.0 International - Creative Commons"/>
    <hyperlink ref="I2913" r:id="rId8298" display="https://www.inaturalist.org/observations/369308050"/>
    <hyperlink ref="G2914" r:id="rId8299" display="fharrihill"/>
    <hyperlink ref="H2914" r:id="rId8300" display="Deed - Attribution-NonCommercial 4.0 International - Creative Commons"/>
    <hyperlink ref="I2914" r:id="rId8301" display="https://www.inaturalist.org/observations/378914791"/>
    <hyperlink ref="G2915" r:id="rId8302" display="kris46866"/>
    <hyperlink ref="H2915" r:id="rId8303" display="Deed - Attribution-NonCommercial 4.0 International - Creative Commons"/>
    <hyperlink ref="I2915" r:id="rId8304" display="https://www.inaturalist.org/observations/369220080"/>
    <hyperlink ref="G2916" r:id="rId8305" display="nick_vine"/>
    <hyperlink ref="H2916" r:id="rId8306" display="Deed - Attribution-NonCommercial 4.0 International - Creative Commons"/>
    <hyperlink ref="I2916" r:id="rId8307" display="https://www.inaturalist.org/observations/364398789"/>
    <hyperlink ref="G2917" r:id="rId8308" display="johnlread"/>
    <hyperlink ref="H2917" r:id="rId8309" display="Deed - Attribution-NonCommercial 4.0 International - Creative Commons"/>
    <hyperlink ref="I2917" r:id="rId8310" display="https://www.inaturalist.org/observations/363929482"/>
    <hyperlink ref="G2918" r:id="rId8311" display="wyn_russell"/>
    <hyperlink ref="H2918" r:id="rId8312" display="Deed - Attribution-NonCommercial 4.0 International - Creative Commons"/>
    <hyperlink ref="I2918" r:id="rId8313" display="https://www.inaturalist.org/observations/337075483"/>
    <hyperlink ref="G2919" r:id="rId8314" display="willjmatthews04"/>
    <hyperlink ref="H2919" r:id="rId8315" display="Deed - Attribution-NonCommercial 4.0 International - Creative Commons"/>
    <hyperlink ref="I2919" r:id="rId8316" display="https://www.inaturalist.org/observations/330943669"/>
    <hyperlink ref="G2920" r:id="rId8317" display="braden1"/>
    <hyperlink ref="H2920" r:id="rId8318" display="Deed - Attribution-NonCommercial 4.0 International - Creative Commons"/>
    <hyperlink ref="I2920" r:id="rId8319" display="https://www.inaturalist.org/observations/249876815"/>
    <hyperlink ref="G2921" r:id="rId8320" display="kenty_8881"/>
    <hyperlink ref="H2921" r:id="rId8321" display="Deed - Attribution-NonCommercial 4.0 International - Creative Commons"/>
    <hyperlink ref="I2921" r:id="rId8322" display="https://www.inaturalist.org/observations/247390272"/>
    <hyperlink ref="G2922" r:id="rId8323" display="jari_cornelis"/>
    <hyperlink ref="H2922" r:id="rId8324" display="Deed - Attribution-NonCommercial 4.0 International - Creative Commons"/>
    <hyperlink ref="I2922" r:id="rId8325" display="https://www.inaturalist.org/observations/194010250"/>
    <hyperlink ref="G2923" r:id="rId8326" display="nickvolpe"/>
    <hyperlink ref="H2923" r:id="rId8327" display="Deed - Attribution-NonCommercial 4.0 International - Creative Commons"/>
    <hyperlink ref="I2923" r:id="rId8328" display="https://www.inaturalist.org/observations/191711030"/>
    <hyperlink ref="G2924" r:id="rId8329" display="owenlishmund"/>
    <hyperlink ref="H2924" r:id="rId8330" display="Deed - Attribution-NonCommercial 4.0 International - Creative Commons"/>
    <hyperlink ref="I2924" r:id="rId8331" display="https://www.inaturalist.org/observations/105699228"/>
    <hyperlink ref="G2925" r:id="rId8332" display="owenlishmund"/>
    <hyperlink ref="H2925" r:id="rId8333" display="Deed - Attribution-NonCommercial 4.0 International - Creative Commons"/>
    <hyperlink ref="I2925" r:id="rId8334" display="https://www.inaturalist.org/observations/105699228"/>
    <hyperlink ref="G2926" r:id="rId8335" display="tim_nickholds"/>
    <hyperlink ref="H2926" r:id="rId8336" display="Deed - Attribution-NonCommercial 4.0 International - Creative Commons"/>
    <hyperlink ref="I2926" r:id="rId8337" display="https://www.inaturalist.org/observations/104094129"/>
    <hyperlink ref="G2927" r:id="rId8338" display="darren_fielder"/>
    <hyperlink ref="H2927" r:id="rId8339" display="Deed - Attribution-NonCommercial 4.0 International - Creative Commons"/>
    <hyperlink ref="I2927" r:id="rId8340" display="https://www.inaturalist.org/observations/104018534"/>
    <hyperlink ref="G2928" r:id="rId8341" display="rreams"/>
    <hyperlink ref="H2928" r:id="rId8342" display="Deed - Attribution-NonCommercial 4.0 International - Creative Commons"/>
    <hyperlink ref="I2928" r:id="rId8343" display="https://www.inaturalist.org/observations/101166837"/>
    <hyperlink ref="G2929" r:id="rId8344" display="spixii"/>
    <hyperlink ref="H2929" r:id="rId8345" display="Deed - Attribution-NonCommercial 4.0 International - Creative Commons"/>
    <hyperlink ref="I2929" r:id="rId8346" display="https://www.inaturalist.org/observations/43028733"/>
    <hyperlink ref="G2930" r:id="rId8347" display="owenlishmund"/>
    <hyperlink ref="H2930" r:id="rId8348" display="Deed - Attribution-NonCommercial 4.0 International - Creative Commons"/>
    <hyperlink ref="I2930" r:id="rId8349" display="https://www.inaturalist.org/observations/36875679"/>
    <hyperlink ref="G2931" r:id="rId8350" display="willjmatthews04"/>
    <hyperlink ref="H2931" r:id="rId8351" display="Deed - Attribution-NonCommercial 4.0 International - Creative Commons"/>
    <hyperlink ref="I2931" r:id="rId8352" display="https://www.inaturalist.org/observations/399829942"/>
    <hyperlink ref="G2932" r:id="rId8353" display="olliescully1"/>
    <hyperlink ref="H2932" r:id="rId8354" display="Deed - Attribution-NonCommercial 4.0 International - Creative Commons"/>
    <hyperlink ref="I2932" r:id="rId8355" display="https://www.inaturalist.org/observations/386210300"/>
    <hyperlink ref="G2933" r:id="rId8356" display="axeholmes"/>
    <hyperlink ref="H2933" r:id="rId8357" display="Deed - Attribution-NonCommercial 4.0 International - Creative Commons"/>
    <hyperlink ref="I2933" r:id="rId8358" display="https://www.inaturalist.org/observations/360543389"/>
    <hyperlink ref="G2934" r:id="rId8359" display="j_beatts"/>
    <hyperlink ref="H2934" r:id="rId8360" display="Deed - Attribution-NonCommercial 4.0 International - Creative Commons"/>
    <hyperlink ref="I2934" r:id="rId8361" display="https://www.inaturalist.org/observations/361154849"/>
    <hyperlink ref="G2935" r:id="rId8362" display="da_slug"/>
    <hyperlink ref="H2935" r:id="rId8363" display="Deed - Attribution-NonCommercial 4.0 International - Creative Commons"/>
    <hyperlink ref="I2935" r:id="rId8364" display="https://www.inaturalist.org/observations/379530448"/>
    <hyperlink ref="G2936" r:id="rId8365" display="da_slug"/>
    <hyperlink ref="H2936" r:id="rId8366" display="Deed - Attribution-NonCommercial 4.0 International - Creative Commons"/>
    <hyperlink ref="I2936" r:id="rId8367" display="https://www.inaturalist.org/observations/379530448"/>
    <hyperlink ref="G2937" r:id="rId8368" display="damienesquerre2"/>
    <hyperlink ref="H2937" r:id="rId8369" display="Deed - Attribution-NonCommercial 4.0 International - Creative Commons"/>
    <hyperlink ref="I2937" r:id="rId8370" display="https://www.inaturalist.org/observations/351424201"/>
    <hyperlink ref="G2938" r:id="rId8371" display="bigpseudemoia123"/>
    <hyperlink ref="H2938" r:id="rId8372" display="Deed - Attribution-NonCommercial 4.0 International - Creative Commons"/>
    <hyperlink ref="I2938" r:id="rId8373" display="https://www.inaturalist.org/observations/342404091"/>
    <hyperlink ref="G2939" r:id="rId8374" display="living_daynagerously"/>
    <hyperlink ref="H2939" r:id="rId8375" display="Deed - Attribution-NonCommercial 4.0 International - Creative Commons"/>
    <hyperlink ref="I2939" r:id="rId8376" display="https://www.inaturalist.org/observations/343956333"/>
    <hyperlink ref="G2940" r:id="rId8377" display="living_daynagerously"/>
    <hyperlink ref="H2940" r:id="rId8378" display="Deed - Attribution-NonCommercial 4.0 International - Creative Commons"/>
    <hyperlink ref="I2940" r:id="rId8379" display="https://www.inaturalist.org/observations/343956333"/>
    <hyperlink ref="G2941" r:id="rId8380" display="mywildbackyard"/>
    <hyperlink ref="H2941" r:id="rId8381" display="Deed - Attribution-NonCommercial 4.0 International - Creative Commons"/>
    <hyperlink ref="I2941" r:id="rId8382" display="https://www.inaturalist.org/observations/251116839"/>
    <hyperlink ref="G2942" r:id="rId8383" display="owenlishmund"/>
    <hyperlink ref="H2942" r:id="rId8384" display="Deed - Attribution-NonCommercial 4.0 International - Creative Commons"/>
    <hyperlink ref="I2942" r:id="rId8385" display="https://www.inaturalist.org/observations/19456829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994"/>
  <sheetViews>
    <sheetView showFormulas="false" showGridLines="true" showRowColHeaders="true" showZeros="true" rightToLeft="false" tabSelected="false" showOutlineSymbols="true" defaultGridColor="true" view="normal" topLeftCell="A2547" colorId="64" zoomScale="100" zoomScaleNormal="100" zoomScalePageLayoutView="100" workbookViewId="0">
      <selection pane="topLeft" activeCell="E1" activeCellId="0" sqref="E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.88"/>
    <col collapsed="false" customWidth="true" hidden="false" outlineLevel="0" max="2" min="2" style="1" width="15.51"/>
    <col collapsed="false" customWidth="true" hidden="false" outlineLevel="0" max="3" min="3" style="1" width="17.38"/>
    <col collapsed="false" customWidth="true" hidden="false" outlineLevel="0" max="4" min="4" style="1" width="31.75"/>
    <col collapsed="false" customWidth="true" hidden="false" outlineLevel="0" max="5" min="5" style="1" width="35.25"/>
    <col collapsed="false" customWidth="true" hidden="false" outlineLevel="0" max="6" min="6" style="2" width="31.49"/>
    <col collapsed="false" customWidth="true" hidden="false" outlineLevel="0" max="7" min="7" style="1" width="56.63"/>
    <col collapsed="false" customWidth="true" hidden="false" outlineLevel="0" max="8" min="8" style="1" width="57.88"/>
  </cols>
  <sheetData>
    <row r="1" customFormat="false" ht="15.75" hidden="false" customHeight="false" outlineLevel="0" collapsed="false">
      <c r="B1" s="3"/>
      <c r="C1" s="3"/>
      <c r="D1" s="3"/>
      <c r="E1" s="3"/>
      <c r="F1" s="4"/>
      <c r="G1" s="3"/>
      <c r="H1" s="3"/>
    </row>
    <row r="2" customFormat="false" ht="15.75" hidden="false" customHeight="false" outlineLevel="0" collapsed="false">
      <c r="B2" s="5" t="s">
        <v>0</v>
      </c>
      <c r="C2" s="5" t="s">
        <v>1</v>
      </c>
      <c r="D2" s="5" t="s">
        <v>6976</v>
      </c>
      <c r="E2" s="5" t="s">
        <v>4</v>
      </c>
      <c r="F2" s="6" t="s">
        <v>5</v>
      </c>
      <c r="G2" s="5" t="s">
        <v>6</v>
      </c>
      <c r="H2" s="5" t="s">
        <v>7</v>
      </c>
    </row>
    <row r="3" customFormat="false" ht="15.75" hidden="false" customHeight="false" outlineLevel="0" collapsed="false">
      <c r="B3" s="7" t="n">
        <v>46222</v>
      </c>
      <c r="C3" s="3" t="s">
        <v>6977</v>
      </c>
      <c r="D3" s="3" t="s">
        <v>6978</v>
      </c>
      <c r="E3" s="3" t="s">
        <v>6979</v>
      </c>
      <c r="F3" s="10" t="str">
        <f aca="false">HYPERLINK("https://www.inaturalist.org/people/adak","adak")</f>
        <v>adak</v>
      </c>
      <c r="G3" s="9" t="s">
        <v>13</v>
      </c>
      <c r="H3" s="9" t="s">
        <v>6980</v>
      </c>
    </row>
    <row r="4" customFormat="false" ht="15.75" hidden="false" customHeight="false" outlineLevel="0" collapsed="false">
      <c r="B4" s="7" t="n">
        <v>46222</v>
      </c>
      <c r="C4" s="3" t="s">
        <v>6981</v>
      </c>
      <c r="D4" s="3" t="s">
        <v>6978</v>
      </c>
      <c r="E4" s="3" t="s">
        <v>6982</v>
      </c>
      <c r="F4" s="10" t="str">
        <f aca="false">HYPERLINK("https://www.inaturalist.org/people/vaniya1","vaniya1")</f>
        <v>vaniya1</v>
      </c>
      <c r="G4" s="9" t="s">
        <v>13</v>
      </c>
      <c r="H4" s="9" t="s">
        <v>6983</v>
      </c>
    </row>
    <row r="5" customFormat="false" ht="15.75" hidden="false" customHeight="false" outlineLevel="0" collapsed="false">
      <c r="B5" s="7" t="n">
        <v>46222</v>
      </c>
      <c r="C5" s="3" t="s">
        <v>6984</v>
      </c>
      <c r="D5" s="3" t="s">
        <v>6978</v>
      </c>
      <c r="E5" s="3" t="s">
        <v>6985</v>
      </c>
      <c r="F5" s="10" t="str">
        <f aca="false">HYPERLINK("https://www.inaturalist.org/people/zhaotianze","zhaotianze")</f>
        <v>zhaotianze</v>
      </c>
      <c r="G5" s="9" t="s">
        <v>13</v>
      </c>
      <c r="H5" s="9" t="s">
        <v>6986</v>
      </c>
    </row>
    <row r="6" customFormat="false" ht="15.75" hidden="false" customHeight="false" outlineLevel="0" collapsed="false">
      <c r="B6" s="7" t="n">
        <v>46222</v>
      </c>
      <c r="C6" s="3" t="s">
        <v>6987</v>
      </c>
      <c r="D6" s="3" t="s">
        <v>6978</v>
      </c>
      <c r="E6" s="3" t="s">
        <v>6988</v>
      </c>
      <c r="F6" s="10" t="str">
        <f aca="false">HYPERLINK("https://www.inaturalist.org/people/nancyblaze33","nancyblaze33")</f>
        <v>nancyblaze33</v>
      </c>
      <c r="G6" s="9" t="s">
        <v>13</v>
      </c>
      <c r="H6" s="9" t="s">
        <v>6989</v>
      </c>
    </row>
    <row r="7" customFormat="false" ht="15.75" hidden="false" customHeight="false" outlineLevel="0" collapsed="false">
      <c r="B7" s="7" t="n">
        <v>46222</v>
      </c>
      <c r="C7" s="3" t="s">
        <v>6990</v>
      </c>
      <c r="D7" s="3" t="s">
        <v>6978</v>
      </c>
      <c r="E7" s="3" t="s">
        <v>6991</v>
      </c>
      <c r="F7" s="10" t="str">
        <f aca="false">HYPERLINK("https://www.inaturalist.org/people/tomdhernandez","tomdhernandez")</f>
        <v>tomdhernandez</v>
      </c>
      <c r="G7" s="9" t="s">
        <v>13</v>
      </c>
      <c r="H7" s="9" t="s">
        <v>6992</v>
      </c>
    </row>
    <row r="8" customFormat="false" ht="15.75" hidden="false" customHeight="false" outlineLevel="0" collapsed="false">
      <c r="B8" s="7" t="n">
        <v>46222</v>
      </c>
      <c r="C8" s="3" t="s">
        <v>6993</v>
      </c>
      <c r="D8" s="3" t="s">
        <v>6978</v>
      </c>
      <c r="E8" s="3" t="s">
        <v>6994</v>
      </c>
      <c r="F8" s="10" t="str">
        <f aca="false">HYPERLINK("https://www.inaturalist.org/people/theherper","theherper")</f>
        <v>theherper</v>
      </c>
      <c r="G8" s="9" t="s">
        <v>13</v>
      </c>
      <c r="H8" s="9" t="s">
        <v>6995</v>
      </c>
    </row>
    <row r="9" customFormat="false" ht="15.75" hidden="false" customHeight="false" outlineLevel="0" collapsed="false">
      <c r="B9" s="7" t="n">
        <v>46222</v>
      </c>
      <c r="C9" s="3" t="s">
        <v>6996</v>
      </c>
      <c r="D9" s="3" t="s">
        <v>6978</v>
      </c>
      <c r="E9" s="3" t="s">
        <v>6997</v>
      </c>
      <c r="F9" s="10" t="str">
        <f aca="false">HYPERLINK("https://www.inaturalist.org/people/soxrobin","soxrobin")</f>
        <v>soxrobin</v>
      </c>
      <c r="G9" s="9" t="s">
        <v>13</v>
      </c>
      <c r="H9" s="9" t="s">
        <v>6998</v>
      </c>
    </row>
    <row r="10" customFormat="false" ht="15.75" hidden="false" customHeight="false" outlineLevel="0" collapsed="false">
      <c r="B10" s="7" t="n">
        <v>46222</v>
      </c>
      <c r="C10" s="3" t="s">
        <v>6999</v>
      </c>
      <c r="D10" s="3" t="s">
        <v>6978</v>
      </c>
      <c r="E10" s="3" t="s">
        <v>7000</v>
      </c>
      <c r="F10" s="10" t="str">
        <f aca="false">HYPERLINK("https://www.inaturalist.org/people/lukaz123","lukaz123")</f>
        <v>lukaz123</v>
      </c>
      <c r="G10" s="9" t="s">
        <v>13</v>
      </c>
      <c r="H10" s="9" t="s">
        <v>7001</v>
      </c>
    </row>
    <row r="11" customFormat="false" ht="15.75" hidden="false" customHeight="false" outlineLevel="0" collapsed="false">
      <c r="B11" s="7" t="n">
        <v>46222</v>
      </c>
      <c r="C11" s="3" t="s">
        <v>7002</v>
      </c>
      <c r="D11" s="3" t="s">
        <v>6978</v>
      </c>
      <c r="E11" s="3" t="s">
        <v>7003</v>
      </c>
      <c r="F11" s="10" t="str">
        <f aca="false">HYPERLINK("https://www.inaturalist.org/people/verdisian","verdisian")</f>
        <v>verdisian</v>
      </c>
      <c r="G11" s="9" t="s">
        <v>13</v>
      </c>
      <c r="H11" s="9" t="s">
        <v>7004</v>
      </c>
    </row>
    <row r="12" customFormat="false" ht="15.75" hidden="false" customHeight="false" outlineLevel="0" collapsed="false">
      <c r="B12" s="7" t="n">
        <v>46222</v>
      </c>
      <c r="C12" s="3" t="s">
        <v>7005</v>
      </c>
      <c r="D12" s="3" t="s">
        <v>6978</v>
      </c>
      <c r="E12" s="3" t="s">
        <v>7006</v>
      </c>
      <c r="F12" s="10" t="str">
        <f aca="false">HYPERLINK("https://www.inaturalist.org/people/camerondeckert","camerondeckert")</f>
        <v>camerondeckert</v>
      </c>
      <c r="G12" s="9" t="s">
        <v>13</v>
      </c>
      <c r="H12" s="9" t="s">
        <v>7007</v>
      </c>
    </row>
    <row r="13" customFormat="false" ht="15.75" hidden="false" customHeight="false" outlineLevel="0" collapsed="false">
      <c r="B13" s="7" t="n">
        <v>46222</v>
      </c>
      <c r="C13" s="3" t="s">
        <v>7008</v>
      </c>
      <c r="D13" s="3" t="s">
        <v>6978</v>
      </c>
      <c r="E13" s="3" t="s">
        <v>7009</v>
      </c>
      <c r="F13" s="10" t="str">
        <f aca="false">HYPERLINK("https://www.inaturalist.org/people/zogador","zogador")</f>
        <v>zogador</v>
      </c>
      <c r="G13" s="9" t="s">
        <v>13</v>
      </c>
      <c r="H13" s="9" t="s">
        <v>7010</v>
      </c>
    </row>
    <row r="14" customFormat="false" ht="15.75" hidden="false" customHeight="false" outlineLevel="0" collapsed="false">
      <c r="B14" s="7" t="n">
        <v>46222</v>
      </c>
      <c r="C14" s="3" t="s">
        <v>7011</v>
      </c>
      <c r="D14" s="3" t="s">
        <v>6978</v>
      </c>
      <c r="E14" s="3" t="s">
        <v>7012</v>
      </c>
      <c r="F14" s="10" t="str">
        <f aca="false">HYPERLINK("https://www.inaturalist.org/people/kansascydney","kansascydney")</f>
        <v>kansascydney</v>
      </c>
      <c r="G14" s="9" t="s">
        <v>13</v>
      </c>
      <c r="H14" s="9" t="s">
        <v>7013</v>
      </c>
    </row>
    <row r="15" customFormat="false" ht="15.75" hidden="false" customHeight="false" outlineLevel="0" collapsed="false">
      <c r="B15" s="7" t="n">
        <v>46222</v>
      </c>
      <c r="C15" s="3" t="s">
        <v>7014</v>
      </c>
      <c r="D15" s="3" t="s">
        <v>6978</v>
      </c>
      <c r="E15" s="3" t="s">
        <v>7015</v>
      </c>
      <c r="F15" s="10" t="str">
        <f aca="false">HYPERLINK("https://www.inaturalist.org/people/pfueger","pfueger")</f>
        <v>pfueger</v>
      </c>
      <c r="G15" s="9" t="s">
        <v>13</v>
      </c>
      <c r="H15" s="9" t="s">
        <v>7016</v>
      </c>
    </row>
    <row r="16" customFormat="false" ht="15.75" hidden="false" customHeight="false" outlineLevel="0" collapsed="false">
      <c r="B16" s="7" t="n">
        <v>46222</v>
      </c>
      <c r="C16" s="3" t="s">
        <v>7017</v>
      </c>
      <c r="D16" s="3" t="s">
        <v>6978</v>
      </c>
      <c r="E16" s="3" t="s">
        <v>7018</v>
      </c>
      <c r="F16" s="10" t="str">
        <f aca="false">HYPERLINK("https://www.inaturalist.org/people/ianmu","ianmu")</f>
        <v>ianmu</v>
      </c>
      <c r="G16" s="9" t="s">
        <v>13</v>
      </c>
      <c r="H16" s="9" t="s">
        <v>7019</v>
      </c>
    </row>
    <row r="17" customFormat="false" ht="15.75" hidden="false" customHeight="false" outlineLevel="0" collapsed="false">
      <c r="B17" s="7" t="n">
        <v>46222</v>
      </c>
      <c r="C17" s="3" t="s">
        <v>7020</v>
      </c>
      <c r="D17" s="3" t="s">
        <v>6978</v>
      </c>
      <c r="E17" s="3" t="s">
        <v>7021</v>
      </c>
      <c r="F17" s="10" t="str">
        <f aca="false">HYPERLINK("https://www.inaturalist.org/people/ianmu","ianmu")</f>
        <v>ianmu</v>
      </c>
      <c r="G17" s="9" t="s">
        <v>13</v>
      </c>
      <c r="H17" s="9" t="s">
        <v>7022</v>
      </c>
    </row>
    <row r="18" customFormat="false" ht="15.75" hidden="false" customHeight="false" outlineLevel="0" collapsed="false">
      <c r="B18" s="7" t="n">
        <v>46222</v>
      </c>
      <c r="C18" s="3" t="s">
        <v>7023</v>
      </c>
      <c r="D18" s="3" t="s">
        <v>6978</v>
      </c>
      <c r="E18" s="3" t="s">
        <v>7024</v>
      </c>
      <c r="F18" s="10" t="str">
        <f aca="false">HYPERLINK("https://www.inaturalist.org/people/aidan_raver","aidan_raver")</f>
        <v>aidan_raver</v>
      </c>
      <c r="G18" s="9" t="s">
        <v>13</v>
      </c>
      <c r="H18" s="9" t="s">
        <v>7025</v>
      </c>
    </row>
    <row r="19" customFormat="false" ht="15.75" hidden="false" customHeight="false" outlineLevel="0" collapsed="false">
      <c r="B19" s="7" t="n">
        <v>46222</v>
      </c>
      <c r="C19" s="3" t="s">
        <v>7026</v>
      </c>
      <c r="D19" s="3" t="s">
        <v>6978</v>
      </c>
      <c r="E19" s="3" t="s">
        <v>7027</v>
      </c>
      <c r="F19" s="10" t="str">
        <f aca="false">HYPERLINK("https://www.inaturalist.org/people/the_canadian_explorer","the_canadian_explorer")</f>
        <v>the_canadian_explorer</v>
      </c>
      <c r="G19" s="9" t="s">
        <v>13</v>
      </c>
      <c r="H19" s="9" t="s">
        <v>7028</v>
      </c>
    </row>
    <row r="20" customFormat="false" ht="15.75" hidden="false" customHeight="false" outlineLevel="0" collapsed="false">
      <c r="B20" s="7" t="n">
        <v>46222</v>
      </c>
      <c r="C20" s="3" t="s">
        <v>7029</v>
      </c>
      <c r="D20" s="3" t="s">
        <v>6978</v>
      </c>
      <c r="E20" s="3" t="s">
        <v>7030</v>
      </c>
      <c r="F20" s="10" t="str">
        <f aca="false">HYPERLINK("https://www.inaturalist.org/people/sethshively","sethshively")</f>
        <v>sethshively</v>
      </c>
      <c r="G20" s="9" t="s">
        <v>13</v>
      </c>
      <c r="H20" s="9" t="s">
        <v>7031</v>
      </c>
    </row>
    <row r="21" customFormat="false" ht="15.75" hidden="false" customHeight="false" outlineLevel="0" collapsed="false">
      <c r="B21" s="7" t="n">
        <v>46222</v>
      </c>
      <c r="C21" s="3" t="s">
        <v>7032</v>
      </c>
      <c r="D21" s="3" t="s">
        <v>6978</v>
      </c>
      <c r="E21" s="3" t="s">
        <v>7033</v>
      </c>
      <c r="F21" s="10" t="str">
        <f aca="false">HYPERLINK("https://www.inaturalist.org/people/ddoyle","ddoyle")</f>
        <v>ddoyle</v>
      </c>
      <c r="G21" s="9" t="s">
        <v>13</v>
      </c>
      <c r="H21" s="9" t="s">
        <v>7034</v>
      </c>
    </row>
    <row r="22" customFormat="false" ht="15.75" hidden="false" customHeight="false" outlineLevel="0" collapsed="false">
      <c r="B22" s="7" t="n">
        <v>46222</v>
      </c>
      <c r="C22" s="3" t="s">
        <v>7035</v>
      </c>
      <c r="D22" s="3" t="s">
        <v>6978</v>
      </c>
      <c r="E22" s="3" t="s">
        <v>7036</v>
      </c>
      <c r="F22" s="10" t="str">
        <f aca="false">HYPERLINK("https://www.inaturalist.org/people/lesemajeste","lesemajeste")</f>
        <v>lesemajeste</v>
      </c>
      <c r="G22" s="9" t="s">
        <v>13</v>
      </c>
      <c r="H22" s="9" t="s">
        <v>7037</v>
      </c>
    </row>
    <row r="23" customFormat="false" ht="15.75" hidden="false" customHeight="false" outlineLevel="0" collapsed="false">
      <c r="B23" s="7" t="n">
        <v>46222</v>
      </c>
      <c r="C23" s="3" t="s">
        <v>7038</v>
      </c>
      <c r="D23" s="3" t="s">
        <v>6978</v>
      </c>
      <c r="E23" s="3" t="s">
        <v>7039</v>
      </c>
      <c r="F23" s="10" t="str">
        <f aca="false">HYPERLINK("https://www.inaturalist.org/people/scmayo","scmayo")</f>
        <v>scmayo</v>
      </c>
      <c r="G23" s="9" t="s">
        <v>13</v>
      </c>
      <c r="H23" s="9" t="s">
        <v>7040</v>
      </c>
    </row>
    <row r="24" customFormat="false" ht="15.75" hidden="false" customHeight="false" outlineLevel="0" collapsed="false">
      <c r="B24" s="7" t="n">
        <v>46222</v>
      </c>
      <c r="C24" s="3" t="s">
        <v>7041</v>
      </c>
      <c r="D24" s="3" t="s">
        <v>6978</v>
      </c>
      <c r="E24" s="3" t="s">
        <v>7042</v>
      </c>
      <c r="F24" s="10" t="str">
        <f aca="false">HYPERLINK("https://www.inaturalist.org/people/desertmax","desertmax")</f>
        <v>desertmax</v>
      </c>
      <c r="G24" s="9" t="s">
        <v>13</v>
      </c>
      <c r="H24" s="9" t="s">
        <v>7043</v>
      </c>
    </row>
    <row r="25" customFormat="false" ht="15.75" hidden="false" customHeight="false" outlineLevel="0" collapsed="false">
      <c r="B25" s="7" t="n">
        <v>46222</v>
      </c>
      <c r="C25" s="3" t="s">
        <v>7044</v>
      </c>
      <c r="D25" s="3" t="s">
        <v>6978</v>
      </c>
      <c r="E25" s="3" t="s">
        <v>7045</v>
      </c>
      <c r="F25" s="10" t="str">
        <f aca="false">HYPERLINK("https://www.inaturalist.org/people/gwoo98","gwoo98")</f>
        <v>gwoo98</v>
      </c>
      <c r="G25" s="9" t="s">
        <v>13</v>
      </c>
      <c r="H25" s="9" t="s">
        <v>7046</v>
      </c>
    </row>
    <row r="26" customFormat="false" ht="15.75" hidden="false" customHeight="false" outlineLevel="0" collapsed="false">
      <c r="B26" s="7" t="n">
        <v>46222</v>
      </c>
      <c r="C26" s="3" t="s">
        <v>7047</v>
      </c>
      <c r="D26" s="3" t="s">
        <v>6978</v>
      </c>
      <c r="E26" s="3" t="s">
        <v>7048</v>
      </c>
      <c r="F26" s="10" t="str">
        <f aca="false">HYPERLINK("https://www.inaturalist.org/people/judithgarrard","judithgarrard")</f>
        <v>judithgarrard</v>
      </c>
      <c r="G26" s="9" t="s">
        <v>13</v>
      </c>
      <c r="H26" s="9" t="s">
        <v>7049</v>
      </c>
    </row>
    <row r="27" customFormat="false" ht="15.75" hidden="false" customHeight="false" outlineLevel="0" collapsed="false">
      <c r="B27" s="7" t="n">
        <v>46222</v>
      </c>
      <c r="C27" s="3" t="s">
        <v>7050</v>
      </c>
      <c r="D27" s="3" t="s">
        <v>6978</v>
      </c>
      <c r="E27" s="3" t="s">
        <v>7051</v>
      </c>
      <c r="F27" s="10" t="str">
        <f aca="false">HYPERLINK("https://www.inaturalist.org/people/dylan31295","dylan31295")</f>
        <v>dylan31295</v>
      </c>
      <c r="G27" s="9" t="s">
        <v>13</v>
      </c>
      <c r="H27" s="9" t="s">
        <v>7052</v>
      </c>
    </row>
    <row r="28" customFormat="false" ht="15.75" hidden="false" customHeight="false" outlineLevel="0" collapsed="false">
      <c r="B28" s="7" t="n">
        <v>46222</v>
      </c>
      <c r="C28" s="3" t="s">
        <v>7053</v>
      </c>
      <c r="D28" s="3" t="s">
        <v>6978</v>
      </c>
      <c r="E28" s="3" t="s">
        <v>7054</v>
      </c>
      <c r="F28" s="10" t="str">
        <f aca="false">HYPERLINK("https://www.inaturalist.org/people/crispycas9","crispycas9")</f>
        <v>crispycas9</v>
      </c>
      <c r="G28" s="9" t="s">
        <v>13</v>
      </c>
      <c r="H28" s="9" t="s">
        <v>7055</v>
      </c>
    </row>
    <row r="29" customFormat="false" ht="15.75" hidden="false" customHeight="false" outlineLevel="0" collapsed="false">
      <c r="B29" s="7" t="n">
        <v>46222</v>
      </c>
      <c r="C29" s="3" t="s">
        <v>7056</v>
      </c>
      <c r="D29" s="3" t="s">
        <v>6978</v>
      </c>
      <c r="E29" s="3" t="s">
        <v>7057</v>
      </c>
      <c r="F29" s="10" t="str">
        <f aca="false">HYPERLINK("https://www.inaturalist.org/people/frank4477","frank4477")</f>
        <v>frank4477</v>
      </c>
      <c r="G29" s="9" t="s">
        <v>13</v>
      </c>
      <c r="H29" s="9" t="s">
        <v>7058</v>
      </c>
    </row>
    <row r="30" customFormat="false" ht="15.75" hidden="false" customHeight="false" outlineLevel="0" collapsed="false">
      <c r="B30" s="7" t="n">
        <v>46222</v>
      </c>
      <c r="C30" s="3" t="s">
        <v>7059</v>
      </c>
      <c r="D30" s="3" t="s">
        <v>6978</v>
      </c>
      <c r="E30" s="3" t="s">
        <v>7060</v>
      </c>
      <c r="F30" s="10" t="str">
        <f aca="false">HYPERLINK("https://www.inaturalist.org/people/tmills","tmills")</f>
        <v>tmills</v>
      </c>
      <c r="G30" s="9" t="s">
        <v>13</v>
      </c>
      <c r="H30" s="9" t="s">
        <v>7061</v>
      </c>
    </row>
    <row r="31" customFormat="false" ht="15.75" hidden="false" customHeight="false" outlineLevel="0" collapsed="false">
      <c r="B31" s="7" t="n">
        <v>46222</v>
      </c>
      <c r="C31" s="3" t="s">
        <v>7062</v>
      </c>
      <c r="D31" s="3" t="s">
        <v>6978</v>
      </c>
      <c r="E31" s="3" t="s">
        <v>7063</v>
      </c>
      <c r="F31" s="10" t="str">
        <f aca="false">HYPERLINK("https://www.inaturalist.org/people/lstephenson","lstephenson")</f>
        <v>lstephenson</v>
      </c>
      <c r="G31" s="9" t="s">
        <v>13</v>
      </c>
      <c r="H31" s="9" t="s">
        <v>7064</v>
      </c>
    </row>
    <row r="32" customFormat="false" ht="15.75" hidden="false" customHeight="false" outlineLevel="0" collapsed="false">
      <c r="B32" s="7" t="n">
        <v>46222</v>
      </c>
      <c r="C32" s="3" t="s">
        <v>7065</v>
      </c>
      <c r="D32" s="3" t="s">
        <v>6978</v>
      </c>
      <c r="E32" s="3" t="s">
        <v>7066</v>
      </c>
      <c r="F32" s="10" t="str">
        <f aca="false">HYPERLINK("https://www.inaturalist.org/people/crotrox","crotrox")</f>
        <v>crotrox</v>
      </c>
      <c r="G32" s="9" t="s">
        <v>13</v>
      </c>
      <c r="H32" s="9" t="s">
        <v>7067</v>
      </c>
    </row>
    <row r="33" customFormat="false" ht="15.75" hidden="false" customHeight="false" outlineLevel="0" collapsed="false">
      <c r="B33" s="7" t="n">
        <v>46222</v>
      </c>
      <c r="C33" s="3" t="s">
        <v>7068</v>
      </c>
      <c r="D33" s="3" t="s">
        <v>6978</v>
      </c>
      <c r="E33" s="3" t="s">
        <v>7069</v>
      </c>
      <c r="F33" s="10" t="str">
        <f aca="false">HYPERLINK("https://www.inaturalist.org/people/qjbeeke","qjbeeke")</f>
        <v>qjbeeke</v>
      </c>
      <c r="G33" s="9" t="s">
        <v>13</v>
      </c>
      <c r="H33" s="9" t="s">
        <v>7070</v>
      </c>
    </row>
    <row r="34" customFormat="false" ht="15.75" hidden="false" customHeight="false" outlineLevel="0" collapsed="false">
      <c r="B34" s="7" t="n">
        <v>46222</v>
      </c>
      <c r="C34" s="3" t="s">
        <v>7071</v>
      </c>
      <c r="D34" s="3" t="s">
        <v>6978</v>
      </c>
      <c r="E34" s="3" t="s">
        <v>7072</v>
      </c>
      <c r="F34" s="10" t="str">
        <f aca="false">HYPERLINK("https://www.inaturalist.org/people/toadcatcher","toadcatcher")</f>
        <v>toadcatcher</v>
      </c>
      <c r="G34" s="9" t="s">
        <v>13</v>
      </c>
      <c r="H34" s="9" t="s">
        <v>7073</v>
      </c>
    </row>
    <row r="35" customFormat="false" ht="15.75" hidden="false" customHeight="false" outlineLevel="0" collapsed="false">
      <c r="B35" s="7" t="n">
        <v>46222</v>
      </c>
      <c r="C35" s="3" t="s">
        <v>7074</v>
      </c>
      <c r="D35" s="3" t="s">
        <v>6978</v>
      </c>
      <c r="E35" s="3" t="s">
        <v>7075</v>
      </c>
      <c r="F35" s="10" t="str">
        <f aca="false">HYPERLINK("https://www.inaturalist.org/people/sosa1998","sosa1998")</f>
        <v>sosa1998</v>
      </c>
      <c r="G35" s="9" t="s">
        <v>13</v>
      </c>
      <c r="H35" s="9" t="s">
        <v>7076</v>
      </c>
    </row>
    <row r="36" customFormat="false" ht="15.75" hidden="false" customHeight="false" outlineLevel="0" collapsed="false">
      <c r="B36" s="7" t="n">
        <v>46222</v>
      </c>
      <c r="C36" s="3" t="s">
        <v>7077</v>
      </c>
      <c r="D36" s="3" t="s">
        <v>6978</v>
      </c>
      <c r="E36" s="3" t="s">
        <v>7078</v>
      </c>
      <c r="F36" s="10" t="str">
        <f aca="false">HYPERLINK("https://www.inaturalist.org/people/jyother","jyother")</f>
        <v>jyother</v>
      </c>
      <c r="G36" s="9" t="s">
        <v>13</v>
      </c>
      <c r="H36" s="9" t="s">
        <v>7079</v>
      </c>
    </row>
    <row r="37" customFormat="false" ht="15.75" hidden="false" customHeight="false" outlineLevel="0" collapsed="false">
      <c r="B37" s="7" t="n">
        <v>46222</v>
      </c>
      <c r="C37" s="3" t="s">
        <v>7080</v>
      </c>
      <c r="D37" s="3" t="s">
        <v>6978</v>
      </c>
      <c r="E37" s="3" t="s">
        <v>7081</v>
      </c>
      <c r="F37" s="10" t="str">
        <f aca="false">HYPERLINK("https://www.inaturalist.org/people/sosa1998","sosa1998")</f>
        <v>sosa1998</v>
      </c>
      <c r="G37" s="9" t="s">
        <v>13</v>
      </c>
      <c r="H37" s="9" t="s">
        <v>7082</v>
      </c>
    </row>
    <row r="38" customFormat="false" ht="15.75" hidden="false" customHeight="false" outlineLevel="0" collapsed="false">
      <c r="B38" s="7" t="n">
        <v>46222</v>
      </c>
      <c r="C38" s="3" t="s">
        <v>7083</v>
      </c>
      <c r="D38" s="3" t="s">
        <v>6978</v>
      </c>
      <c r="E38" s="3" t="s">
        <v>7084</v>
      </c>
      <c r="F38" s="10" t="str">
        <f aca="false">HYPERLINK("https://www.inaturalist.org/people/ghostburglar","ghostburglar")</f>
        <v>ghostburglar</v>
      </c>
      <c r="G38" s="9" t="s">
        <v>13</v>
      </c>
      <c r="H38" s="9" t="s">
        <v>7085</v>
      </c>
    </row>
    <row r="39" customFormat="false" ht="15.75" hidden="false" customHeight="false" outlineLevel="0" collapsed="false">
      <c r="B39" s="7" t="n">
        <v>46222</v>
      </c>
      <c r="C39" s="3" t="s">
        <v>7086</v>
      </c>
      <c r="D39" s="3" t="s">
        <v>6978</v>
      </c>
      <c r="E39" s="3" t="s">
        <v>7087</v>
      </c>
      <c r="F39" s="10" t="str">
        <f aca="false">HYPERLINK("https://www.inaturalist.org/people/david_broek","david_broek")</f>
        <v>david_broek</v>
      </c>
      <c r="G39" s="9" t="s">
        <v>13</v>
      </c>
      <c r="H39" s="9" t="s">
        <v>7088</v>
      </c>
    </row>
    <row r="40" customFormat="false" ht="15.75" hidden="false" customHeight="false" outlineLevel="0" collapsed="false">
      <c r="B40" s="7" t="n">
        <v>46222</v>
      </c>
      <c r="C40" s="3" t="s">
        <v>7089</v>
      </c>
      <c r="D40" s="3" t="s">
        <v>6978</v>
      </c>
      <c r="E40" s="3" t="s">
        <v>7090</v>
      </c>
      <c r="F40" s="10" t="str">
        <f aca="false">HYPERLINK("https://www.inaturalist.org/people/chenzc","chenzc")</f>
        <v>chenzc</v>
      </c>
      <c r="G40" s="9" t="s">
        <v>13</v>
      </c>
      <c r="H40" s="9" t="s">
        <v>7091</v>
      </c>
    </row>
    <row r="41" customFormat="false" ht="15.75" hidden="false" customHeight="false" outlineLevel="0" collapsed="false">
      <c r="B41" s="7" t="n">
        <v>46222</v>
      </c>
      <c r="C41" s="3" t="s">
        <v>7092</v>
      </c>
      <c r="D41" s="3" t="s">
        <v>6978</v>
      </c>
      <c r="E41" s="3" t="s">
        <v>7093</v>
      </c>
      <c r="F41" s="10" t="str">
        <f aca="false">HYPERLINK("https://www.inaturalist.org/people/chenzc","chenzc")</f>
        <v>chenzc</v>
      </c>
      <c r="G41" s="9" t="s">
        <v>13</v>
      </c>
      <c r="H41" s="9" t="s">
        <v>7094</v>
      </c>
    </row>
    <row r="42" customFormat="false" ht="15.75" hidden="false" customHeight="false" outlineLevel="0" collapsed="false">
      <c r="B42" s="7" t="n">
        <v>46222</v>
      </c>
      <c r="C42" s="3" t="s">
        <v>7095</v>
      </c>
      <c r="D42" s="3" t="s">
        <v>6978</v>
      </c>
      <c r="E42" s="3" t="s">
        <v>7096</v>
      </c>
      <c r="F42" s="10" t="str">
        <f aca="false">HYPERLINK("https://www.inaturalist.org/people/chenzc","chenzc")</f>
        <v>chenzc</v>
      </c>
      <c r="G42" s="9" t="s">
        <v>13</v>
      </c>
      <c r="H42" s="9" t="s">
        <v>7097</v>
      </c>
    </row>
    <row r="43" customFormat="false" ht="15.75" hidden="false" customHeight="false" outlineLevel="0" collapsed="false">
      <c r="B43" s="7" t="n">
        <v>46222</v>
      </c>
      <c r="C43" s="3" t="s">
        <v>7098</v>
      </c>
      <c r="D43" s="3" t="s">
        <v>6978</v>
      </c>
      <c r="E43" s="3" t="s">
        <v>7099</v>
      </c>
      <c r="F43" s="10" t="str">
        <f aca="false">HYPERLINK("https://www.inaturalist.org/people/chenzc","chenzc")</f>
        <v>chenzc</v>
      </c>
      <c r="G43" s="9" t="s">
        <v>13</v>
      </c>
      <c r="H43" s="9" t="s">
        <v>7100</v>
      </c>
    </row>
    <row r="44" customFormat="false" ht="15.75" hidden="false" customHeight="false" outlineLevel="0" collapsed="false">
      <c r="B44" s="7" t="n">
        <v>46222</v>
      </c>
      <c r="C44" s="3" t="s">
        <v>7101</v>
      </c>
      <c r="D44" s="3" t="s">
        <v>6978</v>
      </c>
      <c r="E44" s="3" t="s">
        <v>7102</v>
      </c>
      <c r="F44" s="10" t="str">
        <f aca="false">HYPERLINK("https://www.inaturalist.org/people/chenzc","chenzc")</f>
        <v>chenzc</v>
      </c>
      <c r="G44" s="9" t="s">
        <v>13</v>
      </c>
      <c r="H44" s="9" t="s">
        <v>7103</v>
      </c>
    </row>
    <row r="45" customFormat="false" ht="15.75" hidden="false" customHeight="false" outlineLevel="0" collapsed="false">
      <c r="B45" s="7" t="n">
        <v>46222</v>
      </c>
      <c r="C45" s="3" t="s">
        <v>7104</v>
      </c>
      <c r="D45" s="3" t="s">
        <v>6978</v>
      </c>
      <c r="E45" s="3" t="s">
        <v>7105</v>
      </c>
      <c r="F45" s="10" t="str">
        <f aca="false">HYPERLINK("https://www.inaturalist.org/people/chenzc","chenzc")</f>
        <v>chenzc</v>
      </c>
      <c r="G45" s="9" t="s">
        <v>13</v>
      </c>
      <c r="H45" s="9" t="s">
        <v>7106</v>
      </c>
    </row>
    <row r="46" customFormat="false" ht="15.75" hidden="false" customHeight="false" outlineLevel="0" collapsed="false">
      <c r="B46" s="7" t="n">
        <v>46222</v>
      </c>
      <c r="C46" s="3" t="s">
        <v>7107</v>
      </c>
      <c r="D46" s="3" t="s">
        <v>6978</v>
      </c>
      <c r="E46" s="3" t="s">
        <v>7108</v>
      </c>
      <c r="F46" s="10" t="str">
        <f aca="false">HYPERLINK("https://www.inaturalist.org/people/chenzc","chenzc")</f>
        <v>chenzc</v>
      </c>
      <c r="G46" s="9" t="s">
        <v>13</v>
      </c>
      <c r="H46" s="9" t="s">
        <v>7109</v>
      </c>
    </row>
    <row r="47" customFormat="false" ht="15.75" hidden="false" customHeight="false" outlineLevel="0" collapsed="false">
      <c r="B47" s="7" t="n">
        <v>46222</v>
      </c>
      <c r="C47" s="3" t="s">
        <v>7110</v>
      </c>
      <c r="D47" s="3" t="s">
        <v>6978</v>
      </c>
      <c r="E47" s="3" t="s">
        <v>7111</v>
      </c>
      <c r="F47" s="10" t="str">
        <f aca="false">HYPERLINK("https://www.inaturalist.org/people/chenzc","chenzc")</f>
        <v>chenzc</v>
      </c>
      <c r="G47" s="9" t="s">
        <v>13</v>
      </c>
      <c r="H47" s="9" t="s">
        <v>7112</v>
      </c>
    </row>
    <row r="48" customFormat="false" ht="15.75" hidden="false" customHeight="false" outlineLevel="0" collapsed="false">
      <c r="B48" s="7" t="n">
        <v>46222</v>
      </c>
      <c r="C48" s="3" t="s">
        <v>7113</v>
      </c>
      <c r="D48" s="3" t="s">
        <v>6978</v>
      </c>
      <c r="E48" s="3" t="s">
        <v>7114</v>
      </c>
      <c r="F48" s="10" t="str">
        <f aca="false">HYPERLINK("https://www.inaturalist.org/people/smeekin","smeekin")</f>
        <v>smeekin</v>
      </c>
      <c r="G48" s="9" t="s">
        <v>13</v>
      </c>
      <c r="H48" s="9" t="s">
        <v>7115</v>
      </c>
    </row>
    <row r="49" customFormat="false" ht="15.75" hidden="false" customHeight="false" outlineLevel="0" collapsed="false">
      <c r="B49" s="7" t="n">
        <v>46222</v>
      </c>
      <c r="C49" s="3" t="s">
        <v>7116</v>
      </c>
      <c r="D49" s="3" t="s">
        <v>6978</v>
      </c>
      <c r="E49" s="3" t="s">
        <v>7117</v>
      </c>
      <c r="F49" s="10" t="str">
        <f aca="false">HYPERLINK("https://www.inaturalist.org/people/smeekin","smeekin")</f>
        <v>smeekin</v>
      </c>
      <c r="G49" s="9" t="s">
        <v>13</v>
      </c>
      <c r="H49" s="9" t="s">
        <v>7118</v>
      </c>
    </row>
    <row r="50" customFormat="false" ht="15.75" hidden="false" customHeight="false" outlineLevel="0" collapsed="false">
      <c r="B50" s="7" t="n">
        <v>46222</v>
      </c>
      <c r="C50" s="3" t="s">
        <v>7119</v>
      </c>
      <c r="D50" s="3" t="s">
        <v>6978</v>
      </c>
      <c r="E50" s="3" t="s">
        <v>7120</v>
      </c>
      <c r="F50" s="10" t="str">
        <f aca="false">HYPERLINK("https://www.inaturalist.org/people/cevargasv","cevargasv")</f>
        <v>cevargasv</v>
      </c>
      <c r="G50" s="9" t="s">
        <v>13</v>
      </c>
      <c r="H50" s="9" t="s">
        <v>7121</v>
      </c>
    </row>
    <row r="51" customFormat="false" ht="15.75" hidden="false" customHeight="false" outlineLevel="0" collapsed="false">
      <c r="B51" s="7" t="n">
        <v>46222</v>
      </c>
      <c r="C51" s="3" t="s">
        <v>7122</v>
      </c>
      <c r="D51" s="3" t="s">
        <v>6978</v>
      </c>
      <c r="E51" s="3" t="s">
        <v>7123</v>
      </c>
      <c r="F51" s="10" t="str">
        <f aca="false">HYPERLINK("https://www.inaturalist.org/people/hiddenutah","hiddenutah")</f>
        <v>hiddenutah</v>
      </c>
      <c r="G51" s="9" t="s">
        <v>13</v>
      </c>
      <c r="H51" s="9" t="s">
        <v>7124</v>
      </c>
    </row>
    <row r="52" customFormat="false" ht="15.75" hidden="false" customHeight="false" outlineLevel="0" collapsed="false">
      <c r="B52" s="7" t="n">
        <v>46222</v>
      </c>
      <c r="C52" s="3" t="s">
        <v>7125</v>
      </c>
      <c r="D52" s="3" t="s">
        <v>6978</v>
      </c>
      <c r="E52" s="3" t="s">
        <v>7126</v>
      </c>
      <c r="F52" s="10" t="str">
        <f aca="false">HYPERLINK("https://www.inaturalist.org/people/chenzc","chenzc")</f>
        <v>chenzc</v>
      </c>
      <c r="G52" s="9" t="s">
        <v>13</v>
      </c>
      <c r="H52" s="9" t="s">
        <v>7127</v>
      </c>
    </row>
    <row r="53" customFormat="false" ht="15.75" hidden="false" customHeight="false" outlineLevel="0" collapsed="false">
      <c r="B53" s="7" t="n">
        <v>46222</v>
      </c>
      <c r="C53" s="3" t="s">
        <v>7128</v>
      </c>
      <c r="D53" s="3" t="s">
        <v>6978</v>
      </c>
      <c r="E53" s="3" t="s">
        <v>7129</v>
      </c>
      <c r="F53" s="10" t="str">
        <f aca="false">HYPERLINK("https://www.inaturalist.org/people/chenzc","chenzc")</f>
        <v>chenzc</v>
      </c>
      <c r="G53" s="9" t="s">
        <v>13</v>
      </c>
      <c r="H53" s="9" t="s">
        <v>7130</v>
      </c>
    </row>
    <row r="54" customFormat="false" ht="15.75" hidden="false" customHeight="false" outlineLevel="0" collapsed="false">
      <c r="B54" s="7" t="n">
        <v>46222</v>
      </c>
      <c r="C54" s="3" t="s">
        <v>7131</v>
      </c>
      <c r="D54" s="3" t="s">
        <v>6978</v>
      </c>
      <c r="E54" s="3" t="s">
        <v>7132</v>
      </c>
      <c r="F54" s="10" t="str">
        <f aca="false">HYPERLINK("https://www.inaturalist.org/people/chenzc","chenzc")</f>
        <v>chenzc</v>
      </c>
      <c r="G54" s="9" t="s">
        <v>13</v>
      </c>
      <c r="H54" s="9" t="s">
        <v>7133</v>
      </c>
    </row>
    <row r="55" customFormat="false" ht="15.75" hidden="false" customHeight="false" outlineLevel="0" collapsed="false">
      <c r="B55" s="7" t="n">
        <v>46222</v>
      </c>
      <c r="C55" s="3" t="s">
        <v>7134</v>
      </c>
      <c r="D55" s="3" t="s">
        <v>6978</v>
      </c>
      <c r="E55" s="3" t="s">
        <v>7135</v>
      </c>
      <c r="F55" s="10" t="str">
        <f aca="false">HYPERLINK("https://www.inaturalist.org/people/chenzc","chenzc")</f>
        <v>chenzc</v>
      </c>
      <c r="G55" s="9" t="s">
        <v>13</v>
      </c>
      <c r="H55" s="9" t="s">
        <v>7136</v>
      </c>
    </row>
    <row r="56" customFormat="false" ht="15.75" hidden="false" customHeight="false" outlineLevel="0" collapsed="false">
      <c r="B56" s="7" t="n">
        <v>46222</v>
      </c>
      <c r="C56" s="3" t="s">
        <v>7137</v>
      </c>
      <c r="D56" s="3" t="s">
        <v>6978</v>
      </c>
      <c r="E56" s="3" t="s">
        <v>7138</v>
      </c>
      <c r="F56" s="10" t="str">
        <f aca="false">HYPERLINK("https://www.inaturalist.org/people/chenzc","chenzc")</f>
        <v>chenzc</v>
      </c>
      <c r="G56" s="9" t="s">
        <v>13</v>
      </c>
      <c r="H56" s="9" t="s">
        <v>7139</v>
      </c>
    </row>
    <row r="57" customFormat="false" ht="15.75" hidden="false" customHeight="false" outlineLevel="0" collapsed="false">
      <c r="B57" s="7" t="n">
        <v>46222</v>
      </c>
      <c r="C57" s="3" t="s">
        <v>7140</v>
      </c>
      <c r="D57" s="3" t="s">
        <v>6978</v>
      </c>
      <c r="E57" s="3" t="s">
        <v>7141</v>
      </c>
      <c r="F57" s="10" t="str">
        <f aca="false">HYPERLINK("https://www.inaturalist.org/people/chenzc","chenzc")</f>
        <v>chenzc</v>
      </c>
      <c r="G57" s="9" t="s">
        <v>13</v>
      </c>
      <c r="H57" s="9" t="s">
        <v>7142</v>
      </c>
    </row>
    <row r="58" customFormat="false" ht="15.75" hidden="false" customHeight="false" outlineLevel="0" collapsed="false">
      <c r="B58" s="7" t="n">
        <v>46222</v>
      </c>
      <c r="C58" s="3" t="s">
        <v>7143</v>
      </c>
      <c r="D58" s="3" t="s">
        <v>6978</v>
      </c>
      <c r="E58" s="3" t="s">
        <v>7144</v>
      </c>
      <c r="F58" s="10" t="str">
        <f aca="false">HYPERLINK("https://www.inaturalist.org/people/chenzc","chenzc")</f>
        <v>chenzc</v>
      </c>
      <c r="G58" s="9" t="s">
        <v>13</v>
      </c>
      <c r="H58" s="9" t="s">
        <v>7145</v>
      </c>
    </row>
    <row r="59" customFormat="false" ht="15.75" hidden="false" customHeight="false" outlineLevel="0" collapsed="false">
      <c r="B59" s="7" t="n">
        <v>46222</v>
      </c>
      <c r="C59" s="3" t="s">
        <v>7146</v>
      </c>
      <c r="D59" s="3" t="s">
        <v>6978</v>
      </c>
      <c r="E59" s="3" t="s">
        <v>7147</v>
      </c>
      <c r="F59" s="10" t="str">
        <f aca="false">HYPERLINK("https://www.inaturalist.org/people/chenzc","chenzc")</f>
        <v>chenzc</v>
      </c>
      <c r="G59" s="9" t="s">
        <v>13</v>
      </c>
      <c r="H59" s="9" t="s">
        <v>7148</v>
      </c>
    </row>
    <row r="60" customFormat="false" ht="15.75" hidden="false" customHeight="false" outlineLevel="0" collapsed="false">
      <c r="B60" s="7" t="n">
        <v>46222</v>
      </c>
      <c r="C60" s="3" t="s">
        <v>7149</v>
      </c>
      <c r="D60" s="3" t="s">
        <v>6978</v>
      </c>
      <c r="E60" s="3" t="s">
        <v>7150</v>
      </c>
      <c r="F60" s="10" t="str">
        <f aca="false">HYPERLINK("https://www.inaturalist.org/people/hiddenutah","hiddenutah")</f>
        <v>hiddenutah</v>
      </c>
      <c r="G60" s="9" t="s">
        <v>13</v>
      </c>
      <c r="H60" s="9" t="s">
        <v>7151</v>
      </c>
    </row>
    <row r="61" customFormat="false" ht="15.75" hidden="false" customHeight="false" outlineLevel="0" collapsed="false">
      <c r="B61" s="7" t="n">
        <v>46222</v>
      </c>
      <c r="C61" s="3" t="s">
        <v>7152</v>
      </c>
      <c r="D61" s="3" t="s">
        <v>6978</v>
      </c>
      <c r="E61" s="3" t="s">
        <v>7153</v>
      </c>
      <c r="F61" s="10" t="str">
        <f aca="false">HYPERLINK("https://www.inaturalist.org/people/whittyislitty67","whittyislitty67")</f>
        <v>whittyislitty67</v>
      </c>
      <c r="G61" s="9" t="s">
        <v>13</v>
      </c>
      <c r="H61" s="9" t="s">
        <v>7154</v>
      </c>
    </row>
    <row r="62" customFormat="false" ht="15.75" hidden="false" customHeight="false" outlineLevel="0" collapsed="false">
      <c r="B62" s="7" t="n">
        <v>46222</v>
      </c>
      <c r="C62" s="3" t="s">
        <v>7155</v>
      </c>
      <c r="D62" s="3" t="s">
        <v>6978</v>
      </c>
      <c r="E62" s="3" t="s">
        <v>7156</v>
      </c>
      <c r="F62" s="10" t="str">
        <f aca="false">HYPERLINK("https://www.inaturalist.org/people/s_pernpeintner","s_pernpeintner")</f>
        <v>s_pernpeintner</v>
      </c>
      <c r="G62" s="9" t="s">
        <v>13</v>
      </c>
      <c r="H62" s="9" t="s">
        <v>7157</v>
      </c>
    </row>
    <row r="63" customFormat="false" ht="15.75" hidden="false" customHeight="false" outlineLevel="0" collapsed="false">
      <c r="B63" s="7" t="n">
        <v>46222</v>
      </c>
      <c r="C63" s="3" t="s">
        <v>7158</v>
      </c>
      <c r="D63" s="3" t="s">
        <v>6978</v>
      </c>
      <c r="E63" s="3" t="s">
        <v>7159</v>
      </c>
      <c r="F63" s="10" t="str">
        <f aca="false">HYPERLINK("https://www.inaturalist.org/people/mason_s","mason_s")</f>
        <v>mason_s</v>
      </c>
      <c r="G63" s="9" t="s">
        <v>13</v>
      </c>
      <c r="H63" s="9" t="s">
        <v>7160</v>
      </c>
    </row>
    <row r="64" customFormat="false" ht="15.75" hidden="false" customHeight="false" outlineLevel="0" collapsed="false">
      <c r="B64" s="7" t="n">
        <v>46222</v>
      </c>
      <c r="C64" s="3" t="s">
        <v>7161</v>
      </c>
      <c r="D64" s="3" t="s">
        <v>6978</v>
      </c>
      <c r="E64" s="3" t="s">
        <v>7162</v>
      </c>
      <c r="F64" s="10" t="str">
        <f aca="false">HYPERLINK("https://www.inaturalist.org/people/siberiapiao","siberiapiao")</f>
        <v>siberiapiao</v>
      </c>
      <c r="G64" s="9" t="s">
        <v>13</v>
      </c>
      <c r="H64" s="9" t="s">
        <v>7163</v>
      </c>
    </row>
    <row r="65" customFormat="false" ht="15.75" hidden="false" customHeight="false" outlineLevel="0" collapsed="false">
      <c r="B65" s="7" t="n">
        <v>46222</v>
      </c>
      <c r="C65" s="3" t="s">
        <v>7164</v>
      </c>
      <c r="D65" s="3" t="s">
        <v>6978</v>
      </c>
      <c r="E65" s="3" t="s">
        <v>7165</v>
      </c>
      <c r="F65" s="10" t="str">
        <f aca="false">HYPERLINK("https://www.inaturalist.org/people/crotrox","crotrox")</f>
        <v>crotrox</v>
      </c>
      <c r="G65" s="9" t="s">
        <v>13</v>
      </c>
      <c r="H65" s="9" t="s">
        <v>7166</v>
      </c>
    </row>
    <row r="66" customFormat="false" ht="15.75" hidden="false" customHeight="false" outlineLevel="0" collapsed="false">
      <c r="B66" s="7" t="n">
        <v>46222</v>
      </c>
      <c r="C66" s="3" t="s">
        <v>7167</v>
      </c>
      <c r="D66" s="3" t="s">
        <v>6978</v>
      </c>
      <c r="E66" s="3" t="s">
        <v>7168</v>
      </c>
      <c r="F66" s="10" t="str">
        <f aca="false">HYPERLINK("https://www.inaturalist.org/people/siberiapiao","siberiapiao")</f>
        <v>siberiapiao</v>
      </c>
      <c r="G66" s="9" t="s">
        <v>13</v>
      </c>
      <c r="H66" s="9" t="s">
        <v>7169</v>
      </c>
    </row>
    <row r="67" customFormat="false" ht="15.75" hidden="false" customHeight="false" outlineLevel="0" collapsed="false">
      <c r="B67" s="7" t="n">
        <v>46222</v>
      </c>
      <c r="C67" s="3" t="s">
        <v>7170</v>
      </c>
      <c r="D67" s="3" t="s">
        <v>6978</v>
      </c>
      <c r="E67" s="3" t="s">
        <v>7171</v>
      </c>
      <c r="F67" s="10" t="str">
        <f aca="false">HYPERLINK("https://www.inaturalist.org/people/crotrox","crotrox")</f>
        <v>crotrox</v>
      </c>
      <c r="G67" s="9" t="s">
        <v>13</v>
      </c>
      <c r="H67" s="9" t="s">
        <v>7172</v>
      </c>
    </row>
    <row r="68" customFormat="false" ht="15.75" hidden="false" customHeight="false" outlineLevel="0" collapsed="false">
      <c r="B68" s="7" t="n">
        <v>46222</v>
      </c>
      <c r="C68" s="3" t="s">
        <v>7173</v>
      </c>
      <c r="D68" s="3" t="s">
        <v>6978</v>
      </c>
      <c r="E68" s="3" t="s">
        <v>7174</v>
      </c>
      <c r="F68" s="10" t="str">
        <f aca="false">HYPERLINK("https://www.inaturalist.org/people/galia99325","galia99325")</f>
        <v>galia99325</v>
      </c>
      <c r="G68" s="9" t="s">
        <v>13</v>
      </c>
      <c r="H68" s="9" t="s">
        <v>7175</v>
      </c>
    </row>
    <row r="69" customFormat="false" ht="15.75" hidden="false" customHeight="false" outlineLevel="0" collapsed="false">
      <c r="B69" s="7" t="n">
        <v>46222</v>
      </c>
      <c r="C69" s="3" t="s">
        <v>7176</v>
      </c>
      <c r="D69" s="3" t="s">
        <v>6978</v>
      </c>
      <c r="E69" s="3" t="s">
        <v>7177</v>
      </c>
      <c r="F69" s="10" t="str">
        <f aca="false">HYPERLINK("https://www.inaturalist.org/people/lahauteroche","lahauteroche")</f>
        <v>lahauteroche</v>
      </c>
      <c r="G69" s="9" t="s">
        <v>13</v>
      </c>
      <c r="H69" s="9" t="s">
        <v>7178</v>
      </c>
    </row>
    <row r="70" customFormat="false" ht="15.75" hidden="false" customHeight="false" outlineLevel="0" collapsed="false">
      <c r="B70" s="7" t="n">
        <v>46222</v>
      </c>
      <c r="C70" s="3" t="s">
        <v>7179</v>
      </c>
      <c r="D70" s="3" t="s">
        <v>6978</v>
      </c>
      <c r="E70" s="3" t="s">
        <v>7180</v>
      </c>
      <c r="F70" s="10" t="str">
        <f aca="false">HYPERLINK("https://www.inaturalist.org/people/crotrox","crotrox")</f>
        <v>crotrox</v>
      </c>
      <c r="G70" s="9" t="s">
        <v>13</v>
      </c>
      <c r="H70" s="9" t="s">
        <v>7181</v>
      </c>
    </row>
    <row r="71" customFormat="false" ht="15.75" hidden="false" customHeight="false" outlineLevel="0" collapsed="false">
      <c r="B71" s="7" t="n">
        <v>46222</v>
      </c>
      <c r="C71" s="3" t="s">
        <v>7182</v>
      </c>
      <c r="D71" s="3" t="s">
        <v>6978</v>
      </c>
      <c r="E71" s="3" t="s">
        <v>7183</v>
      </c>
      <c r="F71" s="10" t="str">
        <f aca="false">HYPERLINK("https://www.inaturalist.org/people/crotrox","crotrox")</f>
        <v>crotrox</v>
      </c>
      <c r="G71" s="9" t="s">
        <v>13</v>
      </c>
      <c r="H71" s="9" t="s">
        <v>7184</v>
      </c>
    </row>
    <row r="72" customFormat="false" ht="15.75" hidden="false" customHeight="false" outlineLevel="0" collapsed="false">
      <c r="B72" s="7" t="n">
        <v>46222</v>
      </c>
      <c r="C72" s="3" t="s">
        <v>7185</v>
      </c>
      <c r="D72" s="3" t="s">
        <v>6978</v>
      </c>
      <c r="E72" s="3" t="s">
        <v>7186</v>
      </c>
      <c r="F72" s="10" t="str">
        <f aca="false">HYPERLINK("https://www.inaturalist.org/people/riley_frasier","riley_frasier")</f>
        <v>riley_frasier</v>
      </c>
      <c r="G72" s="9" t="s">
        <v>13</v>
      </c>
      <c r="H72" s="9" t="s">
        <v>7187</v>
      </c>
    </row>
    <row r="73" customFormat="false" ht="15.75" hidden="false" customHeight="false" outlineLevel="0" collapsed="false">
      <c r="B73" s="7" t="n">
        <v>46222</v>
      </c>
      <c r="C73" s="3" t="s">
        <v>7188</v>
      </c>
      <c r="D73" s="3" t="s">
        <v>6978</v>
      </c>
      <c r="E73" s="3" t="s">
        <v>7189</v>
      </c>
      <c r="F73" s="10" t="str">
        <f aca="false">HYPERLINK("https://www.inaturalist.org/people/camelia_broboana","camelia_broboana")</f>
        <v>camelia_broboana</v>
      </c>
      <c r="G73" s="9" t="s">
        <v>13</v>
      </c>
      <c r="H73" s="9" t="s">
        <v>7190</v>
      </c>
    </row>
    <row r="74" customFormat="false" ht="15.75" hidden="false" customHeight="false" outlineLevel="0" collapsed="false">
      <c r="B74" s="7" t="n">
        <v>46222</v>
      </c>
      <c r="C74" s="3" t="s">
        <v>7191</v>
      </c>
      <c r="D74" s="3" t="s">
        <v>6978</v>
      </c>
      <c r="E74" s="3" t="s">
        <v>7192</v>
      </c>
      <c r="F74" s="10" t="str">
        <f aca="false">HYPERLINK("https://www.inaturalist.org/people/er_chiocciola","er_chiocciola")</f>
        <v>er_chiocciola</v>
      </c>
      <c r="G74" s="9" t="s">
        <v>13</v>
      </c>
      <c r="H74" s="9" t="s">
        <v>7193</v>
      </c>
    </row>
    <row r="75" customFormat="false" ht="15.75" hidden="false" customHeight="false" outlineLevel="0" collapsed="false">
      <c r="B75" s="7" t="n">
        <v>46222</v>
      </c>
      <c r="C75" s="3" t="s">
        <v>7194</v>
      </c>
      <c r="D75" s="3" t="s">
        <v>6978</v>
      </c>
      <c r="E75" s="3" t="s">
        <v>7195</v>
      </c>
      <c r="F75" s="10" t="str">
        <f aca="false">HYPERLINK("https://www.inaturalist.org/people/kdrinnen","kdrinnen")</f>
        <v>kdrinnen</v>
      </c>
      <c r="G75" s="9" t="s">
        <v>13</v>
      </c>
      <c r="H75" s="9" t="s">
        <v>7196</v>
      </c>
    </row>
    <row r="76" customFormat="false" ht="15.75" hidden="false" customHeight="false" outlineLevel="0" collapsed="false">
      <c r="B76" s="7" t="n">
        <v>46222</v>
      </c>
      <c r="C76" s="3" t="s">
        <v>7197</v>
      </c>
      <c r="D76" s="3" t="s">
        <v>6978</v>
      </c>
      <c r="E76" s="3" t="s">
        <v>7198</v>
      </c>
      <c r="F76" s="10" t="str">
        <f aca="false">HYPERLINK("https://www.inaturalist.org/people/crotrox","crotrox")</f>
        <v>crotrox</v>
      </c>
      <c r="G76" s="9" t="s">
        <v>13</v>
      </c>
      <c r="H76" s="9" t="s">
        <v>7199</v>
      </c>
    </row>
    <row r="77" customFormat="false" ht="15.75" hidden="false" customHeight="false" outlineLevel="0" collapsed="false">
      <c r="B77" s="7" t="n">
        <v>46222</v>
      </c>
      <c r="C77" s="3" t="s">
        <v>7200</v>
      </c>
      <c r="D77" s="3" t="s">
        <v>6978</v>
      </c>
      <c r="E77" s="3" t="s">
        <v>7201</v>
      </c>
      <c r="F77" s="10" t="str">
        <f aca="false">HYPERLINK("https://www.inaturalist.org/people/crotrox","crotrox")</f>
        <v>crotrox</v>
      </c>
      <c r="G77" s="9" t="s">
        <v>13</v>
      </c>
      <c r="H77" s="9" t="s">
        <v>7202</v>
      </c>
    </row>
    <row r="78" customFormat="false" ht="15.75" hidden="false" customHeight="false" outlineLevel="0" collapsed="false">
      <c r="B78" s="7" t="n">
        <v>46222</v>
      </c>
      <c r="C78" s="3" t="s">
        <v>7203</v>
      </c>
      <c r="D78" s="3" t="s">
        <v>6978</v>
      </c>
      <c r="E78" s="3" t="s">
        <v>7204</v>
      </c>
      <c r="F78" s="10" t="str">
        <f aca="false">HYPERLINK("https://www.inaturalist.org/people/ichi_wildlife_mx","ichi_wildlife_mx")</f>
        <v>ichi_wildlife_mx</v>
      </c>
      <c r="G78" s="9" t="s">
        <v>13</v>
      </c>
      <c r="H78" s="9" t="s">
        <v>7205</v>
      </c>
    </row>
    <row r="79" customFormat="false" ht="15.75" hidden="false" customHeight="false" outlineLevel="0" collapsed="false">
      <c r="B79" s="7" t="n">
        <v>46222</v>
      </c>
      <c r="C79" s="3" t="s">
        <v>7206</v>
      </c>
      <c r="D79" s="3" t="s">
        <v>6978</v>
      </c>
      <c r="E79" s="3" t="s">
        <v>7207</v>
      </c>
      <c r="F79" s="10" t="str">
        <f aca="false">HYPERLINK("https://www.inaturalist.org/people/alinamelenteva","alinamelenteva")</f>
        <v>alinamelenteva</v>
      </c>
      <c r="G79" s="9" t="s">
        <v>13</v>
      </c>
      <c r="H79" s="9" t="s">
        <v>7208</v>
      </c>
    </row>
    <row r="80" customFormat="false" ht="15.75" hidden="false" customHeight="false" outlineLevel="0" collapsed="false">
      <c r="B80" s="7" t="n">
        <v>46222</v>
      </c>
      <c r="C80" s="3" t="s">
        <v>7209</v>
      </c>
      <c r="D80" s="3" t="s">
        <v>6978</v>
      </c>
      <c r="E80" s="3" t="s">
        <v>7210</v>
      </c>
      <c r="F80" s="10" t="str">
        <f aca="false">HYPERLINK("https://www.inaturalist.org/people/jmillsand","jmillsand")</f>
        <v>jmillsand</v>
      </c>
      <c r="G80" s="9" t="s">
        <v>13</v>
      </c>
      <c r="H80" s="9" t="s">
        <v>7211</v>
      </c>
    </row>
    <row r="81" customFormat="false" ht="15.75" hidden="false" customHeight="false" outlineLevel="0" collapsed="false">
      <c r="B81" s="7" t="n">
        <v>46222</v>
      </c>
      <c r="C81" s="3" t="s">
        <v>7212</v>
      </c>
      <c r="D81" s="3" t="s">
        <v>6978</v>
      </c>
      <c r="E81" s="3" t="s">
        <v>7213</v>
      </c>
      <c r="F81" s="10" t="str">
        <f aca="false">HYPERLINK("https://www.inaturalist.org/people/ebensteadman6219","ebensteadman6219")</f>
        <v>ebensteadman6219</v>
      </c>
      <c r="G81" s="9" t="s">
        <v>13</v>
      </c>
      <c r="H81" s="9" t="s">
        <v>7214</v>
      </c>
    </row>
    <row r="82" customFormat="false" ht="15.75" hidden="false" customHeight="false" outlineLevel="0" collapsed="false">
      <c r="B82" s="7" t="n">
        <v>46222</v>
      </c>
      <c r="C82" s="3" t="s">
        <v>7215</v>
      </c>
      <c r="D82" s="3" t="s">
        <v>6978</v>
      </c>
      <c r="E82" s="3" t="s">
        <v>7216</v>
      </c>
      <c r="F82" s="10" t="str">
        <f aca="false">HYPERLINK("https://www.inaturalist.org/people/zcorbiere","zcorbiere")</f>
        <v>zcorbiere</v>
      </c>
      <c r="G82" s="9" t="s">
        <v>13</v>
      </c>
      <c r="H82" s="9" t="s">
        <v>7217</v>
      </c>
    </row>
    <row r="83" customFormat="false" ht="15.75" hidden="false" customHeight="false" outlineLevel="0" collapsed="false">
      <c r="B83" s="7" t="n">
        <v>46222</v>
      </c>
      <c r="C83" s="3" t="s">
        <v>7218</v>
      </c>
      <c r="D83" s="3" t="s">
        <v>6978</v>
      </c>
      <c r="E83" s="3" t="s">
        <v>7219</v>
      </c>
      <c r="F83" s="10" t="str">
        <f aca="false">HYPERLINK("https://www.inaturalist.org/people/aduplic","aduplic")</f>
        <v>aduplic</v>
      </c>
      <c r="G83" s="9" t="s">
        <v>13</v>
      </c>
      <c r="H83" s="9" t="s">
        <v>7220</v>
      </c>
    </row>
    <row r="84" customFormat="false" ht="15.75" hidden="false" customHeight="false" outlineLevel="0" collapsed="false">
      <c r="B84" s="7" t="n">
        <v>46222</v>
      </c>
      <c r="C84" s="3" t="s">
        <v>7221</v>
      </c>
      <c r="D84" s="3" t="s">
        <v>6978</v>
      </c>
      <c r="E84" s="3" t="s">
        <v>7222</v>
      </c>
      <c r="F84" s="10" t="str">
        <f aca="false">HYPERLINK("https://www.inaturalist.org/people/biggerdigger","biggerdigger")</f>
        <v>biggerdigger</v>
      </c>
      <c r="G84" s="9" t="s">
        <v>13</v>
      </c>
      <c r="H84" s="9" t="s">
        <v>7223</v>
      </c>
    </row>
    <row r="85" customFormat="false" ht="15.75" hidden="false" customHeight="false" outlineLevel="0" collapsed="false">
      <c r="B85" s="7" t="n">
        <v>46222</v>
      </c>
      <c r="C85" s="3" t="s">
        <v>7224</v>
      </c>
      <c r="D85" s="3" t="s">
        <v>6978</v>
      </c>
      <c r="E85" s="3" t="s">
        <v>7225</v>
      </c>
      <c r="F85" s="10" t="str">
        <f aca="false">HYPERLINK("https://www.inaturalist.org/people/mateussantana","mateussantana")</f>
        <v>mateussantana</v>
      </c>
      <c r="G85" s="9" t="s">
        <v>13</v>
      </c>
      <c r="H85" s="9" t="s">
        <v>7226</v>
      </c>
    </row>
    <row r="86" customFormat="false" ht="15.75" hidden="false" customHeight="false" outlineLevel="0" collapsed="false">
      <c r="B86" s="7" t="n">
        <v>46222</v>
      </c>
      <c r="C86" s="3" t="s">
        <v>7227</v>
      </c>
      <c r="D86" s="3" t="s">
        <v>6978</v>
      </c>
      <c r="E86" s="3" t="s">
        <v>7228</v>
      </c>
      <c r="F86" s="10" t="str">
        <f aca="false">HYPERLINK("https://www.inaturalist.org/people/pgmay","pgmay")</f>
        <v>pgmay</v>
      </c>
      <c r="G86" s="9" t="s">
        <v>13</v>
      </c>
      <c r="H86" s="9" t="s">
        <v>7229</v>
      </c>
    </row>
    <row r="87" customFormat="false" ht="15.75" hidden="false" customHeight="false" outlineLevel="0" collapsed="false">
      <c r="B87" s="7" t="n">
        <v>46222</v>
      </c>
      <c r="C87" s="3" t="s">
        <v>7230</v>
      </c>
      <c r="D87" s="3" t="s">
        <v>6978</v>
      </c>
      <c r="E87" s="3" t="s">
        <v>7231</v>
      </c>
      <c r="F87" s="10" t="str">
        <f aca="false">HYPERLINK("https://www.inaturalist.org/people/kjlamb","kjlamb")</f>
        <v>kjlamb</v>
      </c>
      <c r="G87" s="9" t="s">
        <v>13</v>
      </c>
      <c r="H87" s="9" t="s">
        <v>7232</v>
      </c>
    </row>
    <row r="88" customFormat="false" ht="15.75" hidden="false" customHeight="false" outlineLevel="0" collapsed="false">
      <c r="B88" s="7" t="n">
        <v>46222</v>
      </c>
      <c r="C88" s="3" t="s">
        <v>7233</v>
      </c>
      <c r="D88" s="3" t="s">
        <v>6978</v>
      </c>
      <c r="E88" s="3" t="s">
        <v>7234</v>
      </c>
      <c r="F88" s="10" t="str">
        <f aca="false">HYPERLINK("https://www.inaturalist.org/people/zhisu","zhisu")</f>
        <v>zhisu</v>
      </c>
      <c r="G88" s="9" t="s">
        <v>13</v>
      </c>
      <c r="H88" s="9" t="s">
        <v>7235</v>
      </c>
    </row>
    <row r="89" customFormat="false" ht="15.75" hidden="false" customHeight="false" outlineLevel="0" collapsed="false">
      <c r="B89" s="7" t="n">
        <v>46222</v>
      </c>
      <c r="C89" s="3" t="s">
        <v>7236</v>
      </c>
      <c r="D89" s="3" t="s">
        <v>6978</v>
      </c>
      <c r="E89" s="3" t="s">
        <v>7237</v>
      </c>
      <c r="F89" s="10" t="str">
        <f aca="false">HYPERLINK("https://www.inaturalist.org/people/mas22","mas22")</f>
        <v>mas22</v>
      </c>
      <c r="G89" s="9" t="s">
        <v>13</v>
      </c>
      <c r="H89" s="9" t="s">
        <v>7238</v>
      </c>
    </row>
    <row r="90" customFormat="false" ht="15.75" hidden="false" customHeight="false" outlineLevel="0" collapsed="false">
      <c r="B90" s="7" t="n">
        <v>46222</v>
      </c>
      <c r="C90" s="3" t="s">
        <v>7239</v>
      </c>
      <c r="D90" s="3" t="s">
        <v>6978</v>
      </c>
      <c r="E90" s="3" t="s">
        <v>7240</v>
      </c>
      <c r="F90" s="10" t="str">
        <f aca="false">HYPERLINK("https://www.inaturalist.org/people/naturalmeg","naturalmeg")</f>
        <v>naturalmeg</v>
      </c>
      <c r="G90" s="9" t="s">
        <v>13</v>
      </c>
      <c r="H90" s="9" t="s">
        <v>7241</v>
      </c>
    </row>
    <row r="91" customFormat="false" ht="15.75" hidden="false" customHeight="false" outlineLevel="0" collapsed="false">
      <c r="B91" s="7" t="n">
        <v>46222</v>
      </c>
      <c r="C91" s="3" t="s">
        <v>7242</v>
      </c>
      <c r="D91" s="3" t="s">
        <v>6978</v>
      </c>
      <c r="E91" s="3" t="s">
        <v>7243</v>
      </c>
      <c r="F91" s="10" t="str">
        <f aca="false">HYPERLINK("https://www.inaturalist.org/people/praveen_tangirala","praveen_tangirala")</f>
        <v>praveen_tangirala</v>
      </c>
      <c r="G91" s="9" t="s">
        <v>13</v>
      </c>
      <c r="H91" s="9" t="s">
        <v>7244</v>
      </c>
    </row>
    <row r="92" customFormat="false" ht="15.75" hidden="false" customHeight="false" outlineLevel="0" collapsed="false">
      <c r="B92" s="7" t="n">
        <v>46222</v>
      </c>
      <c r="C92" s="3" t="s">
        <v>7245</v>
      </c>
      <c r="D92" s="3" t="s">
        <v>6978</v>
      </c>
      <c r="E92" s="3" t="s">
        <v>7246</v>
      </c>
      <c r="F92" s="10" t="str">
        <f aca="false">HYPERLINK("https://www.inaturalist.org/people/jordandcochran","jordandcochran")</f>
        <v>jordandcochran</v>
      </c>
      <c r="G92" s="9" t="s">
        <v>13</v>
      </c>
      <c r="H92" s="9" t="s">
        <v>7247</v>
      </c>
    </row>
    <row r="93" customFormat="false" ht="15.75" hidden="false" customHeight="false" outlineLevel="0" collapsed="false">
      <c r="B93" s="7" t="n">
        <v>46222</v>
      </c>
      <c r="C93" s="3" t="s">
        <v>7248</v>
      </c>
      <c r="D93" s="3" t="s">
        <v>6978</v>
      </c>
      <c r="E93" s="3" t="s">
        <v>7249</v>
      </c>
      <c r="F93" s="10" t="str">
        <f aca="false">HYPERLINK("https://www.inaturalist.org/people/elittle6","elittle6")</f>
        <v>elittle6</v>
      </c>
      <c r="G93" s="9" t="s">
        <v>13</v>
      </c>
      <c r="H93" s="9" t="s">
        <v>7250</v>
      </c>
    </row>
    <row r="94" customFormat="false" ht="15.75" hidden="false" customHeight="false" outlineLevel="0" collapsed="false">
      <c r="B94" s="7" t="n">
        <v>46222</v>
      </c>
      <c r="C94" s="3" t="s">
        <v>7251</v>
      </c>
      <c r="D94" s="3" t="s">
        <v>6978</v>
      </c>
      <c r="E94" s="3" t="s">
        <v>7252</v>
      </c>
      <c r="F94" s="10" t="str">
        <f aca="false">HYPERLINK("https://www.inaturalist.org/people/roughingit","roughingit")</f>
        <v>roughingit</v>
      </c>
      <c r="G94" s="9" t="s">
        <v>13</v>
      </c>
      <c r="H94" s="9" t="s">
        <v>7253</v>
      </c>
    </row>
    <row r="95" customFormat="false" ht="15.75" hidden="false" customHeight="false" outlineLevel="0" collapsed="false">
      <c r="B95" s="7" t="n">
        <v>46222</v>
      </c>
      <c r="C95" s="3" t="s">
        <v>7254</v>
      </c>
      <c r="D95" s="3" t="s">
        <v>6978</v>
      </c>
      <c r="E95" s="3" t="s">
        <v>7255</v>
      </c>
      <c r="F95" s="10" t="str">
        <f aca="false">HYPERLINK("https://www.inaturalist.org/people/praveen_tangirala","praveen_tangirala")</f>
        <v>praveen_tangirala</v>
      </c>
      <c r="G95" s="9" t="s">
        <v>13</v>
      </c>
      <c r="H95" s="9" t="s">
        <v>7256</v>
      </c>
    </row>
    <row r="96" customFormat="false" ht="15.75" hidden="false" customHeight="false" outlineLevel="0" collapsed="false">
      <c r="B96" s="7" t="n">
        <v>46222</v>
      </c>
      <c r="C96" s="3" t="s">
        <v>7257</v>
      </c>
      <c r="D96" s="3" t="s">
        <v>6978</v>
      </c>
      <c r="E96" s="3" t="s">
        <v>7258</v>
      </c>
      <c r="F96" s="10" t="str">
        <f aca="false">HYPERLINK("https://www.inaturalist.org/people/praveen_tangirala","praveen_tangirala")</f>
        <v>praveen_tangirala</v>
      </c>
      <c r="G96" s="9" t="s">
        <v>13</v>
      </c>
      <c r="H96" s="9" t="s">
        <v>7259</v>
      </c>
    </row>
    <row r="97" customFormat="false" ht="15.75" hidden="false" customHeight="false" outlineLevel="0" collapsed="false">
      <c r="B97" s="7" t="n">
        <v>46222</v>
      </c>
      <c r="C97" s="3" t="s">
        <v>7260</v>
      </c>
      <c r="D97" s="3" t="s">
        <v>6978</v>
      </c>
      <c r="E97" s="3" t="s">
        <v>7261</v>
      </c>
      <c r="F97" s="10" t="str">
        <f aca="false">HYPERLINK("https://www.inaturalist.org/people/praveen_tangirala","praveen_tangirala")</f>
        <v>praveen_tangirala</v>
      </c>
      <c r="G97" s="9" t="s">
        <v>13</v>
      </c>
      <c r="H97" s="9" t="s">
        <v>7262</v>
      </c>
    </row>
    <row r="98" customFormat="false" ht="15.75" hidden="false" customHeight="false" outlineLevel="0" collapsed="false">
      <c r="B98" s="7" t="n">
        <v>46222</v>
      </c>
      <c r="C98" s="3" t="s">
        <v>7263</v>
      </c>
      <c r="D98" s="3" t="s">
        <v>6978</v>
      </c>
      <c r="E98" s="3" t="s">
        <v>7264</v>
      </c>
      <c r="F98" s="10" t="str">
        <f aca="false">HYPERLINK("https://www.inaturalist.org/people/leoroumieu","leoroumieu")</f>
        <v>leoroumieu</v>
      </c>
      <c r="G98" s="9" t="s">
        <v>13</v>
      </c>
      <c r="H98" s="9" t="s">
        <v>7265</v>
      </c>
    </row>
    <row r="99" customFormat="false" ht="15.75" hidden="false" customHeight="false" outlineLevel="0" collapsed="false">
      <c r="B99" s="7" t="n">
        <v>46222</v>
      </c>
      <c r="C99" s="3" t="s">
        <v>7266</v>
      </c>
      <c r="D99" s="3" t="s">
        <v>6978</v>
      </c>
      <c r="E99" s="3" t="s">
        <v>7267</v>
      </c>
      <c r="F99" s="10" t="str">
        <f aca="false">HYPERLINK("https://www.inaturalist.org/people/nlevis","nlevis")</f>
        <v>nlevis</v>
      </c>
      <c r="G99" s="9" t="s">
        <v>13</v>
      </c>
      <c r="H99" s="9" t="s">
        <v>7268</v>
      </c>
    </row>
    <row r="100" customFormat="false" ht="15.75" hidden="false" customHeight="false" outlineLevel="0" collapsed="false">
      <c r="B100" s="7" t="n">
        <v>46222</v>
      </c>
      <c r="C100" s="3" t="s">
        <v>7269</v>
      </c>
      <c r="D100" s="3" t="s">
        <v>6978</v>
      </c>
      <c r="E100" s="3" t="s">
        <v>7270</v>
      </c>
      <c r="F100" s="10" t="str">
        <f aca="false">HYPERLINK("https://www.inaturalist.org/people/youngblo","youngblo")</f>
        <v>youngblo</v>
      </c>
      <c r="G100" s="9" t="s">
        <v>13</v>
      </c>
      <c r="H100" s="9" t="s">
        <v>7271</v>
      </c>
    </row>
    <row r="101" customFormat="false" ht="15.75" hidden="false" customHeight="false" outlineLevel="0" collapsed="false">
      <c r="B101" s="7" t="n">
        <v>46222</v>
      </c>
      <c r="C101" s="3" t="s">
        <v>7272</v>
      </c>
      <c r="D101" s="3" t="s">
        <v>6978</v>
      </c>
      <c r="E101" s="3" t="s">
        <v>7273</v>
      </c>
      <c r="F101" s="10" t="str">
        <f aca="false">HYPERLINK("https://www.inaturalist.org/people/auliamshr_","auliamshr_")</f>
        <v>auliamshr_</v>
      </c>
      <c r="G101" s="9" t="s">
        <v>13</v>
      </c>
      <c r="H101" s="9" t="s">
        <v>7274</v>
      </c>
    </row>
    <row r="102" customFormat="false" ht="15.75" hidden="false" customHeight="false" outlineLevel="0" collapsed="false">
      <c r="B102" s="7" t="n">
        <v>46222</v>
      </c>
      <c r="C102" s="3" t="s">
        <v>7275</v>
      </c>
      <c r="D102" s="3" t="s">
        <v>6978</v>
      </c>
      <c r="E102" s="3" t="s">
        <v>7276</v>
      </c>
      <c r="F102" s="10" t="str">
        <f aca="false">HYPERLINK("https://www.inaturalist.org/people/auliamshr_","auliamshr_")</f>
        <v>auliamshr_</v>
      </c>
      <c r="G102" s="9" t="s">
        <v>13</v>
      </c>
      <c r="H102" s="9" t="s">
        <v>7277</v>
      </c>
    </row>
    <row r="103" customFormat="false" ht="15.75" hidden="false" customHeight="false" outlineLevel="0" collapsed="false">
      <c r="B103" s="7" t="n">
        <v>46222</v>
      </c>
      <c r="C103" s="3" t="s">
        <v>7278</v>
      </c>
      <c r="D103" s="3" t="s">
        <v>6978</v>
      </c>
      <c r="E103" s="3" t="s">
        <v>7279</v>
      </c>
      <c r="F103" s="10" t="str">
        <f aca="false">HYPERLINK("https://www.inaturalist.org/people/jobwang","jobwang")</f>
        <v>jobwang</v>
      </c>
      <c r="G103" s="9" t="s">
        <v>13</v>
      </c>
      <c r="H103" s="9" t="s">
        <v>7280</v>
      </c>
    </row>
    <row r="104" customFormat="false" ht="15.75" hidden="false" customHeight="false" outlineLevel="0" collapsed="false">
      <c r="B104" s="7" t="n">
        <v>46222</v>
      </c>
      <c r="C104" s="3" t="s">
        <v>7281</v>
      </c>
      <c r="D104" s="3" t="s">
        <v>6978</v>
      </c>
      <c r="E104" s="3" t="s">
        <v>7282</v>
      </c>
      <c r="F104" s="10" t="str">
        <f aca="false">HYPERLINK("https://www.inaturalist.org/people/jorie_gene","jorie_gene")</f>
        <v>jorie_gene</v>
      </c>
      <c r="G104" s="9" t="s">
        <v>13</v>
      </c>
      <c r="H104" s="9" t="s">
        <v>7283</v>
      </c>
    </row>
    <row r="105" customFormat="false" ht="15.75" hidden="false" customHeight="false" outlineLevel="0" collapsed="false">
      <c r="B105" s="7" t="n">
        <v>46222</v>
      </c>
      <c r="C105" s="3" t="s">
        <v>7284</v>
      </c>
      <c r="D105" s="3" t="s">
        <v>6978</v>
      </c>
      <c r="E105" s="3" t="s">
        <v>7285</v>
      </c>
      <c r="F105" s="10" t="str">
        <f aca="false">HYPERLINK("https://www.inaturalist.org/people/charlismash","charlismash")</f>
        <v>charlismash</v>
      </c>
      <c r="G105" s="9" t="s">
        <v>13</v>
      </c>
      <c r="H105" s="9" t="s">
        <v>7286</v>
      </c>
    </row>
    <row r="106" customFormat="false" ht="15.75" hidden="false" customHeight="false" outlineLevel="0" collapsed="false">
      <c r="B106" s="7" t="n">
        <v>46222</v>
      </c>
      <c r="C106" s="3" t="s">
        <v>7287</v>
      </c>
      <c r="D106" s="3" t="s">
        <v>6978</v>
      </c>
      <c r="E106" s="3" t="s">
        <v>7288</v>
      </c>
      <c r="F106" s="10" t="str">
        <f aca="false">HYPERLINK("https://www.inaturalist.org/people/marcoseugenio","marcoseugenio")</f>
        <v>marcoseugenio</v>
      </c>
      <c r="G106" s="9" t="s">
        <v>13</v>
      </c>
      <c r="H106" s="9" t="s">
        <v>7289</v>
      </c>
    </row>
    <row r="107" customFormat="false" ht="15.75" hidden="false" customHeight="false" outlineLevel="0" collapsed="false">
      <c r="B107" s="7" t="n">
        <v>46222</v>
      </c>
      <c r="C107" s="3" t="s">
        <v>7290</v>
      </c>
      <c r="D107" s="3" t="s">
        <v>6978</v>
      </c>
      <c r="E107" s="3" t="s">
        <v>7291</v>
      </c>
      <c r="F107" s="10" t="str">
        <f aca="false">HYPERLINK("https://www.inaturalist.org/people/charlismash","charlismash")</f>
        <v>charlismash</v>
      </c>
      <c r="G107" s="9" t="s">
        <v>13</v>
      </c>
      <c r="H107" s="9" t="s">
        <v>7292</v>
      </c>
    </row>
    <row r="108" customFormat="false" ht="15.75" hidden="false" customHeight="false" outlineLevel="0" collapsed="false">
      <c r="B108" s="7" t="n">
        <v>46222</v>
      </c>
      <c r="C108" s="3" t="s">
        <v>7293</v>
      </c>
      <c r="D108" s="3" t="s">
        <v>6978</v>
      </c>
      <c r="E108" s="3" t="s">
        <v>7294</v>
      </c>
      <c r="F108" s="10" t="str">
        <f aca="false">HYPERLINK("https://www.inaturalist.org/people/keiching","keiching")</f>
        <v>keiching</v>
      </c>
      <c r="G108" s="9" t="s">
        <v>13</v>
      </c>
      <c r="H108" s="9" t="s">
        <v>7295</v>
      </c>
    </row>
    <row r="109" customFormat="false" ht="15.75" hidden="false" customHeight="false" outlineLevel="0" collapsed="false">
      <c r="B109" s="7" t="n">
        <v>46222</v>
      </c>
      <c r="C109" s="3" t="s">
        <v>7296</v>
      </c>
      <c r="D109" s="3" t="s">
        <v>6978</v>
      </c>
      <c r="E109" s="3" t="s">
        <v>7297</v>
      </c>
      <c r="F109" s="10" t="str">
        <f aca="false">HYPERLINK("https://www.inaturalist.org/people/erbhf","erbhf")</f>
        <v>erbhf</v>
      </c>
      <c r="G109" s="9" t="s">
        <v>13</v>
      </c>
      <c r="H109" s="9" t="s">
        <v>7298</v>
      </c>
    </row>
    <row r="110" customFormat="false" ht="15.75" hidden="false" customHeight="false" outlineLevel="0" collapsed="false">
      <c r="B110" s="7" t="n">
        <v>46222</v>
      </c>
      <c r="C110" s="3" t="s">
        <v>7299</v>
      </c>
      <c r="D110" s="3" t="s">
        <v>6978</v>
      </c>
      <c r="E110" s="3" t="s">
        <v>7300</v>
      </c>
      <c r="F110" s="10" t="str">
        <f aca="false">HYPERLINK("https://www.inaturalist.org/people/liamdunn5","liamdunn5")</f>
        <v>liamdunn5</v>
      </c>
      <c r="G110" s="9" t="s">
        <v>13</v>
      </c>
      <c r="H110" s="9" t="s">
        <v>7301</v>
      </c>
    </row>
    <row r="111" customFormat="false" ht="15.75" hidden="false" customHeight="false" outlineLevel="0" collapsed="false">
      <c r="B111" s="7" t="n">
        <v>46222</v>
      </c>
      <c r="C111" s="3" t="s">
        <v>7302</v>
      </c>
      <c r="D111" s="3" t="s">
        <v>6978</v>
      </c>
      <c r="E111" s="3" t="s">
        <v>7303</v>
      </c>
      <c r="F111" s="10" t="str">
        <f aca="false">HYPERLINK("https://www.inaturalist.org/people/curious_cascadian","curious_cascadian")</f>
        <v>curious_cascadian</v>
      </c>
      <c r="G111" s="9" t="s">
        <v>13</v>
      </c>
      <c r="H111" s="9" t="s">
        <v>7304</v>
      </c>
    </row>
    <row r="112" customFormat="false" ht="15.75" hidden="false" customHeight="false" outlineLevel="0" collapsed="false">
      <c r="B112" s="7" t="n">
        <v>46222</v>
      </c>
      <c r="C112" s="3" t="s">
        <v>7305</v>
      </c>
      <c r="D112" s="3" t="s">
        <v>6978</v>
      </c>
      <c r="E112" s="3" t="s">
        <v>7306</v>
      </c>
      <c r="F112" s="10" t="str">
        <f aca="false">HYPERLINK("https://www.inaturalist.org/people/sharangsharma","sharangsharma")</f>
        <v>sharangsharma</v>
      </c>
      <c r="G112" s="9" t="s">
        <v>13</v>
      </c>
      <c r="H112" s="9" t="s">
        <v>7307</v>
      </c>
    </row>
    <row r="113" customFormat="false" ht="15.75" hidden="false" customHeight="false" outlineLevel="0" collapsed="false">
      <c r="B113" s="7" t="n">
        <v>46222</v>
      </c>
      <c r="C113" s="3" t="s">
        <v>7308</v>
      </c>
      <c r="D113" s="3" t="s">
        <v>6978</v>
      </c>
      <c r="E113" s="3" t="s">
        <v>7309</v>
      </c>
      <c r="F113" s="10" t="str">
        <f aca="false">HYPERLINK("https://www.inaturalist.org/people/milapower","milapower")</f>
        <v>milapower</v>
      </c>
      <c r="G113" s="9" t="s">
        <v>13</v>
      </c>
      <c r="H113" s="9" t="s">
        <v>7310</v>
      </c>
    </row>
    <row r="114" customFormat="false" ht="15.75" hidden="false" customHeight="false" outlineLevel="0" collapsed="false">
      <c r="B114" s="7" t="n">
        <v>46222</v>
      </c>
      <c r="C114" s="3" t="s">
        <v>7311</v>
      </c>
      <c r="D114" s="3" t="s">
        <v>6978</v>
      </c>
      <c r="E114" s="3" t="s">
        <v>7312</v>
      </c>
      <c r="F114" s="10" t="str">
        <f aca="false">HYPERLINK("https://www.inaturalist.org/people/crotrox","crotrox")</f>
        <v>crotrox</v>
      </c>
      <c r="G114" s="9" t="s">
        <v>13</v>
      </c>
      <c r="H114" s="9" t="s">
        <v>7313</v>
      </c>
    </row>
    <row r="115" customFormat="false" ht="15.75" hidden="false" customHeight="false" outlineLevel="0" collapsed="false">
      <c r="B115" s="7" t="n">
        <v>46222</v>
      </c>
      <c r="C115" s="3" t="s">
        <v>7314</v>
      </c>
      <c r="D115" s="3" t="s">
        <v>6978</v>
      </c>
      <c r="E115" s="3" t="s">
        <v>7315</v>
      </c>
      <c r="F115" s="10" t="str">
        <f aca="false">HYPERLINK("https://www.inaturalist.org/people/milapower","milapower")</f>
        <v>milapower</v>
      </c>
      <c r="G115" s="9" t="s">
        <v>13</v>
      </c>
      <c r="H115" s="9" t="s">
        <v>7316</v>
      </c>
    </row>
    <row r="116" customFormat="false" ht="15.75" hidden="false" customHeight="false" outlineLevel="0" collapsed="false">
      <c r="B116" s="7" t="n">
        <v>46222</v>
      </c>
      <c r="C116" s="3" t="s">
        <v>7317</v>
      </c>
      <c r="D116" s="3" t="s">
        <v>6978</v>
      </c>
      <c r="E116" s="3" t="s">
        <v>7318</v>
      </c>
      <c r="F116" s="10" t="str">
        <f aca="false">HYPERLINK("https://www.inaturalist.org/people/kate32363","kate32363")</f>
        <v>kate32363</v>
      </c>
      <c r="G116" s="9" t="s">
        <v>13</v>
      </c>
      <c r="H116" s="9" t="s">
        <v>7319</v>
      </c>
    </row>
    <row r="117" customFormat="false" ht="15.75" hidden="false" customHeight="false" outlineLevel="0" collapsed="false">
      <c r="B117" s="7" t="n">
        <v>46222</v>
      </c>
      <c r="C117" s="3" t="s">
        <v>7320</v>
      </c>
      <c r="D117" s="3" t="s">
        <v>6978</v>
      </c>
      <c r="E117" s="3" t="s">
        <v>7321</v>
      </c>
      <c r="F117" s="10" t="str">
        <f aca="false">HYPERLINK("https://www.inaturalist.org/people/anand129","anand129")</f>
        <v>anand129</v>
      </c>
      <c r="G117" s="9" t="s">
        <v>13</v>
      </c>
      <c r="H117" s="9" t="s">
        <v>7322</v>
      </c>
    </row>
    <row r="118" customFormat="false" ht="15.75" hidden="false" customHeight="false" outlineLevel="0" collapsed="false">
      <c r="B118" s="7" t="n">
        <v>46222</v>
      </c>
      <c r="C118" s="3" t="s">
        <v>7323</v>
      </c>
      <c r="D118" s="3" t="s">
        <v>6978</v>
      </c>
      <c r="E118" s="3" t="s">
        <v>7324</v>
      </c>
      <c r="F118" s="10" t="str">
        <f aca="false">HYPERLINK("https://www.inaturalist.org/people/savvassim","savvassim")</f>
        <v>savvassim</v>
      </c>
      <c r="G118" s="9" t="s">
        <v>13</v>
      </c>
      <c r="H118" s="9" t="s">
        <v>7325</v>
      </c>
    </row>
    <row r="119" customFormat="false" ht="15.75" hidden="false" customHeight="false" outlineLevel="0" collapsed="false">
      <c r="B119" s="7" t="n">
        <v>46222</v>
      </c>
      <c r="C119" s="3" t="s">
        <v>7326</v>
      </c>
      <c r="D119" s="3" t="s">
        <v>6978</v>
      </c>
      <c r="E119" s="3" t="s">
        <v>7327</v>
      </c>
      <c r="F119" s="10" t="str">
        <f aca="false">HYPERLINK("https://www.inaturalist.org/people/sevylee","sevylee")</f>
        <v>sevylee</v>
      </c>
      <c r="G119" s="9" t="s">
        <v>13</v>
      </c>
      <c r="H119" s="9" t="s">
        <v>7328</v>
      </c>
    </row>
    <row r="120" customFormat="false" ht="15.75" hidden="false" customHeight="false" outlineLevel="0" collapsed="false">
      <c r="B120" s="7" t="n">
        <v>46222</v>
      </c>
      <c r="C120" s="3" t="s">
        <v>7329</v>
      </c>
      <c r="D120" s="3" t="s">
        <v>6978</v>
      </c>
      <c r="E120" s="3" t="s">
        <v>7330</v>
      </c>
      <c r="F120" s="10" t="str">
        <f aca="false">HYPERLINK("https://www.inaturalist.org/people/ftfy","ftfy")</f>
        <v>ftfy</v>
      </c>
      <c r="G120" s="9" t="s">
        <v>13</v>
      </c>
      <c r="H120" s="9" t="s">
        <v>7331</v>
      </c>
    </row>
    <row r="121" customFormat="false" ht="15.75" hidden="false" customHeight="false" outlineLevel="0" collapsed="false">
      <c r="B121" s="7" t="n">
        <v>46222</v>
      </c>
      <c r="C121" s="3" t="s">
        <v>7332</v>
      </c>
      <c r="D121" s="3" t="s">
        <v>6978</v>
      </c>
      <c r="E121" s="3" t="s">
        <v>7333</v>
      </c>
      <c r="F121" s="10" t="str">
        <f aca="false">HYPERLINK("https://www.inaturalist.org/people/vivi1874","vivi1874")</f>
        <v>vivi1874</v>
      </c>
      <c r="G121" s="9" t="s">
        <v>13</v>
      </c>
      <c r="H121" s="9" t="s">
        <v>7334</v>
      </c>
    </row>
    <row r="122" customFormat="false" ht="15.75" hidden="false" customHeight="false" outlineLevel="0" collapsed="false">
      <c r="B122" s="7" t="n">
        <v>46222</v>
      </c>
      <c r="C122" s="3" t="s">
        <v>7335</v>
      </c>
      <c r="D122" s="3" t="s">
        <v>6978</v>
      </c>
      <c r="E122" s="3" t="s">
        <v>7336</v>
      </c>
      <c r="F122" s="10" t="str">
        <f aca="false">HYPERLINK("https://www.inaturalist.org/people/alexa_janow","alexa_janow")</f>
        <v>alexa_janow</v>
      </c>
      <c r="G122" s="9" t="s">
        <v>13</v>
      </c>
      <c r="H122" s="9" t="s">
        <v>7337</v>
      </c>
    </row>
    <row r="123" customFormat="false" ht="15.75" hidden="false" customHeight="false" outlineLevel="0" collapsed="false">
      <c r="B123" s="7" t="n">
        <v>46222</v>
      </c>
      <c r="C123" s="3" t="s">
        <v>7338</v>
      </c>
      <c r="D123" s="3" t="s">
        <v>6978</v>
      </c>
      <c r="E123" s="3" t="s">
        <v>7339</v>
      </c>
      <c r="F123" s="10" t="str">
        <f aca="false">HYPERLINK("https://www.inaturalist.org/people/crotrox","crotrox")</f>
        <v>crotrox</v>
      </c>
      <c r="G123" s="9" t="s">
        <v>13</v>
      </c>
      <c r="H123" s="9" t="s">
        <v>7340</v>
      </c>
    </row>
    <row r="124" customFormat="false" ht="15.75" hidden="false" customHeight="false" outlineLevel="0" collapsed="false">
      <c r="B124" s="7" t="n">
        <v>46222</v>
      </c>
      <c r="C124" s="3" t="s">
        <v>7341</v>
      </c>
      <c r="D124" s="3" t="s">
        <v>6978</v>
      </c>
      <c r="E124" s="3" t="s">
        <v>7342</v>
      </c>
      <c r="F124" s="10" t="str">
        <f aca="false">HYPERLINK("https://www.inaturalist.org/people/crotrox","crotrox")</f>
        <v>crotrox</v>
      </c>
      <c r="G124" s="9" t="s">
        <v>13</v>
      </c>
      <c r="H124" s="9" t="s">
        <v>7343</v>
      </c>
    </row>
    <row r="125" customFormat="false" ht="15.75" hidden="false" customHeight="false" outlineLevel="0" collapsed="false">
      <c r="B125" s="7" t="n">
        <v>46222</v>
      </c>
      <c r="C125" s="3" t="s">
        <v>7344</v>
      </c>
      <c r="D125" s="3" t="s">
        <v>6978</v>
      </c>
      <c r="E125" s="3" t="s">
        <v>7345</v>
      </c>
      <c r="F125" s="10" t="str">
        <f aca="false">HYPERLINK("https://www.inaturalist.org/people/jessica72324","jessica72324")</f>
        <v>jessica72324</v>
      </c>
      <c r="G125" s="9" t="s">
        <v>13</v>
      </c>
      <c r="H125" s="9" t="s">
        <v>7346</v>
      </c>
    </row>
    <row r="126" customFormat="false" ht="15.75" hidden="false" customHeight="false" outlineLevel="0" collapsed="false">
      <c r="B126" s="7" t="n">
        <v>46222</v>
      </c>
      <c r="C126" s="3" t="s">
        <v>7347</v>
      </c>
      <c r="D126" s="3" t="s">
        <v>6978</v>
      </c>
      <c r="E126" s="3" t="s">
        <v>7348</v>
      </c>
      <c r="F126" s="10" t="str">
        <f aca="false">HYPERLINK("https://www.inaturalist.org/people/shankarsg","shankarsg")</f>
        <v>shankarsg</v>
      </c>
      <c r="G126" s="9" t="s">
        <v>13</v>
      </c>
      <c r="H126" s="9" t="s">
        <v>7349</v>
      </c>
    </row>
    <row r="127" customFormat="false" ht="15.75" hidden="false" customHeight="false" outlineLevel="0" collapsed="false">
      <c r="B127" s="7" t="n">
        <v>46222</v>
      </c>
      <c r="C127" s="3" t="s">
        <v>7350</v>
      </c>
      <c r="D127" s="3" t="s">
        <v>6978</v>
      </c>
      <c r="E127" s="3" t="s">
        <v>7351</v>
      </c>
      <c r="F127" s="10" t="str">
        <f aca="false">HYPERLINK("https://www.inaturalist.org/people/marccronje","marccronje")</f>
        <v>marccronje</v>
      </c>
      <c r="G127" s="9" t="s">
        <v>13</v>
      </c>
      <c r="H127" s="9" t="s">
        <v>7352</v>
      </c>
    </row>
    <row r="128" customFormat="false" ht="15.75" hidden="false" customHeight="false" outlineLevel="0" collapsed="false">
      <c r="B128" s="7" t="n">
        <v>46222</v>
      </c>
      <c r="C128" s="3" t="s">
        <v>7353</v>
      </c>
      <c r="D128" s="3" t="s">
        <v>6978</v>
      </c>
      <c r="E128" s="3" t="s">
        <v>7354</v>
      </c>
      <c r="F128" s="10" t="str">
        <f aca="false">HYPERLINK("https://www.inaturalist.org/people/crotrox","crotrox")</f>
        <v>crotrox</v>
      </c>
      <c r="G128" s="9" t="s">
        <v>13</v>
      </c>
      <c r="H128" s="9" t="s">
        <v>7355</v>
      </c>
    </row>
    <row r="129" customFormat="false" ht="15.75" hidden="false" customHeight="false" outlineLevel="0" collapsed="false">
      <c r="B129" s="7" t="n">
        <v>46222</v>
      </c>
      <c r="C129" s="3" t="s">
        <v>7356</v>
      </c>
      <c r="D129" s="3" t="s">
        <v>6978</v>
      </c>
      <c r="E129" s="3" t="s">
        <v>7357</v>
      </c>
      <c r="F129" s="10" t="str">
        <f aca="false">HYPERLINK("https://www.inaturalist.org/people/prameena","prameena")</f>
        <v>prameena</v>
      </c>
      <c r="G129" s="9" t="s">
        <v>13</v>
      </c>
      <c r="H129" s="9" t="s">
        <v>7358</v>
      </c>
    </row>
    <row r="130" customFormat="false" ht="15.75" hidden="false" customHeight="false" outlineLevel="0" collapsed="false">
      <c r="B130" s="7" t="n">
        <v>46222</v>
      </c>
      <c r="C130" s="3" t="s">
        <v>7359</v>
      </c>
      <c r="D130" s="3" t="s">
        <v>6978</v>
      </c>
      <c r="E130" s="3" t="s">
        <v>7360</v>
      </c>
      <c r="F130" s="10" t="str">
        <f aca="false">HYPERLINK("https://www.inaturalist.org/people/annkong","annkong")</f>
        <v>annkong</v>
      </c>
      <c r="G130" s="9" t="s">
        <v>13</v>
      </c>
      <c r="H130" s="9" t="s">
        <v>7361</v>
      </c>
    </row>
    <row r="131" customFormat="false" ht="15.75" hidden="false" customHeight="false" outlineLevel="0" collapsed="false">
      <c r="B131" s="7" t="n">
        <v>46222</v>
      </c>
      <c r="C131" s="3" t="s">
        <v>7362</v>
      </c>
      <c r="D131" s="3" t="s">
        <v>6978</v>
      </c>
      <c r="E131" s="3" t="s">
        <v>7363</v>
      </c>
      <c r="F131" s="10" t="str">
        <f aca="false">HYPERLINK("https://www.inaturalist.org/people/sukeylukey","sukeylukey")</f>
        <v>sukeylukey</v>
      </c>
      <c r="G131" s="9" t="s">
        <v>13</v>
      </c>
      <c r="H131" s="9" t="s">
        <v>7364</v>
      </c>
    </row>
    <row r="132" customFormat="false" ht="15.75" hidden="false" customHeight="false" outlineLevel="0" collapsed="false">
      <c r="B132" s="7" t="n">
        <v>46222</v>
      </c>
      <c r="C132" s="3" t="s">
        <v>7365</v>
      </c>
      <c r="D132" s="3" t="s">
        <v>6978</v>
      </c>
      <c r="E132" s="3" t="s">
        <v>7366</v>
      </c>
      <c r="F132" s="10" t="str">
        <f aca="false">HYPERLINK("https://www.inaturalist.org/people/bruno_valente","bruno_valente")</f>
        <v>bruno_valente</v>
      </c>
      <c r="G132" s="9" t="s">
        <v>13</v>
      </c>
      <c r="H132" s="9" t="s">
        <v>7367</v>
      </c>
    </row>
    <row r="133" customFormat="false" ht="15.75" hidden="false" customHeight="false" outlineLevel="0" collapsed="false">
      <c r="B133" s="7" t="n">
        <v>46222</v>
      </c>
      <c r="C133" s="3" t="s">
        <v>7368</v>
      </c>
      <c r="D133" s="3" t="s">
        <v>6978</v>
      </c>
      <c r="E133" s="3" t="s">
        <v>7369</v>
      </c>
      <c r="F133" s="10" t="str">
        <f aca="false">HYPERLINK("https://www.inaturalist.org/people/bruno_valente","bruno_valente")</f>
        <v>bruno_valente</v>
      </c>
      <c r="G133" s="9" t="s">
        <v>13</v>
      </c>
      <c r="H133" s="9" t="s">
        <v>7370</v>
      </c>
    </row>
    <row r="134" customFormat="false" ht="15.75" hidden="false" customHeight="false" outlineLevel="0" collapsed="false">
      <c r="B134" s="7" t="n">
        <v>46222</v>
      </c>
      <c r="C134" s="3" t="s">
        <v>7371</v>
      </c>
      <c r="D134" s="3" t="s">
        <v>6978</v>
      </c>
      <c r="E134" s="3" t="s">
        <v>7372</v>
      </c>
      <c r="F134" s="10" t="str">
        <f aca="false">HYPERLINK("https://www.inaturalist.org/people/chengtouyue","chengtouyue")</f>
        <v>chengtouyue</v>
      </c>
      <c r="G134" s="9" t="s">
        <v>13</v>
      </c>
      <c r="H134" s="9" t="s">
        <v>7373</v>
      </c>
    </row>
    <row r="135" customFormat="false" ht="15.75" hidden="false" customHeight="false" outlineLevel="0" collapsed="false">
      <c r="B135" s="7" t="n">
        <v>46222</v>
      </c>
      <c r="C135" s="3" t="s">
        <v>7374</v>
      </c>
      <c r="D135" s="3" t="s">
        <v>6978</v>
      </c>
      <c r="E135" s="3" t="s">
        <v>7375</v>
      </c>
      <c r="F135" s="10" t="str">
        <f aca="false">HYPERLINK("https://www.inaturalist.org/people/horco987","horco987")</f>
        <v>horco987</v>
      </c>
      <c r="G135" s="9" t="s">
        <v>13</v>
      </c>
      <c r="H135" s="9" t="s">
        <v>7376</v>
      </c>
    </row>
    <row r="136" customFormat="false" ht="15.75" hidden="false" customHeight="false" outlineLevel="0" collapsed="false">
      <c r="B136" s="7" t="n">
        <v>46222</v>
      </c>
      <c r="C136" s="3" t="s">
        <v>7377</v>
      </c>
      <c r="D136" s="3" t="s">
        <v>6978</v>
      </c>
      <c r="E136" s="3" t="s">
        <v>7378</v>
      </c>
      <c r="F136" s="10" t="str">
        <f aca="false">HYPERLINK("https://www.inaturalist.org/people/guinnett","guinnett")</f>
        <v>guinnett</v>
      </c>
      <c r="G136" s="9" t="s">
        <v>13</v>
      </c>
      <c r="H136" s="9" t="s">
        <v>7379</v>
      </c>
    </row>
    <row r="137" customFormat="false" ht="15.75" hidden="false" customHeight="false" outlineLevel="0" collapsed="false">
      <c r="B137" s="7" t="n">
        <v>46222</v>
      </c>
      <c r="C137" s="3" t="s">
        <v>7380</v>
      </c>
      <c r="D137" s="3" t="s">
        <v>6978</v>
      </c>
      <c r="E137" s="3" t="s">
        <v>7381</v>
      </c>
      <c r="F137" s="10" t="str">
        <f aca="false">HYPERLINK("https://www.inaturalist.org/people/murraylewis","murraylewis")</f>
        <v>murraylewis</v>
      </c>
      <c r="G137" s="9" t="s">
        <v>13</v>
      </c>
      <c r="H137" s="9" t="s">
        <v>7382</v>
      </c>
    </row>
    <row r="138" customFormat="false" ht="15.75" hidden="false" customHeight="false" outlineLevel="0" collapsed="false">
      <c r="B138" s="7" t="n">
        <v>46222</v>
      </c>
      <c r="C138" s="3" t="s">
        <v>7383</v>
      </c>
      <c r="D138" s="3" t="s">
        <v>6978</v>
      </c>
      <c r="E138" s="3" t="s">
        <v>7384</v>
      </c>
      <c r="F138" s="10" t="str">
        <f aca="false">HYPERLINK("https://www.inaturalist.org/people/joao_pedro01","joao_pedro01")</f>
        <v>joao_pedro01</v>
      </c>
      <c r="G138" s="9" t="s">
        <v>13</v>
      </c>
      <c r="H138" s="9" t="s">
        <v>7385</v>
      </c>
    </row>
    <row r="139" customFormat="false" ht="15.75" hidden="false" customHeight="false" outlineLevel="0" collapsed="false">
      <c r="B139" s="7" t="n">
        <v>46222</v>
      </c>
      <c r="C139" s="3" t="s">
        <v>7386</v>
      </c>
      <c r="D139" s="3" t="s">
        <v>6978</v>
      </c>
      <c r="E139" s="3" t="s">
        <v>7387</v>
      </c>
      <c r="F139" s="10" t="str">
        <f aca="false">HYPERLINK("https://www.inaturalist.org/people/ha66890","ha66890")</f>
        <v>ha66890</v>
      </c>
      <c r="G139" s="9" t="s">
        <v>13</v>
      </c>
      <c r="H139" s="9" t="s">
        <v>7388</v>
      </c>
    </row>
    <row r="140" customFormat="false" ht="15.75" hidden="false" customHeight="false" outlineLevel="0" collapsed="false">
      <c r="B140" s="7" t="n">
        <v>46222</v>
      </c>
      <c r="C140" s="3" t="s">
        <v>7389</v>
      </c>
      <c r="D140" s="3" t="s">
        <v>6978</v>
      </c>
      <c r="E140" s="3" t="s">
        <v>7390</v>
      </c>
      <c r="F140" s="10" t="str">
        <f aca="false">HYPERLINK("https://www.inaturalist.org/people/periplaneta","periplaneta")</f>
        <v>periplaneta</v>
      </c>
      <c r="G140" s="9" t="s">
        <v>13</v>
      </c>
      <c r="H140" s="9" t="s">
        <v>7391</v>
      </c>
    </row>
    <row r="141" customFormat="false" ht="15.75" hidden="false" customHeight="false" outlineLevel="0" collapsed="false">
      <c r="B141" s="7" t="n">
        <v>46222</v>
      </c>
      <c r="C141" s="3" t="s">
        <v>7392</v>
      </c>
      <c r="D141" s="3" t="s">
        <v>6978</v>
      </c>
      <c r="E141" s="3" t="s">
        <v>7393</v>
      </c>
      <c r="F141" s="10" t="str">
        <f aca="false">HYPERLINK("https://www.inaturalist.org/people/naturalistshaur","naturalistshaur")</f>
        <v>naturalistshaur</v>
      </c>
      <c r="G141" s="9" t="s">
        <v>13</v>
      </c>
      <c r="H141" s="9" t="s">
        <v>7394</v>
      </c>
    </row>
    <row r="142" customFormat="false" ht="15.75" hidden="false" customHeight="false" outlineLevel="0" collapsed="false">
      <c r="B142" s="7" t="n">
        <v>46222</v>
      </c>
      <c r="C142" s="3" t="s">
        <v>7395</v>
      </c>
      <c r="D142" s="3" t="s">
        <v>6978</v>
      </c>
      <c r="E142" s="3" t="s">
        <v>7396</v>
      </c>
      <c r="F142" s="10" t="str">
        <f aca="false">HYPERLINK("https://www.inaturalist.org/people/naturalistshaur","naturalistshaur")</f>
        <v>naturalistshaur</v>
      </c>
      <c r="G142" s="9" t="s">
        <v>13</v>
      </c>
      <c r="H142" s="9" t="s">
        <v>7397</v>
      </c>
    </row>
    <row r="143" customFormat="false" ht="15.75" hidden="false" customHeight="false" outlineLevel="0" collapsed="false">
      <c r="B143" s="7" t="n">
        <v>46222</v>
      </c>
      <c r="C143" s="3" t="s">
        <v>7398</v>
      </c>
      <c r="D143" s="3" t="s">
        <v>6978</v>
      </c>
      <c r="E143" s="3" t="s">
        <v>7399</v>
      </c>
      <c r="F143" s="10" t="str">
        <f aca="false">HYPERLINK("https://www.inaturalist.org/people/charmaineanderson","charmaineanderson")</f>
        <v>charmaineanderson</v>
      </c>
      <c r="G143" s="9" t="s">
        <v>13</v>
      </c>
      <c r="H143" s="9" t="s">
        <v>7400</v>
      </c>
    </row>
    <row r="144" customFormat="false" ht="15.75" hidden="false" customHeight="false" outlineLevel="0" collapsed="false">
      <c r="B144" s="7" t="n">
        <v>46222</v>
      </c>
      <c r="C144" s="3" t="s">
        <v>7401</v>
      </c>
      <c r="D144" s="3" t="s">
        <v>6978</v>
      </c>
      <c r="E144" s="3" t="s">
        <v>7402</v>
      </c>
      <c r="F144" s="10" t="str">
        <f aca="false">HYPERLINK("https://www.inaturalist.org/people/satishgogate","satishgogate")</f>
        <v>satishgogate</v>
      </c>
      <c r="G144" s="9" t="s">
        <v>13</v>
      </c>
      <c r="H144" s="9" t="s">
        <v>7403</v>
      </c>
    </row>
    <row r="145" customFormat="false" ht="15.75" hidden="false" customHeight="false" outlineLevel="0" collapsed="false">
      <c r="B145" s="7" t="n">
        <v>46222</v>
      </c>
      <c r="C145" s="3" t="s">
        <v>7404</v>
      </c>
      <c r="D145" s="3" t="s">
        <v>6978</v>
      </c>
      <c r="E145" s="3" t="s">
        <v>7405</v>
      </c>
      <c r="F145" s="10" t="str">
        <f aca="false">HYPERLINK("https://www.inaturalist.org/people/tildennewts","tildennewts")</f>
        <v>tildennewts</v>
      </c>
      <c r="G145" s="9" t="s">
        <v>13</v>
      </c>
      <c r="H145" s="9" t="s">
        <v>7406</v>
      </c>
    </row>
    <row r="146" customFormat="false" ht="15.75" hidden="false" customHeight="false" outlineLevel="0" collapsed="false">
      <c r="B146" s="7" t="n">
        <v>46222</v>
      </c>
      <c r="C146" s="3" t="s">
        <v>7407</v>
      </c>
      <c r="D146" s="3" t="s">
        <v>6978</v>
      </c>
      <c r="E146" s="3" t="s">
        <v>7408</v>
      </c>
      <c r="F146" s="10" t="str">
        <f aca="false">HYPERLINK("https://www.inaturalist.org/people/mufudzicjunior","mufudzicjunior")</f>
        <v>mufudzicjunior</v>
      </c>
      <c r="G146" s="9" t="s">
        <v>13</v>
      </c>
      <c r="H146" s="9" t="s">
        <v>7409</v>
      </c>
    </row>
    <row r="147" customFormat="false" ht="15.75" hidden="false" customHeight="false" outlineLevel="0" collapsed="false">
      <c r="B147" s="7" t="n">
        <v>46222</v>
      </c>
      <c r="C147" s="3" t="s">
        <v>7410</v>
      </c>
      <c r="D147" s="3" t="s">
        <v>6978</v>
      </c>
      <c r="E147" s="3" t="s">
        <v>7411</v>
      </c>
      <c r="F147" s="10" t="str">
        <f aca="false">HYPERLINK("https://www.inaturalist.org/people/tuataras3rdeye","tuataras3rdeye")</f>
        <v>tuataras3rdeye</v>
      </c>
      <c r="G147" s="9" t="s">
        <v>13</v>
      </c>
      <c r="H147" s="9" t="s">
        <v>7412</v>
      </c>
    </row>
    <row r="148" customFormat="false" ht="15.75" hidden="false" customHeight="false" outlineLevel="0" collapsed="false">
      <c r="B148" s="7" t="n">
        <v>46222</v>
      </c>
      <c r="C148" s="3" t="s">
        <v>7413</v>
      </c>
      <c r="D148" s="3" t="s">
        <v>6978</v>
      </c>
      <c r="E148" s="3" t="s">
        <v>7414</v>
      </c>
      <c r="F148" s="10" t="str">
        <f aca="false">HYPERLINK("https://www.inaturalist.org/people/ejulier","ejulier")</f>
        <v>ejulier</v>
      </c>
      <c r="G148" s="9" t="s">
        <v>13</v>
      </c>
      <c r="H148" s="9" t="s">
        <v>7415</v>
      </c>
    </row>
    <row r="149" customFormat="false" ht="15.75" hidden="false" customHeight="false" outlineLevel="0" collapsed="false">
      <c r="B149" s="7" t="n">
        <v>46222</v>
      </c>
      <c r="C149" s="3" t="s">
        <v>7416</v>
      </c>
      <c r="D149" s="3" t="s">
        <v>6978</v>
      </c>
      <c r="E149" s="3" t="s">
        <v>7417</v>
      </c>
      <c r="F149" s="10" t="str">
        <f aca="false">HYPERLINK("https://www.inaturalist.org/people/laura89725","laura89725")</f>
        <v>laura89725</v>
      </c>
      <c r="G149" s="9" t="s">
        <v>13</v>
      </c>
      <c r="H149" s="9" t="s">
        <v>7418</v>
      </c>
    </row>
    <row r="150" customFormat="false" ht="15.75" hidden="false" customHeight="false" outlineLevel="0" collapsed="false">
      <c r="B150" s="7" t="n">
        <v>46222</v>
      </c>
      <c r="C150" s="3" t="s">
        <v>7419</v>
      </c>
      <c r="D150" s="3" t="s">
        <v>6978</v>
      </c>
      <c r="E150" s="3" t="s">
        <v>7420</v>
      </c>
      <c r="F150" s="10" t="str">
        <f aca="false">HYPERLINK("https://www.inaturalist.org/people/ben31520","ben31520")</f>
        <v>ben31520</v>
      </c>
      <c r="G150" s="9" t="s">
        <v>13</v>
      </c>
      <c r="H150" s="9" t="s">
        <v>7421</v>
      </c>
    </row>
    <row r="151" customFormat="false" ht="15.75" hidden="false" customHeight="false" outlineLevel="0" collapsed="false">
      <c r="B151" s="7" t="n">
        <v>46222</v>
      </c>
      <c r="C151" s="3" t="s">
        <v>7422</v>
      </c>
      <c r="D151" s="3" t="s">
        <v>6978</v>
      </c>
      <c r="E151" s="3" t="s">
        <v>7423</v>
      </c>
      <c r="F151" s="10" t="str">
        <f aca="false">HYPERLINK("https://www.inaturalist.org/people/karoopixie","karoopixie")</f>
        <v>karoopixie</v>
      </c>
      <c r="G151" s="9" t="s">
        <v>13</v>
      </c>
      <c r="H151" s="9" t="s">
        <v>7424</v>
      </c>
    </row>
    <row r="152" customFormat="false" ht="15.75" hidden="false" customHeight="false" outlineLevel="0" collapsed="false">
      <c r="B152" s="7" t="n">
        <v>46222</v>
      </c>
      <c r="C152" s="3" t="s">
        <v>7425</v>
      </c>
      <c r="D152" s="3" t="s">
        <v>6978</v>
      </c>
      <c r="E152" s="3" t="s">
        <v>7426</v>
      </c>
      <c r="F152" s="10" t="str">
        <f aca="false">HYPERLINK("https://www.inaturalist.org/people/sajibbiswas","sajibbiswas")</f>
        <v>sajibbiswas</v>
      </c>
      <c r="G152" s="9" t="s">
        <v>13</v>
      </c>
      <c r="H152" s="9" t="s">
        <v>7427</v>
      </c>
    </row>
    <row r="153" customFormat="false" ht="15.75" hidden="false" customHeight="false" outlineLevel="0" collapsed="false">
      <c r="B153" s="7" t="n">
        <v>46222</v>
      </c>
      <c r="C153" s="3" t="s">
        <v>7428</v>
      </c>
      <c r="D153" s="3" t="s">
        <v>6978</v>
      </c>
      <c r="E153" s="3" t="s">
        <v>7429</v>
      </c>
      <c r="F153" s="10" t="str">
        <f aca="false">HYPERLINK("https://www.inaturalist.org/people/vosberg","vosberg")</f>
        <v>vosberg</v>
      </c>
      <c r="G153" s="9" t="s">
        <v>13</v>
      </c>
      <c r="H153" s="9" t="s">
        <v>7430</v>
      </c>
    </row>
    <row r="154" customFormat="false" ht="15.75" hidden="false" customHeight="false" outlineLevel="0" collapsed="false">
      <c r="B154" s="7" t="n">
        <v>46222</v>
      </c>
      <c r="C154" s="3" t="s">
        <v>7431</v>
      </c>
      <c r="D154" s="3" t="s">
        <v>6978</v>
      </c>
      <c r="E154" s="3" t="s">
        <v>7432</v>
      </c>
      <c r="F154" s="10" t="str">
        <f aca="false">HYPERLINK("https://www.inaturalist.org/people/guillaumecalcagni","guillaumecalcagni")</f>
        <v>guillaumecalcagni</v>
      </c>
      <c r="G154" s="9" t="s">
        <v>13</v>
      </c>
      <c r="H154" s="9" t="s">
        <v>7433</v>
      </c>
    </row>
    <row r="155" customFormat="false" ht="15.75" hidden="false" customHeight="false" outlineLevel="0" collapsed="false">
      <c r="B155" s="7" t="n">
        <v>46222</v>
      </c>
      <c r="C155" s="3" t="s">
        <v>7434</v>
      </c>
      <c r="D155" s="3" t="s">
        <v>6978</v>
      </c>
      <c r="E155" s="3" t="s">
        <v>7435</v>
      </c>
      <c r="F155" s="10" t="str">
        <f aca="false">HYPERLINK("https://www.inaturalist.org/people/emjenkins","emjenkins")</f>
        <v>emjenkins</v>
      </c>
      <c r="G155" s="9" t="s">
        <v>13</v>
      </c>
      <c r="H155" s="9" t="s">
        <v>7436</v>
      </c>
    </row>
    <row r="156" customFormat="false" ht="15.75" hidden="false" customHeight="false" outlineLevel="0" collapsed="false">
      <c r="B156" s="7" t="n">
        <v>46222</v>
      </c>
      <c r="C156" s="3" t="s">
        <v>7437</v>
      </c>
      <c r="D156" s="3" t="s">
        <v>6978</v>
      </c>
      <c r="E156" s="3" t="s">
        <v>7438</v>
      </c>
      <c r="F156" s="10" t="str">
        <f aca="false">HYPERLINK("https://www.inaturalist.org/people/emjenkins","emjenkins")</f>
        <v>emjenkins</v>
      </c>
      <c r="G156" s="9" t="s">
        <v>13</v>
      </c>
      <c r="H156" s="9" t="s">
        <v>7439</v>
      </c>
    </row>
    <row r="157" customFormat="false" ht="15.75" hidden="false" customHeight="false" outlineLevel="0" collapsed="false">
      <c r="B157" s="7" t="n">
        <v>46222</v>
      </c>
      <c r="C157" s="3" t="s">
        <v>7440</v>
      </c>
      <c r="D157" s="3" t="s">
        <v>6978</v>
      </c>
      <c r="E157" s="3" t="s">
        <v>7441</v>
      </c>
      <c r="F157" s="10" t="str">
        <f aca="false">HYPERLINK("https://www.inaturalist.org/people/pennytaylor","pennytaylor")</f>
        <v>pennytaylor</v>
      </c>
      <c r="G157" s="9" t="s">
        <v>13</v>
      </c>
      <c r="H157" s="9" t="s">
        <v>7442</v>
      </c>
    </row>
    <row r="158" customFormat="false" ht="15.75" hidden="false" customHeight="false" outlineLevel="0" collapsed="false">
      <c r="B158" s="7" t="n">
        <v>46222</v>
      </c>
      <c r="C158" s="3" t="s">
        <v>7443</v>
      </c>
      <c r="D158" s="3" t="s">
        <v>6978</v>
      </c>
      <c r="E158" s="3" t="s">
        <v>7444</v>
      </c>
      <c r="F158" s="10" t="str">
        <f aca="false">HYPERLINK("https://www.inaturalist.org/people/david__jenkins","david__jenkins")</f>
        <v>david__jenkins</v>
      </c>
      <c r="G158" s="9" t="s">
        <v>13</v>
      </c>
      <c r="H158" s="9" t="s">
        <v>7445</v>
      </c>
    </row>
    <row r="159" customFormat="false" ht="15.75" hidden="false" customHeight="false" outlineLevel="0" collapsed="false">
      <c r="B159" s="7" t="n">
        <v>46222</v>
      </c>
      <c r="C159" s="3" t="s">
        <v>7446</v>
      </c>
      <c r="D159" s="3" t="s">
        <v>6978</v>
      </c>
      <c r="E159" s="3" t="s">
        <v>7447</v>
      </c>
      <c r="F159" s="10" t="str">
        <f aca="false">HYPERLINK("https://www.inaturalist.org/people/svr_vietnam","svr_vietnam")</f>
        <v>svr_vietnam</v>
      </c>
      <c r="G159" s="9" t="s">
        <v>13</v>
      </c>
      <c r="H159" s="9" t="s">
        <v>7448</v>
      </c>
    </row>
    <row r="160" customFormat="false" ht="15.75" hidden="false" customHeight="false" outlineLevel="0" collapsed="false">
      <c r="B160" s="7" t="n">
        <v>46222</v>
      </c>
      <c r="C160" s="3" t="s">
        <v>7449</v>
      </c>
      <c r="D160" s="3" t="s">
        <v>6978</v>
      </c>
      <c r="E160" s="3" t="s">
        <v>7450</v>
      </c>
      <c r="F160" s="10" t="str">
        <f aca="false">HYPERLINK("https://www.inaturalist.org/people/tyler_explores","tyler_explores")</f>
        <v>tyler_explores</v>
      </c>
      <c r="G160" s="9" t="s">
        <v>13</v>
      </c>
      <c r="H160" s="9" t="s">
        <v>7451</v>
      </c>
    </row>
    <row r="161" customFormat="false" ht="15.75" hidden="false" customHeight="false" outlineLevel="0" collapsed="false">
      <c r="B161" s="7" t="n">
        <v>46222</v>
      </c>
      <c r="C161" s="3" t="s">
        <v>7452</v>
      </c>
      <c r="D161" s="3" t="s">
        <v>6978</v>
      </c>
      <c r="E161" s="3" t="s">
        <v>7453</v>
      </c>
      <c r="F161" s="10" t="str">
        <f aca="false">HYPERLINK("https://www.inaturalist.org/people/aganse","aganse")</f>
        <v>aganse</v>
      </c>
      <c r="G161" s="9" t="s">
        <v>13</v>
      </c>
      <c r="H161" s="9" t="s">
        <v>7454</v>
      </c>
    </row>
    <row r="162" customFormat="false" ht="15.75" hidden="false" customHeight="false" outlineLevel="0" collapsed="false">
      <c r="B162" s="7" t="n">
        <v>46222</v>
      </c>
      <c r="C162" s="3" t="s">
        <v>7455</v>
      </c>
      <c r="D162" s="3" t="s">
        <v>6978</v>
      </c>
      <c r="E162" s="3" t="s">
        <v>7456</v>
      </c>
      <c r="F162" s="10" t="str">
        <f aca="false">HYPERLINK("https://www.inaturalist.org/people/tanyahattingh","tanyahattingh")</f>
        <v>tanyahattingh</v>
      </c>
      <c r="G162" s="9" t="s">
        <v>13</v>
      </c>
      <c r="H162" s="9" t="s">
        <v>7457</v>
      </c>
    </row>
    <row r="163" customFormat="false" ht="15.75" hidden="false" customHeight="false" outlineLevel="0" collapsed="false">
      <c r="B163" s="7" t="n">
        <v>46222</v>
      </c>
      <c r="C163" s="3" t="s">
        <v>7458</v>
      </c>
      <c r="D163" s="3" t="s">
        <v>6978</v>
      </c>
      <c r="E163" s="3" t="s">
        <v>7459</v>
      </c>
      <c r="F163" s="10" t="str">
        <f aca="false">HYPERLINK("https://www.inaturalist.org/people/brandondrinkwater","brandondrinkwater")</f>
        <v>brandondrinkwater</v>
      </c>
      <c r="G163" s="9" t="s">
        <v>13</v>
      </c>
      <c r="H163" s="9" t="s">
        <v>7460</v>
      </c>
    </row>
    <row r="164" customFormat="false" ht="15.75" hidden="false" customHeight="false" outlineLevel="0" collapsed="false">
      <c r="B164" s="7" t="n">
        <v>46222</v>
      </c>
      <c r="C164" s="3" t="s">
        <v>7461</v>
      </c>
      <c r="D164" s="3" t="s">
        <v>6978</v>
      </c>
      <c r="E164" s="3" t="s">
        <v>7462</v>
      </c>
      <c r="F164" s="10" t="str">
        <f aca="false">HYPERLINK("https://www.inaturalist.org/people/mathias_dezetter","mathias_dezetter")</f>
        <v>mathias_dezetter</v>
      </c>
      <c r="G164" s="9" t="s">
        <v>13</v>
      </c>
      <c r="H164" s="9" t="s">
        <v>7463</v>
      </c>
    </row>
    <row r="165" customFormat="false" ht="15.75" hidden="false" customHeight="false" outlineLevel="0" collapsed="false">
      <c r="B165" s="7" t="n">
        <v>46222</v>
      </c>
      <c r="C165" s="3" t="s">
        <v>7464</v>
      </c>
      <c r="D165" s="3" t="s">
        <v>6978</v>
      </c>
      <c r="E165" s="3" t="s">
        <v>7465</v>
      </c>
      <c r="F165" s="10" t="str">
        <f aca="false">HYPERLINK("https://www.inaturalist.org/people/boussion_magali","boussion_magali")</f>
        <v>boussion_magali</v>
      </c>
      <c r="G165" s="9" t="s">
        <v>13</v>
      </c>
      <c r="H165" s="9" t="s">
        <v>7466</v>
      </c>
    </row>
    <row r="166" customFormat="false" ht="15.75" hidden="false" customHeight="false" outlineLevel="0" collapsed="false">
      <c r="B166" s="7" t="n">
        <v>46222</v>
      </c>
      <c r="C166" s="3" t="s">
        <v>7467</v>
      </c>
      <c r="D166" s="3" t="s">
        <v>6978</v>
      </c>
      <c r="E166" s="3" t="s">
        <v>7468</v>
      </c>
      <c r="F166" s="10" t="str">
        <f aca="false">HYPERLINK("https://www.inaturalist.org/people/boussion_magali","boussion_magali")</f>
        <v>boussion_magali</v>
      </c>
      <c r="G166" s="9" t="s">
        <v>13</v>
      </c>
      <c r="H166" s="9" t="s">
        <v>7469</v>
      </c>
    </row>
    <row r="167" customFormat="false" ht="15.75" hidden="false" customHeight="false" outlineLevel="0" collapsed="false">
      <c r="B167" s="7" t="n">
        <v>46222</v>
      </c>
      <c r="C167" s="3" t="s">
        <v>7470</v>
      </c>
      <c r="D167" s="3" t="s">
        <v>6978</v>
      </c>
      <c r="E167" s="3" t="s">
        <v>7471</v>
      </c>
      <c r="F167" s="10" t="str">
        <f aca="false">HYPERLINK("https://www.inaturalist.org/people/abbeydean","abbeydean")</f>
        <v>abbeydean</v>
      </c>
      <c r="G167" s="9" t="s">
        <v>13</v>
      </c>
      <c r="H167" s="9" t="s">
        <v>7472</v>
      </c>
    </row>
    <row r="168" customFormat="false" ht="15.75" hidden="false" customHeight="false" outlineLevel="0" collapsed="false">
      <c r="B168" s="7" t="n">
        <v>46222</v>
      </c>
      <c r="C168" s="3" t="s">
        <v>7473</v>
      </c>
      <c r="D168" s="3" t="s">
        <v>6978</v>
      </c>
      <c r="E168" s="3" t="s">
        <v>7474</v>
      </c>
      <c r="F168" s="10" t="str">
        <f aca="false">HYPERLINK("https://www.inaturalist.org/people/abbeydean","abbeydean")</f>
        <v>abbeydean</v>
      </c>
      <c r="G168" s="9" t="s">
        <v>13</v>
      </c>
      <c r="H168" s="9" t="s">
        <v>7475</v>
      </c>
    </row>
    <row r="169" customFormat="false" ht="15.75" hidden="false" customHeight="false" outlineLevel="0" collapsed="false">
      <c r="B169" s="7" t="n">
        <v>46222</v>
      </c>
      <c r="C169" s="3" t="s">
        <v>7476</v>
      </c>
      <c r="D169" s="3" t="s">
        <v>6978</v>
      </c>
      <c r="E169" s="3" t="s">
        <v>7477</v>
      </c>
      <c r="F169" s="10" t="str">
        <f aca="false">HYPERLINK("https://www.inaturalist.org/people/vireo","vireo")</f>
        <v>vireo</v>
      </c>
      <c r="G169" s="9" t="s">
        <v>13</v>
      </c>
      <c r="H169" s="9" t="s">
        <v>7478</v>
      </c>
    </row>
    <row r="170" customFormat="false" ht="15.75" hidden="false" customHeight="false" outlineLevel="0" collapsed="false">
      <c r="B170" s="7" t="n">
        <v>46222</v>
      </c>
      <c r="C170" s="3" t="s">
        <v>7479</v>
      </c>
      <c r="D170" s="3" t="s">
        <v>6978</v>
      </c>
      <c r="E170" s="3" t="s">
        <v>7480</v>
      </c>
      <c r="F170" s="10" t="str">
        <f aca="false">HYPERLINK("https://www.inaturalist.org/people/vireo","vireo")</f>
        <v>vireo</v>
      </c>
      <c r="G170" s="9" t="s">
        <v>13</v>
      </c>
      <c r="H170" s="9" t="s">
        <v>7481</v>
      </c>
    </row>
    <row r="171" customFormat="false" ht="15.75" hidden="false" customHeight="false" outlineLevel="0" collapsed="false">
      <c r="B171" s="7" t="n">
        <v>46222</v>
      </c>
      <c r="C171" s="3" t="s">
        <v>7482</v>
      </c>
      <c r="D171" s="3" t="s">
        <v>6978</v>
      </c>
      <c r="E171" s="3" t="s">
        <v>7483</v>
      </c>
      <c r="F171" s="10" t="str">
        <f aca="false">HYPERLINK("https://www.inaturalist.org/people/abbeydean","abbeydean")</f>
        <v>abbeydean</v>
      </c>
      <c r="G171" s="9" t="s">
        <v>13</v>
      </c>
      <c r="H171" s="9" t="s">
        <v>7484</v>
      </c>
    </row>
    <row r="172" customFormat="false" ht="15.75" hidden="false" customHeight="false" outlineLevel="0" collapsed="false">
      <c r="B172" s="7" t="n">
        <v>46222</v>
      </c>
      <c r="C172" s="3" t="s">
        <v>7485</v>
      </c>
      <c r="D172" s="3" t="s">
        <v>6978</v>
      </c>
      <c r="E172" s="3" t="s">
        <v>7486</v>
      </c>
      <c r="F172" s="10" t="str">
        <f aca="false">HYPERLINK("https://www.inaturalist.org/people/renatoguzman","renatoguzman")</f>
        <v>renatoguzman</v>
      </c>
      <c r="G172" s="9" t="s">
        <v>13</v>
      </c>
      <c r="H172" s="9" t="s">
        <v>7487</v>
      </c>
    </row>
    <row r="173" customFormat="false" ht="15.75" hidden="false" customHeight="false" outlineLevel="0" collapsed="false">
      <c r="B173" s="7" t="n">
        <v>46222</v>
      </c>
      <c r="C173" s="3" t="s">
        <v>7488</v>
      </c>
      <c r="D173" s="3" t="s">
        <v>6978</v>
      </c>
      <c r="E173" s="3" t="s">
        <v>7489</v>
      </c>
      <c r="F173" s="10" t="str">
        <f aca="false">HYPERLINK("https://www.inaturalist.org/people/renatoguzman","renatoguzman")</f>
        <v>renatoguzman</v>
      </c>
      <c r="G173" s="9" t="s">
        <v>13</v>
      </c>
      <c r="H173" s="9" t="s">
        <v>7490</v>
      </c>
    </row>
    <row r="174" customFormat="false" ht="15.75" hidden="false" customHeight="false" outlineLevel="0" collapsed="false">
      <c r="B174" s="7" t="n">
        <v>46222</v>
      </c>
      <c r="C174" s="3" t="s">
        <v>7491</v>
      </c>
      <c r="D174" s="3" t="s">
        <v>6978</v>
      </c>
      <c r="E174" s="3" t="s">
        <v>7492</v>
      </c>
      <c r="F174" s="10" t="str">
        <f aca="false">HYPERLINK("https://www.inaturalist.org/people/t7mpastoral","t7mpastoral")</f>
        <v>t7mpastoral</v>
      </c>
      <c r="G174" s="9" t="s">
        <v>13</v>
      </c>
      <c r="H174" s="9" t="s">
        <v>7493</v>
      </c>
    </row>
    <row r="175" customFormat="false" ht="15.75" hidden="false" customHeight="false" outlineLevel="0" collapsed="false">
      <c r="B175" s="7" t="n">
        <v>46222</v>
      </c>
      <c r="C175" s="3" t="s">
        <v>7494</v>
      </c>
      <c r="D175" s="3" t="s">
        <v>6978</v>
      </c>
      <c r="E175" s="3" t="s">
        <v>7495</v>
      </c>
      <c r="F175" s="10" t="str">
        <f aca="false">HYPERLINK("https://www.inaturalist.org/people/tbargholz","tbargholz")</f>
        <v>tbargholz</v>
      </c>
      <c r="G175" s="9" t="s">
        <v>13</v>
      </c>
      <c r="H175" s="9" t="s">
        <v>7496</v>
      </c>
    </row>
    <row r="176" customFormat="false" ht="15.75" hidden="false" customHeight="false" outlineLevel="0" collapsed="false">
      <c r="B176" s="7" t="n">
        <v>46222</v>
      </c>
      <c r="C176" s="3" t="s">
        <v>7497</v>
      </c>
      <c r="D176" s="3" t="s">
        <v>6978</v>
      </c>
      <c r="E176" s="3" t="s">
        <v>7498</v>
      </c>
      <c r="F176" s="10" t="str">
        <f aca="false">HYPERLINK("https://www.inaturalist.org/people/tbargholz","tbargholz")</f>
        <v>tbargholz</v>
      </c>
      <c r="G176" s="9" t="s">
        <v>13</v>
      </c>
      <c r="H176" s="9" t="s">
        <v>7499</v>
      </c>
    </row>
    <row r="177" customFormat="false" ht="15.75" hidden="false" customHeight="false" outlineLevel="0" collapsed="false">
      <c r="B177" s="7" t="n">
        <v>46222</v>
      </c>
      <c r="C177" s="3" t="s">
        <v>7500</v>
      </c>
      <c r="D177" s="3" t="s">
        <v>6978</v>
      </c>
      <c r="E177" s="3" t="s">
        <v>7501</v>
      </c>
      <c r="F177" s="10" t="str">
        <f aca="false">HYPERLINK("https://www.inaturalist.org/people/ingridsell","ingridsell")</f>
        <v>ingridsell</v>
      </c>
      <c r="G177" s="9" t="s">
        <v>13</v>
      </c>
      <c r="H177" s="9" t="s">
        <v>7502</v>
      </c>
    </row>
    <row r="178" customFormat="false" ht="15.75" hidden="false" customHeight="false" outlineLevel="0" collapsed="false">
      <c r="B178" s="7" t="n">
        <v>46222</v>
      </c>
      <c r="C178" s="3" t="s">
        <v>7503</v>
      </c>
      <c r="D178" s="3" t="s">
        <v>6978</v>
      </c>
      <c r="E178" s="3" t="s">
        <v>7504</v>
      </c>
      <c r="F178" s="10" t="str">
        <f aca="false">HYPERLINK("https://www.inaturalist.org/people/chenyiwen","chenyiwen")</f>
        <v>chenyiwen</v>
      </c>
      <c r="G178" s="9" t="s">
        <v>13</v>
      </c>
      <c r="H178" s="9" t="s">
        <v>7505</v>
      </c>
    </row>
    <row r="179" customFormat="false" ht="15.75" hidden="false" customHeight="false" outlineLevel="0" collapsed="false">
      <c r="B179" s="7" t="n">
        <v>46222</v>
      </c>
      <c r="C179" s="3" t="s">
        <v>7506</v>
      </c>
      <c r="D179" s="3" t="s">
        <v>6978</v>
      </c>
      <c r="E179" s="3" t="s">
        <v>7507</v>
      </c>
      <c r="F179" s="10" t="str">
        <f aca="false">HYPERLINK("https://www.inaturalist.org/people/prameena","prameena")</f>
        <v>prameena</v>
      </c>
      <c r="G179" s="9" t="s">
        <v>13</v>
      </c>
      <c r="H179" s="9" t="s">
        <v>7508</v>
      </c>
    </row>
    <row r="180" customFormat="false" ht="15.75" hidden="false" customHeight="false" outlineLevel="0" collapsed="false">
      <c r="B180" s="7" t="n">
        <v>46222</v>
      </c>
      <c r="C180" s="3" t="s">
        <v>7509</v>
      </c>
      <c r="D180" s="3" t="s">
        <v>6978</v>
      </c>
      <c r="E180" s="3" t="s">
        <v>7510</v>
      </c>
      <c r="F180" s="10" t="str">
        <f aca="false">HYPERLINK("https://www.inaturalist.org/people/hariq","hariq")</f>
        <v>hariq</v>
      </c>
      <c r="G180" s="9" t="s">
        <v>13</v>
      </c>
      <c r="H180" s="9" t="s">
        <v>7511</v>
      </c>
    </row>
    <row r="181" customFormat="false" ht="15.75" hidden="false" customHeight="false" outlineLevel="0" collapsed="false">
      <c r="B181" s="7" t="n">
        <v>46222</v>
      </c>
      <c r="C181" s="3" t="s">
        <v>7512</v>
      </c>
      <c r="D181" s="3" t="s">
        <v>6978</v>
      </c>
      <c r="E181" s="3" t="s">
        <v>7513</v>
      </c>
      <c r="F181" s="10" t="str">
        <f aca="false">HYPERLINK("https://www.inaturalist.org/people/saranyangl","saranyangl")</f>
        <v>saranyangl</v>
      </c>
      <c r="G181" s="9" t="s">
        <v>13</v>
      </c>
      <c r="H181" s="9" t="s">
        <v>7514</v>
      </c>
    </row>
    <row r="182" customFormat="false" ht="15.75" hidden="false" customHeight="false" outlineLevel="0" collapsed="false">
      <c r="B182" s="7" t="n">
        <v>46222</v>
      </c>
      <c r="C182" s="3" t="s">
        <v>7515</v>
      </c>
      <c r="D182" s="3" t="s">
        <v>6978</v>
      </c>
      <c r="E182" s="3" t="s">
        <v>7516</v>
      </c>
      <c r="F182" s="10" t="str">
        <f aca="false">HYPERLINK("https://www.inaturalist.org/people/saranyangl","saranyangl")</f>
        <v>saranyangl</v>
      </c>
      <c r="G182" s="9" t="s">
        <v>13</v>
      </c>
      <c r="H182" s="9" t="s">
        <v>7517</v>
      </c>
    </row>
    <row r="183" customFormat="false" ht="15.75" hidden="false" customHeight="false" outlineLevel="0" collapsed="false">
      <c r="B183" s="7" t="n">
        <v>46222</v>
      </c>
      <c r="C183" s="3" t="s">
        <v>7518</v>
      </c>
      <c r="D183" s="3" t="s">
        <v>6978</v>
      </c>
      <c r="E183" s="3" t="s">
        <v>7519</v>
      </c>
      <c r="F183" s="10" t="str">
        <f aca="false">HYPERLINK("https://www.inaturalist.org/people/hariq","hariq")</f>
        <v>hariq</v>
      </c>
      <c r="G183" s="9" t="s">
        <v>13</v>
      </c>
      <c r="H183" s="9" t="s">
        <v>7520</v>
      </c>
    </row>
    <row r="184" customFormat="false" ht="15.75" hidden="false" customHeight="false" outlineLevel="0" collapsed="false">
      <c r="B184" s="7" t="n">
        <v>46222</v>
      </c>
      <c r="C184" s="3" t="s">
        <v>7521</v>
      </c>
      <c r="D184" s="3" t="s">
        <v>6978</v>
      </c>
      <c r="E184" s="3" t="s">
        <v>7522</v>
      </c>
      <c r="F184" s="10" t="str">
        <f aca="false">HYPERLINK("https://www.inaturalist.org/people/joshbowling","joshbowling")</f>
        <v>joshbowling</v>
      </c>
      <c r="G184" s="9" t="s">
        <v>13</v>
      </c>
      <c r="H184" s="9" t="s">
        <v>7523</v>
      </c>
    </row>
    <row r="185" customFormat="false" ht="15.75" hidden="false" customHeight="false" outlineLevel="0" collapsed="false">
      <c r="B185" s="7" t="n">
        <v>46222</v>
      </c>
      <c r="C185" s="3" t="s">
        <v>7524</v>
      </c>
      <c r="D185" s="3" t="s">
        <v>6978</v>
      </c>
      <c r="E185" s="3" t="s">
        <v>7525</v>
      </c>
      <c r="F185" s="10" t="str">
        <f aca="false">HYPERLINK("https://www.inaturalist.org/people/ale-jan-dra","ale-jan-dra")</f>
        <v>ale-jan-dra</v>
      </c>
      <c r="G185" s="9" t="s">
        <v>13</v>
      </c>
      <c r="H185" s="9" t="s">
        <v>7526</v>
      </c>
    </row>
    <row r="186" customFormat="false" ht="15.75" hidden="false" customHeight="false" outlineLevel="0" collapsed="false">
      <c r="B186" s="7" t="n">
        <v>46222</v>
      </c>
      <c r="C186" s="3" t="s">
        <v>7527</v>
      </c>
      <c r="D186" s="3" t="s">
        <v>6978</v>
      </c>
      <c r="E186" s="3" t="s">
        <v>7528</v>
      </c>
      <c r="F186" s="10" t="str">
        <f aca="false">HYPERLINK("https://www.inaturalist.org/people/bruno_valente","bruno_valente")</f>
        <v>bruno_valente</v>
      </c>
      <c r="G186" s="9" t="s">
        <v>13</v>
      </c>
      <c r="H186" s="9" t="s">
        <v>7529</v>
      </c>
    </row>
    <row r="187" customFormat="false" ht="15.75" hidden="false" customHeight="false" outlineLevel="0" collapsed="false">
      <c r="B187" s="7" t="n">
        <v>46222</v>
      </c>
      <c r="C187" s="3" t="s">
        <v>7530</v>
      </c>
      <c r="D187" s="3" t="s">
        <v>6978</v>
      </c>
      <c r="E187" s="3" t="s">
        <v>7531</v>
      </c>
      <c r="F187" s="10" t="str">
        <f aca="false">HYPERLINK("https://www.inaturalist.org/people/xsugu","xsugu")</f>
        <v>xsugu</v>
      </c>
      <c r="G187" s="9" t="s">
        <v>13</v>
      </c>
      <c r="H187" s="9" t="s">
        <v>7532</v>
      </c>
    </row>
    <row r="188" customFormat="false" ht="15.75" hidden="false" customHeight="false" outlineLevel="0" collapsed="false">
      <c r="B188" s="7" t="n">
        <v>46222</v>
      </c>
      <c r="C188" s="3" t="s">
        <v>7533</v>
      </c>
      <c r="D188" s="3" t="s">
        <v>6978</v>
      </c>
      <c r="E188" s="3" t="s">
        <v>7534</v>
      </c>
      <c r="F188" s="10" t="str">
        <f aca="false">HYPERLINK("https://www.inaturalist.org/people/camille61211","camille61211")</f>
        <v>camille61211</v>
      </c>
      <c r="G188" s="9" t="s">
        <v>13</v>
      </c>
      <c r="H188" s="9" t="s">
        <v>7535</v>
      </c>
    </row>
    <row r="189" customFormat="false" ht="15.75" hidden="false" customHeight="false" outlineLevel="0" collapsed="false">
      <c r="B189" s="7" t="n">
        <v>46222</v>
      </c>
      <c r="C189" s="3" t="s">
        <v>7536</v>
      </c>
      <c r="D189" s="3" t="s">
        <v>6978</v>
      </c>
      <c r="E189" s="3" t="s">
        <v>7537</v>
      </c>
      <c r="F189" s="10" t="str">
        <f aca="false">HYPERLINK("https://www.inaturalist.org/people/camille61211","camille61211")</f>
        <v>camille61211</v>
      </c>
      <c r="G189" s="9" t="s">
        <v>13</v>
      </c>
      <c r="H189" s="9" t="s">
        <v>7538</v>
      </c>
    </row>
    <row r="190" customFormat="false" ht="15.75" hidden="false" customHeight="false" outlineLevel="0" collapsed="false">
      <c r="B190" s="7" t="n">
        <v>46222</v>
      </c>
      <c r="C190" s="3" t="s">
        <v>7539</v>
      </c>
      <c r="D190" s="3" t="s">
        <v>6978</v>
      </c>
      <c r="E190" s="3" t="s">
        <v>7540</v>
      </c>
      <c r="F190" s="10" t="str">
        <f aca="false">HYPERLINK("https://www.inaturalist.org/people/urbanreptileremoval","urbanreptileremoval")</f>
        <v>urbanreptileremoval</v>
      </c>
      <c r="G190" s="9" t="s">
        <v>13</v>
      </c>
      <c r="H190" s="9" t="s">
        <v>7541</v>
      </c>
    </row>
    <row r="191" customFormat="false" ht="15.75" hidden="false" customHeight="false" outlineLevel="0" collapsed="false">
      <c r="B191" s="7" t="n">
        <v>46222</v>
      </c>
      <c r="C191" s="3" t="s">
        <v>7542</v>
      </c>
      <c r="D191" s="3" t="s">
        <v>6978</v>
      </c>
      <c r="E191" s="3" t="s">
        <v>7543</v>
      </c>
      <c r="F191" s="10" t="str">
        <f aca="false">HYPERLINK("https://www.inaturalist.org/people/tation","tation")</f>
        <v>tation</v>
      </c>
      <c r="G191" s="9" t="s">
        <v>13</v>
      </c>
      <c r="H191" s="9" t="s">
        <v>7544</v>
      </c>
    </row>
    <row r="192" customFormat="false" ht="15.75" hidden="false" customHeight="false" outlineLevel="0" collapsed="false">
      <c r="B192" s="7" t="n">
        <v>46222</v>
      </c>
      <c r="C192" s="3" t="s">
        <v>7545</v>
      </c>
      <c r="D192" s="3" t="s">
        <v>6978</v>
      </c>
      <c r="E192" s="3" t="s">
        <v>7546</v>
      </c>
      <c r="F192" s="10" t="str">
        <f aca="false">HYPERLINK("https://www.inaturalist.org/people/oscarencisoa","oscarencisoa")</f>
        <v>oscarencisoa</v>
      </c>
      <c r="G192" s="9" t="s">
        <v>13</v>
      </c>
      <c r="H192" s="9" t="s">
        <v>7547</v>
      </c>
    </row>
    <row r="193" customFormat="false" ht="15.75" hidden="false" customHeight="false" outlineLevel="0" collapsed="false">
      <c r="B193" s="7" t="n">
        <v>46222</v>
      </c>
      <c r="C193" s="3" t="s">
        <v>7548</v>
      </c>
      <c r="D193" s="3" t="s">
        <v>6978</v>
      </c>
      <c r="E193" s="3" t="s">
        <v>7549</v>
      </c>
      <c r="F193" s="10" t="str">
        <f aca="false">HYPERLINK("https://www.inaturalist.org/people/davidschlosser","davidschlosser")</f>
        <v>davidschlosser</v>
      </c>
      <c r="G193" s="9" t="s">
        <v>13</v>
      </c>
      <c r="H193" s="9" t="s">
        <v>7550</v>
      </c>
    </row>
    <row r="194" customFormat="false" ht="15.75" hidden="false" customHeight="false" outlineLevel="0" collapsed="false">
      <c r="B194" s="7" t="n">
        <v>46222</v>
      </c>
      <c r="C194" s="3" t="s">
        <v>7551</v>
      </c>
      <c r="D194" s="3" t="s">
        <v>6978</v>
      </c>
      <c r="E194" s="3" t="s">
        <v>7552</v>
      </c>
      <c r="F194" s="10" t="str">
        <f aca="false">HYPERLINK("https://www.inaturalist.org/people/sixgrowmushroom","sixgrowmushroom")</f>
        <v>sixgrowmushroom</v>
      </c>
      <c r="G194" s="9" t="s">
        <v>13</v>
      </c>
      <c r="H194" s="9" t="s">
        <v>7553</v>
      </c>
    </row>
    <row r="195" customFormat="false" ht="15.75" hidden="false" customHeight="false" outlineLevel="0" collapsed="false">
      <c r="B195" s="7" t="n">
        <v>46222</v>
      </c>
      <c r="C195" s="3" t="s">
        <v>7554</v>
      </c>
      <c r="D195" s="3" t="s">
        <v>6978</v>
      </c>
      <c r="E195" s="3" t="s">
        <v>7555</v>
      </c>
      <c r="F195" s="10" t="str">
        <f aca="false">HYPERLINK("https://www.inaturalist.org/people/furey_stirrat","furey_stirrat")</f>
        <v>furey_stirrat</v>
      </c>
      <c r="G195" s="9" t="s">
        <v>13</v>
      </c>
      <c r="H195" s="9" t="s">
        <v>7556</v>
      </c>
    </row>
    <row r="196" customFormat="false" ht="15.75" hidden="false" customHeight="false" outlineLevel="0" collapsed="false">
      <c r="B196" s="7" t="n">
        <v>46222</v>
      </c>
      <c r="C196" s="3" t="s">
        <v>7557</v>
      </c>
      <c r="D196" s="3" t="s">
        <v>6978</v>
      </c>
      <c r="E196" s="3" t="s">
        <v>7558</v>
      </c>
      <c r="F196" s="10" t="str">
        <f aca="false">HYPERLINK("https://www.inaturalist.org/people/omialpha9","omialpha9")</f>
        <v>omialpha9</v>
      </c>
      <c r="G196" s="9" t="s">
        <v>13</v>
      </c>
      <c r="H196" s="9" t="s">
        <v>7559</v>
      </c>
    </row>
    <row r="197" customFormat="false" ht="15.75" hidden="false" customHeight="false" outlineLevel="0" collapsed="false">
      <c r="B197" s="7" t="n">
        <v>46222</v>
      </c>
      <c r="C197" s="3" t="s">
        <v>7560</v>
      </c>
      <c r="D197" s="3" t="s">
        <v>6978</v>
      </c>
      <c r="E197" s="3" t="s">
        <v>7561</v>
      </c>
      <c r="F197" s="10" t="str">
        <f aca="false">HYPERLINK("https://www.inaturalist.org/people/alejandrarazo","alejandrarazo")</f>
        <v>alejandrarazo</v>
      </c>
      <c r="G197" s="9" t="s">
        <v>13</v>
      </c>
      <c r="H197" s="9" t="s">
        <v>7562</v>
      </c>
    </row>
    <row r="198" customFormat="false" ht="15.75" hidden="false" customHeight="false" outlineLevel="0" collapsed="false">
      <c r="B198" s="7" t="n">
        <v>46222</v>
      </c>
      <c r="C198" s="3" t="s">
        <v>7563</v>
      </c>
      <c r="D198" s="3" t="s">
        <v>6978</v>
      </c>
      <c r="E198" s="3" t="s">
        <v>7564</v>
      </c>
      <c r="F198" s="10" t="str">
        <f aca="false">HYPERLINK("https://www.inaturalist.org/people/roselikesbugs","roselikesbugs")</f>
        <v>roselikesbugs</v>
      </c>
      <c r="G198" s="9" t="s">
        <v>13</v>
      </c>
      <c r="H198" s="9" t="s">
        <v>7565</v>
      </c>
    </row>
    <row r="199" customFormat="false" ht="15.75" hidden="false" customHeight="false" outlineLevel="0" collapsed="false">
      <c r="B199" s="7" t="n">
        <v>46222</v>
      </c>
      <c r="C199" s="3" t="s">
        <v>7566</v>
      </c>
      <c r="D199" s="3" t="s">
        <v>6978</v>
      </c>
      <c r="E199" s="3" t="s">
        <v>7567</v>
      </c>
      <c r="F199" s="10" t="str">
        <f aca="false">HYPERLINK("https://www.inaturalist.org/people/drewrdavis","drewrdavis")</f>
        <v>drewrdavis</v>
      </c>
      <c r="G199" s="9" t="s">
        <v>13</v>
      </c>
      <c r="H199" s="9" t="s">
        <v>7568</v>
      </c>
    </row>
    <row r="200" customFormat="false" ht="15.75" hidden="false" customHeight="false" outlineLevel="0" collapsed="false">
      <c r="B200" s="7" t="n">
        <v>46222</v>
      </c>
      <c r="C200" s="3" t="s">
        <v>7569</v>
      </c>
      <c r="D200" s="3" t="s">
        <v>6978</v>
      </c>
      <c r="E200" s="3" t="s">
        <v>7570</v>
      </c>
      <c r="F200" s="10" t="str">
        <f aca="false">HYPERLINK("https://www.inaturalist.org/people/mayplatt","mayplatt")</f>
        <v>mayplatt</v>
      </c>
      <c r="G200" s="9" t="s">
        <v>13</v>
      </c>
      <c r="H200" s="9" t="s">
        <v>7571</v>
      </c>
    </row>
    <row r="201" customFormat="false" ht="15.75" hidden="false" customHeight="false" outlineLevel="0" collapsed="false">
      <c r="B201" s="7" t="n">
        <v>46222</v>
      </c>
      <c r="C201" s="3" t="s">
        <v>7572</v>
      </c>
      <c r="D201" s="3" t="s">
        <v>6978</v>
      </c>
      <c r="E201" s="3" t="s">
        <v>7573</v>
      </c>
      <c r="F201" s="10" t="str">
        <f aca="false">HYPERLINK("https://www.inaturalist.org/people/sixgrowmushroom","sixgrowmushroom")</f>
        <v>sixgrowmushroom</v>
      </c>
      <c r="G201" s="9" t="s">
        <v>13</v>
      </c>
      <c r="H201" s="9" t="s">
        <v>7574</v>
      </c>
    </row>
    <row r="202" customFormat="false" ht="15.75" hidden="false" customHeight="false" outlineLevel="0" collapsed="false">
      <c r="B202" s="7" t="n">
        <v>46222</v>
      </c>
      <c r="C202" s="3" t="s">
        <v>7575</v>
      </c>
      <c r="D202" s="3" t="s">
        <v>6978</v>
      </c>
      <c r="E202" s="3" t="s">
        <v>7576</v>
      </c>
      <c r="F202" s="10" t="str">
        <f aca="false">HYPERLINK("https://www.inaturalist.org/people/ethanol_casas","ethanol_casas")</f>
        <v>ethanol_casas</v>
      </c>
      <c r="G202" s="9" t="s">
        <v>13</v>
      </c>
      <c r="H202" s="9" t="s">
        <v>7577</v>
      </c>
    </row>
    <row r="203" customFormat="false" ht="15.75" hidden="false" customHeight="false" outlineLevel="0" collapsed="false">
      <c r="B203" s="7" t="n">
        <v>46222</v>
      </c>
      <c r="C203" s="3" t="s">
        <v>7578</v>
      </c>
      <c r="D203" s="3" t="s">
        <v>6978</v>
      </c>
      <c r="E203" s="3" t="s">
        <v>7579</v>
      </c>
      <c r="F203" s="10" t="str">
        <f aca="false">HYPERLINK("https://www.inaturalist.org/people/jordandcochran","jordandcochran")</f>
        <v>jordandcochran</v>
      </c>
      <c r="G203" s="9" t="s">
        <v>13</v>
      </c>
      <c r="H203" s="9" t="s">
        <v>7580</v>
      </c>
    </row>
    <row r="204" customFormat="false" ht="15.75" hidden="false" customHeight="false" outlineLevel="0" collapsed="false">
      <c r="B204" s="7" t="n">
        <v>46222</v>
      </c>
      <c r="C204" s="3" t="s">
        <v>7581</v>
      </c>
      <c r="D204" s="3" t="s">
        <v>6978</v>
      </c>
      <c r="E204" s="3" t="s">
        <v>7582</v>
      </c>
      <c r="F204" s="10" t="str">
        <f aca="false">HYPERLINK("https://www.inaturalist.org/people/limabruna","limabruna")</f>
        <v>limabruna</v>
      </c>
      <c r="G204" s="9" t="s">
        <v>13</v>
      </c>
      <c r="H204" s="9" t="s">
        <v>7583</v>
      </c>
    </row>
    <row r="205" customFormat="false" ht="15.75" hidden="false" customHeight="false" outlineLevel="0" collapsed="false">
      <c r="B205" s="7" t="n">
        <v>46222</v>
      </c>
      <c r="C205" s="3" t="s">
        <v>7584</v>
      </c>
      <c r="D205" s="3" t="s">
        <v>6978</v>
      </c>
      <c r="E205" s="3" t="s">
        <v>7585</v>
      </c>
      <c r="F205" s="10" t="str">
        <f aca="false">HYPERLINK("https://www.inaturalist.org/people/lmy89","lmy89")</f>
        <v>lmy89</v>
      </c>
      <c r="G205" s="9" t="s">
        <v>13</v>
      </c>
      <c r="H205" s="9" t="s">
        <v>7586</v>
      </c>
    </row>
    <row r="206" customFormat="false" ht="15.75" hidden="false" customHeight="false" outlineLevel="0" collapsed="false">
      <c r="B206" s="7" t="n">
        <v>46222</v>
      </c>
      <c r="C206" s="3" t="s">
        <v>7587</v>
      </c>
      <c r="D206" s="3" t="s">
        <v>6978</v>
      </c>
      <c r="E206" s="3" t="s">
        <v>7588</v>
      </c>
      <c r="F206" s="10" t="str">
        <f aca="false">HYPERLINK("https://www.inaturalist.org/people/jacintafrancesca","jacintafrancesca")</f>
        <v>jacintafrancesca</v>
      </c>
      <c r="G206" s="9" t="s">
        <v>13</v>
      </c>
      <c r="H206" s="9" t="s">
        <v>7589</v>
      </c>
    </row>
    <row r="207" customFormat="false" ht="15.75" hidden="false" customHeight="false" outlineLevel="0" collapsed="false">
      <c r="B207" s="7" t="n">
        <v>46222</v>
      </c>
      <c r="C207" s="3" t="s">
        <v>7590</v>
      </c>
      <c r="D207" s="3" t="s">
        <v>6978</v>
      </c>
      <c r="E207" s="3" t="s">
        <v>7591</v>
      </c>
      <c r="F207" s="10" t="str">
        <f aca="false">HYPERLINK("https://www.inaturalist.org/people/antye","antye")</f>
        <v>antye</v>
      </c>
      <c r="G207" s="9" t="s">
        <v>13</v>
      </c>
      <c r="H207" s="9" t="s">
        <v>7592</v>
      </c>
    </row>
    <row r="208" customFormat="false" ht="15.75" hidden="false" customHeight="false" outlineLevel="0" collapsed="false">
      <c r="B208" s="7" t="n">
        <v>46222</v>
      </c>
      <c r="C208" s="3" t="s">
        <v>7593</v>
      </c>
      <c r="D208" s="3" t="s">
        <v>6978</v>
      </c>
      <c r="E208" s="3" t="s">
        <v>7594</v>
      </c>
      <c r="F208" s="10" t="str">
        <f aca="false">HYPERLINK("https://www.inaturalist.org/people/annavlasenko","annavlasenko")</f>
        <v>annavlasenko</v>
      </c>
      <c r="G208" s="9" t="s">
        <v>13</v>
      </c>
      <c r="H208" s="9" t="s">
        <v>7595</v>
      </c>
    </row>
    <row r="209" customFormat="false" ht="15.75" hidden="false" customHeight="false" outlineLevel="0" collapsed="false">
      <c r="B209" s="7" t="n">
        <v>46222</v>
      </c>
      <c r="C209" s="3" t="s">
        <v>7596</v>
      </c>
      <c r="D209" s="3" t="s">
        <v>6978</v>
      </c>
      <c r="E209" s="3" t="s">
        <v>7597</v>
      </c>
      <c r="F209" s="10" t="str">
        <f aca="false">HYPERLINK("https://www.inaturalist.org/people/maxwell_167","maxwell_167")</f>
        <v>maxwell_167</v>
      </c>
      <c r="G209" s="9" t="s">
        <v>13</v>
      </c>
      <c r="H209" s="9" t="s">
        <v>7598</v>
      </c>
    </row>
    <row r="210" customFormat="false" ht="15.75" hidden="false" customHeight="false" outlineLevel="0" collapsed="false">
      <c r="B210" s="7" t="n">
        <v>46222</v>
      </c>
      <c r="C210" s="3" t="s">
        <v>7599</v>
      </c>
      <c r="D210" s="3" t="s">
        <v>6978</v>
      </c>
      <c r="E210" s="3" t="s">
        <v>7600</v>
      </c>
      <c r="F210" s="10" t="str">
        <f aca="false">HYPERLINK("https://www.inaturalist.org/people/antonioleala","antonioleala")</f>
        <v>antonioleala</v>
      </c>
      <c r="G210" s="9" t="s">
        <v>13</v>
      </c>
      <c r="H210" s="9" t="s">
        <v>7601</v>
      </c>
    </row>
    <row r="211" customFormat="false" ht="15.75" hidden="false" customHeight="false" outlineLevel="0" collapsed="false">
      <c r="B211" s="7" t="n">
        <v>46222</v>
      </c>
      <c r="C211" s="3" t="s">
        <v>7602</v>
      </c>
      <c r="D211" s="3" t="s">
        <v>6978</v>
      </c>
      <c r="E211" s="3" t="s">
        <v>7603</v>
      </c>
      <c r="F211" s="10" t="str">
        <f aca="false">HYPERLINK("https://www.inaturalist.org/people/risky_business","risky_business")</f>
        <v>risky_business</v>
      </c>
      <c r="G211" s="9" t="s">
        <v>13</v>
      </c>
      <c r="H211" s="9" t="s">
        <v>7604</v>
      </c>
    </row>
    <row r="212" customFormat="false" ht="15.75" hidden="false" customHeight="false" outlineLevel="0" collapsed="false">
      <c r="B212" s="7" t="n">
        <v>46222</v>
      </c>
      <c r="C212" s="3" t="s">
        <v>7605</v>
      </c>
      <c r="D212" s="3" t="s">
        <v>6978</v>
      </c>
      <c r="E212" s="3" t="s">
        <v>7606</v>
      </c>
      <c r="F212" s="10" t="str">
        <f aca="false">HYPERLINK("https://www.inaturalist.org/people/ryan_desutter","ryan_desutter")</f>
        <v>ryan_desutter</v>
      </c>
      <c r="G212" s="9" t="s">
        <v>13</v>
      </c>
      <c r="H212" s="9" t="s">
        <v>7607</v>
      </c>
    </row>
    <row r="213" customFormat="false" ht="15.75" hidden="false" customHeight="false" outlineLevel="0" collapsed="false">
      <c r="B213" s="7" t="n">
        <v>46222</v>
      </c>
      <c r="C213" s="3" t="s">
        <v>7608</v>
      </c>
      <c r="D213" s="3" t="s">
        <v>6978</v>
      </c>
      <c r="E213" s="3" t="s">
        <v>7609</v>
      </c>
      <c r="F213" s="10" t="str">
        <f aca="false">HYPERLINK("https://www.inaturalist.org/people/agunggumz","agunggumz")</f>
        <v>agunggumz</v>
      </c>
      <c r="G213" s="9" t="s">
        <v>13</v>
      </c>
      <c r="H213" s="9" t="s">
        <v>7610</v>
      </c>
    </row>
    <row r="214" customFormat="false" ht="15.75" hidden="false" customHeight="false" outlineLevel="0" collapsed="false">
      <c r="B214" s="7" t="n">
        <v>46222</v>
      </c>
      <c r="C214" s="3" t="s">
        <v>7611</v>
      </c>
      <c r="D214" s="3" t="s">
        <v>6978</v>
      </c>
      <c r="E214" s="3" t="s">
        <v>7612</v>
      </c>
      <c r="F214" s="10" t="str">
        <f aca="false">HYPERLINK("https://www.inaturalist.org/people/mas22","mas22")</f>
        <v>mas22</v>
      </c>
      <c r="G214" s="9" t="s">
        <v>13</v>
      </c>
      <c r="H214" s="9" t="s">
        <v>7613</v>
      </c>
    </row>
    <row r="215" customFormat="false" ht="15.75" hidden="false" customHeight="false" outlineLevel="0" collapsed="false">
      <c r="B215" s="7" t="n">
        <v>46222</v>
      </c>
      <c r="C215" s="3" t="s">
        <v>7614</v>
      </c>
      <c r="D215" s="3" t="s">
        <v>6978</v>
      </c>
      <c r="E215" s="3" t="s">
        <v>7615</v>
      </c>
      <c r="F215" s="10" t="str">
        <f aca="false">HYPERLINK("https://www.inaturalist.org/people/franz_herpman","franz_herpman")</f>
        <v>franz_herpman</v>
      </c>
      <c r="G215" s="9" t="s">
        <v>13</v>
      </c>
      <c r="H215" s="9" t="s">
        <v>7616</v>
      </c>
    </row>
    <row r="216" customFormat="false" ht="15.75" hidden="false" customHeight="false" outlineLevel="0" collapsed="false">
      <c r="B216" s="7" t="n">
        <v>46222</v>
      </c>
      <c r="C216" s="3" t="s">
        <v>7617</v>
      </c>
      <c r="D216" s="3" t="s">
        <v>6978</v>
      </c>
      <c r="E216" s="3" t="s">
        <v>7618</v>
      </c>
      <c r="F216" s="10" t="str">
        <f aca="false">HYPERLINK("https://www.inaturalist.org/people/orlandobl","orlandobl")</f>
        <v>orlandobl</v>
      </c>
      <c r="G216" s="9" t="s">
        <v>13</v>
      </c>
      <c r="H216" s="9" t="s">
        <v>7619</v>
      </c>
    </row>
    <row r="217" customFormat="false" ht="15.75" hidden="false" customHeight="false" outlineLevel="0" collapsed="false">
      <c r="B217" s="7" t="n">
        <v>46222</v>
      </c>
      <c r="C217" s="3" t="s">
        <v>7620</v>
      </c>
      <c r="D217" s="3" t="s">
        <v>6978</v>
      </c>
      <c r="E217" s="3" t="s">
        <v>7621</v>
      </c>
      <c r="F217" s="10" t="str">
        <f aca="false">HYPERLINK("https://www.inaturalist.org/people/igstw","igstw")</f>
        <v>igstw</v>
      </c>
      <c r="G217" s="9" t="s">
        <v>13</v>
      </c>
      <c r="H217" s="9" t="s">
        <v>7622</v>
      </c>
    </row>
    <row r="218" customFormat="false" ht="15.75" hidden="false" customHeight="false" outlineLevel="0" collapsed="false">
      <c r="B218" s="7" t="n">
        <v>46222</v>
      </c>
      <c r="C218" s="3" t="s">
        <v>7623</v>
      </c>
      <c r="D218" s="3" t="s">
        <v>6978</v>
      </c>
      <c r="E218" s="3" t="s">
        <v>7624</v>
      </c>
      <c r="F218" s="10" t="str">
        <f aca="false">HYPERLINK("https://www.inaturalist.org/people/andebryn50","andebryn50")</f>
        <v>andebryn50</v>
      </c>
      <c r="G218" s="9" t="s">
        <v>13</v>
      </c>
      <c r="H218" s="9" t="s">
        <v>7625</v>
      </c>
    </row>
    <row r="219" customFormat="false" ht="15.75" hidden="false" customHeight="false" outlineLevel="0" collapsed="false">
      <c r="B219" s="7" t="n">
        <v>46222</v>
      </c>
      <c r="C219" s="3" t="s">
        <v>7626</v>
      </c>
      <c r="D219" s="3" t="s">
        <v>6978</v>
      </c>
      <c r="E219" s="3" t="s">
        <v>7627</v>
      </c>
      <c r="F219" s="10" t="str">
        <f aca="false">HYPERLINK("https://www.inaturalist.org/people/angelrmzc-mex","angelrmzc-mex")</f>
        <v>angelrmzc-mex</v>
      </c>
      <c r="G219" s="9" t="s">
        <v>13</v>
      </c>
      <c r="H219" s="9" t="s">
        <v>7628</v>
      </c>
    </row>
    <row r="220" customFormat="false" ht="15.75" hidden="false" customHeight="false" outlineLevel="0" collapsed="false">
      <c r="B220" s="7" t="n">
        <v>46222</v>
      </c>
      <c r="C220" s="3" t="s">
        <v>7629</v>
      </c>
      <c r="D220" s="3" t="s">
        <v>6978</v>
      </c>
      <c r="E220" s="3" t="s">
        <v>7630</v>
      </c>
      <c r="F220" s="10" t="str">
        <f aca="false">HYPERLINK("https://www.inaturalist.org/people/johnzenil","johnzenil")</f>
        <v>johnzenil</v>
      </c>
      <c r="G220" s="9" t="s">
        <v>13</v>
      </c>
      <c r="H220" s="9" t="s">
        <v>7631</v>
      </c>
    </row>
    <row r="221" customFormat="false" ht="15.75" hidden="false" customHeight="false" outlineLevel="0" collapsed="false">
      <c r="B221" s="7" t="n">
        <v>46222</v>
      </c>
      <c r="C221" s="3" t="s">
        <v>7632</v>
      </c>
      <c r="D221" s="3" t="s">
        <v>6978</v>
      </c>
      <c r="E221" s="3" t="s">
        <v>7633</v>
      </c>
      <c r="F221" s="10" t="str">
        <f aca="false">HYPERLINK("https://www.inaturalist.org/people/antonioleala","antonioleala")</f>
        <v>antonioleala</v>
      </c>
      <c r="G221" s="9" t="s">
        <v>13</v>
      </c>
      <c r="H221" s="9" t="s">
        <v>7634</v>
      </c>
    </row>
    <row r="222" customFormat="false" ht="15.75" hidden="false" customHeight="false" outlineLevel="0" collapsed="false">
      <c r="B222" s="7" t="n">
        <v>46222</v>
      </c>
      <c r="C222" s="3" t="s">
        <v>7635</v>
      </c>
      <c r="D222" s="3" t="s">
        <v>6978</v>
      </c>
      <c r="E222" s="3" t="s">
        <v>7636</v>
      </c>
      <c r="F222" s="10" t="str">
        <f aca="false">HYPERLINK("https://www.inaturalist.org/people/cheavy","cheavy")</f>
        <v>cheavy</v>
      </c>
      <c r="G222" s="9" t="s">
        <v>13</v>
      </c>
      <c r="H222" s="9" t="s">
        <v>7637</v>
      </c>
    </row>
    <row r="223" customFormat="false" ht="15.75" hidden="false" customHeight="false" outlineLevel="0" collapsed="false">
      <c r="B223" s="7" t="n">
        <v>46222</v>
      </c>
      <c r="C223" s="3" t="s">
        <v>7638</v>
      </c>
      <c r="D223" s="3" t="s">
        <v>6978</v>
      </c>
      <c r="E223" s="3" t="s">
        <v>7639</v>
      </c>
      <c r="F223" s="10" t="str">
        <f aca="false">HYPERLINK("https://www.inaturalist.org/people/wonderbird22","wonderbird22")</f>
        <v>wonderbird22</v>
      </c>
      <c r="G223" s="9" t="s">
        <v>13</v>
      </c>
      <c r="H223" s="9" t="s">
        <v>7640</v>
      </c>
    </row>
    <row r="224" customFormat="false" ht="15.75" hidden="false" customHeight="false" outlineLevel="0" collapsed="false">
      <c r="B224" s="7" t="n">
        <v>46222</v>
      </c>
      <c r="C224" s="3" t="s">
        <v>7641</v>
      </c>
      <c r="D224" s="3" t="s">
        <v>6978</v>
      </c>
      <c r="E224" s="3" t="s">
        <v>7642</v>
      </c>
      <c r="F224" s="10" t="str">
        <f aca="false">HYPERLINK("https://www.inaturalist.org/people/kerbusch_t","kerbusch_t")</f>
        <v>kerbusch_t</v>
      </c>
      <c r="G224" s="9" t="s">
        <v>13</v>
      </c>
      <c r="H224" s="9" t="s">
        <v>7643</v>
      </c>
    </row>
    <row r="225" customFormat="false" ht="15.75" hidden="false" customHeight="false" outlineLevel="0" collapsed="false">
      <c r="B225" s="7" t="n">
        <v>46222</v>
      </c>
      <c r="C225" s="3" t="s">
        <v>7644</v>
      </c>
      <c r="D225" s="3" t="s">
        <v>6978</v>
      </c>
      <c r="E225" s="3" t="s">
        <v>7645</v>
      </c>
      <c r="F225" s="10" t="str">
        <f aca="false">HYPERLINK("https://www.inaturalist.org/people/myrmecophilic","myrmecophilic")</f>
        <v>myrmecophilic</v>
      </c>
      <c r="G225" s="9" t="s">
        <v>13</v>
      </c>
      <c r="H225" s="9" t="s">
        <v>7646</v>
      </c>
    </row>
    <row r="226" customFormat="false" ht="15.75" hidden="false" customHeight="false" outlineLevel="0" collapsed="false">
      <c r="B226" s="7" t="n">
        <v>46222</v>
      </c>
      <c r="C226" s="3" t="s">
        <v>7647</v>
      </c>
      <c r="D226" s="3" t="s">
        <v>6978</v>
      </c>
      <c r="E226" s="3" t="s">
        <v>7648</v>
      </c>
      <c r="F226" s="10" t="str">
        <f aca="false">HYPERLINK("https://www.inaturalist.org/people/closeupandfaraway","closeupandfaraway")</f>
        <v>closeupandfaraway</v>
      </c>
      <c r="G226" s="9" t="s">
        <v>13</v>
      </c>
      <c r="H226" s="9" t="s">
        <v>7649</v>
      </c>
    </row>
    <row r="227" customFormat="false" ht="15.75" hidden="false" customHeight="false" outlineLevel="0" collapsed="false">
      <c r="B227" s="7" t="n">
        <v>46222</v>
      </c>
      <c r="C227" s="3" t="s">
        <v>7650</v>
      </c>
      <c r="D227" s="3" t="s">
        <v>6978</v>
      </c>
      <c r="E227" s="3" t="s">
        <v>7651</v>
      </c>
      <c r="F227" s="10" t="str">
        <f aca="false">HYPERLINK("https://www.inaturalist.org/people/neontetraploid","neontetraploid")</f>
        <v>neontetraploid</v>
      </c>
      <c r="G227" s="9" t="s">
        <v>13</v>
      </c>
      <c r="H227" s="9" t="s">
        <v>7652</v>
      </c>
    </row>
    <row r="228" customFormat="false" ht="15.75" hidden="false" customHeight="false" outlineLevel="0" collapsed="false">
      <c r="B228" s="7" t="n">
        <v>46222</v>
      </c>
      <c r="C228" s="3" t="s">
        <v>7653</v>
      </c>
      <c r="D228" s="3" t="s">
        <v>6978</v>
      </c>
      <c r="E228" s="3" t="s">
        <v>7654</v>
      </c>
      <c r="F228" s="10" t="str">
        <f aca="false">HYPERLINK("https://www.inaturalist.org/people/bellaburgess","bellaburgess")</f>
        <v>bellaburgess</v>
      </c>
      <c r="G228" s="9" t="s">
        <v>13</v>
      </c>
      <c r="H228" s="9" t="s">
        <v>7655</v>
      </c>
    </row>
    <row r="229" customFormat="false" ht="15.75" hidden="false" customHeight="false" outlineLevel="0" collapsed="false">
      <c r="B229" s="7" t="n">
        <v>46222</v>
      </c>
      <c r="C229" s="3" t="s">
        <v>7656</v>
      </c>
      <c r="D229" s="3" t="s">
        <v>6978</v>
      </c>
      <c r="E229" s="3" t="s">
        <v>7657</v>
      </c>
      <c r="F229" s="10" t="str">
        <f aca="false">HYPERLINK("https://www.inaturalist.org/people/mas22","mas22")</f>
        <v>mas22</v>
      </c>
      <c r="G229" s="9" t="s">
        <v>13</v>
      </c>
      <c r="H229" s="9" t="s">
        <v>7658</v>
      </c>
    </row>
    <row r="230" customFormat="false" ht="15.75" hidden="false" customHeight="false" outlineLevel="0" collapsed="false">
      <c r="B230" s="7" t="n">
        <v>46222</v>
      </c>
      <c r="C230" s="3" t="s">
        <v>7659</v>
      </c>
      <c r="D230" s="3" t="s">
        <v>6978</v>
      </c>
      <c r="E230" s="3" t="s">
        <v>7660</v>
      </c>
      <c r="F230" s="10" t="str">
        <f aca="false">HYPERLINK("https://www.inaturalist.org/people/mukeshsalvi","mukeshsalvi")</f>
        <v>mukeshsalvi</v>
      </c>
      <c r="G230" s="9" t="s">
        <v>13</v>
      </c>
      <c r="H230" s="9" t="s">
        <v>7661</v>
      </c>
    </row>
    <row r="231" customFormat="false" ht="15.75" hidden="false" customHeight="false" outlineLevel="0" collapsed="false">
      <c r="B231" s="7" t="n">
        <v>46222</v>
      </c>
      <c r="C231" s="3" t="s">
        <v>7662</v>
      </c>
      <c r="D231" s="3" t="s">
        <v>6978</v>
      </c>
      <c r="E231" s="3" t="s">
        <v>7663</v>
      </c>
      <c r="F231" s="10" t="str">
        <f aca="false">HYPERLINK("https://www.inaturalist.org/people/bulbulsphere","bulbulsphere")</f>
        <v>bulbulsphere</v>
      </c>
      <c r="G231" s="9" t="s">
        <v>13</v>
      </c>
      <c r="H231" s="9" t="s">
        <v>7664</v>
      </c>
    </row>
    <row r="232" customFormat="false" ht="15.75" hidden="false" customHeight="false" outlineLevel="0" collapsed="false">
      <c r="B232" s="7" t="n">
        <v>46222</v>
      </c>
      <c r="C232" s="3" t="s">
        <v>7665</v>
      </c>
      <c r="D232" s="3" t="s">
        <v>6978</v>
      </c>
      <c r="E232" s="3" t="s">
        <v>7666</v>
      </c>
      <c r="F232" s="10" t="str">
        <f aca="false">HYPERLINK("https://www.inaturalist.org/people/nanuwami","nanuwami")</f>
        <v>nanuwami</v>
      </c>
      <c r="G232" s="9" t="s">
        <v>13</v>
      </c>
      <c r="H232" s="9" t="s">
        <v>7667</v>
      </c>
    </row>
    <row r="233" customFormat="false" ht="15.75" hidden="false" customHeight="false" outlineLevel="0" collapsed="false">
      <c r="B233" s="7" t="n">
        <v>46222</v>
      </c>
      <c r="C233" s="3" t="s">
        <v>7668</v>
      </c>
      <c r="D233" s="3" t="s">
        <v>6978</v>
      </c>
      <c r="E233" s="3" t="s">
        <v>7669</v>
      </c>
      <c r="F233" s="10" t="str">
        <f aca="false">HYPERLINK("https://www.inaturalist.org/people/cammccam","cammccam")</f>
        <v>cammccam</v>
      </c>
      <c r="G233" s="9" t="s">
        <v>13</v>
      </c>
      <c r="H233" s="9" t="s">
        <v>7670</v>
      </c>
    </row>
    <row r="234" customFormat="false" ht="15.75" hidden="false" customHeight="false" outlineLevel="0" collapsed="false">
      <c r="B234" s="7" t="n">
        <v>46222</v>
      </c>
      <c r="C234" s="3" t="s">
        <v>7671</v>
      </c>
      <c r="D234" s="3" t="s">
        <v>6978</v>
      </c>
      <c r="E234" s="3" t="s">
        <v>7672</v>
      </c>
      <c r="F234" s="10" t="str">
        <f aca="false">HYPERLINK("https://www.inaturalist.org/people/aomizo","aomizo")</f>
        <v>aomizo</v>
      </c>
      <c r="G234" s="9" t="s">
        <v>13</v>
      </c>
      <c r="H234" s="9" t="s">
        <v>7673</v>
      </c>
    </row>
    <row r="235" customFormat="false" ht="15.75" hidden="false" customHeight="false" outlineLevel="0" collapsed="false">
      <c r="B235" s="7" t="n">
        <v>46222</v>
      </c>
      <c r="C235" s="3" t="s">
        <v>7674</v>
      </c>
      <c r="D235" s="3" t="s">
        <v>6978</v>
      </c>
      <c r="E235" s="3" t="s">
        <v>7675</v>
      </c>
      <c r="F235" s="10" t="str">
        <f aca="false">HYPERLINK("https://www.inaturalist.org/people/rinnyw","rinnyw")</f>
        <v>rinnyw</v>
      </c>
      <c r="G235" s="9" t="s">
        <v>13</v>
      </c>
      <c r="H235" s="9" t="s">
        <v>7676</v>
      </c>
    </row>
    <row r="236" customFormat="false" ht="15.75" hidden="false" customHeight="false" outlineLevel="0" collapsed="false">
      <c r="B236" s="7" t="n">
        <v>46222</v>
      </c>
      <c r="C236" s="3" t="s">
        <v>7677</v>
      </c>
      <c r="D236" s="3" t="s">
        <v>6978</v>
      </c>
      <c r="E236" s="3" t="s">
        <v>7678</v>
      </c>
      <c r="F236" s="10" t="str">
        <f aca="false">HYPERLINK("https://www.inaturalist.org/people/rinnyw","rinnyw")</f>
        <v>rinnyw</v>
      </c>
      <c r="G236" s="9" t="s">
        <v>13</v>
      </c>
      <c r="H236" s="9" t="s">
        <v>7679</v>
      </c>
    </row>
    <row r="237" customFormat="false" ht="15.75" hidden="false" customHeight="false" outlineLevel="0" collapsed="false">
      <c r="B237" s="7" t="n">
        <v>46222</v>
      </c>
      <c r="C237" s="3" t="s">
        <v>7680</v>
      </c>
      <c r="D237" s="3" t="s">
        <v>6978</v>
      </c>
      <c r="E237" s="3" t="s">
        <v>7681</v>
      </c>
      <c r="F237" s="10" t="str">
        <f aca="false">HYPERLINK("https://www.inaturalist.org/people/rinnyw","rinnyw")</f>
        <v>rinnyw</v>
      </c>
      <c r="G237" s="9" t="s">
        <v>13</v>
      </c>
      <c r="H237" s="9" t="s">
        <v>7682</v>
      </c>
    </row>
    <row r="238" customFormat="false" ht="15.75" hidden="false" customHeight="false" outlineLevel="0" collapsed="false">
      <c r="B238" s="7" t="n">
        <v>46222</v>
      </c>
      <c r="C238" s="3" t="s">
        <v>7683</v>
      </c>
      <c r="D238" s="3" t="s">
        <v>6978</v>
      </c>
      <c r="E238" s="3" t="s">
        <v>7684</v>
      </c>
      <c r="F238" s="10" t="str">
        <f aca="false">HYPERLINK("https://www.inaturalist.org/people/laisradaelli","laisradaelli")</f>
        <v>laisradaelli</v>
      </c>
      <c r="G238" s="9" t="s">
        <v>13</v>
      </c>
      <c r="H238" s="9" t="s">
        <v>7685</v>
      </c>
    </row>
    <row r="239" customFormat="false" ht="15.75" hidden="false" customHeight="false" outlineLevel="0" collapsed="false">
      <c r="B239" s="7" t="n">
        <v>46222</v>
      </c>
      <c r="C239" s="3" t="s">
        <v>7686</v>
      </c>
      <c r="D239" s="3" t="s">
        <v>6978</v>
      </c>
      <c r="E239" s="3" t="s">
        <v>7687</v>
      </c>
      <c r="F239" s="10" t="str">
        <f aca="false">HYPERLINK("https://www.inaturalist.org/people/stephanie_gaebel","stephanie_gaebel")</f>
        <v>stephanie_gaebel</v>
      </c>
      <c r="G239" s="9" t="s">
        <v>13</v>
      </c>
      <c r="H239" s="9" t="s">
        <v>7688</v>
      </c>
    </row>
    <row r="240" customFormat="false" ht="15.75" hidden="false" customHeight="false" outlineLevel="0" collapsed="false">
      <c r="B240" s="7" t="n">
        <v>46222</v>
      </c>
      <c r="C240" s="3" t="s">
        <v>7689</v>
      </c>
      <c r="D240" s="3" t="s">
        <v>6978</v>
      </c>
      <c r="E240" s="3" t="s">
        <v>7690</v>
      </c>
      <c r="F240" s="10" t="str">
        <f aca="false">HYPERLINK("https://www.inaturalist.org/people/islander_iskander","islander_iskander")</f>
        <v>islander_iskander</v>
      </c>
      <c r="G240" s="9" t="s">
        <v>13</v>
      </c>
      <c r="H240" s="9" t="s">
        <v>7691</v>
      </c>
    </row>
    <row r="241" customFormat="false" ht="15.75" hidden="false" customHeight="false" outlineLevel="0" collapsed="false">
      <c r="B241" s="7" t="n">
        <v>46222</v>
      </c>
      <c r="C241" s="3" t="s">
        <v>7692</v>
      </c>
      <c r="D241" s="3" t="s">
        <v>6978</v>
      </c>
      <c r="E241" s="3" t="s">
        <v>7693</v>
      </c>
      <c r="F241" s="10" t="str">
        <f aca="false">HYPERLINK("https://www.inaturalist.org/people/eric_der_garti","eric_der_garti")</f>
        <v>eric_der_garti</v>
      </c>
      <c r="G241" s="9" t="s">
        <v>13</v>
      </c>
      <c r="H241" s="9" t="s">
        <v>7694</v>
      </c>
    </row>
    <row r="242" customFormat="false" ht="15.75" hidden="false" customHeight="false" outlineLevel="0" collapsed="false">
      <c r="B242" s="7" t="n">
        <v>46222</v>
      </c>
      <c r="C242" s="3" t="s">
        <v>7695</v>
      </c>
      <c r="D242" s="3" t="s">
        <v>6978</v>
      </c>
      <c r="E242" s="3" t="s">
        <v>7696</v>
      </c>
      <c r="F242" s="10" t="str">
        <f aca="false">HYPERLINK("https://www.inaturalist.org/people/stevethesnakeguy","stevethesnakeguy")</f>
        <v>stevethesnakeguy</v>
      </c>
      <c r="G242" s="9" t="s">
        <v>13</v>
      </c>
      <c r="H242" s="9" t="s">
        <v>7697</v>
      </c>
    </row>
    <row r="243" customFormat="false" ht="15.75" hidden="false" customHeight="false" outlineLevel="0" collapsed="false">
      <c r="B243" s="7" t="n">
        <v>46222</v>
      </c>
      <c r="C243" s="3" t="s">
        <v>7698</v>
      </c>
      <c r="D243" s="3" t="s">
        <v>6978</v>
      </c>
      <c r="E243" s="3" t="s">
        <v>7699</v>
      </c>
      <c r="F243" s="10" t="str">
        <f aca="false">HYPERLINK("https://www.inaturalist.org/people/tnriverpuma","tnriverpuma")</f>
        <v>tnriverpuma</v>
      </c>
      <c r="G243" s="9" t="s">
        <v>13</v>
      </c>
      <c r="H243" s="9" t="s">
        <v>7700</v>
      </c>
    </row>
    <row r="244" customFormat="false" ht="15.75" hidden="false" customHeight="false" outlineLevel="0" collapsed="false">
      <c r="B244" s="7" t="n">
        <v>46222</v>
      </c>
      <c r="C244" s="3" t="s">
        <v>7701</v>
      </c>
      <c r="D244" s="3" t="s">
        <v>6978</v>
      </c>
      <c r="E244" s="3" t="s">
        <v>7702</v>
      </c>
      <c r="F244" s="10" t="str">
        <f aca="false">HYPERLINK("https://www.inaturalist.org/people/emmanuel_salazar_serrano","emmanuel_salazar_serrano")</f>
        <v>emmanuel_salazar_serrano</v>
      </c>
      <c r="G244" s="9" t="s">
        <v>13</v>
      </c>
      <c r="H244" s="9" t="s">
        <v>7703</v>
      </c>
    </row>
    <row r="245" customFormat="false" ht="15.75" hidden="false" customHeight="false" outlineLevel="0" collapsed="false">
      <c r="B245" s="7" t="n">
        <v>46222</v>
      </c>
      <c r="C245" s="3" t="s">
        <v>7704</v>
      </c>
      <c r="D245" s="3" t="s">
        <v>6978</v>
      </c>
      <c r="E245" s="3" t="s">
        <v>7705</v>
      </c>
      <c r="F245" s="10" t="str">
        <f aca="false">HYPERLINK("https://www.inaturalist.org/people/emmanuel_salazar_serrano","emmanuel_salazar_serrano")</f>
        <v>emmanuel_salazar_serrano</v>
      </c>
      <c r="G245" s="9" t="s">
        <v>13</v>
      </c>
      <c r="H245" s="9" t="s">
        <v>7706</v>
      </c>
    </row>
    <row r="246" customFormat="false" ht="15.75" hidden="false" customHeight="false" outlineLevel="0" collapsed="false">
      <c r="B246" s="7" t="n">
        <v>46222</v>
      </c>
      <c r="C246" s="3" t="s">
        <v>7707</v>
      </c>
      <c r="D246" s="3" t="s">
        <v>6978</v>
      </c>
      <c r="E246" s="3" t="s">
        <v>7708</v>
      </c>
      <c r="F246" s="10" t="str">
        <f aca="false">HYPERLINK("https://www.inaturalist.org/people/mexican-darling","mexican-darling")</f>
        <v>mexican-darling</v>
      </c>
      <c r="G246" s="9" t="s">
        <v>13</v>
      </c>
      <c r="H246" s="9" t="s">
        <v>7709</v>
      </c>
    </row>
    <row r="247" customFormat="false" ht="15.75" hidden="false" customHeight="false" outlineLevel="0" collapsed="false">
      <c r="B247" s="7" t="n">
        <v>46222</v>
      </c>
      <c r="C247" s="3" t="s">
        <v>7710</v>
      </c>
      <c r="D247" s="3" t="s">
        <v>6978</v>
      </c>
      <c r="E247" s="3" t="s">
        <v>7711</v>
      </c>
      <c r="F247" s="10" t="str">
        <f aca="false">HYPERLINK("https://www.inaturalist.org/people/alveszthiago","alveszthiago")</f>
        <v>alveszthiago</v>
      </c>
      <c r="G247" s="9" t="s">
        <v>13</v>
      </c>
      <c r="H247" s="9" t="s">
        <v>7712</v>
      </c>
    </row>
    <row r="248" customFormat="false" ht="15.75" hidden="false" customHeight="false" outlineLevel="0" collapsed="false">
      <c r="B248" s="7" t="n">
        <v>46222</v>
      </c>
      <c r="C248" s="3" t="s">
        <v>7713</v>
      </c>
      <c r="D248" s="3" t="s">
        <v>6978</v>
      </c>
      <c r="E248" s="3" t="s">
        <v>7714</v>
      </c>
      <c r="F248" s="10" t="str">
        <f aca="false">HYPERLINK("https://www.inaturalist.org/people/mwald83","mwald83")</f>
        <v>mwald83</v>
      </c>
      <c r="G248" s="9" t="s">
        <v>13</v>
      </c>
      <c r="H248" s="9" t="s">
        <v>7715</v>
      </c>
    </row>
    <row r="249" customFormat="false" ht="15.75" hidden="false" customHeight="false" outlineLevel="0" collapsed="false">
      <c r="B249" s="7" t="n">
        <v>46222</v>
      </c>
      <c r="C249" s="3" t="s">
        <v>7716</v>
      </c>
      <c r="D249" s="3" t="s">
        <v>6978</v>
      </c>
      <c r="E249" s="3" t="s">
        <v>7717</v>
      </c>
      <c r="F249" s="10" t="str">
        <f aca="false">HYPERLINK("https://www.inaturalist.org/people/m-28","m-28")</f>
        <v>m-28</v>
      </c>
      <c r="G249" s="9" t="s">
        <v>13</v>
      </c>
      <c r="H249" s="9" t="s">
        <v>7718</v>
      </c>
    </row>
    <row r="250" customFormat="false" ht="15.75" hidden="false" customHeight="false" outlineLevel="0" collapsed="false">
      <c r="B250" s="7" t="n">
        <v>46222</v>
      </c>
      <c r="C250" s="3" t="s">
        <v>7719</v>
      </c>
      <c r="D250" s="3" t="s">
        <v>6978</v>
      </c>
      <c r="E250" s="3" t="s">
        <v>7720</v>
      </c>
      <c r="F250" s="10" t="str">
        <f aca="false">HYPERLINK("https://www.inaturalist.org/people/ssarker","ssarker")</f>
        <v>ssarker</v>
      </c>
      <c r="G250" s="9" t="s">
        <v>13</v>
      </c>
      <c r="H250" s="9" t="s">
        <v>7721</v>
      </c>
    </row>
    <row r="251" customFormat="false" ht="15.75" hidden="false" customHeight="false" outlineLevel="0" collapsed="false">
      <c r="B251" s="7" t="n">
        <v>46222</v>
      </c>
      <c r="C251" s="3" t="s">
        <v>7722</v>
      </c>
      <c r="D251" s="3" t="s">
        <v>6978</v>
      </c>
      <c r="E251" s="3" t="s">
        <v>7723</v>
      </c>
      <c r="F251" s="10" t="str">
        <f aca="false">HYPERLINK("https://www.inaturalist.org/people/vrufray","vrufray")</f>
        <v>vrufray</v>
      </c>
      <c r="G251" s="9" t="s">
        <v>13</v>
      </c>
      <c r="H251" s="9" t="s">
        <v>7724</v>
      </c>
    </row>
    <row r="252" customFormat="false" ht="15.75" hidden="false" customHeight="false" outlineLevel="0" collapsed="false">
      <c r="B252" s="7" t="n">
        <v>46222</v>
      </c>
      <c r="C252" s="3" t="s">
        <v>7725</v>
      </c>
      <c r="D252" s="3" t="s">
        <v>6978</v>
      </c>
      <c r="E252" s="3" t="s">
        <v>7726</v>
      </c>
      <c r="F252" s="10" t="str">
        <f aca="false">HYPERLINK("https://www.inaturalist.org/people/vrufray","vrufray")</f>
        <v>vrufray</v>
      </c>
      <c r="G252" s="9" t="s">
        <v>13</v>
      </c>
      <c r="H252" s="9" t="s">
        <v>7727</v>
      </c>
    </row>
    <row r="253" customFormat="false" ht="15.75" hidden="false" customHeight="false" outlineLevel="0" collapsed="false">
      <c r="B253" s="7" t="n">
        <v>46222</v>
      </c>
      <c r="C253" s="3" t="s">
        <v>7728</v>
      </c>
      <c r="D253" s="3" t="s">
        <v>6978</v>
      </c>
      <c r="E253" s="3" t="s">
        <v>7729</v>
      </c>
      <c r="F253" s="10" t="str">
        <f aca="false">HYPERLINK("https://www.inaturalist.org/people/vrufray","vrufray")</f>
        <v>vrufray</v>
      </c>
      <c r="G253" s="9" t="s">
        <v>13</v>
      </c>
      <c r="H253" s="9" t="s">
        <v>7730</v>
      </c>
    </row>
    <row r="254" customFormat="false" ht="15.75" hidden="false" customHeight="false" outlineLevel="0" collapsed="false">
      <c r="B254" s="7" t="n">
        <v>46222</v>
      </c>
      <c r="C254" s="3" t="s">
        <v>7731</v>
      </c>
      <c r="D254" s="3" t="s">
        <v>6978</v>
      </c>
      <c r="E254" s="3" t="s">
        <v>7732</v>
      </c>
      <c r="F254" s="10" t="str">
        <f aca="false">HYPERLINK("https://www.inaturalist.org/people/ssarker","ssarker")</f>
        <v>ssarker</v>
      </c>
      <c r="G254" s="9" t="s">
        <v>13</v>
      </c>
      <c r="H254" s="9" t="s">
        <v>7733</v>
      </c>
    </row>
    <row r="255" customFormat="false" ht="15.75" hidden="false" customHeight="false" outlineLevel="0" collapsed="false">
      <c r="B255" s="7" t="n">
        <v>46222</v>
      </c>
      <c r="C255" s="3" t="s">
        <v>7734</v>
      </c>
      <c r="D255" s="3" t="s">
        <v>6978</v>
      </c>
      <c r="E255" s="3" t="s">
        <v>7735</v>
      </c>
      <c r="F255" s="10" t="str">
        <f aca="false">HYPERLINK("https://www.inaturalist.org/people/jameslin","jameslin")</f>
        <v>jameslin</v>
      </c>
      <c r="G255" s="9" t="s">
        <v>13</v>
      </c>
      <c r="H255" s="9" t="s">
        <v>7736</v>
      </c>
    </row>
    <row r="256" customFormat="false" ht="15.75" hidden="false" customHeight="false" outlineLevel="0" collapsed="false">
      <c r="B256" s="7" t="n">
        <v>46222</v>
      </c>
      <c r="C256" s="3" t="s">
        <v>7737</v>
      </c>
      <c r="D256" s="3" t="s">
        <v>6978</v>
      </c>
      <c r="E256" s="3" t="s">
        <v>7738</v>
      </c>
      <c r="F256" s="10" t="str">
        <f aca="false">HYPERLINK("https://www.inaturalist.org/people/kjscolo","kjscolo")</f>
        <v>kjscolo</v>
      </c>
      <c r="G256" s="9" t="s">
        <v>13</v>
      </c>
      <c r="H256" s="9" t="s">
        <v>7739</v>
      </c>
    </row>
    <row r="257" customFormat="false" ht="15.75" hidden="false" customHeight="false" outlineLevel="0" collapsed="false">
      <c r="B257" s="7" t="n">
        <v>46222</v>
      </c>
      <c r="C257" s="3" t="s">
        <v>7740</v>
      </c>
      <c r="D257" s="3" t="s">
        <v>6978</v>
      </c>
      <c r="E257" s="3" t="s">
        <v>7741</v>
      </c>
      <c r="F257" s="10" t="str">
        <f aca="false">HYPERLINK("https://www.inaturalist.org/people/romanajanska","romanajanska")</f>
        <v>romanajanska</v>
      </c>
      <c r="G257" s="9" t="s">
        <v>13</v>
      </c>
      <c r="H257" s="9" t="s">
        <v>7742</v>
      </c>
    </row>
    <row r="258" customFormat="false" ht="15.75" hidden="false" customHeight="false" outlineLevel="0" collapsed="false">
      <c r="B258" s="7" t="n">
        <v>46222</v>
      </c>
      <c r="C258" s="3" t="s">
        <v>7743</v>
      </c>
      <c r="D258" s="3" t="s">
        <v>6978</v>
      </c>
      <c r="E258" s="3" t="s">
        <v>7744</v>
      </c>
      <c r="F258" s="10" t="str">
        <f aca="false">HYPERLINK("https://www.inaturalist.org/people/vrufray","vrufray")</f>
        <v>vrufray</v>
      </c>
      <c r="G258" s="9" t="s">
        <v>13</v>
      </c>
      <c r="H258" s="9" t="s">
        <v>7745</v>
      </c>
    </row>
    <row r="259" customFormat="false" ht="15.75" hidden="false" customHeight="false" outlineLevel="0" collapsed="false">
      <c r="B259" s="7" t="n">
        <v>46222</v>
      </c>
      <c r="C259" s="3" t="s">
        <v>7746</v>
      </c>
      <c r="D259" s="3" t="s">
        <v>6978</v>
      </c>
      <c r="E259" s="3" t="s">
        <v>7747</v>
      </c>
      <c r="F259" s="10" t="str">
        <f aca="false">HYPERLINK("https://www.inaturalist.org/people/vrufray","vrufray")</f>
        <v>vrufray</v>
      </c>
      <c r="G259" s="9" t="s">
        <v>13</v>
      </c>
      <c r="H259" s="9" t="s">
        <v>7748</v>
      </c>
    </row>
    <row r="260" customFormat="false" ht="15.75" hidden="false" customHeight="false" outlineLevel="0" collapsed="false">
      <c r="B260" s="7" t="n">
        <v>46222</v>
      </c>
      <c r="C260" s="3" t="s">
        <v>7749</v>
      </c>
      <c r="D260" s="3" t="s">
        <v>6978</v>
      </c>
      <c r="E260" s="3" t="s">
        <v>7750</v>
      </c>
      <c r="F260" s="10" t="str">
        <f aca="false">HYPERLINK("https://www.inaturalist.org/people/msilvera","msilvera")</f>
        <v>msilvera</v>
      </c>
      <c r="G260" s="9" t="s">
        <v>13</v>
      </c>
      <c r="H260" s="9" t="s">
        <v>7751</v>
      </c>
    </row>
    <row r="261" customFormat="false" ht="15.75" hidden="false" customHeight="false" outlineLevel="0" collapsed="false">
      <c r="B261" s="7" t="n">
        <v>46222</v>
      </c>
      <c r="C261" s="3" t="s">
        <v>7752</v>
      </c>
      <c r="D261" s="3" t="s">
        <v>6978</v>
      </c>
      <c r="E261" s="3" t="s">
        <v>7753</v>
      </c>
      <c r="F261" s="10" t="str">
        <f aca="false">HYPERLINK("https://www.inaturalist.org/people/lilorvis","lilorvis")</f>
        <v>lilorvis</v>
      </c>
      <c r="G261" s="9" t="s">
        <v>13</v>
      </c>
      <c r="H261" s="9" t="s">
        <v>7754</v>
      </c>
    </row>
    <row r="262" customFormat="false" ht="15.75" hidden="false" customHeight="false" outlineLevel="0" collapsed="false">
      <c r="B262" s="7" t="n">
        <v>46222</v>
      </c>
      <c r="C262" s="3" t="s">
        <v>7755</v>
      </c>
      <c r="D262" s="3" t="s">
        <v>6978</v>
      </c>
      <c r="E262" s="3" t="s">
        <v>7756</v>
      </c>
      <c r="F262" s="10" t="str">
        <f aca="false">HYPERLINK("https://www.inaturalist.org/people/diguasu","diguasu")</f>
        <v>diguasu</v>
      </c>
      <c r="G262" s="9" t="s">
        <v>13</v>
      </c>
      <c r="H262" s="9" t="s">
        <v>7757</v>
      </c>
    </row>
    <row r="263" customFormat="false" ht="15.75" hidden="false" customHeight="false" outlineLevel="0" collapsed="false">
      <c r="B263" s="7" t="n">
        <v>46222</v>
      </c>
      <c r="C263" s="3" t="s">
        <v>7758</v>
      </c>
      <c r="D263" s="3" t="s">
        <v>6978</v>
      </c>
      <c r="E263" s="3" t="s">
        <v>7759</v>
      </c>
      <c r="F263" s="10" t="str">
        <f aca="false">HYPERLINK("https://www.inaturalist.org/people/vrufray","vrufray")</f>
        <v>vrufray</v>
      </c>
      <c r="G263" s="9" t="s">
        <v>13</v>
      </c>
      <c r="H263" s="9" t="s">
        <v>7760</v>
      </c>
    </row>
    <row r="264" customFormat="false" ht="15.75" hidden="false" customHeight="false" outlineLevel="0" collapsed="false">
      <c r="B264" s="7" t="n">
        <v>46222</v>
      </c>
      <c r="C264" s="3" t="s">
        <v>7761</v>
      </c>
      <c r="D264" s="3" t="s">
        <v>6978</v>
      </c>
      <c r="E264" s="3" t="s">
        <v>7762</v>
      </c>
      <c r="F264" s="10" t="str">
        <f aca="false">HYPERLINK("https://www.inaturalist.org/people/yhai","yhai")</f>
        <v>yhai</v>
      </c>
      <c r="G264" s="9" t="s">
        <v>13</v>
      </c>
      <c r="H264" s="9" t="s">
        <v>7763</v>
      </c>
    </row>
    <row r="265" customFormat="false" ht="15.75" hidden="false" customHeight="false" outlineLevel="0" collapsed="false">
      <c r="B265" s="7" t="n">
        <v>46222</v>
      </c>
      <c r="C265" s="3" t="s">
        <v>7764</v>
      </c>
      <c r="D265" s="3" t="s">
        <v>6978</v>
      </c>
      <c r="E265" s="3" t="s">
        <v>7765</v>
      </c>
      <c r="F265" s="10" t="str">
        <f aca="false">HYPERLINK("https://www.inaturalist.org/people/nokbeetles","nokbeetles")</f>
        <v>nokbeetles</v>
      </c>
      <c r="G265" s="9" t="s">
        <v>13</v>
      </c>
      <c r="H265" s="9" t="s">
        <v>7766</v>
      </c>
    </row>
    <row r="266" customFormat="false" ht="15.75" hidden="false" customHeight="false" outlineLevel="0" collapsed="false">
      <c r="B266" s="7" t="n">
        <v>46222</v>
      </c>
      <c r="C266" s="3" t="s">
        <v>7767</v>
      </c>
      <c r="D266" s="3" t="s">
        <v>6978</v>
      </c>
      <c r="E266" s="3" t="s">
        <v>7768</v>
      </c>
      <c r="F266" s="10" t="str">
        <f aca="false">HYPERLINK("https://www.inaturalist.org/people/mike_h","mike_h")</f>
        <v>mike_h</v>
      </c>
      <c r="G266" s="9" t="s">
        <v>13</v>
      </c>
      <c r="H266" s="9" t="s">
        <v>7769</v>
      </c>
    </row>
    <row r="267" customFormat="false" ht="15.75" hidden="false" customHeight="false" outlineLevel="0" collapsed="false">
      <c r="B267" s="7" t="n">
        <v>46222</v>
      </c>
      <c r="C267" s="3" t="s">
        <v>7770</v>
      </c>
      <c r="D267" s="3" t="s">
        <v>6978</v>
      </c>
      <c r="E267" s="3" t="s">
        <v>7771</v>
      </c>
      <c r="F267" s="10" t="str">
        <f aca="false">HYPERLINK("https://www.inaturalist.org/people/daniel_berkowic","daniel_berkowic")</f>
        <v>daniel_berkowic</v>
      </c>
      <c r="G267" s="9" t="s">
        <v>13</v>
      </c>
      <c r="H267" s="9" t="s">
        <v>7772</v>
      </c>
    </row>
    <row r="268" customFormat="false" ht="15.75" hidden="false" customHeight="false" outlineLevel="0" collapsed="false">
      <c r="B268" s="7" t="n">
        <v>46222</v>
      </c>
      <c r="C268" s="3" t="s">
        <v>7773</v>
      </c>
      <c r="D268" s="3" t="s">
        <v>6978</v>
      </c>
      <c r="E268" s="3" t="s">
        <v>7774</v>
      </c>
      <c r="F268" s="10" t="str">
        <f aca="false">HYPERLINK("https://www.inaturalist.org/people/zoologistmitch","zoologistmitch")</f>
        <v>zoologistmitch</v>
      </c>
      <c r="G268" s="9" t="s">
        <v>13</v>
      </c>
      <c r="H268" s="9" t="s">
        <v>7775</v>
      </c>
    </row>
    <row r="269" customFormat="false" ht="15.75" hidden="false" customHeight="false" outlineLevel="0" collapsed="false">
      <c r="B269" s="7" t="n">
        <v>46222</v>
      </c>
      <c r="C269" s="3" t="s">
        <v>7776</v>
      </c>
      <c r="D269" s="3" t="s">
        <v>6978</v>
      </c>
      <c r="E269" s="3" t="s">
        <v>7777</v>
      </c>
      <c r="F269" s="10" t="str">
        <f aca="false">HYPERLINK("https://www.inaturalist.org/people/andrew_banks","andrew_banks")</f>
        <v>andrew_banks</v>
      </c>
      <c r="G269" s="9" t="s">
        <v>13</v>
      </c>
      <c r="H269" s="9" t="s">
        <v>7778</v>
      </c>
    </row>
    <row r="270" customFormat="false" ht="15.75" hidden="false" customHeight="false" outlineLevel="0" collapsed="false">
      <c r="B270" s="7" t="n">
        <v>46222</v>
      </c>
      <c r="C270" s="3" t="s">
        <v>7779</v>
      </c>
      <c r="D270" s="3" t="s">
        <v>6978</v>
      </c>
      <c r="E270" s="3" t="s">
        <v>7780</v>
      </c>
      <c r="F270" s="10" t="str">
        <f aca="false">HYPERLINK("https://www.inaturalist.org/people/guilhermegarcia","guilhermegarcia")</f>
        <v>guilhermegarcia</v>
      </c>
      <c r="G270" s="9" t="s">
        <v>13</v>
      </c>
      <c r="H270" s="9" t="s">
        <v>7781</v>
      </c>
    </row>
    <row r="271" customFormat="false" ht="15.75" hidden="false" customHeight="false" outlineLevel="0" collapsed="false">
      <c r="B271" s="7" t="n">
        <v>46222</v>
      </c>
      <c r="C271" s="3" t="s">
        <v>7782</v>
      </c>
      <c r="D271" s="3" t="s">
        <v>6978</v>
      </c>
      <c r="E271" s="3" t="s">
        <v>7783</v>
      </c>
      <c r="F271" s="10" t="str">
        <f aca="false">HYPERLINK("https://www.inaturalist.org/people/antonioleala","antonioleala")</f>
        <v>antonioleala</v>
      </c>
      <c r="G271" s="9" t="s">
        <v>13</v>
      </c>
      <c r="H271" s="9" t="s">
        <v>7784</v>
      </c>
    </row>
    <row r="272" customFormat="false" ht="15.75" hidden="false" customHeight="false" outlineLevel="0" collapsed="false">
      <c r="B272" s="7" t="n">
        <v>46222</v>
      </c>
      <c r="C272" s="3" t="s">
        <v>7785</v>
      </c>
      <c r="D272" s="3" t="s">
        <v>6978</v>
      </c>
      <c r="E272" s="3" t="s">
        <v>7786</v>
      </c>
      <c r="F272" s="10" t="str">
        <f aca="false">HYPERLINK("https://www.inaturalist.org/people/antonioleala","antonioleala")</f>
        <v>antonioleala</v>
      </c>
      <c r="G272" s="9" t="s">
        <v>13</v>
      </c>
      <c r="H272" s="9" t="s">
        <v>7787</v>
      </c>
    </row>
    <row r="273" customFormat="false" ht="15.75" hidden="false" customHeight="false" outlineLevel="0" collapsed="false">
      <c r="B273" s="7" t="n">
        <v>46222</v>
      </c>
      <c r="C273" s="3" t="s">
        <v>7788</v>
      </c>
      <c r="D273" s="3" t="s">
        <v>6978</v>
      </c>
      <c r="E273" s="3" t="s">
        <v>7789</v>
      </c>
      <c r="F273" s="10" t="str">
        <f aca="false">HYPERLINK("https://www.inaturalist.org/people/ruans","ruans")</f>
        <v>ruans</v>
      </c>
      <c r="G273" s="9" t="s">
        <v>13</v>
      </c>
      <c r="H273" s="9" t="s">
        <v>7790</v>
      </c>
    </row>
    <row r="274" customFormat="false" ht="15.75" hidden="false" customHeight="false" outlineLevel="0" collapsed="false">
      <c r="B274" s="7" t="n">
        <v>46222</v>
      </c>
      <c r="C274" s="3" t="s">
        <v>7791</v>
      </c>
      <c r="D274" s="3" t="s">
        <v>6978</v>
      </c>
      <c r="E274" s="3" t="s">
        <v>7792</v>
      </c>
      <c r="F274" s="10" t="str">
        <f aca="false">HYPERLINK("https://www.inaturalist.org/people/shawayliu","shawayliu")</f>
        <v>shawayliu</v>
      </c>
      <c r="G274" s="9" t="s">
        <v>13</v>
      </c>
      <c r="H274" s="9" t="s">
        <v>7793</v>
      </c>
    </row>
    <row r="275" customFormat="false" ht="15.75" hidden="false" customHeight="false" outlineLevel="0" collapsed="false">
      <c r="B275" s="7" t="n">
        <v>46222</v>
      </c>
      <c r="C275" s="3" t="s">
        <v>7794</v>
      </c>
      <c r="D275" s="3" t="s">
        <v>6978</v>
      </c>
      <c r="E275" s="3" t="s">
        <v>7795</v>
      </c>
      <c r="F275" s="10" t="str">
        <f aca="false">HYPERLINK("https://www.inaturalist.org/people/competent_herper","competent_herper")</f>
        <v>competent_herper</v>
      </c>
      <c r="G275" s="9" t="s">
        <v>13</v>
      </c>
      <c r="H275" s="9" t="s">
        <v>7796</v>
      </c>
    </row>
    <row r="276" customFormat="false" ht="15.75" hidden="false" customHeight="false" outlineLevel="0" collapsed="false">
      <c r="B276" s="7" t="n">
        <v>46222</v>
      </c>
      <c r="C276" s="3" t="s">
        <v>7797</v>
      </c>
      <c r="D276" s="3" t="s">
        <v>6978</v>
      </c>
      <c r="E276" s="3" t="s">
        <v>7798</v>
      </c>
      <c r="F276" s="10" t="str">
        <f aca="false">HYPERLINK("https://www.inaturalist.org/people/shawayliu","shawayliu")</f>
        <v>shawayliu</v>
      </c>
      <c r="G276" s="9" t="s">
        <v>13</v>
      </c>
      <c r="H276" s="9" t="s">
        <v>7799</v>
      </c>
    </row>
    <row r="277" customFormat="false" ht="15.75" hidden="false" customHeight="false" outlineLevel="0" collapsed="false">
      <c r="B277" s="7" t="n">
        <v>46222</v>
      </c>
      <c r="C277" s="3" t="s">
        <v>7800</v>
      </c>
      <c r="D277" s="3" t="s">
        <v>6978</v>
      </c>
      <c r="E277" s="3" t="s">
        <v>7801</v>
      </c>
      <c r="F277" s="10" t="str">
        <f aca="false">HYPERLINK("https://www.inaturalist.org/people/shawayliu","shawayliu")</f>
        <v>shawayliu</v>
      </c>
      <c r="G277" s="9" t="s">
        <v>13</v>
      </c>
      <c r="H277" s="9" t="s">
        <v>7802</v>
      </c>
    </row>
    <row r="278" customFormat="false" ht="15.75" hidden="false" customHeight="false" outlineLevel="0" collapsed="false">
      <c r="B278" s="7" t="n">
        <v>46222</v>
      </c>
      <c r="C278" s="3" t="s">
        <v>7803</v>
      </c>
      <c r="D278" s="3" t="s">
        <v>6978</v>
      </c>
      <c r="E278" s="3" t="s">
        <v>7804</v>
      </c>
      <c r="F278" s="10" t="str">
        <f aca="false">HYPERLINK("https://www.inaturalist.org/people/federico_chinchilla","federico_chinchilla")</f>
        <v>federico_chinchilla</v>
      </c>
      <c r="G278" s="9" t="s">
        <v>13</v>
      </c>
      <c r="H278" s="9" t="s">
        <v>7805</v>
      </c>
    </row>
    <row r="279" customFormat="false" ht="15.75" hidden="false" customHeight="false" outlineLevel="0" collapsed="false">
      <c r="B279" s="7" t="n">
        <v>46222</v>
      </c>
      <c r="C279" s="3" t="s">
        <v>7806</v>
      </c>
      <c r="D279" s="3" t="s">
        <v>6978</v>
      </c>
      <c r="E279" s="3" t="s">
        <v>7807</v>
      </c>
      <c r="F279" s="10" t="str">
        <f aca="false">HYPERLINK("https://www.inaturalist.org/people/cetaceannerd","cetaceannerd")</f>
        <v>cetaceannerd</v>
      </c>
      <c r="G279" s="9" t="s">
        <v>13</v>
      </c>
      <c r="H279" s="9" t="s">
        <v>7808</v>
      </c>
    </row>
    <row r="280" customFormat="false" ht="15.75" hidden="false" customHeight="false" outlineLevel="0" collapsed="false">
      <c r="B280" s="7" t="n">
        <v>46222</v>
      </c>
      <c r="C280" s="3" t="s">
        <v>7809</v>
      </c>
      <c r="D280" s="3" t="s">
        <v>6978</v>
      </c>
      <c r="E280" s="3" t="s">
        <v>7810</v>
      </c>
      <c r="F280" s="10" t="str">
        <f aca="false">HYPERLINK("https://www.inaturalist.org/people/smhennessy","smhennessy")</f>
        <v>smhennessy</v>
      </c>
      <c r="G280" s="9" t="s">
        <v>13</v>
      </c>
      <c r="H280" s="9" t="s">
        <v>7811</v>
      </c>
    </row>
    <row r="281" customFormat="false" ht="15.75" hidden="false" customHeight="false" outlineLevel="0" collapsed="false">
      <c r="B281" s="7" t="n">
        <v>46222</v>
      </c>
      <c r="C281" s="3" t="s">
        <v>7812</v>
      </c>
      <c r="D281" s="3" t="s">
        <v>6978</v>
      </c>
      <c r="E281" s="3" t="s">
        <v>7813</v>
      </c>
      <c r="F281" s="10" t="str">
        <f aca="false">HYPERLINK("https://www.inaturalist.org/people/david_broek","david_broek")</f>
        <v>david_broek</v>
      </c>
      <c r="G281" s="9" t="s">
        <v>13</v>
      </c>
      <c r="H281" s="9" t="s">
        <v>7814</v>
      </c>
    </row>
    <row r="282" customFormat="false" ht="15.75" hidden="false" customHeight="false" outlineLevel="0" collapsed="false">
      <c r="B282" s="7" t="n">
        <v>46222</v>
      </c>
      <c r="C282" s="3" t="s">
        <v>7815</v>
      </c>
      <c r="D282" s="3" t="s">
        <v>6978</v>
      </c>
      <c r="E282" s="3" t="s">
        <v>7816</v>
      </c>
      <c r="F282" s="10" t="str">
        <f aca="false">HYPERLINK("https://www.inaturalist.org/people/patrickalexsander","patrickalexsander")</f>
        <v>patrickalexsander</v>
      </c>
      <c r="G282" s="9" t="s">
        <v>13</v>
      </c>
      <c r="H282" s="9" t="s">
        <v>7817</v>
      </c>
    </row>
    <row r="283" customFormat="false" ht="15.75" hidden="false" customHeight="false" outlineLevel="0" collapsed="false">
      <c r="B283" s="7" t="n">
        <v>46222</v>
      </c>
      <c r="C283" s="3" t="s">
        <v>7818</v>
      </c>
      <c r="D283" s="3" t="s">
        <v>6978</v>
      </c>
      <c r="E283" s="3" t="s">
        <v>7819</v>
      </c>
      <c r="F283" s="10" t="str">
        <f aca="false">HYPERLINK("https://www.inaturalist.org/people/patrickalexsander","patrickalexsander")</f>
        <v>patrickalexsander</v>
      </c>
      <c r="G283" s="9" t="s">
        <v>13</v>
      </c>
      <c r="H283" s="9" t="s">
        <v>7820</v>
      </c>
    </row>
    <row r="284" customFormat="false" ht="15.75" hidden="false" customHeight="false" outlineLevel="0" collapsed="false">
      <c r="B284" s="7" t="n">
        <v>46222</v>
      </c>
      <c r="C284" s="3" t="s">
        <v>7821</v>
      </c>
      <c r="D284" s="3" t="s">
        <v>6978</v>
      </c>
      <c r="E284" s="3" t="s">
        <v>7822</v>
      </c>
      <c r="F284" s="10" t="str">
        <f aca="false">HYPERLINK("https://www.inaturalist.org/people/patrickalexsander","patrickalexsander")</f>
        <v>patrickalexsander</v>
      </c>
      <c r="G284" s="9" t="s">
        <v>13</v>
      </c>
      <c r="H284" s="9" t="s">
        <v>7823</v>
      </c>
    </row>
    <row r="285" customFormat="false" ht="15.75" hidden="false" customHeight="false" outlineLevel="0" collapsed="false">
      <c r="B285" s="7" t="n">
        <v>46222</v>
      </c>
      <c r="C285" s="3" t="s">
        <v>7824</v>
      </c>
      <c r="D285" s="3" t="s">
        <v>6978</v>
      </c>
      <c r="E285" s="3" t="s">
        <v>7825</v>
      </c>
      <c r="F285" s="10" t="str">
        <f aca="false">HYPERLINK("https://www.inaturalist.org/people/sean_botha","sean_botha")</f>
        <v>sean_botha</v>
      </c>
      <c r="G285" s="9" t="s">
        <v>13</v>
      </c>
      <c r="H285" s="9" t="s">
        <v>7826</v>
      </c>
    </row>
    <row r="286" customFormat="false" ht="15.75" hidden="false" customHeight="false" outlineLevel="0" collapsed="false">
      <c r="B286" s="7" t="n">
        <v>46222</v>
      </c>
      <c r="C286" s="3" t="s">
        <v>7827</v>
      </c>
      <c r="D286" s="3" t="s">
        <v>6978</v>
      </c>
      <c r="E286" s="3" t="s">
        <v>7828</v>
      </c>
      <c r="F286" s="10" t="str">
        <f aca="false">HYPERLINK("https://www.inaturalist.org/people/sulaimaninuwa","sulaimaninuwa")</f>
        <v>sulaimaninuwa</v>
      </c>
      <c r="G286" s="9" t="s">
        <v>13</v>
      </c>
      <c r="H286" s="9" t="s">
        <v>7829</v>
      </c>
    </row>
    <row r="287" customFormat="false" ht="15.75" hidden="false" customHeight="false" outlineLevel="0" collapsed="false">
      <c r="B287" s="7" t="n">
        <v>46222</v>
      </c>
      <c r="C287" s="3" t="s">
        <v>7830</v>
      </c>
      <c r="D287" s="3" t="s">
        <v>6978</v>
      </c>
      <c r="E287" s="3" t="s">
        <v>7831</v>
      </c>
      <c r="F287" s="10" t="str">
        <f aca="false">HYPERLINK("https://www.inaturalist.org/people/carlosjuarezp","carlosjuarezp")</f>
        <v>carlosjuarezp</v>
      </c>
      <c r="G287" s="9" t="s">
        <v>13</v>
      </c>
      <c r="H287" s="9" t="s">
        <v>7832</v>
      </c>
    </row>
    <row r="288" customFormat="false" ht="15.75" hidden="false" customHeight="false" outlineLevel="0" collapsed="false">
      <c r="B288" s="7" t="n">
        <v>46222</v>
      </c>
      <c r="C288" s="3" t="s">
        <v>7833</v>
      </c>
      <c r="D288" s="3" t="s">
        <v>6978</v>
      </c>
      <c r="E288" s="3" t="s">
        <v>7834</v>
      </c>
      <c r="F288" s="10" t="str">
        <f aca="false">HYPERLINK("https://www.inaturalist.org/people/panthea_karimi","panthea_karimi")</f>
        <v>panthea_karimi</v>
      </c>
      <c r="G288" s="9" t="s">
        <v>13</v>
      </c>
      <c r="H288" s="9" t="s">
        <v>7835</v>
      </c>
    </row>
    <row r="289" customFormat="false" ht="15.75" hidden="false" customHeight="false" outlineLevel="0" collapsed="false">
      <c r="B289" s="7" t="n">
        <v>46222</v>
      </c>
      <c r="C289" s="3" t="s">
        <v>7836</v>
      </c>
      <c r="D289" s="3" t="s">
        <v>6978</v>
      </c>
      <c r="E289" s="3" t="s">
        <v>7837</v>
      </c>
      <c r="F289" s="10" t="str">
        <f aca="false">HYPERLINK("https://www.inaturalist.org/people/avanibrown","avanibrown")</f>
        <v>avanibrown</v>
      </c>
      <c r="G289" s="9" t="s">
        <v>13</v>
      </c>
      <c r="H289" s="9" t="s">
        <v>7838</v>
      </c>
    </row>
    <row r="290" customFormat="false" ht="15.75" hidden="false" customHeight="false" outlineLevel="0" collapsed="false">
      <c r="B290" s="7" t="n">
        <v>46222</v>
      </c>
      <c r="C290" s="3" t="s">
        <v>7839</v>
      </c>
      <c r="D290" s="3" t="s">
        <v>6978</v>
      </c>
      <c r="E290" s="3" t="s">
        <v>7840</v>
      </c>
      <c r="F290" s="10" t="str">
        <f aca="false">HYPERLINK("https://www.inaturalist.org/people/naladhipa","naladhipa")</f>
        <v>naladhipa</v>
      </c>
      <c r="G290" s="9" t="s">
        <v>13</v>
      </c>
      <c r="H290" s="9" t="s">
        <v>7841</v>
      </c>
    </row>
    <row r="291" customFormat="false" ht="15.75" hidden="false" customHeight="false" outlineLevel="0" collapsed="false">
      <c r="B291" s="7" t="n">
        <v>46222</v>
      </c>
      <c r="C291" s="3" t="s">
        <v>7842</v>
      </c>
      <c r="D291" s="3" t="s">
        <v>6978</v>
      </c>
      <c r="E291" s="3" t="s">
        <v>7843</v>
      </c>
      <c r="F291" s="10" t="str">
        <f aca="false">HYPERLINK("https://www.inaturalist.org/people/nigel52058","nigel52058")</f>
        <v>nigel52058</v>
      </c>
      <c r="G291" s="9" t="s">
        <v>13</v>
      </c>
      <c r="H291" s="9" t="s">
        <v>7844</v>
      </c>
    </row>
    <row r="292" customFormat="false" ht="15.75" hidden="false" customHeight="false" outlineLevel="0" collapsed="false">
      <c r="B292" s="7" t="n">
        <v>46222</v>
      </c>
      <c r="C292" s="3" t="s">
        <v>7845</v>
      </c>
      <c r="D292" s="3" t="s">
        <v>6978</v>
      </c>
      <c r="E292" s="3" t="s">
        <v>7846</v>
      </c>
      <c r="F292" s="10" t="str">
        <f aca="false">HYPERLINK("https://www.inaturalist.org/people/robert_clive","robert_clive")</f>
        <v>robert_clive</v>
      </c>
      <c r="G292" s="9" t="s">
        <v>13</v>
      </c>
      <c r="H292" s="9" t="s">
        <v>7847</v>
      </c>
    </row>
    <row r="293" customFormat="false" ht="15.75" hidden="false" customHeight="false" outlineLevel="0" collapsed="false">
      <c r="B293" s="7" t="n">
        <v>46222</v>
      </c>
      <c r="C293" s="3" t="s">
        <v>7848</v>
      </c>
      <c r="D293" s="3" t="s">
        <v>6978</v>
      </c>
      <c r="E293" s="3" t="s">
        <v>7849</v>
      </c>
      <c r="F293" s="10" t="str">
        <f aca="false">HYPERLINK("https://www.inaturalist.org/people/kyan43","kyan43")</f>
        <v>kyan43</v>
      </c>
      <c r="G293" s="9" t="s">
        <v>13</v>
      </c>
      <c r="H293" s="9" t="s">
        <v>7850</v>
      </c>
    </row>
    <row r="294" customFormat="false" ht="15.75" hidden="false" customHeight="false" outlineLevel="0" collapsed="false">
      <c r="B294" s="7" t="n">
        <v>46222</v>
      </c>
      <c r="C294" s="3" t="s">
        <v>7851</v>
      </c>
      <c r="D294" s="3" t="s">
        <v>6978</v>
      </c>
      <c r="E294" s="3" t="s">
        <v>7852</v>
      </c>
      <c r="F294" s="10" t="str">
        <f aca="false">HYPERLINK("https://www.inaturalist.org/people/walkm","walkm")</f>
        <v>walkm</v>
      </c>
      <c r="G294" s="9" t="s">
        <v>13</v>
      </c>
      <c r="H294" s="9" t="s">
        <v>7853</v>
      </c>
    </row>
    <row r="295" customFormat="false" ht="15.75" hidden="false" customHeight="false" outlineLevel="0" collapsed="false">
      <c r="B295" s="7" t="n">
        <v>46222</v>
      </c>
      <c r="C295" s="3" t="s">
        <v>7854</v>
      </c>
      <c r="D295" s="3" t="s">
        <v>6978</v>
      </c>
      <c r="E295" s="3" t="s">
        <v>7855</v>
      </c>
      <c r="F295" s="10" t="str">
        <f aca="false">HYPERLINK("https://www.inaturalist.org/people/neil-de","neil-de")</f>
        <v>neil-de</v>
      </c>
      <c r="G295" s="9" t="s">
        <v>13</v>
      </c>
      <c r="H295" s="9" t="s">
        <v>7856</v>
      </c>
    </row>
    <row r="296" customFormat="false" ht="15.75" hidden="false" customHeight="false" outlineLevel="0" collapsed="false">
      <c r="B296" s="7" t="n">
        <v>46222</v>
      </c>
      <c r="C296" s="3" t="s">
        <v>7857</v>
      </c>
      <c r="D296" s="3" t="s">
        <v>6978</v>
      </c>
      <c r="E296" s="3" t="s">
        <v>7858</v>
      </c>
      <c r="F296" s="10" t="str">
        <f aca="false">HYPERLINK("https://www.inaturalist.org/people/vraybaud","vraybaud")</f>
        <v>vraybaud</v>
      </c>
      <c r="G296" s="9" t="s">
        <v>13</v>
      </c>
      <c r="H296" s="9" t="s">
        <v>7859</v>
      </c>
    </row>
    <row r="297" customFormat="false" ht="15.75" hidden="false" customHeight="false" outlineLevel="0" collapsed="false">
      <c r="B297" s="7" t="n">
        <v>46222</v>
      </c>
      <c r="C297" s="3" t="s">
        <v>7860</v>
      </c>
      <c r="D297" s="3" t="s">
        <v>6978</v>
      </c>
      <c r="E297" s="3" t="s">
        <v>7861</v>
      </c>
      <c r="F297" s="10" t="str">
        <f aca="false">HYPERLINK("https://www.inaturalist.org/people/donnamareetomkinson","donnamareetomkinson")</f>
        <v>donnamareetomkinson</v>
      </c>
      <c r="G297" s="9" t="s">
        <v>13</v>
      </c>
      <c r="H297" s="9" t="s">
        <v>7862</v>
      </c>
    </row>
    <row r="298" customFormat="false" ht="15.75" hidden="false" customHeight="false" outlineLevel="0" collapsed="false">
      <c r="B298" s="7" t="n">
        <v>46222</v>
      </c>
      <c r="C298" s="3" t="s">
        <v>7863</v>
      </c>
      <c r="D298" s="3" t="s">
        <v>6978</v>
      </c>
      <c r="E298" s="3" t="s">
        <v>7864</v>
      </c>
      <c r="F298" s="10" t="str">
        <f aca="false">HYPERLINK("https://www.inaturalist.org/people/krengeseth","krengeseth")</f>
        <v>krengeseth</v>
      </c>
      <c r="G298" s="9" t="s">
        <v>13</v>
      </c>
      <c r="H298" s="9" t="s">
        <v>7865</v>
      </c>
    </row>
    <row r="299" customFormat="false" ht="15.75" hidden="false" customHeight="false" outlineLevel="0" collapsed="false">
      <c r="B299" s="7" t="n">
        <v>46222</v>
      </c>
      <c r="C299" s="3" t="s">
        <v>7866</v>
      </c>
      <c r="D299" s="3" t="s">
        <v>6978</v>
      </c>
      <c r="E299" s="3" t="s">
        <v>7867</v>
      </c>
      <c r="F299" s="10" t="str">
        <f aca="false">HYPERLINK("https://www.inaturalist.org/people/bernhardtsfpw","bernhardtsfpw")</f>
        <v>bernhardtsfpw</v>
      </c>
      <c r="G299" s="9" t="s">
        <v>13</v>
      </c>
      <c r="H299" s="9" t="s">
        <v>7868</v>
      </c>
    </row>
    <row r="300" customFormat="false" ht="15.75" hidden="false" customHeight="false" outlineLevel="0" collapsed="false">
      <c r="B300" s="7" t="n">
        <v>46222</v>
      </c>
      <c r="C300" s="3" t="s">
        <v>7869</v>
      </c>
      <c r="D300" s="3" t="s">
        <v>6978</v>
      </c>
      <c r="E300" s="3" t="s">
        <v>7870</v>
      </c>
      <c r="F300" s="10" t="str">
        <f aca="false">HYPERLINK("https://www.inaturalist.org/people/maarten_vdc","maarten_vdc")</f>
        <v>maarten_vdc</v>
      </c>
      <c r="G300" s="9" t="s">
        <v>13</v>
      </c>
      <c r="H300" s="9" t="s">
        <v>7871</v>
      </c>
    </row>
    <row r="301" customFormat="false" ht="15.75" hidden="false" customHeight="false" outlineLevel="0" collapsed="false">
      <c r="B301" s="7" t="n">
        <v>46222</v>
      </c>
      <c r="C301" s="3" t="s">
        <v>7872</v>
      </c>
      <c r="D301" s="3" t="s">
        <v>6978</v>
      </c>
      <c r="E301" s="3" t="s">
        <v>7873</v>
      </c>
      <c r="F301" s="10" t="str">
        <f aca="false">HYPERLINK("https://www.inaturalist.org/people/angem78","angem78")</f>
        <v>angem78</v>
      </c>
      <c r="G301" s="9" t="s">
        <v>13</v>
      </c>
      <c r="H301" s="9" t="s">
        <v>7874</v>
      </c>
    </row>
    <row r="302" customFormat="false" ht="15.75" hidden="false" customHeight="false" outlineLevel="0" collapsed="false">
      <c r="B302" s="7" t="n">
        <v>46222</v>
      </c>
      <c r="C302" s="3" t="s">
        <v>7875</v>
      </c>
      <c r="D302" s="3" t="s">
        <v>6978</v>
      </c>
      <c r="E302" s="3" t="s">
        <v>7876</v>
      </c>
      <c r="F302" s="10" t="str">
        <f aca="false">HYPERLINK("https://www.inaturalist.org/people/tityus_is_cool","tityus_is_cool")</f>
        <v>tityus_is_cool</v>
      </c>
      <c r="G302" s="9" t="s">
        <v>13</v>
      </c>
      <c r="H302" s="9" t="s">
        <v>7877</v>
      </c>
    </row>
    <row r="303" customFormat="false" ht="15.75" hidden="false" customHeight="false" outlineLevel="0" collapsed="false">
      <c r="B303" s="7" t="n">
        <v>46222</v>
      </c>
      <c r="C303" s="3" t="s">
        <v>7878</v>
      </c>
      <c r="D303" s="3" t="s">
        <v>7879</v>
      </c>
      <c r="E303" s="3" t="s">
        <v>7880</v>
      </c>
      <c r="F303" s="10" t="str">
        <f aca="false">HYPERLINK("https://www.inaturalist.org/people/mauricexo","mauricexo")</f>
        <v>mauricexo</v>
      </c>
      <c r="G303" s="9" t="s">
        <v>13</v>
      </c>
      <c r="H303" s="9" t="s">
        <v>7881</v>
      </c>
    </row>
    <row r="304" customFormat="false" ht="15.75" hidden="false" customHeight="false" outlineLevel="0" collapsed="false">
      <c r="B304" s="7" t="n">
        <v>46222</v>
      </c>
      <c r="C304" s="3" t="s">
        <v>7882</v>
      </c>
      <c r="D304" s="3" t="s">
        <v>7879</v>
      </c>
      <c r="E304" s="3" t="s">
        <v>7883</v>
      </c>
      <c r="F304" s="10" t="str">
        <f aca="false">HYPERLINK("https://www.inaturalist.org/people/mollydonaruma22","mollydonaruma22")</f>
        <v>mollydonaruma22</v>
      </c>
      <c r="G304" s="9" t="s">
        <v>13</v>
      </c>
      <c r="H304" s="9" t="s">
        <v>7884</v>
      </c>
    </row>
    <row r="305" customFormat="false" ht="15.75" hidden="false" customHeight="false" outlineLevel="0" collapsed="false">
      <c r="B305" s="7" t="n">
        <v>46222</v>
      </c>
      <c r="C305" s="3" t="s">
        <v>7885</v>
      </c>
      <c r="D305" s="3" t="s">
        <v>7879</v>
      </c>
      <c r="E305" s="3" t="s">
        <v>7886</v>
      </c>
      <c r="F305" s="10" t="str">
        <f aca="false">HYPERLINK("https://www.inaturalist.org/people/aftonhelen","aftonhelen")</f>
        <v>aftonhelen</v>
      </c>
      <c r="G305" s="9" t="s">
        <v>13</v>
      </c>
      <c r="H305" s="9" t="s">
        <v>7887</v>
      </c>
    </row>
    <row r="306" customFormat="false" ht="15.75" hidden="false" customHeight="false" outlineLevel="0" collapsed="false">
      <c r="B306" s="7" t="n">
        <v>46222</v>
      </c>
      <c r="C306" s="3" t="s">
        <v>7888</v>
      </c>
      <c r="D306" s="3" t="s">
        <v>7879</v>
      </c>
      <c r="E306" s="3" t="s">
        <v>7889</v>
      </c>
      <c r="F306" s="10" t="str">
        <f aca="false">HYPERLINK("https://www.inaturalist.org/people/munko161","munko161")</f>
        <v>munko161</v>
      </c>
      <c r="G306" s="9" t="s">
        <v>13</v>
      </c>
      <c r="H306" s="9" t="s">
        <v>7890</v>
      </c>
    </row>
    <row r="307" customFormat="false" ht="15.75" hidden="false" customHeight="false" outlineLevel="0" collapsed="false">
      <c r="B307" s="7" t="n">
        <v>46222</v>
      </c>
      <c r="C307" s="3" t="s">
        <v>7891</v>
      </c>
      <c r="D307" s="3" t="s">
        <v>7879</v>
      </c>
      <c r="E307" s="3" t="s">
        <v>7892</v>
      </c>
      <c r="F307" s="10" t="str">
        <f aca="false">HYPERLINK("https://www.inaturalist.org/people/kmorga39","kmorga39")</f>
        <v>kmorga39</v>
      </c>
      <c r="G307" s="9" t="s">
        <v>13</v>
      </c>
      <c r="H307" s="9" t="s">
        <v>7893</v>
      </c>
    </row>
    <row r="308" customFormat="false" ht="15.75" hidden="false" customHeight="false" outlineLevel="0" collapsed="false">
      <c r="B308" s="7" t="n">
        <v>46222</v>
      </c>
      <c r="C308" s="3" t="s">
        <v>7894</v>
      </c>
      <c r="D308" s="3" t="s">
        <v>7879</v>
      </c>
      <c r="E308" s="3" t="s">
        <v>7895</v>
      </c>
      <c r="F308" s="10" t="str">
        <f aca="false">HYPERLINK("https://www.inaturalist.org/people/alidrin","alidrin")</f>
        <v>alidrin</v>
      </c>
      <c r="G308" s="9" t="s">
        <v>13</v>
      </c>
      <c r="H308" s="9" t="s">
        <v>7896</v>
      </c>
    </row>
    <row r="309" customFormat="false" ht="15.75" hidden="false" customHeight="false" outlineLevel="0" collapsed="false">
      <c r="B309" s="7" t="n">
        <v>46222</v>
      </c>
      <c r="C309" s="3" t="s">
        <v>7897</v>
      </c>
      <c r="D309" s="3" t="s">
        <v>7879</v>
      </c>
      <c r="E309" s="3" t="s">
        <v>7898</v>
      </c>
      <c r="F309" s="10" t="str">
        <f aca="false">HYPERLINK("https://www.inaturalist.org/people/strelok762","strelok762")</f>
        <v>strelok762</v>
      </c>
      <c r="G309" s="9" t="s">
        <v>13</v>
      </c>
      <c r="H309" s="9" t="s">
        <v>7899</v>
      </c>
    </row>
    <row r="310" customFormat="false" ht="15.75" hidden="false" customHeight="false" outlineLevel="0" collapsed="false">
      <c r="B310" s="7" t="n">
        <v>46222</v>
      </c>
      <c r="C310" s="3" t="s">
        <v>7900</v>
      </c>
      <c r="D310" s="3" t="s">
        <v>7879</v>
      </c>
      <c r="E310" s="3" t="s">
        <v>7901</v>
      </c>
      <c r="F310" s="10" t="str">
        <f aca="false">HYPERLINK("https://www.inaturalist.org/people/inkadillo","inkadillo")</f>
        <v>inkadillo</v>
      </c>
      <c r="G310" s="9" t="s">
        <v>13</v>
      </c>
      <c r="H310" s="9" t="s">
        <v>7902</v>
      </c>
    </row>
    <row r="311" customFormat="false" ht="15.75" hidden="false" customHeight="false" outlineLevel="0" collapsed="false">
      <c r="B311" s="7" t="n">
        <v>46222</v>
      </c>
      <c r="C311" s="3" t="s">
        <v>7903</v>
      </c>
      <c r="D311" s="3" t="s">
        <v>7879</v>
      </c>
      <c r="E311" s="3" t="s">
        <v>7904</v>
      </c>
      <c r="F311" s="10" t="str">
        <f aca="false">HYPERLINK("https://www.inaturalist.org/people/tomascd66","tomascd66")</f>
        <v>tomascd66</v>
      </c>
      <c r="G311" s="9" t="s">
        <v>13</v>
      </c>
      <c r="H311" s="9" t="s">
        <v>7905</v>
      </c>
    </row>
    <row r="312" customFormat="false" ht="15.75" hidden="false" customHeight="false" outlineLevel="0" collapsed="false">
      <c r="B312" s="7" t="n">
        <v>46222</v>
      </c>
      <c r="C312" s="3" t="s">
        <v>7906</v>
      </c>
      <c r="D312" s="3" t="s">
        <v>7879</v>
      </c>
      <c r="E312" s="3" t="s">
        <v>7907</v>
      </c>
      <c r="F312" s="10" t="str">
        <f aca="false">HYPERLINK("https://www.inaturalist.org/people/david_broek","david_broek")</f>
        <v>david_broek</v>
      </c>
      <c r="G312" s="9" t="s">
        <v>13</v>
      </c>
      <c r="H312" s="9" t="s">
        <v>7908</v>
      </c>
    </row>
    <row r="313" customFormat="false" ht="15.75" hidden="false" customHeight="false" outlineLevel="0" collapsed="false">
      <c r="B313" s="7" t="n">
        <v>46222</v>
      </c>
      <c r="C313" s="3" t="s">
        <v>7909</v>
      </c>
      <c r="D313" s="3" t="s">
        <v>7879</v>
      </c>
      <c r="E313" s="3" t="s">
        <v>7910</v>
      </c>
      <c r="F313" s="10" t="str">
        <f aca="false">HYPERLINK("https://www.inaturalist.org/people/david_broek","david_broek")</f>
        <v>david_broek</v>
      </c>
      <c r="G313" s="9" t="s">
        <v>13</v>
      </c>
      <c r="H313" s="9" t="s">
        <v>7911</v>
      </c>
    </row>
    <row r="314" customFormat="false" ht="15.75" hidden="false" customHeight="false" outlineLevel="0" collapsed="false">
      <c r="B314" s="7" t="n">
        <v>46222</v>
      </c>
      <c r="C314" s="3" t="s">
        <v>7912</v>
      </c>
      <c r="D314" s="3" t="s">
        <v>7879</v>
      </c>
      <c r="E314" s="3" t="s">
        <v>7913</v>
      </c>
      <c r="F314" s="10" t="str">
        <f aca="false">HYPERLINK("https://www.inaturalist.org/people/david_broek","david_broek")</f>
        <v>david_broek</v>
      </c>
      <c r="G314" s="9" t="s">
        <v>13</v>
      </c>
      <c r="H314" s="9" t="s">
        <v>7914</v>
      </c>
    </row>
    <row r="315" customFormat="false" ht="15.75" hidden="false" customHeight="false" outlineLevel="0" collapsed="false">
      <c r="B315" s="7" t="n">
        <v>46222</v>
      </c>
      <c r="C315" s="3" t="s">
        <v>7915</v>
      </c>
      <c r="D315" s="3" t="s">
        <v>7879</v>
      </c>
      <c r="E315" s="3" t="s">
        <v>7916</v>
      </c>
      <c r="F315" s="10" t="str">
        <f aca="false">HYPERLINK("https://www.inaturalist.org/people/david_broek","david_broek")</f>
        <v>david_broek</v>
      </c>
      <c r="G315" s="9" t="s">
        <v>13</v>
      </c>
      <c r="H315" s="9" t="s">
        <v>7917</v>
      </c>
    </row>
    <row r="316" customFormat="false" ht="15.75" hidden="false" customHeight="false" outlineLevel="0" collapsed="false">
      <c r="B316" s="7" t="n">
        <v>46222</v>
      </c>
      <c r="C316" s="3" t="s">
        <v>7918</v>
      </c>
      <c r="D316" s="3" t="s">
        <v>7879</v>
      </c>
      <c r="E316" s="3" t="s">
        <v>7919</v>
      </c>
      <c r="F316" s="10" t="str">
        <f aca="false">HYPERLINK("https://www.inaturalist.org/people/andresbloop","andresbloop")</f>
        <v>andresbloop</v>
      </c>
      <c r="G316" s="9" t="s">
        <v>13</v>
      </c>
      <c r="H316" s="9" t="s">
        <v>7920</v>
      </c>
    </row>
    <row r="317" customFormat="false" ht="15.75" hidden="false" customHeight="false" outlineLevel="0" collapsed="false">
      <c r="B317" s="7" t="n">
        <v>46222</v>
      </c>
      <c r="C317" s="3" t="s">
        <v>7921</v>
      </c>
      <c r="D317" s="3" t="s">
        <v>7879</v>
      </c>
      <c r="E317" s="3" t="s">
        <v>7922</v>
      </c>
      <c r="F317" s="10" t="str">
        <f aca="false">HYPERLINK("https://www.inaturalist.org/people/chenzc","chenzc")</f>
        <v>chenzc</v>
      </c>
      <c r="G317" s="9" t="s">
        <v>13</v>
      </c>
      <c r="H317" s="9" t="s">
        <v>7923</v>
      </c>
    </row>
    <row r="318" customFormat="false" ht="15.75" hidden="false" customHeight="false" outlineLevel="0" collapsed="false">
      <c r="B318" s="7" t="n">
        <v>46222</v>
      </c>
      <c r="C318" s="3" t="s">
        <v>7924</v>
      </c>
      <c r="D318" s="3" t="s">
        <v>7879</v>
      </c>
      <c r="E318" s="3" t="s">
        <v>7925</v>
      </c>
      <c r="F318" s="10" t="str">
        <f aca="false">HYPERLINK("https://www.inaturalist.org/people/astrolotl","astrolotl")</f>
        <v>astrolotl</v>
      </c>
      <c r="G318" s="9" t="s">
        <v>13</v>
      </c>
      <c r="H318" s="9" t="s">
        <v>7926</v>
      </c>
    </row>
    <row r="319" customFormat="false" ht="15.75" hidden="false" customHeight="false" outlineLevel="0" collapsed="false">
      <c r="B319" s="7" t="n">
        <v>46222</v>
      </c>
      <c r="C319" s="3" t="s">
        <v>7927</v>
      </c>
      <c r="D319" s="3" t="s">
        <v>7879</v>
      </c>
      <c r="E319" s="3" t="s">
        <v>7928</v>
      </c>
      <c r="F319" s="10" t="str">
        <f aca="false">HYPERLINK("https://www.inaturalist.org/people/neontetraploid","neontetraploid")</f>
        <v>neontetraploid</v>
      </c>
      <c r="G319" s="9" t="s">
        <v>13</v>
      </c>
      <c r="H319" s="9" t="s">
        <v>7929</v>
      </c>
    </row>
    <row r="320" customFormat="false" ht="15.75" hidden="false" customHeight="false" outlineLevel="0" collapsed="false">
      <c r="B320" s="7" t="n">
        <v>46222</v>
      </c>
      <c r="C320" s="3" t="s">
        <v>7930</v>
      </c>
      <c r="D320" s="3" t="s">
        <v>7879</v>
      </c>
      <c r="E320" s="3" t="s">
        <v>7931</v>
      </c>
      <c r="F320" s="10" t="str">
        <f aca="false">HYPERLINK("https://www.inaturalist.org/people/victor20856","victor20856")</f>
        <v>victor20856</v>
      </c>
      <c r="G320" s="9" t="s">
        <v>13</v>
      </c>
      <c r="H320" s="9" t="s">
        <v>7932</v>
      </c>
    </row>
    <row r="321" customFormat="false" ht="15.75" hidden="false" customHeight="false" outlineLevel="0" collapsed="false">
      <c r="B321" s="7" t="n">
        <v>46222</v>
      </c>
      <c r="C321" s="3" t="s">
        <v>7933</v>
      </c>
      <c r="D321" s="3" t="s">
        <v>7879</v>
      </c>
      <c r="E321" s="3" t="s">
        <v>7934</v>
      </c>
      <c r="F321" s="10" t="str">
        <f aca="false">HYPERLINK("https://www.inaturalist.org/people/syrherp","syrherp")</f>
        <v>syrherp</v>
      </c>
      <c r="G321" s="9" t="s">
        <v>13</v>
      </c>
      <c r="H321" s="9" t="s">
        <v>7935</v>
      </c>
    </row>
    <row r="322" customFormat="false" ht="15.75" hidden="false" customHeight="false" outlineLevel="0" collapsed="false">
      <c r="B322" s="7" t="n">
        <v>46222</v>
      </c>
      <c r="C322" s="3" t="s">
        <v>7936</v>
      </c>
      <c r="D322" s="3" t="s">
        <v>7879</v>
      </c>
      <c r="E322" s="3" t="s">
        <v>7937</v>
      </c>
      <c r="F322" s="10" t="str">
        <f aca="false">HYPERLINK("https://www.inaturalist.org/people/saturniidreams","saturniidreams")</f>
        <v>saturniidreams</v>
      </c>
      <c r="G322" s="9" t="s">
        <v>13</v>
      </c>
      <c r="H322" s="9" t="s">
        <v>7938</v>
      </c>
    </row>
    <row r="323" customFormat="false" ht="15.75" hidden="false" customHeight="false" outlineLevel="0" collapsed="false">
      <c r="B323" s="7" t="n">
        <v>46222</v>
      </c>
      <c r="C323" s="3" t="s">
        <v>7939</v>
      </c>
      <c r="D323" s="3" t="s">
        <v>7879</v>
      </c>
      <c r="E323" s="3" t="s">
        <v>7940</v>
      </c>
      <c r="F323" s="10" t="str">
        <f aca="false">HYPERLINK("https://www.inaturalist.org/people/wuhans_","wuhans_")</f>
        <v>wuhans_</v>
      </c>
      <c r="G323" s="9" t="s">
        <v>13</v>
      </c>
      <c r="H323" s="9" t="s">
        <v>7941</v>
      </c>
    </row>
    <row r="324" customFormat="false" ht="15.75" hidden="false" customHeight="false" outlineLevel="0" collapsed="false">
      <c r="B324" s="7" t="n">
        <v>46222</v>
      </c>
      <c r="C324" s="3" t="s">
        <v>7942</v>
      </c>
      <c r="D324" s="3" t="s">
        <v>7879</v>
      </c>
      <c r="E324" s="3" t="s">
        <v>7943</v>
      </c>
      <c r="F324" s="10" t="str">
        <f aca="false">HYPERLINK("https://www.inaturalist.org/people/alhyder","alhyder")</f>
        <v>alhyder</v>
      </c>
      <c r="G324" s="9" t="s">
        <v>13</v>
      </c>
      <c r="H324" s="9" t="s">
        <v>7944</v>
      </c>
    </row>
    <row r="325" customFormat="false" ht="15.75" hidden="false" customHeight="false" outlineLevel="0" collapsed="false">
      <c r="B325" s="7" t="n">
        <v>46222</v>
      </c>
      <c r="C325" s="3" t="s">
        <v>7945</v>
      </c>
      <c r="D325" s="3" t="s">
        <v>7879</v>
      </c>
      <c r="E325" s="3" t="s">
        <v>7946</v>
      </c>
      <c r="F325" s="10" t="str">
        <f aca="false">HYPERLINK("https://www.inaturalist.org/people/casca1","casca1")</f>
        <v>casca1</v>
      </c>
      <c r="G325" s="9" t="s">
        <v>13</v>
      </c>
      <c r="H325" s="9" t="s">
        <v>7947</v>
      </c>
    </row>
    <row r="326" customFormat="false" ht="15.75" hidden="false" customHeight="false" outlineLevel="0" collapsed="false">
      <c r="B326" s="7" t="n">
        <v>46222</v>
      </c>
      <c r="C326" s="3" t="s">
        <v>7948</v>
      </c>
      <c r="D326" s="3" t="s">
        <v>7879</v>
      </c>
      <c r="E326" s="3" t="s">
        <v>7949</v>
      </c>
      <c r="F326" s="10" t="str">
        <f aca="false">HYPERLINK("https://www.inaturalist.org/people/sarcasticsnail","sarcasticsnail")</f>
        <v>sarcasticsnail</v>
      </c>
      <c r="G326" s="9" t="s">
        <v>13</v>
      </c>
      <c r="H326" s="9" t="s">
        <v>7950</v>
      </c>
    </row>
    <row r="327" customFormat="false" ht="15.75" hidden="false" customHeight="false" outlineLevel="0" collapsed="false">
      <c r="B327" s="7" t="n">
        <v>46222</v>
      </c>
      <c r="C327" s="3" t="s">
        <v>7951</v>
      </c>
      <c r="D327" s="3" t="s">
        <v>7879</v>
      </c>
      <c r="E327" s="3" t="s">
        <v>7952</v>
      </c>
      <c r="F327" s="10" t="str">
        <f aca="false">HYPERLINK("https://www.inaturalist.org/people/chriswg","chriswg")</f>
        <v>chriswg</v>
      </c>
      <c r="G327" s="9" t="s">
        <v>13</v>
      </c>
      <c r="H327" s="9" t="s">
        <v>7953</v>
      </c>
    </row>
    <row r="328" customFormat="false" ht="15.75" hidden="false" customHeight="false" outlineLevel="0" collapsed="false">
      <c r="B328" s="7" t="n">
        <v>46222</v>
      </c>
      <c r="C328" s="3" t="s">
        <v>7954</v>
      </c>
      <c r="D328" s="3" t="s">
        <v>7879</v>
      </c>
      <c r="E328" s="3" t="s">
        <v>7955</v>
      </c>
      <c r="F328" s="10" t="str">
        <f aca="false">HYPERLINK("https://www.inaturalist.org/people/sevylee","sevylee")</f>
        <v>sevylee</v>
      </c>
      <c r="G328" s="9" t="s">
        <v>13</v>
      </c>
      <c r="H328" s="9" t="s">
        <v>7956</v>
      </c>
    </row>
    <row r="329" customFormat="false" ht="15.75" hidden="false" customHeight="false" outlineLevel="0" collapsed="false">
      <c r="B329" s="7" t="n">
        <v>46222</v>
      </c>
      <c r="C329" s="3" t="s">
        <v>7957</v>
      </c>
      <c r="D329" s="3" t="s">
        <v>7879</v>
      </c>
      <c r="E329" s="3" t="s">
        <v>7958</v>
      </c>
      <c r="F329" s="10" t="str">
        <f aca="false">HYPERLINK("https://www.inaturalist.org/people/sevylee","sevylee")</f>
        <v>sevylee</v>
      </c>
      <c r="G329" s="9" t="s">
        <v>13</v>
      </c>
      <c r="H329" s="9" t="s">
        <v>7959</v>
      </c>
    </row>
    <row r="330" customFormat="false" ht="15.75" hidden="false" customHeight="false" outlineLevel="0" collapsed="false">
      <c r="B330" s="7" t="n">
        <v>46222</v>
      </c>
      <c r="C330" s="3" t="s">
        <v>7960</v>
      </c>
      <c r="D330" s="3" t="s">
        <v>7879</v>
      </c>
      <c r="E330" s="3" t="s">
        <v>7961</v>
      </c>
      <c r="F330" s="10" t="str">
        <f aca="false">HYPERLINK("https://www.inaturalist.org/people/maedyi","maedyi")</f>
        <v>maedyi</v>
      </c>
      <c r="G330" s="9" t="s">
        <v>13</v>
      </c>
      <c r="H330" s="9" t="s">
        <v>7962</v>
      </c>
    </row>
    <row r="331" customFormat="false" ht="15.75" hidden="false" customHeight="false" outlineLevel="0" collapsed="false">
      <c r="B331" s="7" t="n">
        <v>46222</v>
      </c>
      <c r="C331" s="3" t="s">
        <v>7963</v>
      </c>
      <c r="D331" s="3" t="s">
        <v>7879</v>
      </c>
      <c r="E331" s="3" t="s">
        <v>7964</v>
      </c>
      <c r="F331" s="10" t="str">
        <f aca="false">HYPERLINK("https://www.inaturalist.org/people/mdyer118","mdyer118")</f>
        <v>mdyer118</v>
      </c>
      <c r="G331" s="9" t="s">
        <v>13</v>
      </c>
      <c r="H331" s="9" t="s">
        <v>7965</v>
      </c>
    </row>
    <row r="332" customFormat="false" ht="15.75" hidden="false" customHeight="false" outlineLevel="0" collapsed="false">
      <c r="B332" s="7" t="n">
        <v>46222</v>
      </c>
      <c r="C332" s="3" t="s">
        <v>7966</v>
      </c>
      <c r="D332" s="3" t="s">
        <v>7879</v>
      </c>
      <c r="E332" s="3" t="s">
        <v>7967</v>
      </c>
      <c r="F332" s="10" t="str">
        <f aca="false">HYPERLINK("https://www.inaturalist.org/people/arina13598","arina13598")</f>
        <v>arina13598</v>
      </c>
      <c r="G332" s="9" t="s">
        <v>13</v>
      </c>
      <c r="H332" s="9" t="s">
        <v>7968</v>
      </c>
    </row>
    <row r="333" customFormat="false" ht="15.75" hidden="false" customHeight="false" outlineLevel="0" collapsed="false">
      <c r="B333" s="7" t="n">
        <v>46222</v>
      </c>
      <c r="C333" s="3" t="s">
        <v>7969</v>
      </c>
      <c r="D333" s="3" t="s">
        <v>7879</v>
      </c>
      <c r="E333" s="3" t="s">
        <v>7970</v>
      </c>
      <c r="F333" s="10" t="str">
        <f aca="false">HYPERLINK("https://www.inaturalist.org/people/ozarkpoppy","ozarkpoppy")</f>
        <v>ozarkpoppy</v>
      </c>
      <c r="G333" s="9" t="s">
        <v>13</v>
      </c>
      <c r="H333" s="9" t="s">
        <v>7971</v>
      </c>
    </row>
    <row r="334" customFormat="false" ht="15.75" hidden="false" customHeight="false" outlineLevel="0" collapsed="false">
      <c r="B334" s="7" t="n">
        <v>46222</v>
      </c>
      <c r="C334" s="3" t="s">
        <v>7972</v>
      </c>
      <c r="D334" s="3" t="s">
        <v>7879</v>
      </c>
      <c r="E334" s="3" t="s">
        <v>7973</v>
      </c>
      <c r="F334" s="10" t="str">
        <f aca="false">HYPERLINK("https://www.inaturalist.org/people/zoosparkle","zoosparkle")</f>
        <v>zoosparkle</v>
      </c>
      <c r="G334" s="9" t="s">
        <v>13</v>
      </c>
      <c r="H334" s="9" t="s">
        <v>7974</v>
      </c>
    </row>
    <row r="335" customFormat="false" ht="15.75" hidden="false" customHeight="false" outlineLevel="0" collapsed="false">
      <c r="B335" s="7" t="n">
        <v>46222</v>
      </c>
      <c r="C335" s="3" t="s">
        <v>7975</v>
      </c>
      <c r="D335" s="3" t="s">
        <v>7879</v>
      </c>
      <c r="E335" s="3" t="s">
        <v>7976</v>
      </c>
      <c r="F335" s="10" t="str">
        <f aca="false">HYPERLINK("https://www.inaturalist.org/people/wildcatdogs","wildcatdogs")</f>
        <v>wildcatdogs</v>
      </c>
      <c r="G335" s="9" t="s">
        <v>13</v>
      </c>
      <c r="H335" s="9" t="s">
        <v>7977</v>
      </c>
    </row>
    <row r="336" customFormat="false" ht="15.75" hidden="false" customHeight="false" outlineLevel="0" collapsed="false">
      <c r="B336" s="7" t="n">
        <v>46222</v>
      </c>
      <c r="C336" s="3" t="s">
        <v>7978</v>
      </c>
      <c r="D336" s="3" t="s">
        <v>7879</v>
      </c>
      <c r="E336" s="3" t="s">
        <v>7979</v>
      </c>
      <c r="F336" s="10" t="str">
        <f aca="false">HYPERLINK("https://www.inaturalist.org/people/pierre-alexandre_gagnaire","pierre-alexandre_gagnaire")</f>
        <v>pierre-alexandre_gagnaire</v>
      </c>
      <c r="G336" s="9" t="s">
        <v>13</v>
      </c>
      <c r="H336" s="9" t="s">
        <v>7980</v>
      </c>
    </row>
    <row r="337" customFormat="false" ht="15.75" hidden="false" customHeight="false" outlineLevel="0" collapsed="false">
      <c r="B337" s="7" t="n">
        <v>46222</v>
      </c>
      <c r="C337" s="3" t="s">
        <v>7981</v>
      </c>
      <c r="D337" s="3" t="s">
        <v>7879</v>
      </c>
      <c r="E337" s="3" t="s">
        <v>7982</v>
      </c>
      <c r="F337" s="10" t="str">
        <f aca="false">HYPERLINK("https://www.inaturalist.org/people/laurenerno","laurenerno")</f>
        <v>laurenerno</v>
      </c>
      <c r="G337" s="9" t="s">
        <v>13</v>
      </c>
      <c r="H337" s="9" t="s">
        <v>7983</v>
      </c>
    </row>
    <row r="338" customFormat="false" ht="15.75" hidden="false" customHeight="false" outlineLevel="0" collapsed="false">
      <c r="B338" s="7" t="n">
        <v>46222</v>
      </c>
      <c r="C338" s="3" t="s">
        <v>7984</v>
      </c>
      <c r="D338" s="3" t="s">
        <v>7879</v>
      </c>
      <c r="E338" s="3" t="s">
        <v>7985</v>
      </c>
      <c r="F338" s="10" t="str">
        <f aca="false">HYPERLINK("https://www.inaturalist.org/people/pro-frog","pro-frog")</f>
        <v>pro-frog</v>
      </c>
      <c r="G338" s="9" t="s">
        <v>13</v>
      </c>
      <c r="H338" s="9" t="s">
        <v>7986</v>
      </c>
    </row>
    <row r="339" customFormat="false" ht="15.75" hidden="false" customHeight="false" outlineLevel="0" collapsed="false">
      <c r="B339" s="7" t="n">
        <v>46222</v>
      </c>
      <c r="C339" s="3" t="s">
        <v>7987</v>
      </c>
      <c r="D339" s="3" t="s">
        <v>7879</v>
      </c>
      <c r="E339" s="3" t="s">
        <v>7988</v>
      </c>
      <c r="F339" s="10" t="str">
        <f aca="false">HYPERLINK("https://www.inaturalist.org/people/emily36040","emily36040")</f>
        <v>emily36040</v>
      </c>
      <c r="G339" s="9" t="s">
        <v>13</v>
      </c>
      <c r="H339" s="9" t="s">
        <v>7989</v>
      </c>
    </row>
    <row r="340" customFormat="false" ht="15.75" hidden="false" customHeight="false" outlineLevel="0" collapsed="false">
      <c r="B340" s="7" t="n">
        <v>46222</v>
      </c>
      <c r="C340" s="3" t="s">
        <v>7990</v>
      </c>
      <c r="D340" s="3" t="s">
        <v>7879</v>
      </c>
      <c r="E340" s="3" t="s">
        <v>7991</v>
      </c>
      <c r="F340" s="10" t="str">
        <f aca="false">HYPERLINK("https://www.inaturalist.org/people/owennatfreak","owennatfreak")</f>
        <v>owennatfreak</v>
      </c>
      <c r="G340" s="9" t="s">
        <v>13</v>
      </c>
      <c r="H340" s="9" t="s">
        <v>7992</v>
      </c>
    </row>
    <row r="341" customFormat="false" ht="15.75" hidden="false" customHeight="false" outlineLevel="0" collapsed="false">
      <c r="B341" s="7" t="n">
        <v>46222</v>
      </c>
      <c r="C341" s="3" t="s">
        <v>7993</v>
      </c>
      <c r="D341" s="3" t="s">
        <v>7879</v>
      </c>
      <c r="E341" s="3" t="s">
        <v>7994</v>
      </c>
      <c r="F341" s="10" t="str">
        <f aca="false">HYPERLINK("https://www.inaturalist.org/people/turkey90797","turkey90797")</f>
        <v>turkey90797</v>
      </c>
      <c r="G341" s="9" t="s">
        <v>13</v>
      </c>
      <c r="H341" s="9" t="s">
        <v>7995</v>
      </c>
    </row>
    <row r="342" customFormat="false" ht="15.75" hidden="false" customHeight="false" outlineLevel="0" collapsed="false">
      <c r="B342" s="7" t="n">
        <v>46222</v>
      </c>
      <c r="C342" s="3" t="s">
        <v>7996</v>
      </c>
      <c r="D342" s="3" t="s">
        <v>7879</v>
      </c>
      <c r="E342" s="3" t="s">
        <v>7997</v>
      </c>
      <c r="F342" s="10" t="str">
        <f aca="false">HYPERLINK("https://www.inaturalist.org/people/pkuhns","pkuhns")</f>
        <v>pkuhns</v>
      </c>
      <c r="G342" s="9" t="s">
        <v>13</v>
      </c>
      <c r="H342" s="9" t="s">
        <v>7998</v>
      </c>
    </row>
    <row r="343" customFormat="false" ht="15.75" hidden="false" customHeight="false" outlineLevel="0" collapsed="false">
      <c r="B343" s="7" t="n">
        <v>46222</v>
      </c>
      <c r="C343" s="3" t="s">
        <v>7999</v>
      </c>
      <c r="D343" s="3" t="s">
        <v>7879</v>
      </c>
      <c r="E343" s="3" t="s">
        <v>8000</v>
      </c>
      <c r="F343" s="10" t="str">
        <f aca="false">HYPERLINK("https://www.inaturalist.org/people/vinny_herpenthusiast","vinny_herpenthusiast")</f>
        <v>vinny_herpenthusiast</v>
      </c>
      <c r="G343" s="9" t="s">
        <v>13</v>
      </c>
      <c r="H343" s="9" t="s">
        <v>8001</v>
      </c>
    </row>
    <row r="344" customFormat="false" ht="15.75" hidden="false" customHeight="false" outlineLevel="0" collapsed="false">
      <c r="B344" s="7" t="n">
        <v>46222</v>
      </c>
      <c r="C344" s="3" t="s">
        <v>8002</v>
      </c>
      <c r="D344" s="3" t="s">
        <v>7879</v>
      </c>
      <c r="E344" s="3" t="s">
        <v>8003</v>
      </c>
      <c r="F344" s="10" t="str">
        <f aca="false">HYPERLINK("https://www.inaturalist.org/people/wyattbirds","wyattbirds")</f>
        <v>wyattbirds</v>
      </c>
      <c r="G344" s="9" t="s">
        <v>13</v>
      </c>
      <c r="H344" s="9" t="s">
        <v>8004</v>
      </c>
    </row>
    <row r="345" customFormat="false" ht="15.75" hidden="false" customHeight="false" outlineLevel="0" collapsed="false">
      <c r="B345" s="7" t="n">
        <v>46222</v>
      </c>
      <c r="C345" s="3" t="s">
        <v>8005</v>
      </c>
      <c r="D345" s="3" t="s">
        <v>7879</v>
      </c>
      <c r="E345" s="3" t="s">
        <v>8006</v>
      </c>
      <c r="F345" s="10" t="str">
        <f aca="false">HYPERLINK("https://www.inaturalist.org/people/maddykate29","maddykate29")</f>
        <v>maddykate29</v>
      </c>
      <c r="G345" s="9" t="s">
        <v>13</v>
      </c>
      <c r="H345" s="9" t="s">
        <v>8007</v>
      </c>
    </row>
    <row r="346" customFormat="false" ht="15.75" hidden="false" customHeight="false" outlineLevel="0" collapsed="false">
      <c r="B346" s="7" t="n">
        <v>46222</v>
      </c>
      <c r="C346" s="3" t="s">
        <v>8008</v>
      </c>
      <c r="D346" s="3" t="s">
        <v>7879</v>
      </c>
      <c r="E346" s="3" t="s">
        <v>8009</v>
      </c>
      <c r="F346" s="10" t="str">
        <f aca="false">HYPERLINK("https://www.inaturalist.org/people/sarcasticsnail","sarcasticsnail")</f>
        <v>sarcasticsnail</v>
      </c>
      <c r="G346" s="9" t="s">
        <v>13</v>
      </c>
      <c r="H346" s="9" t="s">
        <v>8010</v>
      </c>
    </row>
    <row r="347" customFormat="false" ht="15.75" hidden="false" customHeight="false" outlineLevel="0" collapsed="false">
      <c r="B347" s="7" t="n">
        <v>46222</v>
      </c>
      <c r="C347" s="3" t="s">
        <v>8011</v>
      </c>
      <c r="D347" s="3" t="s">
        <v>7879</v>
      </c>
      <c r="E347" s="3" t="s">
        <v>8012</v>
      </c>
      <c r="F347" s="10" t="str">
        <f aca="false">HYPERLINK("https://www.inaturalist.org/people/scienzenaturali","scienzenaturali")</f>
        <v>scienzenaturali</v>
      </c>
      <c r="G347" s="9" t="s">
        <v>13</v>
      </c>
      <c r="H347" s="9" t="s">
        <v>8013</v>
      </c>
    </row>
    <row r="348" customFormat="false" ht="15.75" hidden="false" customHeight="false" outlineLevel="0" collapsed="false">
      <c r="B348" s="7" t="n">
        <v>46222</v>
      </c>
      <c r="C348" s="3" t="s">
        <v>8014</v>
      </c>
      <c r="D348" s="3" t="s">
        <v>7879</v>
      </c>
      <c r="E348" s="3" t="s">
        <v>8015</v>
      </c>
      <c r="F348" s="10" t="str">
        <f aca="false">HYPERLINK("https://www.inaturalist.org/people/owlex","owlex")</f>
        <v>owlex</v>
      </c>
      <c r="G348" s="9" t="s">
        <v>13</v>
      </c>
      <c r="H348" s="9" t="s">
        <v>8016</v>
      </c>
    </row>
    <row r="349" customFormat="false" ht="15.75" hidden="false" customHeight="false" outlineLevel="0" collapsed="false">
      <c r="B349" s="7" t="n">
        <v>46222</v>
      </c>
      <c r="C349" s="3" t="s">
        <v>8017</v>
      </c>
      <c r="D349" s="3" t="s">
        <v>7879</v>
      </c>
      <c r="E349" s="3" t="s">
        <v>8018</v>
      </c>
      <c r="F349" s="10" t="str">
        <f aca="false">HYPERLINK("https://www.inaturalist.org/people/gwoo98","gwoo98")</f>
        <v>gwoo98</v>
      </c>
      <c r="G349" s="9" t="s">
        <v>13</v>
      </c>
      <c r="H349" s="9" t="s">
        <v>8019</v>
      </c>
    </row>
    <row r="350" customFormat="false" ht="15.75" hidden="false" customHeight="false" outlineLevel="0" collapsed="false">
      <c r="B350" s="7" t="n">
        <v>46222</v>
      </c>
      <c r="C350" s="3" t="s">
        <v>8020</v>
      </c>
      <c r="D350" s="3" t="s">
        <v>7879</v>
      </c>
      <c r="E350" s="3" t="s">
        <v>8021</v>
      </c>
      <c r="F350" s="10" t="str">
        <f aca="false">HYPERLINK("https://www.inaturalist.org/people/mateo_espinosa","mateo_espinosa")</f>
        <v>mateo_espinosa</v>
      </c>
      <c r="G350" s="9" t="s">
        <v>13</v>
      </c>
      <c r="H350" s="9" t="s">
        <v>8022</v>
      </c>
    </row>
    <row r="351" customFormat="false" ht="15.75" hidden="false" customHeight="false" outlineLevel="0" collapsed="false">
      <c r="B351" s="7" t="n">
        <v>46222</v>
      </c>
      <c r="C351" s="3" t="s">
        <v>8023</v>
      </c>
      <c r="D351" s="3" t="s">
        <v>7879</v>
      </c>
      <c r="E351" s="3" t="s">
        <v>8024</v>
      </c>
      <c r="F351" s="10" t="str">
        <f aca="false">HYPERLINK("https://www.inaturalist.org/people/simonwngr","simonwngr")</f>
        <v>simonwngr</v>
      </c>
      <c r="G351" s="9" t="s">
        <v>13</v>
      </c>
      <c r="H351" s="9" t="s">
        <v>8025</v>
      </c>
    </row>
    <row r="352" customFormat="false" ht="15.75" hidden="false" customHeight="false" outlineLevel="0" collapsed="false">
      <c r="B352" s="7" t="n">
        <v>46222</v>
      </c>
      <c r="C352" s="3" t="s">
        <v>8026</v>
      </c>
      <c r="D352" s="3" t="s">
        <v>7879</v>
      </c>
      <c r="E352" s="3" t="s">
        <v>8027</v>
      </c>
      <c r="F352" s="10" t="str">
        <f aca="false">HYPERLINK("https://www.inaturalist.org/people/isacrz","isacrz")</f>
        <v>isacrz</v>
      </c>
      <c r="G352" s="9" t="s">
        <v>13</v>
      </c>
      <c r="H352" s="9" t="s">
        <v>8028</v>
      </c>
    </row>
    <row r="353" customFormat="false" ht="15.75" hidden="false" customHeight="false" outlineLevel="0" collapsed="false">
      <c r="B353" s="7" t="n">
        <v>46222</v>
      </c>
      <c r="C353" s="3" t="s">
        <v>8029</v>
      </c>
      <c r="D353" s="3" t="s">
        <v>7879</v>
      </c>
      <c r="E353" s="3" t="s">
        <v>8030</v>
      </c>
      <c r="F353" s="10" t="str">
        <f aca="false">HYPERLINK("https://www.inaturalist.org/people/yuucheng","yuucheng")</f>
        <v>yuucheng</v>
      </c>
      <c r="G353" s="9" t="s">
        <v>13</v>
      </c>
      <c r="H353" s="9" t="s">
        <v>8031</v>
      </c>
    </row>
    <row r="354" customFormat="false" ht="15.75" hidden="false" customHeight="false" outlineLevel="0" collapsed="false">
      <c r="B354" s="7" t="n">
        <v>46222</v>
      </c>
      <c r="C354" s="3" t="s">
        <v>8032</v>
      </c>
      <c r="D354" s="3" t="s">
        <v>7879</v>
      </c>
      <c r="E354" s="3" t="s">
        <v>8033</v>
      </c>
      <c r="F354" s="10" t="str">
        <f aca="false">HYPERLINK("https://www.inaturalist.org/people/batemanderek85","batemanderek85")</f>
        <v>batemanderek85</v>
      </c>
      <c r="G354" s="9" t="s">
        <v>13</v>
      </c>
      <c r="H354" s="9" t="s">
        <v>8034</v>
      </c>
    </row>
    <row r="355" customFormat="false" ht="15.75" hidden="false" customHeight="false" outlineLevel="0" collapsed="false">
      <c r="B355" s="7" t="n">
        <v>46222</v>
      </c>
      <c r="C355" s="3" t="s">
        <v>8035</v>
      </c>
      <c r="D355" s="3" t="s">
        <v>7879</v>
      </c>
      <c r="E355" s="3" t="s">
        <v>8036</v>
      </c>
      <c r="F355" s="10" t="str">
        <f aca="false">HYPERLINK("https://www.inaturalist.org/people/avanibrown","avanibrown")</f>
        <v>avanibrown</v>
      </c>
      <c r="G355" s="9" t="s">
        <v>13</v>
      </c>
      <c r="H355" s="9" t="s">
        <v>8037</v>
      </c>
    </row>
    <row r="356" customFormat="false" ht="15.75" hidden="false" customHeight="false" outlineLevel="0" collapsed="false">
      <c r="B356" s="7" t="n">
        <v>46222</v>
      </c>
      <c r="C356" s="3" t="s">
        <v>8038</v>
      </c>
      <c r="D356" s="3" t="s">
        <v>7879</v>
      </c>
      <c r="E356" s="3" t="s">
        <v>8039</v>
      </c>
      <c r="F356" s="10" t="str">
        <f aca="false">HYPERLINK("https://www.inaturalist.org/people/saber_animal","saber_animal")</f>
        <v>saber_animal</v>
      </c>
      <c r="G356" s="9" t="s">
        <v>13</v>
      </c>
      <c r="H356" s="9" t="s">
        <v>8040</v>
      </c>
    </row>
    <row r="357" customFormat="false" ht="15.75" hidden="false" customHeight="false" outlineLevel="0" collapsed="false">
      <c r="B357" s="7" t="n">
        <v>46222</v>
      </c>
      <c r="C357" s="3" t="s">
        <v>8041</v>
      </c>
      <c r="D357" s="3" t="s">
        <v>7879</v>
      </c>
      <c r="E357" s="3" t="s">
        <v>8042</v>
      </c>
      <c r="F357" s="10" t="str">
        <f aca="false">HYPERLINK("https://www.inaturalist.org/people/chenzc","chenzc")</f>
        <v>chenzc</v>
      </c>
      <c r="G357" s="9" t="s">
        <v>13</v>
      </c>
      <c r="H357" s="9" t="s">
        <v>8043</v>
      </c>
    </row>
    <row r="358" customFormat="false" ht="15.75" hidden="false" customHeight="false" outlineLevel="0" collapsed="false">
      <c r="B358" s="7" t="n">
        <v>46222</v>
      </c>
      <c r="C358" s="3" t="s">
        <v>8044</v>
      </c>
      <c r="D358" s="3" t="s">
        <v>7879</v>
      </c>
      <c r="E358" s="3" t="s">
        <v>8045</v>
      </c>
      <c r="F358" s="10" t="str">
        <f aca="false">HYPERLINK("https://www.inaturalist.org/people/tburnett604","tburnett604")</f>
        <v>tburnett604</v>
      </c>
      <c r="G358" s="9" t="s">
        <v>13</v>
      </c>
      <c r="H358" s="9" t="s">
        <v>8046</v>
      </c>
    </row>
    <row r="359" customFormat="false" ht="15.75" hidden="false" customHeight="false" outlineLevel="0" collapsed="false">
      <c r="B359" s="7" t="n">
        <v>46222</v>
      </c>
      <c r="C359" s="3" t="s">
        <v>8047</v>
      </c>
      <c r="D359" s="3" t="s">
        <v>7879</v>
      </c>
      <c r="E359" s="3" t="s">
        <v>8048</v>
      </c>
      <c r="F359" s="10" t="str">
        <f aca="false">HYPERLINK("https://www.inaturalist.org/people/dirtbagbirder","dirtbagbirder")</f>
        <v>dirtbagbirder</v>
      </c>
      <c r="G359" s="9" t="s">
        <v>13</v>
      </c>
      <c r="H359" s="9" t="s">
        <v>8049</v>
      </c>
    </row>
    <row r="360" customFormat="false" ht="15.75" hidden="false" customHeight="false" outlineLevel="0" collapsed="false">
      <c r="B360" s="7" t="n">
        <v>46222</v>
      </c>
      <c r="C360" s="3" t="s">
        <v>8050</v>
      </c>
      <c r="D360" s="3" t="s">
        <v>7879</v>
      </c>
      <c r="E360" s="3" t="s">
        <v>8051</v>
      </c>
      <c r="F360" s="10" t="str">
        <f aca="false">HYPERLINK("https://www.inaturalist.org/people/leibele","leibele")</f>
        <v>leibele</v>
      </c>
      <c r="G360" s="9" t="s">
        <v>13</v>
      </c>
      <c r="H360" s="9" t="s">
        <v>8052</v>
      </c>
    </row>
    <row r="361" customFormat="false" ht="15.75" hidden="false" customHeight="false" outlineLevel="0" collapsed="false">
      <c r="B361" s="7" t="n">
        <v>46222</v>
      </c>
      <c r="C361" s="3" t="s">
        <v>8053</v>
      </c>
      <c r="D361" s="3" t="s">
        <v>7879</v>
      </c>
      <c r="E361" s="3" t="s">
        <v>8054</v>
      </c>
      <c r="F361" s="10" t="str">
        <f aca="false">HYPERLINK("https://www.inaturalist.org/people/sajibbiswas","sajibbiswas")</f>
        <v>sajibbiswas</v>
      </c>
      <c r="G361" s="9" t="s">
        <v>13</v>
      </c>
      <c r="H361" s="9" t="s">
        <v>8055</v>
      </c>
    </row>
    <row r="362" customFormat="false" ht="15.75" hidden="false" customHeight="false" outlineLevel="0" collapsed="false">
      <c r="B362" s="7" t="n">
        <v>46222</v>
      </c>
      <c r="C362" s="3" t="s">
        <v>8056</v>
      </c>
      <c r="D362" s="3" t="s">
        <v>7879</v>
      </c>
      <c r="E362" s="3" t="s">
        <v>8057</v>
      </c>
      <c r="F362" s="10" t="str">
        <f aca="false">HYPERLINK("https://www.inaturalist.org/people/jacobscruggs","jacobscruggs")</f>
        <v>jacobscruggs</v>
      </c>
      <c r="G362" s="9" t="s">
        <v>13</v>
      </c>
      <c r="H362" s="9" t="s">
        <v>8058</v>
      </c>
    </row>
    <row r="363" customFormat="false" ht="15.75" hidden="false" customHeight="false" outlineLevel="0" collapsed="false">
      <c r="B363" s="7" t="n">
        <v>46222</v>
      </c>
      <c r="C363" s="3" t="s">
        <v>8059</v>
      </c>
      <c r="D363" s="3" t="s">
        <v>7879</v>
      </c>
      <c r="E363" s="3" t="s">
        <v>8060</v>
      </c>
      <c r="F363" s="10" t="str">
        <f aca="false">HYPERLINK("https://www.inaturalist.org/people/kolll","kolll")</f>
        <v>kolll</v>
      </c>
      <c r="G363" s="9" t="s">
        <v>13</v>
      </c>
      <c r="H363" s="9" t="s">
        <v>8061</v>
      </c>
    </row>
    <row r="364" customFormat="false" ht="15.75" hidden="false" customHeight="false" outlineLevel="0" collapsed="false">
      <c r="B364" s="7" t="n">
        <v>46222</v>
      </c>
      <c r="C364" s="3" t="s">
        <v>8062</v>
      </c>
      <c r="D364" s="3" t="s">
        <v>7879</v>
      </c>
      <c r="E364" s="3" t="s">
        <v>8063</v>
      </c>
      <c r="F364" s="10" t="str">
        <f aca="false">HYPERLINK("https://www.inaturalist.org/people/iraw_u","iraw_u")</f>
        <v>iraw_u</v>
      </c>
      <c r="G364" s="9" t="s">
        <v>13</v>
      </c>
      <c r="H364" s="9" t="s">
        <v>8064</v>
      </c>
    </row>
    <row r="365" customFormat="false" ht="15.75" hidden="false" customHeight="false" outlineLevel="0" collapsed="false">
      <c r="B365" s="7" t="n">
        <v>46222</v>
      </c>
      <c r="C365" s="3" t="s">
        <v>8065</v>
      </c>
      <c r="D365" s="3" t="s">
        <v>7879</v>
      </c>
      <c r="E365" s="3" t="s">
        <v>8066</v>
      </c>
      <c r="F365" s="10" t="str">
        <f aca="false">HYPERLINK("https://www.inaturalist.org/people/iraw_u","iraw_u")</f>
        <v>iraw_u</v>
      </c>
      <c r="G365" s="9" t="s">
        <v>13</v>
      </c>
      <c r="H365" s="9" t="s">
        <v>8067</v>
      </c>
    </row>
    <row r="366" customFormat="false" ht="15.75" hidden="false" customHeight="false" outlineLevel="0" collapsed="false">
      <c r="B366" s="7" t="n">
        <v>46222</v>
      </c>
      <c r="C366" s="3" t="s">
        <v>8068</v>
      </c>
      <c r="D366" s="3" t="s">
        <v>7879</v>
      </c>
      <c r="E366" s="3" t="s">
        <v>8069</v>
      </c>
      <c r="F366" s="10" t="str">
        <f aca="false">HYPERLINK("https://www.inaturalist.org/people/jakob","jakob")</f>
        <v>jakob</v>
      </c>
      <c r="G366" s="9" t="s">
        <v>13</v>
      </c>
      <c r="H366" s="9" t="s">
        <v>8070</v>
      </c>
    </row>
    <row r="367" customFormat="false" ht="15.75" hidden="false" customHeight="false" outlineLevel="0" collapsed="false">
      <c r="B367" s="7" t="n">
        <v>46222</v>
      </c>
      <c r="C367" s="3" t="s">
        <v>8071</v>
      </c>
      <c r="D367" s="3" t="s">
        <v>7879</v>
      </c>
      <c r="E367" s="3" t="s">
        <v>8072</v>
      </c>
      <c r="F367" s="10" t="str">
        <f aca="false">HYPERLINK("https://www.inaturalist.org/people/amielhopkins","amielhopkins")</f>
        <v>amielhopkins</v>
      </c>
      <c r="G367" s="9" t="s">
        <v>13</v>
      </c>
      <c r="H367" s="9" t="s">
        <v>8073</v>
      </c>
    </row>
    <row r="368" customFormat="false" ht="15.75" hidden="false" customHeight="false" outlineLevel="0" collapsed="false">
      <c r="B368" s="7" t="n">
        <v>46222</v>
      </c>
      <c r="C368" s="3" t="s">
        <v>8074</v>
      </c>
      <c r="D368" s="3" t="s">
        <v>7879</v>
      </c>
      <c r="E368" s="3" t="s">
        <v>8075</v>
      </c>
      <c r="F368" s="10" t="str">
        <f aca="false">HYPERLINK("https://www.inaturalist.org/people/shadowstorm48","shadowstorm48")</f>
        <v>shadowstorm48</v>
      </c>
      <c r="G368" s="9" t="s">
        <v>13</v>
      </c>
      <c r="H368" s="9" t="s">
        <v>8076</v>
      </c>
    </row>
    <row r="369" customFormat="false" ht="15.75" hidden="false" customHeight="false" outlineLevel="0" collapsed="false">
      <c r="B369" s="7" t="n">
        <v>46222</v>
      </c>
      <c r="C369" s="3" t="s">
        <v>8077</v>
      </c>
      <c r="D369" s="3" t="s">
        <v>7879</v>
      </c>
      <c r="E369" s="3" t="s">
        <v>8078</v>
      </c>
      <c r="F369" s="10" t="str">
        <f aca="false">HYPERLINK("https://www.inaturalist.org/people/madwall","madwall")</f>
        <v>madwall</v>
      </c>
      <c r="G369" s="9" t="s">
        <v>13</v>
      </c>
      <c r="H369" s="9" t="s">
        <v>8079</v>
      </c>
    </row>
    <row r="370" customFormat="false" ht="15.75" hidden="false" customHeight="false" outlineLevel="0" collapsed="false">
      <c r="B370" s="7" t="n">
        <v>46222</v>
      </c>
      <c r="C370" s="3" t="s">
        <v>8080</v>
      </c>
      <c r="D370" s="3" t="s">
        <v>7879</v>
      </c>
      <c r="E370" s="3" t="s">
        <v>8081</v>
      </c>
      <c r="F370" s="10" t="str">
        <f aca="false">HYPERLINK("https://www.inaturalist.org/people/davenportjm","davenportjm")</f>
        <v>davenportjm</v>
      </c>
      <c r="G370" s="9" t="s">
        <v>13</v>
      </c>
      <c r="H370" s="9" t="s">
        <v>8082</v>
      </c>
    </row>
    <row r="371" customFormat="false" ht="15.75" hidden="false" customHeight="false" outlineLevel="0" collapsed="false">
      <c r="B371" s="7" t="n">
        <v>46222</v>
      </c>
      <c r="C371" s="3" t="s">
        <v>8083</v>
      </c>
      <c r="D371" s="3" t="s">
        <v>7879</v>
      </c>
      <c r="E371" s="3" t="s">
        <v>8084</v>
      </c>
      <c r="F371" s="10" t="str">
        <f aca="false">HYPERLINK("https://www.inaturalist.org/people/jcowdog","jcowdog")</f>
        <v>jcowdog</v>
      </c>
      <c r="G371" s="9" t="s">
        <v>13</v>
      </c>
      <c r="H371" s="9" t="s">
        <v>8085</v>
      </c>
    </row>
    <row r="372" customFormat="false" ht="15.75" hidden="false" customHeight="false" outlineLevel="0" collapsed="false">
      <c r="B372" s="7" t="n">
        <v>46222</v>
      </c>
      <c r="C372" s="3" t="s">
        <v>8086</v>
      </c>
      <c r="D372" s="3" t="s">
        <v>7879</v>
      </c>
      <c r="E372" s="3" t="s">
        <v>8087</v>
      </c>
      <c r="F372" s="10" t="str">
        <f aca="false">HYPERLINK("https://www.inaturalist.org/people/vincent_limagne","vincent_limagne")</f>
        <v>vincent_limagne</v>
      </c>
      <c r="G372" s="9" t="s">
        <v>13</v>
      </c>
      <c r="H372" s="9" t="s">
        <v>8088</v>
      </c>
    </row>
    <row r="373" customFormat="false" ht="15.75" hidden="false" customHeight="false" outlineLevel="0" collapsed="false">
      <c r="B373" s="7" t="n">
        <v>46222</v>
      </c>
      <c r="C373" s="3" t="s">
        <v>8089</v>
      </c>
      <c r="D373" s="3" t="s">
        <v>7879</v>
      </c>
      <c r="E373" s="3" t="s">
        <v>8090</v>
      </c>
      <c r="F373" s="10" t="str">
        <f aca="false">HYPERLINK("https://www.inaturalist.org/people/nick0459","nick0459")</f>
        <v>nick0459</v>
      </c>
      <c r="G373" s="9" t="s">
        <v>13</v>
      </c>
      <c r="H373" s="9" t="s">
        <v>8091</v>
      </c>
    </row>
    <row r="374" customFormat="false" ht="15.75" hidden="false" customHeight="false" outlineLevel="0" collapsed="false">
      <c r="B374" s="7" t="n">
        <v>46222</v>
      </c>
      <c r="C374" s="3" t="s">
        <v>8092</v>
      </c>
      <c r="D374" s="3" t="s">
        <v>7879</v>
      </c>
      <c r="E374" s="3" t="s">
        <v>8093</v>
      </c>
      <c r="F374" s="10" t="str">
        <f aca="false">HYPERLINK("https://www.inaturalist.org/people/verae","verae")</f>
        <v>verae</v>
      </c>
      <c r="G374" s="9" t="s">
        <v>13</v>
      </c>
      <c r="H374" s="9" t="s">
        <v>8094</v>
      </c>
    </row>
    <row r="375" customFormat="false" ht="15.75" hidden="false" customHeight="false" outlineLevel="0" collapsed="false">
      <c r="B375" s="7" t="n">
        <v>46222</v>
      </c>
      <c r="C375" s="3" t="s">
        <v>8095</v>
      </c>
      <c r="D375" s="3" t="s">
        <v>7879</v>
      </c>
      <c r="E375" s="3" t="s">
        <v>8096</v>
      </c>
      <c r="F375" s="10" t="str">
        <f aca="false">HYPERLINK("https://www.inaturalist.org/people/california_every_reptile","california_every_reptile")</f>
        <v>california_every_reptile</v>
      </c>
      <c r="G375" s="9" t="s">
        <v>13</v>
      </c>
      <c r="H375" s="9" t="s">
        <v>8097</v>
      </c>
    </row>
    <row r="376" customFormat="false" ht="15.75" hidden="false" customHeight="false" outlineLevel="0" collapsed="false">
      <c r="B376" s="7" t="n">
        <v>46222</v>
      </c>
      <c r="C376" s="3" t="s">
        <v>8098</v>
      </c>
      <c r="D376" s="3" t="s">
        <v>7879</v>
      </c>
      <c r="E376" s="3" t="s">
        <v>8099</v>
      </c>
      <c r="F376" s="10" t="str">
        <f aca="false">HYPERLINK("https://www.inaturalist.org/people/luukieluuk","luukieluuk")</f>
        <v>luukieluuk</v>
      </c>
      <c r="G376" s="9" t="s">
        <v>13</v>
      </c>
      <c r="H376" s="9" t="s">
        <v>8100</v>
      </c>
    </row>
    <row r="377" customFormat="false" ht="15.75" hidden="false" customHeight="false" outlineLevel="0" collapsed="false">
      <c r="B377" s="7" t="n">
        <v>46222</v>
      </c>
      <c r="C377" s="3" t="s">
        <v>8101</v>
      </c>
      <c r="D377" s="3" t="s">
        <v>7879</v>
      </c>
      <c r="E377" s="3" t="s">
        <v>8102</v>
      </c>
      <c r="F377" s="10" t="str">
        <f aca="false">HYPERLINK("https://www.inaturalist.org/people/djm","djm")</f>
        <v>djm</v>
      </c>
      <c r="G377" s="9" t="s">
        <v>13</v>
      </c>
      <c r="H377" s="9" t="s">
        <v>8103</v>
      </c>
    </row>
    <row r="378" customFormat="false" ht="15.75" hidden="false" customHeight="false" outlineLevel="0" collapsed="false">
      <c r="B378" s="7" t="n">
        <v>46222</v>
      </c>
      <c r="C378" s="3" t="s">
        <v>8104</v>
      </c>
      <c r="D378" s="3" t="s">
        <v>7879</v>
      </c>
      <c r="E378" s="3" t="s">
        <v>8105</v>
      </c>
      <c r="F378" s="10" t="str">
        <f aca="false">HYPERLINK("https://www.inaturalist.org/people/joeypjohnson","joeypjohnson")</f>
        <v>joeypjohnson</v>
      </c>
      <c r="G378" s="9" t="s">
        <v>13</v>
      </c>
      <c r="H378" s="9" t="s">
        <v>8106</v>
      </c>
    </row>
    <row r="379" customFormat="false" ht="15.75" hidden="false" customHeight="false" outlineLevel="0" collapsed="false">
      <c r="B379" s="7" t="n">
        <v>46222</v>
      </c>
      <c r="C379" s="3" t="s">
        <v>8107</v>
      </c>
      <c r="D379" s="3" t="s">
        <v>7879</v>
      </c>
      <c r="E379" s="3" t="s">
        <v>8108</v>
      </c>
      <c r="F379" s="10" t="str">
        <f aca="false">HYPERLINK("https://www.inaturalist.org/people/silasgraser","silasgraser")</f>
        <v>silasgraser</v>
      </c>
      <c r="G379" s="9" t="s">
        <v>13</v>
      </c>
      <c r="H379" s="9" t="s">
        <v>8109</v>
      </c>
    </row>
    <row r="380" customFormat="false" ht="15.75" hidden="false" customHeight="false" outlineLevel="0" collapsed="false">
      <c r="B380" s="7" t="n">
        <v>46222</v>
      </c>
      <c r="C380" s="3" t="s">
        <v>8110</v>
      </c>
      <c r="D380" s="3" t="s">
        <v>7879</v>
      </c>
      <c r="E380" s="3" t="s">
        <v>8111</v>
      </c>
      <c r="F380" s="10" t="str">
        <f aca="false">HYPERLINK("https://www.inaturalist.org/people/denylesko","denylesko")</f>
        <v>denylesko</v>
      </c>
      <c r="G380" s="9" t="s">
        <v>13</v>
      </c>
      <c r="H380" s="9" t="s">
        <v>8112</v>
      </c>
    </row>
    <row r="381" customFormat="false" ht="15.75" hidden="false" customHeight="false" outlineLevel="0" collapsed="false">
      <c r="B381" s="7" t="n">
        <v>46222</v>
      </c>
      <c r="C381" s="3" t="s">
        <v>8113</v>
      </c>
      <c r="D381" s="3" t="s">
        <v>7879</v>
      </c>
      <c r="E381" s="3" t="s">
        <v>8114</v>
      </c>
      <c r="F381" s="10" t="str">
        <f aca="false">HYPERLINK("https://www.inaturalist.org/people/leibele","leibele")</f>
        <v>leibele</v>
      </c>
      <c r="G381" s="9" t="s">
        <v>13</v>
      </c>
      <c r="H381" s="9" t="s">
        <v>8115</v>
      </c>
    </row>
    <row r="382" customFormat="false" ht="15.75" hidden="false" customHeight="false" outlineLevel="0" collapsed="false">
      <c r="B382" s="7" t="n">
        <v>46222</v>
      </c>
      <c r="C382" s="3" t="s">
        <v>8116</v>
      </c>
      <c r="D382" s="3" t="s">
        <v>7879</v>
      </c>
      <c r="E382" s="3" t="s">
        <v>8117</v>
      </c>
      <c r="F382" s="10" t="str">
        <f aca="false">HYPERLINK("https://www.inaturalist.org/people/thomas_albrektson","thomas_albrektson")</f>
        <v>thomas_albrektson</v>
      </c>
      <c r="G382" s="9" t="s">
        <v>13</v>
      </c>
      <c r="H382" s="9" t="s">
        <v>8118</v>
      </c>
    </row>
    <row r="383" customFormat="false" ht="15.75" hidden="false" customHeight="false" outlineLevel="0" collapsed="false">
      <c r="B383" s="7" t="n">
        <v>46222</v>
      </c>
      <c r="C383" s="3" t="s">
        <v>8119</v>
      </c>
      <c r="D383" s="3" t="s">
        <v>7879</v>
      </c>
      <c r="E383" s="3" t="s">
        <v>8120</v>
      </c>
      <c r="F383" s="10" t="str">
        <f aca="false">HYPERLINK("https://www.inaturalist.org/people/drew65826","drew65826")</f>
        <v>drew65826</v>
      </c>
      <c r="G383" s="9" t="s">
        <v>13</v>
      </c>
      <c r="H383" s="9" t="s">
        <v>8121</v>
      </c>
    </row>
    <row r="384" customFormat="false" ht="15.75" hidden="false" customHeight="false" outlineLevel="0" collapsed="false">
      <c r="B384" s="7" t="n">
        <v>46222</v>
      </c>
      <c r="C384" s="3" t="s">
        <v>8122</v>
      </c>
      <c r="D384" s="3" t="s">
        <v>7879</v>
      </c>
      <c r="E384" s="3" t="s">
        <v>8123</v>
      </c>
      <c r="F384" s="10" t="str">
        <f aca="false">HYPERLINK("https://www.inaturalist.org/people/andylizardlover","andylizardlover")</f>
        <v>andylizardlover</v>
      </c>
      <c r="G384" s="9" t="s">
        <v>13</v>
      </c>
      <c r="H384" s="9" t="s">
        <v>8124</v>
      </c>
    </row>
    <row r="385" customFormat="false" ht="15.75" hidden="false" customHeight="false" outlineLevel="0" collapsed="false">
      <c r="B385" s="7" t="n">
        <v>46222</v>
      </c>
      <c r="C385" s="3" t="s">
        <v>8125</v>
      </c>
      <c r="D385" s="3" t="s">
        <v>7879</v>
      </c>
      <c r="E385" s="3" t="s">
        <v>8126</v>
      </c>
      <c r="F385" s="10" t="str">
        <f aca="false">HYPERLINK("https://www.inaturalist.org/people/gaitanguerron","gaitanguerron")</f>
        <v>gaitanguerron</v>
      </c>
      <c r="G385" s="9" t="s">
        <v>13</v>
      </c>
      <c r="H385" s="9" t="s">
        <v>8127</v>
      </c>
    </row>
    <row r="386" customFormat="false" ht="15.75" hidden="false" customHeight="false" outlineLevel="0" collapsed="false">
      <c r="B386" s="7" t="n">
        <v>46222</v>
      </c>
      <c r="C386" s="3" t="s">
        <v>8128</v>
      </c>
      <c r="D386" s="3" t="s">
        <v>7879</v>
      </c>
      <c r="E386" s="3" t="s">
        <v>8129</v>
      </c>
      <c r="F386" s="10" t="str">
        <f aca="false">HYPERLINK("https://www.inaturalist.org/people/qi_zhihao","qi_zhihao")</f>
        <v>qi_zhihao</v>
      </c>
      <c r="G386" s="9" t="s">
        <v>13</v>
      </c>
      <c r="H386" s="9" t="s">
        <v>8130</v>
      </c>
    </row>
    <row r="387" customFormat="false" ht="15.75" hidden="false" customHeight="false" outlineLevel="0" collapsed="false">
      <c r="B387" s="7" t="n">
        <v>46222</v>
      </c>
      <c r="C387" s="3" t="s">
        <v>8131</v>
      </c>
      <c r="D387" s="3" t="s">
        <v>7879</v>
      </c>
      <c r="E387" s="3" t="s">
        <v>8132</v>
      </c>
      <c r="F387" s="10" t="str">
        <f aca="false">HYPERLINK("https://www.inaturalist.org/people/rudybotzoc","rudybotzoc")</f>
        <v>rudybotzoc</v>
      </c>
      <c r="G387" s="9" t="s">
        <v>13</v>
      </c>
      <c r="H387" s="9" t="s">
        <v>8133</v>
      </c>
    </row>
    <row r="388" customFormat="false" ht="15.75" hidden="false" customHeight="false" outlineLevel="0" collapsed="false">
      <c r="B388" s="7" t="n">
        <v>46222</v>
      </c>
      <c r="C388" s="3" t="s">
        <v>8134</v>
      </c>
      <c r="D388" s="3" t="s">
        <v>7879</v>
      </c>
      <c r="E388" s="3" t="s">
        <v>8135</v>
      </c>
      <c r="F388" s="10" t="str">
        <f aca="false">HYPERLINK("https://www.inaturalist.org/people/ceara67361","ceara67361")</f>
        <v>ceara67361</v>
      </c>
      <c r="G388" s="9" t="s">
        <v>13</v>
      </c>
      <c r="H388" s="9" t="s">
        <v>8136</v>
      </c>
    </row>
    <row r="389" customFormat="false" ht="15.75" hidden="false" customHeight="false" outlineLevel="0" collapsed="false">
      <c r="B389" s="7" t="n">
        <v>46222</v>
      </c>
      <c r="C389" s="3" t="s">
        <v>8137</v>
      </c>
      <c r="D389" s="3" t="s">
        <v>7879</v>
      </c>
      <c r="E389" s="3" t="s">
        <v>8138</v>
      </c>
      <c r="F389" s="10" t="str">
        <f aca="false">HYPERLINK("https://www.inaturalist.org/people/ceara67361","ceara67361")</f>
        <v>ceara67361</v>
      </c>
      <c r="G389" s="9" t="s">
        <v>13</v>
      </c>
      <c r="H389" s="9" t="s">
        <v>8139</v>
      </c>
    </row>
    <row r="390" customFormat="false" ht="15.75" hidden="false" customHeight="false" outlineLevel="0" collapsed="false">
      <c r="B390" s="7" t="n">
        <v>46222</v>
      </c>
      <c r="C390" s="3" t="s">
        <v>8140</v>
      </c>
      <c r="D390" s="3" t="s">
        <v>7879</v>
      </c>
      <c r="E390" s="3" t="s">
        <v>8141</v>
      </c>
      <c r="F390" s="10" t="str">
        <f aca="false">HYPERLINK("https://www.inaturalist.org/people/st_hui","st_hui")</f>
        <v>st_hui</v>
      </c>
      <c r="G390" s="9" t="s">
        <v>13</v>
      </c>
      <c r="H390" s="9" t="s">
        <v>8142</v>
      </c>
    </row>
    <row r="391" customFormat="false" ht="15.75" hidden="false" customHeight="false" outlineLevel="0" collapsed="false">
      <c r="B391" s="7" t="n">
        <v>46222</v>
      </c>
      <c r="C391" s="3" t="s">
        <v>8143</v>
      </c>
      <c r="D391" s="3" t="s">
        <v>7879</v>
      </c>
      <c r="E391" s="3" t="s">
        <v>8144</v>
      </c>
      <c r="F391" s="10" t="str">
        <f aca="false">HYPERLINK("https://www.inaturalist.org/people/jonhakim","jonhakim")</f>
        <v>jonhakim</v>
      </c>
      <c r="G391" s="9" t="s">
        <v>13</v>
      </c>
      <c r="H391" s="9" t="s">
        <v>8145</v>
      </c>
    </row>
    <row r="392" customFormat="false" ht="15.75" hidden="false" customHeight="false" outlineLevel="0" collapsed="false">
      <c r="B392" s="7" t="n">
        <v>46222</v>
      </c>
      <c r="C392" s="3" t="s">
        <v>8146</v>
      </c>
      <c r="D392" s="3" t="s">
        <v>7879</v>
      </c>
      <c r="E392" s="3" t="s">
        <v>8147</v>
      </c>
      <c r="F392" s="10" t="str">
        <f aca="false">HYPERLINK("https://www.inaturalist.org/people/drewrdavis","drewrdavis")</f>
        <v>drewrdavis</v>
      </c>
      <c r="G392" s="9" t="s">
        <v>13</v>
      </c>
      <c r="H392" s="9" t="s">
        <v>8148</v>
      </c>
    </row>
    <row r="393" customFormat="false" ht="15.75" hidden="false" customHeight="false" outlineLevel="0" collapsed="false">
      <c r="B393" s="7" t="n">
        <v>46222</v>
      </c>
      <c r="C393" s="3" t="s">
        <v>8149</v>
      </c>
      <c r="D393" s="3" t="s">
        <v>7879</v>
      </c>
      <c r="E393" s="3" t="s">
        <v>8150</v>
      </c>
      <c r="F393" s="10" t="str">
        <f aca="false">HYPERLINK("https://www.inaturalist.org/people/amarzee","amarzee")</f>
        <v>amarzee</v>
      </c>
      <c r="G393" s="9" t="s">
        <v>13</v>
      </c>
      <c r="H393" s="9" t="s">
        <v>8151</v>
      </c>
    </row>
    <row r="394" customFormat="false" ht="15.75" hidden="false" customHeight="false" outlineLevel="0" collapsed="false">
      <c r="B394" s="7" t="n">
        <v>46222</v>
      </c>
      <c r="C394" s="3" t="s">
        <v>8152</v>
      </c>
      <c r="D394" s="3" t="s">
        <v>7879</v>
      </c>
      <c r="E394" s="3" t="s">
        <v>8153</v>
      </c>
      <c r="F394" s="10" t="str">
        <f aca="false">HYPERLINK("https://www.inaturalist.org/people/jessicahoyt","jessicahoyt")</f>
        <v>jessicahoyt</v>
      </c>
      <c r="G394" s="9" t="s">
        <v>13</v>
      </c>
      <c r="H394" s="9" t="s">
        <v>8154</v>
      </c>
    </row>
    <row r="395" customFormat="false" ht="15.75" hidden="false" customHeight="false" outlineLevel="0" collapsed="false">
      <c r="B395" s="7" t="n">
        <v>46222</v>
      </c>
      <c r="C395" s="3" t="s">
        <v>8155</v>
      </c>
      <c r="D395" s="3" t="s">
        <v>7879</v>
      </c>
      <c r="E395" s="3" t="s">
        <v>8156</v>
      </c>
      <c r="F395" s="10" t="str">
        <f aca="false">HYPERLINK("https://www.inaturalist.org/people/carpano","carpano")</f>
        <v>carpano</v>
      </c>
      <c r="G395" s="9" t="s">
        <v>13</v>
      </c>
      <c r="H395" s="9" t="s">
        <v>8157</v>
      </c>
    </row>
    <row r="396" customFormat="false" ht="15.75" hidden="false" customHeight="false" outlineLevel="0" collapsed="false">
      <c r="B396" s="7" t="n">
        <v>46222</v>
      </c>
      <c r="C396" s="3" t="s">
        <v>8158</v>
      </c>
      <c r="D396" s="3" t="s">
        <v>7879</v>
      </c>
      <c r="E396" s="3" t="s">
        <v>8159</v>
      </c>
      <c r="F396" s="10" t="str">
        <f aca="false">HYPERLINK("https://www.inaturalist.org/people/joharmv","joharmv")</f>
        <v>joharmv</v>
      </c>
      <c r="G396" s="9" t="s">
        <v>13</v>
      </c>
      <c r="H396" s="9" t="s">
        <v>8160</v>
      </c>
    </row>
    <row r="397" customFormat="false" ht="15.75" hidden="false" customHeight="false" outlineLevel="0" collapsed="false">
      <c r="B397" s="7" t="n">
        <v>46222</v>
      </c>
      <c r="C397" s="3" t="s">
        <v>8161</v>
      </c>
      <c r="D397" s="3" t="s">
        <v>7879</v>
      </c>
      <c r="E397" s="3" t="s">
        <v>8162</v>
      </c>
      <c r="F397" s="10" t="str">
        <f aca="false">HYPERLINK("https://www.inaturalist.org/people/lucaecose","lucaecose")</f>
        <v>lucaecose</v>
      </c>
      <c r="G397" s="9" t="s">
        <v>13</v>
      </c>
      <c r="H397" s="9" t="s">
        <v>8163</v>
      </c>
    </row>
    <row r="398" customFormat="false" ht="15.75" hidden="false" customHeight="false" outlineLevel="0" collapsed="false">
      <c r="B398" s="7" t="n">
        <v>46222</v>
      </c>
      <c r="C398" s="3" t="s">
        <v>8164</v>
      </c>
      <c r="D398" s="3" t="s">
        <v>7879</v>
      </c>
      <c r="E398" s="3" t="s">
        <v>8165</v>
      </c>
      <c r="F398" s="10" t="str">
        <f aca="false">HYPERLINK("https://www.inaturalist.org/people/diego26252","diego26252")</f>
        <v>diego26252</v>
      </c>
      <c r="G398" s="9" t="s">
        <v>13</v>
      </c>
      <c r="H398" s="9" t="s">
        <v>8166</v>
      </c>
    </row>
    <row r="399" customFormat="false" ht="15.75" hidden="false" customHeight="false" outlineLevel="0" collapsed="false">
      <c r="B399" s="7" t="n">
        <v>46222</v>
      </c>
      <c r="C399" s="3" t="s">
        <v>8167</v>
      </c>
      <c r="D399" s="3" t="s">
        <v>7879</v>
      </c>
      <c r="E399" s="3" t="s">
        <v>8168</v>
      </c>
      <c r="F399" s="10" t="str">
        <f aca="false">HYPERLINK("https://www.inaturalist.org/people/gilamander","gilamander")</f>
        <v>gilamander</v>
      </c>
      <c r="G399" s="9" t="s">
        <v>13</v>
      </c>
      <c r="H399" s="9" t="s">
        <v>8169</v>
      </c>
    </row>
    <row r="400" customFormat="false" ht="15.75" hidden="false" customHeight="false" outlineLevel="0" collapsed="false">
      <c r="B400" s="7" t="n">
        <v>46222</v>
      </c>
      <c r="C400" s="3" t="s">
        <v>8170</v>
      </c>
      <c r="D400" s="3" t="s">
        <v>7879</v>
      </c>
      <c r="E400" s="3" t="s">
        <v>8171</v>
      </c>
      <c r="F400" s="10" t="str">
        <f aca="false">HYPERLINK("https://www.inaturalist.org/people/spiderviking","spiderviking")</f>
        <v>spiderviking</v>
      </c>
      <c r="G400" s="9" t="s">
        <v>13</v>
      </c>
      <c r="H400" s="9" t="s">
        <v>8172</v>
      </c>
    </row>
    <row r="401" customFormat="false" ht="15.75" hidden="false" customHeight="false" outlineLevel="0" collapsed="false">
      <c r="B401" s="7" t="n">
        <v>46222</v>
      </c>
      <c r="C401" s="3" t="s">
        <v>8173</v>
      </c>
      <c r="D401" s="3" t="s">
        <v>7879</v>
      </c>
      <c r="E401" s="3" t="s">
        <v>8174</v>
      </c>
      <c r="F401" s="10" t="str">
        <f aca="false">HYPERLINK("https://www.inaturalist.org/people/bennett_floyd","bennett_floyd")</f>
        <v>bennett_floyd</v>
      </c>
      <c r="G401" s="9" t="s">
        <v>13</v>
      </c>
      <c r="H401" s="9" t="s">
        <v>8175</v>
      </c>
    </row>
    <row r="402" customFormat="false" ht="15.75" hidden="false" customHeight="false" outlineLevel="0" collapsed="false">
      <c r="B402" s="7" t="n">
        <v>46222</v>
      </c>
      <c r="C402" s="3" t="s">
        <v>8176</v>
      </c>
      <c r="D402" s="3" t="s">
        <v>7879</v>
      </c>
      <c r="E402" s="3" t="s">
        <v>8177</v>
      </c>
      <c r="F402" s="10" t="str">
        <f aca="false">HYPERLINK("https://www.inaturalist.org/people/diego26252","diego26252")</f>
        <v>diego26252</v>
      </c>
      <c r="G402" s="9" t="s">
        <v>13</v>
      </c>
      <c r="H402" s="9" t="s">
        <v>8178</v>
      </c>
    </row>
    <row r="403" customFormat="false" ht="15.75" hidden="false" customHeight="false" outlineLevel="0" collapsed="false">
      <c r="B403" s="7" t="n">
        <v>46222</v>
      </c>
      <c r="C403" s="3" t="s">
        <v>8179</v>
      </c>
      <c r="D403" s="3" t="s">
        <v>7879</v>
      </c>
      <c r="E403" s="3" t="s">
        <v>8180</v>
      </c>
      <c r="F403" s="10" t="str">
        <f aca="false">HYPERLINK("https://www.inaturalist.org/people/diego26252","diego26252")</f>
        <v>diego26252</v>
      </c>
      <c r="G403" s="9" t="s">
        <v>13</v>
      </c>
      <c r="H403" s="9" t="s">
        <v>8181</v>
      </c>
    </row>
    <row r="404" customFormat="false" ht="15.75" hidden="false" customHeight="false" outlineLevel="0" collapsed="false">
      <c r="B404" s="7" t="n">
        <v>46222</v>
      </c>
      <c r="C404" s="3" t="s">
        <v>8182</v>
      </c>
      <c r="D404" s="3" t="s">
        <v>7879</v>
      </c>
      <c r="E404" s="3" t="s">
        <v>8183</v>
      </c>
      <c r="F404" s="10" t="str">
        <f aca="false">HYPERLINK("https://www.inaturalist.org/people/wherenextnyc","wherenextnyc")</f>
        <v>wherenextnyc</v>
      </c>
      <c r="G404" s="9" t="s">
        <v>13</v>
      </c>
      <c r="H404" s="9" t="s">
        <v>8184</v>
      </c>
    </row>
    <row r="405" customFormat="false" ht="15.75" hidden="false" customHeight="false" outlineLevel="0" collapsed="false">
      <c r="B405" s="7" t="n">
        <v>46222</v>
      </c>
      <c r="C405" s="3" t="s">
        <v>8185</v>
      </c>
      <c r="D405" s="3" t="s">
        <v>7879</v>
      </c>
      <c r="E405" s="3" t="s">
        <v>8186</v>
      </c>
      <c r="F405" s="10" t="str">
        <f aca="false">HYPERLINK("https://www.inaturalist.org/people/david_broek","david_broek")</f>
        <v>david_broek</v>
      </c>
      <c r="G405" s="9" t="s">
        <v>13</v>
      </c>
      <c r="H405" s="9" t="s">
        <v>8187</v>
      </c>
    </row>
    <row r="406" customFormat="false" ht="15.75" hidden="false" customHeight="false" outlineLevel="0" collapsed="false">
      <c r="B406" s="7" t="n">
        <v>46222</v>
      </c>
      <c r="C406" s="3" t="s">
        <v>8188</v>
      </c>
      <c r="D406" s="3" t="s">
        <v>7879</v>
      </c>
      <c r="E406" s="3" t="s">
        <v>8189</v>
      </c>
      <c r="F406" s="10" t="str">
        <f aca="false">HYPERLINK("https://www.inaturalist.org/people/david_broek","david_broek")</f>
        <v>david_broek</v>
      </c>
      <c r="G406" s="9" t="s">
        <v>13</v>
      </c>
      <c r="H406" s="9" t="s">
        <v>8190</v>
      </c>
    </row>
    <row r="407" customFormat="false" ht="15.75" hidden="false" customHeight="false" outlineLevel="0" collapsed="false">
      <c r="B407" s="7" t="n">
        <v>46222</v>
      </c>
      <c r="C407" s="3" t="s">
        <v>8191</v>
      </c>
      <c r="D407" s="3" t="s">
        <v>7879</v>
      </c>
      <c r="E407" s="3" t="s">
        <v>8192</v>
      </c>
      <c r="F407" s="10" t="str">
        <f aca="false">HYPERLINK("https://www.inaturalist.org/people/zt90789","zt90789")</f>
        <v>zt90789</v>
      </c>
      <c r="G407" s="9" t="s">
        <v>13</v>
      </c>
      <c r="H407" s="9" t="s">
        <v>8193</v>
      </c>
    </row>
    <row r="408" customFormat="false" ht="15.75" hidden="false" customHeight="false" outlineLevel="0" collapsed="false">
      <c r="B408" s="7" t="n">
        <v>46222</v>
      </c>
      <c r="C408" s="3" t="s">
        <v>8194</v>
      </c>
      <c r="D408" s="3" t="s">
        <v>7879</v>
      </c>
      <c r="E408" s="3" t="s">
        <v>8195</v>
      </c>
      <c r="F408" s="10" t="str">
        <f aca="false">HYPERLINK("https://www.inaturalist.org/people/pierrickb","pierrickb")</f>
        <v>pierrickb</v>
      </c>
      <c r="G408" s="9" t="s">
        <v>13</v>
      </c>
      <c r="H408" s="9" t="s">
        <v>8196</v>
      </c>
    </row>
    <row r="409" customFormat="false" ht="15.75" hidden="false" customHeight="false" outlineLevel="0" collapsed="false">
      <c r="B409" s="7" t="n">
        <v>46222</v>
      </c>
      <c r="C409" s="3" t="s">
        <v>8197</v>
      </c>
      <c r="D409" s="3" t="s">
        <v>7879</v>
      </c>
      <c r="E409" s="3" t="s">
        <v>8198</v>
      </c>
      <c r="F409" s="10" t="str">
        <f aca="false">HYPERLINK("https://www.inaturalist.org/people/ljack84","ljack84")</f>
        <v>ljack84</v>
      </c>
      <c r="G409" s="9" t="s">
        <v>13</v>
      </c>
      <c r="H409" s="9" t="s">
        <v>8199</v>
      </c>
    </row>
    <row r="410" customFormat="false" ht="15.75" hidden="false" customHeight="false" outlineLevel="0" collapsed="false">
      <c r="B410" s="7" t="n">
        <v>46222</v>
      </c>
      <c r="C410" s="3" t="s">
        <v>8200</v>
      </c>
      <c r="D410" s="3" t="s">
        <v>7879</v>
      </c>
      <c r="E410" s="3" t="s">
        <v>8201</v>
      </c>
      <c r="F410" s="10" t="str">
        <f aca="false">HYPERLINK("https://www.inaturalist.org/people/kheperer","kheperer")</f>
        <v>kheperer</v>
      </c>
      <c r="G410" s="9" t="s">
        <v>13</v>
      </c>
      <c r="H410" s="9" t="s">
        <v>8202</v>
      </c>
    </row>
    <row r="411" customFormat="false" ht="15.75" hidden="false" customHeight="false" outlineLevel="0" collapsed="false">
      <c r="B411" s="7" t="n">
        <v>46222</v>
      </c>
      <c r="C411" s="3" t="s">
        <v>8203</v>
      </c>
      <c r="D411" s="3" t="s">
        <v>7879</v>
      </c>
      <c r="E411" s="3" t="s">
        <v>8204</v>
      </c>
      <c r="F411" s="10" t="str">
        <f aca="false">HYPERLINK("https://www.inaturalist.org/people/asamimina","asamimina")</f>
        <v>asamimina</v>
      </c>
      <c r="G411" s="9" t="s">
        <v>13</v>
      </c>
      <c r="H411" s="9" t="s">
        <v>8205</v>
      </c>
    </row>
    <row r="412" customFormat="false" ht="15.75" hidden="false" customHeight="false" outlineLevel="0" collapsed="false">
      <c r="B412" s="7" t="n">
        <v>46222</v>
      </c>
      <c r="C412" s="3" t="s">
        <v>8206</v>
      </c>
      <c r="D412" s="3" t="s">
        <v>7879</v>
      </c>
      <c r="E412" s="3" t="s">
        <v>8207</v>
      </c>
      <c r="F412" s="10" t="str">
        <f aca="false">HYPERLINK("https://www.inaturalist.org/people/cctoot5686","cctoot5686")</f>
        <v>cctoot5686</v>
      </c>
      <c r="G412" s="9" t="s">
        <v>13</v>
      </c>
      <c r="H412" s="9" t="s">
        <v>8208</v>
      </c>
    </row>
    <row r="413" customFormat="false" ht="15.75" hidden="false" customHeight="false" outlineLevel="0" collapsed="false">
      <c r="B413" s="7" t="n">
        <v>46222</v>
      </c>
      <c r="C413" s="3" t="s">
        <v>8209</v>
      </c>
      <c r="D413" s="3" t="s">
        <v>7879</v>
      </c>
      <c r="E413" s="3" t="s">
        <v>8210</v>
      </c>
      <c r="F413" s="10" t="str">
        <f aca="false">HYPERLINK("https://www.inaturalist.org/people/zoologistmitch","zoologistmitch")</f>
        <v>zoologistmitch</v>
      </c>
      <c r="G413" s="9" t="s">
        <v>13</v>
      </c>
      <c r="H413" s="9" t="s">
        <v>8211</v>
      </c>
    </row>
    <row r="414" customFormat="false" ht="15.75" hidden="false" customHeight="false" outlineLevel="0" collapsed="false">
      <c r="B414" s="7" t="n">
        <v>46222</v>
      </c>
      <c r="C414" s="3" t="s">
        <v>8212</v>
      </c>
      <c r="D414" s="3" t="s">
        <v>7879</v>
      </c>
      <c r="E414" s="3" t="s">
        <v>8213</v>
      </c>
      <c r="F414" s="10" t="str">
        <f aca="false">HYPERLINK("https://www.inaturalist.org/people/fra_21","fra_21")</f>
        <v>fra_21</v>
      </c>
      <c r="G414" s="9" t="s">
        <v>13</v>
      </c>
      <c r="H414" s="9" t="s">
        <v>8214</v>
      </c>
    </row>
    <row r="415" customFormat="false" ht="15.75" hidden="false" customHeight="false" outlineLevel="0" collapsed="false">
      <c r="B415" s="7" t="n">
        <v>46222</v>
      </c>
      <c r="C415" s="3" t="s">
        <v>8215</v>
      </c>
      <c r="D415" s="3" t="s">
        <v>7879</v>
      </c>
      <c r="E415" s="3" t="s">
        <v>8216</v>
      </c>
      <c r="F415" s="10" t="str">
        <f aca="false">HYPERLINK("https://www.inaturalist.org/people/drcolbert2","drcolbert2")</f>
        <v>drcolbert2</v>
      </c>
      <c r="G415" s="9" t="s">
        <v>13</v>
      </c>
      <c r="H415" s="9" t="s">
        <v>8217</v>
      </c>
    </row>
    <row r="416" customFormat="false" ht="15.75" hidden="false" customHeight="false" outlineLevel="0" collapsed="false">
      <c r="B416" s="7" t="n">
        <v>46222</v>
      </c>
      <c r="C416" s="3" t="s">
        <v>8218</v>
      </c>
      <c r="D416" s="3" t="s">
        <v>7879</v>
      </c>
      <c r="E416" s="3" t="s">
        <v>8219</v>
      </c>
      <c r="F416" s="10" t="str">
        <f aca="false">HYPERLINK("https://www.inaturalist.org/people/alanyip","alanyip")</f>
        <v>alanyip</v>
      </c>
      <c r="G416" s="9" t="s">
        <v>13</v>
      </c>
      <c r="H416" s="9" t="s">
        <v>8220</v>
      </c>
    </row>
    <row r="417" customFormat="false" ht="15.75" hidden="false" customHeight="false" outlineLevel="0" collapsed="false">
      <c r="B417" s="7" t="n">
        <v>46222</v>
      </c>
      <c r="C417" s="3" t="s">
        <v>8221</v>
      </c>
      <c r="D417" s="3" t="s">
        <v>7879</v>
      </c>
      <c r="E417" s="3" t="s">
        <v>8222</v>
      </c>
      <c r="F417" s="10" t="str">
        <f aca="false">HYPERLINK("https://www.inaturalist.org/people/serenae","serenae")</f>
        <v>serenae</v>
      </c>
      <c r="G417" s="9" t="s">
        <v>13</v>
      </c>
      <c r="H417" s="9" t="s">
        <v>8223</v>
      </c>
    </row>
    <row r="418" customFormat="false" ht="15.75" hidden="false" customHeight="false" outlineLevel="0" collapsed="false">
      <c r="B418" s="7" t="n">
        <v>46222</v>
      </c>
      <c r="C418" s="3" t="s">
        <v>8224</v>
      </c>
      <c r="D418" s="3" t="s">
        <v>7879</v>
      </c>
      <c r="E418" s="3" t="s">
        <v>8225</v>
      </c>
      <c r="F418" s="10" t="str">
        <f aca="false">HYPERLINK("https://www.inaturalist.org/people/yinlinbolus","yinlinbolus")</f>
        <v>yinlinbolus</v>
      </c>
      <c r="G418" s="9" t="s">
        <v>13</v>
      </c>
      <c r="H418" s="9" t="s">
        <v>8226</v>
      </c>
    </row>
    <row r="419" customFormat="false" ht="15.75" hidden="false" customHeight="false" outlineLevel="0" collapsed="false">
      <c r="B419" s="7" t="n">
        <v>46222</v>
      </c>
      <c r="C419" s="3" t="s">
        <v>8227</v>
      </c>
      <c r="D419" s="3" t="s">
        <v>7879</v>
      </c>
      <c r="E419" s="3" t="s">
        <v>8228</v>
      </c>
      <c r="F419" s="10" t="str">
        <f aca="false">HYPERLINK("https://www.inaturalist.org/people/wei_xz","wei_xz")</f>
        <v>wei_xz</v>
      </c>
      <c r="G419" s="9" t="s">
        <v>13</v>
      </c>
      <c r="H419" s="9" t="s">
        <v>8229</v>
      </c>
    </row>
    <row r="420" customFormat="false" ht="15.75" hidden="false" customHeight="false" outlineLevel="0" collapsed="false">
      <c r="B420" s="7" t="n">
        <v>46222</v>
      </c>
      <c r="C420" s="3" t="s">
        <v>8230</v>
      </c>
      <c r="D420" s="3" t="s">
        <v>7879</v>
      </c>
      <c r="E420" s="3" t="s">
        <v>8231</v>
      </c>
      <c r="F420" s="10" t="str">
        <f aca="false">HYPERLINK("https://www.inaturalist.org/people/thesafarihiker","thesafarihiker")</f>
        <v>thesafarihiker</v>
      </c>
      <c r="G420" s="9" t="s">
        <v>13</v>
      </c>
      <c r="H420" s="9" t="s">
        <v>8232</v>
      </c>
    </row>
    <row r="421" customFormat="false" ht="15.75" hidden="false" customHeight="false" outlineLevel="0" collapsed="false">
      <c r="B421" s="7" t="n">
        <v>46222</v>
      </c>
      <c r="C421" s="3" t="s">
        <v>8233</v>
      </c>
      <c r="D421" s="3" t="s">
        <v>7879</v>
      </c>
      <c r="E421" s="3" t="s">
        <v>8234</v>
      </c>
      <c r="F421" s="10" t="str">
        <f aca="false">HYPERLINK("https://www.inaturalist.org/people/ashlight","ashlight")</f>
        <v>ashlight</v>
      </c>
      <c r="G421" s="9" t="s">
        <v>13</v>
      </c>
      <c r="H421" s="9" t="s">
        <v>8235</v>
      </c>
    </row>
    <row r="422" customFormat="false" ht="15.75" hidden="false" customHeight="false" outlineLevel="0" collapsed="false">
      <c r="B422" s="7" t="n">
        <v>46222</v>
      </c>
      <c r="C422" s="3" t="s">
        <v>8236</v>
      </c>
      <c r="D422" s="3" t="s">
        <v>7879</v>
      </c>
      <c r="E422" s="3" t="s">
        <v>8237</v>
      </c>
      <c r="F422" s="10" t="str">
        <f aca="false">HYPERLINK("https://www.inaturalist.org/people/josuergg","josuergg")</f>
        <v>josuergg</v>
      </c>
      <c r="G422" s="9" t="s">
        <v>13</v>
      </c>
      <c r="H422" s="9" t="s">
        <v>8238</v>
      </c>
    </row>
    <row r="423" customFormat="false" ht="15.75" hidden="false" customHeight="false" outlineLevel="0" collapsed="false">
      <c r="B423" s="7" t="n">
        <v>46222</v>
      </c>
      <c r="C423" s="3" t="s">
        <v>8239</v>
      </c>
      <c r="D423" s="3" t="s">
        <v>7879</v>
      </c>
      <c r="E423" s="3" t="s">
        <v>8240</v>
      </c>
      <c r="F423" s="10" t="str">
        <f aca="false">HYPERLINK("https://www.inaturalist.org/people/daves_biosphere","daves_biosphere")</f>
        <v>daves_biosphere</v>
      </c>
      <c r="G423" s="9" t="s">
        <v>13</v>
      </c>
      <c r="H423" s="9" t="s">
        <v>8241</v>
      </c>
    </row>
    <row r="424" customFormat="false" ht="15.75" hidden="false" customHeight="false" outlineLevel="0" collapsed="false">
      <c r="B424" s="7" t="n">
        <v>46222</v>
      </c>
      <c r="C424" s="3" t="s">
        <v>8242</v>
      </c>
      <c r="D424" s="3" t="s">
        <v>7879</v>
      </c>
      <c r="E424" s="3" t="s">
        <v>8243</v>
      </c>
      <c r="F424" s="10" t="str">
        <f aca="false">HYPERLINK("https://www.inaturalist.org/people/seamus31070","seamus31070")</f>
        <v>seamus31070</v>
      </c>
      <c r="G424" s="9" t="s">
        <v>13</v>
      </c>
      <c r="H424" s="9" t="s">
        <v>8244</v>
      </c>
    </row>
    <row r="425" customFormat="false" ht="15.75" hidden="false" customHeight="false" outlineLevel="0" collapsed="false">
      <c r="B425" s="7" t="n">
        <v>46222</v>
      </c>
      <c r="C425" s="3" t="s">
        <v>8245</v>
      </c>
      <c r="D425" s="3" t="s">
        <v>7879</v>
      </c>
      <c r="E425" s="3" t="s">
        <v>8246</v>
      </c>
      <c r="F425" s="10" t="str">
        <f aca="false">HYPERLINK("https://www.inaturalist.org/people/louis_marsaud","louis_marsaud")</f>
        <v>louis_marsaud</v>
      </c>
      <c r="G425" s="9" t="s">
        <v>13</v>
      </c>
      <c r="H425" s="9" t="s">
        <v>8247</v>
      </c>
    </row>
    <row r="426" customFormat="false" ht="15.75" hidden="false" customHeight="false" outlineLevel="0" collapsed="false">
      <c r="B426" s="7" t="n">
        <v>46222</v>
      </c>
      <c r="C426" s="3" t="s">
        <v>8248</v>
      </c>
      <c r="D426" s="3" t="s">
        <v>7879</v>
      </c>
      <c r="E426" s="3" t="s">
        <v>8249</v>
      </c>
      <c r="F426" s="10" t="str">
        <f aca="false">HYPERLINK("https://www.inaturalist.org/people/sgqp","sgqp")</f>
        <v>sgqp</v>
      </c>
      <c r="G426" s="9" t="s">
        <v>13</v>
      </c>
      <c r="H426" s="9" t="s">
        <v>8250</v>
      </c>
    </row>
    <row r="427" customFormat="false" ht="15.75" hidden="false" customHeight="false" outlineLevel="0" collapsed="false">
      <c r="B427" s="7" t="n">
        <v>46222</v>
      </c>
      <c r="C427" s="3" t="s">
        <v>8251</v>
      </c>
      <c r="D427" s="3" t="s">
        <v>7879</v>
      </c>
      <c r="E427" s="3" t="s">
        <v>8252</v>
      </c>
      <c r="F427" s="10" t="str">
        <f aca="false">HYPERLINK("https://www.inaturalist.org/people/ionace","ionace")</f>
        <v>ionace</v>
      </c>
      <c r="G427" s="9" t="s">
        <v>13</v>
      </c>
      <c r="H427" s="9" t="s">
        <v>8253</v>
      </c>
    </row>
    <row r="428" customFormat="false" ht="15.75" hidden="false" customHeight="false" outlineLevel="0" collapsed="false">
      <c r="B428" s="7" t="n">
        <v>46222</v>
      </c>
      <c r="C428" s="3" t="s">
        <v>8254</v>
      </c>
      <c r="D428" s="3" t="s">
        <v>7879</v>
      </c>
      <c r="E428" s="3" t="s">
        <v>8255</v>
      </c>
      <c r="F428" s="10" t="str">
        <f aca="false">HYPERLINK("https://www.inaturalist.org/people/julinaan","julinaan")</f>
        <v>julinaan</v>
      </c>
      <c r="G428" s="9" t="s">
        <v>13</v>
      </c>
      <c r="H428" s="9" t="s">
        <v>8256</v>
      </c>
    </row>
    <row r="429" customFormat="false" ht="15.75" hidden="false" customHeight="false" outlineLevel="0" collapsed="false">
      <c r="B429" s="7" t="n">
        <v>46222</v>
      </c>
      <c r="C429" s="3" t="s">
        <v>8257</v>
      </c>
      <c r="D429" s="3" t="s">
        <v>7879</v>
      </c>
      <c r="E429" s="3" t="s">
        <v>8258</v>
      </c>
      <c r="F429" s="10" t="str">
        <f aca="false">HYPERLINK("https://www.inaturalist.org/people/pp811212","pp811212")</f>
        <v>pp811212</v>
      </c>
      <c r="G429" s="9" t="s">
        <v>13</v>
      </c>
      <c r="H429" s="9" t="s">
        <v>8259</v>
      </c>
    </row>
    <row r="430" customFormat="false" ht="15.75" hidden="false" customHeight="false" outlineLevel="0" collapsed="false">
      <c r="B430" s="7" t="n">
        <v>46222</v>
      </c>
      <c r="C430" s="3" t="s">
        <v>8260</v>
      </c>
      <c r="D430" s="3" t="s">
        <v>7879</v>
      </c>
      <c r="E430" s="3" t="s">
        <v>8261</v>
      </c>
      <c r="F430" s="10" t="str">
        <f aca="false">HYPERLINK("https://www.inaturalist.org/people/agatica","agatica")</f>
        <v>agatica</v>
      </c>
      <c r="G430" s="9" t="s">
        <v>13</v>
      </c>
      <c r="H430" s="9" t="s">
        <v>8262</v>
      </c>
    </row>
    <row r="431" customFormat="false" ht="15.75" hidden="false" customHeight="false" outlineLevel="0" collapsed="false">
      <c r="B431" s="7" t="n">
        <v>46222</v>
      </c>
      <c r="C431" s="3" t="s">
        <v>8263</v>
      </c>
      <c r="D431" s="3" t="s">
        <v>7879</v>
      </c>
      <c r="E431" s="3" t="s">
        <v>8264</v>
      </c>
      <c r="F431" s="10" t="str">
        <f aca="false">HYPERLINK("https://www.inaturalist.org/people/david_broek","david_broek")</f>
        <v>david_broek</v>
      </c>
      <c r="G431" s="9" t="s">
        <v>13</v>
      </c>
      <c r="H431" s="9" t="s">
        <v>8265</v>
      </c>
    </row>
    <row r="432" customFormat="false" ht="15.75" hidden="false" customHeight="false" outlineLevel="0" collapsed="false">
      <c r="B432" s="7" t="n">
        <v>46222</v>
      </c>
      <c r="C432" s="3" t="s">
        <v>8266</v>
      </c>
      <c r="D432" s="3" t="s">
        <v>7879</v>
      </c>
      <c r="E432" s="3" t="s">
        <v>8267</v>
      </c>
      <c r="F432" s="10" t="str">
        <f aca="false">HYPERLINK("https://www.inaturalist.org/people/alexgrabsacamera1","alexgrabsacamera1")</f>
        <v>alexgrabsacamera1</v>
      </c>
      <c r="G432" s="9" t="s">
        <v>13</v>
      </c>
      <c r="H432" s="9" t="s">
        <v>8268</v>
      </c>
    </row>
    <row r="433" customFormat="false" ht="15.75" hidden="false" customHeight="false" outlineLevel="0" collapsed="false">
      <c r="B433" s="7" t="n">
        <v>46222</v>
      </c>
      <c r="C433" s="3" t="s">
        <v>8269</v>
      </c>
      <c r="D433" s="3" t="s">
        <v>7879</v>
      </c>
      <c r="E433" s="3" t="s">
        <v>8270</v>
      </c>
      <c r="F433" s="10" t="str">
        <f aca="false">HYPERLINK("https://www.inaturalist.org/people/leonardo_voliani","leonardo_voliani")</f>
        <v>leonardo_voliani</v>
      </c>
      <c r="G433" s="9" t="s">
        <v>13</v>
      </c>
      <c r="H433" s="9" t="s">
        <v>8271</v>
      </c>
    </row>
    <row r="434" customFormat="false" ht="15.75" hidden="false" customHeight="false" outlineLevel="0" collapsed="false">
      <c r="B434" s="7" t="n">
        <v>46222</v>
      </c>
      <c r="C434" s="3" t="s">
        <v>8272</v>
      </c>
      <c r="D434" s="3" t="s">
        <v>7879</v>
      </c>
      <c r="E434" s="3" t="s">
        <v>8273</v>
      </c>
      <c r="F434" s="10" t="str">
        <f aca="false">HYPERLINK("https://www.inaturalist.org/people/akiyamamizuki","akiyamamizuki")</f>
        <v>akiyamamizuki</v>
      </c>
      <c r="G434" s="9" t="s">
        <v>13</v>
      </c>
      <c r="H434" s="9" t="s">
        <v>8274</v>
      </c>
    </row>
    <row r="435" customFormat="false" ht="15.75" hidden="false" customHeight="false" outlineLevel="0" collapsed="false">
      <c r="B435" s="7" t="n">
        <v>46222</v>
      </c>
      <c r="C435" s="3" t="s">
        <v>8275</v>
      </c>
      <c r="D435" s="3" t="s">
        <v>7879</v>
      </c>
      <c r="E435" s="3" t="s">
        <v>8276</v>
      </c>
      <c r="F435" s="10" t="str">
        <f aca="false">HYPERLINK("https://www.inaturalist.org/people/angel_luis_mendez27","angel_luis_mendez27")</f>
        <v>angel_luis_mendez27</v>
      </c>
      <c r="G435" s="9" t="s">
        <v>13</v>
      </c>
      <c r="H435" s="9" t="s">
        <v>8277</v>
      </c>
    </row>
    <row r="436" customFormat="false" ht="15.75" hidden="false" customHeight="false" outlineLevel="0" collapsed="false">
      <c r="B436" s="7" t="n">
        <v>46222</v>
      </c>
      <c r="C436" s="3" t="s">
        <v>8278</v>
      </c>
      <c r="D436" s="3" t="s">
        <v>7879</v>
      </c>
      <c r="E436" s="3" t="s">
        <v>8279</v>
      </c>
      <c r="F436" s="10" t="str">
        <f aca="false">HYPERLINK("https://www.inaturalist.org/people/jonhakim","jonhakim")</f>
        <v>jonhakim</v>
      </c>
      <c r="G436" s="9" t="s">
        <v>13</v>
      </c>
      <c r="H436" s="9" t="s">
        <v>8280</v>
      </c>
    </row>
    <row r="437" customFormat="false" ht="15.75" hidden="false" customHeight="false" outlineLevel="0" collapsed="false">
      <c r="B437" s="7" t="n">
        <v>46222</v>
      </c>
      <c r="C437" s="3" t="s">
        <v>8281</v>
      </c>
      <c r="D437" s="3" t="s">
        <v>7879</v>
      </c>
      <c r="E437" s="3" t="s">
        <v>8282</v>
      </c>
      <c r="F437" s="10" t="str">
        <f aca="false">HYPERLINK("https://www.inaturalist.org/people/jareddodson","jareddodson")</f>
        <v>jareddodson</v>
      </c>
      <c r="G437" s="9" t="s">
        <v>13</v>
      </c>
      <c r="H437" s="9" t="s">
        <v>8283</v>
      </c>
    </row>
    <row r="438" customFormat="false" ht="15.75" hidden="false" customHeight="false" outlineLevel="0" collapsed="false">
      <c r="B438" s="7" t="n">
        <v>46222</v>
      </c>
      <c r="C438" s="3" t="s">
        <v>8284</v>
      </c>
      <c r="D438" s="3" t="s">
        <v>7879</v>
      </c>
      <c r="E438" s="3" t="s">
        <v>8285</v>
      </c>
      <c r="F438" s="10" t="str">
        <f aca="false">HYPERLINK("https://www.inaturalist.org/people/jmiskowic","jmiskowic")</f>
        <v>jmiskowic</v>
      </c>
      <c r="G438" s="9" t="s">
        <v>13</v>
      </c>
      <c r="H438" s="9" t="s">
        <v>8286</v>
      </c>
    </row>
    <row r="439" customFormat="false" ht="15.75" hidden="false" customHeight="false" outlineLevel="0" collapsed="false">
      <c r="B439" s="7" t="n">
        <v>46222</v>
      </c>
      <c r="C439" s="3" t="s">
        <v>8287</v>
      </c>
      <c r="D439" s="3" t="s">
        <v>7879</v>
      </c>
      <c r="E439" s="3" t="s">
        <v>8288</v>
      </c>
      <c r="F439" s="10" t="str">
        <f aca="false">HYPERLINK("https://www.inaturalist.org/people/cneoridium","cneoridium")</f>
        <v>cneoridium</v>
      </c>
      <c r="G439" s="9" t="s">
        <v>13</v>
      </c>
      <c r="H439" s="9" t="s">
        <v>8289</v>
      </c>
    </row>
    <row r="440" customFormat="false" ht="15.75" hidden="false" customHeight="false" outlineLevel="0" collapsed="false">
      <c r="B440" s="7" t="n">
        <v>46222</v>
      </c>
      <c r="C440" s="3" t="s">
        <v>8290</v>
      </c>
      <c r="D440" s="3" t="s">
        <v>7879</v>
      </c>
      <c r="E440" s="3" t="s">
        <v>8291</v>
      </c>
      <c r="F440" s="10" t="str">
        <f aca="false">HYPERLINK("https://www.inaturalist.org/people/jasen_liu","jasen_liu")</f>
        <v>jasen_liu</v>
      </c>
      <c r="G440" s="9" t="s">
        <v>13</v>
      </c>
      <c r="H440" s="9" t="s">
        <v>8292</v>
      </c>
    </row>
    <row r="441" customFormat="false" ht="15.75" hidden="false" customHeight="false" outlineLevel="0" collapsed="false">
      <c r="B441" s="7" t="n">
        <v>46222</v>
      </c>
      <c r="C441" s="3" t="s">
        <v>8293</v>
      </c>
      <c r="D441" s="3" t="s">
        <v>7879</v>
      </c>
      <c r="E441" s="3" t="s">
        <v>8294</v>
      </c>
      <c r="F441" s="10" t="str">
        <f aca="false">HYPERLINK("https://www.inaturalist.org/people/bdg2001","bdg2001")</f>
        <v>bdg2001</v>
      </c>
      <c r="G441" s="9" t="s">
        <v>13</v>
      </c>
      <c r="H441" s="9" t="s">
        <v>8295</v>
      </c>
    </row>
    <row r="442" customFormat="false" ht="15.75" hidden="false" customHeight="false" outlineLevel="0" collapsed="false">
      <c r="B442" s="7" t="n">
        <v>46222</v>
      </c>
      <c r="C442" s="3" t="s">
        <v>8296</v>
      </c>
      <c r="D442" s="3" t="s">
        <v>7879</v>
      </c>
      <c r="E442" s="3" t="s">
        <v>8297</v>
      </c>
      <c r="F442" s="10" t="str">
        <f aca="false">HYPERLINK("https://www.inaturalist.org/people/cerambycidaeguy","cerambycidaeguy")</f>
        <v>cerambycidaeguy</v>
      </c>
      <c r="G442" s="9" t="s">
        <v>13</v>
      </c>
      <c r="H442" s="9" t="s">
        <v>8298</v>
      </c>
    </row>
    <row r="443" customFormat="false" ht="15.75" hidden="false" customHeight="false" outlineLevel="0" collapsed="false">
      <c r="B443" s="7" t="n">
        <v>46222</v>
      </c>
      <c r="C443" s="3" t="s">
        <v>8299</v>
      </c>
      <c r="D443" s="3" t="s">
        <v>7879</v>
      </c>
      <c r="E443" s="3" t="s">
        <v>8300</v>
      </c>
      <c r="F443" s="10" t="str">
        <f aca="false">HYPERLINK("https://www.inaturalist.org/people/cotisnecto","cotisnecto")</f>
        <v>cotisnecto</v>
      </c>
      <c r="G443" s="9" t="s">
        <v>13</v>
      </c>
      <c r="H443" s="9" t="s">
        <v>8301</v>
      </c>
    </row>
    <row r="444" customFormat="false" ht="15.75" hidden="false" customHeight="false" outlineLevel="0" collapsed="false">
      <c r="B444" s="7" t="n">
        <v>46222</v>
      </c>
      <c r="C444" s="3" t="s">
        <v>8302</v>
      </c>
      <c r="D444" s="3" t="s">
        <v>7879</v>
      </c>
      <c r="E444" s="3" t="s">
        <v>8303</v>
      </c>
      <c r="F444" s="10" t="str">
        <f aca="false">HYPERLINK("https://www.inaturalist.org/people/kaylakleinbauer","kaylakleinbauer")</f>
        <v>kaylakleinbauer</v>
      </c>
      <c r="G444" s="9" t="s">
        <v>13</v>
      </c>
      <c r="H444" s="9" t="s">
        <v>8304</v>
      </c>
    </row>
    <row r="445" customFormat="false" ht="15.75" hidden="false" customHeight="false" outlineLevel="0" collapsed="false">
      <c r="B445" s="7" t="n">
        <v>46222</v>
      </c>
      <c r="C445" s="3" t="s">
        <v>8305</v>
      </c>
      <c r="D445" s="3" t="s">
        <v>7879</v>
      </c>
      <c r="E445" s="3" t="s">
        <v>8306</v>
      </c>
      <c r="F445" s="10" t="str">
        <f aca="false">HYPERLINK("https://www.inaturalist.org/people/david_broek","david_broek")</f>
        <v>david_broek</v>
      </c>
      <c r="G445" s="9" t="s">
        <v>13</v>
      </c>
      <c r="H445" s="9" t="s">
        <v>8307</v>
      </c>
    </row>
    <row r="446" customFormat="false" ht="15.75" hidden="false" customHeight="false" outlineLevel="0" collapsed="false">
      <c r="B446" s="7" t="n">
        <v>46222</v>
      </c>
      <c r="C446" s="3" t="s">
        <v>8308</v>
      </c>
      <c r="D446" s="3" t="s">
        <v>7879</v>
      </c>
      <c r="E446" s="3" t="s">
        <v>8309</v>
      </c>
      <c r="F446" s="10" t="str">
        <f aca="false">HYPERLINK("https://www.inaturalist.org/people/keithbrady","keithbrady")</f>
        <v>keithbrady</v>
      </c>
      <c r="G446" s="9" t="s">
        <v>13</v>
      </c>
      <c r="H446" s="9" t="s">
        <v>8310</v>
      </c>
    </row>
    <row r="447" customFormat="false" ht="15.75" hidden="false" customHeight="false" outlineLevel="0" collapsed="false">
      <c r="B447" s="7" t="n">
        <v>46222</v>
      </c>
      <c r="C447" s="3" t="s">
        <v>8311</v>
      </c>
      <c r="D447" s="3" t="s">
        <v>7879</v>
      </c>
      <c r="E447" s="3" t="s">
        <v>8312</v>
      </c>
      <c r="F447" s="10" t="str">
        <f aca="false">HYPERLINK("https://www.inaturalist.org/people/sandrapalomino","sandrapalomino")</f>
        <v>sandrapalomino</v>
      </c>
      <c r="G447" s="9" t="s">
        <v>13</v>
      </c>
      <c r="H447" s="9" t="s">
        <v>8313</v>
      </c>
    </row>
    <row r="448" customFormat="false" ht="15.75" hidden="false" customHeight="false" outlineLevel="0" collapsed="false">
      <c r="B448" s="7" t="n">
        <v>46222</v>
      </c>
      <c r="C448" s="3" t="s">
        <v>8314</v>
      </c>
      <c r="D448" s="3" t="s">
        <v>7879</v>
      </c>
      <c r="E448" s="3" t="s">
        <v>8315</v>
      </c>
      <c r="F448" s="10" t="str">
        <f aca="false">HYPERLINK("https://www.inaturalist.org/people/turbidity_titan","turbidity_titan")</f>
        <v>turbidity_titan</v>
      </c>
      <c r="G448" s="9" t="s">
        <v>13</v>
      </c>
      <c r="H448" s="9" t="s">
        <v>8316</v>
      </c>
    </row>
    <row r="449" customFormat="false" ht="15.75" hidden="false" customHeight="false" outlineLevel="0" collapsed="false">
      <c r="B449" s="7" t="n">
        <v>46222</v>
      </c>
      <c r="C449" s="3" t="s">
        <v>8317</v>
      </c>
      <c r="D449" s="3" t="s">
        <v>7879</v>
      </c>
      <c r="E449" s="3" t="s">
        <v>8318</v>
      </c>
      <c r="F449" s="10" t="str">
        <f aca="false">HYPERLINK("https://www.inaturalist.org/people/braydophyte","braydophyte")</f>
        <v>braydophyte</v>
      </c>
      <c r="G449" s="9" t="s">
        <v>13</v>
      </c>
      <c r="H449" s="9" t="s">
        <v>8319</v>
      </c>
    </row>
    <row r="450" customFormat="false" ht="15.75" hidden="false" customHeight="false" outlineLevel="0" collapsed="false">
      <c r="B450" s="7" t="n">
        <v>46222</v>
      </c>
      <c r="C450" s="3" t="s">
        <v>8320</v>
      </c>
      <c r="D450" s="3" t="s">
        <v>7879</v>
      </c>
      <c r="E450" s="3" t="s">
        <v>8321</v>
      </c>
      <c r="F450" s="10" t="str">
        <f aca="false">HYPERLINK("https://www.inaturalist.org/people/daniel-1232","daniel-1232")</f>
        <v>daniel-1232</v>
      </c>
      <c r="G450" s="9" t="s">
        <v>13</v>
      </c>
      <c r="H450" s="9" t="s">
        <v>8322</v>
      </c>
    </row>
    <row r="451" customFormat="false" ht="15.75" hidden="false" customHeight="false" outlineLevel="0" collapsed="false">
      <c r="B451" s="7" t="n">
        <v>46222</v>
      </c>
      <c r="C451" s="3" t="s">
        <v>8323</v>
      </c>
      <c r="D451" s="3" t="s">
        <v>7879</v>
      </c>
      <c r="E451" s="3" t="s">
        <v>8324</v>
      </c>
      <c r="F451" s="10" t="str">
        <f aca="false">HYPERLINK("https://www.inaturalist.org/people/chris_ca","chris_ca")</f>
        <v>chris_ca</v>
      </c>
      <c r="G451" s="9" t="s">
        <v>13</v>
      </c>
      <c r="H451" s="9" t="s">
        <v>8325</v>
      </c>
    </row>
    <row r="452" customFormat="false" ht="15.75" hidden="false" customHeight="false" outlineLevel="0" collapsed="false">
      <c r="B452" s="7" t="n">
        <v>46222</v>
      </c>
      <c r="C452" s="3" t="s">
        <v>8326</v>
      </c>
      <c r="D452" s="3" t="s">
        <v>7879</v>
      </c>
      <c r="E452" s="3" t="s">
        <v>8327</v>
      </c>
      <c r="F452" s="10" t="str">
        <f aca="false">HYPERLINK("https://www.inaturalist.org/people/f_biguzzi","f_biguzzi")</f>
        <v>f_biguzzi</v>
      </c>
      <c r="G452" s="9" t="s">
        <v>13</v>
      </c>
      <c r="H452" s="9" t="s">
        <v>8328</v>
      </c>
    </row>
    <row r="453" customFormat="false" ht="15.75" hidden="false" customHeight="false" outlineLevel="0" collapsed="false">
      <c r="B453" s="7" t="n">
        <v>46222</v>
      </c>
      <c r="C453" s="3" t="s">
        <v>8329</v>
      </c>
      <c r="D453" s="3" t="s">
        <v>7879</v>
      </c>
      <c r="E453" s="3" t="s">
        <v>8330</v>
      </c>
      <c r="F453" s="10" t="str">
        <f aca="false">HYPERLINK("https://www.inaturalist.org/people/f_biguzzi","f_biguzzi")</f>
        <v>f_biguzzi</v>
      </c>
      <c r="G453" s="9" t="s">
        <v>13</v>
      </c>
      <c r="H453" s="9" t="s">
        <v>8331</v>
      </c>
    </row>
    <row r="454" customFormat="false" ht="15.75" hidden="false" customHeight="false" outlineLevel="0" collapsed="false">
      <c r="B454" s="7" t="n">
        <v>46222</v>
      </c>
      <c r="C454" s="3" t="s">
        <v>8332</v>
      </c>
      <c r="D454" s="3" t="s">
        <v>7879</v>
      </c>
      <c r="E454" s="3" t="s">
        <v>8333</v>
      </c>
      <c r="F454" s="10" t="str">
        <f aca="false">HYPERLINK("https://www.inaturalist.org/people/loisbouchet","loisbouchet")</f>
        <v>loisbouchet</v>
      </c>
      <c r="G454" s="9" t="s">
        <v>13</v>
      </c>
      <c r="H454" s="9" t="s">
        <v>8334</v>
      </c>
    </row>
    <row r="455" customFormat="false" ht="15.75" hidden="false" customHeight="false" outlineLevel="0" collapsed="false">
      <c r="B455" s="7" t="n">
        <v>46222</v>
      </c>
      <c r="C455" s="3" t="s">
        <v>8335</v>
      </c>
      <c r="D455" s="3" t="s">
        <v>7879</v>
      </c>
      <c r="E455" s="3" t="s">
        <v>8336</v>
      </c>
      <c r="F455" s="10" t="str">
        <f aca="false">HYPERLINK("https://www.inaturalist.org/people/le_shilong","le_shilong")</f>
        <v>le_shilong</v>
      </c>
      <c r="G455" s="9" t="s">
        <v>13</v>
      </c>
      <c r="H455" s="9" t="s">
        <v>8337</v>
      </c>
    </row>
    <row r="456" customFormat="false" ht="15.75" hidden="false" customHeight="false" outlineLevel="0" collapsed="false">
      <c r="B456" s="7" t="n">
        <v>46222</v>
      </c>
      <c r="C456" s="3" t="s">
        <v>8338</v>
      </c>
      <c r="D456" s="3" t="s">
        <v>7879</v>
      </c>
      <c r="E456" s="3" t="s">
        <v>8339</v>
      </c>
      <c r="F456" s="10" t="str">
        <f aca="false">HYPERLINK("https://www.inaturalist.org/people/rdv4","rdv4")</f>
        <v>rdv4</v>
      </c>
      <c r="G456" s="9" t="s">
        <v>13</v>
      </c>
      <c r="H456" s="9" t="s">
        <v>8340</v>
      </c>
    </row>
    <row r="457" customFormat="false" ht="15.75" hidden="false" customHeight="false" outlineLevel="0" collapsed="false">
      <c r="B457" s="7" t="n">
        <v>46222</v>
      </c>
      <c r="C457" s="3" t="s">
        <v>8341</v>
      </c>
      <c r="D457" s="3" t="s">
        <v>7879</v>
      </c>
      <c r="E457" s="3" t="s">
        <v>8342</v>
      </c>
      <c r="F457" s="10" t="str">
        <f aca="false">HYPERLINK("https://www.inaturalist.org/people/erratt","erratt")</f>
        <v>erratt</v>
      </c>
      <c r="G457" s="9" t="s">
        <v>13</v>
      </c>
      <c r="H457" s="9" t="s">
        <v>8343</v>
      </c>
    </row>
    <row r="458" customFormat="false" ht="15.75" hidden="false" customHeight="false" outlineLevel="0" collapsed="false">
      <c r="B458" s="7" t="n">
        <v>46222</v>
      </c>
      <c r="C458" s="3" t="s">
        <v>8344</v>
      </c>
      <c r="D458" s="3" t="s">
        <v>7879</v>
      </c>
      <c r="E458" s="3" t="s">
        <v>8345</v>
      </c>
      <c r="F458" s="10" t="str">
        <f aca="false">HYPERLINK("https://www.inaturalist.org/people/kai_schablewski","kai_schablewski")</f>
        <v>kai_schablewski</v>
      </c>
      <c r="G458" s="9" t="s">
        <v>13</v>
      </c>
      <c r="H458" s="9" t="s">
        <v>8346</v>
      </c>
    </row>
    <row r="459" customFormat="false" ht="15.75" hidden="false" customHeight="false" outlineLevel="0" collapsed="false">
      <c r="B459" s="7" t="n">
        <v>46222</v>
      </c>
      <c r="C459" s="3" t="s">
        <v>8347</v>
      </c>
      <c r="D459" s="3" t="s">
        <v>7879</v>
      </c>
      <c r="E459" s="3" t="s">
        <v>8348</v>
      </c>
      <c r="F459" s="10" t="str">
        <f aca="false">HYPERLINK("https://www.inaturalist.org/people/yukailu","yukailu")</f>
        <v>yukailu</v>
      </c>
      <c r="G459" s="9" t="s">
        <v>13</v>
      </c>
      <c r="H459" s="9" t="s">
        <v>8349</v>
      </c>
    </row>
    <row r="460" customFormat="false" ht="15.75" hidden="false" customHeight="false" outlineLevel="0" collapsed="false">
      <c r="B460" s="7" t="n">
        <v>46222</v>
      </c>
      <c r="C460" s="3" t="s">
        <v>8350</v>
      </c>
      <c r="D460" s="3" t="s">
        <v>7879</v>
      </c>
      <c r="E460" s="3" t="s">
        <v>8351</v>
      </c>
      <c r="F460" s="10" t="str">
        <f aca="false">HYPERLINK("https://www.inaturalist.org/people/aboulmay","aboulmay")</f>
        <v>aboulmay</v>
      </c>
      <c r="G460" s="9" t="s">
        <v>13</v>
      </c>
      <c r="H460" s="9" t="s">
        <v>8352</v>
      </c>
    </row>
    <row r="461" customFormat="false" ht="15.75" hidden="false" customHeight="false" outlineLevel="0" collapsed="false">
      <c r="B461" s="7" t="n">
        <v>46222</v>
      </c>
      <c r="C461" s="3" t="s">
        <v>8353</v>
      </c>
      <c r="D461" s="3" t="s">
        <v>7879</v>
      </c>
      <c r="E461" s="3" t="s">
        <v>8354</v>
      </c>
      <c r="F461" s="10" t="str">
        <f aca="false">HYPERLINK("https://www.inaturalist.org/people/jonhakim","jonhakim")</f>
        <v>jonhakim</v>
      </c>
      <c r="G461" s="9" t="s">
        <v>13</v>
      </c>
      <c r="H461" s="9" t="s">
        <v>8355</v>
      </c>
    </row>
    <row r="462" customFormat="false" ht="15.75" hidden="false" customHeight="false" outlineLevel="0" collapsed="false">
      <c r="B462" s="7" t="n">
        <v>46222</v>
      </c>
      <c r="C462" s="3" t="s">
        <v>8356</v>
      </c>
      <c r="D462" s="3" t="s">
        <v>7879</v>
      </c>
      <c r="E462" s="3" t="s">
        <v>8357</v>
      </c>
      <c r="F462" s="10" t="str">
        <f aca="false">HYPERLINK("https://www.inaturalist.org/people/wildbennett","wildbennett")</f>
        <v>wildbennett</v>
      </c>
      <c r="G462" s="9" t="s">
        <v>13</v>
      </c>
      <c r="H462" s="9" t="s">
        <v>8358</v>
      </c>
    </row>
    <row r="463" customFormat="false" ht="15.75" hidden="false" customHeight="false" outlineLevel="0" collapsed="false">
      <c r="B463" s="7" t="n">
        <v>46222</v>
      </c>
      <c r="C463" s="3" t="s">
        <v>8359</v>
      </c>
      <c r="D463" s="3" t="s">
        <v>7879</v>
      </c>
      <c r="E463" s="3" t="s">
        <v>8360</v>
      </c>
      <c r="F463" s="10" t="str">
        <f aca="false">HYPERLINK("https://www.inaturalist.org/people/atwuichikapu_1019","atwuichikapu_1019")</f>
        <v>atwuichikapu_1019</v>
      </c>
      <c r="G463" s="9" t="s">
        <v>13</v>
      </c>
      <c r="H463" s="9" t="s">
        <v>8361</v>
      </c>
    </row>
    <row r="464" customFormat="false" ht="15.75" hidden="false" customHeight="false" outlineLevel="0" collapsed="false">
      <c r="B464" s="7" t="n">
        <v>46222</v>
      </c>
      <c r="C464" s="3" t="s">
        <v>8362</v>
      </c>
      <c r="D464" s="3" t="s">
        <v>7879</v>
      </c>
      <c r="E464" s="3" t="s">
        <v>8363</v>
      </c>
      <c r="F464" s="10" t="str">
        <f aca="false">HYPERLINK("https://www.inaturalist.org/people/cole_c2028","cole_c2028")</f>
        <v>cole_c2028</v>
      </c>
      <c r="G464" s="9" t="s">
        <v>13</v>
      </c>
      <c r="H464" s="9" t="s">
        <v>8364</v>
      </c>
    </row>
    <row r="465" customFormat="false" ht="15.75" hidden="false" customHeight="false" outlineLevel="0" collapsed="false">
      <c r="B465" s="7" t="n">
        <v>46222</v>
      </c>
      <c r="C465" s="3" t="s">
        <v>8365</v>
      </c>
      <c r="D465" s="3" t="s">
        <v>7879</v>
      </c>
      <c r="E465" s="3" t="s">
        <v>8366</v>
      </c>
      <c r="F465" s="10" t="str">
        <f aca="false">HYPERLINK("https://www.inaturalist.org/people/elmer8935","elmer8935")</f>
        <v>elmer8935</v>
      </c>
      <c r="G465" s="9" t="s">
        <v>13</v>
      </c>
      <c r="H465" s="9" t="s">
        <v>8367</v>
      </c>
    </row>
    <row r="466" customFormat="false" ht="15.75" hidden="false" customHeight="false" outlineLevel="0" collapsed="false">
      <c r="B466" s="7" t="n">
        <v>46222</v>
      </c>
      <c r="C466" s="3" t="s">
        <v>8368</v>
      </c>
      <c r="D466" s="3" t="s">
        <v>7879</v>
      </c>
      <c r="E466" s="3" t="s">
        <v>8369</v>
      </c>
      <c r="F466" s="10" t="str">
        <f aca="false">HYPERLINK("https://www.inaturalist.org/people/cooperbramlett","cooperbramlett")</f>
        <v>cooperbramlett</v>
      </c>
      <c r="G466" s="9" t="s">
        <v>13</v>
      </c>
      <c r="H466" s="9" t="s">
        <v>8370</v>
      </c>
    </row>
    <row r="467" customFormat="false" ht="15.75" hidden="false" customHeight="false" outlineLevel="0" collapsed="false">
      <c r="B467" s="7" t="n">
        <v>46222</v>
      </c>
      <c r="C467" s="3" t="s">
        <v>8371</v>
      </c>
      <c r="D467" s="3" t="s">
        <v>7879</v>
      </c>
      <c r="E467" s="3" t="s">
        <v>8372</v>
      </c>
      <c r="F467" s="10" t="str">
        <f aca="false">HYPERLINK("https://www.inaturalist.org/people/david_broek","david_broek")</f>
        <v>david_broek</v>
      </c>
      <c r="G467" s="9" t="s">
        <v>13</v>
      </c>
      <c r="H467" s="9" t="s">
        <v>8373</v>
      </c>
    </row>
    <row r="468" customFormat="false" ht="15.75" hidden="false" customHeight="false" outlineLevel="0" collapsed="false">
      <c r="B468" s="7" t="n">
        <v>46222</v>
      </c>
      <c r="C468" s="3" t="s">
        <v>8374</v>
      </c>
      <c r="D468" s="3" t="s">
        <v>7879</v>
      </c>
      <c r="E468" s="3" t="s">
        <v>8375</v>
      </c>
      <c r="F468" s="10" t="str">
        <f aca="false">HYPERLINK("https://www.inaturalist.org/people/david_broek","david_broek")</f>
        <v>david_broek</v>
      </c>
      <c r="G468" s="9" t="s">
        <v>13</v>
      </c>
      <c r="H468" s="9" t="s">
        <v>8376</v>
      </c>
    </row>
    <row r="469" customFormat="false" ht="15.75" hidden="false" customHeight="false" outlineLevel="0" collapsed="false">
      <c r="B469" s="7" t="n">
        <v>46222</v>
      </c>
      <c r="C469" s="3" t="s">
        <v>8377</v>
      </c>
      <c r="D469" s="3" t="s">
        <v>7879</v>
      </c>
      <c r="E469" s="3" t="s">
        <v>8378</v>
      </c>
      <c r="F469" s="10" t="str">
        <f aca="false">HYPERLINK("https://www.inaturalist.org/people/david_broek","david_broek")</f>
        <v>david_broek</v>
      </c>
      <c r="G469" s="9" t="s">
        <v>13</v>
      </c>
      <c r="H469" s="9" t="s">
        <v>8379</v>
      </c>
    </row>
    <row r="470" customFormat="false" ht="15.75" hidden="false" customHeight="false" outlineLevel="0" collapsed="false">
      <c r="B470" s="7" t="n">
        <v>46222</v>
      </c>
      <c r="C470" s="3" t="s">
        <v>8380</v>
      </c>
      <c r="D470" s="3" t="s">
        <v>7879</v>
      </c>
      <c r="E470" s="3" t="s">
        <v>8381</v>
      </c>
      <c r="F470" s="10" t="str">
        <f aca="false">HYPERLINK("https://www.inaturalist.org/people/david_broek","david_broek")</f>
        <v>david_broek</v>
      </c>
      <c r="G470" s="9" t="s">
        <v>13</v>
      </c>
      <c r="H470" s="9" t="s">
        <v>8382</v>
      </c>
    </row>
    <row r="471" customFormat="false" ht="15.75" hidden="false" customHeight="false" outlineLevel="0" collapsed="false">
      <c r="B471" s="7" t="n">
        <v>46222</v>
      </c>
      <c r="C471" s="3" t="s">
        <v>8383</v>
      </c>
      <c r="D471" s="3" t="s">
        <v>7879</v>
      </c>
      <c r="E471" s="3" t="s">
        <v>8384</v>
      </c>
      <c r="F471" s="10" t="str">
        <f aca="false">HYPERLINK("https://www.inaturalist.org/people/micah_shively","micah_shively")</f>
        <v>micah_shively</v>
      </c>
      <c r="G471" s="9" t="s">
        <v>13</v>
      </c>
      <c r="H471" s="9" t="s">
        <v>8385</v>
      </c>
    </row>
    <row r="472" customFormat="false" ht="15.75" hidden="false" customHeight="false" outlineLevel="0" collapsed="false">
      <c r="B472" s="7" t="n">
        <v>46222</v>
      </c>
      <c r="C472" s="3" t="s">
        <v>8386</v>
      </c>
      <c r="D472" s="3" t="s">
        <v>7879</v>
      </c>
      <c r="E472" s="3" t="s">
        <v>8387</v>
      </c>
      <c r="F472" s="10" t="str">
        <f aca="false">HYPERLINK("https://www.inaturalist.org/people/keemywille22","keemywille22")</f>
        <v>keemywille22</v>
      </c>
      <c r="G472" s="9" t="s">
        <v>13</v>
      </c>
      <c r="H472" s="9" t="s">
        <v>8388</v>
      </c>
    </row>
    <row r="473" customFormat="false" ht="15.75" hidden="false" customHeight="false" outlineLevel="0" collapsed="false">
      <c r="B473" s="7" t="n">
        <v>46222</v>
      </c>
      <c r="C473" s="3" t="s">
        <v>8389</v>
      </c>
      <c r="D473" s="3" t="s">
        <v>7879</v>
      </c>
      <c r="E473" s="3" t="s">
        <v>8390</v>
      </c>
      <c r="F473" s="10" t="str">
        <f aca="false">HYPERLINK("https://www.inaturalist.org/people/dracorjc","dracorjc")</f>
        <v>dracorjc</v>
      </c>
      <c r="G473" s="9" t="s">
        <v>13</v>
      </c>
      <c r="H473" s="9" t="s">
        <v>8391</v>
      </c>
    </row>
    <row r="474" customFormat="false" ht="15.75" hidden="false" customHeight="false" outlineLevel="0" collapsed="false">
      <c r="B474" s="7" t="n">
        <v>46222</v>
      </c>
      <c r="C474" s="3" t="s">
        <v>8392</v>
      </c>
      <c r="D474" s="3" t="s">
        <v>7879</v>
      </c>
      <c r="E474" s="3" t="s">
        <v>8393</v>
      </c>
      <c r="F474" s="10" t="str">
        <f aca="false">HYPERLINK("https://www.inaturalist.org/people/buzhoushanxia","buzhoushanxia")</f>
        <v>buzhoushanxia</v>
      </c>
      <c r="G474" s="9" t="s">
        <v>13</v>
      </c>
      <c r="H474" s="9" t="s">
        <v>8394</v>
      </c>
    </row>
    <row r="475" customFormat="false" ht="15.75" hidden="false" customHeight="false" outlineLevel="0" collapsed="false">
      <c r="B475" s="7" t="n">
        <v>46222</v>
      </c>
      <c r="C475" s="3" t="s">
        <v>8395</v>
      </c>
      <c r="D475" s="3" t="s">
        <v>7879</v>
      </c>
      <c r="E475" s="3" t="s">
        <v>8396</v>
      </c>
      <c r="F475" s="10" t="str">
        <f aca="false">HYPERLINK("https://www.inaturalist.org/people/batemanderek85","batemanderek85")</f>
        <v>batemanderek85</v>
      </c>
      <c r="G475" s="9" t="s">
        <v>13</v>
      </c>
      <c r="H475" s="9" t="s">
        <v>8397</v>
      </c>
    </row>
    <row r="476" customFormat="false" ht="15.75" hidden="false" customHeight="false" outlineLevel="0" collapsed="false">
      <c r="B476" s="7" t="n">
        <v>46222</v>
      </c>
      <c r="C476" s="3" t="s">
        <v>8398</v>
      </c>
      <c r="D476" s="3" t="s">
        <v>7879</v>
      </c>
      <c r="E476" s="3" t="s">
        <v>8399</v>
      </c>
      <c r="F476" s="10" t="str">
        <f aca="false">HYPERLINK("https://www.inaturalist.org/people/hawthorngreen","hawthorngreen")</f>
        <v>hawthorngreen</v>
      </c>
      <c r="G476" s="9" t="s">
        <v>13</v>
      </c>
      <c r="H476" s="9" t="s">
        <v>8400</v>
      </c>
    </row>
    <row r="477" customFormat="false" ht="15.75" hidden="false" customHeight="false" outlineLevel="0" collapsed="false">
      <c r="B477" s="7" t="n">
        <v>46222</v>
      </c>
      <c r="C477" s="3" t="s">
        <v>8401</v>
      </c>
      <c r="D477" s="3" t="s">
        <v>7879</v>
      </c>
      <c r="E477" s="3" t="s">
        <v>8402</v>
      </c>
      <c r="F477" s="10" t="str">
        <f aca="false">HYPERLINK("https://www.inaturalist.org/people/morethanlaurel","morethanlaurel")</f>
        <v>morethanlaurel</v>
      </c>
      <c r="G477" s="9" t="s">
        <v>13</v>
      </c>
      <c r="H477" s="9" t="s">
        <v>8403</v>
      </c>
    </row>
    <row r="478" customFormat="false" ht="15.75" hidden="false" customHeight="false" outlineLevel="0" collapsed="false">
      <c r="B478" s="7" t="n">
        <v>46222</v>
      </c>
      <c r="C478" s="3" t="s">
        <v>8404</v>
      </c>
      <c r="D478" s="3" t="s">
        <v>7879</v>
      </c>
      <c r="E478" s="3" t="s">
        <v>8405</v>
      </c>
      <c r="F478" s="10" t="str">
        <f aca="false">HYPERLINK("https://www.inaturalist.org/people/anton_bedarev","anton_bedarev")</f>
        <v>anton_bedarev</v>
      </c>
      <c r="G478" s="9" t="s">
        <v>13</v>
      </c>
      <c r="H478" s="9" t="s">
        <v>8406</v>
      </c>
    </row>
    <row r="479" customFormat="false" ht="15.75" hidden="false" customHeight="false" outlineLevel="0" collapsed="false">
      <c r="B479" s="7" t="n">
        <v>46222</v>
      </c>
      <c r="C479" s="3" t="s">
        <v>8407</v>
      </c>
      <c r="D479" s="3" t="s">
        <v>7879</v>
      </c>
      <c r="E479" s="3" t="s">
        <v>8408</v>
      </c>
      <c r="F479" s="10" t="str">
        <f aca="false">HYPERLINK("https://www.inaturalist.org/people/iberozoa","iberozoa")</f>
        <v>iberozoa</v>
      </c>
      <c r="G479" s="9" t="s">
        <v>13</v>
      </c>
      <c r="H479" s="9" t="s">
        <v>8409</v>
      </c>
    </row>
    <row r="480" customFormat="false" ht="15.75" hidden="false" customHeight="false" outlineLevel="0" collapsed="false">
      <c r="B480" s="7" t="n">
        <v>46222</v>
      </c>
      <c r="C480" s="3" t="s">
        <v>8410</v>
      </c>
      <c r="D480" s="3" t="s">
        <v>7879</v>
      </c>
      <c r="E480" s="3" t="s">
        <v>8411</v>
      </c>
      <c r="F480" s="10" t="str">
        <f aca="false">HYPERLINK("https://www.inaturalist.org/people/birdsandbugs21","birdsandbugs21")</f>
        <v>birdsandbugs21</v>
      </c>
      <c r="G480" s="9" t="s">
        <v>13</v>
      </c>
      <c r="H480" s="9" t="s">
        <v>8412</v>
      </c>
    </row>
    <row r="481" customFormat="false" ht="15.75" hidden="false" customHeight="false" outlineLevel="0" collapsed="false">
      <c r="B481" s="7" t="n">
        <v>46222</v>
      </c>
      <c r="C481" s="3" t="s">
        <v>8413</v>
      </c>
      <c r="D481" s="3" t="s">
        <v>7879</v>
      </c>
      <c r="E481" s="3" t="s">
        <v>8414</v>
      </c>
      <c r="F481" s="10" t="str">
        <f aca="false">HYPERLINK("https://www.inaturalist.org/people/fizzley","fizzley")</f>
        <v>fizzley</v>
      </c>
      <c r="G481" s="9" t="s">
        <v>13</v>
      </c>
      <c r="H481" s="9" t="s">
        <v>8415</v>
      </c>
    </row>
    <row r="482" customFormat="false" ht="15.75" hidden="false" customHeight="false" outlineLevel="0" collapsed="false">
      <c r="B482" s="7" t="n">
        <v>46222</v>
      </c>
      <c r="C482" s="3" t="s">
        <v>8416</v>
      </c>
      <c r="D482" s="3" t="s">
        <v>7879</v>
      </c>
      <c r="E482" s="3" t="s">
        <v>8417</v>
      </c>
      <c r="F482" s="10" t="str">
        <f aca="false">HYPERLINK("https://www.inaturalist.org/people/amstella1017","amstella1017")</f>
        <v>amstella1017</v>
      </c>
      <c r="G482" s="9" t="s">
        <v>13</v>
      </c>
      <c r="H482" s="9" t="s">
        <v>8418</v>
      </c>
    </row>
    <row r="483" customFormat="false" ht="15.75" hidden="false" customHeight="false" outlineLevel="0" collapsed="false">
      <c r="B483" s="7" t="n">
        <v>46222</v>
      </c>
      <c r="C483" s="3" t="s">
        <v>8419</v>
      </c>
      <c r="D483" s="3" t="s">
        <v>7879</v>
      </c>
      <c r="E483" s="3" t="s">
        <v>8420</v>
      </c>
      <c r="F483" s="10" t="str">
        <f aca="false">HYPERLINK("https://www.inaturalist.org/people/tommasolonzar","tommasolonzar")</f>
        <v>tommasolonzar</v>
      </c>
      <c r="G483" s="9" t="s">
        <v>13</v>
      </c>
      <c r="H483" s="9" t="s">
        <v>8421</v>
      </c>
    </row>
    <row r="484" customFormat="false" ht="15.75" hidden="false" customHeight="false" outlineLevel="0" collapsed="false">
      <c r="B484" s="7" t="n">
        <v>46222</v>
      </c>
      <c r="C484" s="3" t="s">
        <v>8422</v>
      </c>
      <c r="D484" s="3" t="s">
        <v>7879</v>
      </c>
      <c r="E484" s="3" t="s">
        <v>8423</v>
      </c>
      <c r="F484" s="10" t="str">
        <f aca="false">HYPERLINK("https://www.inaturalist.org/people/wayne_fidler","wayne_fidler")</f>
        <v>wayne_fidler</v>
      </c>
      <c r="G484" s="9" t="s">
        <v>13</v>
      </c>
      <c r="H484" s="9" t="s">
        <v>8424</v>
      </c>
    </row>
    <row r="485" customFormat="false" ht="15.75" hidden="false" customHeight="false" outlineLevel="0" collapsed="false">
      <c r="B485" s="7" t="n">
        <v>46222</v>
      </c>
      <c r="C485" s="3" t="s">
        <v>8425</v>
      </c>
      <c r="D485" s="3" t="s">
        <v>7879</v>
      </c>
      <c r="E485" s="3" t="s">
        <v>8426</v>
      </c>
      <c r="F485" s="10" t="str">
        <f aca="false">HYPERLINK("https://www.inaturalist.org/people/kathlynstauffer","kathlynstauffer")</f>
        <v>kathlynstauffer</v>
      </c>
      <c r="G485" s="9" t="s">
        <v>13</v>
      </c>
      <c r="H485" s="9" t="s">
        <v>8427</v>
      </c>
    </row>
    <row r="486" customFormat="false" ht="15.75" hidden="false" customHeight="false" outlineLevel="0" collapsed="false">
      <c r="B486" s="7" t="n">
        <v>46222</v>
      </c>
      <c r="C486" s="3" t="s">
        <v>8428</v>
      </c>
      <c r="D486" s="3" t="s">
        <v>7879</v>
      </c>
      <c r="E486" s="3" t="s">
        <v>8429</v>
      </c>
      <c r="F486" s="10" t="str">
        <f aca="false">HYPERLINK("https://www.inaturalist.org/people/mjwer","mjwer")</f>
        <v>mjwer</v>
      </c>
      <c r="G486" s="9" t="s">
        <v>13</v>
      </c>
      <c r="H486" s="9" t="s">
        <v>8430</v>
      </c>
    </row>
    <row r="487" customFormat="false" ht="15.75" hidden="false" customHeight="false" outlineLevel="0" collapsed="false">
      <c r="B487" s="7" t="n">
        <v>46222</v>
      </c>
      <c r="C487" s="3" t="s">
        <v>8431</v>
      </c>
      <c r="D487" s="3" t="s">
        <v>7879</v>
      </c>
      <c r="E487" s="3" t="s">
        <v>8342</v>
      </c>
      <c r="F487" s="10" t="str">
        <f aca="false">HYPERLINK("https://www.inaturalist.org/people/chikencababldo","chikencababldo")</f>
        <v>chikencababldo</v>
      </c>
      <c r="G487" s="9" t="s">
        <v>13</v>
      </c>
      <c r="H487" s="9" t="s">
        <v>8432</v>
      </c>
    </row>
    <row r="488" customFormat="false" ht="15.75" hidden="false" customHeight="false" outlineLevel="0" collapsed="false">
      <c r="B488" s="7" t="n">
        <v>46222</v>
      </c>
      <c r="C488" s="3" t="s">
        <v>8433</v>
      </c>
      <c r="D488" s="3" t="s">
        <v>7879</v>
      </c>
      <c r="E488" s="3" t="s">
        <v>8434</v>
      </c>
      <c r="F488" s="10" t="str">
        <f aca="false">HYPERLINK("https://www.inaturalist.org/people/sofiaa_os","sofiaa_os")</f>
        <v>sofiaa_os</v>
      </c>
      <c r="G488" s="9" t="s">
        <v>13</v>
      </c>
      <c r="H488" s="9" t="s">
        <v>8435</v>
      </c>
    </row>
    <row r="489" customFormat="false" ht="15.75" hidden="false" customHeight="false" outlineLevel="0" collapsed="false">
      <c r="B489" s="7" t="n">
        <v>46222</v>
      </c>
      <c r="C489" s="3" t="s">
        <v>8436</v>
      </c>
      <c r="D489" s="3" t="s">
        <v>7879</v>
      </c>
      <c r="E489" s="3" t="s">
        <v>8437</v>
      </c>
      <c r="F489" s="10" t="str">
        <f aca="false">HYPERLINK("https://www.inaturalist.org/people/malcolmander","malcolmander")</f>
        <v>malcolmander</v>
      </c>
      <c r="G489" s="9" t="s">
        <v>13</v>
      </c>
      <c r="H489" s="9" t="s">
        <v>8438</v>
      </c>
    </row>
    <row r="490" customFormat="false" ht="15.75" hidden="false" customHeight="false" outlineLevel="0" collapsed="false">
      <c r="B490" s="7" t="n">
        <v>46222</v>
      </c>
      <c r="C490" s="3" t="s">
        <v>8439</v>
      </c>
      <c r="D490" s="3" t="s">
        <v>7879</v>
      </c>
      <c r="E490" s="3" t="s">
        <v>8440</v>
      </c>
      <c r="F490" s="10" t="str">
        <f aca="false">HYPERLINK("https://www.inaturalist.org/people/vishalkumarprasad","vishalkumarprasad")</f>
        <v>vishalkumarprasad</v>
      </c>
      <c r="G490" s="9" t="s">
        <v>13</v>
      </c>
      <c r="H490" s="9" t="s">
        <v>8441</v>
      </c>
    </row>
    <row r="491" customFormat="false" ht="15.75" hidden="false" customHeight="false" outlineLevel="0" collapsed="false">
      <c r="B491" s="7" t="n">
        <v>46222</v>
      </c>
      <c r="C491" s="3" t="s">
        <v>8442</v>
      </c>
      <c r="D491" s="3" t="s">
        <v>7879</v>
      </c>
      <c r="E491" s="3" t="s">
        <v>8443</v>
      </c>
      <c r="F491" s="10" t="str">
        <f aca="false">HYPERLINK("https://www.inaturalist.org/people/diomedea_exulans_li","diomedea_exulans_li")</f>
        <v>diomedea_exulans_li</v>
      </c>
      <c r="G491" s="9" t="s">
        <v>13</v>
      </c>
      <c r="H491" s="9" t="s">
        <v>8444</v>
      </c>
    </row>
    <row r="492" customFormat="false" ht="15.75" hidden="false" customHeight="false" outlineLevel="0" collapsed="false">
      <c r="B492" s="7" t="n">
        <v>46222</v>
      </c>
      <c r="C492" s="3" t="s">
        <v>8445</v>
      </c>
      <c r="D492" s="3" t="s">
        <v>7879</v>
      </c>
      <c r="E492" s="3" t="s">
        <v>8446</v>
      </c>
      <c r="F492" s="10" t="str">
        <f aca="false">HYPERLINK("https://www.inaturalist.org/people/bponce14","bponce14")</f>
        <v>bponce14</v>
      </c>
      <c r="G492" s="9" t="s">
        <v>13</v>
      </c>
      <c r="H492" s="9" t="s">
        <v>8447</v>
      </c>
    </row>
    <row r="493" customFormat="false" ht="15.75" hidden="false" customHeight="false" outlineLevel="0" collapsed="false">
      <c r="B493" s="7" t="n">
        <v>46222</v>
      </c>
      <c r="C493" s="3" t="s">
        <v>8448</v>
      </c>
      <c r="D493" s="3" t="s">
        <v>7879</v>
      </c>
      <c r="E493" s="3" t="s">
        <v>8449</v>
      </c>
      <c r="F493" s="10" t="str">
        <f aca="false">HYPERLINK("https://www.inaturalist.org/people/sailebumbum","sailebumbum")</f>
        <v>sailebumbum</v>
      </c>
      <c r="G493" s="9" t="s">
        <v>13</v>
      </c>
      <c r="H493" s="9" t="s">
        <v>8450</v>
      </c>
    </row>
    <row r="494" customFormat="false" ht="15.75" hidden="false" customHeight="false" outlineLevel="0" collapsed="false">
      <c r="B494" s="7" t="n">
        <v>46222</v>
      </c>
      <c r="C494" s="3" t="s">
        <v>8451</v>
      </c>
      <c r="D494" s="3" t="s">
        <v>7879</v>
      </c>
      <c r="E494" s="3" t="s">
        <v>8452</v>
      </c>
      <c r="F494" s="10" t="str">
        <f aca="false">HYPERLINK("https://www.inaturalist.org/people/sailebumbum","sailebumbum")</f>
        <v>sailebumbum</v>
      </c>
      <c r="G494" s="9" t="s">
        <v>13</v>
      </c>
      <c r="H494" s="9" t="s">
        <v>8453</v>
      </c>
    </row>
    <row r="495" customFormat="false" ht="15.75" hidden="false" customHeight="false" outlineLevel="0" collapsed="false">
      <c r="B495" s="7" t="n">
        <v>46222</v>
      </c>
      <c r="C495" s="3" t="s">
        <v>8454</v>
      </c>
      <c r="D495" s="3" t="s">
        <v>7879</v>
      </c>
      <c r="E495" s="3" t="s">
        <v>8455</v>
      </c>
      <c r="F495" s="10" t="str">
        <f aca="false">HYPERLINK("https://www.inaturalist.org/people/sailebumbum","sailebumbum")</f>
        <v>sailebumbum</v>
      </c>
      <c r="G495" s="9" t="s">
        <v>13</v>
      </c>
      <c r="H495" s="9" t="s">
        <v>8456</v>
      </c>
    </row>
    <row r="496" customFormat="false" ht="15.75" hidden="false" customHeight="false" outlineLevel="0" collapsed="false">
      <c r="B496" s="7" t="n">
        <v>46222</v>
      </c>
      <c r="C496" s="3" t="s">
        <v>8457</v>
      </c>
      <c r="D496" s="3" t="s">
        <v>7879</v>
      </c>
      <c r="E496" s="3" t="s">
        <v>8458</v>
      </c>
      <c r="F496" s="10" t="str">
        <f aca="false">HYPERLINK("https://www.inaturalist.org/people/david_broek","david_broek")</f>
        <v>david_broek</v>
      </c>
      <c r="G496" s="9" t="s">
        <v>13</v>
      </c>
      <c r="H496" s="9" t="s">
        <v>8459</v>
      </c>
    </row>
    <row r="497" customFormat="false" ht="15.75" hidden="false" customHeight="false" outlineLevel="0" collapsed="false">
      <c r="B497" s="7" t="n">
        <v>46222</v>
      </c>
      <c r="C497" s="3" t="s">
        <v>8460</v>
      </c>
      <c r="D497" s="3" t="s">
        <v>7879</v>
      </c>
      <c r="E497" s="3" t="s">
        <v>8461</v>
      </c>
      <c r="F497" s="10" t="str">
        <f aca="false">HYPERLINK("https://www.inaturalist.org/people/atlas_01","atlas_01")</f>
        <v>atlas_01</v>
      </c>
      <c r="G497" s="9" t="s">
        <v>13</v>
      </c>
      <c r="H497" s="9" t="s">
        <v>8462</v>
      </c>
    </row>
    <row r="498" customFormat="false" ht="15.75" hidden="false" customHeight="false" outlineLevel="0" collapsed="false">
      <c r="B498" s="7" t="n">
        <v>46222</v>
      </c>
      <c r="C498" s="3" t="s">
        <v>8463</v>
      </c>
      <c r="D498" s="3" t="s">
        <v>7879</v>
      </c>
      <c r="E498" s="3" t="s">
        <v>8464</v>
      </c>
      <c r="F498" s="10" t="str">
        <f aca="false">HYPERLINK("https://www.inaturalist.org/people/tk_b_brown","tk_b_brown")</f>
        <v>tk_b_brown</v>
      </c>
      <c r="G498" s="9" t="s">
        <v>13</v>
      </c>
      <c r="H498" s="9" t="s">
        <v>8465</v>
      </c>
    </row>
    <row r="499" customFormat="false" ht="15.75" hidden="false" customHeight="false" outlineLevel="0" collapsed="false">
      <c r="B499" s="7" t="n">
        <v>46222</v>
      </c>
      <c r="C499" s="3" t="s">
        <v>8466</v>
      </c>
      <c r="D499" s="3" t="s">
        <v>7879</v>
      </c>
      <c r="E499" s="3" t="s">
        <v>8467</v>
      </c>
      <c r="F499" s="10" t="str">
        <f aca="false">HYPERLINK("https://www.inaturalist.org/people/sandboa","sandboa")</f>
        <v>sandboa</v>
      </c>
      <c r="G499" s="9" t="s">
        <v>13</v>
      </c>
      <c r="H499" s="9" t="s">
        <v>8468</v>
      </c>
    </row>
    <row r="500" customFormat="false" ht="15.75" hidden="false" customHeight="false" outlineLevel="0" collapsed="false">
      <c r="B500" s="7" t="n">
        <v>46222</v>
      </c>
      <c r="C500" s="3" t="s">
        <v>8469</v>
      </c>
      <c r="D500" s="3" t="s">
        <v>7879</v>
      </c>
      <c r="E500" s="3" t="s">
        <v>8470</v>
      </c>
      <c r="F500" s="10" t="str">
        <f aca="false">HYPERLINK("https://www.inaturalist.org/people/arcosu","arcosu")</f>
        <v>arcosu</v>
      </c>
      <c r="G500" s="9" t="s">
        <v>13</v>
      </c>
      <c r="H500" s="9" t="s">
        <v>8471</v>
      </c>
    </row>
    <row r="501" customFormat="false" ht="15.75" hidden="false" customHeight="false" outlineLevel="0" collapsed="false">
      <c r="B501" s="7" t="n">
        <v>46222</v>
      </c>
      <c r="C501" s="3" t="s">
        <v>8472</v>
      </c>
      <c r="D501" s="3" t="s">
        <v>7879</v>
      </c>
      <c r="E501" s="3" t="s">
        <v>8473</v>
      </c>
      <c r="F501" s="10" t="str">
        <f aca="false">HYPERLINK("https://www.inaturalist.org/people/hydaticus","hydaticus")</f>
        <v>hydaticus</v>
      </c>
      <c r="G501" s="9" t="s">
        <v>13</v>
      </c>
      <c r="H501" s="9" t="s">
        <v>8474</v>
      </c>
    </row>
    <row r="502" customFormat="false" ht="15.75" hidden="false" customHeight="false" outlineLevel="0" collapsed="false">
      <c r="B502" s="7" t="n">
        <v>46222</v>
      </c>
      <c r="C502" s="3" t="s">
        <v>8475</v>
      </c>
      <c r="D502" s="3" t="s">
        <v>7879</v>
      </c>
      <c r="E502" s="3" t="s">
        <v>8476</v>
      </c>
      <c r="F502" s="10" t="str">
        <f aca="false">HYPERLINK("https://www.inaturalist.org/people/herpdanner","herpdanner")</f>
        <v>herpdanner</v>
      </c>
      <c r="G502" s="9" t="s">
        <v>13</v>
      </c>
      <c r="H502" s="9" t="s">
        <v>8477</v>
      </c>
    </row>
    <row r="503" customFormat="false" ht="15.75" hidden="false" customHeight="false" outlineLevel="0" collapsed="false">
      <c r="B503" s="7" t="n">
        <v>46222</v>
      </c>
      <c r="C503" s="3" t="s">
        <v>8478</v>
      </c>
      <c r="D503" s="3" t="s">
        <v>8479</v>
      </c>
      <c r="E503" s="3" t="s">
        <v>8480</v>
      </c>
      <c r="F503" s="10" t="str">
        <f aca="false">HYPERLINK("https://www.inaturalist.org/people/jaybird430","jaybird430")</f>
        <v>jaybird430</v>
      </c>
      <c r="G503" s="9" t="s">
        <v>13</v>
      </c>
      <c r="H503" s="9" t="s">
        <v>8481</v>
      </c>
    </row>
    <row r="504" customFormat="false" ht="15.75" hidden="false" customHeight="false" outlineLevel="0" collapsed="false">
      <c r="B504" s="7" t="n">
        <v>46222</v>
      </c>
      <c r="C504" s="3" t="s">
        <v>8482</v>
      </c>
      <c r="D504" s="3" t="s">
        <v>8479</v>
      </c>
      <c r="E504" s="3" t="s">
        <v>8483</v>
      </c>
      <c r="F504" s="10" t="str">
        <f aca="false">HYPERLINK("https://www.inaturalist.org/people/natalieczajka","natalieczajka")</f>
        <v>natalieczajka</v>
      </c>
      <c r="G504" s="9" t="s">
        <v>13</v>
      </c>
      <c r="H504" s="9" t="s">
        <v>8484</v>
      </c>
    </row>
    <row r="505" customFormat="false" ht="15.75" hidden="false" customHeight="false" outlineLevel="0" collapsed="false">
      <c r="B505" s="7" t="n">
        <v>46222</v>
      </c>
      <c r="C505" s="3" t="s">
        <v>8485</v>
      </c>
      <c r="D505" s="3" t="s">
        <v>8479</v>
      </c>
      <c r="E505" s="3" t="s">
        <v>8486</v>
      </c>
      <c r="F505" s="10" t="str">
        <f aca="false">HYPERLINK("https://www.inaturalist.org/people/ashleightree","ashleightree")</f>
        <v>ashleightree</v>
      </c>
      <c r="G505" s="9" t="s">
        <v>13</v>
      </c>
      <c r="H505" s="9" t="s">
        <v>8487</v>
      </c>
    </row>
    <row r="506" customFormat="false" ht="15.75" hidden="false" customHeight="false" outlineLevel="0" collapsed="false">
      <c r="B506" s="7" t="n">
        <v>46222</v>
      </c>
      <c r="C506" s="3" t="s">
        <v>8488</v>
      </c>
      <c r="D506" s="3" t="s">
        <v>8479</v>
      </c>
      <c r="E506" s="3" t="s">
        <v>8489</v>
      </c>
      <c r="F506" s="10" t="str">
        <f aca="false">HYPERLINK("https://www.inaturalist.org/people/seebraz","seebraz")</f>
        <v>seebraz</v>
      </c>
      <c r="G506" s="9" t="s">
        <v>13</v>
      </c>
      <c r="H506" s="9" t="s">
        <v>8490</v>
      </c>
    </row>
    <row r="507" customFormat="false" ht="15.75" hidden="false" customHeight="false" outlineLevel="0" collapsed="false">
      <c r="B507" s="7" t="n">
        <v>46222</v>
      </c>
      <c r="C507" s="3" t="s">
        <v>8491</v>
      </c>
      <c r="D507" s="3" t="s">
        <v>8479</v>
      </c>
      <c r="E507" s="3" t="s">
        <v>8492</v>
      </c>
      <c r="F507" s="10" t="str">
        <f aca="false">HYPERLINK("https://www.inaturalist.org/people/mrbennywhitefeet","mrbennywhitefeet")</f>
        <v>mrbennywhitefeet</v>
      </c>
      <c r="G507" s="9" t="s">
        <v>13</v>
      </c>
      <c r="H507" s="9" t="s">
        <v>8493</v>
      </c>
    </row>
    <row r="508" customFormat="false" ht="15.75" hidden="false" customHeight="false" outlineLevel="0" collapsed="false">
      <c r="B508" s="7" t="n">
        <v>46222</v>
      </c>
      <c r="C508" s="3" t="s">
        <v>8494</v>
      </c>
      <c r="D508" s="3" t="s">
        <v>8479</v>
      </c>
      <c r="E508" s="3" t="s">
        <v>8495</v>
      </c>
      <c r="F508" s="10" t="str">
        <f aca="false">HYPERLINK("https://www.inaturalist.org/people/katoconnellvaluch","katoconnellvaluch")</f>
        <v>katoconnellvaluch</v>
      </c>
      <c r="G508" s="9" t="s">
        <v>13</v>
      </c>
      <c r="H508" s="9" t="s">
        <v>8496</v>
      </c>
    </row>
    <row r="509" customFormat="false" ht="15.75" hidden="false" customHeight="false" outlineLevel="0" collapsed="false">
      <c r="B509" s="7" t="n">
        <v>46222</v>
      </c>
      <c r="C509" s="3" t="s">
        <v>8497</v>
      </c>
      <c r="D509" s="3" t="s">
        <v>8479</v>
      </c>
      <c r="E509" s="3" t="s">
        <v>8498</v>
      </c>
      <c r="F509" s="10" t="str">
        <f aca="false">HYPERLINK("https://www.inaturalist.org/people/bielbirdwatcher","bielbirdwatcher")</f>
        <v>bielbirdwatcher</v>
      </c>
      <c r="G509" s="9" t="s">
        <v>13</v>
      </c>
      <c r="H509" s="9" t="s">
        <v>8499</v>
      </c>
    </row>
    <row r="510" customFormat="false" ht="15.75" hidden="false" customHeight="false" outlineLevel="0" collapsed="false">
      <c r="B510" s="7" t="n">
        <v>46222</v>
      </c>
      <c r="C510" s="3" t="s">
        <v>8500</v>
      </c>
      <c r="D510" s="3" t="s">
        <v>8479</v>
      </c>
      <c r="E510" s="3" t="s">
        <v>8501</v>
      </c>
      <c r="F510" s="10" t="str">
        <f aca="false">HYPERLINK("https://www.inaturalist.org/people/lucasfoerster","lucasfoerster")</f>
        <v>lucasfoerster</v>
      </c>
      <c r="G510" s="9" t="s">
        <v>13</v>
      </c>
      <c r="H510" s="9" t="s">
        <v>8502</v>
      </c>
    </row>
    <row r="511" customFormat="false" ht="15.75" hidden="false" customHeight="false" outlineLevel="0" collapsed="false">
      <c r="B511" s="7" t="n">
        <v>46222</v>
      </c>
      <c r="C511" s="3" t="s">
        <v>8503</v>
      </c>
      <c r="D511" s="3" t="s">
        <v>8479</v>
      </c>
      <c r="E511" s="3" t="s">
        <v>8504</v>
      </c>
      <c r="F511" s="10" t="str">
        <f aca="false">HYPERLINK("https://www.inaturalist.org/people/sinuon","sinuon")</f>
        <v>sinuon</v>
      </c>
      <c r="G511" s="9" t="s">
        <v>13</v>
      </c>
      <c r="H511" s="9" t="s">
        <v>8505</v>
      </c>
    </row>
    <row r="512" customFormat="false" ht="15.75" hidden="false" customHeight="false" outlineLevel="0" collapsed="false">
      <c r="B512" s="7" t="n">
        <v>46222</v>
      </c>
      <c r="C512" s="3" t="s">
        <v>8506</v>
      </c>
      <c r="D512" s="3" t="s">
        <v>8479</v>
      </c>
      <c r="E512" s="3" t="s">
        <v>8507</v>
      </c>
      <c r="F512" s="10" t="str">
        <f aca="false">HYPERLINK("https://www.inaturalist.org/people/lunatasp1s","lunatasp1s")</f>
        <v>lunatasp1s</v>
      </c>
      <c r="G512" s="9" t="s">
        <v>13</v>
      </c>
      <c r="H512" s="9" t="s">
        <v>8508</v>
      </c>
    </row>
    <row r="513" customFormat="false" ht="15.75" hidden="false" customHeight="false" outlineLevel="0" collapsed="false">
      <c r="B513" s="7" t="n">
        <v>46222</v>
      </c>
      <c r="C513" s="3" t="s">
        <v>8509</v>
      </c>
      <c r="D513" s="3" t="s">
        <v>8479</v>
      </c>
      <c r="E513" s="3" t="s">
        <v>8510</v>
      </c>
      <c r="F513" s="10" t="str">
        <f aca="false">HYPERLINK("https://www.inaturalist.org/people/chris69269","chris69269")</f>
        <v>chris69269</v>
      </c>
      <c r="G513" s="9" t="s">
        <v>13</v>
      </c>
      <c r="H513" s="9" t="s">
        <v>8511</v>
      </c>
    </row>
    <row r="514" customFormat="false" ht="15.75" hidden="false" customHeight="false" outlineLevel="0" collapsed="false">
      <c r="B514" s="7" t="n">
        <v>46222</v>
      </c>
      <c r="C514" s="3" t="s">
        <v>8512</v>
      </c>
      <c r="D514" s="3" t="s">
        <v>8479</v>
      </c>
      <c r="E514" s="3" t="s">
        <v>8513</v>
      </c>
      <c r="F514" s="10" t="str">
        <f aca="false">HYPERLINK("https://www.inaturalist.org/people/mitchell_aydin","mitchell_aydin")</f>
        <v>mitchell_aydin</v>
      </c>
      <c r="G514" s="9" t="s">
        <v>13</v>
      </c>
      <c r="H514" s="9" t="s">
        <v>8514</v>
      </c>
    </row>
    <row r="515" customFormat="false" ht="15.75" hidden="false" customHeight="false" outlineLevel="0" collapsed="false">
      <c r="B515" s="7" t="n">
        <v>46222</v>
      </c>
      <c r="C515" s="3" t="s">
        <v>8515</v>
      </c>
      <c r="D515" s="3" t="s">
        <v>8479</v>
      </c>
      <c r="E515" s="3" t="s">
        <v>8516</v>
      </c>
      <c r="F515" s="10" t="str">
        <f aca="false">HYPERLINK("https://www.inaturalist.org/people/luc-125","luc-125")</f>
        <v>luc-125</v>
      </c>
      <c r="G515" s="9" t="s">
        <v>13</v>
      </c>
      <c r="H515" s="9" t="s">
        <v>8517</v>
      </c>
    </row>
    <row r="516" customFormat="false" ht="15.75" hidden="false" customHeight="false" outlineLevel="0" collapsed="false">
      <c r="B516" s="7" t="n">
        <v>46222</v>
      </c>
      <c r="C516" s="3" t="s">
        <v>8518</v>
      </c>
      <c r="D516" s="3" t="s">
        <v>8479</v>
      </c>
      <c r="E516" s="3" t="s">
        <v>8519</v>
      </c>
      <c r="F516" s="10" t="str">
        <f aca="false">HYPERLINK("https://www.inaturalist.org/people/rburlette","rburlette")</f>
        <v>rburlette</v>
      </c>
      <c r="G516" s="9" t="s">
        <v>13</v>
      </c>
      <c r="H516" s="9" t="s">
        <v>8520</v>
      </c>
    </row>
    <row r="517" customFormat="false" ht="15.75" hidden="false" customHeight="false" outlineLevel="0" collapsed="false">
      <c r="B517" s="7" t="n">
        <v>46222</v>
      </c>
      <c r="C517" s="3" t="s">
        <v>8521</v>
      </c>
      <c r="D517" s="3" t="s">
        <v>8479</v>
      </c>
      <c r="E517" s="3" t="s">
        <v>8522</v>
      </c>
      <c r="F517" s="10" t="str">
        <f aca="false">HYPERLINK("https://www.inaturalist.org/people/susanjpike","susanjpike")</f>
        <v>susanjpike</v>
      </c>
      <c r="G517" s="9" t="s">
        <v>13</v>
      </c>
      <c r="H517" s="9" t="s">
        <v>8523</v>
      </c>
    </row>
    <row r="518" customFormat="false" ht="15.75" hidden="false" customHeight="false" outlineLevel="0" collapsed="false">
      <c r="B518" s="7" t="n">
        <v>46222</v>
      </c>
      <c r="C518" s="3" t="s">
        <v>8524</v>
      </c>
      <c r="D518" s="3" t="s">
        <v>8479</v>
      </c>
      <c r="E518" s="3" t="s">
        <v>8525</v>
      </c>
      <c r="F518" s="10" t="str">
        <f aca="false">HYPERLINK("https://www.inaturalist.org/people/gabriel91246","gabriel91246")</f>
        <v>gabriel91246</v>
      </c>
      <c r="G518" s="9" t="s">
        <v>13</v>
      </c>
      <c r="H518" s="9" t="s">
        <v>8526</v>
      </c>
    </row>
    <row r="519" customFormat="false" ht="15.75" hidden="false" customHeight="false" outlineLevel="0" collapsed="false">
      <c r="B519" s="7" t="n">
        <v>46222</v>
      </c>
      <c r="C519" s="3" t="s">
        <v>8527</v>
      </c>
      <c r="D519" s="3" t="s">
        <v>8479</v>
      </c>
      <c r="E519" s="3" t="s">
        <v>8528</v>
      </c>
      <c r="F519" s="10" t="str">
        <f aca="false">HYPERLINK("https://www.inaturalist.org/people/delvecrg","delvecrg")</f>
        <v>delvecrg</v>
      </c>
      <c r="G519" s="9" t="s">
        <v>13</v>
      </c>
      <c r="H519" s="9" t="s">
        <v>8529</v>
      </c>
    </row>
    <row r="520" customFormat="false" ht="15.75" hidden="false" customHeight="false" outlineLevel="0" collapsed="false">
      <c r="B520" s="7" t="n">
        <v>46222</v>
      </c>
      <c r="C520" s="3" t="s">
        <v>8530</v>
      </c>
      <c r="D520" s="3" t="s">
        <v>8479</v>
      </c>
      <c r="E520" s="3" t="s">
        <v>8531</v>
      </c>
      <c r="F520" s="10" t="str">
        <f aca="false">HYPERLINK("https://www.inaturalist.org/people/elidavies5","elidavies5")</f>
        <v>elidavies5</v>
      </c>
      <c r="G520" s="9" t="s">
        <v>13</v>
      </c>
      <c r="H520" s="9" t="s">
        <v>8532</v>
      </c>
    </row>
    <row r="521" customFormat="false" ht="15.75" hidden="false" customHeight="false" outlineLevel="0" collapsed="false">
      <c r="B521" s="7" t="n">
        <v>46222</v>
      </c>
      <c r="C521" s="3" t="s">
        <v>8533</v>
      </c>
      <c r="D521" s="3" t="s">
        <v>8479</v>
      </c>
      <c r="E521" s="3" t="s">
        <v>8534</v>
      </c>
      <c r="F521" s="10" t="str">
        <f aca="false">HYPERLINK("https://www.inaturalist.org/people/sethmurray","sethmurray")</f>
        <v>sethmurray</v>
      </c>
      <c r="G521" s="9" t="s">
        <v>13</v>
      </c>
      <c r="H521" s="9" t="s">
        <v>8535</v>
      </c>
    </row>
    <row r="522" customFormat="false" ht="15.75" hidden="false" customHeight="false" outlineLevel="0" collapsed="false">
      <c r="B522" s="7" t="n">
        <v>46222</v>
      </c>
      <c r="C522" s="3" t="s">
        <v>8536</v>
      </c>
      <c r="D522" s="3" t="s">
        <v>8479</v>
      </c>
      <c r="E522" s="3" t="s">
        <v>8537</v>
      </c>
      <c r="F522" s="10" t="str">
        <f aca="false">HYPERLINK("https://www.inaturalist.org/people/joseph92","joseph92")</f>
        <v>joseph92</v>
      </c>
      <c r="G522" s="9" t="s">
        <v>13</v>
      </c>
      <c r="H522" s="9" t="s">
        <v>8538</v>
      </c>
    </row>
    <row r="523" customFormat="false" ht="15.75" hidden="false" customHeight="false" outlineLevel="0" collapsed="false">
      <c r="B523" s="7" t="n">
        <v>46222</v>
      </c>
      <c r="C523" s="3" t="s">
        <v>8539</v>
      </c>
      <c r="D523" s="3" t="s">
        <v>8479</v>
      </c>
      <c r="E523" s="3" t="s">
        <v>8540</v>
      </c>
      <c r="F523" s="10" t="str">
        <f aca="false">HYPERLINK("https://www.inaturalist.org/people/varanus997","varanus997")</f>
        <v>varanus997</v>
      </c>
      <c r="G523" s="9" t="s">
        <v>13</v>
      </c>
      <c r="H523" s="9" t="s">
        <v>8541</v>
      </c>
    </row>
    <row r="524" customFormat="false" ht="15.75" hidden="false" customHeight="false" outlineLevel="0" collapsed="false">
      <c r="B524" s="7" t="n">
        <v>46222</v>
      </c>
      <c r="C524" s="3" t="s">
        <v>8542</v>
      </c>
      <c r="D524" s="3" t="s">
        <v>8479</v>
      </c>
      <c r="E524" s="3" t="s">
        <v>8543</v>
      </c>
      <c r="F524" s="10" t="str">
        <f aca="false">HYPERLINK("https://www.inaturalist.org/people/varanus997","varanus997")</f>
        <v>varanus997</v>
      </c>
      <c r="G524" s="9" t="s">
        <v>13</v>
      </c>
      <c r="H524" s="9" t="s">
        <v>8544</v>
      </c>
    </row>
    <row r="525" customFormat="false" ht="15.75" hidden="false" customHeight="false" outlineLevel="0" collapsed="false">
      <c r="B525" s="7" t="n">
        <v>46222</v>
      </c>
      <c r="C525" s="3" t="s">
        <v>8545</v>
      </c>
      <c r="D525" s="3" t="s">
        <v>8479</v>
      </c>
      <c r="E525" s="3" t="s">
        <v>8546</v>
      </c>
      <c r="F525" s="10" t="str">
        <f aca="false">HYPERLINK("https://www.inaturalist.org/people/gravekathryn","gravekathryn")</f>
        <v>gravekathryn</v>
      </c>
      <c r="G525" s="9" t="s">
        <v>13</v>
      </c>
      <c r="H525" s="9" t="s">
        <v>8547</v>
      </c>
    </row>
    <row r="526" customFormat="false" ht="15.75" hidden="false" customHeight="false" outlineLevel="0" collapsed="false">
      <c r="B526" s="7" t="n">
        <v>46222</v>
      </c>
      <c r="C526" s="3" t="s">
        <v>8548</v>
      </c>
      <c r="D526" s="3" t="s">
        <v>8479</v>
      </c>
      <c r="E526" s="3" t="s">
        <v>8549</v>
      </c>
      <c r="F526" s="10" t="str">
        <f aca="false">HYPERLINK("https://www.inaturalist.org/people/shelby20557","shelby20557")</f>
        <v>shelby20557</v>
      </c>
      <c r="G526" s="9" t="s">
        <v>13</v>
      </c>
      <c r="H526" s="9" t="s">
        <v>8550</v>
      </c>
    </row>
    <row r="527" customFormat="false" ht="15.75" hidden="false" customHeight="false" outlineLevel="0" collapsed="false">
      <c r="B527" s="7" t="n">
        <v>46222</v>
      </c>
      <c r="C527" s="3" t="s">
        <v>8551</v>
      </c>
      <c r="D527" s="3" t="s">
        <v>8479</v>
      </c>
      <c r="E527" s="3" t="s">
        <v>8552</v>
      </c>
      <c r="F527" s="10" t="str">
        <f aca="false">HYPERLINK("https://www.inaturalist.org/people/c_kondrat","c_kondrat")</f>
        <v>c_kondrat</v>
      </c>
      <c r="G527" s="9" t="s">
        <v>13</v>
      </c>
      <c r="H527" s="9" t="s">
        <v>8553</v>
      </c>
    </row>
    <row r="528" customFormat="false" ht="15.75" hidden="false" customHeight="false" outlineLevel="0" collapsed="false">
      <c r="B528" s="7" t="n">
        <v>46222</v>
      </c>
      <c r="C528" s="3" t="s">
        <v>8554</v>
      </c>
      <c r="D528" s="3" t="s">
        <v>8479</v>
      </c>
      <c r="E528" s="3" t="s">
        <v>8555</v>
      </c>
      <c r="F528" s="10" t="str">
        <f aca="false">HYPERLINK("https://www.inaturalist.org/people/mason_s","mason_s")</f>
        <v>mason_s</v>
      </c>
      <c r="G528" s="9" t="s">
        <v>13</v>
      </c>
      <c r="H528" s="9" t="s">
        <v>8556</v>
      </c>
    </row>
    <row r="529" customFormat="false" ht="15.75" hidden="false" customHeight="false" outlineLevel="0" collapsed="false">
      <c r="B529" s="7" t="n">
        <v>46222</v>
      </c>
      <c r="C529" s="3" t="s">
        <v>8557</v>
      </c>
      <c r="D529" s="3" t="s">
        <v>8479</v>
      </c>
      <c r="E529" s="3" t="s">
        <v>8558</v>
      </c>
      <c r="F529" s="10" t="str">
        <f aca="false">HYPERLINK("https://www.inaturalist.org/people/mason_s","mason_s")</f>
        <v>mason_s</v>
      </c>
      <c r="G529" s="9" t="s">
        <v>13</v>
      </c>
      <c r="H529" s="9" t="s">
        <v>8559</v>
      </c>
    </row>
    <row r="530" customFormat="false" ht="15.75" hidden="false" customHeight="false" outlineLevel="0" collapsed="false">
      <c r="B530" s="7" t="n">
        <v>46222</v>
      </c>
      <c r="C530" s="3" t="s">
        <v>8560</v>
      </c>
      <c r="D530" s="3" t="s">
        <v>8479</v>
      </c>
      <c r="E530" s="3" t="s">
        <v>8561</v>
      </c>
      <c r="F530" s="10" t="str">
        <f aca="false">HYPERLINK("https://www.inaturalist.org/people/lorijg","lorijg")</f>
        <v>lorijg</v>
      </c>
      <c r="G530" s="9" t="s">
        <v>13</v>
      </c>
      <c r="H530" s="9" t="s">
        <v>8562</v>
      </c>
    </row>
    <row r="531" customFormat="false" ht="15.75" hidden="false" customHeight="false" outlineLevel="0" collapsed="false">
      <c r="B531" s="7" t="n">
        <v>46222</v>
      </c>
      <c r="C531" s="3" t="s">
        <v>8563</v>
      </c>
      <c r="D531" s="3" t="s">
        <v>8479</v>
      </c>
      <c r="E531" s="3" t="s">
        <v>8564</v>
      </c>
      <c r="F531" s="10" t="str">
        <f aca="false">HYPERLINK("https://www.inaturalist.org/people/winu","winu")</f>
        <v>winu</v>
      </c>
      <c r="G531" s="9" t="s">
        <v>13</v>
      </c>
      <c r="H531" s="9" t="s">
        <v>8565</v>
      </c>
    </row>
    <row r="532" customFormat="false" ht="15.75" hidden="false" customHeight="false" outlineLevel="0" collapsed="false">
      <c r="B532" s="7" t="n">
        <v>46222</v>
      </c>
      <c r="C532" s="3" t="s">
        <v>8566</v>
      </c>
      <c r="D532" s="3" t="s">
        <v>8479</v>
      </c>
      <c r="E532" s="3" t="s">
        <v>8567</v>
      </c>
      <c r="F532" s="10" t="str">
        <f aca="false">HYPERLINK("https://www.inaturalist.org/people/marianaaz","marianaaz")</f>
        <v>marianaaz</v>
      </c>
      <c r="G532" s="9" t="s">
        <v>13</v>
      </c>
      <c r="H532" s="9" t="s">
        <v>8568</v>
      </c>
    </row>
    <row r="533" customFormat="false" ht="15.75" hidden="false" customHeight="false" outlineLevel="0" collapsed="false">
      <c r="B533" s="7" t="n">
        <v>46222</v>
      </c>
      <c r="C533" s="3" t="s">
        <v>8569</v>
      </c>
      <c r="D533" s="3" t="s">
        <v>8479</v>
      </c>
      <c r="E533" s="3" t="s">
        <v>8570</v>
      </c>
      <c r="F533" s="10" t="str">
        <f aca="false">HYPERLINK("https://www.inaturalist.org/people/pedrodyuitmex","pedrodyuitmex")</f>
        <v>pedrodyuitmex</v>
      </c>
      <c r="G533" s="9" t="s">
        <v>13</v>
      </c>
      <c r="H533" s="9" t="s">
        <v>8571</v>
      </c>
    </row>
    <row r="534" customFormat="false" ht="15.75" hidden="false" customHeight="false" outlineLevel="0" collapsed="false">
      <c r="B534" s="7" t="n">
        <v>46222</v>
      </c>
      <c r="C534" s="3" t="s">
        <v>8572</v>
      </c>
      <c r="D534" s="3" t="s">
        <v>8479</v>
      </c>
      <c r="E534" s="3" t="s">
        <v>8573</v>
      </c>
      <c r="F534" s="10" t="str">
        <f aca="false">HYPERLINK("https://www.inaturalist.org/people/pedrodyuitmex","pedrodyuitmex")</f>
        <v>pedrodyuitmex</v>
      </c>
      <c r="G534" s="9" t="s">
        <v>13</v>
      </c>
      <c r="H534" s="9" t="s">
        <v>8574</v>
      </c>
    </row>
    <row r="535" customFormat="false" ht="15.75" hidden="false" customHeight="false" outlineLevel="0" collapsed="false">
      <c r="B535" s="7" t="n">
        <v>46222</v>
      </c>
      <c r="C535" s="3" t="s">
        <v>8575</v>
      </c>
      <c r="D535" s="3" t="s">
        <v>8479</v>
      </c>
      <c r="E535" s="3" t="s">
        <v>8576</v>
      </c>
      <c r="F535" s="10" t="str">
        <f aca="false">HYPERLINK("https://www.inaturalist.org/people/pedrodyuitmex","pedrodyuitmex")</f>
        <v>pedrodyuitmex</v>
      </c>
      <c r="G535" s="9" t="s">
        <v>13</v>
      </c>
      <c r="H535" s="9" t="s">
        <v>8577</v>
      </c>
    </row>
    <row r="536" customFormat="false" ht="15.75" hidden="false" customHeight="false" outlineLevel="0" collapsed="false">
      <c r="B536" s="7" t="n">
        <v>46222</v>
      </c>
      <c r="C536" s="3" t="s">
        <v>8578</v>
      </c>
      <c r="D536" s="3" t="s">
        <v>8479</v>
      </c>
      <c r="E536" s="3" t="s">
        <v>8579</v>
      </c>
      <c r="F536" s="10" t="str">
        <f aca="false">HYPERLINK("https://www.inaturalist.org/people/hope-lamer","hope-lamer")</f>
        <v>hope-lamer</v>
      </c>
      <c r="G536" s="9" t="s">
        <v>13</v>
      </c>
      <c r="H536" s="9" t="s">
        <v>8580</v>
      </c>
    </row>
    <row r="537" customFormat="false" ht="15.75" hidden="false" customHeight="false" outlineLevel="0" collapsed="false">
      <c r="B537" s="7" t="n">
        <v>46222</v>
      </c>
      <c r="C537" s="3" t="s">
        <v>8581</v>
      </c>
      <c r="D537" s="3" t="s">
        <v>8479</v>
      </c>
      <c r="E537" s="3" t="s">
        <v>8582</v>
      </c>
      <c r="F537" s="10" t="str">
        <f aca="false">HYPERLINK("https://www.inaturalist.org/people/elia_perez","elia_perez")</f>
        <v>elia_perez</v>
      </c>
      <c r="G537" s="9" t="s">
        <v>13</v>
      </c>
      <c r="H537" s="9" t="s">
        <v>8583</v>
      </c>
    </row>
    <row r="538" customFormat="false" ht="15.75" hidden="false" customHeight="false" outlineLevel="0" collapsed="false">
      <c r="B538" s="7" t="n">
        <v>46222</v>
      </c>
      <c r="C538" s="3" t="s">
        <v>8584</v>
      </c>
      <c r="D538" s="3" t="s">
        <v>8479</v>
      </c>
      <c r="E538" s="3" t="s">
        <v>8585</v>
      </c>
      <c r="F538" s="10" t="str">
        <f aca="false">HYPERLINK("https://www.inaturalist.org/people/flydaimon","flydaimon")</f>
        <v>flydaimon</v>
      </c>
      <c r="G538" s="9" t="s">
        <v>13</v>
      </c>
      <c r="H538" s="9" t="s">
        <v>8586</v>
      </c>
    </row>
    <row r="539" customFormat="false" ht="15.75" hidden="false" customHeight="false" outlineLevel="0" collapsed="false">
      <c r="B539" s="7" t="n">
        <v>46222</v>
      </c>
      <c r="C539" s="3" t="s">
        <v>8587</v>
      </c>
      <c r="D539" s="3" t="s">
        <v>8479</v>
      </c>
      <c r="E539" s="3" t="s">
        <v>8588</v>
      </c>
      <c r="F539" s="10" t="str">
        <f aca="false">HYPERLINK("https://www.inaturalist.org/people/flydaimon","flydaimon")</f>
        <v>flydaimon</v>
      </c>
      <c r="G539" s="9" t="s">
        <v>13</v>
      </c>
      <c r="H539" s="9" t="s">
        <v>8589</v>
      </c>
    </row>
    <row r="540" customFormat="false" ht="15.75" hidden="false" customHeight="false" outlineLevel="0" collapsed="false">
      <c r="B540" s="7" t="n">
        <v>46222</v>
      </c>
      <c r="C540" s="3" t="s">
        <v>8590</v>
      </c>
      <c r="D540" s="3" t="s">
        <v>8479</v>
      </c>
      <c r="E540" s="3" t="s">
        <v>8591</v>
      </c>
      <c r="F540" s="10" t="str">
        <f aca="false">HYPERLINK("https://www.inaturalist.org/people/tetses","tetses")</f>
        <v>tetses</v>
      </c>
      <c r="G540" s="9" t="s">
        <v>13</v>
      </c>
      <c r="H540" s="9" t="s">
        <v>8592</v>
      </c>
    </row>
    <row r="541" customFormat="false" ht="15.75" hidden="false" customHeight="false" outlineLevel="0" collapsed="false">
      <c r="B541" s="7" t="n">
        <v>46222</v>
      </c>
      <c r="C541" s="3" t="s">
        <v>8593</v>
      </c>
      <c r="D541" s="3" t="s">
        <v>8479</v>
      </c>
      <c r="E541" s="3" t="s">
        <v>8594</v>
      </c>
      <c r="F541" s="10" t="str">
        <f aca="false">HYPERLINK("https://www.inaturalist.org/people/jeremybarker","jeremybarker")</f>
        <v>jeremybarker</v>
      </c>
      <c r="G541" s="9" t="s">
        <v>13</v>
      </c>
      <c r="H541" s="9" t="s">
        <v>8595</v>
      </c>
    </row>
    <row r="542" customFormat="false" ht="15.75" hidden="false" customHeight="false" outlineLevel="0" collapsed="false">
      <c r="B542" s="7" t="n">
        <v>46222</v>
      </c>
      <c r="C542" s="3" t="s">
        <v>8596</v>
      </c>
      <c r="D542" s="3" t="s">
        <v>8479</v>
      </c>
      <c r="E542" s="3" t="s">
        <v>8597</v>
      </c>
      <c r="F542" s="10" t="str">
        <f aca="false">HYPERLINK("https://www.inaturalist.org/people/tetses","tetses")</f>
        <v>tetses</v>
      </c>
      <c r="G542" s="9" t="s">
        <v>13</v>
      </c>
      <c r="H542" s="9" t="s">
        <v>8598</v>
      </c>
    </row>
    <row r="543" customFormat="false" ht="15.75" hidden="false" customHeight="false" outlineLevel="0" collapsed="false">
      <c r="B543" s="7" t="n">
        <v>46222</v>
      </c>
      <c r="C543" s="3" t="s">
        <v>8599</v>
      </c>
      <c r="D543" s="3" t="s">
        <v>8479</v>
      </c>
      <c r="E543" s="3" t="s">
        <v>8600</v>
      </c>
      <c r="F543" s="10" t="str">
        <f aca="false">HYPERLINK("https://www.inaturalist.org/people/marinakadyrova","marinakadyrova")</f>
        <v>marinakadyrova</v>
      </c>
      <c r="G543" s="9" t="s">
        <v>13</v>
      </c>
      <c r="H543" s="9" t="s">
        <v>8601</v>
      </c>
    </row>
    <row r="544" customFormat="false" ht="15.75" hidden="false" customHeight="false" outlineLevel="0" collapsed="false">
      <c r="B544" s="7" t="n">
        <v>46222</v>
      </c>
      <c r="C544" s="3" t="s">
        <v>8602</v>
      </c>
      <c r="D544" s="3" t="s">
        <v>8479</v>
      </c>
      <c r="E544" s="3" t="s">
        <v>8603</v>
      </c>
      <c r="F544" s="10" t="str">
        <f aca="false">HYPERLINK("https://www.inaturalist.org/people/mantislizzie","mantislizzie")</f>
        <v>mantislizzie</v>
      </c>
      <c r="G544" s="9" t="s">
        <v>13</v>
      </c>
      <c r="H544" s="9" t="s">
        <v>8604</v>
      </c>
    </row>
    <row r="545" customFormat="false" ht="15.75" hidden="false" customHeight="false" outlineLevel="0" collapsed="false">
      <c r="B545" s="7" t="n">
        <v>46222</v>
      </c>
      <c r="C545" s="3" t="s">
        <v>8605</v>
      </c>
      <c r="D545" s="3" t="s">
        <v>8479</v>
      </c>
      <c r="E545" s="3" t="s">
        <v>8606</v>
      </c>
      <c r="F545" s="10" t="str">
        <f aca="false">HYPERLINK("https://www.inaturalist.org/people/austingg","austingg")</f>
        <v>austingg</v>
      </c>
      <c r="G545" s="9" t="s">
        <v>13</v>
      </c>
      <c r="H545" s="9" t="s">
        <v>8607</v>
      </c>
    </row>
    <row r="546" customFormat="false" ht="15.75" hidden="false" customHeight="false" outlineLevel="0" collapsed="false">
      <c r="B546" s="7" t="n">
        <v>46222</v>
      </c>
      <c r="C546" s="3" t="s">
        <v>8608</v>
      </c>
      <c r="D546" s="3" t="s">
        <v>8479</v>
      </c>
      <c r="E546" s="3" t="s">
        <v>8609</v>
      </c>
      <c r="F546" s="10" t="str">
        <f aca="false">HYPERLINK("https://www.inaturalist.org/people/dmpeterson","dmpeterson")</f>
        <v>dmpeterson</v>
      </c>
      <c r="G546" s="9" t="s">
        <v>13</v>
      </c>
      <c r="H546" s="9" t="s">
        <v>8610</v>
      </c>
    </row>
    <row r="547" customFormat="false" ht="15.75" hidden="false" customHeight="false" outlineLevel="0" collapsed="false">
      <c r="B547" s="7" t="n">
        <v>46222</v>
      </c>
      <c r="C547" s="3" t="s">
        <v>8611</v>
      </c>
      <c r="D547" s="3" t="s">
        <v>8479</v>
      </c>
      <c r="E547" s="3" t="s">
        <v>8612</v>
      </c>
      <c r="F547" s="10" t="str">
        <f aca="false">HYPERLINK("https://www.inaturalist.org/people/beatrizvilar","beatrizvilar")</f>
        <v>beatrizvilar</v>
      </c>
      <c r="G547" s="9" t="s">
        <v>13</v>
      </c>
      <c r="H547" s="9" t="s">
        <v>8613</v>
      </c>
    </row>
    <row r="548" customFormat="false" ht="15.75" hidden="false" customHeight="false" outlineLevel="0" collapsed="false">
      <c r="B548" s="7" t="n">
        <v>46222</v>
      </c>
      <c r="C548" s="3" t="s">
        <v>8614</v>
      </c>
      <c r="D548" s="3" t="s">
        <v>8479</v>
      </c>
      <c r="E548" s="3" t="s">
        <v>8615</v>
      </c>
      <c r="F548" s="10" t="str">
        <f aca="false">HYPERLINK("https://www.inaturalist.org/people/pinkypam7465","pinkypam7465")</f>
        <v>pinkypam7465</v>
      </c>
      <c r="G548" s="9" t="s">
        <v>13</v>
      </c>
      <c r="H548" s="9" t="s">
        <v>8616</v>
      </c>
    </row>
    <row r="549" customFormat="false" ht="15.75" hidden="false" customHeight="false" outlineLevel="0" collapsed="false">
      <c r="B549" s="7" t="n">
        <v>46222</v>
      </c>
      <c r="C549" s="3" t="s">
        <v>8617</v>
      </c>
      <c r="D549" s="3" t="s">
        <v>8479</v>
      </c>
      <c r="E549" s="3" t="s">
        <v>8618</v>
      </c>
      <c r="F549" s="10" t="str">
        <f aca="false">HYPERLINK("https://www.inaturalist.org/people/beatrizvilar","beatrizvilar")</f>
        <v>beatrizvilar</v>
      </c>
      <c r="G549" s="9" t="s">
        <v>13</v>
      </c>
      <c r="H549" s="9" t="s">
        <v>8619</v>
      </c>
    </row>
    <row r="550" customFormat="false" ht="15.75" hidden="false" customHeight="false" outlineLevel="0" collapsed="false">
      <c r="B550" s="7" t="n">
        <v>46222</v>
      </c>
      <c r="C550" s="3" t="s">
        <v>8620</v>
      </c>
      <c r="D550" s="3" t="s">
        <v>8479</v>
      </c>
      <c r="E550" s="3" t="s">
        <v>8621</v>
      </c>
      <c r="F550" s="10" t="str">
        <f aca="false">HYPERLINK("https://www.inaturalist.org/people/kishacheung","kishacheung")</f>
        <v>kishacheung</v>
      </c>
      <c r="G550" s="9" t="s">
        <v>13</v>
      </c>
      <c r="H550" s="9" t="s">
        <v>8622</v>
      </c>
    </row>
    <row r="551" customFormat="false" ht="15.75" hidden="false" customHeight="false" outlineLevel="0" collapsed="false">
      <c r="B551" s="7" t="n">
        <v>46222</v>
      </c>
      <c r="C551" s="3" t="s">
        <v>8623</v>
      </c>
      <c r="D551" s="3" t="s">
        <v>8479</v>
      </c>
      <c r="E551" s="3" t="s">
        <v>8624</v>
      </c>
      <c r="F551" s="10" t="str">
        <f aca="false">HYPERLINK("https://www.inaturalist.org/people/rainbowlkc","rainbowlkc")</f>
        <v>rainbowlkc</v>
      </c>
      <c r="G551" s="9" t="s">
        <v>13</v>
      </c>
      <c r="H551" s="9" t="s">
        <v>8625</v>
      </c>
    </row>
    <row r="552" customFormat="false" ht="15.75" hidden="false" customHeight="false" outlineLevel="0" collapsed="false">
      <c r="B552" s="7" t="n">
        <v>46222</v>
      </c>
      <c r="C552" s="3" t="s">
        <v>8626</v>
      </c>
      <c r="D552" s="3" t="s">
        <v>8479</v>
      </c>
      <c r="E552" s="3" t="s">
        <v>8627</v>
      </c>
      <c r="F552" s="10" t="str">
        <f aca="false">HYPERLINK("https://www.inaturalist.org/people/opossumgirl24","opossumgirl24")</f>
        <v>opossumgirl24</v>
      </c>
      <c r="G552" s="9" t="s">
        <v>13</v>
      </c>
      <c r="H552" s="9" t="s">
        <v>8628</v>
      </c>
    </row>
    <row r="553" customFormat="false" ht="15.75" hidden="false" customHeight="false" outlineLevel="0" collapsed="false">
      <c r="B553" s="7" t="n">
        <v>46222</v>
      </c>
      <c r="C553" s="3" t="s">
        <v>8629</v>
      </c>
      <c r="D553" s="3" t="s">
        <v>8479</v>
      </c>
      <c r="E553" s="3" t="s">
        <v>8630</v>
      </c>
      <c r="F553" s="10" t="str">
        <f aca="false">HYPERLINK("https://www.inaturalist.org/people/antoniog","antoniog")</f>
        <v>antoniog</v>
      </c>
      <c r="G553" s="9" t="s">
        <v>13</v>
      </c>
      <c r="H553" s="9" t="s">
        <v>8631</v>
      </c>
    </row>
    <row r="554" customFormat="false" ht="15.75" hidden="false" customHeight="false" outlineLevel="0" collapsed="false">
      <c r="B554" s="7" t="n">
        <v>46222</v>
      </c>
      <c r="C554" s="3" t="s">
        <v>8632</v>
      </c>
      <c r="D554" s="3" t="s">
        <v>8479</v>
      </c>
      <c r="E554" s="3" t="s">
        <v>8633</v>
      </c>
      <c r="F554" s="10" t="str">
        <f aca="false">HYPERLINK("https://www.inaturalist.org/people/kishacheung","kishacheung")</f>
        <v>kishacheung</v>
      </c>
      <c r="G554" s="9" t="s">
        <v>13</v>
      </c>
      <c r="H554" s="9" t="s">
        <v>8634</v>
      </c>
    </row>
    <row r="555" customFormat="false" ht="15.75" hidden="false" customHeight="false" outlineLevel="0" collapsed="false">
      <c r="B555" s="7" t="n">
        <v>46222</v>
      </c>
      <c r="C555" s="3" t="s">
        <v>8635</v>
      </c>
      <c r="D555" s="3" t="s">
        <v>8479</v>
      </c>
      <c r="E555" s="3" t="s">
        <v>8636</v>
      </c>
      <c r="F555" s="10" t="str">
        <f aca="false">HYPERLINK("https://www.inaturalist.org/people/keiching","keiching")</f>
        <v>keiching</v>
      </c>
      <c r="G555" s="9" t="s">
        <v>13</v>
      </c>
      <c r="H555" s="9" t="s">
        <v>8637</v>
      </c>
    </row>
    <row r="556" customFormat="false" ht="15.75" hidden="false" customHeight="false" outlineLevel="0" collapsed="false">
      <c r="B556" s="7" t="n">
        <v>46222</v>
      </c>
      <c r="C556" s="3" t="s">
        <v>8638</v>
      </c>
      <c r="D556" s="3" t="s">
        <v>8479</v>
      </c>
      <c r="E556" s="3" t="s">
        <v>8639</v>
      </c>
      <c r="F556" s="10" t="str">
        <f aca="false">HYPERLINK("https://www.inaturalist.org/people/keiching","keiching")</f>
        <v>keiching</v>
      </c>
      <c r="G556" s="9" t="s">
        <v>13</v>
      </c>
      <c r="H556" s="9" t="s">
        <v>8640</v>
      </c>
    </row>
    <row r="557" customFormat="false" ht="15.75" hidden="false" customHeight="false" outlineLevel="0" collapsed="false">
      <c r="B557" s="7" t="n">
        <v>46222</v>
      </c>
      <c r="C557" s="3" t="s">
        <v>8641</v>
      </c>
      <c r="D557" s="3" t="s">
        <v>8479</v>
      </c>
      <c r="E557" s="3" t="s">
        <v>8642</v>
      </c>
      <c r="F557" s="10" t="str">
        <f aca="false">HYPERLINK("https://www.inaturalist.org/people/keiching","keiching")</f>
        <v>keiching</v>
      </c>
      <c r="G557" s="9" t="s">
        <v>13</v>
      </c>
      <c r="H557" s="9" t="s">
        <v>8643</v>
      </c>
    </row>
    <row r="558" customFormat="false" ht="15.75" hidden="false" customHeight="false" outlineLevel="0" collapsed="false">
      <c r="B558" s="7" t="n">
        <v>46222</v>
      </c>
      <c r="C558" s="3" t="s">
        <v>8644</v>
      </c>
      <c r="D558" s="3" t="s">
        <v>8479</v>
      </c>
      <c r="E558" s="3" t="s">
        <v>8645</v>
      </c>
      <c r="F558" s="10" t="str">
        <f aca="false">HYPERLINK("https://www.inaturalist.org/people/biologo99mx","biologo99mx")</f>
        <v>biologo99mx</v>
      </c>
      <c r="G558" s="9" t="s">
        <v>13</v>
      </c>
      <c r="H558" s="9" t="s">
        <v>8646</v>
      </c>
    </row>
    <row r="559" customFormat="false" ht="15.75" hidden="false" customHeight="false" outlineLevel="0" collapsed="false">
      <c r="B559" s="7" t="n">
        <v>46222</v>
      </c>
      <c r="C559" s="3" t="s">
        <v>8647</v>
      </c>
      <c r="D559" s="3" t="s">
        <v>8479</v>
      </c>
      <c r="E559" s="3" t="s">
        <v>8648</v>
      </c>
      <c r="F559" s="10" t="str">
        <f aca="false">HYPERLINK("https://www.inaturalist.org/people/jgilwil","jgilwil")</f>
        <v>jgilwil</v>
      </c>
      <c r="G559" s="9" t="s">
        <v>13</v>
      </c>
      <c r="H559" s="9" t="s">
        <v>8649</v>
      </c>
    </row>
    <row r="560" customFormat="false" ht="15.75" hidden="false" customHeight="false" outlineLevel="0" collapsed="false">
      <c r="B560" s="7" t="n">
        <v>46222</v>
      </c>
      <c r="C560" s="3" t="s">
        <v>8650</v>
      </c>
      <c r="D560" s="3" t="s">
        <v>8479</v>
      </c>
      <c r="E560" s="3" t="s">
        <v>8651</v>
      </c>
      <c r="F560" s="10" t="str">
        <f aca="false">HYPERLINK("https://www.inaturalist.org/people/cy1013","cy1013")</f>
        <v>cy1013</v>
      </c>
      <c r="G560" s="9" t="s">
        <v>13</v>
      </c>
      <c r="H560" s="9" t="s">
        <v>8652</v>
      </c>
    </row>
    <row r="561" customFormat="false" ht="15.75" hidden="false" customHeight="false" outlineLevel="0" collapsed="false">
      <c r="B561" s="7" t="n">
        <v>46222</v>
      </c>
      <c r="C561" s="3" t="s">
        <v>8653</v>
      </c>
      <c r="D561" s="3" t="s">
        <v>8479</v>
      </c>
      <c r="E561" s="3" t="s">
        <v>8654</v>
      </c>
      <c r="F561" s="10" t="str">
        <f aca="false">HYPERLINK("https://www.inaturalist.org/people/neljupiter","neljupiter")</f>
        <v>neljupiter</v>
      </c>
      <c r="G561" s="9" t="s">
        <v>13</v>
      </c>
      <c r="H561" s="9" t="s">
        <v>8655</v>
      </c>
    </row>
    <row r="562" customFormat="false" ht="15.75" hidden="false" customHeight="false" outlineLevel="0" collapsed="false">
      <c r="B562" s="7" t="n">
        <v>46222</v>
      </c>
      <c r="C562" s="3" t="s">
        <v>8656</v>
      </c>
      <c r="D562" s="3" t="s">
        <v>8479</v>
      </c>
      <c r="E562" s="3" t="s">
        <v>8657</v>
      </c>
      <c r="F562" s="10" t="str">
        <f aca="false">HYPERLINK("https://www.inaturalist.org/people/lidapeng623","lidapeng623")</f>
        <v>lidapeng623</v>
      </c>
      <c r="G562" s="9" t="s">
        <v>13</v>
      </c>
      <c r="H562" s="9" t="s">
        <v>8658</v>
      </c>
    </row>
    <row r="563" customFormat="false" ht="15.75" hidden="false" customHeight="false" outlineLevel="0" collapsed="false">
      <c r="B563" s="7" t="n">
        <v>46222</v>
      </c>
      <c r="C563" s="3" t="s">
        <v>8659</v>
      </c>
      <c r="D563" s="3" t="s">
        <v>8479</v>
      </c>
      <c r="E563" s="3" t="s">
        <v>8660</v>
      </c>
      <c r="F563" s="10" t="str">
        <f aca="false">HYPERLINK("https://www.inaturalist.org/people/h_erectus","h_erectus")</f>
        <v>h_erectus</v>
      </c>
      <c r="G563" s="9" t="s">
        <v>13</v>
      </c>
      <c r="H563" s="9" t="s">
        <v>8661</v>
      </c>
    </row>
    <row r="564" customFormat="false" ht="15.75" hidden="false" customHeight="false" outlineLevel="0" collapsed="false">
      <c r="B564" s="7" t="n">
        <v>46222</v>
      </c>
      <c r="C564" s="3" t="s">
        <v>8662</v>
      </c>
      <c r="D564" s="3" t="s">
        <v>8479</v>
      </c>
      <c r="E564" s="3" t="s">
        <v>8663</v>
      </c>
      <c r="F564" s="10" t="str">
        <f aca="false">HYPERLINK("https://www.inaturalist.org/people/h_erectus","h_erectus")</f>
        <v>h_erectus</v>
      </c>
      <c r="G564" s="9" t="s">
        <v>13</v>
      </c>
      <c r="H564" s="9" t="s">
        <v>8664</v>
      </c>
    </row>
    <row r="565" customFormat="false" ht="15.75" hidden="false" customHeight="false" outlineLevel="0" collapsed="false">
      <c r="B565" s="7" t="n">
        <v>46222</v>
      </c>
      <c r="C565" s="3" t="s">
        <v>8665</v>
      </c>
      <c r="D565" s="3" t="s">
        <v>8479</v>
      </c>
      <c r="E565" s="3" t="s">
        <v>8666</v>
      </c>
      <c r="F565" s="10" t="str">
        <f aca="false">HYPERLINK("https://www.inaturalist.org/people/oedubarbosa","oedubarbosa")</f>
        <v>oedubarbosa</v>
      </c>
      <c r="G565" s="9" t="s">
        <v>13</v>
      </c>
      <c r="H565" s="9" t="s">
        <v>8667</v>
      </c>
    </row>
    <row r="566" customFormat="false" ht="15.75" hidden="false" customHeight="false" outlineLevel="0" collapsed="false">
      <c r="B566" s="7" t="n">
        <v>46222</v>
      </c>
      <c r="C566" s="3" t="s">
        <v>8668</v>
      </c>
      <c r="D566" s="3" t="s">
        <v>8479</v>
      </c>
      <c r="E566" s="3" t="s">
        <v>8669</v>
      </c>
      <c r="F566" s="10" t="str">
        <f aca="false">HYPERLINK("https://www.inaturalist.org/people/refia","refia")</f>
        <v>refia</v>
      </c>
      <c r="G566" s="9" t="s">
        <v>13</v>
      </c>
      <c r="H566" s="9" t="s">
        <v>8670</v>
      </c>
    </row>
    <row r="567" customFormat="false" ht="15.75" hidden="false" customHeight="false" outlineLevel="0" collapsed="false">
      <c r="B567" s="7" t="n">
        <v>46222</v>
      </c>
      <c r="C567" s="3" t="s">
        <v>8671</v>
      </c>
      <c r="D567" s="3" t="s">
        <v>8479</v>
      </c>
      <c r="E567" s="3" t="s">
        <v>8672</v>
      </c>
      <c r="F567" s="10" t="str">
        <f aca="false">HYPERLINK("https://www.inaturalist.org/people/roda-gracia","roda-gracia")</f>
        <v>roda-gracia</v>
      </c>
      <c r="G567" s="9" t="s">
        <v>13</v>
      </c>
      <c r="H567" s="9" t="s">
        <v>8673</v>
      </c>
    </row>
    <row r="568" customFormat="false" ht="15.75" hidden="false" customHeight="false" outlineLevel="0" collapsed="false">
      <c r="B568" s="7" t="n">
        <v>46222</v>
      </c>
      <c r="C568" s="3" t="s">
        <v>8674</v>
      </c>
      <c r="D568" s="3" t="s">
        <v>8479</v>
      </c>
      <c r="E568" s="3" t="s">
        <v>8675</v>
      </c>
      <c r="F568" s="10" t="str">
        <f aca="false">HYPERLINK("https://www.inaturalist.org/people/h_erectus","h_erectus")</f>
        <v>h_erectus</v>
      </c>
      <c r="G568" s="9" t="s">
        <v>13</v>
      </c>
      <c r="H568" s="9" t="s">
        <v>8676</v>
      </c>
    </row>
    <row r="569" customFormat="false" ht="15.75" hidden="false" customHeight="false" outlineLevel="0" collapsed="false">
      <c r="B569" s="7" t="n">
        <v>46222</v>
      </c>
      <c r="C569" s="3" t="s">
        <v>8677</v>
      </c>
      <c r="D569" s="3" t="s">
        <v>8479</v>
      </c>
      <c r="E569" s="3" t="s">
        <v>8678</v>
      </c>
      <c r="F569" s="10" t="str">
        <f aca="false">HYPERLINK("https://www.inaturalist.org/people/hugo-sun","hugo-sun")</f>
        <v>hugo-sun</v>
      </c>
      <c r="G569" s="9" t="s">
        <v>13</v>
      </c>
      <c r="H569" s="9" t="s">
        <v>8679</v>
      </c>
    </row>
    <row r="570" customFormat="false" ht="15.75" hidden="false" customHeight="false" outlineLevel="0" collapsed="false">
      <c r="B570" s="7" t="n">
        <v>46222</v>
      </c>
      <c r="C570" s="3" t="s">
        <v>8680</v>
      </c>
      <c r="D570" s="3" t="s">
        <v>8479</v>
      </c>
      <c r="E570" s="3" t="s">
        <v>8681</v>
      </c>
      <c r="F570" s="10" t="str">
        <f aca="false">HYPERLINK("https://www.inaturalist.org/people/fundacion_proaves","fundacion_proaves")</f>
        <v>fundacion_proaves</v>
      </c>
      <c r="G570" s="9" t="s">
        <v>13</v>
      </c>
      <c r="H570" s="9" t="s">
        <v>8682</v>
      </c>
    </row>
    <row r="571" customFormat="false" ht="15.75" hidden="false" customHeight="false" outlineLevel="0" collapsed="false">
      <c r="B571" s="7" t="n">
        <v>46222</v>
      </c>
      <c r="C571" s="3" t="s">
        <v>8683</v>
      </c>
      <c r="D571" s="3" t="s">
        <v>8479</v>
      </c>
      <c r="E571" s="3" t="s">
        <v>8684</v>
      </c>
      <c r="F571" s="10" t="str">
        <f aca="false">HYPERLINK("https://www.inaturalist.org/people/wei_xz","wei_xz")</f>
        <v>wei_xz</v>
      </c>
      <c r="G571" s="9" t="s">
        <v>13</v>
      </c>
      <c r="H571" s="9" t="s">
        <v>8685</v>
      </c>
    </row>
    <row r="572" customFormat="false" ht="15.75" hidden="false" customHeight="false" outlineLevel="0" collapsed="false">
      <c r="B572" s="7" t="n">
        <v>46222</v>
      </c>
      <c r="C572" s="3" t="s">
        <v>8686</v>
      </c>
      <c r="D572" s="3" t="s">
        <v>8479</v>
      </c>
      <c r="E572" s="3" t="s">
        <v>8687</v>
      </c>
      <c r="F572" s="10" t="str">
        <f aca="false">HYPERLINK("https://www.inaturalist.org/people/benny85","benny85")</f>
        <v>benny85</v>
      </c>
      <c r="G572" s="9" t="s">
        <v>13</v>
      </c>
      <c r="H572" s="9" t="s">
        <v>8688</v>
      </c>
    </row>
    <row r="573" customFormat="false" ht="15.75" hidden="false" customHeight="false" outlineLevel="0" collapsed="false">
      <c r="B573" s="7" t="n">
        <v>46222</v>
      </c>
      <c r="C573" s="3" t="s">
        <v>8689</v>
      </c>
      <c r="D573" s="3" t="s">
        <v>8479</v>
      </c>
      <c r="E573" s="3" t="s">
        <v>8690</v>
      </c>
      <c r="F573" s="10" t="str">
        <f aca="false">HYPERLINK("https://www.inaturalist.org/people/ayoub52441","ayoub52441")</f>
        <v>ayoub52441</v>
      </c>
      <c r="G573" s="9" t="s">
        <v>13</v>
      </c>
      <c r="H573" s="9" t="s">
        <v>8691</v>
      </c>
    </row>
    <row r="574" customFormat="false" ht="15.75" hidden="false" customHeight="false" outlineLevel="0" collapsed="false">
      <c r="B574" s="7" t="n">
        <v>46222</v>
      </c>
      <c r="C574" s="3" t="s">
        <v>8692</v>
      </c>
      <c r="D574" s="3" t="s">
        <v>8479</v>
      </c>
      <c r="E574" s="3" t="s">
        <v>8693</v>
      </c>
      <c r="F574" s="10" t="str">
        <f aca="false">HYPERLINK("https://www.inaturalist.org/people/jaxxz","jaxxz")</f>
        <v>jaxxz</v>
      </c>
      <c r="G574" s="9" t="s">
        <v>13</v>
      </c>
      <c r="H574" s="9" t="s">
        <v>8694</v>
      </c>
    </row>
    <row r="575" customFormat="false" ht="15.75" hidden="false" customHeight="false" outlineLevel="0" collapsed="false">
      <c r="B575" s="7" t="n">
        <v>46222</v>
      </c>
      <c r="C575" s="3" t="s">
        <v>8695</v>
      </c>
      <c r="D575" s="3" t="s">
        <v>8479</v>
      </c>
      <c r="E575" s="3" t="s">
        <v>8696</v>
      </c>
      <c r="F575" s="10" t="str">
        <f aca="false">HYPERLINK("https://www.inaturalist.org/people/periplaneta","periplaneta")</f>
        <v>periplaneta</v>
      </c>
      <c r="G575" s="9" t="s">
        <v>13</v>
      </c>
      <c r="H575" s="9" t="s">
        <v>8697</v>
      </c>
    </row>
    <row r="576" customFormat="false" ht="15.75" hidden="false" customHeight="false" outlineLevel="0" collapsed="false">
      <c r="B576" s="7" t="n">
        <v>46222</v>
      </c>
      <c r="C576" s="3" t="s">
        <v>8698</v>
      </c>
      <c r="D576" s="3" t="s">
        <v>8479</v>
      </c>
      <c r="E576" s="3" t="s">
        <v>8699</v>
      </c>
      <c r="F576" s="10" t="str">
        <f aca="false">HYPERLINK("https://www.inaturalist.org/people/rodenberger","rodenberger")</f>
        <v>rodenberger</v>
      </c>
      <c r="G576" s="9" t="s">
        <v>13</v>
      </c>
      <c r="H576" s="9" t="s">
        <v>8700</v>
      </c>
    </row>
    <row r="577" customFormat="false" ht="15.75" hidden="false" customHeight="false" outlineLevel="0" collapsed="false">
      <c r="B577" s="7" t="n">
        <v>46222</v>
      </c>
      <c r="C577" s="3" t="s">
        <v>8701</v>
      </c>
      <c r="D577" s="3" t="s">
        <v>8479</v>
      </c>
      <c r="E577" s="3" t="s">
        <v>8702</v>
      </c>
      <c r="F577" s="10" t="str">
        <f aca="false">HYPERLINK("https://www.inaturalist.org/people/jordandcochran","jordandcochran")</f>
        <v>jordandcochran</v>
      </c>
      <c r="G577" s="9" t="s">
        <v>13</v>
      </c>
      <c r="H577" s="9" t="s">
        <v>8703</v>
      </c>
    </row>
    <row r="578" customFormat="false" ht="15.75" hidden="false" customHeight="false" outlineLevel="0" collapsed="false">
      <c r="B578" s="7" t="n">
        <v>46222</v>
      </c>
      <c r="C578" s="3" t="s">
        <v>8704</v>
      </c>
      <c r="D578" s="3" t="s">
        <v>8479</v>
      </c>
      <c r="E578" s="3" t="s">
        <v>8705</v>
      </c>
      <c r="F578" s="10" t="str">
        <f aca="false">HYPERLINK("https://www.inaturalist.org/people/gold_crest","gold_crest")</f>
        <v>gold_crest</v>
      </c>
      <c r="G578" s="9" t="s">
        <v>13</v>
      </c>
      <c r="H578" s="9" t="s">
        <v>8706</v>
      </c>
    </row>
    <row r="579" customFormat="false" ht="15.75" hidden="false" customHeight="false" outlineLevel="0" collapsed="false">
      <c r="B579" s="7" t="n">
        <v>46222</v>
      </c>
      <c r="C579" s="3" t="s">
        <v>8707</v>
      </c>
      <c r="D579" s="3" t="s">
        <v>8479</v>
      </c>
      <c r="E579" s="3" t="s">
        <v>8708</v>
      </c>
      <c r="F579" s="10" t="str">
        <f aca="false">HYPERLINK("https://www.inaturalist.org/people/franz_herpman","franz_herpman")</f>
        <v>franz_herpman</v>
      </c>
      <c r="G579" s="9" t="s">
        <v>13</v>
      </c>
      <c r="H579" s="9" t="s">
        <v>8709</v>
      </c>
    </row>
    <row r="580" customFormat="false" ht="15.75" hidden="false" customHeight="false" outlineLevel="0" collapsed="false">
      <c r="B580" s="7" t="n">
        <v>46222</v>
      </c>
      <c r="C580" s="3" t="s">
        <v>8710</v>
      </c>
      <c r="D580" s="3" t="s">
        <v>8479</v>
      </c>
      <c r="E580" s="3" t="s">
        <v>8711</v>
      </c>
      <c r="F580" s="10" t="str">
        <f aca="false">HYPERLINK("https://www.inaturalist.org/people/clairettebayon","clairettebayon")</f>
        <v>clairettebayon</v>
      </c>
      <c r="G580" s="9" t="s">
        <v>13</v>
      </c>
      <c r="H580" s="9" t="s">
        <v>8712</v>
      </c>
    </row>
    <row r="581" customFormat="false" ht="15.75" hidden="false" customHeight="false" outlineLevel="0" collapsed="false">
      <c r="B581" s="7" t="n">
        <v>46222</v>
      </c>
      <c r="C581" s="3" t="s">
        <v>8713</v>
      </c>
      <c r="D581" s="3" t="s">
        <v>8479</v>
      </c>
      <c r="E581" s="3" t="s">
        <v>8714</v>
      </c>
      <c r="F581" s="10" t="str">
        <f aca="false">HYPERLINK("https://www.inaturalist.org/people/maria_malta","maria_malta")</f>
        <v>maria_malta</v>
      </c>
      <c r="G581" s="9" t="s">
        <v>13</v>
      </c>
      <c r="H581" s="9" t="s">
        <v>8715</v>
      </c>
    </row>
    <row r="582" customFormat="false" ht="15.75" hidden="false" customHeight="false" outlineLevel="0" collapsed="false">
      <c r="B582" s="7" t="n">
        <v>46222</v>
      </c>
      <c r="C582" s="3" t="s">
        <v>8716</v>
      </c>
      <c r="D582" s="3" t="s">
        <v>8479</v>
      </c>
      <c r="E582" s="3" t="s">
        <v>8717</v>
      </c>
      <c r="F582" s="10" t="str">
        <f aca="false">HYPERLINK("https://www.inaturalist.org/people/danielcorreia","danielcorreia")</f>
        <v>danielcorreia</v>
      </c>
      <c r="G582" s="9" t="s">
        <v>13</v>
      </c>
      <c r="H582" s="9" t="s">
        <v>8718</v>
      </c>
    </row>
    <row r="583" customFormat="false" ht="15.75" hidden="false" customHeight="false" outlineLevel="0" collapsed="false">
      <c r="B583" s="7" t="n">
        <v>46222</v>
      </c>
      <c r="C583" s="3" t="s">
        <v>8719</v>
      </c>
      <c r="D583" s="3" t="s">
        <v>8479</v>
      </c>
      <c r="E583" s="3" t="s">
        <v>8720</v>
      </c>
      <c r="F583" s="10" t="str">
        <f aca="false">HYPERLINK("https://www.inaturalist.org/people/liboheng_reborn","liboheng_reborn")</f>
        <v>liboheng_reborn</v>
      </c>
      <c r="G583" s="9" t="s">
        <v>13</v>
      </c>
      <c r="H583" s="9" t="s">
        <v>8721</v>
      </c>
    </row>
    <row r="584" customFormat="false" ht="15.75" hidden="false" customHeight="false" outlineLevel="0" collapsed="false">
      <c r="B584" s="7" t="n">
        <v>46222</v>
      </c>
      <c r="C584" s="3" t="s">
        <v>8722</v>
      </c>
      <c r="D584" s="3" t="s">
        <v>8479</v>
      </c>
      <c r="E584" s="3" t="s">
        <v>8723</v>
      </c>
      <c r="F584" s="10" t="str">
        <f aca="false">HYPERLINK("https://www.inaturalist.org/people/sergey_macro","sergey_macro")</f>
        <v>sergey_macro</v>
      </c>
      <c r="G584" s="9" t="s">
        <v>13</v>
      </c>
      <c r="H584" s="9" t="s">
        <v>8724</v>
      </c>
    </row>
    <row r="585" customFormat="false" ht="15.75" hidden="false" customHeight="false" outlineLevel="0" collapsed="false">
      <c r="B585" s="7" t="n">
        <v>46222</v>
      </c>
      <c r="C585" s="3" t="s">
        <v>8725</v>
      </c>
      <c r="D585" s="3" t="s">
        <v>8479</v>
      </c>
      <c r="E585" s="3" t="s">
        <v>8726</v>
      </c>
      <c r="F585" s="10" t="str">
        <f aca="false">HYPERLINK("https://www.inaturalist.org/people/gold_crest","gold_crest")</f>
        <v>gold_crest</v>
      </c>
      <c r="G585" s="9" t="s">
        <v>13</v>
      </c>
      <c r="H585" s="9" t="s">
        <v>8727</v>
      </c>
    </row>
    <row r="586" customFormat="false" ht="15.75" hidden="false" customHeight="false" outlineLevel="0" collapsed="false">
      <c r="B586" s="7" t="n">
        <v>46222</v>
      </c>
      <c r="C586" s="3" t="s">
        <v>8728</v>
      </c>
      <c r="D586" s="3" t="s">
        <v>8479</v>
      </c>
      <c r="E586" s="3" t="s">
        <v>8729</v>
      </c>
      <c r="F586" s="10" t="str">
        <f aca="false">HYPERLINK("https://www.inaturalist.org/people/gold_crest","gold_crest")</f>
        <v>gold_crest</v>
      </c>
      <c r="G586" s="9" t="s">
        <v>13</v>
      </c>
      <c r="H586" s="9" t="s">
        <v>8730</v>
      </c>
    </row>
    <row r="587" customFormat="false" ht="15.75" hidden="false" customHeight="false" outlineLevel="0" collapsed="false">
      <c r="B587" s="7" t="n">
        <v>46222</v>
      </c>
      <c r="C587" s="3" t="s">
        <v>8731</v>
      </c>
      <c r="D587" s="3" t="s">
        <v>8479</v>
      </c>
      <c r="E587" s="3" t="s">
        <v>8732</v>
      </c>
      <c r="F587" s="10" t="str">
        <f aca="false">HYPERLINK("https://www.inaturalist.org/people/delvauxdelaforet","delvauxdelaforet")</f>
        <v>delvauxdelaforet</v>
      </c>
      <c r="G587" s="9" t="s">
        <v>13</v>
      </c>
      <c r="H587" s="9" t="s">
        <v>8733</v>
      </c>
    </row>
    <row r="588" customFormat="false" ht="15.75" hidden="false" customHeight="false" outlineLevel="0" collapsed="false">
      <c r="B588" s="7" t="n">
        <v>46222</v>
      </c>
      <c r="C588" s="3" t="s">
        <v>8734</v>
      </c>
      <c r="D588" s="3" t="s">
        <v>8479</v>
      </c>
      <c r="E588" s="3" t="s">
        <v>8735</v>
      </c>
      <c r="F588" s="10" t="str">
        <f aca="false">HYPERLINK("https://www.inaturalist.org/people/kheperer","kheperer")</f>
        <v>kheperer</v>
      </c>
      <c r="G588" s="9" t="s">
        <v>13</v>
      </c>
      <c r="H588" s="9" t="s">
        <v>8736</v>
      </c>
    </row>
    <row r="589" customFormat="false" ht="15.75" hidden="false" customHeight="false" outlineLevel="0" collapsed="false">
      <c r="B589" s="7" t="n">
        <v>46222</v>
      </c>
      <c r="C589" s="3" t="s">
        <v>8737</v>
      </c>
      <c r="D589" s="3" t="s">
        <v>8479</v>
      </c>
      <c r="E589" s="3" t="s">
        <v>8738</v>
      </c>
      <c r="F589" s="10" t="str">
        <f aca="false">HYPERLINK("https://www.inaturalist.org/people/karoopixie","karoopixie")</f>
        <v>karoopixie</v>
      </c>
      <c r="G589" s="9" t="s">
        <v>13</v>
      </c>
      <c r="H589" s="9" t="s">
        <v>8739</v>
      </c>
    </row>
    <row r="590" customFormat="false" ht="15.75" hidden="false" customHeight="false" outlineLevel="0" collapsed="false">
      <c r="B590" s="7" t="n">
        <v>46222</v>
      </c>
      <c r="C590" s="3" t="s">
        <v>8740</v>
      </c>
      <c r="D590" s="3" t="s">
        <v>8479</v>
      </c>
      <c r="E590" s="3" t="s">
        <v>8741</v>
      </c>
      <c r="F590" s="10" t="str">
        <f aca="false">HYPERLINK("https://www.inaturalist.org/people/lidapeng623","lidapeng623")</f>
        <v>lidapeng623</v>
      </c>
      <c r="G590" s="9" t="s">
        <v>13</v>
      </c>
      <c r="H590" s="9" t="s">
        <v>8742</v>
      </c>
    </row>
    <row r="591" customFormat="false" ht="15.75" hidden="false" customHeight="false" outlineLevel="0" collapsed="false">
      <c r="B591" s="7" t="n">
        <v>46222</v>
      </c>
      <c r="C591" s="3" t="s">
        <v>8743</v>
      </c>
      <c r="D591" s="3" t="s">
        <v>8479</v>
      </c>
      <c r="E591" s="3" t="s">
        <v>8744</v>
      </c>
      <c r="F591" s="10" t="str">
        <f aca="false">HYPERLINK("https://www.inaturalist.org/people/chemywords","chemywords")</f>
        <v>chemywords</v>
      </c>
      <c r="G591" s="9" t="s">
        <v>13</v>
      </c>
      <c r="H591" s="9" t="s">
        <v>8745</v>
      </c>
    </row>
    <row r="592" customFormat="false" ht="15.75" hidden="false" customHeight="false" outlineLevel="0" collapsed="false">
      <c r="B592" s="7" t="n">
        <v>46222</v>
      </c>
      <c r="C592" s="3" t="s">
        <v>8746</v>
      </c>
      <c r="D592" s="3" t="s">
        <v>8479</v>
      </c>
      <c r="E592" s="3" t="s">
        <v>8747</v>
      </c>
      <c r="F592" s="10" t="str">
        <f aca="false">HYPERLINK("https://www.inaturalist.org/people/sajibbiswas","sajibbiswas")</f>
        <v>sajibbiswas</v>
      </c>
      <c r="G592" s="9" t="s">
        <v>13</v>
      </c>
      <c r="H592" s="9" t="s">
        <v>8748</v>
      </c>
    </row>
    <row r="593" customFormat="false" ht="15.75" hidden="false" customHeight="false" outlineLevel="0" collapsed="false">
      <c r="B593" s="7" t="n">
        <v>46222</v>
      </c>
      <c r="C593" s="3" t="s">
        <v>8749</v>
      </c>
      <c r="D593" s="3" t="s">
        <v>8479</v>
      </c>
      <c r="E593" s="3" t="s">
        <v>8750</v>
      </c>
      <c r="F593" s="10" t="str">
        <f aca="false">HYPERLINK("https://www.inaturalist.org/people/emjenkins","emjenkins")</f>
        <v>emjenkins</v>
      </c>
      <c r="G593" s="9" t="s">
        <v>13</v>
      </c>
      <c r="H593" s="9" t="s">
        <v>8751</v>
      </c>
    </row>
    <row r="594" customFormat="false" ht="15.75" hidden="false" customHeight="false" outlineLevel="0" collapsed="false">
      <c r="B594" s="7" t="n">
        <v>46222</v>
      </c>
      <c r="C594" s="3" t="s">
        <v>8752</v>
      </c>
      <c r="D594" s="3" t="s">
        <v>8479</v>
      </c>
      <c r="E594" s="3" t="s">
        <v>8753</v>
      </c>
      <c r="F594" s="10" t="str">
        <f aca="false">HYPERLINK("https://www.inaturalist.org/people/michaeldvorak","michaeldvorak")</f>
        <v>michaeldvorak</v>
      </c>
      <c r="G594" s="9" t="s">
        <v>13</v>
      </c>
      <c r="H594" s="9" t="s">
        <v>8754</v>
      </c>
    </row>
    <row r="595" customFormat="false" ht="15.75" hidden="false" customHeight="false" outlineLevel="0" collapsed="false">
      <c r="B595" s="7" t="n">
        <v>46222</v>
      </c>
      <c r="C595" s="3" t="s">
        <v>8755</v>
      </c>
      <c r="D595" s="3" t="s">
        <v>8479</v>
      </c>
      <c r="E595" s="3" t="s">
        <v>8756</v>
      </c>
      <c r="F595" s="10" t="str">
        <f aca="false">HYPERLINK("https://www.inaturalist.org/people/thefrogbreeder","thefrogbreeder")</f>
        <v>thefrogbreeder</v>
      </c>
      <c r="G595" s="9" t="s">
        <v>13</v>
      </c>
      <c r="H595" s="9" t="s">
        <v>8757</v>
      </c>
    </row>
    <row r="596" customFormat="false" ht="15.75" hidden="false" customHeight="false" outlineLevel="0" collapsed="false">
      <c r="B596" s="7" t="n">
        <v>46222</v>
      </c>
      <c r="C596" s="3" t="s">
        <v>8758</v>
      </c>
      <c r="D596" s="3" t="s">
        <v>8479</v>
      </c>
      <c r="E596" s="3" t="s">
        <v>8759</v>
      </c>
      <c r="F596" s="10" t="str">
        <f aca="false">HYPERLINK("https://www.inaturalist.org/people/lrod11","lrod11")</f>
        <v>lrod11</v>
      </c>
      <c r="G596" s="9" t="s">
        <v>13</v>
      </c>
      <c r="H596" s="9" t="s">
        <v>8760</v>
      </c>
    </row>
    <row r="597" customFormat="false" ht="15.75" hidden="false" customHeight="false" outlineLevel="0" collapsed="false">
      <c r="B597" s="7" t="n">
        <v>46222</v>
      </c>
      <c r="C597" s="3" t="s">
        <v>8761</v>
      </c>
      <c r="D597" s="3" t="s">
        <v>8479</v>
      </c>
      <c r="E597" s="3" t="s">
        <v>8762</v>
      </c>
      <c r="F597" s="10" t="str">
        <f aca="false">HYPERLINK("https://www.inaturalist.org/people/jigure","jigure")</f>
        <v>jigure</v>
      </c>
      <c r="G597" s="9" t="s">
        <v>13</v>
      </c>
      <c r="H597" s="9" t="s">
        <v>8763</v>
      </c>
    </row>
    <row r="598" customFormat="false" ht="15.75" hidden="false" customHeight="false" outlineLevel="0" collapsed="false">
      <c r="B598" s="7" t="n">
        <v>46222</v>
      </c>
      <c r="C598" s="3" t="s">
        <v>8764</v>
      </c>
      <c r="D598" s="3" t="s">
        <v>8479</v>
      </c>
      <c r="E598" s="3" t="s">
        <v>8765</v>
      </c>
      <c r="F598" s="10" t="str">
        <f aca="false">HYPERLINK("https://www.inaturalist.org/people/alex12570","alex12570")</f>
        <v>alex12570</v>
      </c>
      <c r="G598" s="9" t="s">
        <v>13</v>
      </c>
      <c r="H598" s="9" t="s">
        <v>8766</v>
      </c>
    </row>
    <row r="599" customFormat="false" ht="15.75" hidden="false" customHeight="false" outlineLevel="0" collapsed="false">
      <c r="B599" s="7" t="n">
        <v>46222</v>
      </c>
      <c r="C599" s="3" t="s">
        <v>8767</v>
      </c>
      <c r="D599" s="3" t="s">
        <v>8479</v>
      </c>
      <c r="E599" s="3" t="s">
        <v>8723</v>
      </c>
      <c r="F599" s="10" t="str">
        <f aca="false">HYPERLINK("https://www.inaturalist.org/people/wodanaz_k","wodanaz_k")</f>
        <v>wodanaz_k</v>
      </c>
      <c r="G599" s="9" t="s">
        <v>13</v>
      </c>
      <c r="H599" s="9" t="s">
        <v>8768</v>
      </c>
    </row>
    <row r="600" customFormat="false" ht="15.75" hidden="false" customHeight="false" outlineLevel="0" collapsed="false">
      <c r="B600" s="7" t="n">
        <v>46222</v>
      </c>
      <c r="C600" s="3" t="s">
        <v>8769</v>
      </c>
      <c r="D600" s="3" t="s">
        <v>8479</v>
      </c>
      <c r="E600" s="3" t="s">
        <v>8770</v>
      </c>
      <c r="F600" s="10" t="str">
        <f aca="false">HYPERLINK("https://www.inaturalist.org/people/asmolbugobserver","asmolbugobserver")</f>
        <v>asmolbugobserver</v>
      </c>
      <c r="G600" s="9" t="s">
        <v>13</v>
      </c>
      <c r="H600" s="9" t="s">
        <v>8771</v>
      </c>
    </row>
    <row r="601" customFormat="false" ht="15.75" hidden="false" customHeight="false" outlineLevel="0" collapsed="false">
      <c r="B601" s="7" t="n">
        <v>46222</v>
      </c>
      <c r="C601" s="3" t="s">
        <v>8772</v>
      </c>
      <c r="D601" s="3" t="s">
        <v>8479</v>
      </c>
      <c r="E601" s="3" t="s">
        <v>8773</v>
      </c>
      <c r="F601" s="10" t="str">
        <f aca="false">HYPERLINK("https://www.inaturalist.org/people/katerina_kashirina","katerina_kashirina")</f>
        <v>katerina_kashirina</v>
      </c>
      <c r="G601" s="9" t="s">
        <v>13</v>
      </c>
      <c r="H601" s="9" t="s">
        <v>8774</v>
      </c>
    </row>
    <row r="602" customFormat="false" ht="15.75" hidden="false" customHeight="false" outlineLevel="0" collapsed="false">
      <c r="B602" s="7" t="n">
        <v>46222</v>
      </c>
      <c r="C602" s="3" t="s">
        <v>8775</v>
      </c>
      <c r="D602" s="3" t="s">
        <v>8479</v>
      </c>
      <c r="E602" s="3" t="s">
        <v>8776</v>
      </c>
      <c r="F602" s="10" t="str">
        <f aca="false">HYPERLINK("https://www.inaturalist.org/people/melomelo","melomelo")</f>
        <v>melomelo</v>
      </c>
      <c r="G602" s="9" t="s">
        <v>13</v>
      </c>
      <c r="H602" s="9" t="s">
        <v>8777</v>
      </c>
    </row>
    <row r="603" customFormat="false" ht="15.75" hidden="false" customHeight="false" outlineLevel="0" collapsed="false">
      <c r="B603" s="7" t="n">
        <v>46222</v>
      </c>
      <c r="C603" s="3" t="s">
        <v>8778</v>
      </c>
      <c r="D603" s="3" t="s">
        <v>8779</v>
      </c>
      <c r="E603" s="3" t="s">
        <v>8780</v>
      </c>
      <c r="F603" s="10" t="str">
        <f aca="false">HYPERLINK("https://www.inaturalist.org/people/photolith","photolith")</f>
        <v>photolith</v>
      </c>
      <c r="G603" s="9" t="s">
        <v>13</v>
      </c>
      <c r="H603" s="9" t="s">
        <v>8781</v>
      </c>
    </row>
    <row r="604" customFormat="false" ht="15.75" hidden="false" customHeight="false" outlineLevel="0" collapsed="false">
      <c r="B604" s="7" t="n">
        <v>46222</v>
      </c>
      <c r="C604" s="3" t="s">
        <v>8782</v>
      </c>
      <c r="D604" s="3" t="s">
        <v>8779</v>
      </c>
      <c r="E604" s="3" t="s">
        <v>8783</v>
      </c>
      <c r="F604" s="10" t="str">
        <f aca="false">HYPERLINK("https://www.inaturalist.org/people/gcbb","gcbb")</f>
        <v>gcbb</v>
      </c>
      <c r="G604" s="9" t="s">
        <v>13</v>
      </c>
      <c r="H604" s="9" t="s">
        <v>8784</v>
      </c>
    </row>
    <row r="605" customFormat="false" ht="15.75" hidden="false" customHeight="false" outlineLevel="0" collapsed="false">
      <c r="B605" s="7" t="n">
        <v>46222</v>
      </c>
      <c r="C605" s="3" t="s">
        <v>8785</v>
      </c>
      <c r="D605" s="3" t="s">
        <v>8779</v>
      </c>
      <c r="E605" s="3" t="s">
        <v>8786</v>
      </c>
      <c r="F605" s="10" t="str">
        <f aca="false">HYPERLINK("https://www.inaturalist.org/people/morganspatz","morganspatz")</f>
        <v>morganspatz</v>
      </c>
      <c r="G605" s="9" t="s">
        <v>13</v>
      </c>
      <c r="H605" s="9" t="s">
        <v>8787</v>
      </c>
    </row>
    <row r="606" customFormat="false" ht="15.75" hidden="false" customHeight="false" outlineLevel="0" collapsed="false">
      <c r="B606" s="7" t="n">
        <v>46222</v>
      </c>
      <c r="C606" s="3" t="s">
        <v>8788</v>
      </c>
      <c r="D606" s="3" t="s">
        <v>8779</v>
      </c>
      <c r="E606" s="3" t="s">
        <v>8789</v>
      </c>
      <c r="F606" s="10" t="str">
        <f aca="false">HYPERLINK("https://www.inaturalist.org/people/rootfactor","rootfactor")</f>
        <v>rootfactor</v>
      </c>
      <c r="G606" s="9" t="s">
        <v>13</v>
      </c>
      <c r="H606" s="9" t="s">
        <v>8790</v>
      </c>
    </row>
    <row r="607" customFormat="false" ht="15.75" hidden="false" customHeight="false" outlineLevel="0" collapsed="false">
      <c r="B607" s="7" t="n">
        <v>46222</v>
      </c>
      <c r="C607" s="3" t="s">
        <v>8791</v>
      </c>
      <c r="D607" s="3" t="s">
        <v>8779</v>
      </c>
      <c r="E607" s="3" t="s">
        <v>8792</v>
      </c>
      <c r="F607" s="10" t="str">
        <f aca="false">HYPERLINK("https://www.inaturalist.org/people/elisamariev","elisamariev")</f>
        <v>elisamariev</v>
      </c>
      <c r="G607" s="9" t="s">
        <v>13</v>
      </c>
      <c r="H607" s="9" t="s">
        <v>8793</v>
      </c>
    </row>
    <row r="608" customFormat="false" ht="15.75" hidden="false" customHeight="false" outlineLevel="0" collapsed="false">
      <c r="B608" s="7" t="n">
        <v>46222</v>
      </c>
      <c r="C608" s="3" t="s">
        <v>8794</v>
      </c>
      <c r="D608" s="3" t="s">
        <v>8779</v>
      </c>
      <c r="E608" s="3" t="s">
        <v>8795</v>
      </c>
      <c r="F608" s="10" t="str">
        <f aca="false">HYPERLINK("https://www.inaturalist.org/people/laureldoc","laureldoc")</f>
        <v>laureldoc</v>
      </c>
      <c r="G608" s="9" t="s">
        <v>13</v>
      </c>
      <c r="H608" s="9" t="s">
        <v>8796</v>
      </c>
    </row>
    <row r="609" customFormat="false" ht="15.75" hidden="false" customHeight="false" outlineLevel="0" collapsed="false">
      <c r="B609" s="7" t="n">
        <v>46222</v>
      </c>
      <c r="C609" s="3" t="s">
        <v>8797</v>
      </c>
      <c r="D609" s="3" t="s">
        <v>8779</v>
      </c>
      <c r="E609" s="3" t="s">
        <v>8798</v>
      </c>
      <c r="F609" s="10" t="str">
        <f aca="false">HYPERLINK("https://www.inaturalist.org/people/laureldoc","laureldoc")</f>
        <v>laureldoc</v>
      </c>
      <c r="G609" s="9" t="s">
        <v>13</v>
      </c>
      <c r="H609" s="9" t="s">
        <v>8799</v>
      </c>
    </row>
    <row r="610" customFormat="false" ht="15.75" hidden="false" customHeight="false" outlineLevel="0" collapsed="false">
      <c r="B610" s="7" t="n">
        <v>46222</v>
      </c>
      <c r="C610" s="3" t="s">
        <v>8800</v>
      </c>
      <c r="D610" s="3" t="s">
        <v>8779</v>
      </c>
      <c r="E610" s="3" t="s">
        <v>8801</v>
      </c>
      <c r="F610" s="10" t="str">
        <f aca="false">HYPERLINK("https://www.inaturalist.org/people/chesapeakenatives","chesapeakenatives")</f>
        <v>chesapeakenatives</v>
      </c>
      <c r="G610" s="9" t="s">
        <v>13</v>
      </c>
      <c r="H610" s="9" t="s">
        <v>8802</v>
      </c>
    </row>
    <row r="611" customFormat="false" ht="15.75" hidden="false" customHeight="false" outlineLevel="0" collapsed="false">
      <c r="B611" s="7" t="n">
        <v>46222</v>
      </c>
      <c r="C611" s="3" t="s">
        <v>8803</v>
      </c>
      <c r="D611" s="3" t="s">
        <v>8779</v>
      </c>
      <c r="E611" s="3" t="s">
        <v>8804</v>
      </c>
      <c r="F611" s="10" t="str">
        <f aca="false">HYPERLINK("https://www.inaturalist.org/people/morethanlaurel","morethanlaurel")</f>
        <v>morethanlaurel</v>
      </c>
      <c r="G611" s="9" t="s">
        <v>13</v>
      </c>
      <c r="H611" s="9" t="s">
        <v>8805</v>
      </c>
    </row>
    <row r="612" customFormat="false" ht="15.75" hidden="false" customHeight="false" outlineLevel="0" collapsed="false">
      <c r="B612" s="7" t="n">
        <v>46222</v>
      </c>
      <c r="C612" s="3" t="s">
        <v>8806</v>
      </c>
      <c r="D612" s="3" t="s">
        <v>8779</v>
      </c>
      <c r="E612" s="3" t="s">
        <v>8807</v>
      </c>
      <c r="F612" s="10" t="str">
        <f aca="false">HYPERLINK("https://www.inaturalist.org/people/sladedollar","sladedollar")</f>
        <v>sladedollar</v>
      </c>
      <c r="G612" s="9" t="s">
        <v>13</v>
      </c>
      <c r="H612" s="9" t="s">
        <v>8808</v>
      </c>
    </row>
    <row r="613" customFormat="false" ht="15.75" hidden="false" customHeight="false" outlineLevel="0" collapsed="false">
      <c r="B613" s="7" t="n">
        <v>46222</v>
      </c>
      <c r="C613" s="3" t="s">
        <v>8809</v>
      </c>
      <c r="D613" s="3" t="s">
        <v>8779</v>
      </c>
      <c r="E613" s="3" t="s">
        <v>8810</v>
      </c>
      <c r="F613" s="10" t="str">
        <f aca="false">HYPERLINK("https://www.inaturalist.org/people/the_canadian_explorer","the_canadian_explorer")</f>
        <v>the_canadian_explorer</v>
      </c>
      <c r="G613" s="9" t="s">
        <v>13</v>
      </c>
      <c r="H613" s="9" t="s">
        <v>8811</v>
      </c>
    </row>
    <row r="614" customFormat="false" ht="15.75" hidden="false" customHeight="false" outlineLevel="0" collapsed="false">
      <c r="B614" s="7" t="n">
        <v>46222</v>
      </c>
      <c r="C614" s="3" t="s">
        <v>8812</v>
      </c>
      <c r="D614" s="3" t="s">
        <v>8779</v>
      </c>
      <c r="E614" s="3" t="s">
        <v>8813</v>
      </c>
      <c r="F614" s="10" t="str">
        <f aca="false">HYPERLINK("https://www.inaturalist.org/people/equusangel","equusangel")</f>
        <v>equusangel</v>
      </c>
      <c r="G614" s="9" t="s">
        <v>13</v>
      </c>
      <c r="H614" s="9" t="s">
        <v>8814</v>
      </c>
    </row>
    <row r="615" customFormat="false" ht="15.75" hidden="false" customHeight="false" outlineLevel="0" collapsed="false">
      <c r="B615" s="7" t="n">
        <v>46222</v>
      </c>
      <c r="C615" s="3" t="s">
        <v>8815</v>
      </c>
      <c r="D615" s="3" t="s">
        <v>8779</v>
      </c>
      <c r="E615" s="3" t="s">
        <v>8816</v>
      </c>
      <c r="F615" s="10" t="str">
        <f aca="false">HYPERLINK("https://www.inaturalist.org/people/chocolatine_zzz","chocolatine_zzz")</f>
        <v>chocolatine_zzz</v>
      </c>
      <c r="G615" s="9" t="s">
        <v>13</v>
      </c>
      <c r="H615" s="9" t="s">
        <v>8817</v>
      </c>
    </row>
    <row r="616" customFormat="false" ht="15.75" hidden="false" customHeight="false" outlineLevel="0" collapsed="false">
      <c r="B616" s="7" t="n">
        <v>46222</v>
      </c>
      <c r="C616" s="3" t="s">
        <v>8818</v>
      </c>
      <c r="D616" s="3" t="s">
        <v>8779</v>
      </c>
      <c r="E616" s="3" t="s">
        <v>8819</v>
      </c>
      <c r="F616" s="10" t="str">
        <f aca="false">HYPERLINK("https://www.inaturalist.org/people/cferen13","cferen13")</f>
        <v>cferen13</v>
      </c>
      <c r="G616" s="9" t="s">
        <v>13</v>
      </c>
      <c r="H616" s="9" t="s">
        <v>8820</v>
      </c>
    </row>
    <row r="617" customFormat="false" ht="15.75" hidden="false" customHeight="false" outlineLevel="0" collapsed="false">
      <c r="B617" s="7" t="n">
        <v>46222</v>
      </c>
      <c r="C617" s="3" t="s">
        <v>8821</v>
      </c>
      <c r="D617" s="3" t="s">
        <v>8779</v>
      </c>
      <c r="E617" s="3" t="s">
        <v>8822</v>
      </c>
      <c r="F617" s="10" t="str">
        <f aca="false">HYPERLINK("https://www.inaturalist.org/people/sjbradley","sjbradley")</f>
        <v>sjbradley</v>
      </c>
      <c r="G617" s="9" t="s">
        <v>13</v>
      </c>
      <c r="H617" s="9" t="s">
        <v>8823</v>
      </c>
    </row>
    <row r="618" customFormat="false" ht="15.75" hidden="false" customHeight="false" outlineLevel="0" collapsed="false">
      <c r="B618" s="7" t="n">
        <v>46222</v>
      </c>
      <c r="C618" s="3" t="s">
        <v>8824</v>
      </c>
      <c r="D618" s="3" t="s">
        <v>8779</v>
      </c>
      <c r="E618" s="3" t="s">
        <v>8825</v>
      </c>
      <c r="F618" s="10" t="str">
        <f aca="false">HYPERLINK("https://www.inaturalist.org/people/cledysson","cledysson")</f>
        <v>cledysson</v>
      </c>
      <c r="G618" s="9" t="s">
        <v>13</v>
      </c>
      <c r="H618" s="9" t="s">
        <v>8826</v>
      </c>
    </row>
    <row r="619" customFormat="false" ht="15.75" hidden="false" customHeight="false" outlineLevel="0" collapsed="false">
      <c r="B619" s="7" t="n">
        <v>46222</v>
      </c>
      <c r="C619" s="3" t="s">
        <v>8827</v>
      </c>
      <c r="D619" s="3" t="s">
        <v>8779</v>
      </c>
      <c r="E619" s="3" t="s">
        <v>8828</v>
      </c>
      <c r="F619" s="10" t="str">
        <f aca="false">HYPERLINK("https://www.inaturalist.org/people/chelsea_ward","chelsea_ward")</f>
        <v>chelsea_ward</v>
      </c>
      <c r="G619" s="9" t="s">
        <v>13</v>
      </c>
      <c r="H619" s="9" t="s">
        <v>8829</v>
      </c>
    </row>
    <row r="620" customFormat="false" ht="15.75" hidden="false" customHeight="false" outlineLevel="0" collapsed="false">
      <c r="B620" s="7" t="n">
        <v>46222</v>
      </c>
      <c r="C620" s="3" t="s">
        <v>8830</v>
      </c>
      <c r="D620" s="3" t="s">
        <v>8779</v>
      </c>
      <c r="E620" s="3" t="s">
        <v>8831</v>
      </c>
      <c r="F620" s="10" t="str">
        <f aca="false">HYPERLINK("https://www.inaturalist.org/people/vivantirene","vivantirene")</f>
        <v>vivantirene</v>
      </c>
      <c r="G620" s="9" t="s">
        <v>13</v>
      </c>
      <c r="H620" s="9" t="s">
        <v>8832</v>
      </c>
    </row>
    <row r="621" customFormat="false" ht="15.75" hidden="false" customHeight="false" outlineLevel="0" collapsed="false">
      <c r="B621" s="7" t="n">
        <v>46222</v>
      </c>
      <c r="C621" s="3" t="s">
        <v>8833</v>
      </c>
      <c r="D621" s="3" t="s">
        <v>8779</v>
      </c>
      <c r="E621" s="3" t="s">
        <v>8834</v>
      </c>
      <c r="F621" s="10" t="str">
        <f aca="false">HYPERLINK("https://www.inaturalist.org/people/strongm","strongm")</f>
        <v>strongm</v>
      </c>
      <c r="G621" s="9" t="s">
        <v>13</v>
      </c>
      <c r="H621" s="9" t="s">
        <v>8835</v>
      </c>
    </row>
    <row r="622" customFormat="false" ht="15.75" hidden="false" customHeight="false" outlineLevel="0" collapsed="false">
      <c r="B622" s="7" t="n">
        <v>46222</v>
      </c>
      <c r="C622" s="3" t="s">
        <v>8836</v>
      </c>
      <c r="D622" s="3" t="s">
        <v>8779</v>
      </c>
      <c r="E622" s="3" t="s">
        <v>8837</v>
      </c>
      <c r="F622" s="10" t="str">
        <f aca="false">HYPERLINK("https://www.inaturalist.org/people/sammi_leach","sammi_leach")</f>
        <v>sammi_leach</v>
      </c>
      <c r="G622" s="9" t="s">
        <v>13</v>
      </c>
      <c r="H622" s="9" t="s">
        <v>8838</v>
      </c>
    </row>
    <row r="623" customFormat="false" ht="15.75" hidden="false" customHeight="false" outlineLevel="0" collapsed="false">
      <c r="B623" s="7" t="n">
        <v>46222</v>
      </c>
      <c r="C623" s="3" t="s">
        <v>8839</v>
      </c>
      <c r="D623" s="3" t="s">
        <v>8779</v>
      </c>
      <c r="E623" s="3" t="s">
        <v>8840</v>
      </c>
      <c r="F623" s="10" t="str">
        <f aca="false">HYPERLINK("https://www.inaturalist.org/people/derya_buket","derya_buket")</f>
        <v>derya_buket</v>
      </c>
      <c r="G623" s="9" t="s">
        <v>13</v>
      </c>
      <c r="H623" s="9" t="s">
        <v>8841</v>
      </c>
    </row>
    <row r="624" customFormat="false" ht="15.75" hidden="false" customHeight="false" outlineLevel="0" collapsed="false">
      <c r="B624" s="7" t="n">
        <v>46222</v>
      </c>
      <c r="C624" s="3" t="s">
        <v>8842</v>
      </c>
      <c r="D624" s="3" t="s">
        <v>8779</v>
      </c>
      <c r="E624" s="3" t="s">
        <v>8843</v>
      </c>
      <c r="F624" s="10" t="str">
        <f aca="false">HYPERLINK("https://www.inaturalist.org/people/taytaywoods","taytaywoods")</f>
        <v>taytaywoods</v>
      </c>
      <c r="G624" s="9" t="s">
        <v>13</v>
      </c>
      <c r="H624" s="9" t="s">
        <v>8844</v>
      </c>
    </row>
    <row r="625" customFormat="false" ht="15.75" hidden="false" customHeight="false" outlineLevel="0" collapsed="false">
      <c r="B625" s="7" t="n">
        <v>46222</v>
      </c>
      <c r="C625" s="3" t="s">
        <v>8845</v>
      </c>
      <c r="D625" s="3" t="s">
        <v>8779</v>
      </c>
      <c r="E625" s="3" t="s">
        <v>8846</v>
      </c>
      <c r="F625" s="10" t="str">
        <f aca="false">HYPERLINK("https://www.inaturalist.org/people/jason-angel","jason-angel")</f>
        <v>jason-angel</v>
      </c>
      <c r="G625" s="9" t="s">
        <v>13</v>
      </c>
      <c r="H625" s="9" t="s">
        <v>8847</v>
      </c>
    </row>
    <row r="626" customFormat="false" ht="15.75" hidden="false" customHeight="false" outlineLevel="0" collapsed="false">
      <c r="B626" s="7" t="n">
        <v>46222</v>
      </c>
      <c r="C626" s="3" t="s">
        <v>8848</v>
      </c>
      <c r="D626" s="3" t="s">
        <v>8779</v>
      </c>
      <c r="E626" s="3" t="s">
        <v>8849</v>
      </c>
      <c r="F626" s="10" t="str">
        <f aca="false">HYPERLINK("https://www.inaturalist.org/people/claudiamuc","claudiamuc")</f>
        <v>claudiamuc</v>
      </c>
      <c r="G626" s="9" t="s">
        <v>13</v>
      </c>
      <c r="H626" s="9" t="s">
        <v>8850</v>
      </c>
    </row>
    <row r="627" customFormat="false" ht="15.75" hidden="false" customHeight="false" outlineLevel="0" collapsed="false">
      <c r="B627" s="7" t="n">
        <v>46222</v>
      </c>
      <c r="C627" s="3" t="s">
        <v>8851</v>
      </c>
      <c r="D627" s="3" t="s">
        <v>8779</v>
      </c>
      <c r="E627" s="3" t="s">
        <v>8852</v>
      </c>
      <c r="F627" s="10" t="str">
        <f aca="false">HYPERLINK("https://www.inaturalist.org/people/j9_naturalist","j9_naturalist")</f>
        <v>j9_naturalist</v>
      </c>
      <c r="G627" s="9" t="s">
        <v>13</v>
      </c>
      <c r="H627" s="9" t="s">
        <v>8853</v>
      </c>
    </row>
    <row r="628" customFormat="false" ht="15.75" hidden="false" customHeight="false" outlineLevel="0" collapsed="false">
      <c r="B628" s="7" t="n">
        <v>46222</v>
      </c>
      <c r="C628" s="3" t="s">
        <v>8854</v>
      </c>
      <c r="D628" s="3" t="s">
        <v>8779</v>
      </c>
      <c r="E628" s="3" t="s">
        <v>8855</v>
      </c>
      <c r="F628" s="10" t="str">
        <f aca="false">HYPERLINK("https://www.inaturalist.org/people/janira2000","janira2000")</f>
        <v>janira2000</v>
      </c>
      <c r="G628" s="9" t="s">
        <v>13</v>
      </c>
      <c r="H628" s="9" t="s">
        <v>8856</v>
      </c>
    </row>
    <row r="629" customFormat="false" ht="15.75" hidden="false" customHeight="false" outlineLevel="0" collapsed="false">
      <c r="B629" s="7" t="n">
        <v>46222</v>
      </c>
      <c r="C629" s="3" t="s">
        <v>8857</v>
      </c>
      <c r="D629" s="3" t="s">
        <v>8779</v>
      </c>
      <c r="E629" s="3" t="s">
        <v>8858</v>
      </c>
      <c r="F629" s="10" t="str">
        <f aca="false">HYPERLINK("https://www.inaturalist.org/people/anthony_damiani","anthony_damiani")</f>
        <v>anthony_damiani</v>
      </c>
      <c r="G629" s="9" t="s">
        <v>13</v>
      </c>
      <c r="H629" s="9" t="s">
        <v>8859</v>
      </c>
    </row>
    <row r="630" customFormat="false" ht="15.75" hidden="false" customHeight="false" outlineLevel="0" collapsed="false">
      <c r="B630" s="7" t="n">
        <v>46222</v>
      </c>
      <c r="C630" s="3" t="s">
        <v>8860</v>
      </c>
      <c r="D630" s="3" t="s">
        <v>8779</v>
      </c>
      <c r="E630" s="3" t="s">
        <v>8861</v>
      </c>
      <c r="F630" s="10" t="str">
        <f aca="false">HYPERLINK("https://www.inaturalist.org/people/gold_crest","gold_crest")</f>
        <v>gold_crest</v>
      </c>
      <c r="G630" s="9" t="s">
        <v>13</v>
      </c>
      <c r="H630" s="9" t="s">
        <v>8862</v>
      </c>
    </row>
    <row r="631" customFormat="false" ht="15.75" hidden="false" customHeight="false" outlineLevel="0" collapsed="false">
      <c r="B631" s="7" t="n">
        <v>46222</v>
      </c>
      <c r="C631" s="3" t="s">
        <v>8863</v>
      </c>
      <c r="D631" s="3" t="s">
        <v>8779</v>
      </c>
      <c r="E631" s="3" t="s">
        <v>8864</v>
      </c>
      <c r="F631" s="10" t="str">
        <f aca="false">HYPERLINK("https://www.inaturalist.org/people/fundacion_proaves","fundacion_proaves")</f>
        <v>fundacion_proaves</v>
      </c>
      <c r="G631" s="9" t="s">
        <v>13</v>
      </c>
      <c r="H631" s="9" t="s">
        <v>8865</v>
      </c>
    </row>
    <row r="632" customFormat="false" ht="15.75" hidden="false" customHeight="false" outlineLevel="0" collapsed="false">
      <c r="B632" s="7" t="n">
        <v>46222</v>
      </c>
      <c r="C632" s="3" t="s">
        <v>8866</v>
      </c>
      <c r="D632" s="3" t="s">
        <v>8779</v>
      </c>
      <c r="E632" s="3" t="s">
        <v>8867</v>
      </c>
      <c r="F632" s="10" t="str">
        <f aca="false">HYPERLINK("https://www.inaturalist.org/people/lucky_fair","lucky_fair")</f>
        <v>lucky_fair</v>
      </c>
      <c r="G632" s="9" t="s">
        <v>13</v>
      </c>
      <c r="H632" s="9" t="s">
        <v>8868</v>
      </c>
    </row>
    <row r="633" customFormat="false" ht="15.75" hidden="false" customHeight="false" outlineLevel="0" collapsed="false">
      <c r="B633" s="7" t="n">
        <v>46222</v>
      </c>
      <c r="C633" s="3" t="s">
        <v>8869</v>
      </c>
      <c r="D633" s="3" t="s">
        <v>8779</v>
      </c>
      <c r="E633" s="3" t="s">
        <v>8870</v>
      </c>
      <c r="F633" s="10" t="str">
        <f aca="false">HYPERLINK("https://www.inaturalist.org/people/luis_jacob_justiniano","luis_jacob_justiniano")</f>
        <v>luis_jacob_justiniano</v>
      </c>
      <c r="G633" s="9" t="s">
        <v>13</v>
      </c>
      <c r="H633" s="9" t="s">
        <v>8871</v>
      </c>
    </row>
    <row r="634" customFormat="false" ht="15.75" hidden="false" customHeight="false" outlineLevel="0" collapsed="false">
      <c r="B634" s="7" t="n">
        <v>46222</v>
      </c>
      <c r="C634" s="3" t="s">
        <v>8872</v>
      </c>
      <c r="D634" s="3" t="s">
        <v>8779</v>
      </c>
      <c r="E634" s="3" t="s">
        <v>8873</v>
      </c>
      <c r="F634" s="10" t="str">
        <f aca="false">HYPERLINK("https://www.inaturalist.org/people/bosquenublado","bosquenublado")</f>
        <v>bosquenublado</v>
      </c>
      <c r="G634" s="9" t="s">
        <v>13</v>
      </c>
      <c r="H634" s="9" t="s">
        <v>8874</v>
      </c>
    </row>
    <row r="635" customFormat="false" ht="15.75" hidden="false" customHeight="false" outlineLevel="0" collapsed="false">
      <c r="B635" s="7" t="n">
        <v>46222</v>
      </c>
      <c r="C635" s="3" t="s">
        <v>8875</v>
      </c>
      <c r="D635" s="3" t="s">
        <v>8779</v>
      </c>
      <c r="E635" s="3" t="s">
        <v>8876</v>
      </c>
      <c r="F635" s="10" t="str">
        <f aca="false">HYPERLINK("https://www.inaturalist.org/people/c73920","c73920")</f>
        <v>c73920</v>
      </c>
      <c r="G635" s="9" t="s">
        <v>13</v>
      </c>
      <c r="H635" s="9" t="s">
        <v>8877</v>
      </c>
    </row>
    <row r="636" customFormat="false" ht="15.75" hidden="false" customHeight="false" outlineLevel="0" collapsed="false">
      <c r="B636" s="7" t="n">
        <v>46222</v>
      </c>
      <c r="C636" s="3" t="s">
        <v>8878</v>
      </c>
      <c r="D636" s="3" t="s">
        <v>8779</v>
      </c>
      <c r="E636" s="3" t="s">
        <v>8879</v>
      </c>
      <c r="F636" s="10" t="str">
        <f aca="false">HYPERLINK("https://www.inaturalist.org/people/alexandrupintilioaie","alexandrupintilioaie")</f>
        <v>alexandrupintilioaie</v>
      </c>
      <c r="G636" s="9" t="s">
        <v>13</v>
      </c>
      <c r="H636" s="9" t="s">
        <v>8880</v>
      </c>
    </row>
    <row r="637" customFormat="false" ht="15.75" hidden="false" customHeight="false" outlineLevel="0" collapsed="false">
      <c r="B637" s="7" t="n">
        <v>46222</v>
      </c>
      <c r="C637" s="3" t="s">
        <v>8881</v>
      </c>
      <c r="D637" s="3" t="s">
        <v>8779</v>
      </c>
      <c r="E637" s="3" t="s">
        <v>8882</v>
      </c>
      <c r="F637" s="10" t="str">
        <f aca="false">HYPERLINK("https://www.inaturalist.org/people/emoryoak3","emoryoak3")</f>
        <v>emoryoak3</v>
      </c>
      <c r="G637" s="9" t="s">
        <v>13</v>
      </c>
      <c r="H637" s="9" t="s">
        <v>8883</v>
      </c>
    </row>
    <row r="638" customFormat="false" ht="15.75" hidden="false" customHeight="false" outlineLevel="0" collapsed="false">
      <c r="B638" s="7" t="n">
        <v>46222</v>
      </c>
      <c r="C638" s="3" t="s">
        <v>8884</v>
      </c>
      <c r="D638" s="3" t="s">
        <v>8779</v>
      </c>
      <c r="E638" s="3" t="s">
        <v>8885</v>
      </c>
      <c r="F638" s="10" t="str">
        <f aca="false">HYPERLINK("https://www.inaturalist.org/people/felix_riegel","felix_riegel")</f>
        <v>felix_riegel</v>
      </c>
      <c r="G638" s="9" t="s">
        <v>13</v>
      </c>
      <c r="H638" s="9" t="s">
        <v>8886</v>
      </c>
    </row>
    <row r="639" customFormat="false" ht="15.75" hidden="false" customHeight="false" outlineLevel="0" collapsed="false">
      <c r="B639" s="7" t="n">
        <v>46222</v>
      </c>
      <c r="C639" s="3" t="s">
        <v>8887</v>
      </c>
      <c r="D639" s="3" t="s">
        <v>8779</v>
      </c>
      <c r="E639" s="3" t="s">
        <v>8888</v>
      </c>
      <c r="F639" s="10" t="str">
        <f aca="false">HYPERLINK("https://www.inaturalist.org/people/francoistweet","francoistweet")</f>
        <v>francoistweet</v>
      </c>
      <c r="G639" s="9" t="s">
        <v>13</v>
      </c>
      <c r="H639" s="9" t="s">
        <v>8889</v>
      </c>
    </row>
    <row r="640" customFormat="false" ht="15.75" hidden="false" customHeight="false" outlineLevel="0" collapsed="false">
      <c r="B640" s="7" t="n">
        <v>46222</v>
      </c>
      <c r="C640" s="3" t="s">
        <v>8890</v>
      </c>
      <c r="D640" s="3" t="s">
        <v>8779</v>
      </c>
      <c r="E640" s="3" t="s">
        <v>8891</v>
      </c>
      <c r="F640" s="10" t="str">
        <f aca="false">HYPERLINK("https://www.inaturalist.org/people/adriaan_jordaan","adriaan_jordaan")</f>
        <v>adriaan_jordaan</v>
      </c>
      <c r="G640" s="9" t="s">
        <v>13</v>
      </c>
      <c r="H640" s="9" t="s">
        <v>8892</v>
      </c>
    </row>
    <row r="641" customFormat="false" ht="15.75" hidden="false" customHeight="false" outlineLevel="0" collapsed="false">
      <c r="B641" s="7" t="n">
        <v>46222</v>
      </c>
      <c r="C641" s="3" t="s">
        <v>8893</v>
      </c>
      <c r="D641" s="3" t="s">
        <v>8779</v>
      </c>
      <c r="E641" s="3" t="s">
        <v>8894</v>
      </c>
      <c r="F641" s="10" t="str">
        <f aca="false">HYPERLINK("https://www.inaturalist.org/people/jeanstephenson","jeanstephenson")</f>
        <v>jeanstephenson</v>
      </c>
      <c r="G641" s="9" t="s">
        <v>13</v>
      </c>
      <c r="H641" s="9" t="s">
        <v>8895</v>
      </c>
    </row>
    <row r="642" customFormat="false" ht="15.75" hidden="false" customHeight="false" outlineLevel="0" collapsed="false">
      <c r="B642" s="7" t="n">
        <v>46222</v>
      </c>
      <c r="C642" s="3" t="s">
        <v>8896</v>
      </c>
      <c r="D642" s="3" t="s">
        <v>8779</v>
      </c>
      <c r="E642" s="3" t="s">
        <v>8897</v>
      </c>
      <c r="F642" s="10" t="str">
        <f aca="false">HYPERLINK("https://www.inaturalist.org/people/number14","number14")</f>
        <v>number14</v>
      </c>
      <c r="G642" s="9" t="s">
        <v>13</v>
      </c>
      <c r="H642" s="9" t="s">
        <v>8898</v>
      </c>
    </row>
    <row r="643" customFormat="false" ht="15.75" hidden="false" customHeight="false" outlineLevel="0" collapsed="false">
      <c r="B643" s="7" t="n">
        <v>46222</v>
      </c>
      <c r="C643" s="3" t="s">
        <v>8899</v>
      </c>
      <c r="D643" s="3" t="s">
        <v>8779</v>
      </c>
      <c r="E643" s="3" t="s">
        <v>8900</v>
      </c>
      <c r="F643" s="10" t="str">
        <f aca="false">HYPERLINK("https://www.inaturalist.org/people/hectorduran27","hectorduran27")</f>
        <v>hectorduran27</v>
      </c>
      <c r="G643" s="9" t="s">
        <v>13</v>
      </c>
      <c r="H643" s="9" t="s">
        <v>8901</v>
      </c>
    </row>
    <row r="644" customFormat="false" ht="15.75" hidden="false" customHeight="false" outlineLevel="0" collapsed="false">
      <c r="B644" s="7" t="n">
        <v>46222</v>
      </c>
      <c r="C644" s="3" t="s">
        <v>8902</v>
      </c>
      <c r="D644" s="3" t="s">
        <v>8779</v>
      </c>
      <c r="E644" s="3" t="s">
        <v>8903</v>
      </c>
      <c r="F644" s="10" t="str">
        <f aca="false">HYPERLINK("https://www.inaturalist.org/people/taewankim","taewankim")</f>
        <v>taewankim</v>
      </c>
      <c r="G644" s="9" t="s">
        <v>13</v>
      </c>
      <c r="H644" s="9" t="s">
        <v>8904</v>
      </c>
    </row>
    <row r="645" customFormat="false" ht="15.75" hidden="false" customHeight="false" outlineLevel="0" collapsed="false">
      <c r="B645" s="7" t="n">
        <v>46222</v>
      </c>
      <c r="C645" s="3" t="s">
        <v>8905</v>
      </c>
      <c r="D645" s="3" t="s">
        <v>8779</v>
      </c>
      <c r="E645" s="3" t="s">
        <v>8906</v>
      </c>
      <c r="F645" s="10" t="str">
        <f aca="false">HYPERLINK("https://www.inaturalist.org/people/lily226","lily226")</f>
        <v>lily226</v>
      </c>
      <c r="G645" s="9" t="s">
        <v>13</v>
      </c>
      <c r="H645" s="9" t="s">
        <v>8907</v>
      </c>
    </row>
    <row r="646" customFormat="false" ht="15.75" hidden="false" customHeight="false" outlineLevel="0" collapsed="false">
      <c r="B646" s="7" t="n">
        <v>46222</v>
      </c>
      <c r="C646" s="3" t="s">
        <v>8908</v>
      </c>
      <c r="D646" s="3" t="s">
        <v>8779</v>
      </c>
      <c r="E646" s="3" t="s">
        <v>8909</v>
      </c>
      <c r="F646" s="10" t="str">
        <f aca="false">HYPERLINK("https://www.inaturalist.org/people/furey_stirrat","furey_stirrat")</f>
        <v>furey_stirrat</v>
      </c>
      <c r="G646" s="9" t="s">
        <v>13</v>
      </c>
      <c r="H646" s="9" t="s">
        <v>8910</v>
      </c>
    </row>
    <row r="647" customFormat="false" ht="15.75" hidden="false" customHeight="false" outlineLevel="0" collapsed="false">
      <c r="B647" s="7" t="n">
        <v>46222</v>
      </c>
      <c r="C647" s="3" t="s">
        <v>8911</v>
      </c>
      <c r="D647" s="3" t="s">
        <v>8779</v>
      </c>
      <c r="E647" s="3" t="s">
        <v>8912</v>
      </c>
      <c r="F647" s="10" t="str">
        <f aca="false">HYPERLINK("https://www.inaturalist.org/people/niblock38361","niblock38361")</f>
        <v>niblock38361</v>
      </c>
      <c r="G647" s="9" t="s">
        <v>13</v>
      </c>
      <c r="H647" s="9" t="s">
        <v>8913</v>
      </c>
    </row>
    <row r="648" customFormat="false" ht="15.75" hidden="false" customHeight="false" outlineLevel="0" collapsed="false">
      <c r="B648" s="7" t="n">
        <v>46222</v>
      </c>
      <c r="C648" s="3" t="s">
        <v>8914</v>
      </c>
      <c r="D648" s="3" t="s">
        <v>8779</v>
      </c>
      <c r="E648" s="3" t="s">
        <v>8915</v>
      </c>
      <c r="F648" s="10" t="str">
        <f aca="false">HYPERLINK("https://www.inaturalist.org/people/ytingtsai","ytingtsai")</f>
        <v>ytingtsai</v>
      </c>
      <c r="G648" s="9" t="s">
        <v>13</v>
      </c>
      <c r="H648" s="9" t="s">
        <v>8916</v>
      </c>
    </row>
    <row r="649" customFormat="false" ht="15.75" hidden="false" customHeight="false" outlineLevel="0" collapsed="false">
      <c r="B649" s="7" t="n">
        <v>46222</v>
      </c>
      <c r="C649" s="3" t="s">
        <v>8917</v>
      </c>
      <c r="D649" s="3" t="s">
        <v>8779</v>
      </c>
      <c r="E649" s="3" t="s">
        <v>8918</v>
      </c>
      <c r="F649" s="10" t="str">
        <f aca="false">HYPERLINK("https://www.inaturalist.org/people/pandahead_hoimoon","pandahead_hoimoon")</f>
        <v>pandahead_hoimoon</v>
      </c>
      <c r="G649" s="9" t="s">
        <v>13</v>
      </c>
      <c r="H649" s="9" t="s">
        <v>8919</v>
      </c>
    </row>
    <row r="650" customFormat="false" ht="15.75" hidden="false" customHeight="false" outlineLevel="0" collapsed="false">
      <c r="B650" s="7" t="n">
        <v>46222</v>
      </c>
      <c r="C650" s="3" t="s">
        <v>8920</v>
      </c>
      <c r="D650" s="3" t="s">
        <v>8779</v>
      </c>
      <c r="E650" s="3" t="s">
        <v>8921</v>
      </c>
      <c r="F650" s="10" t="str">
        <f aca="false">HYPERLINK("https://www.inaturalist.org/people/owlex","owlex")</f>
        <v>owlex</v>
      </c>
      <c r="G650" s="9" t="s">
        <v>13</v>
      </c>
      <c r="H650" s="9" t="s">
        <v>8922</v>
      </c>
    </row>
    <row r="651" customFormat="false" ht="15.75" hidden="false" customHeight="false" outlineLevel="0" collapsed="false">
      <c r="B651" s="7" t="n">
        <v>46222</v>
      </c>
      <c r="C651" s="3" t="s">
        <v>8923</v>
      </c>
      <c r="D651" s="3" t="s">
        <v>8779</v>
      </c>
      <c r="E651" s="3" t="s">
        <v>8924</v>
      </c>
      <c r="F651" s="10" t="str">
        <f aca="false">HYPERLINK("https://www.inaturalist.org/people/matheusmsantos","matheusmsantos")</f>
        <v>matheusmsantos</v>
      </c>
      <c r="G651" s="9" t="s">
        <v>13</v>
      </c>
      <c r="H651" s="9" t="s">
        <v>8925</v>
      </c>
    </row>
    <row r="652" customFormat="false" ht="15.75" hidden="false" customHeight="false" outlineLevel="0" collapsed="false">
      <c r="B652" s="7" t="n">
        <v>46222</v>
      </c>
      <c r="C652" s="3" t="s">
        <v>8926</v>
      </c>
      <c r="D652" s="3" t="s">
        <v>8779</v>
      </c>
      <c r="E652" s="3" t="s">
        <v>8927</v>
      </c>
      <c r="F652" s="10" t="str">
        <f aca="false">HYPERLINK("https://www.inaturalist.org/people/deedeemarz","deedeemarz")</f>
        <v>deedeemarz</v>
      </c>
      <c r="G652" s="9" t="s">
        <v>13</v>
      </c>
      <c r="H652" s="9" t="s">
        <v>8928</v>
      </c>
    </row>
    <row r="653" customFormat="false" ht="15.75" hidden="false" customHeight="false" outlineLevel="0" collapsed="false">
      <c r="B653" s="7" t="n">
        <v>46222</v>
      </c>
      <c r="C653" s="3" t="s">
        <v>8929</v>
      </c>
      <c r="D653" s="3" t="s">
        <v>8779</v>
      </c>
      <c r="E653" s="3" t="s">
        <v>8930</v>
      </c>
      <c r="F653" s="10" t="str">
        <f aca="false">HYPERLINK("https://www.inaturalist.org/people/micka25","micka25")</f>
        <v>micka25</v>
      </c>
      <c r="G653" s="9" t="s">
        <v>13</v>
      </c>
      <c r="H653" s="9" t="s">
        <v>8931</v>
      </c>
    </row>
    <row r="654" customFormat="false" ht="15.75" hidden="false" customHeight="false" outlineLevel="0" collapsed="false">
      <c r="B654" s="7" t="n">
        <v>46222</v>
      </c>
      <c r="C654" s="3" t="s">
        <v>8932</v>
      </c>
      <c r="D654" s="3" t="s">
        <v>8779</v>
      </c>
      <c r="E654" s="3" t="s">
        <v>8933</v>
      </c>
      <c r="F654" s="10" t="str">
        <f aca="false">HYPERLINK("https://www.inaturalist.org/people/vedant_is_wild","vedant_is_wild")</f>
        <v>vedant_is_wild</v>
      </c>
      <c r="G654" s="9" t="s">
        <v>13</v>
      </c>
      <c r="H654" s="9" t="s">
        <v>8934</v>
      </c>
    </row>
    <row r="655" customFormat="false" ht="15.75" hidden="false" customHeight="false" outlineLevel="0" collapsed="false">
      <c r="B655" s="7" t="n">
        <v>46222</v>
      </c>
      <c r="C655" s="3" t="s">
        <v>8935</v>
      </c>
      <c r="D655" s="3" t="s">
        <v>8779</v>
      </c>
      <c r="E655" s="3" t="s">
        <v>8936</v>
      </c>
      <c r="F655" s="10" t="str">
        <f aca="false">HYPERLINK("https://www.inaturalist.org/people/abbycox","abbycox")</f>
        <v>abbycox</v>
      </c>
      <c r="G655" s="9" t="s">
        <v>13</v>
      </c>
      <c r="H655" s="9" t="s">
        <v>8937</v>
      </c>
    </row>
    <row r="656" customFormat="false" ht="15.75" hidden="false" customHeight="false" outlineLevel="0" collapsed="false">
      <c r="B656" s="7" t="n">
        <v>46222</v>
      </c>
      <c r="C656" s="3" t="s">
        <v>8938</v>
      </c>
      <c r="D656" s="3" t="s">
        <v>8779</v>
      </c>
      <c r="E656" s="3" t="s">
        <v>8939</v>
      </c>
      <c r="F656" s="10" t="str">
        <f aca="false">HYPERLINK("https://www.inaturalist.org/people/alejandroaguilar","alejandroaguilar")</f>
        <v>alejandroaguilar</v>
      </c>
      <c r="G656" s="9" t="s">
        <v>13</v>
      </c>
      <c r="H656" s="9" t="s">
        <v>8940</v>
      </c>
    </row>
    <row r="657" customFormat="false" ht="15.75" hidden="false" customHeight="false" outlineLevel="0" collapsed="false">
      <c r="B657" s="7" t="n">
        <v>46222</v>
      </c>
      <c r="C657" s="3" t="s">
        <v>8941</v>
      </c>
      <c r="D657" s="3" t="s">
        <v>8779</v>
      </c>
      <c r="E657" s="3" t="s">
        <v>8942</v>
      </c>
      <c r="F657" s="10" t="str">
        <f aca="false">HYPERLINK("https://www.inaturalist.org/people/cocothescorpio","cocothescorpio")</f>
        <v>cocothescorpio</v>
      </c>
      <c r="G657" s="9" t="s">
        <v>13</v>
      </c>
      <c r="H657" s="9" t="s">
        <v>8943</v>
      </c>
    </row>
    <row r="658" customFormat="false" ht="15.75" hidden="false" customHeight="false" outlineLevel="0" collapsed="false">
      <c r="B658" s="7" t="n">
        <v>46222</v>
      </c>
      <c r="C658" s="3" t="s">
        <v>8944</v>
      </c>
      <c r="D658" s="3" t="s">
        <v>8779</v>
      </c>
      <c r="E658" s="3" t="s">
        <v>8945</v>
      </c>
      <c r="F658" s="10" t="str">
        <f aca="false">HYPERLINK("https://www.inaturalist.org/people/aldoasc","aldoasc")</f>
        <v>aldoasc</v>
      </c>
      <c r="G658" s="9" t="s">
        <v>13</v>
      </c>
      <c r="H658" s="9" t="s">
        <v>8946</v>
      </c>
    </row>
    <row r="659" customFormat="false" ht="15.75" hidden="false" customHeight="false" outlineLevel="0" collapsed="false">
      <c r="B659" s="7" t="n">
        <v>46222</v>
      </c>
      <c r="C659" s="3" t="s">
        <v>8947</v>
      </c>
      <c r="D659" s="3" t="s">
        <v>8779</v>
      </c>
      <c r="E659" s="3" t="s">
        <v>8948</v>
      </c>
      <c r="F659" s="10" t="str">
        <f aca="false">HYPERLINK("https://www.inaturalist.org/people/hiss_story","hiss_story")</f>
        <v>hiss_story</v>
      </c>
      <c r="G659" s="9" t="s">
        <v>13</v>
      </c>
      <c r="H659" s="9" t="s">
        <v>8949</v>
      </c>
    </row>
    <row r="660" customFormat="false" ht="15.75" hidden="false" customHeight="false" outlineLevel="0" collapsed="false">
      <c r="B660" s="7" t="n">
        <v>46222</v>
      </c>
      <c r="C660" s="3" t="s">
        <v>8950</v>
      </c>
      <c r="D660" s="3" t="s">
        <v>8779</v>
      </c>
      <c r="E660" s="3" t="s">
        <v>8951</v>
      </c>
      <c r="F660" s="10" t="str">
        <f aca="false">HYPERLINK("https://www.inaturalist.org/people/kdschwartz","kdschwartz")</f>
        <v>kdschwartz</v>
      </c>
      <c r="G660" s="9" t="s">
        <v>13</v>
      </c>
      <c r="H660" s="9" t="s">
        <v>8952</v>
      </c>
    </row>
    <row r="661" customFormat="false" ht="15.75" hidden="false" customHeight="false" outlineLevel="0" collapsed="false">
      <c r="B661" s="7" t="n">
        <v>46222</v>
      </c>
      <c r="C661" s="3" t="s">
        <v>8953</v>
      </c>
      <c r="D661" s="3" t="s">
        <v>8779</v>
      </c>
      <c r="E661" s="3" t="s">
        <v>8954</v>
      </c>
      <c r="F661" s="10" t="str">
        <f aca="false">HYPERLINK("https://www.inaturalist.org/people/samishwild","samishwild")</f>
        <v>samishwild</v>
      </c>
      <c r="G661" s="9" t="s">
        <v>13</v>
      </c>
      <c r="H661" s="9" t="s">
        <v>8955</v>
      </c>
    </row>
    <row r="662" customFormat="false" ht="15.75" hidden="false" customHeight="false" outlineLevel="0" collapsed="false">
      <c r="B662" s="7" t="n">
        <v>46222</v>
      </c>
      <c r="C662" s="3" t="s">
        <v>8956</v>
      </c>
      <c r="D662" s="3" t="s">
        <v>8779</v>
      </c>
      <c r="E662" s="3" t="s">
        <v>8957</v>
      </c>
      <c r="F662" s="10" t="str">
        <f aca="false">HYPERLINK("https://www.inaturalist.org/people/fabian80995","fabian80995")</f>
        <v>fabian80995</v>
      </c>
      <c r="G662" s="9" t="s">
        <v>13</v>
      </c>
      <c r="H662" s="9" t="s">
        <v>8958</v>
      </c>
    </row>
    <row r="663" customFormat="false" ht="15.75" hidden="false" customHeight="false" outlineLevel="0" collapsed="false">
      <c r="B663" s="7" t="n">
        <v>46222</v>
      </c>
      <c r="C663" s="3" t="s">
        <v>8959</v>
      </c>
      <c r="D663" s="3" t="s">
        <v>8779</v>
      </c>
      <c r="E663" s="3" t="s">
        <v>8960</v>
      </c>
      <c r="F663" s="10" t="str">
        <f aca="false">HYPERLINK("https://www.inaturalist.org/people/fjwlhk","fjwlhk")</f>
        <v>fjwlhk</v>
      </c>
      <c r="G663" s="9" t="s">
        <v>13</v>
      </c>
      <c r="H663" s="9" t="s">
        <v>8961</v>
      </c>
    </row>
    <row r="664" customFormat="false" ht="15.75" hidden="false" customHeight="false" outlineLevel="0" collapsed="false">
      <c r="B664" s="7" t="n">
        <v>46222</v>
      </c>
      <c r="C664" s="3" t="s">
        <v>8962</v>
      </c>
      <c r="D664" s="3" t="s">
        <v>8779</v>
      </c>
      <c r="E664" s="3" t="s">
        <v>8963</v>
      </c>
      <c r="F664" s="10" t="str">
        <f aca="false">HYPERLINK("https://www.inaturalist.org/people/ben-valentine","ben-valentine")</f>
        <v>ben-valentine</v>
      </c>
      <c r="G664" s="9" t="s">
        <v>13</v>
      </c>
      <c r="H664" s="9" t="s">
        <v>8964</v>
      </c>
    </row>
    <row r="665" customFormat="false" ht="15.75" hidden="false" customHeight="false" outlineLevel="0" collapsed="false">
      <c r="B665" s="7" t="n">
        <v>46222</v>
      </c>
      <c r="C665" s="3" t="s">
        <v>8965</v>
      </c>
      <c r="D665" s="3" t="s">
        <v>8779</v>
      </c>
      <c r="E665" s="3" t="s">
        <v>8966</v>
      </c>
      <c r="F665" s="10" t="str">
        <f aca="false">HYPERLINK("https://www.inaturalist.org/people/manickamscience","manickamscience")</f>
        <v>manickamscience</v>
      </c>
      <c r="G665" s="9" t="s">
        <v>13</v>
      </c>
      <c r="H665" s="9" t="s">
        <v>8967</v>
      </c>
    </row>
    <row r="666" customFormat="false" ht="15.75" hidden="false" customHeight="false" outlineLevel="0" collapsed="false">
      <c r="B666" s="7" t="n">
        <v>46222</v>
      </c>
      <c r="C666" s="3" t="s">
        <v>8968</v>
      </c>
      <c r="D666" s="3" t="s">
        <v>8779</v>
      </c>
      <c r="E666" s="3" t="s">
        <v>8969</v>
      </c>
      <c r="F666" s="10" t="str">
        <f aca="false">HYPERLINK("https://www.inaturalist.org/people/garme","garme")</f>
        <v>garme</v>
      </c>
      <c r="G666" s="9" t="s">
        <v>13</v>
      </c>
      <c r="H666" s="9" t="s">
        <v>8970</v>
      </c>
    </row>
    <row r="667" customFormat="false" ht="15.75" hidden="false" customHeight="false" outlineLevel="0" collapsed="false">
      <c r="B667" s="7" t="n">
        <v>46222</v>
      </c>
      <c r="C667" s="3" t="s">
        <v>8971</v>
      </c>
      <c r="D667" s="3" t="s">
        <v>8779</v>
      </c>
      <c r="E667" s="3" t="s">
        <v>8972</v>
      </c>
      <c r="F667" s="10" t="str">
        <f aca="false">HYPERLINK("https://www.inaturalist.org/people/felobomba","felobomba")</f>
        <v>felobomba</v>
      </c>
      <c r="G667" s="9" t="s">
        <v>13</v>
      </c>
      <c r="H667" s="9" t="s">
        <v>8973</v>
      </c>
    </row>
    <row r="668" customFormat="false" ht="15.75" hidden="false" customHeight="false" outlineLevel="0" collapsed="false">
      <c r="B668" s="7" t="n">
        <v>46222</v>
      </c>
      <c r="C668" s="3" t="s">
        <v>8974</v>
      </c>
      <c r="D668" s="3" t="s">
        <v>8779</v>
      </c>
      <c r="E668" s="3" t="s">
        <v>8975</v>
      </c>
      <c r="F668" s="10" t="str">
        <f aca="false">HYPERLINK("https://www.inaturalist.org/people/wvclarke","wvclarke")</f>
        <v>wvclarke</v>
      </c>
      <c r="G668" s="9" t="s">
        <v>13</v>
      </c>
      <c r="H668" s="9" t="s">
        <v>8976</v>
      </c>
    </row>
    <row r="669" customFormat="false" ht="15.75" hidden="false" customHeight="false" outlineLevel="0" collapsed="false">
      <c r="B669" s="7" t="n">
        <v>46222</v>
      </c>
      <c r="C669" s="3" t="s">
        <v>8977</v>
      </c>
      <c r="D669" s="3" t="s">
        <v>8779</v>
      </c>
      <c r="E669" s="3" t="s">
        <v>8978</v>
      </c>
      <c r="F669" s="10" t="str">
        <f aca="false">HYPERLINK("https://www.inaturalist.org/people/groverbrown","groverbrown")</f>
        <v>groverbrown</v>
      </c>
      <c r="G669" s="9" t="s">
        <v>13</v>
      </c>
      <c r="H669" s="9" t="s">
        <v>8979</v>
      </c>
    </row>
    <row r="670" customFormat="false" ht="15.75" hidden="false" customHeight="false" outlineLevel="0" collapsed="false">
      <c r="B670" s="7" t="n">
        <v>46222</v>
      </c>
      <c r="C670" s="3" t="s">
        <v>8980</v>
      </c>
      <c r="D670" s="3" t="s">
        <v>8779</v>
      </c>
      <c r="E670" s="3" t="s">
        <v>8981</v>
      </c>
      <c r="F670" s="10" t="str">
        <f aca="false">HYPERLINK("https://www.inaturalist.org/people/hikerguy150","hikerguy150")</f>
        <v>hikerguy150</v>
      </c>
      <c r="G670" s="9" t="s">
        <v>13</v>
      </c>
      <c r="H670" s="9" t="s">
        <v>8982</v>
      </c>
    </row>
    <row r="671" customFormat="false" ht="15.75" hidden="false" customHeight="false" outlineLevel="0" collapsed="false">
      <c r="B671" s="7" t="n">
        <v>46222</v>
      </c>
      <c r="C671" s="3" t="s">
        <v>8983</v>
      </c>
      <c r="D671" s="3" t="s">
        <v>8779</v>
      </c>
      <c r="E671" s="3" t="s">
        <v>8984</v>
      </c>
      <c r="F671" s="10" t="str">
        <f aca="false">HYPERLINK("https://www.inaturalist.org/people/nukaruminomono","nukaruminomono")</f>
        <v>nukaruminomono</v>
      </c>
      <c r="G671" s="9" t="s">
        <v>13</v>
      </c>
      <c r="H671" s="9" t="s">
        <v>8985</v>
      </c>
    </row>
    <row r="672" customFormat="false" ht="15.75" hidden="false" customHeight="false" outlineLevel="0" collapsed="false">
      <c r="B672" s="7" t="n">
        <v>46222</v>
      </c>
      <c r="C672" s="3" t="s">
        <v>8986</v>
      </c>
      <c r="D672" s="3" t="s">
        <v>8779</v>
      </c>
      <c r="E672" s="3" t="s">
        <v>8987</v>
      </c>
      <c r="F672" s="10" t="str">
        <f aca="false">HYPERLINK("https://www.inaturalist.org/people/trogon433","trogon433")</f>
        <v>trogon433</v>
      </c>
      <c r="G672" s="9" t="s">
        <v>13</v>
      </c>
      <c r="H672" s="9" t="s">
        <v>8988</v>
      </c>
    </row>
    <row r="673" customFormat="false" ht="15.75" hidden="false" customHeight="false" outlineLevel="0" collapsed="false">
      <c r="B673" s="7" t="n">
        <v>46222</v>
      </c>
      <c r="C673" s="3" t="s">
        <v>8989</v>
      </c>
      <c r="D673" s="3" t="s">
        <v>8779</v>
      </c>
      <c r="E673" s="3" t="s">
        <v>8990</v>
      </c>
      <c r="F673" s="10" t="str">
        <f aca="false">HYPERLINK("https://www.inaturalist.org/people/naturelove_wa","naturelove_wa")</f>
        <v>naturelove_wa</v>
      </c>
      <c r="G673" s="9" t="s">
        <v>13</v>
      </c>
      <c r="H673" s="9" t="s">
        <v>8991</v>
      </c>
    </row>
    <row r="674" customFormat="false" ht="15.75" hidden="false" customHeight="false" outlineLevel="0" collapsed="false">
      <c r="B674" s="7" t="n">
        <v>46222</v>
      </c>
      <c r="C674" s="3" t="s">
        <v>8992</v>
      </c>
      <c r="D674" s="3" t="s">
        <v>8779</v>
      </c>
      <c r="E674" s="3" t="s">
        <v>8993</v>
      </c>
      <c r="F674" s="10" t="str">
        <f aca="false">HYPERLINK("https://www.inaturalist.org/people/ugwildlifeclub","ugwildlifeclub")</f>
        <v>ugwildlifeclub</v>
      </c>
      <c r="G674" s="9" t="s">
        <v>13</v>
      </c>
      <c r="H674" s="9" t="s">
        <v>8994</v>
      </c>
    </row>
    <row r="675" customFormat="false" ht="15.75" hidden="false" customHeight="false" outlineLevel="0" collapsed="false">
      <c r="B675" s="7" t="n">
        <v>46222</v>
      </c>
      <c r="C675" s="3" t="s">
        <v>8995</v>
      </c>
      <c r="D675" s="3" t="s">
        <v>8779</v>
      </c>
      <c r="E675" s="3" t="s">
        <v>8996</v>
      </c>
      <c r="F675" s="10" t="str">
        <f aca="false">HYPERLINK("https://www.inaturalist.org/people/peloski","peloski")</f>
        <v>peloski</v>
      </c>
      <c r="G675" s="9" t="s">
        <v>13</v>
      </c>
      <c r="H675" s="9" t="s">
        <v>8997</v>
      </c>
    </row>
    <row r="676" customFormat="false" ht="15.75" hidden="false" customHeight="false" outlineLevel="0" collapsed="false">
      <c r="B676" s="7" t="n">
        <v>46222</v>
      </c>
      <c r="C676" s="3" t="s">
        <v>8998</v>
      </c>
      <c r="D676" s="3" t="s">
        <v>8779</v>
      </c>
      <c r="E676" s="3" t="s">
        <v>8999</v>
      </c>
      <c r="F676" s="10" t="str">
        <f aca="false">HYPERLINK("https://www.inaturalist.org/people/jamiesrj","jamiesrj")</f>
        <v>jamiesrj</v>
      </c>
      <c r="G676" s="9" t="s">
        <v>13</v>
      </c>
      <c r="H676" s="9" t="s">
        <v>9000</v>
      </c>
    </row>
    <row r="677" customFormat="false" ht="15.75" hidden="false" customHeight="false" outlineLevel="0" collapsed="false">
      <c r="B677" s="7" t="n">
        <v>46222</v>
      </c>
      <c r="C677" s="3" t="s">
        <v>9001</v>
      </c>
      <c r="D677" s="3" t="s">
        <v>8779</v>
      </c>
      <c r="E677" s="3" t="s">
        <v>9002</v>
      </c>
      <c r="F677" s="10" t="str">
        <f aca="false">HYPERLINK("https://www.inaturalist.org/people/nathan_goes_outside","nathan_goes_outside")</f>
        <v>nathan_goes_outside</v>
      </c>
      <c r="G677" s="9" t="s">
        <v>13</v>
      </c>
      <c r="H677" s="9" t="s">
        <v>9003</v>
      </c>
    </row>
    <row r="678" customFormat="false" ht="15.75" hidden="false" customHeight="false" outlineLevel="0" collapsed="false">
      <c r="B678" s="7" t="n">
        <v>46222</v>
      </c>
      <c r="C678" s="3" t="s">
        <v>9004</v>
      </c>
      <c r="D678" s="3" t="s">
        <v>8779</v>
      </c>
      <c r="E678" s="3" t="s">
        <v>9005</v>
      </c>
      <c r="F678" s="10" t="str">
        <f aca="false">HYPERLINK("https://www.inaturalist.org/people/randiejoherps","randiejoherps")</f>
        <v>randiejoherps</v>
      </c>
      <c r="G678" s="9" t="s">
        <v>13</v>
      </c>
      <c r="H678" s="9" t="s">
        <v>9006</v>
      </c>
    </row>
    <row r="679" customFormat="false" ht="15.75" hidden="false" customHeight="false" outlineLevel="0" collapsed="false">
      <c r="B679" s="7" t="n">
        <v>46222</v>
      </c>
      <c r="C679" s="3" t="s">
        <v>9007</v>
      </c>
      <c r="D679" s="3" t="s">
        <v>8779</v>
      </c>
      <c r="E679" s="3" t="s">
        <v>9008</v>
      </c>
      <c r="F679" s="10" t="str">
        <f aca="false">HYPERLINK("https://www.inaturalist.org/people/kjscolo","kjscolo")</f>
        <v>kjscolo</v>
      </c>
      <c r="G679" s="9" t="s">
        <v>13</v>
      </c>
      <c r="H679" s="9" t="s">
        <v>9009</v>
      </c>
    </row>
    <row r="680" customFormat="false" ht="15.75" hidden="false" customHeight="false" outlineLevel="0" collapsed="false">
      <c r="B680" s="7" t="n">
        <v>46222</v>
      </c>
      <c r="C680" s="3" t="s">
        <v>9010</v>
      </c>
      <c r="D680" s="3" t="s">
        <v>8779</v>
      </c>
      <c r="E680" s="3" t="s">
        <v>9011</v>
      </c>
      <c r="F680" s="10" t="str">
        <f aca="false">HYPERLINK("https://www.inaturalist.org/people/ortie75","ortie75")</f>
        <v>ortie75</v>
      </c>
      <c r="G680" s="9" t="s">
        <v>13</v>
      </c>
      <c r="H680" s="9" t="s">
        <v>9012</v>
      </c>
    </row>
    <row r="681" customFormat="false" ht="15.75" hidden="false" customHeight="false" outlineLevel="0" collapsed="false">
      <c r="B681" s="7" t="n">
        <v>46222</v>
      </c>
      <c r="C681" s="3" t="s">
        <v>9013</v>
      </c>
      <c r="D681" s="3" t="s">
        <v>8779</v>
      </c>
      <c r="E681" s="3" t="s">
        <v>9014</v>
      </c>
      <c r="F681" s="10" t="str">
        <f aca="false">HYPERLINK("https://www.inaturalist.org/people/douglasglobal","douglasglobal")</f>
        <v>douglasglobal</v>
      </c>
      <c r="G681" s="9" t="s">
        <v>13</v>
      </c>
      <c r="H681" s="9" t="s">
        <v>9015</v>
      </c>
    </row>
    <row r="682" customFormat="false" ht="15.75" hidden="false" customHeight="false" outlineLevel="0" collapsed="false">
      <c r="B682" s="7" t="n">
        <v>46222</v>
      </c>
      <c r="C682" s="3" t="s">
        <v>9016</v>
      </c>
      <c r="D682" s="3" t="s">
        <v>8779</v>
      </c>
      <c r="E682" s="3" t="s">
        <v>9017</v>
      </c>
      <c r="F682" s="10" t="str">
        <f aca="false">HYPERLINK("https://www.inaturalist.org/people/leeemma-animals","leeemma-animals")</f>
        <v>leeemma-animals</v>
      </c>
      <c r="G682" s="9" t="s">
        <v>13</v>
      </c>
      <c r="H682" s="9" t="s">
        <v>9018</v>
      </c>
    </row>
    <row r="683" customFormat="false" ht="15.75" hidden="false" customHeight="false" outlineLevel="0" collapsed="false">
      <c r="B683" s="7" t="n">
        <v>46222</v>
      </c>
      <c r="C683" s="3" t="s">
        <v>9019</v>
      </c>
      <c r="D683" s="3" t="s">
        <v>8779</v>
      </c>
      <c r="E683" s="3" t="s">
        <v>9020</v>
      </c>
      <c r="F683" s="10" t="str">
        <f aca="false">HYPERLINK("https://www.inaturalist.org/people/wademccallum","wademccallum")</f>
        <v>wademccallum</v>
      </c>
      <c r="G683" s="9" t="s">
        <v>13</v>
      </c>
      <c r="H683" s="9" t="s">
        <v>9021</v>
      </c>
    </row>
    <row r="684" customFormat="false" ht="15.75" hidden="false" customHeight="false" outlineLevel="0" collapsed="false">
      <c r="B684" s="7" t="n">
        <v>46222</v>
      </c>
      <c r="C684" s="3" t="s">
        <v>9022</v>
      </c>
      <c r="D684" s="3" t="s">
        <v>8779</v>
      </c>
      <c r="E684" s="3" t="s">
        <v>9023</v>
      </c>
      <c r="F684" s="10" t="str">
        <f aca="false">HYPERLINK("https://www.inaturalist.org/people/emmas90","emmas90")</f>
        <v>emmas90</v>
      </c>
      <c r="G684" s="9" t="s">
        <v>13</v>
      </c>
      <c r="H684" s="9" t="s">
        <v>9024</v>
      </c>
    </row>
    <row r="685" customFormat="false" ht="15.75" hidden="false" customHeight="false" outlineLevel="0" collapsed="false">
      <c r="B685" s="7" t="n">
        <v>46222</v>
      </c>
      <c r="C685" s="3" t="s">
        <v>9025</v>
      </c>
      <c r="D685" s="3" t="s">
        <v>8779</v>
      </c>
      <c r="E685" s="3" t="s">
        <v>9026</v>
      </c>
      <c r="F685" s="10" t="str">
        <f aca="false">HYPERLINK("https://www.inaturalist.org/people/paul_ant","paul_ant")</f>
        <v>paul_ant</v>
      </c>
      <c r="G685" s="9" t="s">
        <v>13</v>
      </c>
      <c r="H685" s="9" t="s">
        <v>9027</v>
      </c>
    </row>
    <row r="686" customFormat="false" ht="15.75" hidden="false" customHeight="false" outlineLevel="0" collapsed="false">
      <c r="B686" s="7" t="n">
        <v>46222</v>
      </c>
      <c r="C686" s="3" t="s">
        <v>9028</v>
      </c>
      <c r="D686" s="3" t="s">
        <v>8779</v>
      </c>
      <c r="E686" s="3" t="s">
        <v>9029</v>
      </c>
      <c r="F686" s="10" t="str">
        <f aca="false">HYPERLINK("https://www.inaturalist.org/people/miguellobatoreis","miguellobatoreis")</f>
        <v>miguellobatoreis</v>
      </c>
      <c r="G686" s="9" t="s">
        <v>13</v>
      </c>
      <c r="H686" s="9" t="s">
        <v>9030</v>
      </c>
    </row>
    <row r="687" customFormat="false" ht="15.75" hidden="false" customHeight="false" outlineLevel="0" collapsed="false">
      <c r="B687" s="7" t="n">
        <v>46222</v>
      </c>
      <c r="C687" s="3" t="s">
        <v>9031</v>
      </c>
      <c r="D687" s="3" t="s">
        <v>8779</v>
      </c>
      <c r="E687" s="3" t="s">
        <v>9032</v>
      </c>
      <c r="F687" s="10" t="str">
        <f aca="false">HYPERLINK("https://www.inaturalist.org/people/ibongile","ibongile")</f>
        <v>ibongile</v>
      </c>
      <c r="G687" s="9" t="s">
        <v>13</v>
      </c>
      <c r="H687" s="9" t="s">
        <v>9033</v>
      </c>
    </row>
    <row r="688" customFormat="false" ht="15.75" hidden="false" customHeight="false" outlineLevel="0" collapsed="false">
      <c r="B688" s="7" t="n">
        <v>46222</v>
      </c>
      <c r="C688" s="3" t="s">
        <v>9034</v>
      </c>
      <c r="D688" s="3" t="s">
        <v>8779</v>
      </c>
      <c r="E688" s="3" t="s">
        <v>9035</v>
      </c>
      <c r="F688" s="10" t="str">
        <f aca="false">HYPERLINK("https://www.inaturalist.org/people/emdeblas","emdeblas")</f>
        <v>emdeblas</v>
      </c>
      <c r="G688" s="9" t="s">
        <v>13</v>
      </c>
      <c r="H688" s="9" t="s">
        <v>9036</v>
      </c>
    </row>
    <row r="689" customFormat="false" ht="15.75" hidden="false" customHeight="false" outlineLevel="0" collapsed="false">
      <c r="B689" s="7" t="n">
        <v>46222</v>
      </c>
      <c r="C689" s="3" t="s">
        <v>9037</v>
      </c>
      <c r="D689" s="3" t="s">
        <v>8779</v>
      </c>
      <c r="E689" s="3" t="s">
        <v>9038</v>
      </c>
      <c r="F689" s="10" t="str">
        <f aca="false">HYPERLINK("https://www.inaturalist.org/people/krengeseth","krengeseth")</f>
        <v>krengeseth</v>
      </c>
      <c r="G689" s="9" t="s">
        <v>13</v>
      </c>
      <c r="H689" s="9" t="s">
        <v>9039</v>
      </c>
    </row>
    <row r="690" customFormat="false" ht="15.75" hidden="false" customHeight="false" outlineLevel="0" collapsed="false">
      <c r="B690" s="7" t="n">
        <v>46222</v>
      </c>
      <c r="C690" s="3" t="s">
        <v>9040</v>
      </c>
      <c r="D690" s="3" t="s">
        <v>8779</v>
      </c>
      <c r="E690" s="3" t="s">
        <v>9041</v>
      </c>
      <c r="F690" s="10" t="str">
        <f aca="false">HYPERLINK("https://www.inaturalist.org/people/laurenlikestrees","laurenlikestrees")</f>
        <v>laurenlikestrees</v>
      </c>
      <c r="G690" s="9" t="s">
        <v>13</v>
      </c>
      <c r="H690" s="9" t="s">
        <v>9042</v>
      </c>
    </row>
    <row r="691" customFormat="false" ht="15.75" hidden="false" customHeight="false" outlineLevel="0" collapsed="false">
      <c r="B691" s="7" t="n">
        <v>46222</v>
      </c>
      <c r="C691" s="3" t="s">
        <v>9043</v>
      </c>
      <c r="D691" s="3" t="s">
        <v>8779</v>
      </c>
      <c r="E691" s="3" t="s">
        <v>9044</v>
      </c>
      <c r="F691" s="10" t="str">
        <f aca="false">HYPERLINK("https://www.inaturalist.org/people/chey_h1021","chey_h1021")</f>
        <v>chey_h1021</v>
      </c>
      <c r="G691" s="9" t="s">
        <v>13</v>
      </c>
      <c r="H691" s="9" t="s">
        <v>9045</v>
      </c>
    </row>
    <row r="692" customFormat="false" ht="15.75" hidden="false" customHeight="false" outlineLevel="0" collapsed="false">
      <c r="B692" s="7" t="n">
        <v>46222</v>
      </c>
      <c r="C692" s="3" t="s">
        <v>9046</v>
      </c>
      <c r="D692" s="3" t="s">
        <v>8779</v>
      </c>
      <c r="E692" s="3" t="s">
        <v>9047</v>
      </c>
      <c r="F692" s="10" t="str">
        <f aca="false">HYPERLINK("https://www.inaturalist.org/people/david_broek","david_broek")</f>
        <v>david_broek</v>
      </c>
      <c r="G692" s="9" t="s">
        <v>13</v>
      </c>
      <c r="H692" s="9" t="s">
        <v>9048</v>
      </c>
    </row>
    <row r="693" customFormat="false" ht="15.75" hidden="false" customHeight="false" outlineLevel="0" collapsed="false">
      <c r="B693" s="7" t="n">
        <v>46222</v>
      </c>
      <c r="C693" s="3" t="s">
        <v>9049</v>
      </c>
      <c r="D693" s="3" t="s">
        <v>8779</v>
      </c>
      <c r="E693" s="3" t="s">
        <v>9050</v>
      </c>
      <c r="F693" s="10" t="str">
        <f aca="false">HYPERLINK("https://www.inaturalist.org/people/david_broek","david_broek")</f>
        <v>david_broek</v>
      </c>
      <c r="G693" s="9" t="s">
        <v>13</v>
      </c>
      <c r="H693" s="9" t="s">
        <v>9051</v>
      </c>
    </row>
    <row r="694" customFormat="false" ht="15.75" hidden="false" customHeight="false" outlineLevel="0" collapsed="false">
      <c r="B694" s="7" t="n">
        <v>46222</v>
      </c>
      <c r="C694" s="3" t="s">
        <v>9052</v>
      </c>
      <c r="D694" s="3" t="s">
        <v>8779</v>
      </c>
      <c r="E694" s="3" t="s">
        <v>9053</v>
      </c>
      <c r="F694" s="10" t="str">
        <f aca="false">HYPERLINK("https://www.inaturalist.org/people/haroldcr","haroldcr")</f>
        <v>haroldcr</v>
      </c>
      <c r="G694" s="9" t="s">
        <v>13</v>
      </c>
      <c r="H694" s="9" t="s">
        <v>9054</v>
      </c>
    </row>
    <row r="695" customFormat="false" ht="15.75" hidden="false" customHeight="false" outlineLevel="0" collapsed="false">
      <c r="B695" s="7" t="n">
        <v>46222</v>
      </c>
      <c r="C695" s="3" t="s">
        <v>9055</v>
      </c>
      <c r="D695" s="3" t="s">
        <v>8779</v>
      </c>
      <c r="E695" s="3" t="s">
        <v>9056</v>
      </c>
      <c r="F695" s="10" t="str">
        <f aca="false">HYPERLINK("https://www.inaturalist.org/people/jharm09","jharm09")</f>
        <v>jharm09</v>
      </c>
      <c r="G695" s="9" t="s">
        <v>13</v>
      </c>
      <c r="H695" s="9" t="s">
        <v>9057</v>
      </c>
    </row>
    <row r="696" customFormat="false" ht="15.75" hidden="false" customHeight="false" outlineLevel="0" collapsed="false">
      <c r="B696" s="7" t="n">
        <v>46222</v>
      </c>
      <c r="C696" s="3" t="s">
        <v>9058</v>
      </c>
      <c r="D696" s="3" t="s">
        <v>8779</v>
      </c>
      <c r="E696" s="3" t="s">
        <v>9059</v>
      </c>
      <c r="F696" s="10" t="str">
        <f aca="false">HYPERLINK("https://www.inaturalist.org/people/jlukkonen","jlukkonen")</f>
        <v>jlukkonen</v>
      </c>
      <c r="G696" s="9" t="s">
        <v>13</v>
      </c>
      <c r="H696" s="9" t="s">
        <v>9060</v>
      </c>
    </row>
    <row r="697" customFormat="false" ht="15.75" hidden="false" customHeight="false" outlineLevel="0" collapsed="false">
      <c r="B697" s="7" t="n">
        <v>46222</v>
      </c>
      <c r="C697" s="3" t="s">
        <v>9061</v>
      </c>
      <c r="D697" s="3" t="s">
        <v>8779</v>
      </c>
      <c r="E697" s="3" t="s">
        <v>9062</v>
      </c>
      <c r="F697" s="10" t="str">
        <f aca="false">HYPERLINK("https://www.inaturalist.org/people/iamtarak","iamtarak")</f>
        <v>iamtarak</v>
      </c>
      <c r="G697" s="9" t="s">
        <v>13</v>
      </c>
      <c r="H697" s="9" t="s">
        <v>9063</v>
      </c>
    </row>
    <row r="698" customFormat="false" ht="15.75" hidden="false" customHeight="false" outlineLevel="0" collapsed="false">
      <c r="B698" s="7" t="n">
        <v>46222</v>
      </c>
      <c r="C698" s="3" t="s">
        <v>9064</v>
      </c>
      <c r="D698" s="3" t="s">
        <v>8779</v>
      </c>
      <c r="E698" s="3" t="s">
        <v>9065</v>
      </c>
      <c r="F698" s="10" t="str">
        <f aca="false">HYPERLINK("https://www.inaturalist.org/people/priyanka91982","priyanka91982")</f>
        <v>priyanka91982</v>
      </c>
      <c r="G698" s="9" t="s">
        <v>13</v>
      </c>
      <c r="H698" s="9" t="s">
        <v>9066</v>
      </c>
    </row>
    <row r="699" customFormat="false" ht="15.75" hidden="false" customHeight="false" outlineLevel="0" collapsed="false">
      <c r="B699" s="7" t="n">
        <v>46222</v>
      </c>
      <c r="C699" s="3" t="s">
        <v>9067</v>
      </c>
      <c r="D699" s="3" t="s">
        <v>8779</v>
      </c>
      <c r="E699" s="3" t="s">
        <v>9068</v>
      </c>
      <c r="F699" s="10" t="str">
        <f aca="false">HYPERLINK("https://www.inaturalist.org/people/yossi29867","yossi29867")</f>
        <v>yossi29867</v>
      </c>
      <c r="G699" s="9" t="s">
        <v>13</v>
      </c>
      <c r="H699" s="9" t="s">
        <v>9069</v>
      </c>
    </row>
    <row r="700" customFormat="false" ht="15.75" hidden="false" customHeight="false" outlineLevel="0" collapsed="false">
      <c r="B700" s="7" t="n">
        <v>46222</v>
      </c>
      <c r="C700" s="3" t="s">
        <v>9070</v>
      </c>
      <c r="D700" s="3" t="s">
        <v>8779</v>
      </c>
      <c r="E700" s="3" t="s">
        <v>9071</v>
      </c>
      <c r="F700" s="10" t="str">
        <f aca="false">HYPERLINK("https://www.inaturalist.org/people/sophsophs","sophsophs")</f>
        <v>sophsophs</v>
      </c>
      <c r="G700" s="9" t="s">
        <v>13</v>
      </c>
      <c r="H700" s="9" t="s">
        <v>9072</v>
      </c>
    </row>
    <row r="701" customFormat="false" ht="15.75" hidden="false" customHeight="false" outlineLevel="0" collapsed="false">
      <c r="B701" s="7" t="n">
        <v>46222</v>
      </c>
      <c r="C701" s="3" t="s">
        <v>9073</v>
      </c>
      <c r="D701" s="3" t="s">
        <v>8779</v>
      </c>
      <c r="E701" s="3" t="s">
        <v>9074</v>
      </c>
      <c r="F701" s="10" t="str">
        <f aca="false">HYPERLINK("https://www.inaturalist.org/people/shooomka","shooomka")</f>
        <v>shooomka</v>
      </c>
      <c r="G701" s="9" t="s">
        <v>13</v>
      </c>
      <c r="H701" s="9" t="s">
        <v>9075</v>
      </c>
    </row>
    <row r="702" customFormat="false" ht="15.75" hidden="false" customHeight="false" outlineLevel="0" collapsed="false">
      <c r="B702" s="7" t="n">
        <v>46222</v>
      </c>
      <c r="C702" s="3" t="s">
        <v>9076</v>
      </c>
      <c r="D702" s="3" t="s">
        <v>8779</v>
      </c>
      <c r="E702" s="3" t="s">
        <v>9077</v>
      </c>
      <c r="F702" s="10" t="str">
        <f aca="false">HYPERLINK("https://www.inaturalist.org/people/field_notes","field_notes")</f>
        <v>field_notes</v>
      </c>
      <c r="G702" s="9" t="s">
        <v>13</v>
      </c>
      <c r="H702" s="9" t="s">
        <v>9078</v>
      </c>
    </row>
    <row r="703" customFormat="false" ht="15.75" hidden="false" customHeight="false" outlineLevel="0" collapsed="false">
      <c r="B703" s="7" t="n">
        <v>46222</v>
      </c>
      <c r="C703" s="3" t="s">
        <v>9079</v>
      </c>
      <c r="D703" s="3" t="s">
        <v>9080</v>
      </c>
      <c r="E703" s="3" t="s">
        <v>9081</v>
      </c>
      <c r="F703" s="10" t="str">
        <f aca="false">HYPERLINK("https://www.inaturalist.org/people/theodorigor","theodorigor")</f>
        <v>theodorigor</v>
      </c>
      <c r="G703" s="9" t="s">
        <v>13</v>
      </c>
      <c r="H703" s="9" t="s">
        <v>9082</v>
      </c>
    </row>
    <row r="704" customFormat="false" ht="15.75" hidden="false" customHeight="false" outlineLevel="0" collapsed="false">
      <c r="B704" s="7" t="n">
        <v>46222</v>
      </c>
      <c r="C704" s="3" t="s">
        <v>9083</v>
      </c>
      <c r="D704" s="3" t="s">
        <v>9080</v>
      </c>
      <c r="E704" s="3" t="s">
        <v>9084</v>
      </c>
      <c r="F704" s="10" t="str">
        <f aca="false">HYPERLINK("https://www.inaturalist.org/people/mairafernandes","mairafernandes")</f>
        <v>mairafernandes</v>
      </c>
      <c r="G704" s="9" t="s">
        <v>13</v>
      </c>
      <c r="H704" s="9" t="s">
        <v>9085</v>
      </c>
    </row>
    <row r="705" customFormat="false" ht="15.75" hidden="false" customHeight="false" outlineLevel="0" collapsed="false">
      <c r="B705" s="7" t="n">
        <v>46222</v>
      </c>
      <c r="C705" s="3" t="s">
        <v>9086</v>
      </c>
      <c r="D705" s="3" t="s">
        <v>9080</v>
      </c>
      <c r="E705" s="3" t="s">
        <v>9087</v>
      </c>
      <c r="F705" s="10" t="str">
        <f aca="false">HYPERLINK("https://www.inaturalist.org/people/rinnyw","rinnyw")</f>
        <v>rinnyw</v>
      </c>
      <c r="G705" s="9" t="s">
        <v>13</v>
      </c>
      <c r="H705" s="9" t="s">
        <v>9088</v>
      </c>
    </row>
    <row r="706" customFormat="false" ht="15.75" hidden="false" customHeight="false" outlineLevel="0" collapsed="false">
      <c r="B706" s="7" t="n">
        <v>46222</v>
      </c>
      <c r="C706" s="3" t="s">
        <v>9089</v>
      </c>
      <c r="D706" s="3" t="s">
        <v>9080</v>
      </c>
      <c r="E706" s="3" t="s">
        <v>9090</v>
      </c>
      <c r="F706" s="10" t="str">
        <f aca="false">HYPERLINK("https://www.inaturalist.org/people/christiaandevries","christiaandevries")</f>
        <v>christiaandevries</v>
      </c>
      <c r="G706" s="9" t="s">
        <v>13</v>
      </c>
      <c r="H706" s="9" t="s">
        <v>9091</v>
      </c>
    </row>
    <row r="707" customFormat="false" ht="15.75" hidden="false" customHeight="false" outlineLevel="0" collapsed="false">
      <c r="B707" s="7" t="n">
        <v>46222</v>
      </c>
      <c r="C707" s="3" t="s">
        <v>9092</v>
      </c>
      <c r="D707" s="3" t="s">
        <v>9080</v>
      </c>
      <c r="E707" s="3" t="s">
        <v>9093</v>
      </c>
      <c r="F707" s="10" t="str">
        <f aca="false">HYPERLINK("https://www.inaturalist.org/people/curious_cascadian","curious_cascadian")</f>
        <v>curious_cascadian</v>
      </c>
      <c r="G707" s="9" t="s">
        <v>13</v>
      </c>
      <c r="H707" s="9" t="s">
        <v>9094</v>
      </c>
    </row>
    <row r="708" customFormat="false" ht="15.75" hidden="false" customHeight="false" outlineLevel="0" collapsed="false">
      <c r="B708" s="7" t="n">
        <v>46222</v>
      </c>
      <c r="C708" s="3" t="s">
        <v>9095</v>
      </c>
      <c r="D708" s="3" t="s">
        <v>9080</v>
      </c>
      <c r="E708" s="3" t="s">
        <v>9096</v>
      </c>
      <c r="F708" s="10" t="str">
        <f aca="false">HYPERLINK("https://www.inaturalist.org/people/guillaumecalcagni","guillaumecalcagni")</f>
        <v>guillaumecalcagni</v>
      </c>
      <c r="G708" s="9" t="s">
        <v>13</v>
      </c>
      <c r="H708" s="9" t="s">
        <v>9097</v>
      </c>
    </row>
    <row r="709" customFormat="false" ht="15.75" hidden="false" customHeight="false" outlineLevel="0" collapsed="false">
      <c r="B709" s="7" t="n">
        <v>46222</v>
      </c>
      <c r="C709" s="3" t="s">
        <v>9098</v>
      </c>
      <c r="D709" s="3" t="s">
        <v>9080</v>
      </c>
      <c r="E709" s="3" t="s">
        <v>9099</v>
      </c>
      <c r="F709" s="10" t="str">
        <f aca="false">HYPERLINK("https://www.inaturalist.org/people/mark_turtle","mark_turtle")</f>
        <v>mark_turtle</v>
      </c>
      <c r="G709" s="9" t="s">
        <v>13</v>
      </c>
      <c r="H709" s="9" t="s">
        <v>9100</v>
      </c>
    </row>
    <row r="710" customFormat="false" ht="15.75" hidden="false" customHeight="false" outlineLevel="0" collapsed="false">
      <c r="B710" s="7" t="n">
        <v>46222</v>
      </c>
      <c r="C710" s="3" t="s">
        <v>9101</v>
      </c>
      <c r="D710" s="3" t="s">
        <v>9080</v>
      </c>
      <c r="E710" s="3" t="s">
        <v>9102</v>
      </c>
      <c r="F710" s="10" t="str">
        <f aca="false">HYPERLINK("https://www.inaturalist.org/people/nlochiri","nlochiri")</f>
        <v>nlochiri</v>
      </c>
      <c r="G710" s="9" t="s">
        <v>13</v>
      </c>
      <c r="H710" s="9" t="s">
        <v>9103</v>
      </c>
    </row>
    <row r="711" customFormat="false" ht="15.75" hidden="false" customHeight="false" outlineLevel="0" collapsed="false">
      <c r="B711" s="7" t="n">
        <v>46222</v>
      </c>
      <c r="C711" s="3" t="s">
        <v>9104</v>
      </c>
      <c r="D711" s="3" t="s">
        <v>9080</v>
      </c>
      <c r="E711" s="3" t="s">
        <v>9105</v>
      </c>
      <c r="F711" s="10" t="str">
        <f aca="false">HYPERLINK("https://www.inaturalist.org/people/spookyaranhas","spookyaranhas")</f>
        <v>spookyaranhas</v>
      </c>
      <c r="G711" s="9" t="s">
        <v>13</v>
      </c>
      <c r="H711" s="9" t="s">
        <v>9106</v>
      </c>
    </row>
    <row r="712" customFormat="false" ht="15.75" hidden="false" customHeight="false" outlineLevel="0" collapsed="false">
      <c r="B712" s="7" t="n">
        <v>46222</v>
      </c>
      <c r="C712" s="3" t="s">
        <v>9107</v>
      </c>
      <c r="D712" s="3" t="s">
        <v>9080</v>
      </c>
      <c r="E712" s="3" t="s">
        <v>9108</v>
      </c>
      <c r="F712" s="10" t="str">
        <f aca="false">HYPERLINK("https://www.inaturalist.org/people/aubreygracem","aubreygracem")</f>
        <v>aubreygracem</v>
      </c>
      <c r="G712" s="9" t="s">
        <v>13</v>
      </c>
      <c r="H712" s="9" t="s">
        <v>9109</v>
      </c>
    </row>
    <row r="713" customFormat="false" ht="15.75" hidden="false" customHeight="false" outlineLevel="0" collapsed="false">
      <c r="B713" s="7" t="n">
        <v>46222</v>
      </c>
      <c r="C713" s="3" t="s">
        <v>9110</v>
      </c>
      <c r="D713" s="3" t="s">
        <v>9080</v>
      </c>
      <c r="E713" s="3" t="s">
        <v>9111</v>
      </c>
      <c r="F713" s="10" t="str">
        <f aca="false">HYPERLINK("https://www.inaturalist.org/people/siddhanta23","siddhanta23")</f>
        <v>siddhanta23</v>
      </c>
      <c r="G713" s="9" t="s">
        <v>13</v>
      </c>
      <c r="H713" s="9" t="s">
        <v>9112</v>
      </c>
    </row>
    <row r="714" customFormat="false" ht="15.75" hidden="false" customHeight="false" outlineLevel="0" collapsed="false">
      <c r="B714" s="7" t="n">
        <v>46222</v>
      </c>
      <c r="C714" s="3" t="s">
        <v>9113</v>
      </c>
      <c r="D714" s="3" t="s">
        <v>9080</v>
      </c>
      <c r="E714" s="3" t="s">
        <v>9114</v>
      </c>
      <c r="F714" s="10" t="str">
        <f aca="false">HYPERLINK("https://www.inaturalist.org/people/fernandoul","fernandoul")</f>
        <v>fernandoul</v>
      </c>
      <c r="G714" s="9" t="s">
        <v>13</v>
      </c>
      <c r="H714" s="9" t="s">
        <v>9115</v>
      </c>
    </row>
    <row r="715" customFormat="false" ht="15.75" hidden="false" customHeight="false" outlineLevel="0" collapsed="false">
      <c r="B715" s="7" t="n">
        <v>46222</v>
      </c>
      <c r="C715" s="3" t="s">
        <v>9116</v>
      </c>
      <c r="D715" s="3" t="s">
        <v>9080</v>
      </c>
      <c r="E715" s="3" t="s">
        <v>9117</v>
      </c>
      <c r="F715" s="10" t="str">
        <f aca="false">HYPERLINK("https://www.inaturalist.org/people/ortie75","ortie75")</f>
        <v>ortie75</v>
      </c>
      <c r="G715" s="9" t="s">
        <v>13</v>
      </c>
      <c r="H715" s="9" t="s">
        <v>9118</v>
      </c>
    </row>
    <row r="716" customFormat="false" ht="15.75" hidden="false" customHeight="false" outlineLevel="0" collapsed="false">
      <c r="B716" s="7" t="n">
        <v>46222</v>
      </c>
      <c r="C716" s="3" t="s">
        <v>9119</v>
      </c>
      <c r="D716" s="3" t="s">
        <v>9080</v>
      </c>
      <c r="E716" s="3" t="s">
        <v>9120</v>
      </c>
      <c r="F716" s="10" t="str">
        <f aca="false">HYPERLINK("https://www.inaturalist.org/people/renatoguzman","renatoguzman")</f>
        <v>renatoguzman</v>
      </c>
      <c r="G716" s="9" t="s">
        <v>13</v>
      </c>
      <c r="H716" s="9" t="s">
        <v>9121</v>
      </c>
    </row>
    <row r="717" customFormat="false" ht="15.75" hidden="false" customHeight="false" outlineLevel="0" collapsed="false">
      <c r="B717" s="7" t="n">
        <v>46222</v>
      </c>
      <c r="C717" s="3" t="s">
        <v>9122</v>
      </c>
      <c r="D717" s="3" t="s">
        <v>9080</v>
      </c>
      <c r="E717" s="3" t="s">
        <v>9123</v>
      </c>
      <c r="F717" s="10" t="str">
        <f aca="false">HYPERLINK("https://www.inaturalist.org/people/shrimp_guy","shrimp_guy")</f>
        <v>shrimp_guy</v>
      </c>
      <c r="G717" s="9" t="s">
        <v>13</v>
      </c>
      <c r="H717" s="9" t="s">
        <v>9124</v>
      </c>
    </row>
    <row r="718" customFormat="false" ht="15.75" hidden="false" customHeight="false" outlineLevel="0" collapsed="false">
      <c r="B718" s="7" t="n">
        <v>46222</v>
      </c>
      <c r="C718" s="3" t="s">
        <v>9125</v>
      </c>
      <c r="D718" s="3" t="s">
        <v>9080</v>
      </c>
      <c r="E718" s="3" t="s">
        <v>9126</v>
      </c>
      <c r="F718" s="10" t="str">
        <f aca="false">HYPERLINK("https://www.inaturalist.org/people/hikmahb","hikmahb")</f>
        <v>hikmahb</v>
      </c>
      <c r="G718" s="9" t="s">
        <v>13</v>
      </c>
      <c r="H718" s="9" t="s">
        <v>9127</v>
      </c>
    </row>
    <row r="719" customFormat="false" ht="15.75" hidden="false" customHeight="false" outlineLevel="0" collapsed="false">
      <c r="B719" s="7" t="n">
        <v>46222</v>
      </c>
      <c r="C719" s="3" t="s">
        <v>9128</v>
      </c>
      <c r="D719" s="3" t="s">
        <v>9080</v>
      </c>
      <c r="E719" s="3" t="s">
        <v>9129</v>
      </c>
      <c r="F719" s="10" t="str">
        <f aca="false">HYPERLINK("https://www.inaturalist.org/people/jheynner_davidmarin_julio","jheynner_davidmarin_julio")</f>
        <v>jheynner_davidmarin_julio</v>
      </c>
      <c r="G719" s="9" t="s">
        <v>13</v>
      </c>
      <c r="H719" s="9" t="s">
        <v>9130</v>
      </c>
    </row>
    <row r="720" customFormat="false" ht="15.75" hidden="false" customHeight="false" outlineLevel="0" collapsed="false">
      <c r="B720" s="7" t="n">
        <v>46222</v>
      </c>
      <c r="C720" s="3" t="s">
        <v>9131</v>
      </c>
      <c r="D720" s="3" t="s">
        <v>9080</v>
      </c>
      <c r="E720" s="3" t="s">
        <v>9132</v>
      </c>
      <c r="F720" s="10" t="str">
        <f aca="false">HYPERLINK("https://www.inaturalist.org/people/ale2003","ale2003")</f>
        <v>ale2003</v>
      </c>
      <c r="G720" s="9" t="s">
        <v>13</v>
      </c>
      <c r="H720" s="9" t="s">
        <v>9133</v>
      </c>
    </row>
    <row r="721" customFormat="false" ht="15.75" hidden="false" customHeight="false" outlineLevel="0" collapsed="false">
      <c r="B721" s="7" t="n">
        <v>46222</v>
      </c>
      <c r="C721" s="3" t="s">
        <v>9134</v>
      </c>
      <c r="D721" s="3" t="s">
        <v>9080</v>
      </c>
      <c r="E721" s="3" t="s">
        <v>9135</v>
      </c>
      <c r="F721" s="10" t="str">
        <f aca="false">HYPERLINK("https://www.inaturalist.org/people/luca_221","luca_221")</f>
        <v>luca_221</v>
      </c>
      <c r="G721" s="9" t="s">
        <v>13</v>
      </c>
      <c r="H721" s="9" t="s">
        <v>9136</v>
      </c>
    </row>
    <row r="722" customFormat="false" ht="15.75" hidden="false" customHeight="false" outlineLevel="0" collapsed="false">
      <c r="B722" s="7" t="n">
        <v>46222</v>
      </c>
      <c r="C722" s="3" t="s">
        <v>9137</v>
      </c>
      <c r="D722" s="3" t="s">
        <v>9080</v>
      </c>
      <c r="E722" s="3" t="s">
        <v>9138</v>
      </c>
      <c r="F722" s="10" t="str">
        <f aca="false">HYPERLINK("https://www.inaturalist.org/people/chapmanexplores","chapmanexplores")</f>
        <v>chapmanexplores</v>
      </c>
      <c r="G722" s="9" t="s">
        <v>13</v>
      </c>
      <c r="H722" s="9" t="s">
        <v>9139</v>
      </c>
    </row>
    <row r="723" customFormat="false" ht="15.75" hidden="false" customHeight="false" outlineLevel="0" collapsed="false">
      <c r="B723" s="7" t="n">
        <v>46222</v>
      </c>
      <c r="C723" s="3" t="s">
        <v>9140</v>
      </c>
      <c r="D723" s="3" t="s">
        <v>9141</v>
      </c>
      <c r="E723" s="3" t="s">
        <v>9142</v>
      </c>
      <c r="F723" s="10" t="str">
        <f aca="false">HYPERLINK("https://www.inaturalist.org/people/scherbst","scherbst")</f>
        <v>scherbst</v>
      </c>
      <c r="G723" s="9" t="s">
        <v>13</v>
      </c>
      <c r="H723" s="9" t="s">
        <v>9143</v>
      </c>
    </row>
    <row r="724" customFormat="false" ht="15.75" hidden="false" customHeight="false" outlineLevel="0" collapsed="false">
      <c r="B724" s="7" t="n">
        <v>46222</v>
      </c>
      <c r="C724" s="3" t="s">
        <v>9144</v>
      </c>
      <c r="D724" s="3" t="s">
        <v>9141</v>
      </c>
      <c r="E724" s="3" t="s">
        <v>9145</v>
      </c>
      <c r="F724" s="10" t="str">
        <f aca="false">HYPERLINK("https://www.inaturalist.org/people/scherbst","scherbst")</f>
        <v>scherbst</v>
      </c>
      <c r="G724" s="9" t="s">
        <v>13</v>
      </c>
      <c r="H724" s="9" t="s">
        <v>9146</v>
      </c>
    </row>
    <row r="725" customFormat="false" ht="15.75" hidden="false" customHeight="false" outlineLevel="0" collapsed="false">
      <c r="B725" s="7" t="n">
        <v>46222</v>
      </c>
      <c r="C725" s="3" t="s">
        <v>9147</v>
      </c>
      <c r="D725" s="3" t="s">
        <v>9141</v>
      </c>
      <c r="E725" s="3" t="s">
        <v>9148</v>
      </c>
      <c r="F725" s="10" t="str">
        <f aca="false">HYPERLINK("https://www.inaturalist.org/people/kenny_well","kenny_well")</f>
        <v>kenny_well</v>
      </c>
      <c r="G725" s="9" t="s">
        <v>13</v>
      </c>
      <c r="H725" s="9" t="s">
        <v>9149</v>
      </c>
    </row>
    <row r="726" customFormat="false" ht="15.75" hidden="false" customHeight="false" outlineLevel="0" collapsed="false">
      <c r="B726" s="7" t="n">
        <v>46222</v>
      </c>
      <c r="C726" s="3" t="s">
        <v>9150</v>
      </c>
      <c r="D726" s="3" t="s">
        <v>9141</v>
      </c>
      <c r="E726" s="3" t="s">
        <v>9151</v>
      </c>
      <c r="F726" s="10" t="str">
        <f aca="false">HYPERLINK("https://www.inaturalist.org/people/amazonia_em_macro","amazonia_em_macro")</f>
        <v>amazonia_em_macro</v>
      </c>
      <c r="G726" s="9" t="s">
        <v>13</v>
      </c>
      <c r="H726" s="9" t="s">
        <v>9152</v>
      </c>
    </row>
    <row r="727" customFormat="false" ht="15.75" hidden="false" customHeight="false" outlineLevel="0" collapsed="false">
      <c r="B727" s="7" t="n">
        <v>46222</v>
      </c>
      <c r="C727" s="3" t="s">
        <v>9153</v>
      </c>
      <c r="D727" s="3" t="s">
        <v>9141</v>
      </c>
      <c r="E727" s="3" t="s">
        <v>9154</v>
      </c>
      <c r="F727" s="10" t="str">
        <f aca="false">HYPERLINK("https://www.inaturalist.org/people/zhaotianze","zhaotianze")</f>
        <v>zhaotianze</v>
      </c>
      <c r="G727" s="9" t="s">
        <v>13</v>
      </c>
      <c r="H727" s="9" t="s">
        <v>9155</v>
      </c>
    </row>
    <row r="728" customFormat="false" ht="15.75" hidden="false" customHeight="false" outlineLevel="0" collapsed="false">
      <c r="B728" s="7" t="n">
        <v>46222</v>
      </c>
      <c r="C728" s="3" t="s">
        <v>9156</v>
      </c>
      <c r="D728" s="3" t="s">
        <v>9141</v>
      </c>
      <c r="E728" s="3" t="s">
        <v>9157</v>
      </c>
      <c r="F728" s="10" t="str">
        <f aca="false">HYPERLINK("https://www.inaturalist.org/people/stevenc22","stevenc22")</f>
        <v>stevenc22</v>
      </c>
      <c r="G728" s="9" t="s">
        <v>13</v>
      </c>
      <c r="H728" s="9" t="s">
        <v>9158</v>
      </c>
    </row>
    <row r="729" customFormat="false" ht="15.75" hidden="false" customHeight="false" outlineLevel="0" collapsed="false">
      <c r="B729" s="7" t="n">
        <v>46222</v>
      </c>
      <c r="C729" s="3" t="s">
        <v>9159</v>
      </c>
      <c r="D729" s="3" t="s">
        <v>9141</v>
      </c>
      <c r="E729" s="3" t="s">
        <v>9160</v>
      </c>
      <c r="F729" s="10" t="str">
        <f aca="false">HYPERLINK("https://www.inaturalist.org/people/dive345","dive345")</f>
        <v>dive345</v>
      </c>
      <c r="G729" s="9" t="s">
        <v>13</v>
      </c>
      <c r="H729" s="9" t="s">
        <v>9161</v>
      </c>
    </row>
    <row r="730" customFormat="false" ht="15.75" hidden="false" customHeight="false" outlineLevel="0" collapsed="false">
      <c r="B730" s="7" t="n">
        <v>46222</v>
      </c>
      <c r="C730" s="3" t="s">
        <v>9162</v>
      </c>
      <c r="D730" s="3" t="s">
        <v>9141</v>
      </c>
      <c r="E730" s="3" t="s">
        <v>9163</v>
      </c>
      <c r="F730" s="10" t="str">
        <f aca="false">HYPERLINK("https://www.inaturalist.org/people/diego30634","diego30634")</f>
        <v>diego30634</v>
      </c>
      <c r="G730" s="9" t="s">
        <v>13</v>
      </c>
      <c r="H730" s="9" t="s">
        <v>9164</v>
      </c>
    </row>
    <row r="731" customFormat="false" ht="15.75" hidden="false" customHeight="false" outlineLevel="0" collapsed="false">
      <c r="B731" s="7" t="n">
        <v>46222</v>
      </c>
      <c r="C731" s="3" t="s">
        <v>9165</v>
      </c>
      <c r="D731" s="3" t="s">
        <v>9141</v>
      </c>
      <c r="E731" s="3" t="s">
        <v>9166</v>
      </c>
      <c r="F731" s="10" t="str">
        <f aca="false">HYPERLINK("https://www.inaturalist.org/people/cwright67","cwright67")</f>
        <v>cwright67</v>
      </c>
      <c r="G731" s="9" t="s">
        <v>13</v>
      </c>
      <c r="H731" s="9" t="s">
        <v>9167</v>
      </c>
    </row>
    <row r="732" customFormat="false" ht="15.75" hidden="false" customHeight="false" outlineLevel="0" collapsed="false">
      <c r="B732" s="7" t="n">
        <v>46222</v>
      </c>
      <c r="C732" s="3" t="s">
        <v>9168</v>
      </c>
      <c r="D732" s="3" t="s">
        <v>9141</v>
      </c>
      <c r="E732" s="3" t="s">
        <v>9169</v>
      </c>
      <c r="F732" s="10" t="str">
        <f aca="false">HYPERLINK("https://www.inaturalist.org/people/ianmu","ianmu")</f>
        <v>ianmu</v>
      </c>
      <c r="G732" s="9" t="s">
        <v>13</v>
      </c>
      <c r="H732" s="9" t="s">
        <v>9170</v>
      </c>
    </row>
    <row r="733" customFormat="false" ht="15.75" hidden="false" customHeight="false" outlineLevel="0" collapsed="false">
      <c r="B733" s="7" t="n">
        <v>46222</v>
      </c>
      <c r="C733" s="3" t="s">
        <v>9171</v>
      </c>
      <c r="D733" s="3" t="s">
        <v>9141</v>
      </c>
      <c r="E733" s="3" t="s">
        <v>9172</v>
      </c>
      <c r="F733" s="10" t="str">
        <f aca="false">HYPERLINK("https://www.inaturalist.org/people/brett_w","brett_w")</f>
        <v>brett_w</v>
      </c>
      <c r="G733" s="9" t="s">
        <v>13</v>
      </c>
      <c r="H733" s="9" t="s">
        <v>9173</v>
      </c>
    </row>
    <row r="734" customFormat="false" ht="15.75" hidden="false" customHeight="false" outlineLevel="0" collapsed="false">
      <c r="B734" s="7" t="n">
        <v>46222</v>
      </c>
      <c r="C734" s="3" t="s">
        <v>9174</v>
      </c>
      <c r="D734" s="3" t="s">
        <v>9141</v>
      </c>
      <c r="E734" s="3" t="s">
        <v>9175</v>
      </c>
      <c r="F734" s="10" t="str">
        <f aca="false">HYPERLINK("https://www.inaturalist.org/people/ronil_tataria","ronil_tataria")</f>
        <v>ronil_tataria</v>
      </c>
      <c r="G734" s="9" t="s">
        <v>13</v>
      </c>
      <c r="H734" s="9" t="s">
        <v>9176</v>
      </c>
    </row>
    <row r="735" customFormat="false" ht="15.75" hidden="false" customHeight="false" outlineLevel="0" collapsed="false">
      <c r="B735" s="7" t="n">
        <v>46222</v>
      </c>
      <c r="C735" s="3" t="s">
        <v>9177</v>
      </c>
      <c r="D735" s="3" t="s">
        <v>9141</v>
      </c>
      <c r="E735" s="3" t="s">
        <v>9178</v>
      </c>
      <c r="F735" s="10" t="str">
        <f aca="false">HYPERLINK("https://www.inaturalist.org/people/katiuska19","katiuska19")</f>
        <v>katiuska19</v>
      </c>
      <c r="G735" s="9" t="s">
        <v>13</v>
      </c>
      <c r="H735" s="9" t="s">
        <v>9179</v>
      </c>
    </row>
    <row r="736" customFormat="false" ht="15.75" hidden="false" customHeight="false" outlineLevel="0" collapsed="false">
      <c r="B736" s="7" t="n">
        <v>46222</v>
      </c>
      <c r="C736" s="3" t="s">
        <v>9180</v>
      </c>
      <c r="D736" s="3" t="s">
        <v>9141</v>
      </c>
      <c r="E736" s="3" t="s">
        <v>9181</v>
      </c>
      <c r="F736" s="10" t="str">
        <f aca="false">HYPERLINK("https://www.inaturalist.org/people/jpj9425","jpj9425")</f>
        <v>jpj9425</v>
      </c>
      <c r="G736" s="9" t="s">
        <v>13</v>
      </c>
      <c r="H736" s="9" t="s">
        <v>9182</v>
      </c>
    </row>
    <row r="737" customFormat="false" ht="15.75" hidden="false" customHeight="false" outlineLevel="0" collapsed="false">
      <c r="B737" s="7" t="n">
        <v>46222</v>
      </c>
      <c r="C737" s="3" t="s">
        <v>9183</v>
      </c>
      <c r="D737" s="3" t="s">
        <v>9141</v>
      </c>
      <c r="E737" s="3" t="s">
        <v>9184</v>
      </c>
      <c r="F737" s="10" t="str">
        <f aca="false">HYPERLINK("https://www.inaturalist.org/people/maedyi","maedyi")</f>
        <v>maedyi</v>
      </c>
      <c r="G737" s="9" t="s">
        <v>13</v>
      </c>
      <c r="H737" s="9" t="s">
        <v>9185</v>
      </c>
    </row>
    <row r="738" customFormat="false" ht="15.75" hidden="false" customHeight="false" outlineLevel="0" collapsed="false">
      <c r="B738" s="7" t="n">
        <v>46222</v>
      </c>
      <c r="C738" s="3" t="s">
        <v>9186</v>
      </c>
      <c r="D738" s="3" t="s">
        <v>9141</v>
      </c>
      <c r="E738" s="3" t="s">
        <v>9187</v>
      </c>
      <c r="F738" s="10" t="str">
        <f aca="false">HYPERLINK("https://www.inaturalist.org/people/elnurguseyni","elnurguseyni")</f>
        <v>elnurguseyni</v>
      </c>
      <c r="G738" s="9" t="s">
        <v>13</v>
      </c>
      <c r="H738" s="9" t="s">
        <v>9188</v>
      </c>
    </row>
    <row r="739" customFormat="false" ht="15.75" hidden="false" customHeight="false" outlineLevel="0" collapsed="false">
      <c r="B739" s="7" t="n">
        <v>46222</v>
      </c>
      <c r="C739" s="3" t="s">
        <v>9189</v>
      </c>
      <c r="D739" s="3" t="s">
        <v>9141</v>
      </c>
      <c r="E739" s="3" t="s">
        <v>9190</v>
      </c>
      <c r="F739" s="10" t="str">
        <f aca="false">HYPERLINK("https://www.inaturalist.org/people/dsoto99","dsoto99")</f>
        <v>dsoto99</v>
      </c>
      <c r="G739" s="9" t="s">
        <v>13</v>
      </c>
      <c r="H739" s="9" t="s">
        <v>9191</v>
      </c>
    </row>
    <row r="740" customFormat="false" ht="15.75" hidden="false" customHeight="false" outlineLevel="0" collapsed="false">
      <c r="B740" s="7" t="n">
        <v>46222</v>
      </c>
      <c r="C740" s="3" t="s">
        <v>9192</v>
      </c>
      <c r="D740" s="3" t="s">
        <v>9141</v>
      </c>
      <c r="E740" s="3" t="s">
        <v>9193</v>
      </c>
      <c r="F740" s="10" t="str">
        <f aca="false">HYPERLINK("https://www.inaturalist.org/people/senza_","senza_")</f>
        <v>senza_</v>
      </c>
      <c r="G740" s="9" t="s">
        <v>13</v>
      </c>
      <c r="H740" s="9" t="s">
        <v>9194</v>
      </c>
    </row>
    <row r="741" customFormat="false" ht="15.75" hidden="false" customHeight="false" outlineLevel="0" collapsed="false">
      <c r="B741" s="7" t="n">
        <v>46222</v>
      </c>
      <c r="C741" s="3" t="s">
        <v>9195</v>
      </c>
      <c r="D741" s="3" t="s">
        <v>9141</v>
      </c>
      <c r="E741" s="3" t="s">
        <v>9196</v>
      </c>
      <c r="F741" s="10" t="str">
        <f aca="false">HYPERLINK("https://www.inaturalist.org/people/pedrodyuitmex","pedrodyuitmex")</f>
        <v>pedrodyuitmex</v>
      </c>
      <c r="G741" s="9" t="s">
        <v>13</v>
      </c>
      <c r="H741" s="9" t="s">
        <v>9197</v>
      </c>
    </row>
    <row r="742" customFormat="false" ht="15.75" hidden="false" customHeight="false" outlineLevel="0" collapsed="false">
      <c r="B742" s="7" t="n">
        <v>46222</v>
      </c>
      <c r="C742" s="3" t="s">
        <v>9198</v>
      </c>
      <c r="D742" s="3" t="s">
        <v>9141</v>
      </c>
      <c r="E742" s="3" t="s">
        <v>9199</v>
      </c>
      <c r="F742" s="10" t="str">
        <f aca="false">HYPERLINK("https://www.inaturalist.org/people/jorgehvaldez","jorgehvaldez")</f>
        <v>jorgehvaldez</v>
      </c>
      <c r="G742" s="9" t="s">
        <v>13</v>
      </c>
      <c r="H742" s="9" t="s">
        <v>9200</v>
      </c>
    </row>
    <row r="743" customFormat="false" ht="15.75" hidden="false" customHeight="false" outlineLevel="0" collapsed="false">
      <c r="B743" s="7" t="n">
        <v>46222</v>
      </c>
      <c r="C743" s="3" t="s">
        <v>9201</v>
      </c>
      <c r="D743" s="3" t="s">
        <v>9141</v>
      </c>
      <c r="E743" s="3" t="s">
        <v>9202</v>
      </c>
      <c r="F743" s="10" t="str">
        <f aca="false">HYPERLINK("https://www.inaturalist.org/people/reuben85820","reuben85820")</f>
        <v>reuben85820</v>
      </c>
      <c r="G743" s="9" t="s">
        <v>13</v>
      </c>
      <c r="H743" s="9" t="s">
        <v>9203</v>
      </c>
    </row>
    <row r="744" customFormat="false" ht="15.75" hidden="false" customHeight="false" outlineLevel="0" collapsed="false">
      <c r="B744" s="7" t="n">
        <v>46222</v>
      </c>
      <c r="C744" s="3" t="s">
        <v>9204</v>
      </c>
      <c r="D744" s="3" t="s">
        <v>9141</v>
      </c>
      <c r="E744" s="3" t="s">
        <v>9205</v>
      </c>
      <c r="F744" s="10" t="str">
        <f aca="false">HYPERLINK("https://www.inaturalist.org/people/greeganowo","greeganowo")</f>
        <v>greeganowo</v>
      </c>
      <c r="G744" s="9" t="s">
        <v>13</v>
      </c>
      <c r="H744" s="9" t="s">
        <v>9206</v>
      </c>
    </row>
    <row r="745" customFormat="false" ht="15.75" hidden="false" customHeight="false" outlineLevel="0" collapsed="false">
      <c r="B745" s="7" t="n">
        <v>46222</v>
      </c>
      <c r="C745" s="3" t="s">
        <v>9207</v>
      </c>
      <c r="D745" s="3" t="s">
        <v>9141</v>
      </c>
      <c r="E745" s="3" t="s">
        <v>9208</v>
      </c>
      <c r="F745" s="10" t="str">
        <f aca="false">HYPERLINK("https://www.inaturalist.org/people/greeganowo","greeganowo")</f>
        <v>greeganowo</v>
      </c>
      <c r="G745" s="9" t="s">
        <v>13</v>
      </c>
      <c r="H745" s="9" t="s">
        <v>9209</v>
      </c>
    </row>
    <row r="746" customFormat="false" ht="15.75" hidden="false" customHeight="false" outlineLevel="0" collapsed="false">
      <c r="B746" s="7" t="n">
        <v>46222</v>
      </c>
      <c r="C746" s="3" t="s">
        <v>9210</v>
      </c>
      <c r="D746" s="3" t="s">
        <v>9141</v>
      </c>
      <c r="E746" s="3" t="s">
        <v>9211</v>
      </c>
      <c r="F746" s="10" t="str">
        <f aca="false">HYPERLINK("https://www.inaturalist.org/people/jcs13","jcs13")</f>
        <v>jcs13</v>
      </c>
      <c r="G746" s="9" t="s">
        <v>13</v>
      </c>
      <c r="H746" s="9" t="s">
        <v>9212</v>
      </c>
    </row>
    <row r="747" customFormat="false" ht="15.75" hidden="false" customHeight="false" outlineLevel="0" collapsed="false">
      <c r="B747" s="7" t="n">
        <v>46222</v>
      </c>
      <c r="C747" s="3" t="s">
        <v>9213</v>
      </c>
      <c r="D747" s="3" t="s">
        <v>9141</v>
      </c>
      <c r="E747" s="3" t="s">
        <v>9214</v>
      </c>
      <c r="F747" s="10" t="str">
        <f aca="false">HYPERLINK("https://www.inaturalist.org/people/surrealistkate77","surrealistkate77")</f>
        <v>surrealistkate77</v>
      </c>
      <c r="G747" s="9" t="s">
        <v>13</v>
      </c>
      <c r="H747" s="9" t="s">
        <v>9215</v>
      </c>
    </row>
    <row r="748" customFormat="false" ht="15.75" hidden="false" customHeight="false" outlineLevel="0" collapsed="false">
      <c r="B748" s="7" t="n">
        <v>46222</v>
      </c>
      <c r="C748" s="3" t="s">
        <v>9216</v>
      </c>
      <c r="D748" s="3" t="s">
        <v>9141</v>
      </c>
      <c r="E748" s="3" t="s">
        <v>9217</v>
      </c>
      <c r="F748" s="10" t="str">
        <f aca="false">HYPERLINK("https://www.inaturalist.org/people/cherishmarie91","cherishmarie91")</f>
        <v>cherishmarie91</v>
      </c>
      <c r="G748" s="9" t="s">
        <v>13</v>
      </c>
      <c r="H748" s="9" t="s">
        <v>9218</v>
      </c>
    </row>
    <row r="749" customFormat="false" ht="15.75" hidden="false" customHeight="false" outlineLevel="0" collapsed="false">
      <c r="B749" s="7" t="n">
        <v>46222</v>
      </c>
      <c r="C749" s="3" t="s">
        <v>9219</v>
      </c>
      <c r="D749" s="3" t="s">
        <v>9141</v>
      </c>
      <c r="E749" s="3" t="s">
        <v>9220</v>
      </c>
      <c r="F749" s="10" t="str">
        <f aca="false">HYPERLINK("https://www.inaturalist.org/people/biologo99mx","biologo99mx")</f>
        <v>biologo99mx</v>
      </c>
      <c r="G749" s="9" t="s">
        <v>13</v>
      </c>
      <c r="H749" s="9" t="s">
        <v>9221</v>
      </c>
    </row>
    <row r="750" customFormat="false" ht="15.75" hidden="false" customHeight="false" outlineLevel="0" collapsed="false">
      <c r="B750" s="7" t="n">
        <v>46222</v>
      </c>
      <c r="C750" s="3" t="s">
        <v>9222</v>
      </c>
      <c r="D750" s="3" t="s">
        <v>9141</v>
      </c>
      <c r="E750" s="3" t="s">
        <v>9223</v>
      </c>
      <c r="F750" s="10" t="str">
        <f aca="false">HYPERLINK("https://www.inaturalist.org/people/nachiketl","nachiketl")</f>
        <v>nachiketl</v>
      </c>
      <c r="G750" s="9" t="s">
        <v>13</v>
      </c>
      <c r="H750" s="9" t="s">
        <v>9224</v>
      </c>
    </row>
    <row r="751" customFormat="false" ht="15.75" hidden="false" customHeight="false" outlineLevel="0" collapsed="false">
      <c r="B751" s="7" t="n">
        <v>46222</v>
      </c>
      <c r="C751" s="3" t="s">
        <v>9225</v>
      </c>
      <c r="D751" s="3" t="s">
        <v>9141</v>
      </c>
      <c r="E751" s="3" t="s">
        <v>9226</v>
      </c>
      <c r="F751" s="10" t="str">
        <f aca="false">HYPERLINK("https://www.inaturalist.org/people/babivelezrivera","babivelezrivera")</f>
        <v>babivelezrivera</v>
      </c>
      <c r="G751" s="9" t="s">
        <v>13</v>
      </c>
      <c r="H751" s="9" t="s">
        <v>9227</v>
      </c>
    </row>
    <row r="752" customFormat="false" ht="15.75" hidden="false" customHeight="false" outlineLevel="0" collapsed="false">
      <c r="B752" s="7" t="n">
        <v>46222</v>
      </c>
      <c r="C752" s="3" t="s">
        <v>9228</v>
      </c>
      <c r="D752" s="3" t="s">
        <v>9141</v>
      </c>
      <c r="E752" s="3" t="s">
        <v>9229</v>
      </c>
      <c r="F752" s="10" t="str">
        <f aca="false">HYPERLINK("https://www.inaturalist.org/people/keiching","keiching")</f>
        <v>keiching</v>
      </c>
      <c r="G752" s="9" t="s">
        <v>13</v>
      </c>
      <c r="H752" s="9" t="s">
        <v>9230</v>
      </c>
    </row>
    <row r="753" customFormat="false" ht="15.75" hidden="false" customHeight="false" outlineLevel="0" collapsed="false">
      <c r="B753" s="7" t="n">
        <v>46222</v>
      </c>
      <c r="C753" s="3" t="s">
        <v>9231</v>
      </c>
      <c r="D753" s="3" t="s">
        <v>9141</v>
      </c>
      <c r="E753" s="3" t="s">
        <v>9232</v>
      </c>
      <c r="F753" s="10" t="str">
        <f aca="false">HYPERLINK("https://www.inaturalist.org/people/mcameronk","mcameronk")</f>
        <v>mcameronk</v>
      </c>
      <c r="G753" s="9" t="s">
        <v>13</v>
      </c>
      <c r="H753" s="9" t="s">
        <v>9233</v>
      </c>
    </row>
    <row r="754" customFormat="false" ht="15.75" hidden="false" customHeight="false" outlineLevel="0" collapsed="false">
      <c r="B754" s="7" t="n">
        <v>46222</v>
      </c>
      <c r="C754" s="3" t="s">
        <v>9234</v>
      </c>
      <c r="D754" s="3" t="s">
        <v>9141</v>
      </c>
      <c r="E754" s="3" t="s">
        <v>9235</v>
      </c>
      <c r="F754" s="10" t="str">
        <f aca="false">HYPERLINK("https://www.inaturalist.org/people/osoandino","osoandino")</f>
        <v>osoandino</v>
      </c>
      <c r="G754" s="9" t="s">
        <v>13</v>
      </c>
      <c r="H754" s="9" t="s">
        <v>9236</v>
      </c>
    </row>
    <row r="755" customFormat="false" ht="15.75" hidden="false" customHeight="false" outlineLevel="0" collapsed="false">
      <c r="B755" s="7" t="n">
        <v>46222</v>
      </c>
      <c r="C755" s="3" t="s">
        <v>9237</v>
      </c>
      <c r="D755" s="3" t="s">
        <v>9141</v>
      </c>
      <c r="E755" s="3" t="s">
        <v>9238</v>
      </c>
      <c r="F755" s="10" t="str">
        <f aca="false">HYPERLINK("https://www.inaturalist.org/people/capricornis","capricornis")</f>
        <v>capricornis</v>
      </c>
      <c r="G755" s="9" t="s">
        <v>13</v>
      </c>
      <c r="H755" s="9" t="s">
        <v>9239</v>
      </c>
    </row>
    <row r="756" customFormat="false" ht="15.75" hidden="false" customHeight="false" outlineLevel="0" collapsed="false">
      <c r="B756" s="7" t="n">
        <v>46222</v>
      </c>
      <c r="C756" s="3" t="s">
        <v>9240</v>
      </c>
      <c r="D756" s="3" t="s">
        <v>9141</v>
      </c>
      <c r="E756" s="3" t="s">
        <v>9241</v>
      </c>
      <c r="F756" s="10" t="str">
        <f aca="false">HYPERLINK("https://www.inaturalist.org/people/lwridge","lwridge")</f>
        <v>lwridge</v>
      </c>
      <c r="G756" s="9" t="s">
        <v>13</v>
      </c>
      <c r="H756" s="9" t="s">
        <v>9242</v>
      </c>
    </row>
    <row r="757" customFormat="false" ht="15.75" hidden="false" customHeight="false" outlineLevel="0" collapsed="false">
      <c r="B757" s="7" t="n">
        <v>46222</v>
      </c>
      <c r="C757" s="3" t="s">
        <v>9243</v>
      </c>
      <c r="D757" s="3" t="s">
        <v>9141</v>
      </c>
      <c r="E757" s="3" t="s">
        <v>9244</v>
      </c>
      <c r="F757" s="10" t="str">
        <f aca="false">HYPERLINK("https://www.inaturalist.org/people/crotrox","crotrox")</f>
        <v>crotrox</v>
      </c>
      <c r="G757" s="9" t="s">
        <v>13</v>
      </c>
      <c r="H757" s="9" t="s">
        <v>9245</v>
      </c>
    </row>
    <row r="758" customFormat="false" ht="15.75" hidden="false" customHeight="false" outlineLevel="0" collapsed="false">
      <c r="B758" s="7" t="n">
        <v>46222</v>
      </c>
      <c r="C758" s="3" t="s">
        <v>9246</v>
      </c>
      <c r="D758" s="3" t="s">
        <v>9141</v>
      </c>
      <c r="E758" s="3" t="s">
        <v>9247</v>
      </c>
      <c r="F758" s="10" t="str">
        <f aca="false">HYPERLINK("https://www.inaturalist.org/people/andrienette","andrienette")</f>
        <v>andrienette</v>
      </c>
      <c r="G758" s="9" t="s">
        <v>13</v>
      </c>
      <c r="H758" s="9" t="s">
        <v>9248</v>
      </c>
    </row>
    <row r="759" customFormat="false" ht="15.75" hidden="false" customHeight="false" outlineLevel="0" collapsed="false">
      <c r="B759" s="7" t="n">
        <v>46222</v>
      </c>
      <c r="C759" s="3" t="s">
        <v>9249</v>
      </c>
      <c r="D759" s="3" t="s">
        <v>9141</v>
      </c>
      <c r="E759" s="3" t="s">
        <v>9250</v>
      </c>
      <c r="F759" s="10" t="str">
        <f aca="false">HYPERLINK("https://www.inaturalist.org/people/gisel_15","gisel_15")</f>
        <v>gisel_15</v>
      </c>
      <c r="G759" s="9" t="s">
        <v>13</v>
      </c>
      <c r="H759" s="9" t="s">
        <v>9251</v>
      </c>
    </row>
    <row r="760" customFormat="false" ht="15.75" hidden="false" customHeight="false" outlineLevel="0" collapsed="false">
      <c r="B760" s="7" t="n">
        <v>46222</v>
      </c>
      <c r="C760" s="3" t="s">
        <v>9252</v>
      </c>
      <c r="D760" s="3" t="s">
        <v>9141</v>
      </c>
      <c r="E760" s="3" t="s">
        <v>9253</v>
      </c>
      <c r="F760" s="10" t="str">
        <f aca="false">HYPERLINK("https://www.inaturalist.org/people/sandboa","sandboa")</f>
        <v>sandboa</v>
      </c>
      <c r="G760" s="9" t="s">
        <v>13</v>
      </c>
      <c r="H760" s="9" t="s">
        <v>9254</v>
      </c>
    </row>
    <row r="761" customFormat="false" ht="15.75" hidden="false" customHeight="false" outlineLevel="0" collapsed="false">
      <c r="B761" s="7" t="n">
        <v>46222</v>
      </c>
      <c r="C761" s="3" t="s">
        <v>9255</v>
      </c>
      <c r="D761" s="3" t="s">
        <v>9141</v>
      </c>
      <c r="E761" s="3" t="s">
        <v>9256</v>
      </c>
      <c r="F761" s="10" t="str">
        <f aca="false">HYPERLINK("https://www.inaturalist.org/people/ha66890","ha66890")</f>
        <v>ha66890</v>
      </c>
      <c r="G761" s="9" t="s">
        <v>13</v>
      </c>
      <c r="H761" s="9" t="s">
        <v>9257</v>
      </c>
    </row>
    <row r="762" customFormat="false" ht="15.75" hidden="false" customHeight="false" outlineLevel="0" collapsed="false">
      <c r="B762" s="7" t="n">
        <v>46222</v>
      </c>
      <c r="C762" s="3" t="s">
        <v>9258</v>
      </c>
      <c r="D762" s="3" t="s">
        <v>9141</v>
      </c>
      <c r="E762" s="3" t="s">
        <v>9259</v>
      </c>
      <c r="F762" s="10" t="str">
        <f aca="false">HYPERLINK("https://www.inaturalist.org/people/hsincandy","hsincandy")</f>
        <v>hsincandy</v>
      </c>
      <c r="G762" s="9" t="s">
        <v>13</v>
      </c>
      <c r="H762" s="9" t="s">
        <v>9260</v>
      </c>
    </row>
    <row r="763" customFormat="false" ht="15.75" hidden="false" customHeight="false" outlineLevel="0" collapsed="false">
      <c r="B763" s="7" t="n">
        <v>46222</v>
      </c>
      <c r="C763" s="3" t="s">
        <v>9261</v>
      </c>
      <c r="D763" s="3" t="s">
        <v>9141</v>
      </c>
      <c r="E763" s="3" t="s">
        <v>9262</v>
      </c>
      <c r="F763" s="10" t="str">
        <f aca="false">HYPERLINK("https://www.inaturalist.org/people/anirudhsingh","anirudhsingh")</f>
        <v>anirudhsingh</v>
      </c>
      <c r="G763" s="9" t="s">
        <v>13</v>
      </c>
      <c r="H763" s="9" t="s">
        <v>9263</v>
      </c>
    </row>
    <row r="764" customFormat="false" ht="15.75" hidden="false" customHeight="false" outlineLevel="0" collapsed="false">
      <c r="B764" s="7" t="n">
        <v>46222</v>
      </c>
      <c r="C764" s="3" t="s">
        <v>9264</v>
      </c>
      <c r="D764" s="3" t="s">
        <v>9141</v>
      </c>
      <c r="E764" s="3" t="s">
        <v>9265</v>
      </c>
      <c r="F764" s="10" t="str">
        <f aca="false">HYPERLINK("https://www.inaturalist.org/people/ben31520","ben31520")</f>
        <v>ben31520</v>
      </c>
      <c r="G764" s="9" t="s">
        <v>13</v>
      </c>
      <c r="H764" s="9" t="s">
        <v>9266</v>
      </c>
    </row>
    <row r="765" customFormat="false" ht="15.75" hidden="false" customHeight="false" outlineLevel="0" collapsed="false">
      <c r="B765" s="7" t="n">
        <v>46222</v>
      </c>
      <c r="C765" s="3" t="s">
        <v>9267</v>
      </c>
      <c r="D765" s="3" t="s">
        <v>9141</v>
      </c>
      <c r="E765" s="3" t="s">
        <v>9268</v>
      </c>
      <c r="F765" s="10" t="str">
        <f aca="false">HYPERLINK("https://www.inaturalist.org/people/ben31520","ben31520")</f>
        <v>ben31520</v>
      </c>
      <c r="G765" s="9" t="s">
        <v>13</v>
      </c>
      <c r="H765" s="9" t="s">
        <v>9269</v>
      </c>
    </row>
    <row r="766" customFormat="false" ht="15.75" hidden="false" customHeight="false" outlineLevel="0" collapsed="false">
      <c r="B766" s="7" t="n">
        <v>46222</v>
      </c>
      <c r="C766" s="3" t="s">
        <v>9270</v>
      </c>
      <c r="D766" s="3" t="s">
        <v>9141</v>
      </c>
      <c r="E766" s="3" t="s">
        <v>9271</v>
      </c>
      <c r="F766" s="10" t="str">
        <f aca="false">HYPERLINK("https://www.inaturalist.org/people/crochetedjess","crochetedjess")</f>
        <v>crochetedjess</v>
      </c>
      <c r="G766" s="9" t="s">
        <v>13</v>
      </c>
      <c r="H766" s="9" t="s">
        <v>9272</v>
      </c>
    </row>
    <row r="767" customFormat="false" ht="15.75" hidden="false" customHeight="false" outlineLevel="0" collapsed="false">
      <c r="B767" s="7" t="n">
        <v>46222</v>
      </c>
      <c r="C767" s="3" t="s">
        <v>9273</v>
      </c>
      <c r="D767" s="3" t="s">
        <v>9141</v>
      </c>
      <c r="E767" s="3" t="s">
        <v>9274</v>
      </c>
      <c r="F767" s="10" t="str">
        <f aca="false">HYPERLINK("https://www.inaturalist.org/people/bosquenublado","bosquenublado")</f>
        <v>bosquenublado</v>
      </c>
      <c r="G767" s="9" t="s">
        <v>13</v>
      </c>
      <c r="H767" s="9" t="s">
        <v>9275</v>
      </c>
    </row>
    <row r="768" customFormat="false" ht="15.75" hidden="false" customHeight="false" outlineLevel="0" collapsed="false">
      <c r="B768" s="7" t="n">
        <v>46222</v>
      </c>
      <c r="C768" s="3" t="s">
        <v>9276</v>
      </c>
      <c r="D768" s="3" t="s">
        <v>9141</v>
      </c>
      <c r="E768" s="3" t="s">
        <v>9277</v>
      </c>
      <c r="F768" s="10" t="str">
        <f aca="false">HYPERLINK("https://www.inaturalist.org/people/pillansii_tours","pillansii_tours")</f>
        <v>pillansii_tours</v>
      </c>
      <c r="G768" s="9" t="s">
        <v>13</v>
      </c>
      <c r="H768" s="9" t="s">
        <v>9278</v>
      </c>
    </row>
    <row r="769" customFormat="false" ht="15.75" hidden="false" customHeight="false" outlineLevel="0" collapsed="false">
      <c r="B769" s="7" t="n">
        <v>46222</v>
      </c>
      <c r="C769" s="3" t="s">
        <v>9279</v>
      </c>
      <c r="D769" s="3" t="s">
        <v>9141</v>
      </c>
      <c r="E769" s="3" t="s">
        <v>9280</v>
      </c>
      <c r="F769" s="10" t="str">
        <f aca="false">HYPERLINK("https://www.inaturalist.org/people/mrigger","mrigger")</f>
        <v>mrigger</v>
      </c>
      <c r="G769" s="9" t="s">
        <v>13</v>
      </c>
      <c r="H769" s="9" t="s">
        <v>9281</v>
      </c>
    </row>
    <row r="770" customFormat="false" ht="15.75" hidden="false" customHeight="false" outlineLevel="0" collapsed="false">
      <c r="B770" s="7" t="n">
        <v>46222</v>
      </c>
      <c r="C770" s="3" t="s">
        <v>9282</v>
      </c>
      <c r="D770" s="3" t="s">
        <v>9141</v>
      </c>
      <c r="E770" s="3" t="s">
        <v>9283</v>
      </c>
      <c r="F770" s="10" t="str">
        <f aca="false">HYPERLINK("https://www.inaturalist.org/people/morganeeeee","morganeeeee")</f>
        <v>morganeeeee</v>
      </c>
      <c r="G770" s="9" t="s">
        <v>13</v>
      </c>
      <c r="H770" s="9" t="s">
        <v>9284</v>
      </c>
    </row>
    <row r="771" customFormat="false" ht="15.75" hidden="false" customHeight="false" outlineLevel="0" collapsed="false">
      <c r="B771" s="7" t="n">
        <v>46222</v>
      </c>
      <c r="C771" s="3" t="s">
        <v>9285</v>
      </c>
      <c r="D771" s="3" t="s">
        <v>9141</v>
      </c>
      <c r="E771" s="3" t="s">
        <v>9286</v>
      </c>
      <c r="F771" s="10" t="str">
        <f aca="false">HYPERLINK("https://www.inaturalist.org/people/creamnosugar","creamnosugar")</f>
        <v>creamnosugar</v>
      </c>
      <c r="G771" s="9" t="s">
        <v>13</v>
      </c>
      <c r="H771" s="9" t="s">
        <v>9287</v>
      </c>
    </row>
    <row r="772" customFormat="false" ht="15.75" hidden="false" customHeight="false" outlineLevel="0" collapsed="false">
      <c r="B772" s="7" t="n">
        <v>46222</v>
      </c>
      <c r="C772" s="3" t="s">
        <v>9288</v>
      </c>
      <c r="D772" s="3" t="s">
        <v>9141</v>
      </c>
      <c r="E772" s="3" t="s">
        <v>9289</v>
      </c>
      <c r="F772" s="10" t="str">
        <f aca="false">HYPERLINK("https://www.inaturalist.org/people/morganeeeee","morganeeeee")</f>
        <v>morganeeeee</v>
      </c>
      <c r="G772" s="9" t="s">
        <v>13</v>
      </c>
      <c r="H772" s="9" t="s">
        <v>9290</v>
      </c>
    </row>
    <row r="773" customFormat="false" ht="15.75" hidden="false" customHeight="false" outlineLevel="0" collapsed="false">
      <c r="B773" s="7" t="n">
        <v>46222</v>
      </c>
      <c r="C773" s="3" t="s">
        <v>9291</v>
      </c>
      <c r="D773" s="3" t="s">
        <v>9141</v>
      </c>
      <c r="E773" s="3" t="s">
        <v>9292</v>
      </c>
      <c r="F773" s="10" t="str">
        <f aca="false">HYPERLINK("https://www.inaturalist.org/people/morganeeeee","morganeeeee")</f>
        <v>morganeeeee</v>
      </c>
      <c r="G773" s="9" t="s">
        <v>13</v>
      </c>
      <c r="H773" s="9" t="s">
        <v>9293</v>
      </c>
    </row>
    <row r="774" customFormat="false" ht="15.75" hidden="false" customHeight="false" outlineLevel="0" collapsed="false">
      <c r="B774" s="7" t="n">
        <v>46222</v>
      </c>
      <c r="C774" s="3" t="s">
        <v>9294</v>
      </c>
      <c r="D774" s="3" t="s">
        <v>9141</v>
      </c>
      <c r="E774" s="3" t="s">
        <v>9295</v>
      </c>
      <c r="F774" s="10" t="str">
        <f aca="false">HYPERLINK("https://www.inaturalist.org/people/tianyang","tianyang")</f>
        <v>tianyang</v>
      </c>
      <c r="G774" s="9" t="s">
        <v>13</v>
      </c>
      <c r="H774" s="9" t="s">
        <v>9296</v>
      </c>
    </row>
    <row r="775" customFormat="false" ht="15.75" hidden="false" customHeight="false" outlineLevel="0" collapsed="false">
      <c r="B775" s="7" t="n">
        <v>46222</v>
      </c>
      <c r="C775" s="3" t="s">
        <v>9297</v>
      </c>
      <c r="D775" s="3" t="s">
        <v>9141</v>
      </c>
      <c r="E775" s="3" t="s">
        <v>9298</v>
      </c>
      <c r="F775" s="10" t="str">
        <f aca="false">HYPERLINK("https://www.inaturalist.org/people/ismail07","ismail07")</f>
        <v>ismail07</v>
      </c>
      <c r="G775" s="9" t="s">
        <v>13</v>
      </c>
      <c r="H775" s="9" t="s">
        <v>9299</v>
      </c>
    </row>
    <row r="776" customFormat="false" ht="15.75" hidden="false" customHeight="false" outlineLevel="0" collapsed="false">
      <c r="B776" s="7" t="n">
        <v>46222</v>
      </c>
      <c r="C776" s="3" t="s">
        <v>9300</v>
      </c>
      <c r="D776" s="3" t="s">
        <v>9141</v>
      </c>
      <c r="E776" s="3" t="s">
        <v>9301</v>
      </c>
      <c r="F776" s="10" t="str">
        <f aca="false">HYPERLINK("https://www.inaturalist.org/people/mariya_shomina","mariya_shomina")</f>
        <v>mariya_shomina</v>
      </c>
      <c r="G776" s="9" t="s">
        <v>13</v>
      </c>
      <c r="H776" s="9" t="s">
        <v>9302</v>
      </c>
    </row>
    <row r="777" customFormat="false" ht="15.75" hidden="false" customHeight="false" outlineLevel="0" collapsed="false">
      <c r="B777" s="7" t="n">
        <v>46222</v>
      </c>
      <c r="C777" s="3" t="s">
        <v>9303</v>
      </c>
      <c r="D777" s="3" t="s">
        <v>9141</v>
      </c>
      <c r="E777" s="3" t="s">
        <v>9304</v>
      </c>
      <c r="F777" s="10" t="str">
        <f aca="false">HYPERLINK("https://www.inaturalist.org/people/stephenhunter6","stephenhunter6")</f>
        <v>stephenhunter6</v>
      </c>
      <c r="G777" s="9" t="s">
        <v>13</v>
      </c>
      <c r="H777" s="9" t="s">
        <v>9305</v>
      </c>
    </row>
    <row r="778" customFormat="false" ht="15.75" hidden="false" customHeight="false" outlineLevel="0" collapsed="false">
      <c r="B778" s="7" t="n">
        <v>46222</v>
      </c>
      <c r="C778" s="3" t="s">
        <v>9306</v>
      </c>
      <c r="D778" s="3" t="s">
        <v>9141</v>
      </c>
      <c r="E778" s="3" t="s">
        <v>9307</v>
      </c>
      <c r="F778" s="10" t="str">
        <f aca="false">HYPERLINK("https://www.inaturalist.org/people/jbecky","jbecky")</f>
        <v>jbecky</v>
      </c>
      <c r="G778" s="9" t="s">
        <v>13</v>
      </c>
      <c r="H778" s="9" t="s">
        <v>9308</v>
      </c>
    </row>
    <row r="779" customFormat="false" ht="15.75" hidden="false" customHeight="false" outlineLevel="0" collapsed="false">
      <c r="B779" s="7" t="n">
        <v>46222</v>
      </c>
      <c r="C779" s="3" t="s">
        <v>9309</v>
      </c>
      <c r="D779" s="3" t="s">
        <v>9141</v>
      </c>
      <c r="E779" s="3" t="s">
        <v>9310</v>
      </c>
      <c r="F779" s="10" t="str">
        <f aca="false">HYPERLINK("https://www.inaturalist.org/people/saartjie_rocks","saartjie_rocks")</f>
        <v>saartjie_rocks</v>
      </c>
      <c r="G779" s="9" t="s">
        <v>13</v>
      </c>
      <c r="H779" s="9" t="s">
        <v>9311</v>
      </c>
    </row>
    <row r="780" customFormat="false" ht="15.75" hidden="false" customHeight="false" outlineLevel="0" collapsed="false">
      <c r="B780" s="7" t="n">
        <v>46222</v>
      </c>
      <c r="C780" s="3" t="s">
        <v>9312</v>
      </c>
      <c r="D780" s="3" t="s">
        <v>9141</v>
      </c>
      <c r="E780" s="3" t="s">
        <v>9313</v>
      </c>
      <c r="F780" s="10" t="str">
        <f aca="false">HYPERLINK("https://www.inaturalist.org/people/jacintafrancesca","jacintafrancesca")</f>
        <v>jacintafrancesca</v>
      </c>
      <c r="G780" s="9" t="s">
        <v>13</v>
      </c>
      <c r="H780" s="9" t="s">
        <v>9314</v>
      </c>
    </row>
    <row r="781" customFormat="false" ht="15.75" hidden="false" customHeight="false" outlineLevel="0" collapsed="false">
      <c r="B781" s="7" t="n">
        <v>46222</v>
      </c>
      <c r="C781" s="3" t="s">
        <v>9315</v>
      </c>
      <c r="D781" s="3" t="s">
        <v>9141</v>
      </c>
      <c r="E781" s="3" t="s">
        <v>9316</v>
      </c>
      <c r="F781" s="10" t="str">
        <f aca="false">HYPERLINK("https://www.inaturalist.org/people/pharv001","pharv001")</f>
        <v>pharv001</v>
      </c>
      <c r="G781" s="9" t="s">
        <v>13</v>
      </c>
      <c r="H781" s="9" t="s">
        <v>9317</v>
      </c>
    </row>
    <row r="782" customFormat="false" ht="15.75" hidden="false" customHeight="false" outlineLevel="0" collapsed="false">
      <c r="B782" s="7" t="n">
        <v>46222</v>
      </c>
      <c r="C782" s="3" t="s">
        <v>9318</v>
      </c>
      <c r="D782" s="3" t="s">
        <v>9141</v>
      </c>
      <c r="E782" s="3" t="s">
        <v>9319</v>
      </c>
      <c r="F782" s="10" t="str">
        <f aca="false">HYPERLINK("https://www.inaturalist.org/people/gold_crest","gold_crest")</f>
        <v>gold_crest</v>
      </c>
      <c r="G782" s="9" t="s">
        <v>13</v>
      </c>
      <c r="H782" s="9" t="s">
        <v>9320</v>
      </c>
    </row>
    <row r="783" customFormat="false" ht="15.75" hidden="false" customHeight="false" outlineLevel="0" collapsed="false">
      <c r="B783" s="7" t="n">
        <v>46222</v>
      </c>
      <c r="C783" s="3" t="s">
        <v>9321</v>
      </c>
      <c r="D783" s="3" t="s">
        <v>9141</v>
      </c>
      <c r="E783" s="3" t="s">
        <v>9322</v>
      </c>
      <c r="F783" s="10" t="str">
        <f aca="false">HYPERLINK("https://www.inaturalist.org/people/chrihi","chrihi")</f>
        <v>chrihi</v>
      </c>
      <c r="G783" s="9" t="s">
        <v>13</v>
      </c>
      <c r="H783" s="9" t="s">
        <v>9323</v>
      </c>
    </row>
    <row r="784" customFormat="false" ht="15.75" hidden="false" customHeight="false" outlineLevel="0" collapsed="false">
      <c r="B784" s="7" t="n">
        <v>46222</v>
      </c>
      <c r="C784" s="3" t="s">
        <v>9324</v>
      </c>
      <c r="D784" s="3" t="s">
        <v>9141</v>
      </c>
      <c r="E784" s="3" t="s">
        <v>9325</v>
      </c>
      <c r="F784" s="10" t="str">
        <f aca="false">HYPERLINK("https://www.inaturalist.org/people/gold_crest","gold_crest")</f>
        <v>gold_crest</v>
      </c>
      <c r="G784" s="9" t="s">
        <v>13</v>
      </c>
      <c r="H784" s="9" t="s">
        <v>9326</v>
      </c>
    </row>
    <row r="785" customFormat="false" ht="15.75" hidden="false" customHeight="false" outlineLevel="0" collapsed="false">
      <c r="B785" s="7" t="n">
        <v>46222</v>
      </c>
      <c r="C785" s="3" t="s">
        <v>9327</v>
      </c>
      <c r="D785" s="3" t="s">
        <v>9141</v>
      </c>
      <c r="E785" s="3" t="s">
        <v>9328</v>
      </c>
      <c r="F785" s="10" t="str">
        <f aca="false">HYPERLINK("https://www.inaturalist.org/people/ky-an","ky-an")</f>
        <v>ky-an</v>
      </c>
      <c r="G785" s="9" t="s">
        <v>13</v>
      </c>
      <c r="H785" s="9" t="s">
        <v>9329</v>
      </c>
    </row>
    <row r="786" customFormat="false" ht="15.75" hidden="false" customHeight="false" outlineLevel="0" collapsed="false">
      <c r="B786" s="7" t="n">
        <v>46222</v>
      </c>
      <c r="C786" s="3" t="s">
        <v>9330</v>
      </c>
      <c r="D786" s="3" t="s">
        <v>9141</v>
      </c>
      <c r="E786" s="3" t="s">
        <v>9331</v>
      </c>
      <c r="F786" s="10" t="str">
        <f aca="false">HYPERLINK("https://www.inaturalist.org/people/cwlonie","cwlonie")</f>
        <v>cwlonie</v>
      </c>
      <c r="G786" s="9" t="s">
        <v>13</v>
      </c>
      <c r="H786" s="9" t="s">
        <v>9332</v>
      </c>
    </row>
    <row r="787" customFormat="false" ht="15.75" hidden="false" customHeight="false" outlineLevel="0" collapsed="false">
      <c r="B787" s="7" t="n">
        <v>46222</v>
      </c>
      <c r="C787" s="3" t="s">
        <v>9333</v>
      </c>
      <c r="D787" s="3" t="s">
        <v>9141</v>
      </c>
      <c r="E787" s="3" t="s">
        <v>9334</v>
      </c>
      <c r="F787" s="10" t="str">
        <f aca="false">HYPERLINK("https://www.inaturalist.org/people/mas22","mas22")</f>
        <v>mas22</v>
      </c>
      <c r="G787" s="9" t="s">
        <v>13</v>
      </c>
      <c r="H787" s="9" t="s">
        <v>9335</v>
      </c>
    </row>
    <row r="788" customFormat="false" ht="15.75" hidden="false" customHeight="false" outlineLevel="0" collapsed="false">
      <c r="B788" s="7" t="n">
        <v>46222</v>
      </c>
      <c r="C788" s="3" t="s">
        <v>9336</v>
      </c>
      <c r="D788" s="3" t="s">
        <v>9141</v>
      </c>
      <c r="E788" s="3" t="s">
        <v>9337</v>
      </c>
      <c r="F788" s="10" t="str">
        <f aca="false">HYPERLINK("https://www.inaturalist.org/people/lauren55097","lauren55097")</f>
        <v>lauren55097</v>
      </c>
      <c r="G788" s="9" t="s">
        <v>13</v>
      </c>
      <c r="H788" s="9" t="s">
        <v>9338</v>
      </c>
    </row>
    <row r="789" customFormat="false" ht="15.75" hidden="false" customHeight="false" outlineLevel="0" collapsed="false">
      <c r="B789" s="7" t="n">
        <v>46222</v>
      </c>
      <c r="C789" s="3" t="s">
        <v>9339</v>
      </c>
      <c r="D789" s="3" t="s">
        <v>9141</v>
      </c>
      <c r="E789" s="3" t="s">
        <v>9340</v>
      </c>
      <c r="F789" s="10" t="str">
        <f aca="false">HYPERLINK("https://www.inaturalist.org/people/levai","levai")</f>
        <v>levai</v>
      </c>
      <c r="G789" s="9" t="s">
        <v>13</v>
      </c>
      <c r="H789" s="9" t="s">
        <v>9341</v>
      </c>
    </row>
    <row r="790" customFormat="false" ht="15.75" hidden="false" customHeight="false" outlineLevel="0" collapsed="false">
      <c r="B790" s="7" t="n">
        <v>46222</v>
      </c>
      <c r="C790" s="3" t="s">
        <v>9342</v>
      </c>
      <c r="D790" s="3" t="s">
        <v>9141</v>
      </c>
      <c r="E790" s="3" t="s">
        <v>9343</v>
      </c>
      <c r="F790" s="10" t="str">
        <f aca="false">HYPERLINK("https://www.inaturalist.org/people/tadeo","tadeo")</f>
        <v>tadeo</v>
      </c>
      <c r="G790" s="9" t="s">
        <v>13</v>
      </c>
      <c r="H790" s="9" t="s">
        <v>9344</v>
      </c>
    </row>
    <row r="791" customFormat="false" ht="15.75" hidden="false" customHeight="false" outlineLevel="0" collapsed="false">
      <c r="B791" s="7" t="n">
        <v>46222</v>
      </c>
      <c r="C791" s="3" t="s">
        <v>9345</v>
      </c>
      <c r="D791" s="3" t="s">
        <v>9141</v>
      </c>
      <c r="E791" s="3" t="s">
        <v>9346</v>
      </c>
      <c r="F791" s="10" t="str">
        <f aca="false">HYPERLINK("https://www.inaturalist.org/people/mas22","mas22")</f>
        <v>mas22</v>
      </c>
      <c r="G791" s="9" t="s">
        <v>13</v>
      </c>
      <c r="H791" s="9" t="s">
        <v>9347</v>
      </c>
    </row>
    <row r="792" customFormat="false" ht="15.75" hidden="false" customHeight="false" outlineLevel="0" collapsed="false">
      <c r="B792" s="7" t="n">
        <v>46222</v>
      </c>
      <c r="C792" s="3" t="s">
        <v>9348</v>
      </c>
      <c r="D792" s="3" t="s">
        <v>9141</v>
      </c>
      <c r="E792" s="3" t="s">
        <v>9349</v>
      </c>
      <c r="F792" s="10" t="str">
        <f aca="false">HYPERLINK("https://www.inaturalist.org/people/ianmu","ianmu")</f>
        <v>ianmu</v>
      </c>
      <c r="G792" s="9" t="s">
        <v>13</v>
      </c>
      <c r="H792" s="9" t="s">
        <v>9350</v>
      </c>
    </row>
    <row r="793" customFormat="false" ht="15.75" hidden="false" customHeight="false" outlineLevel="0" collapsed="false">
      <c r="B793" s="7" t="n">
        <v>46222</v>
      </c>
      <c r="C793" s="3" t="s">
        <v>9351</v>
      </c>
      <c r="D793" s="3" t="s">
        <v>9141</v>
      </c>
      <c r="E793" s="3" t="s">
        <v>9352</v>
      </c>
      <c r="F793" s="10" t="str">
        <f aca="false">HYPERLINK("https://www.inaturalist.org/people/greeganowo","greeganowo")</f>
        <v>greeganowo</v>
      </c>
      <c r="G793" s="9" t="s">
        <v>13</v>
      </c>
      <c r="H793" s="9" t="s">
        <v>9353</v>
      </c>
    </row>
    <row r="794" customFormat="false" ht="15.75" hidden="false" customHeight="false" outlineLevel="0" collapsed="false">
      <c r="B794" s="7" t="n">
        <v>46222</v>
      </c>
      <c r="C794" s="3" t="s">
        <v>9354</v>
      </c>
      <c r="D794" s="3" t="s">
        <v>9141</v>
      </c>
      <c r="E794" s="3" t="s">
        <v>9355</v>
      </c>
      <c r="F794" s="10" t="str">
        <f aca="false">HYPERLINK("https://www.inaturalist.org/people/greeganowo","greeganowo")</f>
        <v>greeganowo</v>
      </c>
      <c r="G794" s="9" t="s">
        <v>13</v>
      </c>
      <c r="H794" s="9" t="s">
        <v>9356</v>
      </c>
    </row>
    <row r="795" customFormat="false" ht="15.75" hidden="false" customHeight="false" outlineLevel="0" collapsed="false">
      <c r="B795" s="7" t="n">
        <v>46222</v>
      </c>
      <c r="C795" s="3" t="s">
        <v>9357</v>
      </c>
      <c r="D795" s="3" t="s">
        <v>9141</v>
      </c>
      <c r="E795" s="3" t="s">
        <v>9358</v>
      </c>
      <c r="F795" s="10" t="str">
        <f aca="false">HYPERLINK("https://www.inaturalist.org/people/greeganowo","greeganowo")</f>
        <v>greeganowo</v>
      </c>
      <c r="G795" s="9" t="s">
        <v>13</v>
      </c>
      <c r="H795" s="9" t="s">
        <v>9359</v>
      </c>
    </row>
    <row r="796" customFormat="false" ht="15.75" hidden="false" customHeight="false" outlineLevel="0" collapsed="false">
      <c r="B796" s="7" t="n">
        <v>46222</v>
      </c>
      <c r="C796" s="3" t="s">
        <v>9360</v>
      </c>
      <c r="D796" s="3" t="s">
        <v>9141</v>
      </c>
      <c r="E796" s="3" t="s">
        <v>9361</v>
      </c>
      <c r="F796" s="10" t="str">
        <f aca="false">HYPERLINK("https://www.inaturalist.org/people/michaelrecycle","michaelrecycle")</f>
        <v>michaelrecycle</v>
      </c>
      <c r="G796" s="9" t="s">
        <v>13</v>
      </c>
      <c r="H796" s="9" t="s">
        <v>9362</v>
      </c>
    </row>
    <row r="797" customFormat="false" ht="15.75" hidden="false" customHeight="false" outlineLevel="0" collapsed="false">
      <c r="B797" s="7" t="n">
        <v>46222</v>
      </c>
      <c r="C797" s="3" t="s">
        <v>9363</v>
      </c>
      <c r="D797" s="3" t="s">
        <v>9141</v>
      </c>
      <c r="E797" s="3" t="s">
        <v>9364</v>
      </c>
      <c r="F797" s="10" t="str">
        <f aca="false">HYPERLINK("https://www.inaturalist.org/people/aliciacordova07","aliciacordova07")</f>
        <v>aliciacordova07</v>
      </c>
      <c r="G797" s="9" t="s">
        <v>13</v>
      </c>
      <c r="H797" s="9" t="s">
        <v>9365</v>
      </c>
    </row>
    <row r="798" customFormat="false" ht="15.75" hidden="false" customHeight="false" outlineLevel="0" collapsed="false">
      <c r="B798" s="7" t="n">
        <v>46222</v>
      </c>
      <c r="C798" s="3" t="s">
        <v>9366</v>
      </c>
      <c r="D798" s="3" t="s">
        <v>9141</v>
      </c>
      <c r="E798" s="3" t="s">
        <v>9367</v>
      </c>
      <c r="F798" s="10" t="str">
        <f aca="false">HYPERLINK("https://www.inaturalist.org/people/thepigeongirl","thepigeongirl")</f>
        <v>thepigeongirl</v>
      </c>
      <c r="G798" s="9" t="s">
        <v>13</v>
      </c>
      <c r="H798" s="9" t="s">
        <v>9368</v>
      </c>
    </row>
    <row r="799" customFormat="false" ht="15.75" hidden="false" customHeight="false" outlineLevel="0" collapsed="false">
      <c r="B799" s="7" t="n">
        <v>46222</v>
      </c>
      <c r="C799" s="3" t="s">
        <v>9369</v>
      </c>
      <c r="D799" s="3" t="s">
        <v>9141</v>
      </c>
      <c r="E799" s="3" t="s">
        <v>9370</v>
      </c>
      <c r="F799" s="10" t="str">
        <f aca="false">HYPERLINK("https://www.inaturalist.org/people/yichen_g","yichen_g")</f>
        <v>yichen_g</v>
      </c>
      <c r="G799" s="9" t="s">
        <v>13</v>
      </c>
      <c r="H799" s="9" t="s">
        <v>9371</v>
      </c>
    </row>
    <row r="800" customFormat="false" ht="15.75" hidden="false" customHeight="false" outlineLevel="0" collapsed="false">
      <c r="B800" s="7" t="n">
        <v>46222</v>
      </c>
      <c r="C800" s="3" t="s">
        <v>9372</v>
      </c>
      <c r="D800" s="3" t="s">
        <v>9141</v>
      </c>
      <c r="E800" s="3" t="s">
        <v>9373</v>
      </c>
      <c r="F800" s="10" t="str">
        <f aca="false">HYPERLINK("https://www.inaturalist.org/people/yichen_g","yichen_g")</f>
        <v>yichen_g</v>
      </c>
      <c r="G800" s="9" t="s">
        <v>13</v>
      </c>
      <c r="H800" s="9" t="s">
        <v>9374</v>
      </c>
    </row>
    <row r="801" customFormat="false" ht="15.75" hidden="false" customHeight="false" outlineLevel="0" collapsed="false">
      <c r="B801" s="7" t="n">
        <v>46222</v>
      </c>
      <c r="C801" s="3" t="s">
        <v>9375</v>
      </c>
      <c r="D801" s="3" t="s">
        <v>9141</v>
      </c>
      <c r="E801" s="3" t="s">
        <v>9376</v>
      </c>
      <c r="F801" s="10" t="str">
        <f aca="false">HYPERLINK("https://www.inaturalist.org/people/tboves","tboves")</f>
        <v>tboves</v>
      </c>
      <c r="G801" s="9" t="s">
        <v>13</v>
      </c>
      <c r="H801" s="9" t="s">
        <v>9377</v>
      </c>
    </row>
    <row r="802" customFormat="false" ht="15.75" hidden="false" customHeight="false" outlineLevel="0" collapsed="false">
      <c r="B802" s="7" t="n">
        <v>46222</v>
      </c>
      <c r="C802" s="3" t="s">
        <v>9378</v>
      </c>
      <c r="D802" s="3" t="s">
        <v>9141</v>
      </c>
      <c r="E802" s="3" t="s">
        <v>9379</v>
      </c>
      <c r="F802" s="10" t="str">
        <f aca="false">HYPERLINK("https://www.inaturalist.org/people/marcelolemos","marcelolemos")</f>
        <v>marcelolemos</v>
      </c>
      <c r="G802" s="9" t="s">
        <v>13</v>
      </c>
      <c r="H802" s="9" t="s">
        <v>9380</v>
      </c>
    </row>
    <row r="803" customFormat="false" ht="15.75" hidden="false" customHeight="false" outlineLevel="0" collapsed="false">
      <c r="B803" s="7" t="n">
        <v>46222</v>
      </c>
      <c r="C803" s="3" t="s">
        <v>9381</v>
      </c>
      <c r="D803" s="3" t="s">
        <v>9141</v>
      </c>
      <c r="E803" s="3" t="s">
        <v>9382</v>
      </c>
      <c r="F803" s="10" t="str">
        <f aca="false">HYPERLINK("https://www.inaturalist.org/people/matoury51","matoury51")</f>
        <v>matoury51</v>
      </c>
      <c r="G803" s="9" t="s">
        <v>13</v>
      </c>
      <c r="H803" s="9" t="s">
        <v>9383</v>
      </c>
    </row>
    <row r="804" customFormat="false" ht="15.75" hidden="false" customHeight="false" outlineLevel="0" collapsed="false">
      <c r="B804" s="7" t="n">
        <v>46222</v>
      </c>
      <c r="C804" s="3" t="s">
        <v>9384</v>
      </c>
      <c r="D804" s="3" t="s">
        <v>9141</v>
      </c>
      <c r="E804" s="3" t="s">
        <v>9385</v>
      </c>
      <c r="F804" s="10" t="str">
        <f aca="false">HYPERLINK("https://www.inaturalist.org/people/bird58612","bird58612")</f>
        <v>bird58612</v>
      </c>
      <c r="G804" s="9" t="s">
        <v>13</v>
      </c>
      <c r="H804" s="9" t="s">
        <v>9386</v>
      </c>
    </row>
    <row r="805" customFormat="false" ht="15.75" hidden="false" customHeight="false" outlineLevel="0" collapsed="false">
      <c r="B805" s="7" t="n">
        <v>46222</v>
      </c>
      <c r="C805" s="3" t="s">
        <v>9387</v>
      </c>
      <c r="D805" s="3" t="s">
        <v>9141</v>
      </c>
      <c r="E805" s="3" t="s">
        <v>9388</v>
      </c>
      <c r="F805" s="10" t="str">
        <f aca="false">HYPERLINK("https://www.inaturalist.org/people/mas22","mas22")</f>
        <v>mas22</v>
      </c>
      <c r="G805" s="9" t="s">
        <v>13</v>
      </c>
      <c r="H805" s="9" t="s">
        <v>9389</v>
      </c>
    </row>
    <row r="806" customFormat="false" ht="15.75" hidden="false" customHeight="false" outlineLevel="0" collapsed="false">
      <c r="B806" s="7" t="n">
        <v>46222</v>
      </c>
      <c r="C806" s="3" t="s">
        <v>9390</v>
      </c>
      <c r="D806" s="3" t="s">
        <v>9141</v>
      </c>
      <c r="E806" s="3" t="s">
        <v>9391</v>
      </c>
      <c r="F806" s="10" t="str">
        <f aca="false">HYPERLINK("https://www.inaturalist.org/people/mas22","mas22")</f>
        <v>mas22</v>
      </c>
      <c r="G806" s="9" t="s">
        <v>13</v>
      </c>
      <c r="H806" s="9" t="s">
        <v>9392</v>
      </c>
    </row>
    <row r="807" customFormat="false" ht="15.75" hidden="false" customHeight="false" outlineLevel="0" collapsed="false">
      <c r="B807" s="7" t="n">
        <v>46222</v>
      </c>
      <c r="C807" s="3" t="s">
        <v>9393</v>
      </c>
      <c r="D807" s="3" t="s">
        <v>9141</v>
      </c>
      <c r="E807" s="3" t="s">
        <v>9394</v>
      </c>
      <c r="F807" s="10" t="str">
        <f aca="false">HYPERLINK("https://www.inaturalist.org/people/lasersnake_","lasersnake_")</f>
        <v>lasersnake_</v>
      </c>
      <c r="G807" s="9" t="s">
        <v>13</v>
      </c>
      <c r="H807" s="9" t="s">
        <v>9395</v>
      </c>
    </row>
    <row r="808" customFormat="false" ht="15.75" hidden="false" customHeight="false" outlineLevel="0" collapsed="false">
      <c r="B808" s="7" t="n">
        <v>46222</v>
      </c>
      <c r="C808" s="3" t="s">
        <v>9396</v>
      </c>
      <c r="D808" s="3" t="s">
        <v>9141</v>
      </c>
      <c r="E808" s="3" t="s">
        <v>9397</v>
      </c>
      <c r="F808" s="10" t="str">
        <f aca="false">HYPERLINK("https://www.inaturalist.org/people/lasersnake_","lasersnake_")</f>
        <v>lasersnake_</v>
      </c>
      <c r="G808" s="9" t="s">
        <v>13</v>
      </c>
      <c r="H808" s="9" t="s">
        <v>9398</v>
      </c>
    </row>
    <row r="809" customFormat="false" ht="15.75" hidden="false" customHeight="false" outlineLevel="0" collapsed="false">
      <c r="B809" s="7" t="n">
        <v>46222</v>
      </c>
      <c r="C809" s="3" t="s">
        <v>9399</v>
      </c>
      <c r="D809" s="3" t="s">
        <v>9141</v>
      </c>
      <c r="E809" s="3" t="s">
        <v>9400</v>
      </c>
      <c r="F809" s="10" t="str">
        <f aca="false">HYPERLINK("https://www.inaturalist.org/people/mrigger","mrigger")</f>
        <v>mrigger</v>
      </c>
      <c r="G809" s="9" t="s">
        <v>13</v>
      </c>
      <c r="H809" s="9" t="s">
        <v>9401</v>
      </c>
    </row>
    <row r="810" customFormat="false" ht="15.75" hidden="false" customHeight="false" outlineLevel="0" collapsed="false">
      <c r="B810" s="7" t="n">
        <v>46222</v>
      </c>
      <c r="C810" s="3" t="s">
        <v>9402</v>
      </c>
      <c r="D810" s="3" t="s">
        <v>9141</v>
      </c>
      <c r="E810" s="3" t="s">
        <v>9403</v>
      </c>
      <c r="F810" s="10" t="str">
        <f aca="false">HYPERLINK("https://www.inaturalist.org/people/woahhhey","woahhhey")</f>
        <v>woahhhey</v>
      </c>
      <c r="G810" s="9" t="s">
        <v>13</v>
      </c>
      <c r="H810" s="9" t="s">
        <v>9404</v>
      </c>
    </row>
    <row r="811" customFormat="false" ht="15.75" hidden="false" customHeight="false" outlineLevel="0" collapsed="false">
      <c r="B811" s="7" t="n">
        <v>46222</v>
      </c>
      <c r="C811" s="3" t="s">
        <v>9405</v>
      </c>
      <c r="D811" s="3" t="s">
        <v>9141</v>
      </c>
      <c r="E811" s="3" t="s">
        <v>9406</v>
      </c>
      <c r="F811" s="10" t="str">
        <f aca="false">HYPERLINK("https://www.inaturalist.org/people/nandani_bridglal","nandani_bridglal")</f>
        <v>nandani_bridglal</v>
      </c>
      <c r="G811" s="9" t="s">
        <v>13</v>
      </c>
      <c r="H811" s="9" t="s">
        <v>9407</v>
      </c>
    </row>
    <row r="812" customFormat="false" ht="15.75" hidden="false" customHeight="false" outlineLevel="0" collapsed="false">
      <c r="B812" s="7" t="n">
        <v>46222</v>
      </c>
      <c r="C812" s="3" t="s">
        <v>9408</v>
      </c>
      <c r="D812" s="3" t="s">
        <v>9141</v>
      </c>
      <c r="E812" s="3" t="s">
        <v>9409</v>
      </c>
      <c r="F812" s="10" t="str">
        <f aca="false">HYPERLINK("https://www.inaturalist.org/people/tatiana68395","tatiana68395")</f>
        <v>tatiana68395</v>
      </c>
      <c r="G812" s="9" t="s">
        <v>13</v>
      </c>
      <c r="H812" s="9" t="s">
        <v>9410</v>
      </c>
    </row>
    <row r="813" customFormat="false" ht="15.75" hidden="false" customHeight="false" outlineLevel="0" collapsed="false">
      <c r="B813" s="7" t="n">
        <v>46222</v>
      </c>
      <c r="C813" s="3" t="s">
        <v>9411</v>
      </c>
      <c r="D813" s="3" t="s">
        <v>9141</v>
      </c>
      <c r="E813" s="3" t="s">
        <v>9412</v>
      </c>
      <c r="F813" s="10" t="str">
        <f aca="false">HYPERLINK("https://www.inaturalist.org/people/treeguy1234","treeguy1234")</f>
        <v>treeguy1234</v>
      </c>
      <c r="G813" s="9" t="s">
        <v>13</v>
      </c>
      <c r="H813" s="9" t="s">
        <v>9413</v>
      </c>
    </row>
    <row r="814" customFormat="false" ht="15.75" hidden="false" customHeight="false" outlineLevel="0" collapsed="false">
      <c r="B814" s="7" t="n">
        <v>46222</v>
      </c>
      <c r="C814" s="3" t="s">
        <v>9414</v>
      </c>
      <c r="D814" s="3" t="s">
        <v>9141</v>
      </c>
      <c r="E814" s="3" t="s">
        <v>9415</v>
      </c>
      <c r="F814" s="10" t="str">
        <f aca="false">HYPERLINK("https://www.inaturalist.org/people/tatiana68395","tatiana68395")</f>
        <v>tatiana68395</v>
      </c>
      <c r="G814" s="9" t="s">
        <v>13</v>
      </c>
      <c r="H814" s="9" t="s">
        <v>9416</v>
      </c>
    </row>
    <row r="815" customFormat="false" ht="15.75" hidden="false" customHeight="false" outlineLevel="0" collapsed="false">
      <c r="B815" s="7" t="n">
        <v>46222</v>
      </c>
      <c r="C815" s="3" t="s">
        <v>9417</v>
      </c>
      <c r="D815" s="3" t="s">
        <v>9141</v>
      </c>
      <c r="E815" s="3" t="s">
        <v>9418</v>
      </c>
      <c r="F815" s="10" t="str">
        <f aca="false">HYPERLINK("https://www.inaturalist.org/people/laurenlikestrees","laurenlikestrees")</f>
        <v>laurenlikestrees</v>
      </c>
      <c r="G815" s="9" t="s">
        <v>13</v>
      </c>
      <c r="H815" s="9" t="s">
        <v>9419</v>
      </c>
    </row>
    <row r="816" customFormat="false" ht="15.75" hidden="false" customHeight="false" outlineLevel="0" collapsed="false">
      <c r="B816" s="7" t="n">
        <v>46222</v>
      </c>
      <c r="C816" s="3" t="s">
        <v>9420</v>
      </c>
      <c r="D816" s="3" t="s">
        <v>9141</v>
      </c>
      <c r="E816" s="3" t="s">
        <v>9421</v>
      </c>
      <c r="F816" s="10" t="str">
        <f aca="false">HYPERLINK("https://www.inaturalist.org/people/ribamarante","ribamarante")</f>
        <v>ribamarante</v>
      </c>
      <c r="G816" s="9" t="s">
        <v>13</v>
      </c>
      <c r="H816" s="9" t="s">
        <v>9422</v>
      </c>
    </row>
    <row r="817" customFormat="false" ht="15.75" hidden="false" customHeight="false" outlineLevel="0" collapsed="false">
      <c r="B817" s="7" t="n">
        <v>46222</v>
      </c>
      <c r="C817" s="3" t="s">
        <v>9423</v>
      </c>
      <c r="D817" s="3" t="s">
        <v>9141</v>
      </c>
      <c r="E817" s="3" t="s">
        <v>9424</v>
      </c>
      <c r="F817" s="10" t="str">
        <f aca="false">HYPERLINK("https://www.inaturalist.org/people/elsiemclaughlin","elsiemclaughlin")</f>
        <v>elsiemclaughlin</v>
      </c>
      <c r="G817" s="9" t="s">
        <v>13</v>
      </c>
      <c r="H817" s="9" t="s">
        <v>9425</v>
      </c>
    </row>
    <row r="818" customFormat="false" ht="15.75" hidden="false" customHeight="false" outlineLevel="0" collapsed="false">
      <c r="B818" s="7" t="n">
        <v>46222</v>
      </c>
      <c r="C818" s="3" t="s">
        <v>9426</v>
      </c>
      <c r="D818" s="3" t="s">
        <v>9141</v>
      </c>
      <c r="E818" s="3" t="s">
        <v>9427</v>
      </c>
      <c r="F818" s="10" t="str">
        <f aca="false">HYPERLINK("https://www.inaturalist.org/people/sw85","sw85")</f>
        <v>sw85</v>
      </c>
      <c r="G818" s="9" t="s">
        <v>13</v>
      </c>
      <c r="H818" s="9" t="s">
        <v>9428</v>
      </c>
    </row>
    <row r="819" customFormat="false" ht="15.75" hidden="false" customHeight="false" outlineLevel="0" collapsed="false">
      <c r="B819" s="7" t="n">
        <v>46222</v>
      </c>
      <c r="C819" s="3" t="s">
        <v>9429</v>
      </c>
      <c r="D819" s="3" t="s">
        <v>9141</v>
      </c>
      <c r="E819" s="3" t="s">
        <v>9430</v>
      </c>
      <c r="F819" s="10" t="str">
        <f aca="false">HYPERLINK("https://www.inaturalist.org/people/guigzzz","guigzzz")</f>
        <v>guigzzz</v>
      </c>
      <c r="G819" s="9" t="s">
        <v>13</v>
      </c>
      <c r="H819" s="9" t="s">
        <v>9431</v>
      </c>
    </row>
    <row r="820" customFormat="false" ht="15.75" hidden="false" customHeight="false" outlineLevel="0" collapsed="false">
      <c r="B820" s="7" t="n">
        <v>46222</v>
      </c>
      <c r="C820" s="3" t="s">
        <v>9432</v>
      </c>
      <c r="D820" s="3" t="s">
        <v>9141</v>
      </c>
      <c r="E820" s="3" t="s">
        <v>9433</v>
      </c>
      <c r="F820" s="10" t="str">
        <f aca="false">HYPERLINK("https://www.inaturalist.org/people/aidancampos","aidancampos")</f>
        <v>aidancampos</v>
      </c>
      <c r="G820" s="9" t="s">
        <v>13</v>
      </c>
      <c r="H820" s="9" t="s">
        <v>9434</v>
      </c>
    </row>
    <row r="821" customFormat="false" ht="15.75" hidden="false" customHeight="false" outlineLevel="0" collapsed="false">
      <c r="B821" s="7" t="n">
        <v>46222</v>
      </c>
      <c r="C821" s="3" t="s">
        <v>9435</v>
      </c>
      <c r="D821" s="3" t="s">
        <v>9141</v>
      </c>
      <c r="E821" s="3" t="s">
        <v>9436</v>
      </c>
      <c r="F821" s="10" t="str">
        <f aca="false">HYPERLINK("https://www.inaturalist.org/people/vireosylva","vireosylva")</f>
        <v>vireosylva</v>
      </c>
      <c r="G821" s="9" t="s">
        <v>13</v>
      </c>
      <c r="H821" s="9" t="s">
        <v>9437</v>
      </c>
    </row>
    <row r="822" customFormat="false" ht="15.75" hidden="false" customHeight="false" outlineLevel="0" collapsed="false">
      <c r="B822" s="7" t="n">
        <v>46222</v>
      </c>
      <c r="C822" s="3" t="s">
        <v>9438</v>
      </c>
      <c r="D822" s="3" t="s">
        <v>9141</v>
      </c>
      <c r="E822" s="3" t="s">
        <v>9439</v>
      </c>
      <c r="F822" s="10" t="str">
        <f aca="false">HYPERLINK("https://www.inaturalist.org/people/tatemcallen","tatemcallen")</f>
        <v>tatemcallen</v>
      </c>
      <c r="G822" s="9" t="s">
        <v>13</v>
      </c>
      <c r="H822" s="9" t="s">
        <v>9440</v>
      </c>
    </row>
    <row r="823" customFormat="false" ht="15.75" hidden="false" customHeight="false" outlineLevel="0" collapsed="false">
      <c r="B823" s="7" t="n">
        <v>46222</v>
      </c>
      <c r="C823" s="3" t="s">
        <v>9441</v>
      </c>
      <c r="D823" s="3" t="s">
        <v>9141</v>
      </c>
      <c r="E823" s="3" t="s">
        <v>9442</v>
      </c>
      <c r="F823" s="10" t="str">
        <f aca="false">HYPERLINK("https://www.inaturalist.org/people/elfotador","elfotador")</f>
        <v>elfotador</v>
      </c>
      <c r="G823" s="9" t="s">
        <v>13</v>
      </c>
      <c r="H823" s="9" t="s">
        <v>9443</v>
      </c>
    </row>
    <row r="824" customFormat="false" ht="15.75" hidden="false" customHeight="false" outlineLevel="0" collapsed="false">
      <c r="B824" s="7" t="n">
        <v>46222</v>
      </c>
      <c r="C824" s="3" t="s">
        <v>9444</v>
      </c>
      <c r="D824" s="3" t="s">
        <v>9141</v>
      </c>
      <c r="E824" s="3" t="s">
        <v>9445</v>
      </c>
      <c r="F824" s="10" t="str">
        <f aca="false">HYPERLINK("https://www.inaturalist.org/people/jose_rosario_soto","jose_rosario_soto")</f>
        <v>jose_rosario_soto</v>
      </c>
      <c r="G824" s="9" t="s">
        <v>13</v>
      </c>
      <c r="H824" s="9" t="s">
        <v>9446</v>
      </c>
    </row>
    <row r="825" customFormat="false" ht="15.75" hidden="false" customHeight="false" outlineLevel="0" collapsed="false">
      <c r="B825" s="7" t="n">
        <v>46222</v>
      </c>
      <c r="C825" s="3" t="s">
        <v>9447</v>
      </c>
      <c r="D825" s="3" t="s">
        <v>9141</v>
      </c>
      <c r="E825" s="3" t="s">
        <v>9448</v>
      </c>
      <c r="F825" s="10" t="str">
        <f aca="false">HYPERLINK("https://www.inaturalist.org/people/joe42871","joe42871")</f>
        <v>joe42871</v>
      </c>
      <c r="G825" s="9" t="s">
        <v>13</v>
      </c>
      <c r="H825" s="9" t="s">
        <v>9449</v>
      </c>
    </row>
    <row r="826" customFormat="false" ht="15.75" hidden="false" customHeight="false" outlineLevel="0" collapsed="false">
      <c r="B826" s="7" t="n">
        <v>46222</v>
      </c>
      <c r="C826" s="3" t="s">
        <v>9450</v>
      </c>
      <c r="D826" s="3" t="s">
        <v>9141</v>
      </c>
      <c r="E826" s="3" t="s">
        <v>9451</v>
      </c>
      <c r="F826" s="10" t="str">
        <f aca="false">HYPERLINK("https://www.inaturalist.org/people/antye","antye")</f>
        <v>antye</v>
      </c>
      <c r="G826" s="9" t="s">
        <v>13</v>
      </c>
      <c r="H826" s="9" t="s">
        <v>9452</v>
      </c>
    </row>
    <row r="827" customFormat="false" ht="15.75" hidden="false" customHeight="false" outlineLevel="0" collapsed="false">
      <c r="B827" s="7" t="n">
        <v>46222</v>
      </c>
      <c r="C827" s="3" t="s">
        <v>9453</v>
      </c>
      <c r="D827" s="3" t="s">
        <v>9141</v>
      </c>
      <c r="E827" s="3" t="s">
        <v>9454</v>
      </c>
      <c r="F827" s="10" t="str">
        <f aca="false">HYPERLINK("https://www.inaturalist.org/people/a18255","a18255")</f>
        <v>a18255</v>
      </c>
      <c r="G827" s="9" t="s">
        <v>13</v>
      </c>
      <c r="H827" s="9" t="s">
        <v>9455</v>
      </c>
    </row>
    <row r="828" customFormat="false" ht="15.75" hidden="false" customHeight="false" outlineLevel="0" collapsed="false">
      <c r="B828" s="7" t="n">
        <v>46222</v>
      </c>
      <c r="C828" s="3" t="s">
        <v>9456</v>
      </c>
      <c r="D828" s="3" t="s">
        <v>9141</v>
      </c>
      <c r="E828" s="3" t="s">
        <v>9457</v>
      </c>
      <c r="F828" s="10" t="str">
        <f aca="false">HYPERLINK("https://www.inaturalist.org/people/andres2399","andres2399")</f>
        <v>andres2399</v>
      </c>
      <c r="G828" s="9" t="s">
        <v>13</v>
      </c>
      <c r="H828" s="9" t="s">
        <v>9458</v>
      </c>
    </row>
    <row r="829" customFormat="false" ht="15.75" hidden="false" customHeight="false" outlineLevel="0" collapsed="false">
      <c r="B829" s="7" t="n">
        <v>46222</v>
      </c>
      <c r="C829" s="3" t="s">
        <v>9459</v>
      </c>
      <c r="D829" s="3" t="s">
        <v>9141</v>
      </c>
      <c r="E829" s="3" t="s">
        <v>9460</v>
      </c>
      <c r="F829" s="10" t="str">
        <f aca="false">HYPERLINK("https://www.inaturalist.org/people/salamandersquad","salamandersquad")</f>
        <v>salamandersquad</v>
      </c>
      <c r="G829" s="9" t="s">
        <v>13</v>
      </c>
      <c r="H829" s="9" t="s">
        <v>9461</v>
      </c>
    </row>
    <row r="830" customFormat="false" ht="15.75" hidden="false" customHeight="false" outlineLevel="0" collapsed="false">
      <c r="B830" s="7" t="n">
        <v>46222</v>
      </c>
      <c r="C830" s="3" t="s">
        <v>9462</v>
      </c>
      <c r="D830" s="3" t="s">
        <v>9141</v>
      </c>
      <c r="E830" s="3" t="s">
        <v>9463</v>
      </c>
      <c r="F830" s="10" t="str">
        <f aca="false">HYPERLINK("https://www.inaturalist.org/people/manuelprez","manuelprez")</f>
        <v>manuelprez</v>
      </c>
      <c r="G830" s="9" t="s">
        <v>13</v>
      </c>
      <c r="H830" s="9" t="s">
        <v>9464</v>
      </c>
    </row>
    <row r="831" customFormat="false" ht="15.75" hidden="false" customHeight="false" outlineLevel="0" collapsed="false">
      <c r="B831" s="7" t="n">
        <v>46222</v>
      </c>
      <c r="C831" s="3" t="s">
        <v>9465</v>
      </c>
      <c r="D831" s="3" t="s">
        <v>9141</v>
      </c>
      <c r="E831" s="3" t="s">
        <v>9466</v>
      </c>
      <c r="F831" s="10" t="str">
        <f aca="false">HYPERLINK("https://www.inaturalist.org/people/peterschwartz","peterschwartz")</f>
        <v>peterschwartz</v>
      </c>
      <c r="G831" s="9" t="s">
        <v>13</v>
      </c>
      <c r="H831" s="9" t="s">
        <v>9467</v>
      </c>
    </row>
    <row r="832" customFormat="false" ht="15.75" hidden="false" customHeight="false" outlineLevel="0" collapsed="false">
      <c r="B832" s="7" t="n">
        <v>46222</v>
      </c>
      <c r="C832" s="3" t="s">
        <v>9468</v>
      </c>
      <c r="D832" s="3" t="s">
        <v>9141</v>
      </c>
      <c r="E832" s="3" t="s">
        <v>9469</v>
      </c>
      <c r="F832" s="10" t="str">
        <f aca="false">HYPERLINK("https://www.inaturalist.org/people/gianna_salamanca","gianna_salamanca")</f>
        <v>gianna_salamanca</v>
      </c>
      <c r="G832" s="9" t="s">
        <v>13</v>
      </c>
      <c r="H832" s="9" t="s">
        <v>9470</v>
      </c>
    </row>
    <row r="833" customFormat="false" ht="15.75" hidden="false" customHeight="false" outlineLevel="0" collapsed="false">
      <c r="B833" s="7" t="n">
        <v>46222</v>
      </c>
      <c r="C833" s="3" t="s">
        <v>9471</v>
      </c>
      <c r="D833" s="3" t="s">
        <v>9141</v>
      </c>
      <c r="E833" s="3" t="s">
        <v>9472</v>
      </c>
      <c r="F833" s="10" t="str">
        <f aca="false">HYPERLINK("https://www.inaturalist.org/people/aliciacordova07","aliciacordova07")</f>
        <v>aliciacordova07</v>
      </c>
      <c r="G833" s="9" t="s">
        <v>13</v>
      </c>
      <c r="H833" s="9" t="s">
        <v>9473</v>
      </c>
    </row>
    <row r="834" customFormat="false" ht="15.75" hidden="false" customHeight="false" outlineLevel="0" collapsed="false">
      <c r="B834" s="7" t="n">
        <v>46222</v>
      </c>
      <c r="C834" s="3" t="s">
        <v>9474</v>
      </c>
      <c r="D834" s="3" t="s">
        <v>9141</v>
      </c>
      <c r="E834" s="3" t="s">
        <v>9475</v>
      </c>
      <c r="F834" s="10" t="str">
        <f aca="false">HYPERLINK("https://www.inaturalist.org/people/madzdupreez","madzdupreez")</f>
        <v>madzdupreez</v>
      </c>
      <c r="G834" s="9" t="s">
        <v>13</v>
      </c>
      <c r="H834" s="9" t="s">
        <v>9476</v>
      </c>
    </row>
    <row r="835" customFormat="false" ht="15.75" hidden="false" customHeight="false" outlineLevel="0" collapsed="false">
      <c r="B835" s="7" t="n">
        <v>46222</v>
      </c>
      <c r="C835" s="3" t="s">
        <v>9477</v>
      </c>
      <c r="D835" s="3" t="s">
        <v>9141</v>
      </c>
      <c r="E835" s="3" t="s">
        <v>9478</v>
      </c>
      <c r="F835" s="10" t="str">
        <f aca="false">HYPERLINK("https://www.inaturalist.org/people/montsec","montsec")</f>
        <v>montsec</v>
      </c>
      <c r="G835" s="9" t="s">
        <v>13</v>
      </c>
      <c r="H835" s="9" t="s">
        <v>9479</v>
      </c>
    </row>
    <row r="836" customFormat="false" ht="15.75" hidden="false" customHeight="false" outlineLevel="0" collapsed="false">
      <c r="B836" s="7" t="n">
        <v>46222</v>
      </c>
      <c r="C836" s="3" t="s">
        <v>9480</v>
      </c>
      <c r="D836" s="3" t="s">
        <v>9141</v>
      </c>
      <c r="E836" s="3" t="s">
        <v>9481</v>
      </c>
      <c r="F836" s="10" t="str">
        <f aca="false">HYPERLINK("https://www.inaturalist.org/people/vary185","vary185")</f>
        <v>vary185</v>
      </c>
      <c r="G836" s="9" t="s">
        <v>13</v>
      </c>
      <c r="H836" s="9" t="s">
        <v>9482</v>
      </c>
    </row>
    <row r="837" customFormat="false" ht="15.75" hidden="false" customHeight="false" outlineLevel="0" collapsed="false">
      <c r="B837" s="7" t="n">
        <v>46222</v>
      </c>
      <c r="C837" s="3" t="s">
        <v>9483</v>
      </c>
      <c r="D837" s="3" t="s">
        <v>9141</v>
      </c>
      <c r="E837" s="3" t="s">
        <v>9484</v>
      </c>
      <c r="F837" s="10" t="str">
        <f aca="false">HYPERLINK("https://www.inaturalist.org/people/ptrimbo","ptrimbo")</f>
        <v>ptrimbo</v>
      </c>
      <c r="G837" s="9" t="s">
        <v>13</v>
      </c>
      <c r="H837" s="9" t="s">
        <v>9485</v>
      </c>
    </row>
    <row r="838" customFormat="false" ht="15.75" hidden="false" customHeight="false" outlineLevel="0" collapsed="false">
      <c r="B838" s="7" t="n">
        <v>46222</v>
      </c>
      <c r="C838" s="3" t="s">
        <v>9486</v>
      </c>
      <c r="D838" s="3" t="s">
        <v>9141</v>
      </c>
      <c r="E838" s="3" t="s">
        <v>9487</v>
      </c>
      <c r="F838" s="10" t="str">
        <f aca="false">HYPERLINK("https://www.inaturalist.org/people/ebarriosmmdocente","ebarriosmmdocente")</f>
        <v>ebarriosmmdocente</v>
      </c>
      <c r="G838" s="9" t="s">
        <v>13</v>
      </c>
      <c r="H838" s="9" t="s">
        <v>9488</v>
      </c>
    </row>
    <row r="839" customFormat="false" ht="15.75" hidden="false" customHeight="false" outlineLevel="0" collapsed="false">
      <c r="B839" s="7" t="n">
        <v>46222</v>
      </c>
      <c r="C839" s="3" t="s">
        <v>9489</v>
      </c>
      <c r="D839" s="3" t="s">
        <v>9141</v>
      </c>
      <c r="E839" s="3" t="s">
        <v>9490</v>
      </c>
      <c r="F839" s="10" t="str">
        <f aca="false">HYPERLINK("https://www.inaturalist.org/people/krzysier","krzysier")</f>
        <v>krzysier</v>
      </c>
      <c r="G839" s="9" t="s">
        <v>13</v>
      </c>
      <c r="H839" s="9" t="s">
        <v>9491</v>
      </c>
    </row>
    <row r="840" customFormat="false" ht="15.75" hidden="false" customHeight="false" outlineLevel="0" collapsed="false">
      <c r="B840" s="7" t="n">
        <v>46222</v>
      </c>
      <c r="C840" s="3" t="s">
        <v>9492</v>
      </c>
      <c r="D840" s="3" t="s">
        <v>9141</v>
      </c>
      <c r="E840" s="3" t="s">
        <v>9493</v>
      </c>
      <c r="F840" s="10" t="str">
        <f aca="false">HYPERLINK("https://www.inaturalist.org/people/meade_freeman","meade_freeman")</f>
        <v>meade_freeman</v>
      </c>
      <c r="G840" s="9" t="s">
        <v>13</v>
      </c>
      <c r="H840" s="9" t="s">
        <v>9494</v>
      </c>
    </row>
    <row r="841" customFormat="false" ht="15.75" hidden="false" customHeight="false" outlineLevel="0" collapsed="false">
      <c r="B841" s="7" t="n">
        <v>46222</v>
      </c>
      <c r="C841" s="3" t="s">
        <v>9495</v>
      </c>
      <c r="D841" s="3" t="s">
        <v>9141</v>
      </c>
      <c r="E841" s="3" t="s">
        <v>9496</v>
      </c>
      <c r="F841" s="10" t="str">
        <f aca="false">HYPERLINK("https://www.inaturalist.org/people/cw_newt","cw_newt")</f>
        <v>cw_newt</v>
      </c>
      <c r="G841" s="9" t="s">
        <v>13</v>
      </c>
      <c r="H841" s="9" t="s">
        <v>9497</v>
      </c>
    </row>
    <row r="842" customFormat="false" ht="15.75" hidden="false" customHeight="false" outlineLevel="0" collapsed="false">
      <c r="B842" s="7" t="n">
        <v>46222</v>
      </c>
      <c r="C842" s="3" t="s">
        <v>9498</v>
      </c>
      <c r="D842" s="3" t="s">
        <v>9141</v>
      </c>
      <c r="E842" s="3" t="s">
        <v>9499</v>
      </c>
      <c r="F842" s="10" t="str">
        <f aca="false">HYPERLINK("https://www.inaturalist.org/people/tinykmy","tinykmy")</f>
        <v>tinykmy</v>
      </c>
      <c r="G842" s="9" t="s">
        <v>13</v>
      </c>
      <c r="H842" s="9" t="s">
        <v>9500</v>
      </c>
    </row>
    <row r="843" customFormat="false" ht="15.75" hidden="false" customHeight="false" outlineLevel="0" collapsed="false">
      <c r="B843" s="7" t="n">
        <v>46222</v>
      </c>
      <c r="C843" s="3" t="s">
        <v>9501</v>
      </c>
      <c r="D843" s="3" t="s">
        <v>9141</v>
      </c>
      <c r="E843" s="3" t="s">
        <v>9502</v>
      </c>
      <c r="F843" s="10" t="str">
        <f aca="false">HYPERLINK("https://www.inaturalist.org/people/tinykmy","tinykmy")</f>
        <v>tinykmy</v>
      </c>
      <c r="G843" s="9" t="s">
        <v>13</v>
      </c>
      <c r="H843" s="9" t="s">
        <v>9503</v>
      </c>
    </row>
    <row r="844" customFormat="false" ht="15.75" hidden="false" customHeight="false" outlineLevel="0" collapsed="false">
      <c r="B844" s="7" t="n">
        <v>46222</v>
      </c>
      <c r="C844" s="3" t="s">
        <v>9504</v>
      </c>
      <c r="D844" s="3" t="s">
        <v>9141</v>
      </c>
      <c r="E844" s="3" t="s">
        <v>9505</v>
      </c>
      <c r="F844" s="10" t="str">
        <f aca="false">HYPERLINK("https://www.inaturalist.org/people/tinykmy","tinykmy")</f>
        <v>tinykmy</v>
      </c>
      <c r="G844" s="9" t="s">
        <v>13</v>
      </c>
      <c r="H844" s="9" t="s">
        <v>9506</v>
      </c>
    </row>
    <row r="845" customFormat="false" ht="15.75" hidden="false" customHeight="false" outlineLevel="0" collapsed="false">
      <c r="B845" s="7" t="n">
        <v>46222</v>
      </c>
      <c r="C845" s="3" t="s">
        <v>9507</v>
      </c>
      <c r="D845" s="3" t="s">
        <v>9141</v>
      </c>
      <c r="E845" s="3" t="s">
        <v>9508</v>
      </c>
      <c r="F845" s="10" t="str">
        <f aca="false">HYPERLINK("https://www.inaturalist.org/people/milohongo76","milohongo76")</f>
        <v>milohongo76</v>
      </c>
      <c r="G845" s="9" t="s">
        <v>13</v>
      </c>
      <c r="H845" s="9" t="s">
        <v>9509</v>
      </c>
    </row>
    <row r="846" customFormat="false" ht="15.75" hidden="false" customHeight="false" outlineLevel="0" collapsed="false">
      <c r="B846" s="7" t="n">
        <v>46222</v>
      </c>
      <c r="C846" s="3" t="s">
        <v>9510</v>
      </c>
      <c r="D846" s="3" t="s">
        <v>9141</v>
      </c>
      <c r="E846" s="3" t="s">
        <v>9511</v>
      </c>
      <c r="F846" s="10" t="str">
        <f aca="false">HYPERLINK("https://www.inaturalist.org/people/eu_clarinhaa_s","eu_clarinhaa_s")</f>
        <v>eu_clarinhaa_s</v>
      </c>
      <c r="G846" s="9" t="s">
        <v>13</v>
      </c>
      <c r="H846" s="9" t="s">
        <v>9512</v>
      </c>
    </row>
    <row r="847" customFormat="false" ht="15.75" hidden="false" customHeight="false" outlineLevel="0" collapsed="false">
      <c r="B847" s="7" t="n">
        <v>46222</v>
      </c>
      <c r="C847" s="3" t="s">
        <v>9513</v>
      </c>
      <c r="D847" s="3" t="s">
        <v>9141</v>
      </c>
      <c r="E847" s="3" t="s">
        <v>9514</v>
      </c>
      <c r="F847" s="10" t="str">
        <f aca="false">HYPERLINK("https://www.inaturalist.org/people/dirk_walls","dirk_walls")</f>
        <v>dirk_walls</v>
      </c>
      <c r="G847" s="9" t="s">
        <v>13</v>
      </c>
      <c r="H847" s="9" t="s">
        <v>9515</v>
      </c>
    </row>
    <row r="848" customFormat="false" ht="15.75" hidden="false" customHeight="false" outlineLevel="0" collapsed="false">
      <c r="B848" s="7" t="n">
        <v>46222</v>
      </c>
      <c r="C848" s="3" t="s">
        <v>9516</v>
      </c>
      <c r="D848" s="3" t="s">
        <v>9141</v>
      </c>
      <c r="E848" s="3" t="s">
        <v>9517</v>
      </c>
      <c r="F848" s="10" t="str">
        <f aca="false">HYPERLINK("https://www.inaturalist.org/people/deon72452","deon72452")</f>
        <v>deon72452</v>
      </c>
      <c r="G848" s="9" t="s">
        <v>13</v>
      </c>
      <c r="H848" s="9" t="s">
        <v>9518</v>
      </c>
    </row>
    <row r="849" customFormat="false" ht="15.75" hidden="false" customHeight="false" outlineLevel="0" collapsed="false">
      <c r="B849" s="7" t="n">
        <v>46222</v>
      </c>
      <c r="C849" s="3" t="s">
        <v>9519</v>
      </c>
      <c r="D849" s="3" t="s">
        <v>9141</v>
      </c>
      <c r="E849" s="3" t="s">
        <v>9520</v>
      </c>
      <c r="F849" s="10" t="str">
        <f aca="false">HYPERLINK("https://www.inaturalist.org/people/charlesavenengo","charlesavenengo")</f>
        <v>charlesavenengo</v>
      </c>
      <c r="G849" s="9" t="s">
        <v>13</v>
      </c>
      <c r="H849" s="9" t="s">
        <v>9521</v>
      </c>
    </row>
    <row r="850" customFormat="false" ht="15.75" hidden="false" customHeight="false" outlineLevel="0" collapsed="false">
      <c r="B850" s="7" t="n">
        <v>46222</v>
      </c>
      <c r="C850" s="3" t="s">
        <v>9522</v>
      </c>
      <c r="D850" s="3" t="s">
        <v>9141</v>
      </c>
      <c r="E850" s="3" t="s">
        <v>9523</v>
      </c>
      <c r="F850" s="10" t="str">
        <f aca="false">HYPERLINK("https://www.inaturalist.org/people/bruce_crouch","bruce_crouch")</f>
        <v>bruce_crouch</v>
      </c>
      <c r="G850" s="9" t="s">
        <v>13</v>
      </c>
      <c r="H850" s="9" t="s">
        <v>9524</v>
      </c>
    </row>
    <row r="851" customFormat="false" ht="15.75" hidden="false" customHeight="false" outlineLevel="0" collapsed="false">
      <c r="B851" s="7" t="n">
        <v>46222</v>
      </c>
      <c r="C851" s="3" t="s">
        <v>9525</v>
      </c>
      <c r="D851" s="3" t="s">
        <v>9141</v>
      </c>
      <c r="E851" s="3" t="s">
        <v>9526</v>
      </c>
      <c r="F851" s="10" t="str">
        <f aca="false">HYPERLINK("https://www.inaturalist.org/people/maxime22740","maxime22740")</f>
        <v>maxime22740</v>
      </c>
      <c r="G851" s="9" t="s">
        <v>13</v>
      </c>
      <c r="H851" s="9" t="s">
        <v>9527</v>
      </c>
    </row>
    <row r="852" customFormat="false" ht="15.75" hidden="false" customHeight="false" outlineLevel="0" collapsed="false">
      <c r="B852" s="7" t="n">
        <v>46222</v>
      </c>
      <c r="C852" s="3" t="s">
        <v>9528</v>
      </c>
      <c r="D852" s="3" t="s">
        <v>9141</v>
      </c>
      <c r="E852" s="3" t="s">
        <v>9529</v>
      </c>
      <c r="F852" s="10" t="str">
        <f aca="false">HYPERLINK("https://www.inaturalist.org/people/leogio6","leogio6")</f>
        <v>leogio6</v>
      </c>
      <c r="G852" s="9" t="s">
        <v>13</v>
      </c>
      <c r="H852" s="9" t="s">
        <v>9530</v>
      </c>
    </row>
    <row r="853" customFormat="false" ht="15.75" hidden="false" customHeight="false" outlineLevel="0" collapsed="false">
      <c r="B853" s="7" t="n">
        <v>46222</v>
      </c>
      <c r="C853" s="3" t="s">
        <v>9531</v>
      </c>
      <c r="D853" s="3" t="s">
        <v>9141</v>
      </c>
      <c r="E853" s="3" t="s">
        <v>9532</v>
      </c>
      <c r="F853" s="10" t="str">
        <f aca="false">HYPERLINK("https://www.inaturalist.org/people/lukaz123","lukaz123")</f>
        <v>lukaz123</v>
      </c>
      <c r="G853" s="9" t="s">
        <v>13</v>
      </c>
      <c r="H853" s="9" t="s">
        <v>9533</v>
      </c>
    </row>
    <row r="854" customFormat="false" ht="15.75" hidden="false" customHeight="false" outlineLevel="0" collapsed="false">
      <c r="B854" s="7" t="n">
        <v>46222</v>
      </c>
      <c r="C854" s="3" t="s">
        <v>9534</v>
      </c>
      <c r="D854" s="3" t="s">
        <v>9141</v>
      </c>
      <c r="E854" s="3" t="s">
        <v>9535</v>
      </c>
      <c r="F854" s="10" t="str">
        <f aca="false">HYPERLINK("https://www.inaturalist.org/people/jimjimjim","jimjimjim")</f>
        <v>jimjimjim</v>
      </c>
      <c r="G854" s="9" t="s">
        <v>13</v>
      </c>
      <c r="H854" s="9" t="s">
        <v>9536</v>
      </c>
    </row>
    <row r="855" customFormat="false" ht="15.75" hidden="false" customHeight="false" outlineLevel="0" collapsed="false">
      <c r="B855" s="7" t="n">
        <v>46222</v>
      </c>
      <c r="C855" s="3" t="s">
        <v>9537</v>
      </c>
      <c r="D855" s="3" t="s">
        <v>9141</v>
      </c>
      <c r="E855" s="3" t="s">
        <v>9538</v>
      </c>
      <c r="F855" s="10" t="str">
        <f aca="false">HYPERLINK("https://www.inaturalist.org/people/james193738","james193738")</f>
        <v>james193738</v>
      </c>
      <c r="G855" s="9" t="s">
        <v>13</v>
      </c>
      <c r="H855" s="9" t="s">
        <v>9539</v>
      </c>
    </row>
    <row r="856" customFormat="false" ht="15.75" hidden="false" customHeight="false" outlineLevel="0" collapsed="false">
      <c r="B856" s="7" t="n">
        <v>46222</v>
      </c>
      <c r="C856" s="3" t="s">
        <v>9540</v>
      </c>
      <c r="D856" s="3" t="s">
        <v>9141</v>
      </c>
      <c r="E856" s="3" t="s">
        <v>9541</v>
      </c>
      <c r="F856" s="10" t="str">
        <f aca="false">HYPERLINK("https://www.inaturalist.org/people/mathildeg66","mathildeg66")</f>
        <v>mathildeg66</v>
      </c>
      <c r="G856" s="9" t="s">
        <v>13</v>
      </c>
      <c r="H856" s="9" t="s">
        <v>9542</v>
      </c>
    </row>
    <row r="857" customFormat="false" ht="15.75" hidden="false" customHeight="false" outlineLevel="0" collapsed="false">
      <c r="B857" s="7" t="n">
        <v>46222</v>
      </c>
      <c r="C857" s="3" t="s">
        <v>9543</v>
      </c>
      <c r="D857" s="3" t="s">
        <v>9141</v>
      </c>
      <c r="E857" s="3" t="s">
        <v>9544</v>
      </c>
      <c r="F857" s="10" t="str">
        <f aca="false">HYPERLINK("https://www.inaturalist.org/people/dr_reubino","dr_reubino")</f>
        <v>dr_reubino</v>
      </c>
      <c r="G857" s="9" t="s">
        <v>13</v>
      </c>
      <c r="H857" s="9" t="s">
        <v>9545</v>
      </c>
    </row>
    <row r="858" customFormat="false" ht="15.75" hidden="false" customHeight="false" outlineLevel="0" collapsed="false">
      <c r="B858" s="7" t="n">
        <v>46222</v>
      </c>
      <c r="C858" s="3" t="s">
        <v>9546</v>
      </c>
      <c r="D858" s="3" t="s">
        <v>9141</v>
      </c>
      <c r="E858" s="3" t="s">
        <v>9547</v>
      </c>
      <c r="F858" s="10" t="str">
        <f aca="false">HYPERLINK("https://www.inaturalist.org/people/lmk96","lmk96")</f>
        <v>lmk96</v>
      </c>
      <c r="G858" s="9" t="s">
        <v>13</v>
      </c>
      <c r="H858" s="9" t="s">
        <v>9548</v>
      </c>
    </row>
    <row r="859" customFormat="false" ht="15.75" hidden="false" customHeight="false" outlineLevel="0" collapsed="false">
      <c r="B859" s="7" t="n">
        <v>46222</v>
      </c>
      <c r="C859" s="3" t="s">
        <v>9549</v>
      </c>
      <c r="D859" s="3" t="s">
        <v>9141</v>
      </c>
      <c r="E859" s="3" t="s">
        <v>9550</v>
      </c>
      <c r="F859" s="10" t="str">
        <f aca="false">HYPERLINK("https://www.inaturalist.org/people/ehecatlheloderm","ehecatlheloderm")</f>
        <v>ehecatlheloderm</v>
      </c>
      <c r="G859" s="9" t="s">
        <v>13</v>
      </c>
      <c r="H859" s="9" t="s">
        <v>9551</v>
      </c>
    </row>
    <row r="860" customFormat="false" ht="15.75" hidden="false" customHeight="false" outlineLevel="0" collapsed="false">
      <c r="B860" s="7" t="n">
        <v>46222</v>
      </c>
      <c r="C860" s="3" t="s">
        <v>9552</v>
      </c>
      <c r="D860" s="3" t="s">
        <v>9141</v>
      </c>
      <c r="E860" s="3" t="s">
        <v>9553</v>
      </c>
      <c r="F860" s="10" t="str">
        <f aca="false">HYPERLINK("https://www.inaturalist.org/people/grace_cy_","grace_cy_")</f>
        <v>grace_cy_</v>
      </c>
      <c r="G860" s="9" t="s">
        <v>13</v>
      </c>
      <c r="H860" s="9" t="s">
        <v>9554</v>
      </c>
    </row>
    <row r="861" customFormat="false" ht="15.75" hidden="false" customHeight="false" outlineLevel="0" collapsed="false">
      <c r="B861" s="7" t="n">
        <v>46222</v>
      </c>
      <c r="C861" s="3" t="s">
        <v>9555</v>
      </c>
      <c r="D861" s="3" t="s">
        <v>9141</v>
      </c>
      <c r="E861" s="3" t="s">
        <v>9556</v>
      </c>
      <c r="F861" s="10" t="str">
        <f aca="false">HYPERLINK("https://www.inaturalist.org/people/denzil_b","denzil_b")</f>
        <v>denzil_b</v>
      </c>
      <c r="G861" s="9" t="s">
        <v>13</v>
      </c>
      <c r="H861" s="9" t="s">
        <v>9557</v>
      </c>
    </row>
    <row r="862" customFormat="false" ht="15.75" hidden="false" customHeight="false" outlineLevel="0" collapsed="false">
      <c r="B862" s="7" t="n">
        <v>46222</v>
      </c>
      <c r="C862" s="3" t="s">
        <v>9558</v>
      </c>
      <c r="D862" s="3" t="s">
        <v>9141</v>
      </c>
      <c r="E862" s="3" t="s">
        <v>9559</v>
      </c>
      <c r="F862" s="10" t="str">
        <f aca="false">HYPERLINK("https://www.inaturalist.org/people/edgarsaras","edgarsaras")</f>
        <v>edgarsaras</v>
      </c>
      <c r="G862" s="9" t="s">
        <v>13</v>
      </c>
      <c r="H862" s="9" t="s">
        <v>9560</v>
      </c>
    </row>
    <row r="863" customFormat="false" ht="15.75" hidden="false" customHeight="false" outlineLevel="0" collapsed="false">
      <c r="B863" s="7" t="n">
        <v>46222</v>
      </c>
      <c r="C863" s="3" t="s">
        <v>9561</v>
      </c>
      <c r="D863" s="3" t="s">
        <v>9141</v>
      </c>
      <c r="E863" s="3" t="s">
        <v>9562</v>
      </c>
      <c r="F863" s="10" t="str">
        <f aca="false">HYPERLINK("https://www.inaturalist.org/people/antye","antye")</f>
        <v>antye</v>
      </c>
      <c r="G863" s="9" t="s">
        <v>13</v>
      </c>
      <c r="H863" s="9" t="s">
        <v>9563</v>
      </c>
    </row>
    <row r="864" customFormat="false" ht="15.75" hidden="false" customHeight="false" outlineLevel="0" collapsed="false">
      <c r="B864" s="7" t="n">
        <v>46222</v>
      </c>
      <c r="C864" s="3" t="s">
        <v>9564</v>
      </c>
      <c r="D864" s="3" t="s">
        <v>9141</v>
      </c>
      <c r="E864" s="3" t="s">
        <v>9565</v>
      </c>
      <c r="F864" s="10" t="str">
        <f aca="false">HYPERLINK("https://www.inaturalist.org/people/antye","antye")</f>
        <v>antye</v>
      </c>
      <c r="G864" s="9" t="s">
        <v>13</v>
      </c>
      <c r="H864" s="9" t="s">
        <v>9566</v>
      </c>
    </row>
    <row r="865" customFormat="false" ht="15.75" hidden="false" customHeight="false" outlineLevel="0" collapsed="false">
      <c r="B865" s="7" t="n">
        <v>46222</v>
      </c>
      <c r="C865" s="3" t="s">
        <v>9567</v>
      </c>
      <c r="D865" s="3" t="s">
        <v>9141</v>
      </c>
      <c r="E865" s="3" t="s">
        <v>9568</v>
      </c>
      <c r="F865" s="10" t="str">
        <f aca="false">HYPERLINK("https://www.inaturalist.org/people/berluggar25","berluggar25")</f>
        <v>berluggar25</v>
      </c>
      <c r="G865" s="9" t="s">
        <v>13</v>
      </c>
      <c r="H865" s="9" t="s">
        <v>9569</v>
      </c>
    </row>
    <row r="866" customFormat="false" ht="15.75" hidden="false" customHeight="false" outlineLevel="0" collapsed="false">
      <c r="B866" s="7" t="n">
        <v>46222</v>
      </c>
      <c r="C866" s="3" t="s">
        <v>9570</v>
      </c>
      <c r="D866" s="3" t="s">
        <v>9141</v>
      </c>
      <c r="E866" s="3" t="s">
        <v>9571</v>
      </c>
      <c r="F866" s="10" t="str">
        <f aca="false">HYPERLINK("https://www.inaturalist.org/people/brenda75332","brenda75332")</f>
        <v>brenda75332</v>
      </c>
      <c r="G866" s="9" t="s">
        <v>13</v>
      </c>
      <c r="H866" s="9" t="s">
        <v>9572</v>
      </c>
    </row>
    <row r="867" customFormat="false" ht="15.75" hidden="false" customHeight="false" outlineLevel="0" collapsed="false">
      <c r="B867" s="7" t="n">
        <v>46222</v>
      </c>
      <c r="C867" s="3" t="s">
        <v>9573</v>
      </c>
      <c r="D867" s="3" t="s">
        <v>9141</v>
      </c>
      <c r="E867" s="3" t="s">
        <v>9574</v>
      </c>
      <c r="F867" s="10" t="str">
        <f aca="false">HYPERLINK("https://www.inaturalist.org/people/rogerbarbz","rogerbarbz")</f>
        <v>rogerbarbz</v>
      </c>
      <c r="G867" s="9" t="s">
        <v>13</v>
      </c>
      <c r="H867" s="9" t="s">
        <v>9575</v>
      </c>
    </row>
    <row r="868" customFormat="false" ht="15.75" hidden="false" customHeight="false" outlineLevel="0" collapsed="false">
      <c r="B868" s="7" t="n">
        <v>46222</v>
      </c>
      <c r="C868" s="3" t="s">
        <v>9576</v>
      </c>
      <c r="D868" s="3" t="s">
        <v>9141</v>
      </c>
      <c r="E868" s="3" t="s">
        <v>9577</v>
      </c>
      <c r="F868" s="10" t="str">
        <f aca="false">HYPERLINK("https://www.inaturalist.org/people/nuryahyaya","nuryahyaya")</f>
        <v>nuryahyaya</v>
      </c>
      <c r="G868" s="9" t="s">
        <v>13</v>
      </c>
      <c r="H868" s="9" t="s">
        <v>9578</v>
      </c>
    </row>
    <row r="869" customFormat="false" ht="15.75" hidden="false" customHeight="false" outlineLevel="0" collapsed="false">
      <c r="B869" s="7" t="n">
        <v>46222</v>
      </c>
      <c r="C869" s="3" t="s">
        <v>9579</v>
      </c>
      <c r="D869" s="3" t="s">
        <v>9141</v>
      </c>
      <c r="E869" s="3" t="s">
        <v>9580</v>
      </c>
      <c r="F869" s="10" t="str">
        <f aca="false">HYPERLINK("https://www.inaturalist.org/people/mimal","mimal")</f>
        <v>mimal</v>
      </c>
      <c r="G869" s="9" t="s">
        <v>13</v>
      </c>
      <c r="H869" s="9" t="s">
        <v>9581</v>
      </c>
    </row>
    <row r="870" customFormat="false" ht="15.75" hidden="false" customHeight="false" outlineLevel="0" collapsed="false">
      <c r="B870" s="7" t="n">
        <v>46222</v>
      </c>
      <c r="C870" s="3" t="s">
        <v>9582</v>
      </c>
      <c r="D870" s="3" t="s">
        <v>9141</v>
      </c>
      <c r="E870" s="3" t="s">
        <v>9583</v>
      </c>
      <c r="F870" s="10" t="str">
        <f aca="false">HYPERLINK("https://www.inaturalist.org/people/borja_nunez","borja_nunez")</f>
        <v>borja_nunez</v>
      </c>
      <c r="G870" s="9" t="s">
        <v>13</v>
      </c>
      <c r="H870" s="9" t="s">
        <v>9584</v>
      </c>
    </row>
    <row r="871" customFormat="false" ht="15.75" hidden="false" customHeight="false" outlineLevel="0" collapsed="false">
      <c r="B871" s="7" t="n">
        <v>46222</v>
      </c>
      <c r="C871" s="3" t="s">
        <v>9585</v>
      </c>
      <c r="D871" s="3" t="s">
        <v>9141</v>
      </c>
      <c r="E871" s="3" t="s">
        <v>9586</v>
      </c>
      <c r="F871" s="10" t="str">
        <f aca="false">HYPERLINK("https://www.inaturalist.org/people/texasbird_01","texasbird_01")</f>
        <v>texasbird_01</v>
      </c>
      <c r="G871" s="9" t="s">
        <v>13</v>
      </c>
      <c r="H871" s="9" t="s">
        <v>9587</v>
      </c>
    </row>
    <row r="872" customFormat="false" ht="15.75" hidden="false" customHeight="false" outlineLevel="0" collapsed="false">
      <c r="B872" s="7" t="n">
        <v>46222</v>
      </c>
      <c r="C872" s="3" t="s">
        <v>9588</v>
      </c>
      <c r="D872" s="3" t="s">
        <v>9141</v>
      </c>
      <c r="E872" s="3" t="s">
        <v>9589</v>
      </c>
      <c r="F872" s="10" t="str">
        <f aca="false">HYPERLINK("https://www.inaturalist.org/people/bubo_nap","bubo_nap")</f>
        <v>bubo_nap</v>
      </c>
      <c r="G872" s="9" t="s">
        <v>13</v>
      </c>
      <c r="H872" s="9" t="s">
        <v>9590</v>
      </c>
    </row>
    <row r="873" customFormat="false" ht="15.75" hidden="false" customHeight="false" outlineLevel="0" collapsed="false">
      <c r="B873" s="7" t="n">
        <v>46222</v>
      </c>
      <c r="C873" s="3" t="s">
        <v>9591</v>
      </c>
      <c r="D873" s="3" t="s">
        <v>9141</v>
      </c>
      <c r="E873" s="3" t="s">
        <v>9592</v>
      </c>
      <c r="F873" s="10" t="str">
        <f aca="false">HYPERLINK("https://www.inaturalist.org/people/carlosvieyrarojas","carlosvieyrarojas")</f>
        <v>carlosvieyrarojas</v>
      </c>
      <c r="G873" s="9" t="s">
        <v>13</v>
      </c>
      <c r="H873" s="9" t="s">
        <v>9593</v>
      </c>
    </row>
    <row r="874" customFormat="false" ht="15.75" hidden="false" customHeight="false" outlineLevel="0" collapsed="false">
      <c r="B874" s="7" t="n">
        <v>46222</v>
      </c>
      <c r="C874" s="3" t="s">
        <v>9594</v>
      </c>
      <c r="D874" s="3" t="s">
        <v>9141</v>
      </c>
      <c r="E874" s="3" t="s">
        <v>9595</v>
      </c>
      <c r="F874" s="10" t="str">
        <f aca="false">HYPERLINK("https://www.inaturalist.org/people/bajanativa","bajanativa")</f>
        <v>bajanativa</v>
      </c>
      <c r="G874" s="9" t="s">
        <v>13</v>
      </c>
      <c r="H874" s="9" t="s">
        <v>9596</v>
      </c>
    </row>
    <row r="875" customFormat="false" ht="15.75" hidden="false" customHeight="false" outlineLevel="0" collapsed="false">
      <c r="B875" s="7" t="n">
        <v>46222</v>
      </c>
      <c r="C875" s="3" t="s">
        <v>9597</v>
      </c>
      <c r="D875" s="3" t="s">
        <v>9141</v>
      </c>
      <c r="E875" s="3" t="s">
        <v>9598</v>
      </c>
      <c r="F875" s="10" t="str">
        <f aca="false">HYPERLINK("https://www.inaturalist.org/people/coreytcallaghan","coreytcallaghan")</f>
        <v>coreytcallaghan</v>
      </c>
      <c r="G875" s="9" t="s">
        <v>13</v>
      </c>
      <c r="H875" s="9" t="s">
        <v>9599</v>
      </c>
    </row>
    <row r="876" customFormat="false" ht="15.75" hidden="false" customHeight="false" outlineLevel="0" collapsed="false">
      <c r="B876" s="7" t="n">
        <v>46222</v>
      </c>
      <c r="C876" s="3" t="s">
        <v>9600</v>
      </c>
      <c r="D876" s="3" t="s">
        <v>9141</v>
      </c>
      <c r="E876" s="3" t="s">
        <v>9601</v>
      </c>
      <c r="F876" s="10" t="str">
        <f aca="false">HYPERLINK("https://www.inaturalist.org/people/arctyler","arctyler")</f>
        <v>arctyler</v>
      </c>
      <c r="G876" s="9" t="s">
        <v>13</v>
      </c>
      <c r="H876" s="9" t="s">
        <v>9602</v>
      </c>
    </row>
    <row r="877" customFormat="false" ht="15.75" hidden="false" customHeight="false" outlineLevel="0" collapsed="false">
      <c r="B877" s="7" t="n">
        <v>46222</v>
      </c>
      <c r="C877" s="3" t="s">
        <v>9603</v>
      </c>
      <c r="D877" s="3" t="s">
        <v>9141</v>
      </c>
      <c r="E877" s="3" t="s">
        <v>9604</v>
      </c>
      <c r="F877" s="10" t="str">
        <f aca="false">HYPERLINK("https://www.inaturalist.org/people/empo","empo")</f>
        <v>empo</v>
      </c>
      <c r="G877" s="9" t="s">
        <v>13</v>
      </c>
      <c r="H877" s="9" t="s">
        <v>9605</v>
      </c>
    </row>
    <row r="878" customFormat="false" ht="15.75" hidden="false" customHeight="false" outlineLevel="0" collapsed="false">
      <c r="B878" s="7" t="n">
        <v>46222</v>
      </c>
      <c r="C878" s="3" t="s">
        <v>9606</v>
      </c>
      <c r="D878" s="3" t="s">
        <v>9141</v>
      </c>
      <c r="E878" s="3" t="s">
        <v>9607</v>
      </c>
      <c r="F878" s="10" t="str">
        <f aca="false">HYPERLINK("https://www.inaturalist.org/people/luciomclima","luciomclima")</f>
        <v>luciomclima</v>
      </c>
      <c r="G878" s="9" t="s">
        <v>13</v>
      </c>
      <c r="H878" s="9" t="s">
        <v>9608</v>
      </c>
    </row>
    <row r="879" customFormat="false" ht="15.75" hidden="false" customHeight="false" outlineLevel="0" collapsed="false">
      <c r="B879" s="7" t="n">
        <v>46222</v>
      </c>
      <c r="C879" s="3" t="s">
        <v>9609</v>
      </c>
      <c r="D879" s="3" t="s">
        <v>9141</v>
      </c>
      <c r="E879" s="3" t="s">
        <v>9610</v>
      </c>
      <c r="F879" s="10" t="str">
        <f aca="false">HYPERLINK("https://www.inaturalist.org/people/marikorrin","marikorrin")</f>
        <v>marikorrin</v>
      </c>
      <c r="G879" s="9" t="s">
        <v>13</v>
      </c>
      <c r="H879" s="9" t="s">
        <v>9611</v>
      </c>
    </row>
    <row r="880" customFormat="false" ht="15.75" hidden="false" customHeight="false" outlineLevel="0" collapsed="false">
      <c r="B880" s="7" t="n">
        <v>46222</v>
      </c>
      <c r="C880" s="3" t="s">
        <v>9612</v>
      </c>
      <c r="D880" s="3" t="s">
        <v>9141</v>
      </c>
      <c r="E880" s="3" t="s">
        <v>9613</v>
      </c>
      <c r="F880" s="10" t="str">
        <f aca="false">HYPERLINK("https://www.inaturalist.org/people/ggiribet","ggiribet")</f>
        <v>ggiribet</v>
      </c>
      <c r="G880" s="9" t="s">
        <v>13</v>
      </c>
      <c r="H880" s="9" t="s">
        <v>9614</v>
      </c>
    </row>
    <row r="881" customFormat="false" ht="15.75" hidden="false" customHeight="false" outlineLevel="0" collapsed="false">
      <c r="B881" s="7" t="n">
        <v>46222</v>
      </c>
      <c r="C881" s="3" t="s">
        <v>9615</v>
      </c>
      <c r="D881" s="3" t="s">
        <v>9141</v>
      </c>
      <c r="E881" s="3" t="s">
        <v>9616</v>
      </c>
      <c r="F881" s="10" t="str">
        <f aca="false">HYPERLINK("https://www.inaturalist.org/people/ggiribet","ggiribet")</f>
        <v>ggiribet</v>
      </c>
      <c r="G881" s="9" t="s">
        <v>13</v>
      </c>
      <c r="H881" s="9" t="s">
        <v>9617</v>
      </c>
    </row>
    <row r="882" customFormat="false" ht="15.75" hidden="false" customHeight="false" outlineLevel="0" collapsed="false">
      <c r="B882" s="7" t="n">
        <v>46222</v>
      </c>
      <c r="C882" s="3" t="s">
        <v>9618</v>
      </c>
      <c r="D882" s="3" t="s">
        <v>9141</v>
      </c>
      <c r="E882" s="3" t="s">
        <v>9619</v>
      </c>
      <c r="F882" s="10" t="str">
        <f aca="false">HYPERLINK("https://www.inaturalist.org/people/peanut87","peanut87")</f>
        <v>peanut87</v>
      </c>
      <c r="G882" s="9" t="s">
        <v>13</v>
      </c>
      <c r="H882" s="9" t="s">
        <v>9620</v>
      </c>
    </row>
    <row r="883" customFormat="false" ht="15.75" hidden="false" customHeight="false" outlineLevel="0" collapsed="false">
      <c r="B883" s="7" t="n">
        <v>46222</v>
      </c>
      <c r="C883" s="3" t="s">
        <v>9621</v>
      </c>
      <c r="D883" s="3" t="s">
        <v>9141</v>
      </c>
      <c r="E883" s="3" t="s">
        <v>9622</v>
      </c>
      <c r="F883" s="10" t="str">
        <f aca="false">HYPERLINK("https://www.inaturalist.org/people/muthmazifa","muthmazifa")</f>
        <v>muthmazifa</v>
      </c>
      <c r="G883" s="9" t="s">
        <v>13</v>
      </c>
      <c r="H883" s="9" t="s">
        <v>9623</v>
      </c>
    </row>
    <row r="884" customFormat="false" ht="15.75" hidden="false" customHeight="false" outlineLevel="0" collapsed="false">
      <c r="B884" s="7" t="n">
        <v>46222</v>
      </c>
      <c r="C884" s="3" t="s">
        <v>9624</v>
      </c>
      <c r="D884" s="3" t="s">
        <v>9141</v>
      </c>
      <c r="E884" s="3" t="s">
        <v>9625</v>
      </c>
      <c r="F884" s="10" t="str">
        <f aca="false">HYPERLINK("https://www.inaturalist.org/people/joaqugarte","joaqugarte")</f>
        <v>joaqugarte</v>
      </c>
      <c r="G884" s="9" t="s">
        <v>13</v>
      </c>
      <c r="H884" s="9" t="s">
        <v>9626</v>
      </c>
    </row>
    <row r="885" customFormat="false" ht="15.75" hidden="false" customHeight="false" outlineLevel="0" collapsed="false">
      <c r="B885" s="7" t="n">
        <v>46222</v>
      </c>
      <c r="C885" s="3" t="s">
        <v>9627</v>
      </c>
      <c r="D885" s="3" t="s">
        <v>9141</v>
      </c>
      <c r="E885" s="3" t="s">
        <v>9628</v>
      </c>
      <c r="F885" s="10" t="str">
        <f aca="false">HYPERLINK("https://www.inaturalist.org/people/michaelcoad","michaelcoad")</f>
        <v>michaelcoad</v>
      </c>
      <c r="G885" s="9" t="s">
        <v>13</v>
      </c>
      <c r="H885" s="9" t="s">
        <v>9629</v>
      </c>
    </row>
    <row r="886" customFormat="false" ht="15.75" hidden="false" customHeight="false" outlineLevel="0" collapsed="false">
      <c r="B886" s="7" t="n">
        <v>46222</v>
      </c>
      <c r="C886" s="3" t="s">
        <v>9630</v>
      </c>
      <c r="D886" s="3" t="s">
        <v>9141</v>
      </c>
      <c r="E886" s="3" t="s">
        <v>9631</v>
      </c>
      <c r="F886" s="10" t="str">
        <f aca="false">HYPERLINK("https://www.inaturalist.org/people/wingsacrossworlds","wingsacrossworlds")</f>
        <v>wingsacrossworlds</v>
      </c>
      <c r="G886" s="9" t="s">
        <v>13</v>
      </c>
      <c r="H886" s="9" t="s">
        <v>9632</v>
      </c>
    </row>
    <row r="887" customFormat="false" ht="15.75" hidden="false" customHeight="false" outlineLevel="0" collapsed="false">
      <c r="B887" s="7" t="n">
        <v>46222</v>
      </c>
      <c r="C887" s="3" t="s">
        <v>9633</v>
      </c>
      <c r="D887" s="3" t="s">
        <v>9141</v>
      </c>
      <c r="E887" s="3" t="s">
        <v>9634</v>
      </c>
      <c r="F887" s="10" t="str">
        <f aca="false">HYPERLINK("https://www.inaturalist.org/people/johndreynolds","johndreynolds")</f>
        <v>johndreynolds</v>
      </c>
      <c r="G887" s="9" t="s">
        <v>13</v>
      </c>
      <c r="H887" s="9" t="s">
        <v>9635</v>
      </c>
    </row>
    <row r="888" customFormat="false" ht="15.75" hidden="false" customHeight="false" outlineLevel="0" collapsed="false">
      <c r="B888" s="7" t="n">
        <v>46222</v>
      </c>
      <c r="C888" s="3" t="s">
        <v>9636</v>
      </c>
      <c r="D888" s="3" t="s">
        <v>9141</v>
      </c>
      <c r="E888" s="3" t="s">
        <v>9637</v>
      </c>
      <c r="F888" s="10" t="str">
        <f aca="false">HYPERLINK("https://www.inaturalist.org/people/kheperer","kheperer")</f>
        <v>kheperer</v>
      </c>
      <c r="G888" s="9" t="s">
        <v>13</v>
      </c>
      <c r="H888" s="9" t="s">
        <v>9638</v>
      </c>
    </row>
    <row r="889" customFormat="false" ht="15.75" hidden="false" customHeight="false" outlineLevel="0" collapsed="false">
      <c r="B889" s="7" t="n">
        <v>46222</v>
      </c>
      <c r="C889" s="3" t="s">
        <v>9639</v>
      </c>
      <c r="D889" s="3" t="s">
        <v>9141</v>
      </c>
      <c r="E889" s="3" t="s">
        <v>9640</v>
      </c>
      <c r="F889" s="10" t="str">
        <f aca="false">HYPERLINK("https://www.inaturalist.org/people/chrihi","chrihi")</f>
        <v>chrihi</v>
      </c>
      <c r="G889" s="9" t="s">
        <v>13</v>
      </c>
      <c r="H889" s="9" t="s">
        <v>9641</v>
      </c>
    </row>
    <row r="890" customFormat="false" ht="15.75" hidden="false" customHeight="false" outlineLevel="0" collapsed="false">
      <c r="B890" s="7" t="n">
        <v>46222</v>
      </c>
      <c r="C890" s="3" t="s">
        <v>9642</v>
      </c>
      <c r="D890" s="3" t="s">
        <v>9141</v>
      </c>
      <c r="E890" s="3" t="s">
        <v>9643</v>
      </c>
      <c r="F890" s="10" t="str">
        <f aca="false">HYPERLINK("https://www.inaturalist.org/people/dylan-padilla","dylan-padilla")</f>
        <v>dylan-padilla</v>
      </c>
      <c r="G890" s="9" t="s">
        <v>13</v>
      </c>
      <c r="H890" s="9" t="s">
        <v>9644</v>
      </c>
    </row>
    <row r="891" customFormat="false" ht="15.75" hidden="false" customHeight="false" outlineLevel="0" collapsed="false">
      <c r="B891" s="7" t="n">
        <v>46222</v>
      </c>
      <c r="C891" s="3" t="s">
        <v>9645</v>
      </c>
      <c r="D891" s="3" t="s">
        <v>9141</v>
      </c>
      <c r="E891" s="3" t="s">
        <v>9646</v>
      </c>
      <c r="F891" s="10" t="str">
        <f aca="false">HYPERLINK("https://www.inaturalist.org/people/saskiavdveen","saskiavdveen")</f>
        <v>saskiavdveen</v>
      </c>
      <c r="G891" s="9" t="s">
        <v>13</v>
      </c>
      <c r="H891" s="9" t="s">
        <v>9647</v>
      </c>
    </row>
    <row r="892" customFormat="false" ht="15.75" hidden="false" customHeight="false" outlineLevel="0" collapsed="false">
      <c r="B892" s="7" t="n">
        <v>46222</v>
      </c>
      <c r="C892" s="3" t="s">
        <v>9648</v>
      </c>
      <c r="D892" s="3" t="s">
        <v>9141</v>
      </c>
      <c r="E892" s="3" t="s">
        <v>9649</v>
      </c>
      <c r="F892" s="10" t="str">
        <f aca="false">HYPERLINK("https://www.inaturalist.org/people/matthias2t","matthias2t")</f>
        <v>matthias2t</v>
      </c>
      <c r="G892" s="9" t="s">
        <v>13</v>
      </c>
      <c r="H892" s="9" t="s">
        <v>9650</v>
      </c>
    </row>
    <row r="893" customFormat="false" ht="15.75" hidden="false" customHeight="false" outlineLevel="0" collapsed="false">
      <c r="B893" s="7" t="n">
        <v>46222</v>
      </c>
      <c r="C893" s="3" t="s">
        <v>9651</v>
      </c>
      <c r="D893" s="3" t="s">
        <v>9141</v>
      </c>
      <c r="E893" s="3" t="s">
        <v>9652</v>
      </c>
      <c r="F893" s="10" t="str">
        <f aca="false">HYPERLINK("https://www.inaturalist.org/people/david_broek","david_broek")</f>
        <v>david_broek</v>
      </c>
      <c r="G893" s="9" t="s">
        <v>13</v>
      </c>
      <c r="H893" s="9" t="s">
        <v>9653</v>
      </c>
    </row>
    <row r="894" customFormat="false" ht="15.75" hidden="false" customHeight="false" outlineLevel="0" collapsed="false">
      <c r="B894" s="7" t="n">
        <v>46222</v>
      </c>
      <c r="C894" s="3" t="s">
        <v>9654</v>
      </c>
      <c r="D894" s="3" t="s">
        <v>9141</v>
      </c>
      <c r="E894" s="3" t="s">
        <v>9655</v>
      </c>
      <c r="F894" s="10" t="str">
        <f aca="false">HYPERLINK("https://www.inaturalist.org/people/david_broek","david_broek")</f>
        <v>david_broek</v>
      </c>
      <c r="G894" s="9" t="s">
        <v>13</v>
      </c>
      <c r="H894" s="9" t="s">
        <v>9656</v>
      </c>
    </row>
    <row r="895" customFormat="false" ht="15.75" hidden="false" customHeight="false" outlineLevel="0" collapsed="false">
      <c r="B895" s="7" t="n">
        <v>46222</v>
      </c>
      <c r="C895" s="3" t="s">
        <v>9657</v>
      </c>
      <c r="D895" s="3" t="s">
        <v>9141</v>
      </c>
      <c r="E895" s="3" t="s">
        <v>9658</v>
      </c>
      <c r="F895" s="10" t="str">
        <f aca="false">HYPERLINK("https://www.inaturalist.org/people/david_broek","david_broek")</f>
        <v>david_broek</v>
      </c>
      <c r="G895" s="9" t="s">
        <v>13</v>
      </c>
      <c r="H895" s="9" t="s">
        <v>9659</v>
      </c>
    </row>
    <row r="896" customFormat="false" ht="15.75" hidden="false" customHeight="false" outlineLevel="0" collapsed="false">
      <c r="B896" s="7" t="n">
        <v>46222</v>
      </c>
      <c r="C896" s="3" t="s">
        <v>9660</v>
      </c>
      <c r="D896" s="3" t="s">
        <v>9141</v>
      </c>
      <c r="E896" s="3" t="s">
        <v>9661</v>
      </c>
      <c r="F896" s="10" t="str">
        <f aca="false">HYPERLINK("https://www.inaturalist.org/people/david_broek","david_broek")</f>
        <v>david_broek</v>
      </c>
      <c r="G896" s="9" t="s">
        <v>13</v>
      </c>
      <c r="H896" s="9" t="s">
        <v>9662</v>
      </c>
    </row>
    <row r="897" customFormat="false" ht="15.75" hidden="false" customHeight="false" outlineLevel="0" collapsed="false">
      <c r="B897" s="7" t="n">
        <v>46222</v>
      </c>
      <c r="C897" s="3" t="s">
        <v>9663</v>
      </c>
      <c r="D897" s="3" t="s">
        <v>9141</v>
      </c>
      <c r="E897" s="3" t="s">
        <v>9664</v>
      </c>
      <c r="F897" s="10" t="str">
        <f aca="false">HYPERLINK("https://www.inaturalist.org/people/david_broek","david_broek")</f>
        <v>david_broek</v>
      </c>
      <c r="G897" s="9" t="s">
        <v>13</v>
      </c>
      <c r="H897" s="9" t="s">
        <v>9665</v>
      </c>
    </row>
    <row r="898" customFormat="false" ht="15.75" hidden="false" customHeight="false" outlineLevel="0" collapsed="false">
      <c r="B898" s="7" t="n">
        <v>46222</v>
      </c>
      <c r="C898" s="3" t="s">
        <v>9666</v>
      </c>
      <c r="D898" s="3" t="s">
        <v>9141</v>
      </c>
      <c r="E898" s="3" t="s">
        <v>9667</v>
      </c>
      <c r="F898" s="10" t="str">
        <f aca="false">HYPERLINK("https://www.inaturalist.org/people/david_broek","david_broek")</f>
        <v>david_broek</v>
      </c>
      <c r="G898" s="9" t="s">
        <v>13</v>
      </c>
      <c r="H898" s="9" t="s">
        <v>9668</v>
      </c>
    </row>
    <row r="899" customFormat="false" ht="15.75" hidden="false" customHeight="false" outlineLevel="0" collapsed="false">
      <c r="B899" s="7" t="n">
        <v>46222</v>
      </c>
      <c r="C899" s="3" t="s">
        <v>9669</v>
      </c>
      <c r="D899" s="3" t="s">
        <v>9141</v>
      </c>
      <c r="E899" s="3" t="s">
        <v>9670</v>
      </c>
      <c r="F899" s="10" t="str">
        <f aca="false">HYPERLINK("https://www.inaturalist.org/people/hollybee223","hollybee223")</f>
        <v>hollybee223</v>
      </c>
      <c r="G899" s="9" t="s">
        <v>13</v>
      </c>
      <c r="H899" s="9" t="s">
        <v>9671</v>
      </c>
    </row>
    <row r="900" customFormat="false" ht="15.75" hidden="false" customHeight="false" outlineLevel="0" collapsed="false">
      <c r="B900" s="7" t="n">
        <v>46222</v>
      </c>
      <c r="C900" s="3" t="s">
        <v>9672</v>
      </c>
      <c r="D900" s="3" t="s">
        <v>9141</v>
      </c>
      <c r="E900" s="3" t="s">
        <v>9673</v>
      </c>
      <c r="F900" s="10" t="str">
        <f aca="false">HYPERLINK("https://www.inaturalist.org/people/tombrien","tombrien")</f>
        <v>tombrien</v>
      </c>
      <c r="G900" s="9" t="s">
        <v>13</v>
      </c>
      <c r="H900" s="9" t="s">
        <v>9674</v>
      </c>
    </row>
    <row r="901" customFormat="false" ht="15.75" hidden="false" customHeight="false" outlineLevel="0" collapsed="false">
      <c r="B901" s="7" t="n">
        <v>46222</v>
      </c>
      <c r="C901" s="3" t="s">
        <v>9675</v>
      </c>
      <c r="D901" s="3" t="s">
        <v>9141</v>
      </c>
      <c r="E901" s="3" t="s">
        <v>9676</v>
      </c>
      <c r="F901" s="10" t="str">
        <f aca="false">HYPERLINK("https://www.inaturalist.org/people/ban_ana","ban_ana")</f>
        <v>ban_ana</v>
      </c>
      <c r="G901" s="9" t="s">
        <v>13</v>
      </c>
      <c r="H901" s="9" t="s">
        <v>9677</v>
      </c>
    </row>
    <row r="902" customFormat="false" ht="15.75" hidden="false" customHeight="false" outlineLevel="0" collapsed="false">
      <c r="B902" s="7" t="n">
        <v>46222</v>
      </c>
      <c r="C902" s="3" t="s">
        <v>9678</v>
      </c>
      <c r="D902" s="3" t="s">
        <v>9141</v>
      </c>
      <c r="E902" s="3" t="s">
        <v>9679</v>
      </c>
      <c r="F902" s="10" t="str">
        <f aca="false">HYPERLINK("https://www.inaturalist.org/people/javiercruzormeno","javiercruzormeno")</f>
        <v>javiercruzormeno</v>
      </c>
      <c r="G902" s="9" t="s">
        <v>13</v>
      </c>
      <c r="H902" s="9" t="s">
        <v>9680</v>
      </c>
    </row>
    <row r="903" customFormat="false" ht="15.75" hidden="false" customHeight="false" outlineLevel="0" collapsed="false">
      <c r="B903" s="7" t="n">
        <v>46222</v>
      </c>
      <c r="C903" s="3" t="s">
        <v>9681</v>
      </c>
      <c r="D903" s="3" t="s">
        <v>9141</v>
      </c>
      <c r="E903" s="3" t="s">
        <v>9682</v>
      </c>
      <c r="F903" s="10" t="str">
        <f aca="false">HYPERLINK("https://www.inaturalist.org/people/rkostecke","rkostecke")</f>
        <v>rkostecke</v>
      </c>
      <c r="G903" s="9" t="s">
        <v>13</v>
      </c>
      <c r="H903" s="9" t="s">
        <v>9683</v>
      </c>
    </row>
    <row r="904" customFormat="false" ht="15.75" hidden="false" customHeight="false" outlineLevel="0" collapsed="false">
      <c r="B904" s="7" t="n">
        <v>46222</v>
      </c>
      <c r="C904" s="3" t="s">
        <v>9684</v>
      </c>
      <c r="D904" s="3" t="s">
        <v>9141</v>
      </c>
      <c r="E904" s="3" t="s">
        <v>9685</v>
      </c>
      <c r="F904" s="10" t="str">
        <f aca="false">HYPERLINK("https://www.inaturalist.org/people/ortie75","ortie75")</f>
        <v>ortie75</v>
      </c>
      <c r="G904" s="9" t="s">
        <v>13</v>
      </c>
      <c r="H904" s="9" t="s">
        <v>9686</v>
      </c>
    </row>
    <row r="905" customFormat="false" ht="15.75" hidden="false" customHeight="false" outlineLevel="0" collapsed="false">
      <c r="B905" s="7" t="n">
        <v>46222</v>
      </c>
      <c r="C905" s="3" t="s">
        <v>9687</v>
      </c>
      <c r="D905" s="3" t="s">
        <v>9141</v>
      </c>
      <c r="E905" s="3" t="s">
        <v>9688</v>
      </c>
      <c r="F905" s="10" t="str">
        <f aca="false">HYPERLINK("https://www.inaturalist.org/people/danielbranch94","danielbranch94")</f>
        <v>danielbranch94</v>
      </c>
      <c r="G905" s="9" t="s">
        <v>13</v>
      </c>
      <c r="H905" s="9" t="s">
        <v>9689</v>
      </c>
    </row>
    <row r="906" customFormat="false" ht="15.75" hidden="false" customHeight="false" outlineLevel="0" collapsed="false">
      <c r="B906" s="7" t="n">
        <v>46222</v>
      </c>
      <c r="C906" s="3" t="s">
        <v>9690</v>
      </c>
      <c r="D906" s="3" t="s">
        <v>9141</v>
      </c>
      <c r="E906" s="3" t="s">
        <v>9691</v>
      </c>
      <c r="F906" s="10" t="str">
        <f aca="false">HYPERLINK("https://www.inaturalist.org/people/freddiehopkins","freddiehopkins")</f>
        <v>freddiehopkins</v>
      </c>
      <c r="G906" s="9" t="s">
        <v>13</v>
      </c>
      <c r="H906" s="9" t="s">
        <v>9692</v>
      </c>
    </row>
    <row r="907" customFormat="false" ht="15.75" hidden="false" customHeight="false" outlineLevel="0" collapsed="false">
      <c r="B907" s="7" t="n">
        <v>46222</v>
      </c>
      <c r="C907" s="3" t="s">
        <v>9693</v>
      </c>
      <c r="D907" s="3" t="s">
        <v>9141</v>
      </c>
      <c r="E907" s="3" t="s">
        <v>9694</v>
      </c>
      <c r="F907" s="10" t="str">
        <f aca="false">HYPERLINK("https://www.inaturalist.org/people/tonkotsu","tonkotsu")</f>
        <v>tonkotsu</v>
      </c>
      <c r="G907" s="9" t="s">
        <v>13</v>
      </c>
      <c r="H907" s="9" t="s">
        <v>9695</v>
      </c>
    </row>
    <row r="908" customFormat="false" ht="15.75" hidden="false" customHeight="false" outlineLevel="0" collapsed="false">
      <c r="B908" s="7" t="n">
        <v>46222</v>
      </c>
      <c r="C908" s="3" t="s">
        <v>9696</v>
      </c>
      <c r="D908" s="3" t="s">
        <v>9141</v>
      </c>
      <c r="E908" s="3" t="s">
        <v>9697</v>
      </c>
      <c r="F908" s="10" t="str">
        <f aca="false">HYPERLINK("https://www.inaturalist.org/people/muhammad_idris_biotadulako","muhammad_idris_biotadulako")</f>
        <v>muhammad_idris_biotadulako</v>
      </c>
      <c r="G908" s="9" t="s">
        <v>13</v>
      </c>
      <c r="H908" s="9" t="s">
        <v>9698</v>
      </c>
    </row>
    <row r="909" customFormat="false" ht="15.75" hidden="false" customHeight="false" outlineLevel="0" collapsed="false">
      <c r="B909" s="7" t="n">
        <v>46222</v>
      </c>
      <c r="C909" s="3" t="s">
        <v>9699</v>
      </c>
      <c r="D909" s="3" t="s">
        <v>9141</v>
      </c>
      <c r="E909" s="3" t="s">
        <v>9700</v>
      </c>
      <c r="F909" s="10" t="str">
        <f aca="false">HYPERLINK("https://www.inaturalist.org/people/roger4621","roger4621")</f>
        <v>roger4621</v>
      </c>
      <c r="G909" s="9" t="s">
        <v>13</v>
      </c>
      <c r="H909" s="9" t="s">
        <v>9701</v>
      </c>
    </row>
    <row r="910" customFormat="false" ht="15.75" hidden="false" customHeight="false" outlineLevel="0" collapsed="false">
      <c r="B910" s="7" t="n">
        <v>46222</v>
      </c>
      <c r="C910" s="3" t="s">
        <v>9702</v>
      </c>
      <c r="D910" s="3" t="s">
        <v>9141</v>
      </c>
      <c r="E910" s="3" t="s">
        <v>9703</v>
      </c>
      <c r="F910" s="10" t="str">
        <f aca="false">HYPERLINK("https://www.inaturalist.org/people/pollo327","pollo327")</f>
        <v>pollo327</v>
      </c>
      <c r="G910" s="9" t="s">
        <v>13</v>
      </c>
      <c r="H910" s="9" t="s">
        <v>9704</v>
      </c>
    </row>
    <row r="911" customFormat="false" ht="15.75" hidden="false" customHeight="false" outlineLevel="0" collapsed="false">
      <c r="B911" s="7" t="n">
        <v>46222</v>
      </c>
      <c r="C911" s="3" t="s">
        <v>9705</v>
      </c>
      <c r="D911" s="3" t="s">
        <v>9141</v>
      </c>
      <c r="E911" s="3" t="s">
        <v>9706</v>
      </c>
      <c r="F911" s="10" t="str">
        <f aca="false">HYPERLINK("https://www.inaturalist.org/people/myceliumrot","myceliumrot")</f>
        <v>myceliumrot</v>
      </c>
      <c r="G911" s="9" t="s">
        <v>13</v>
      </c>
      <c r="H911" s="9" t="s">
        <v>9707</v>
      </c>
    </row>
    <row r="912" customFormat="false" ht="15.75" hidden="false" customHeight="false" outlineLevel="0" collapsed="false">
      <c r="B912" s="7" t="n">
        <v>46222</v>
      </c>
      <c r="C912" s="3" t="s">
        <v>9708</v>
      </c>
      <c r="D912" s="3" t="s">
        <v>9141</v>
      </c>
      <c r="E912" s="3" t="s">
        <v>9709</v>
      </c>
      <c r="F912" s="10" t="str">
        <f aca="false">HYPERLINK("https://www.inaturalist.org/people/grasseat","grasseat")</f>
        <v>grasseat</v>
      </c>
      <c r="G912" s="9" t="s">
        <v>13</v>
      </c>
      <c r="H912" s="9" t="s">
        <v>9710</v>
      </c>
    </row>
    <row r="913" customFormat="false" ht="15.75" hidden="false" customHeight="false" outlineLevel="0" collapsed="false">
      <c r="B913" s="7" t="n">
        <v>46222</v>
      </c>
      <c r="C913" s="3" t="s">
        <v>9711</v>
      </c>
      <c r="D913" s="3" t="s">
        <v>9141</v>
      </c>
      <c r="E913" s="3" t="s">
        <v>9712</v>
      </c>
      <c r="F913" s="10" t="str">
        <f aca="false">HYPERLINK("https://www.inaturalist.org/people/sacredkingfisher","sacredkingfisher")</f>
        <v>sacredkingfisher</v>
      </c>
      <c r="G913" s="9" t="s">
        <v>13</v>
      </c>
      <c r="H913" s="9" t="s">
        <v>9713</v>
      </c>
    </row>
    <row r="914" customFormat="false" ht="15.75" hidden="false" customHeight="false" outlineLevel="0" collapsed="false">
      <c r="B914" s="7" t="n">
        <v>46222</v>
      </c>
      <c r="C914" s="3" t="s">
        <v>9714</v>
      </c>
      <c r="D914" s="3" t="s">
        <v>9141</v>
      </c>
      <c r="E914" s="3" t="s">
        <v>9715</v>
      </c>
      <c r="F914" s="10" t="str">
        <f aca="false">HYPERLINK("https://www.inaturalist.org/people/franfauna","franfauna")</f>
        <v>franfauna</v>
      </c>
      <c r="G914" s="9" t="s">
        <v>13</v>
      </c>
      <c r="H914" s="9" t="s">
        <v>9716</v>
      </c>
    </row>
    <row r="915" customFormat="false" ht="15.75" hidden="false" customHeight="false" outlineLevel="0" collapsed="false">
      <c r="B915" s="7" t="n">
        <v>46222</v>
      </c>
      <c r="C915" s="3" t="s">
        <v>9717</v>
      </c>
      <c r="D915" s="3" t="s">
        <v>9141</v>
      </c>
      <c r="E915" s="3" t="s">
        <v>9718</v>
      </c>
      <c r="F915" s="10" t="str">
        <f aca="false">HYPERLINK("https://www.inaturalist.org/people/smejiadu","smejiadu")</f>
        <v>smejiadu</v>
      </c>
      <c r="G915" s="9" t="s">
        <v>13</v>
      </c>
      <c r="H915" s="9" t="s">
        <v>9719</v>
      </c>
    </row>
    <row r="916" customFormat="false" ht="15.75" hidden="false" customHeight="false" outlineLevel="0" collapsed="false">
      <c r="B916" s="7" t="n">
        <v>46222</v>
      </c>
      <c r="C916" s="3" t="s">
        <v>9720</v>
      </c>
      <c r="D916" s="3" t="s">
        <v>9141</v>
      </c>
      <c r="E916" s="3" t="s">
        <v>9721</v>
      </c>
      <c r="F916" s="10" t="str">
        <f aca="false">HYPERLINK("https://www.inaturalist.org/people/briggin","briggin")</f>
        <v>briggin</v>
      </c>
      <c r="G916" s="9" t="s">
        <v>13</v>
      </c>
      <c r="H916" s="9" t="s">
        <v>9722</v>
      </c>
    </row>
    <row r="917" customFormat="false" ht="15.75" hidden="false" customHeight="false" outlineLevel="0" collapsed="false">
      <c r="B917" s="7" t="n">
        <v>46222</v>
      </c>
      <c r="C917" s="3" t="s">
        <v>9723</v>
      </c>
      <c r="D917" s="3" t="s">
        <v>9141</v>
      </c>
      <c r="E917" s="3" t="s">
        <v>9724</v>
      </c>
      <c r="F917" s="10" t="str">
        <f aca="false">HYPERLINK("https://www.inaturalist.org/people/gkuhlmann","gkuhlmann")</f>
        <v>gkuhlmann</v>
      </c>
      <c r="G917" s="9" t="s">
        <v>13</v>
      </c>
      <c r="H917" s="9" t="s">
        <v>9725</v>
      </c>
    </row>
    <row r="918" customFormat="false" ht="15.75" hidden="false" customHeight="false" outlineLevel="0" collapsed="false">
      <c r="B918" s="7" t="n">
        <v>46222</v>
      </c>
      <c r="C918" s="3" t="s">
        <v>9726</v>
      </c>
      <c r="D918" s="3" t="s">
        <v>9141</v>
      </c>
      <c r="E918" s="3" t="s">
        <v>9727</v>
      </c>
      <c r="F918" s="10" t="str">
        <f aca="false">HYPERLINK("https://www.inaturalist.org/people/dcharan","dcharan")</f>
        <v>dcharan</v>
      </c>
      <c r="G918" s="9" t="s">
        <v>13</v>
      </c>
      <c r="H918" s="9" t="s">
        <v>9728</v>
      </c>
    </row>
    <row r="919" customFormat="false" ht="15.75" hidden="false" customHeight="false" outlineLevel="0" collapsed="false">
      <c r="B919" s="7" t="n">
        <v>46222</v>
      </c>
      <c r="C919" s="3" t="s">
        <v>9729</v>
      </c>
      <c r="D919" s="3" t="s">
        <v>9141</v>
      </c>
      <c r="E919" s="3" t="s">
        <v>9730</v>
      </c>
      <c r="F919" s="10" t="str">
        <f aca="false">HYPERLINK("https://www.inaturalist.org/people/railsandroadtrips","railsandroadtrips")</f>
        <v>railsandroadtrips</v>
      </c>
      <c r="G919" s="9" t="s">
        <v>13</v>
      </c>
      <c r="H919" s="9" t="s">
        <v>9731</v>
      </c>
    </row>
    <row r="920" customFormat="false" ht="15.75" hidden="false" customHeight="false" outlineLevel="0" collapsed="false">
      <c r="B920" s="7" t="n">
        <v>46222</v>
      </c>
      <c r="C920" s="3" t="s">
        <v>9732</v>
      </c>
      <c r="D920" s="3" t="s">
        <v>9141</v>
      </c>
      <c r="E920" s="3" t="s">
        <v>9733</v>
      </c>
      <c r="F920" s="10" t="str">
        <f aca="false">HYPERLINK("https://www.inaturalist.org/people/manuel27895","manuel27895")</f>
        <v>manuel27895</v>
      </c>
      <c r="G920" s="9" t="s">
        <v>13</v>
      </c>
      <c r="H920" s="9" t="s">
        <v>9734</v>
      </c>
    </row>
    <row r="921" customFormat="false" ht="15.75" hidden="false" customHeight="false" outlineLevel="0" collapsed="false">
      <c r="B921" s="7" t="n">
        <v>46222</v>
      </c>
      <c r="C921" s="3" t="s">
        <v>9735</v>
      </c>
      <c r="D921" s="3" t="s">
        <v>9141</v>
      </c>
      <c r="E921" s="3" t="s">
        <v>9736</v>
      </c>
      <c r="F921" s="10" t="str">
        <f aca="false">HYPERLINK("https://www.inaturalist.org/people/coreytcallaghan","coreytcallaghan")</f>
        <v>coreytcallaghan</v>
      </c>
      <c r="G921" s="9" t="s">
        <v>13</v>
      </c>
      <c r="H921" s="9" t="s">
        <v>9737</v>
      </c>
    </row>
    <row r="922" customFormat="false" ht="15.75" hidden="false" customHeight="false" outlineLevel="0" collapsed="false">
      <c r="B922" s="7" t="n">
        <v>46222</v>
      </c>
      <c r="C922" s="3" t="s">
        <v>9738</v>
      </c>
      <c r="D922" s="3" t="s">
        <v>9141</v>
      </c>
      <c r="E922" s="3" t="s">
        <v>9739</v>
      </c>
      <c r="F922" s="10" t="str">
        <f aca="false">HYPERLINK("https://www.inaturalist.org/people/maykr35","maykr35")</f>
        <v>maykr35</v>
      </c>
      <c r="G922" s="9" t="s">
        <v>13</v>
      </c>
      <c r="H922" s="9" t="s">
        <v>9740</v>
      </c>
    </row>
    <row r="923" customFormat="false" ht="15.75" hidden="false" customHeight="false" outlineLevel="0" collapsed="false">
      <c r="B923" s="7" t="n">
        <v>46222</v>
      </c>
      <c r="C923" s="3" t="s">
        <v>9741</v>
      </c>
      <c r="D923" s="3" t="s">
        <v>9141</v>
      </c>
      <c r="E923" s="3" t="s">
        <v>9742</v>
      </c>
      <c r="F923" s="10" t="str">
        <f aca="false">HYPERLINK("https://www.inaturalist.org/people/lmk96","lmk96")</f>
        <v>lmk96</v>
      </c>
      <c r="G923" s="9" t="s">
        <v>13</v>
      </c>
      <c r="H923" s="9" t="s">
        <v>9743</v>
      </c>
    </row>
    <row r="924" customFormat="false" ht="15.75" hidden="false" customHeight="false" outlineLevel="0" collapsed="false">
      <c r="B924" s="7" t="n">
        <v>46222</v>
      </c>
      <c r="C924" s="3" t="s">
        <v>9744</v>
      </c>
      <c r="D924" s="3" t="s">
        <v>9141</v>
      </c>
      <c r="E924" s="3" t="s">
        <v>9745</v>
      </c>
      <c r="F924" s="10" t="str">
        <f aca="false">HYPERLINK("https://www.inaturalist.org/people/junbruco","junbruco")</f>
        <v>junbruco</v>
      </c>
      <c r="G924" s="9" t="s">
        <v>13</v>
      </c>
      <c r="H924" s="9" t="s">
        <v>9746</v>
      </c>
    </row>
    <row r="925" customFormat="false" ht="15.75" hidden="false" customHeight="false" outlineLevel="0" collapsed="false">
      <c r="B925" s="7" t="n">
        <v>46222</v>
      </c>
      <c r="C925" s="3" t="s">
        <v>9747</v>
      </c>
      <c r="D925" s="3" t="s">
        <v>9141</v>
      </c>
      <c r="E925" s="3" t="s">
        <v>9748</v>
      </c>
      <c r="F925" s="10" t="str">
        <f aca="false">HYPERLINK("https://www.inaturalist.org/people/antye","antye")</f>
        <v>antye</v>
      </c>
      <c r="G925" s="9" t="s">
        <v>13</v>
      </c>
      <c r="H925" s="9" t="s">
        <v>9749</v>
      </c>
    </row>
    <row r="926" customFormat="false" ht="15.75" hidden="false" customHeight="false" outlineLevel="0" collapsed="false">
      <c r="B926" s="7" t="n">
        <v>46222</v>
      </c>
      <c r="C926" s="3" t="s">
        <v>9750</v>
      </c>
      <c r="D926" s="3" t="s">
        <v>9141</v>
      </c>
      <c r="E926" s="3" t="s">
        <v>9751</v>
      </c>
      <c r="F926" s="10" t="str">
        <f aca="false">HYPERLINK("https://www.inaturalist.org/people/zoologistmitch","zoologistmitch")</f>
        <v>zoologistmitch</v>
      </c>
      <c r="G926" s="9" t="s">
        <v>13</v>
      </c>
      <c r="H926" s="9" t="s">
        <v>9752</v>
      </c>
    </row>
    <row r="927" customFormat="false" ht="15.75" hidden="false" customHeight="false" outlineLevel="0" collapsed="false">
      <c r="B927" s="7" t="n">
        <v>46222</v>
      </c>
      <c r="C927" s="3" t="s">
        <v>9753</v>
      </c>
      <c r="D927" s="3" t="s">
        <v>9141</v>
      </c>
      <c r="E927" s="3" t="s">
        <v>9754</v>
      </c>
      <c r="F927" s="10" t="str">
        <f aca="false">HYPERLINK("https://www.inaturalist.org/people/vrufray","vrufray")</f>
        <v>vrufray</v>
      </c>
      <c r="G927" s="9" t="s">
        <v>13</v>
      </c>
      <c r="H927" s="9" t="s">
        <v>9755</v>
      </c>
    </row>
    <row r="928" customFormat="false" ht="15.75" hidden="false" customHeight="false" outlineLevel="0" collapsed="false">
      <c r="B928" s="7" t="n">
        <v>46222</v>
      </c>
      <c r="C928" s="3" t="s">
        <v>9756</v>
      </c>
      <c r="D928" s="3" t="s">
        <v>9141</v>
      </c>
      <c r="E928" s="3" t="s">
        <v>9757</v>
      </c>
      <c r="F928" s="10" t="str">
        <f aca="false">HYPERLINK("https://www.inaturalist.org/people/chinotto_chena","chinotto_chena")</f>
        <v>chinotto_chena</v>
      </c>
      <c r="G928" s="9" t="s">
        <v>13</v>
      </c>
      <c r="H928" s="9" t="s">
        <v>9758</v>
      </c>
    </row>
    <row r="929" customFormat="false" ht="15.75" hidden="false" customHeight="false" outlineLevel="0" collapsed="false">
      <c r="B929" s="7" t="n">
        <v>46222</v>
      </c>
      <c r="C929" s="3" t="s">
        <v>9759</v>
      </c>
      <c r="D929" s="3" t="s">
        <v>9141</v>
      </c>
      <c r="E929" s="3" t="s">
        <v>9760</v>
      </c>
      <c r="F929" s="10" t="str">
        <f aca="false">HYPERLINK("https://www.inaturalist.org/people/simon_lavr","simon_lavr")</f>
        <v>simon_lavr</v>
      </c>
      <c r="G929" s="9" t="s">
        <v>13</v>
      </c>
      <c r="H929" s="9" t="s">
        <v>9761</v>
      </c>
    </row>
    <row r="930" customFormat="false" ht="15.75" hidden="false" customHeight="false" outlineLevel="0" collapsed="false">
      <c r="B930" s="7" t="n">
        <v>46222</v>
      </c>
      <c r="C930" s="3" t="s">
        <v>9762</v>
      </c>
      <c r="D930" s="3" t="s">
        <v>9141</v>
      </c>
      <c r="E930" s="3" t="s">
        <v>9763</v>
      </c>
      <c r="F930" s="10" t="str">
        <f aca="false">HYPERLINK("https://www.inaturalist.org/people/chemp","chemp")</f>
        <v>chemp</v>
      </c>
      <c r="G930" s="9" t="s">
        <v>13</v>
      </c>
      <c r="H930" s="9" t="s">
        <v>9764</v>
      </c>
    </row>
    <row r="931" customFormat="false" ht="15.75" hidden="false" customHeight="false" outlineLevel="0" collapsed="false">
      <c r="B931" s="7" t="n">
        <v>46222</v>
      </c>
      <c r="C931" s="3" t="s">
        <v>9765</v>
      </c>
      <c r="D931" s="3" t="s">
        <v>9141</v>
      </c>
      <c r="E931" s="3" t="s">
        <v>9766</v>
      </c>
      <c r="F931" s="10" t="str">
        <f aca="false">HYPERLINK("https://www.inaturalist.org/people/poppymacdonald","poppymacdonald")</f>
        <v>poppymacdonald</v>
      </c>
      <c r="G931" s="9" t="s">
        <v>13</v>
      </c>
      <c r="H931" s="9" t="s">
        <v>9767</v>
      </c>
    </row>
    <row r="932" customFormat="false" ht="15.75" hidden="false" customHeight="false" outlineLevel="0" collapsed="false">
      <c r="B932" s="7" t="n">
        <v>46222</v>
      </c>
      <c r="C932" s="3" t="s">
        <v>9768</v>
      </c>
      <c r="D932" s="3" t="s">
        <v>9141</v>
      </c>
      <c r="E932" s="3" t="s">
        <v>9769</v>
      </c>
      <c r="F932" s="10" t="str">
        <f aca="false">HYPERLINK("https://www.inaturalist.org/people/jorden_perrett","jorden_perrett")</f>
        <v>jorden_perrett</v>
      </c>
      <c r="G932" s="9" t="s">
        <v>13</v>
      </c>
      <c r="H932" s="9" t="s">
        <v>9770</v>
      </c>
    </row>
    <row r="933" customFormat="false" ht="15.75" hidden="false" customHeight="false" outlineLevel="0" collapsed="false">
      <c r="B933" s="7" t="n">
        <v>46222</v>
      </c>
      <c r="C933" s="3" t="s">
        <v>9771</v>
      </c>
      <c r="D933" s="3" t="s">
        <v>9141</v>
      </c>
      <c r="E933" s="3" t="s">
        <v>9772</v>
      </c>
      <c r="F933" s="10" t="str">
        <f aca="false">HYPERLINK("https://www.inaturalist.org/people/leojr03","leojr03")</f>
        <v>leojr03</v>
      </c>
      <c r="G933" s="9" t="s">
        <v>13</v>
      </c>
      <c r="H933" s="9" t="s">
        <v>9773</v>
      </c>
    </row>
    <row r="934" customFormat="false" ht="15.75" hidden="false" customHeight="false" outlineLevel="0" collapsed="false">
      <c r="B934" s="7" t="n">
        <v>46222</v>
      </c>
      <c r="C934" s="3" t="s">
        <v>9774</v>
      </c>
      <c r="D934" s="3" t="s">
        <v>9141</v>
      </c>
      <c r="E934" s="3" t="s">
        <v>9775</v>
      </c>
      <c r="F934" s="10" t="str">
        <f aca="false">HYPERLINK("https://www.inaturalist.org/people/danb24cr","danb24cr")</f>
        <v>danb24cr</v>
      </c>
      <c r="G934" s="9" t="s">
        <v>13</v>
      </c>
      <c r="H934" s="9" t="s">
        <v>9776</v>
      </c>
    </row>
    <row r="935" customFormat="false" ht="15.75" hidden="false" customHeight="false" outlineLevel="0" collapsed="false">
      <c r="B935" s="7" t="n">
        <v>46222</v>
      </c>
      <c r="C935" s="3" t="s">
        <v>9777</v>
      </c>
      <c r="D935" s="3" t="s">
        <v>9141</v>
      </c>
      <c r="E935" s="3" t="s">
        <v>9778</v>
      </c>
      <c r="F935" s="10" t="str">
        <f aca="false">HYPERLINK("https://www.inaturalist.org/people/briggin","briggin")</f>
        <v>briggin</v>
      </c>
      <c r="G935" s="9" t="s">
        <v>13</v>
      </c>
      <c r="H935" s="9" t="s">
        <v>9779</v>
      </c>
    </row>
    <row r="936" customFormat="false" ht="15.75" hidden="false" customHeight="false" outlineLevel="0" collapsed="false">
      <c r="B936" s="7" t="n">
        <v>46222</v>
      </c>
      <c r="C936" s="3" t="s">
        <v>9780</v>
      </c>
      <c r="D936" s="3" t="s">
        <v>9141</v>
      </c>
      <c r="E936" s="3" t="s">
        <v>9781</v>
      </c>
      <c r="F936" s="10" t="str">
        <f aca="false">HYPERLINK("https://www.inaturalist.org/people/aaron60131","aaron60131")</f>
        <v>aaron60131</v>
      </c>
      <c r="G936" s="9" t="s">
        <v>13</v>
      </c>
      <c r="H936" s="9" t="s">
        <v>9782</v>
      </c>
    </row>
    <row r="937" customFormat="false" ht="15.75" hidden="false" customHeight="false" outlineLevel="0" collapsed="false">
      <c r="B937" s="7" t="n">
        <v>46222</v>
      </c>
      <c r="C937" s="3" t="s">
        <v>9783</v>
      </c>
      <c r="D937" s="3" t="s">
        <v>9141</v>
      </c>
      <c r="E937" s="3" t="s">
        <v>9784</v>
      </c>
      <c r="F937" s="10" t="str">
        <f aca="false">HYPERLINK("https://www.inaturalist.org/people/sam_ei_jones","sam_ei_jones")</f>
        <v>sam_ei_jones</v>
      </c>
      <c r="G937" s="9" t="s">
        <v>13</v>
      </c>
      <c r="H937" s="9" t="s">
        <v>9785</v>
      </c>
    </row>
    <row r="938" customFormat="false" ht="15.75" hidden="false" customHeight="false" outlineLevel="0" collapsed="false">
      <c r="B938" s="7" t="n">
        <v>46222</v>
      </c>
      <c r="C938" s="3" t="s">
        <v>9786</v>
      </c>
      <c r="D938" s="3" t="s">
        <v>9141</v>
      </c>
      <c r="E938" s="3" t="s">
        <v>9787</v>
      </c>
      <c r="F938" s="10" t="str">
        <f aca="false">HYPERLINK("https://www.inaturalist.org/people/dylan-padilla","dylan-padilla")</f>
        <v>dylan-padilla</v>
      </c>
      <c r="G938" s="9" t="s">
        <v>13</v>
      </c>
      <c r="H938" s="9" t="s">
        <v>9788</v>
      </c>
    </row>
    <row r="939" customFormat="false" ht="15.75" hidden="false" customHeight="false" outlineLevel="0" collapsed="false">
      <c r="B939" s="7" t="n">
        <v>46222</v>
      </c>
      <c r="C939" s="3" t="s">
        <v>9789</v>
      </c>
      <c r="D939" s="3" t="s">
        <v>9141</v>
      </c>
      <c r="E939" s="3" t="s">
        <v>9790</v>
      </c>
      <c r="F939" s="10" t="str">
        <f aca="false">HYPERLINK("https://www.inaturalist.org/people/diariodelguardaparque","diariodelguardaparque")</f>
        <v>diariodelguardaparque</v>
      </c>
      <c r="G939" s="9" t="s">
        <v>13</v>
      </c>
      <c r="H939" s="9" t="s">
        <v>9791</v>
      </c>
    </row>
    <row r="940" customFormat="false" ht="15.75" hidden="false" customHeight="false" outlineLevel="0" collapsed="false">
      <c r="B940" s="7" t="n">
        <v>46222</v>
      </c>
      <c r="C940" s="3" t="s">
        <v>9792</v>
      </c>
      <c r="D940" s="3" t="s">
        <v>9141</v>
      </c>
      <c r="E940" s="3" t="s">
        <v>9793</v>
      </c>
      <c r="F940" s="10" t="str">
        <f aca="false">HYPERLINK("https://www.inaturalist.org/people/andrebrcc","andrebrcc")</f>
        <v>andrebrcc</v>
      </c>
      <c r="G940" s="9" t="s">
        <v>13</v>
      </c>
      <c r="H940" s="9" t="s">
        <v>9794</v>
      </c>
    </row>
    <row r="941" customFormat="false" ht="15.75" hidden="false" customHeight="false" outlineLevel="0" collapsed="false">
      <c r="B941" s="7" t="n">
        <v>46222</v>
      </c>
      <c r="C941" s="3" t="s">
        <v>9795</v>
      </c>
      <c r="D941" s="3" t="s">
        <v>9141</v>
      </c>
      <c r="E941" s="3" t="s">
        <v>9796</v>
      </c>
      <c r="F941" s="10" t="str">
        <f aca="false">HYPERLINK("https://www.inaturalist.org/people/sealgyu","sealgyu")</f>
        <v>sealgyu</v>
      </c>
      <c r="G941" s="9" t="s">
        <v>13</v>
      </c>
      <c r="H941" s="9" t="s">
        <v>9797</v>
      </c>
    </row>
    <row r="942" customFormat="false" ht="15.75" hidden="false" customHeight="false" outlineLevel="0" collapsed="false">
      <c r="B942" s="7" t="n">
        <v>46222</v>
      </c>
      <c r="C942" s="3" t="s">
        <v>9798</v>
      </c>
      <c r="D942" s="3" t="s">
        <v>9141</v>
      </c>
      <c r="E942" s="3" t="s">
        <v>9799</v>
      </c>
      <c r="F942" s="10" t="str">
        <f aca="false">HYPERLINK("https://www.inaturalist.org/people/mimsa","mimsa")</f>
        <v>mimsa</v>
      </c>
      <c r="G942" s="9" t="s">
        <v>13</v>
      </c>
      <c r="H942" s="9" t="s">
        <v>9800</v>
      </c>
    </row>
    <row r="943" customFormat="false" ht="15.75" hidden="false" customHeight="false" outlineLevel="0" collapsed="false">
      <c r="B943" s="7" t="n">
        <v>46222</v>
      </c>
      <c r="C943" s="3" t="s">
        <v>9801</v>
      </c>
      <c r="D943" s="3" t="s">
        <v>9141</v>
      </c>
      <c r="E943" s="3" t="s">
        <v>9802</v>
      </c>
      <c r="F943" s="10" t="str">
        <f aca="false">HYPERLINK("https://www.inaturalist.org/people/momoto-erick","momoto-erick")</f>
        <v>momoto-erick</v>
      </c>
      <c r="G943" s="9" t="s">
        <v>13</v>
      </c>
      <c r="H943" s="9" t="s">
        <v>9803</v>
      </c>
    </row>
    <row r="944" customFormat="false" ht="15.75" hidden="false" customHeight="false" outlineLevel="0" collapsed="false">
      <c r="B944" s="7" t="n">
        <v>46222</v>
      </c>
      <c r="C944" s="3" t="s">
        <v>9804</v>
      </c>
      <c r="D944" s="3" t="s">
        <v>9141</v>
      </c>
      <c r="E944" s="3" t="s">
        <v>9805</v>
      </c>
      <c r="F944" s="10" t="str">
        <f aca="false">HYPERLINK("https://www.inaturalist.org/people/jmhill","jmhill")</f>
        <v>jmhill</v>
      </c>
      <c r="G944" s="9" t="s">
        <v>13</v>
      </c>
      <c r="H944" s="9" t="s">
        <v>9806</v>
      </c>
    </row>
    <row r="945" customFormat="false" ht="15.75" hidden="false" customHeight="false" outlineLevel="0" collapsed="false">
      <c r="B945" s="7" t="n">
        <v>46222</v>
      </c>
      <c r="C945" s="3" t="s">
        <v>9807</v>
      </c>
      <c r="D945" s="3" t="s">
        <v>9141</v>
      </c>
      <c r="E945" s="3" t="s">
        <v>9808</v>
      </c>
      <c r="F945" s="10" t="str">
        <f aca="false">HYPERLINK("https://www.inaturalist.org/people/keithw1","keithw1")</f>
        <v>keithw1</v>
      </c>
      <c r="G945" s="9" t="s">
        <v>13</v>
      </c>
      <c r="H945" s="9" t="s">
        <v>9809</v>
      </c>
    </row>
    <row r="946" customFormat="false" ht="15.75" hidden="false" customHeight="false" outlineLevel="0" collapsed="false">
      <c r="B946" s="7" t="n">
        <v>46222</v>
      </c>
      <c r="C946" s="3" t="s">
        <v>9810</v>
      </c>
      <c r="D946" s="3" t="s">
        <v>9141</v>
      </c>
      <c r="E946" s="3" t="s">
        <v>9811</v>
      </c>
      <c r="F946" s="10" t="str">
        <f aca="false">HYPERLINK("https://www.inaturalist.org/people/seleniacruz","seleniacruz")</f>
        <v>seleniacruz</v>
      </c>
      <c r="G946" s="9" t="s">
        <v>13</v>
      </c>
      <c r="H946" s="9" t="s">
        <v>9812</v>
      </c>
    </row>
    <row r="947" customFormat="false" ht="15.75" hidden="false" customHeight="false" outlineLevel="0" collapsed="false">
      <c r="B947" s="7" t="n">
        <v>46222</v>
      </c>
      <c r="C947" s="3" t="s">
        <v>9813</v>
      </c>
      <c r="D947" s="3" t="s">
        <v>9141</v>
      </c>
      <c r="E947" s="3" t="s">
        <v>9814</v>
      </c>
      <c r="F947" s="10" t="str">
        <f aca="false">HYPERLINK("https://www.inaturalist.org/people/cvvick","cvvick")</f>
        <v>cvvick</v>
      </c>
      <c r="G947" s="9" t="s">
        <v>13</v>
      </c>
      <c r="H947" s="9" t="s">
        <v>9815</v>
      </c>
    </row>
    <row r="948" customFormat="false" ht="15.75" hidden="false" customHeight="false" outlineLevel="0" collapsed="false">
      <c r="B948" s="7" t="n">
        <v>46222</v>
      </c>
      <c r="C948" s="3" t="s">
        <v>9816</v>
      </c>
      <c r="D948" s="3" t="s">
        <v>9141</v>
      </c>
      <c r="E948" s="3" t="s">
        <v>9817</v>
      </c>
      <c r="F948" s="10" t="str">
        <f aca="false">HYPERLINK("https://www.inaturalist.org/people/keithw1","keithw1")</f>
        <v>keithw1</v>
      </c>
      <c r="G948" s="9" t="s">
        <v>13</v>
      </c>
      <c r="H948" s="9" t="s">
        <v>9818</v>
      </c>
    </row>
    <row r="949" customFormat="false" ht="15.75" hidden="false" customHeight="false" outlineLevel="0" collapsed="false">
      <c r="B949" s="7" t="n">
        <v>46222</v>
      </c>
      <c r="C949" s="3" t="s">
        <v>9819</v>
      </c>
      <c r="D949" s="3" t="s">
        <v>9141</v>
      </c>
      <c r="E949" s="3" t="s">
        <v>9820</v>
      </c>
      <c r="F949" s="10" t="str">
        <f aca="false">HYPERLINK("https://www.inaturalist.org/people/danielnielel","danielnielel")</f>
        <v>danielnielel</v>
      </c>
      <c r="G949" s="9" t="s">
        <v>13</v>
      </c>
      <c r="H949" s="9" t="s">
        <v>9821</v>
      </c>
    </row>
    <row r="950" customFormat="false" ht="15.75" hidden="false" customHeight="false" outlineLevel="0" collapsed="false">
      <c r="B950" s="7" t="n">
        <v>46222</v>
      </c>
      <c r="C950" s="3" t="s">
        <v>9822</v>
      </c>
      <c r="D950" s="3" t="s">
        <v>9141</v>
      </c>
      <c r="E950" s="3" t="s">
        <v>9823</v>
      </c>
      <c r="F950" s="10" t="str">
        <f aca="false">HYPERLINK("https://www.inaturalist.org/people/ayuwat","ayuwat")</f>
        <v>ayuwat</v>
      </c>
      <c r="G950" s="9" t="s">
        <v>13</v>
      </c>
      <c r="H950" s="9" t="s">
        <v>9824</v>
      </c>
    </row>
    <row r="951" customFormat="false" ht="15.75" hidden="false" customHeight="false" outlineLevel="0" collapsed="false">
      <c r="B951" s="7" t="n">
        <v>46222</v>
      </c>
      <c r="C951" s="3" t="s">
        <v>9825</v>
      </c>
      <c r="D951" s="3" t="s">
        <v>9141</v>
      </c>
      <c r="E951" s="3" t="s">
        <v>9826</v>
      </c>
      <c r="F951" s="10" t="str">
        <f aca="false">HYPERLINK("https://www.inaturalist.org/people/gitgudder","gitgudder")</f>
        <v>gitgudder</v>
      </c>
      <c r="G951" s="9" t="s">
        <v>13</v>
      </c>
      <c r="H951" s="9" t="s">
        <v>9827</v>
      </c>
    </row>
    <row r="952" customFormat="false" ht="15.75" hidden="false" customHeight="false" outlineLevel="0" collapsed="false">
      <c r="B952" s="7" t="n">
        <v>46222</v>
      </c>
      <c r="C952" s="3" t="s">
        <v>9828</v>
      </c>
      <c r="D952" s="3" t="s">
        <v>9141</v>
      </c>
      <c r="E952" s="3" t="s">
        <v>9829</v>
      </c>
      <c r="F952" s="10" t="str">
        <f aca="false">HYPERLINK("https://www.inaturalist.org/people/dhruvapunde","dhruvapunde")</f>
        <v>dhruvapunde</v>
      </c>
      <c r="G952" s="9" t="s">
        <v>13</v>
      </c>
      <c r="H952" s="9" t="s">
        <v>9830</v>
      </c>
    </row>
    <row r="953" customFormat="false" ht="15.75" hidden="false" customHeight="false" outlineLevel="0" collapsed="false">
      <c r="B953" s="7" t="n">
        <v>46222</v>
      </c>
      <c r="C953" s="3" t="s">
        <v>9831</v>
      </c>
      <c r="D953" s="3" t="s">
        <v>9141</v>
      </c>
      <c r="E953" s="3" t="s">
        <v>9832</v>
      </c>
      <c r="F953" s="10" t="str">
        <f aca="false">HYPERLINK("https://www.inaturalist.org/people/stephdloniak","stephdloniak")</f>
        <v>stephdloniak</v>
      </c>
      <c r="G953" s="9" t="s">
        <v>13</v>
      </c>
      <c r="H953" s="9" t="s">
        <v>9833</v>
      </c>
    </row>
    <row r="954" customFormat="false" ht="15.75" hidden="false" customHeight="false" outlineLevel="0" collapsed="false">
      <c r="B954" s="7" t="n">
        <v>46222</v>
      </c>
      <c r="C954" s="3" t="s">
        <v>9834</v>
      </c>
      <c r="D954" s="3" t="s">
        <v>9141</v>
      </c>
      <c r="E954" s="3" t="s">
        <v>9835</v>
      </c>
      <c r="F954" s="10" t="str">
        <f aca="false">HYPERLINK("https://www.inaturalist.org/people/cshsmay","cshsmay")</f>
        <v>cshsmay</v>
      </c>
      <c r="G954" s="9" t="s">
        <v>13</v>
      </c>
      <c r="H954" s="9" t="s">
        <v>9836</v>
      </c>
    </row>
    <row r="955" customFormat="false" ht="15.75" hidden="false" customHeight="false" outlineLevel="0" collapsed="false">
      <c r="B955" s="7" t="n">
        <v>46222</v>
      </c>
      <c r="C955" s="3" t="s">
        <v>9837</v>
      </c>
      <c r="D955" s="3" t="s">
        <v>9141</v>
      </c>
      <c r="E955" s="3" t="s">
        <v>9838</v>
      </c>
      <c r="F955" s="10" t="str">
        <f aca="false">HYPERLINK("https://www.inaturalist.org/people/keeksm","keeksm")</f>
        <v>keeksm</v>
      </c>
      <c r="G955" s="9" t="s">
        <v>13</v>
      </c>
      <c r="H955" s="9" t="s">
        <v>9839</v>
      </c>
    </row>
    <row r="956" customFormat="false" ht="15.75" hidden="false" customHeight="false" outlineLevel="0" collapsed="false">
      <c r="B956" s="7" t="n">
        <v>46222</v>
      </c>
      <c r="C956" s="3" t="s">
        <v>9840</v>
      </c>
      <c r="D956" s="3" t="s">
        <v>9141</v>
      </c>
      <c r="E956" s="3" t="s">
        <v>9841</v>
      </c>
      <c r="F956" s="10" t="str">
        <f aca="false">HYPERLINK("https://www.inaturalist.org/people/remi2024","remi2024")</f>
        <v>remi2024</v>
      </c>
      <c r="G956" s="9" t="s">
        <v>13</v>
      </c>
      <c r="H956" s="9" t="s">
        <v>9842</v>
      </c>
    </row>
    <row r="957" customFormat="false" ht="15.75" hidden="false" customHeight="false" outlineLevel="0" collapsed="false">
      <c r="B957" s="7" t="n">
        <v>46222</v>
      </c>
      <c r="C957" s="3" t="s">
        <v>9843</v>
      </c>
      <c r="D957" s="3" t="s">
        <v>9141</v>
      </c>
      <c r="E957" s="3" t="s">
        <v>9844</v>
      </c>
      <c r="F957" s="10" t="str">
        <f aca="false">HYPERLINK("https://www.inaturalist.org/people/lennartmau45","lennartmau45")</f>
        <v>lennartmau45</v>
      </c>
      <c r="G957" s="9" t="s">
        <v>13</v>
      </c>
      <c r="H957" s="9" t="s">
        <v>9845</v>
      </c>
    </row>
    <row r="958" customFormat="false" ht="15.75" hidden="false" customHeight="false" outlineLevel="0" collapsed="false">
      <c r="B958" s="7" t="n">
        <v>46222</v>
      </c>
      <c r="C958" s="3" t="s">
        <v>9846</v>
      </c>
      <c r="D958" s="3" t="s">
        <v>9141</v>
      </c>
      <c r="E958" s="3" t="s">
        <v>9847</v>
      </c>
      <c r="F958" s="10" t="str">
        <f aca="false">HYPERLINK("https://www.inaturalist.org/people/alonsohc","alonsohc")</f>
        <v>alonsohc</v>
      </c>
      <c r="G958" s="9" t="s">
        <v>13</v>
      </c>
      <c r="H958" s="9" t="s">
        <v>9848</v>
      </c>
    </row>
    <row r="959" customFormat="false" ht="15.75" hidden="false" customHeight="false" outlineLevel="0" collapsed="false">
      <c r="B959" s="7" t="n">
        <v>46222</v>
      </c>
      <c r="C959" s="3" t="s">
        <v>9849</v>
      </c>
      <c r="D959" s="3" t="s">
        <v>9141</v>
      </c>
      <c r="E959" s="3" t="s">
        <v>9850</v>
      </c>
      <c r="F959" s="10" t="str">
        <f aca="false">HYPERLINK("https://www.inaturalist.org/people/andreaexm","andreaexm")</f>
        <v>andreaexm</v>
      </c>
      <c r="G959" s="9" t="s">
        <v>13</v>
      </c>
      <c r="H959" s="9" t="s">
        <v>9851</v>
      </c>
    </row>
    <row r="960" customFormat="false" ht="15.75" hidden="false" customHeight="false" outlineLevel="0" collapsed="false">
      <c r="B960" s="7" t="n">
        <v>46222</v>
      </c>
      <c r="C960" s="3" t="s">
        <v>9852</v>
      </c>
      <c r="D960" s="3" t="s">
        <v>9141</v>
      </c>
      <c r="E960" s="3" t="s">
        <v>9853</v>
      </c>
      <c r="F960" s="10" t="str">
        <f aca="false">HYPERLINK("https://www.inaturalist.org/people/carlosvaldesz","carlosvaldesz")</f>
        <v>carlosvaldesz</v>
      </c>
      <c r="G960" s="9" t="s">
        <v>13</v>
      </c>
      <c r="H960" s="9" t="s">
        <v>9854</v>
      </c>
    </row>
    <row r="961" customFormat="false" ht="15.75" hidden="false" customHeight="false" outlineLevel="0" collapsed="false">
      <c r="B961" s="7" t="n">
        <v>46222</v>
      </c>
      <c r="C961" s="3" t="s">
        <v>9855</v>
      </c>
      <c r="D961" s="3" t="s">
        <v>9141</v>
      </c>
      <c r="E961" s="3" t="s">
        <v>9856</v>
      </c>
      <c r="F961" s="10" t="str">
        <f aca="false">HYPERLINK("https://www.inaturalist.org/people/hugoalbertovalderrey","hugoalbertovalderrey")</f>
        <v>hugoalbertovalderrey</v>
      </c>
      <c r="G961" s="9" t="s">
        <v>13</v>
      </c>
      <c r="H961" s="9" t="s">
        <v>9857</v>
      </c>
    </row>
    <row r="962" customFormat="false" ht="15.75" hidden="false" customHeight="false" outlineLevel="0" collapsed="false">
      <c r="B962" s="7" t="n">
        <v>46222</v>
      </c>
      <c r="C962" s="3" t="s">
        <v>9858</v>
      </c>
      <c r="D962" s="3" t="s">
        <v>9141</v>
      </c>
      <c r="E962" s="3" t="s">
        <v>9859</v>
      </c>
      <c r="F962" s="10" t="str">
        <f aca="false">HYPERLINK("https://www.inaturalist.org/people/tanager912","tanager912")</f>
        <v>tanager912</v>
      </c>
      <c r="G962" s="9" t="s">
        <v>13</v>
      </c>
      <c r="H962" s="9" t="s">
        <v>9860</v>
      </c>
    </row>
    <row r="963" customFormat="false" ht="15.75" hidden="false" customHeight="false" outlineLevel="0" collapsed="false">
      <c r="B963" s="7" t="n">
        <v>46222</v>
      </c>
      <c r="C963" s="3" t="s">
        <v>9861</v>
      </c>
      <c r="D963" s="3" t="s">
        <v>9141</v>
      </c>
      <c r="E963" s="3" t="s">
        <v>9862</v>
      </c>
      <c r="F963" s="10" t="str">
        <f aca="false">HYPERLINK("https://www.inaturalist.org/people/bram_vivathanavej","bram_vivathanavej")</f>
        <v>bram_vivathanavej</v>
      </c>
      <c r="G963" s="9" t="s">
        <v>13</v>
      </c>
      <c r="H963" s="9" t="s">
        <v>9863</v>
      </c>
    </row>
    <row r="964" customFormat="false" ht="15.75" hidden="false" customHeight="false" outlineLevel="0" collapsed="false">
      <c r="B964" s="7" t="n">
        <v>46222</v>
      </c>
      <c r="C964" s="3" t="s">
        <v>9864</v>
      </c>
      <c r="D964" s="3" t="s">
        <v>9141</v>
      </c>
      <c r="E964" s="3" t="s">
        <v>9865</v>
      </c>
      <c r="F964" s="10" t="str">
        <f aca="false">HYPERLINK("https://www.inaturalist.org/people/mintren","mintren")</f>
        <v>mintren</v>
      </c>
      <c r="G964" s="9" t="s">
        <v>13</v>
      </c>
      <c r="H964" s="9" t="s">
        <v>9866</v>
      </c>
    </row>
    <row r="965" customFormat="false" ht="15.75" hidden="false" customHeight="false" outlineLevel="0" collapsed="false">
      <c r="B965" s="7" t="n">
        <v>46222</v>
      </c>
      <c r="C965" s="3" t="s">
        <v>9867</v>
      </c>
      <c r="D965" s="3" t="s">
        <v>9141</v>
      </c>
      <c r="E965" s="3" t="s">
        <v>9868</v>
      </c>
      <c r="F965" s="10" t="str">
        <f aca="false">HYPERLINK("https://www.inaturalist.org/people/amber_37","amber_37")</f>
        <v>amber_37</v>
      </c>
      <c r="G965" s="9" t="s">
        <v>13</v>
      </c>
      <c r="H965" s="9" t="s">
        <v>9869</v>
      </c>
    </row>
    <row r="966" customFormat="false" ht="15.75" hidden="false" customHeight="false" outlineLevel="0" collapsed="false">
      <c r="B966" s="7" t="n">
        <v>46222</v>
      </c>
      <c r="C966" s="3" t="s">
        <v>9870</v>
      </c>
      <c r="D966" s="3" t="s">
        <v>9141</v>
      </c>
      <c r="E966" s="3" t="s">
        <v>9871</v>
      </c>
      <c r="F966" s="10" t="str">
        <f aca="false">HYPERLINK("https://www.inaturalist.org/people/sgtraf","sgtraf")</f>
        <v>sgtraf</v>
      </c>
      <c r="G966" s="9" t="s">
        <v>13</v>
      </c>
      <c r="H966" s="9" t="s">
        <v>9872</v>
      </c>
    </row>
    <row r="967" customFormat="false" ht="15.75" hidden="false" customHeight="false" outlineLevel="0" collapsed="false">
      <c r="B967" s="7" t="n">
        <v>46222</v>
      </c>
      <c r="C967" s="3" t="s">
        <v>9873</v>
      </c>
      <c r="D967" s="3" t="s">
        <v>9141</v>
      </c>
      <c r="E967" s="3" t="s">
        <v>9874</v>
      </c>
      <c r="F967" s="10" t="str">
        <f aca="false">HYPERLINK("https://www.inaturalist.org/people/lydie_m","lydie_m")</f>
        <v>lydie_m</v>
      </c>
      <c r="G967" s="9" t="s">
        <v>13</v>
      </c>
      <c r="H967" s="9" t="s">
        <v>9875</v>
      </c>
    </row>
    <row r="968" customFormat="false" ht="15.75" hidden="false" customHeight="false" outlineLevel="0" collapsed="false">
      <c r="B968" s="7" t="n">
        <v>46222</v>
      </c>
      <c r="C968" s="3" t="s">
        <v>9876</v>
      </c>
      <c r="D968" s="3" t="s">
        <v>9141</v>
      </c>
      <c r="E968" s="3" t="s">
        <v>9877</v>
      </c>
      <c r="F968" s="10" t="str">
        <f aca="false">HYPERLINK("https://www.inaturalist.org/people/baffa_muhammad","baffa_muhammad")</f>
        <v>baffa_muhammad</v>
      </c>
      <c r="G968" s="9" t="s">
        <v>13</v>
      </c>
      <c r="H968" s="9" t="s">
        <v>9878</v>
      </c>
    </row>
    <row r="969" customFormat="false" ht="15.75" hidden="false" customHeight="false" outlineLevel="0" collapsed="false">
      <c r="B969" s="7" t="n">
        <v>46222</v>
      </c>
      <c r="C969" s="3" t="s">
        <v>9879</v>
      </c>
      <c r="D969" s="3" t="s">
        <v>9141</v>
      </c>
      <c r="E969" s="3" t="s">
        <v>9880</v>
      </c>
      <c r="F969" s="10" t="str">
        <f aca="false">HYPERLINK("https://www.inaturalist.org/people/edwarbirdingtours","edwarbirdingtours")</f>
        <v>edwarbirdingtours</v>
      </c>
      <c r="G969" s="9" t="s">
        <v>13</v>
      </c>
      <c r="H969" s="9" t="s">
        <v>9881</v>
      </c>
    </row>
    <row r="970" customFormat="false" ht="15.75" hidden="false" customHeight="false" outlineLevel="0" collapsed="false">
      <c r="B970" s="7" t="n">
        <v>46222</v>
      </c>
      <c r="C970" s="3" t="s">
        <v>9882</v>
      </c>
      <c r="D970" s="3" t="s">
        <v>9141</v>
      </c>
      <c r="E970" s="3" t="s">
        <v>9883</v>
      </c>
      <c r="F970" s="10" t="str">
        <f aca="false">HYPERLINK("https://www.inaturalist.org/people/edblackthorne","edblackthorne")</f>
        <v>edblackthorne</v>
      </c>
      <c r="G970" s="9" t="s">
        <v>13</v>
      </c>
      <c r="H970" s="9" t="s">
        <v>9884</v>
      </c>
    </row>
    <row r="971" customFormat="false" ht="15.75" hidden="false" customHeight="false" outlineLevel="0" collapsed="false">
      <c r="B971" s="7" t="n">
        <v>46222</v>
      </c>
      <c r="C971" s="3" t="s">
        <v>9885</v>
      </c>
      <c r="D971" s="3" t="s">
        <v>9141</v>
      </c>
      <c r="E971" s="3" t="s">
        <v>9886</v>
      </c>
      <c r="F971" s="10" t="str">
        <f aca="false">HYPERLINK("https://www.inaturalist.org/people/tayloredtotaylor","tayloredtotaylor")</f>
        <v>tayloredtotaylor</v>
      </c>
      <c r="G971" s="9" t="s">
        <v>13</v>
      </c>
      <c r="H971" s="9" t="s">
        <v>9887</v>
      </c>
    </row>
    <row r="972" customFormat="false" ht="15.75" hidden="false" customHeight="false" outlineLevel="0" collapsed="false">
      <c r="B972" s="7" t="n">
        <v>46222</v>
      </c>
      <c r="C972" s="3" t="s">
        <v>9888</v>
      </c>
      <c r="D972" s="3" t="s">
        <v>9141</v>
      </c>
      <c r="E972" s="3" t="s">
        <v>9889</v>
      </c>
      <c r="F972" s="10" t="str">
        <f aca="false">HYPERLINK("https://www.inaturalist.org/people/puchucha20","puchucha20")</f>
        <v>puchucha20</v>
      </c>
      <c r="G972" s="9" t="s">
        <v>13</v>
      </c>
      <c r="H972" s="9" t="s">
        <v>9890</v>
      </c>
    </row>
    <row r="973" customFormat="false" ht="15.75" hidden="false" customHeight="false" outlineLevel="0" collapsed="false">
      <c r="B973" s="7" t="n">
        <v>46222</v>
      </c>
      <c r="C973" s="3" t="s">
        <v>9891</v>
      </c>
      <c r="D973" s="3" t="s">
        <v>9141</v>
      </c>
      <c r="E973" s="3" t="s">
        <v>9892</v>
      </c>
      <c r="F973" s="10" t="str">
        <f aca="false">HYPERLINK("https://www.inaturalist.org/people/david_broek","david_broek")</f>
        <v>david_broek</v>
      </c>
      <c r="G973" s="9" t="s">
        <v>13</v>
      </c>
      <c r="H973" s="9" t="s">
        <v>9893</v>
      </c>
    </row>
    <row r="974" customFormat="false" ht="15.75" hidden="false" customHeight="false" outlineLevel="0" collapsed="false">
      <c r="B974" s="7" t="n">
        <v>46222</v>
      </c>
      <c r="C974" s="3" t="s">
        <v>9894</v>
      </c>
      <c r="D974" s="3" t="s">
        <v>9141</v>
      </c>
      <c r="E974" s="3" t="s">
        <v>9895</v>
      </c>
      <c r="F974" s="10" t="str">
        <f aca="false">HYPERLINK("https://www.inaturalist.org/people/david_broek","david_broek")</f>
        <v>david_broek</v>
      </c>
      <c r="G974" s="9" t="s">
        <v>13</v>
      </c>
      <c r="H974" s="9" t="s">
        <v>9896</v>
      </c>
    </row>
    <row r="975" customFormat="false" ht="15.75" hidden="false" customHeight="false" outlineLevel="0" collapsed="false">
      <c r="B975" s="7" t="n">
        <v>46222</v>
      </c>
      <c r="C975" s="3" t="s">
        <v>9897</v>
      </c>
      <c r="D975" s="3" t="s">
        <v>9141</v>
      </c>
      <c r="E975" s="3" t="s">
        <v>9898</v>
      </c>
      <c r="F975" s="10" t="str">
        <f aca="false">HYPERLINK("https://www.inaturalist.org/people/david_broek","david_broek")</f>
        <v>david_broek</v>
      </c>
      <c r="G975" s="9" t="s">
        <v>13</v>
      </c>
      <c r="H975" s="9" t="s">
        <v>9899</v>
      </c>
    </row>
    <row r="976" customFormat="false" ht="15.75" hidden="false" customHeight="false" outlineLevel="0" collapsed="false">
      <c r="B976" s="7" t="n">
        <v>46222</v>
      </c>
      <c r="C976" s="3" t="s">
        <v>9900</v>
      </c>
      <c r="D976" s="3" t="s">
        <v>9141</v>
      </c>
      <c r="E976" s="3" t="s">
        <v>9901</v>
      </c>
      <c r="F976" s="10" t="str">
        <f aca="false">HYPERLINK("https://www.inaturalist.org/people/jheynner_davidmarin_julio","jheynner_davidmarin_julio")</f>
        <v>jheynner_davidmarin_julio</v>
      </c>
      <c r="G976" s="9" t="s">
        <v>13</v>
      </c>
      <c r="H976" s="9" t="s">
        <v>9902</v>
      </c>
    </row>
    <row r="977" customFormat="false" ht="15.75" hidden="false" customHeight="false" outlineLevel="0" collapsed="false">
      <c r="B977" s="7" t="n">
        <v>46222</v>
      </c>
      <c r="C977" s="3" t="s">
        <v>9903</v>
      </c>
      <c r="D977" s="3" t="s">
        <v>9141</v>
      </c>
      <c r="E977" s="3" t="s">
        <v>9904</v>
      </c>
      <c r="F977" s="10" t="str">
        <f aca="false">HYPERLINK("https://www.inaturalist.org/people/freddie44504","freddie44504")</f>
        <v>freddie44504</v>
      </c>
      <c r="G977" s="9" t="s">
        <v>13</v>
      </c>
      <c r="H977" s="9" t="s">
        <v>9905</v>
      </c>
    </row>
    <row r="978" customFormat="false" ht="15.75" hidden="false" customHeight="false" outlineLevel="0" collapsed="false">
      <c r="B978" s="7" t="n">
        <v>46222</v>
      </c>
      <c r="C978" s="3" t="s">
        <v>9906</v>
      </c>
      <c r="D978" s="3" t="s">
        <v>9141</v>
      </c>
      <c r="E978" s="3" t="s">
        <v>9907</v>
      </c>
      <c r="F978" s="10" t="str">
        <f aca="false">HYPERLINK("https://www.inaturalist.org/people/gustavo_dzib","gustavo_dzib")</f>
        <v>gustavo_dzib</v>
      </c>
      <c r="G978" s="9" t="s">
        <v>13</v>
      </c>
      <c r="H978" s="9" t="s">
        <v>9908</v>
      </c>
    </row>
    <row r="979" customFormat="false" ht="15.75" hidden="false" customHeight="false" outlineLevel="0" collapsed="false">
      <c r="B979" s="7" t="n">
        <v>46222</v>
      </c>
      <c r="C979" s="3" t="s">
        <v>9909</v>
      </c>
      <c r="D979" s="3" t="s">
        <v>9141</v>
      </c>
      <c r="E979" s="3" t="s">
        <v>9910</v>
      </c>
      <c r="F979" s="10" t="str">
        <f aca="false">HYPERLINK("https://www.inaturalist.org/people/nuryahyaya","nuryahyaya")</f>
        <v>nuryahyaya</v>
      </c>
      <c r="G979" s="9" t="s">
        <v>13</v>
      </c>
      <c r="H979" s="9" t="s">
        <v>9911</v>
      </c>
    </row>
    <row r="980" customFormat="false" ht="15.75" hidden="false" customHeight="false" outlineLevel="0" collapsed="false">
      <c r="B980" s="7" t="n">
        <v>46222</v>
      </c>
      <c r="C980" s="3" t="s">
        <v>9912</v>
      </c>
      <c r="D980" s="3" t="s">
        <v>9141</v>
      </c>
      <c r="E980" s="3" t="s">
        <v>9913</v>
      </c>
      <c r="F980" s="10" t="str">
        <f aca="false">HYPERLINK("https://www.inaturalist.org/people/tt2019","tt2019")</f>
        <v>tt2019</v>
      </c>
      <c r="G980" s="9" t="s">
        <v>13</v>
      </c>
      <c r="H980" s="9" t="s">
        <v>9914</v>
      </c>
    </row>
    <row r="981" customFormat="false" ht="15.75" hidden="false" customHeight="false" outlineLevel="0" collapsed="false">
      <c r="B981" s="7" t="n">
        <v>46222</v>
      </c>
      <c r="C981" s="3" t="s">
        <v>9915</v>
      </c>
      <c r="D981" s="3" t="s">
        <v>9141</v>
      </c>
      <c r="E981" s="3" t="s">
        <v>9916</v>
      </c>
      <c r="F981" s="10" t="str">
        <f aca="false">HYPERLINK("https://www.inaturalist.org/people/leoadan","leoadan")</f>
        <v>leoadan</v>
      </c>
      <c r="G981" s="9" t="s">
        <v>13</v>
      </c>
      <c r="H981" s="9" t="s">
        <v>9917</v>
      </c>
    </row>
    <row r="982" customFormat="false" ht="15.75" hidden="false" customHeight="false" outlineLevel="0" collapsed="false">
      <c r="B982" s="7" t="n">
        <v>46222</v>
      </c>
      <c r="C982" s="3" t="s">
        <v>9918</v>
      </c>
      <c r="D982" s="3" t="s">
        <v>9141</v>
      </c>
      <c r="E982" s="3" t="s">
        <v>9919</v>
      </c>
      <c r="F982" s="10" t="str">
        <f aca="false">HYPERLINK("https://www.inaturalist.org/people/awesomecoolgirl265","awesomecoolgirl265")</f>
        <v>awesomecoolgirl265</v>
      </c>
      <c r="G982" s="9" t="s">
        <v>13</v>
      </c>
      <c r="H982" s="9" t="s">
        <v>9920</v>
      </c>
    </row>
    <row r="983" customFormat="false" ht="15.75" hidden="false" customHeight="false" outlineLevel="0" collapsed="false">
      <c r="B983" s="7" t="n">
        <v>46222</v>
      </c>
      <c r="C983" s="3" t="s">
        <v>9921</v>
      </c>
      <c r="D983" s="3" t="s">
        <v>9141</v>
      </c>
      <c r="E983" s="3" t="s">
        <v>9922</v>
      </c>
      <c r="F983" s="10" t="str">
        <f aca="false">HYPERLINK("https://www.inaturalist.org/people/snookpatrol","snookpatrol")</f>
        <v>snookpatrol</v>
      </c>
      <c r="G983" s="9" t="s">
        <v>13</v>
      </c>
      <c r="H983" s="9" t="s">
        <v>9923</v>
      </c>
    </row>
    <row r="984" customFormat="false" ht="15.75" hidden="false" customHeight="false" outlineLevel="0" collapsed="false">
      <c r="B984" s="7" t="n">
        <v>46222</v>
      </c>
      <c r="C984" s="3" t="s">
        <v>9924</v>
      </c>
      <c r="D984" s="3" t="s">
        <v>9141</v>
      </c>
      <c r="E984" s="3" t="s">
        <v>9925</v>
      </c>
      <c r="F984" s="10" t="str">
        <f aca="false">HYPERLINK("https://www.inaturalist.org/people/wilsonlombana","wilsonlombana")</f>
        <v>wilsonlombana</v>
      </c>
      <c r="G984" s="9" t="s">
        <v>13</v>
      </c>
      <c r="H984" s="9" t="s">
        <v>9926</v>
      </c>
    </row>
    <row r="985" customFormat="false" ht="15.75" hidden="false" customHeight="false" outlineLevel="0" collapsed="false">
      <c r="B985" s="7" t="n">
        <v>46222</v>
      </c>
      <c r="C985" s="3" t="s">
        <v>9927</v>
      </c>
      <c r="D985" s="3" t="s">
        <v>9141</v>
      </c>
      <c r="E985" s="3" t="s">
        <v>9928</v>
      </c>
      <c r="F985" s="10" t="str">
        <f aca="false">HYPERLINK("https://www.inaturalist.org/people/yagmur_kuscu","yagmur_kuscu")</f>
        <v>yagmur_kuscu</v>
      </c>
      <c r="G985" s="9" t="s">
        <v>13</v>
      </c>
      <c r="H985" s="9" t="s">
        <v>9929</v>
      </c>
    </row>
    <row r="986" customFormat="false" ht="15.75" hidden="false" customHeight="false" outlineLevel="0" collapsed="false">
      <c r="B986" s="7" t="n">
        <v>46222</v>
      </c>
      <c r="C986" s="3" t="s">
        <v>9930</v>
      </c>
      <c r="D986" s="3" t="s">
        <v>9141</v>
      </c>
      <c r="E986" s="3" t="s">
        <v>9931</v>
      </c>
      <c r="F986" s="10" t="str">
        <f aca="false">HYPERLINK("https://www.inaturalist.org/people/david_broek","david_broek")</f>
        <v>david_broek</v>
      </c>
      <c r="G986" s="9" t="s">
        <v>13</v>
      </c>
      <c r="H986" s="9" t="s">
        <v>9932</v>
      </c>
    </row>
    <row r="987" customFormat="false" ht="15.75" hidden="false" customHeight="false" outlineLevel="0" collapsed="false">
      <c r="B987" s="7" t="n">
        <v>46222</v>
      </c>
      <c r="C987" s="3" t="s">
        <v>9933</v>
      </c>
      <c r="D987" s="3" t="s">
        <v>9141</v>
      </c>
      <c r="E987" s="3" t="s">
        <v>9934</v>
      </c>
      <c r="F987" s="10" t="str">
        <f aca="false">HYPERLINK("https://www.inaturalist.org/people/david_broek","david_broek")</f>
        <v>david_broek</v>
      </c>
      <c r="G987" s="9" t="s">
        <v>13</v>
      </c>
      <c r="H987" s="9" t="s">
        <v>9935</v>
      </c>
    </row>
    <row r="988" customFormat="false" ht="15.75" hidden="false" customHeight="false" outlineLevel="0" collapsed="false">
      <c r="B988" s="7" t="n">
        <v>46222</v>
      </c>
      <c r="C988" s="3" t="s">
        <v>9936</v>
      </c>
      <c r="D988" s="3" t="s">
        <v>9141</v>
      </c>
      <c r="E988" s="3" t="s">
        <v>9937</v>
      </c>
      <c r="F988" s="10" t="str">
        <f aca="false">HYPERLINK("https://www.inaturalist.org/people/samarth_nk04","samarth_nk04")</f>
        <v>samarth_nk04</v>
      </c>
      <c r="G988" s="9" t="s">
        <v>13</v>
      </c>
      <c r="H988" s="9" t="s">
        <v>9938</v>
      </c>
    </row>
    <row r="989" customFormat="false" ht="15.75" hidden="false" customHeight="false" outlineLevel="0" collapsed="false">
      <c r="B989" s="7" t="n">
        <v>46222</v>
      </c>
      <c r="C989" s="3" t="s">
        <v>9939</v>
      </c>
      <c r="D989" s="3" t="s">
        <v>9141</v>
      </c>
      <c r="E989" s="3" t="s">
        <v>9940</v>
      </c>
      <c r="F989" s="10" t="str">
        <f aca="false">HYPERLINK("https://www.inaturalist.org/people/luis2772","luis2772")</f>
        <v>luis2772</v>
      </c>
      <c r="G989" s="9" t="s">
        <v>13</v>
      </c>
      <c r="H989" s="9" t="s">
        <v>9941</v>
      </c>
    </row>
    <row r="990" customFormat="false" ht="15.75" hidden="false" customHeight="false" outlineLevel="0" collapsed="false">
      <c r="B990" s="7" t="n">
        <v>46222</v>
      </c>
      <c r="C990" s="3" t="s">
        <v>9942</v>
      </c>
      <c r="D990" s="3" t="s">
        <v>9141</v>
      </c>
      <c r="E990" s="3" t="s">
        <v>9943</v>
      </c>
      <c r="F990" s="10" t="str">
        <f aca="false">HYPERLINK("https://www.inaturalist.org/people/dayna_224","dayna_224")</f>
        <v>dayna_224</v>
      </c>
      <c r="G990" s="9" t="s">
        <v>13</v>
      </c>
      <c r="H990" s="9" t="s">
        <v>9944</v>
      </c>
    </row>
    <row r="991" customFormat="false" ht="15.75" hidden="false" customHeight="false" outlineLevel="0" collapsed="false">
      <c r="B991" s="7" t="n">
        <v>46222</v>
      </c>
      <c r="C991" s="3" t="s">
        <v>9945</v>
      </c>
      <c r="D991" s="3" t="s">
        <v>9141</v>
      </c>
      <c r="E991" s="3" t="s">
        <v>9946</v>
      </c>
      <c r="F991" s="10" t="str">
        <f aca="false">HYPERLINK("https://www.inaturalist.org/people/aravindhankp","aravindhankp")</f>
        <v>aravindhankp</v>
      </c>
      <c r="G991" s="9" t="s">
        <v>13</v>
      </c>
      <c r="H991" s="9" t="s">
        <v>9947</v>
      </c>
    </row>
    <row r="992" customFormat="false" ht="15.75" hidden="false" customHeight="false" outlineLevel="0" collapsed="false">
      <c r="B992" s="7" t="n">
        <v>46222</v>
      </c>
      <c r="C992" s="3" t="s">
        <v>9948</v>
      </c>
      <c r="D992" s="3" t="s">
        <v>9141</v>
      </c>
      <c r="E992" s="3" t="s">
        <v>9949</v>
      </c>
      <c r="F992" s="10" t="str">
        <f aca="false">HYPERLINK("https://www.inaturalist.org/people/vladimir_pankratov","vladimir_pankratov")</f>
        <v>vladimir_pankratov</v>
      </c>
      <c r="G992" s="9" t="s">
        <v>13</v>
      </c>
      <c r="H992" s="9" t="s">
        <v>9950</v>
      </c>
    </row>
    <row r="993" customFormat="false" ht="15.75" hidden="false" customHeight="false" outlineLevel="0" collapsed="false">
      <c r="B993" s="7" t="n">
        <v>46222</v>
      </c>
      <c r="C993" s="3" t="s">
        <v>9951</v>
      </c>
      <c r="D993" s="3" t="s">
        <v>9141</v>
      </c>
      <c r="E993" s="3" t="s">
        <v>9952</v>
      </c>
      <c r="F993" s="10" t="str">
        <f aca="false">HYPERLINK("https://www.inaturalist.org/people/josuergg","josuergg")</f>
        <v>josuergg</v>
      </c>
      <c r="G993" s="9" t="s">
        <v>13</v>
      </c>
      <c r="H993" s="9" t="s">
        <v>9953</v>
      </c>
    </row>
    <row r="994" customFormat="false" ht="15.75" hidden="false" customHeight="false" outlineLevel="0" collapsed="false">
      <c r="B994" s="7" t="n">
        <v>46222</v>
      </c>
      <c r="C994" s="3" t="s">
        <v>9954</v>
      </c>
      <c r="D994" s="3" t="s">
        <v>9141</v>
      </c>
      <c r="E994" s="3" t="s">
        <v>9955</v>
      </c>
      <c r="F994" s="10" t="str">
        <f aca="false">HYPERLINK("https://www.inaturalist.org/people/josuergg","josuergg")</f>
        <v>josuergg</v>
      </c>
      <c r="G994" s="9" t="s">
        <v>13</v>
      </c>
      <c r="H994" s="9" t="s">
        <v>9956</v>
      </c>
    </row>
    <row r="995" customFormat="false" ht="15.75" hidden="false" customHeight="false" outlineLevel="0" collapsed="false">
      <c r="B995" s="7" t="n">
        <v>46222</v>
      </c>
      <c r="C995" s="3" t="s">
        <v>9957</v>
      </c>
      <c r="D995" s="3" t="s">
        <v>9141</v>
      </c>
      <c r="E995" s="3" t="s">
        <v>9958</v>
      </c>
      <c r="F995" s="10" t="str">
        <f aca="false">HYPERLINK("https://www.inaturalist.org/people/jchrowland","jchrowland")</f>
        <v>jchrowland</v>
      </c>
      <c r="G995" s="9" t="s">
        <v>13</v>
      </c>
      <c r="H995" s="9" t="s">
        <v>9959</v>
      </c>
    </row>
    <row r="996" customFormat="false" ht="15.75" hidden="false" customHeight="false" outlineLevel="0" collapsed="false">
      <c r="B996" s="7" t="n">
        <v>46222</v>
      </c>
      <c r="C996" s="3" t="s">
        <v>9960</v>
      </c>
      <c r="D996" s="3" t="s">
        <v>9141</v>
      </c>
      <c r="E996" s="3" t="s">
        <v>9961</v>
      </c>
      <c r="F996" s="10" t="str">
        <f aca="false">HYPERLINK("https://www.inaturalist.org/people/kristenmccarty","kristenmccarty")</f>
        <v>kristenmccarty</v>
      </c>
      <c r="G996" s="9" t="s">
        <v>13</v>
      </c>
      <c r="H996" s="9" t="s">
        <v>9962</v>
      </c>
    </row>
    <row r="997" customFormat="false" ht="15.75" hidden="false" customHeight="false" outlineLevel="0" collapsed="false">
      <c r="B997" s="7" t="n">
        <v>46222</v>
      </c>
      <c r="C997" s="3" t="s">
        <v>9963</v>
      </c>
      <c r="D997" s="3" t="s">
        <v>9141</v>
      </c>
      <c r="E997" s="3" t="s">
        <v>9964</v>
      </c>
      <c r="F997" s="10" t="str">
        <f aca="false">HYPERLINK("https://www.inaturalist.org/people/kristenmccarty","kristenmccarty")</f>
        <v>kristenmccarty</v>
      </c>
      <c r="G997" s="9" t="s">
        <v>13</v>
      </c>
      <c r="H997" s="9" t="s">
        <v>9965</v>
      </c>
    </row>
    <row r="998" customFormat="false" ht="15.75" hidden="false" customHeight="false" outlineLevel="0" collapsed="false">
      <c r="B998" s="7" t="n">
        <v>46222</v>
      </c>
      <c r="C998" s="3" t="s">
        <v>9966</v>
      </c>
      <c r="D998" s="3" t="s">
        <v>9141</v>
      </c>
      <c r="E998" s="3" t="s">
        <v>9967</v>
      </c>
      <c r="F998" s="10" t="str">
        <f aca="false">HYPERLINK("https://www.inaturalist.org/people/petezani","petezani")</f>
        <v>petezani</v>
      </c>
      <c r="G998" s="9" t="s">
        <v>13</v>
      </c>
      <c r="H998" s="9" t="s">
        <v>9968</v>
      </c>
    </row>
    <row r="999" customFormat="false" ht="15.75" hidden="false" customHeight="false" outlineLevel="0" collapsed="false">
      <c r="B999" s="7" t="n">
        <v>46222</v>
      </c>
      <c r="C999" s="3" t="s">
        <v>9969</v>
      </c>
      <c r="D999" s="3" t="s">
        <v>9141</v>
      </c>
      <c r="E999" s="3" t="s">
        <v>9970</v>
      </c>
      <c r="F999" s="10" t="str">
        <f aca="false">HYPERLINK("https://www.inaturalist.org/people/domingomezl","domingomezl")</f>
        <v>domingomezl</v>
      </c>
      <c r="G999" s="9" t="s">
        <v>13</v>
      </c>
      <c r="H999" s="9" t="s">
        <v>9971</v>
      </c>
    </row>
    <row r="1000" customFormat="false" ht="15.75" hidden="false" customHeight="false" outlineLevel="0" collapsed="false">
      <c r="B1000" s="7" t="n">
        <v>46222</v>
      </c>
      <c r="C1000" s="3" t="s">
        <v>9972</v>
      </c>
      <c r="D1000" s="3" t="s">
        <v>9141</v>
      </c>
      <c r="E1000" s="3" t="s">
        <v>9973</v>
      </c>
      <c r="F1000" s="10" t="str">
        <f aca="false">HYPERLINK("https://www.inaturalist.org/people/bbastos","bbastos")</f>
        <v>bbastos</v>
      </c>
      <c r="G1000" s="9" t="s">
        <v>13</v>
      </c>
      <c r="H1000" s="9" t="s">
        <v>9974</v>
      </c>
    </row>
    <row r="1001" customFormat="false" ht="15.75" hidden="false" customHeight="false" outlineLevel="0" collapsed="false">
      <c r="B1001" s="7" t="n">
        <v>46222</v>
      </c>
      <c r="C1001" s="3" t="s">
        <v>9975</v>
      </c>
      <c r="D1001" s="3" t="s">
        <v>9141</v>
      </c>
      <c r="E1001" s="3" t="s">
        <v>9976</v>
      </c>
      <c r="F1001" s="10" t="str">
        <f aca="false">HYPERLINK("https://www.inaturalist.org/people/mandarijn77","mandarijn77")</f>
        <v>mandarijn77</v>
      </c>
      <c r="G1001" s="9" t="s">
        <v>13</v>
      </c>
      <c r="H1001" s="9" t="s">
        <v>9977</v>
      </c>
    </row>
    <row r="1002" customFormat="false" ht="15.75" hidden="false" customHeight="false" outlineLevel="0" collapsed="false">
      <c r="B1002" s="7" t="n">
        <v>46222</v>
      </c>
      <c r="C1002" s="3" t="s">
        <v>9978</v>
      </c>
      <c r="D1002" s="3" t="s">
        <v>9141</v>
      </c>
      <c r="E1002" s="3" t="s">
        <v>9979</v>
      </c>
      <c r="F1002" s="10" t="str">
        <f aca="false">HYPERLINK("https://www.inaturalist.org/people/holgersanchez","holgersanchez")</f>
        <v>holgersanchez</v>
      </c>
      <c r="G1002" s="9" t="s">
        <v>13</v>
      </c>
      <c r="H1002" s="9" t="s">
        <v>9980</v>
      </c>
    </row>
    <row r="1003" customFormat="false" ht="15.75" hidden="false" customHeight="false" outlineLevel="0" collapsed="false">
      <c r="B1003" s="7" t="n">
        <v>46222</v>
      </c>
      <c r="C1003" s="3" t="s">
        <v>9981</v>
      </c>
      <c r="D1003" s="3" t="s">
        <v>9982</v>
      </c>
      <c r="E1003" s="3" t="s">
        <v>9983</v>
      </c>
      <c r="F1003" s="10" t="str">
        <f aca="false">HYPERLINK("https://www.inaturalist.org/people/imbirdingit","imbirdingit")</f>
        <v>imbirdingit</v>
      </c>
      <c r="G1003" s="9" t="s">
        <v>13</v>
      </c>
      <c r="H1003" s="9" t="s">
        <v>9984</v>
      </c>
    </row>
    <row r="1004" customFormat="false" ht="15.75" hidden="false" customHeight="false" outlineLevel="0" collapsed="false">
      <c r="B1004" s="7" t="n">
        <v>46222</v>
      </c>
      <c r="C1004" s="3" t="s">
        <v>9985</v>
      </c>
      <c r="D1004" s="3" t="s">
        <v>9982</v>
      </c>
      <c r="E1004" s="3" t="s">
        <v>9986</v>
      </c>
      <c r="F1004" s="10" t="str">
        <f aca="false">HYPERLINK("https://www.inaturalist.org/people/torijanese15","torijanese15")</f>
        <v>torijanese15</v>
      </c>
      <c r="G1004" s="9" t="s">
        <v>13</v>
      </c>
      <c r="H1004" s="9" t="s">
        <v>9987</v>
      </c>
    </row>
    <row r="1005" customFormat="false" ht="15.75" hidden="false" customHeight="false" outlineLevel="0" collapsed="false">
      <c r="B1005" s="7" t="n">
        <v>46222</v>
      </c>
      <c r="C1005" s="3" t="s">
        <v>9988</v>
      </c>
      <c r="D1005" s="3" t="s">
        <v>9982</v>
      </c>
      <c r="E1005" s="3" t="s">
        <v>9989</v>
      </c>
      <c r="F1005" s="10" t="str">
        <f aca="false">HYPERLINK("https://www.inaturalist.org/people/danceswithplants","danceswithplants")</f>
        <v>danceswithplants</v>
      </c>
      <c r="G1005" s="9" t="s">
        <v>13</v>
      </c>
      <c r="H1005" s="9" t="s">
        <v>9990</v>
      </c>
    </row>
    <row r="1006" customFormat="false" ht="15.75" hidden="false" customHeight="false" outlineLevel="0" collapsed="false">
      <c r="B1006" s="7" t="n">
        <v>46222</v>
      </c>
      <c r="C1006" s="3" t="s">
        <v>9991</v>
      </c>
      <c r="D1006" s="3" t="s">
        <v>9982</v>
      </c>
      <c r="E1006" s="3" t="s">
        <v>9992</v>
      </c>
      <c r="F1006" s="10" t="str">
        <f aca="false">HYPERLINK("https://www.inaturalist.org/people/murrdogg","murrdogg")</f>
        <v>murrdogg</v>
      </c>
      <c r="G1006" s="9" t="s">
        <v>13</v>
      </c>
      <c r="H1006" s="9" t="s">
        <v>9993</v>
      </c>
    </row>
    <row r="1007" customFormat="false" ht="15.75" hidden="false" customHeight="false" outlineLevel="0" collapsed="false">
      <c r="B1007" s="7" t="n">
        <v>46222</v>
      </c>
      <c r="C1007" s="3" t="s">
        <v>9994</v>
      </c>
      <c r="D1007" s="3" t="s">
        <v>9982</v>
      </c>
      <c r="E1007" s="3" t="s">
        <v>9995</v>
      </c>
      <c r="F1007" s="10" t="str">
        <f aca="false">HYPERLINK("https://www.inaturalist.org/people/drclements","drclements")</f>
        <v>drclements</v>
      </c>
      <c r="G1007" s="9" t="s">
        <v>13</v>
      </c>
      <c r="H1007" s="9" t="s">
        <v>9996</v>
      </c>
    </row>
    <row r="1008" customFormat="false" ht="15.75" hidden="false" customHeight="false" outlineLevel="0" collapsed="false">
      <c r="B1008" s="7" t="n">
        <v>46222</v>
      </c>
      <c r="C1008" s="3" t="s">
        <v>9997</v>
      </c>
      <c r="D1008" s="3" t="s">
        <v>9982</v>
      </c>
      <c r="E1008" s="3" t="s">
        <v>9998</v>
      </c>
      <c r="F1008" s="10" t="str">
        <f aca="false">HYPERLINK("https://www.inaturalist.org/people/drclements","drclements")</f>
        <v>drclements</v>
      </c>
      <c r="G1008" s="9" t="s">
        <v>13</v>
      </c>
      <c r="H1008" s="9" t="s">
        <v>9999</v>
      </c>
    </row>
    <row r="1009" customFormat="false" ht="15.75" hidden="false" customHeight="false" outlineLevel="0" collapsed="false">
      <c r="B1009" s="7" t="n">
        <v>46222</v>
      </c>
      <c r="C1009" s="3" t="s">
        <v>10000</v>
      </c>
      <c r="D1009" s="3" t="s">
        <v>9982</v>
      </c>
      <c r="E1009" s="3" t="s">
        <v>10001</v>
      </c>
      <c r="F1009" s="10" t="str">
        <f aca="false">HYPERLINK("https://www.inaturalist.org/people/drclements","drclements")</f>
        <v>drclements</v>
      </c>
      <c r="G1009" s="9" t="s">
        <v>13</v>
      </c>
      <c r="H1009" s="9" t="s">
        <v>10002</v>
      </c>
    </row>
    <row r="1010" customFormat="false" ht="15.75" hidden="false" customHeight="false" outlineLevel="0" collapsed="false">
      <c r="B1010" s="7" t="n">
        <v>46222</v>
      </c>
      <c r="C1010" s="3" t="s">
        <v>10003</v>
      </c>
      <c r="D1010" s="3" t="s">
        <v>9982</v>
      </c>
      <c r="E1010" s="3" t="s">
        <v>10004</v>
      </c>
      <c r="F1010" s="10" t="str">
        <f aca="false">HYPERLINK("https://www.inaturalist.org/people/aandrukhovich","aandrukhovich")</f>
        <v>aandrukhovich</v>
      </c>
      <c r="G1010" s="9" t="s">
        <v>13</v>
      </c>
      <c r="H1010" s="9" t="s">
        <v>10005</v>
      </c>
    </row>
    <row r="1011" customFormat="false" ht="15.75" hidden="false" customHeight="false" outlineLevel="0" collapsed="false">
      <c r="B1011" s="7" t="n">
        <v>46222</v>
      </c>
      <c r="C1011" s="3" t="s">
        <v>10006</v>
      </c>
      <c r="D1011" s="3" t="s">
        <v>9982</v>
      </c>
      <c r="E1011" s="3" t="s">
        <v>10007</v>
      </c>
      <c r="F1011" s="10" t="str">
        <f aca="false">HYPERLINK("https://www.inaturalist.org/people/imbirdingit","imbirdingit")</f>
        <v>imbirdingit</v>
      </c>
      <c r="G1011" s="9" t="s">
        <v>13</v>
      </c>
      <c r="H1011" s="9" t="s">
        <v>10008</v>
      </c>
    </row>
    <row r="1012" customFormat="false" ht="15.75" hidden="false" customHeight="false" outlineLevel="0" collapsed="false">
      <c r="B1012" s="7" t="n">
        <v>46222</v>
      </c>
      <c r="C1012" s="3" t="s">
        <v>10009</v>
      </c>
      <c r="D1012" s="3" t="s">
        <v>9982</v>
      </c>
      <c r="E1012" s="3" t="s">
        <v>10010</v>
      </c>
      <c r="F1012" s="10" t="str">
        <f aca="false">HYPERLINK("https://www.inaturalist.org/people/mikechen","mikechen")</f>
        <v>mikechen</v>
      </c>
      <c r="G1012" s="9" t="s">
        <v>13</v>
      </c>
      <c r="H1012" s="9" t="s">
        <v>10011</v>
      </c>
    </row>
    <row r="1013" customFormat="false" ht="15.75" hidden="false" customHeight="false" outlineLevel="0" collapsed="false">
      <c r="B1013" s="7" t="n">
        <v>46222</v>
      </c>
      <c r="C1013" s="3" t="s">
        <v>10012</v>
      </c>
      <c r="D1013" s="3" t="s">
        <v>9982</v>
      </c>
      <c r="E1013" s="3" t="s">
        <v>10013</v>
      </c>
      <c r="F1013" s="10" t="str">
        <f aca="false">HYPERLINK("https://www.inaturalist.org/people/beth_bechtel","beth_bechtel")</f>
        <v>beth_bechtel</v>
      </c>
      <c r="G1013" s="9" t="s">
        <v>13</v>
      </c>
      <c r="H1013" s="9" t="s">
        <v>10014</v>
      </c>
    </row>
    <row r="1014" customFormat="false" ht="15.75" hidden="false" customHeight="false" outlineLevel="0" collapsed="false">
      <c r="B1014" s="7" t="n">
        <v>46222</v>
      </c>
      <c r="C1014" s="3" t="s">
        <v>10015</v>
      </c>
      <c r="D1014" s="3" t="s">
        <v>9982</v>
      </c>
      <c r="E1014" s="3" t="s">
        <v>10016</v>
      </c>
      <c r="F1014" s="10" t="str">
        <f aca="false">HYPERLINK("https://www.inaturalist.org/people/imbirdingit","imbirdingit")</f>
        <v>imbirdingit</v>
      </c>
      <c r="G1014" s="9" t="s">
        <v>13</v>
      </c>
      <c r="H1014" s="9" t="s">
        <v>10017</v>
      </c>
    </row>
    <row r="1015" customFormat="false" ht="15.75" hidden="false" customHeight="false" outlineLevel="0" collapsed="false">
      <c r="B1015" s="7" t="n">
        <v>46222</v>
      </c>
      <c r="C1015" s="3" t="s">
        <v>10018</v>
      </c>
      <c r="D1015" s="3" t="s">
        <v>9982</v>
      </c>
      <c r="E1015" s="3" t="s">
        <v>10019</v>
      </c>
      <c r="F1015" s="10" t="str">
        <f aca="false">HYPERLINK("https://www.inaturalist.org/people/sschiereck","sschiereck")</f>
        <v>sschiereck</v>
      </c>
      <c r="G1015" s="9" t="s">
        <v>13</v>
      </c>
      <c r="H1015" s="9" t="s">
        <v>10020</v>
      </c>
    </row>
    <row r="1016" customFormat="false" ht="15.75" hidden="false" customHeight="false" outlineLevel="0" collapsed="false">
      <c r="B1016" s="7" t="n">
        <v>46222</v>
      </c>
      <c r="C1016" s="3" t="s">
        <v>10021</v>
      </c>
      <c r="D1016" s="3" t="s">
        <v>9982</v>
      </c>
      <c r="E1016" s="3" t="s">
        <v>10022</v>
      </c>
      <c r="F1016" s="10" t="str">
        <f aca="false">HYPERLINK("https://www.inaturalist.org/people/rootfactor","rootfactor")</f>
        <v>rootfactor</v>
      </c>
      <c r="G1016" s="9" t="s">
        <v>13</v>
      </c>
      <c r="H1016" s="9" t="s">
        <v>10023</v>
      </c>
    </row>
    <row r="1017" customFormat="false" ht="15.75" hidden="false" customHeight="false" outlineLevel="0" collapsed="false">
      <c r="B1017" s="7" t="n">
        <v>46222</v>
      </c>
      <c r="C1017" s="3" t="s">
        <v>10024</v>
      </c>
      <c r="D1017" s="3" t="s">
        <v>9982</v>
      </c>
      <c r="E1017" s="3" t="s">
        <v>10025</v>
      </c>
      <c r="F1017" s="10" t="str">
        <f aca="false">HYPERLINK("https://www.inaturalist.org/people/heidi_yc_smith","heidi_yc_smith")</f>
        <v>heidi_yc_smith</v>
      </c>
      <c r="G1017" s="9" t="s">
        <v>13</v>
      </c>
      <c r="H1017" s="9" t="s">
        <v>10026</v>
      </c>
    </row>
    <row r="1018" customFormat="false" ht="15.75" hidden="false" customHeight="false" outlineLevel="0" collapsed="false">
      <c r="B1018" s="7" t="n">
        <v>46222</v>
      </c>
      <c r="C1018" s="3" t="s">
        <v>10027</v>
      </c>
      <c r="D1018" s="3" t="s">
        <v>9982</v>
      </c>
      <c r="E1018" s="3" t="s">
        <v>10028</v>
      </c>
      <c r="F1018" s="10" t="str">
        <f aca="false">HYPERLINK("https://www.inaturalist.org/people/rootfactor","rootfactor")</f>
        <v>rootfactor</v>
      </c>
      <c r="G1018" s="9" t="s">
        <v>13</v>
      </c>
      <c r="H1018" s="9" t="s">
        <v>10029</v>
      </c>
    </row>
    <row r="1019" customFormat="false" ht="15.75" hidden="false" customHeight="false" outlineLevel="0" collapsed="false">
      <c r="B1019" s="7" t="n">
        <v>46222</v>
      </c>
      <c r="C1019" s="3" t="s">
        <v>10030</v>
      </c>
      <c r="D1019" s="3" t="s">
        <v>9982</v>
      </c>
      <c r="E1019" s="3" t="s">
        <v>10031</v>
      </c>
      <c r="F1019" s="10" t="str">
        <f aca="false">HYPERLINK("https://www.inaturalist.org/people/christian_florante","christian_florante")</f>
        <v>christian_florante</v>
      </c>
      <c r="G1019" s="9" t="s">
        <v>13</v>
      </c>
      <c r="H1019" s="9" t="s">
        <v>10032</v>
      </c>
    </row>
    <row r="1020" customFormat="false" ht="15.75" hidden="false" customHeight="false" outlineLevel="0" collapsed="false">
      <c r="B1020" s="7" t="n">
        <v>46222</v>
      </c>
      <c r="C1020" s="3" t="s">
        <v>10033</v>
      </c>
      <c r="D1020" s="3" t="s">
        <v>9982</v>
      </c>
      <c r="E1020" s="3" t="s">
        <v>10034</v>
      </c>
      <c r="F1020" s="10" t="str">
        <f aca="false">HYPERLINK("https://www.inaturalist.org/people/ghostlemur","ghostlemur")</f>
        <v>ghostlemur</v>
      </c>
      <c r="G1020" s="9" t="s">
        <v>13</v>
      </c>
      <c r="H1020" s="9" t="s">
        <v>10035</v>
      </c>
    </row>
    <row r="1021" customFormat="false" ht="15.75" hidden="false" customHeight="false" outlineLevel="0" collapsed="false">
      <c r="B1021" s="7" t="n">
        <v>46222</v>
      </c>
      <c r="C1021" s="3" t="s">
        <v>10036</v>
      </c>
      <c r="D1021" s="3" t="s">
        <v>9982</v>
      </c>
      <c r="E1021" s="3" t="s">
        <v>10037</v>
      </c>
      <c r="F1021" s="10" t="str">
        <f aca="false">HYPERLINK("https://www.inaturalist.org/people/rootfactor","rootfactor")</f>
        <v>rootfactor</v>
      </c>
      <c r="G1021" s="9" t="s">
        <v>13</v>
      </c>
      <c r="H1021" s="9" t="s">
        <v>10038</v>
      </c>
    </row>
    <row r="1022" customFormat="false" ht="15.75" hidden="false" customHeight="false" outlineLevel="0" collapsed="false">
      <c r="B1022" s="7" t="n">
        <v>46222</v>
      </c>
      <c r="C1022" s="3" t="s">
        <v>10039</v>
      </c>
      <c r="D1022" s="3" t="s">
        <v>9982</v>
      </c>
      <c r="E1022" s="3" t="s">
        <v>10040</v>
      </c>
      <c r="F1022" s="10" t="str">
        <f aca="false">HYPERLINK("https://www.inaturalist.org/people/mimsa","mimsa")</f>
        <v>mimsa</v>
      </c>
      <c r="G1022" s="9" t="s">
        <v>13</v>
      </c>
      <c r="H1022" s="9" t="s">
        <v>10041</v>
      </c>
    </row>
    <row r="1023" customFormat="false" ht="15.75" hidden="false" customHeight="false" outlineLevel="0" collapsed="false">
      <c r="B1023" s="7" t="n">
        <v>46222</v>
      </c>
      <c r="C1023" s="3" t="s">
        <v>10042</v>
      </c>
      <c r="D1023" s="3" t="s">
        <v>9982</v>
      </c>
      <c r="E1023" s="3" t="s">
        <v>10043</v>
      </c>
      <c r="F1023" s="10" t="str">
        <f aca="false">HYPERLINK("https://www.inaturalist.org/people/mimsa","mimsa")</f>
        <v>mimsa</v>
      </c>
      <c r="G1023" s="9" t="s">
        <v>13</v>
      </c>
      <c r="H1023" s="9" t="s">
        <v>10044</v>
      </c>
    </row>
    <row r="1024" customFormat="false" ht="15.75" hidden="false" customHeight="false" outlineLevel="0" collapsed="false">
      <c r="B1024" s="7" t="n">
        <v>46222</v>
      </c>
      <c r="C1024" s="3" t="s">
        <v>10045</v>
      </c>
      <c r="D1024" s="3" t="s">
        <v>9982</v>
      </c>
      <c r="E1024" s="3" t="s">
        <v>10046</v>
      </c>
      <c r="F1024" s="10" t="str">
        <f aca="false">HYPERLINK("https://www.inaturalist.org/people/mimsa","mimsa")</f>
        <v>mimsa</v>
      </c>
      <c r="G1024" s="9" t="s">
        <v>13</v>
      </c>
      <c r="H1024" s="9" t="s">
        <v>10047</v>
      </c>
    </row>
    <row r="1025" customFormat="false" ht="15.75" hidden="false" customHeight="false" outlineLevel="0" collapsed="false">
      <c r="B1025" s="7" t="n">
        <v>46222</v>
      </c>
      <c r="C1025" s="3" t="s">
        <v>10048</v>
      </c>
      <c r="D1025" s="3" t="s">
        <v>9982</v>
      </c>
      <c r="E1025" s="3" t="s">
        <v>10049</v>
      </c>
      <c r="F1025" s="10" t="str">
        <f aca="false">HYPERLINK("https://www.inaturalist.org/people/tabithasbowl","tabithasbowl")</f>
        <v>tabithasbowl</v>
      </c>
      <c r="G1025" s="9" t="s">
        <v>13</v>
      </c>
      <c r="H1025" s="9" t="s">
        <v>10050</v>
      </c>
    </row>
    <row r="1026" customFormat="false" ht="15.75" hidden="false" customHeight="false" outlineLevel="0" collapsed="false">
      <c r="B1026" s="7" t="n">
        <v>46222</v>
      </c>
      <c r="C1026" s="3" t="s">
        <v>10051</v>
      </c>
      <c r="D1026" s="3" t="s">
        <v>9982</v>
      </c>
      <c r="E1026" s="3" t="s">
        <v>10052</v>
      </c>
      <c r="F1026" s="10" t="str">
        <f aca="false">HYPERLINK("https://www.inaturalist.org/people/cubbies1727","cubbies1727")</f>
        <v>cubbies1727</v>
      </c>
      <c r="G1026" s="9" t="s">
        <v>13</v>
      </c>
      <c r="H1026" s="9" t="s">
        <v>10053</v>
      </c>
    </row>
    <row r="1027" customFormat="false" ht="15.75" hidden="false" customHeight="false" outlineLevel="0" collapsed="false">
      <c r="B1027" s="7" t="n">
        <v>46222</v>
      </c>
      <c r="C1027" s="3" t="s">
        <v>10054</v>
      </c>
      <c r="D1027" s="3" t="s">
        <v>9982</v>
      </c>
      <c r="E1027" s="3" t="s">
        <v>10055</v>
      </c>
      <c r="F1027" s="10" t="str">
        <f aca="false">HYPERLINK("https://www.inaturalist.org/people/cubbies1727","cubbies1727")</f>
        <v>cubbies1727</v>
      </c>
      <c r="G1027" s="9" t="s">
        <v>13</v>
      </c>
      <c r="H1027" s="9" t="s">
        <v>10056</v>
      </c>
    </row>
    <row r="1028" customFormat="false" ht="15.75" hidden="false" customHeight="false" outlineLevel="0" collapsed="false">
      <c r="B1028" s="7" t="n">
        <v>46222</v>
      </c>
      <c r="C1028" s="3" t="s">
        <v>10057</v>
      </c>
      <c r="D1028" s="3" t="s">
        <v>9982</v>
      </c>
      <c r="E1028" s="3" t="s">
        <v>10058</v>
      </c>
      <c r="F1028" s="10" t="str">
        <f aca="false">HYPERLINK("https://www.inaturalist.org/people/cubbies1727","cubbies1727")</f>
        <v>cubbies1727</v>
      </c>
      <c r="G1028" s="9" t="s">
        <v>13</v>
      </c>
      <c r="H1028" s="9" t="s">
        <v>10059</v>
      </c>
    </row>
    <row r="1029" customFormat="false" ht="15.75" hidden="false" customHeight="false" outlineLevel="0" collapsed="false">
      <c r="B1029" s="7" t="n">
        <v>46222</v>
      </c>
      <c r="C1029" s="3" t="s">
        <v>10060</v>
      </c>
      <c r="D1029" s="3" t="s">
        <v>9982</v>
      </c>
      <c r="E1029" s="3" t="s">
        <v>10061</v>
      </c>
      <c r="F1029" s="10" t="str">
        <f aca="false">HYPERLINK("https://www.inaturalist.org/people/cubbies1727","cubbies1727")</f>
        <v>cubbies1727</v>
      </c>
      <c r="G1029" s="9" t="s">
        <v>13</v>
      </c>
      <c r="H1029" s="9" t="s">
        <v>10062</v>
      </c>
    </row>
    <row r="1030" customFormat="false" ht="15.75" hidden="false" customHeight="false" outlineLevel="0" collapsed="false">
      <c r="B1030" s="7" t="n">
        <v>46222</v>
      </c>
      <c r="C1030" s="3" t="s">
        <v>10063</v>
      </c>
      <c r="D1030" s="3" t="s">
        <v>9982</v>
      </c>
      <c r="E1030" s="3" t="s">
        <v>10064</v>
      </c>
      <c r="F1030" s="10" t="str">
        <f aca="false">HYPERLINK("https://www.inaturalist.org/people/tcriley","tcriley")</f>
        <v>tcriley</v>
      </c>
      <c r="G1030" s="9" t="s">
        <v>13</v>
      </c>
      <c r="H1030" s="9" t="s">
        <v>10065</v>
      </c>
    </row>
    <row r="1031" customFormat="false" ht="15.75" hidden="false" customHeight="false" outlineLevel="0" collapsed="false">
      <c r="B1031" s="7" t="n">
        <v>46222</v>
      </c>
      <c r="C1031" s="3" t="s">
        <v>10066</v>
      </c>
      <c r="D1031" s="3" t="s">
        <v>9982</v>
      </c>
      <c r="E1031" s="3" t="s">
        <v>10067</v>
      </c>
      <c r="F1031" s="10" t="str">
        <f aca="false">HYPERLINK("https://www.inaturalist.org/people/tcriley","tcriley")</f>
        <v>tcriley</v>
      </c>
      <c r="G1031" s="9" t="s">
        <v>13</v>
      </c>
      <c r="H1031" s="9" t="s">
        <v>10068</v>
      </c>
    </row>
    <row r="1032" customFormat="false" ht="15.75" hidden="false" customHeight="false" outlineLevel="0" collapsed="false">
      <c r="B1032" s="7" t="n">
        <v>46222</v>
      </c>
      <c r="C1032" s="3" t="s">
        <v>10069</v>
      </c>
      <c r="D1032" s="3" t="s">
        <v>9982</v>
      </c>
      <c r="E1032" s="3" t="s">
        <v>10070</v>
      </c>
      <c r="F1032" s="10" t="str">
        <f aca="false">HYPERLINK("https://www.inaturalist.org/people/tcriley","tcriley")</f>
        <v>tcriley</v>
      </c>
      <c r="G1032" s="9" t="s">
        <v>13</v>
      </c>
      <c r="H1032" s="9" t="s">
        <v>10071</v>
      </c>
    </row>
    <row r="1033" customFormat="false" ht="15.75" hidden="false" customHeight="false" outlineLevel="0" collapsed="false">
      <c r="B1033" s="7" t="n">
        <v>46222</v>
      </c>
      <c r="C1033" s="3" t="s">
        <v>10072</v>
      </c>
      <c r="D1033" s="3" t="s">
        <v>9982</v>
      </c>
      <c r="E1033" s="3" t="s">
        <v>10073</v>
      </c>
      <c r="F1033" s="10" t="str">
        <f aca="false">HYPERLINK("https://www.inaturalist.org/people/tcriley","tcriley")</f>
        <v>tcriley</v>
      </c>
      <c r="G1033" s="9" t="s">
        <v>13</v>
      </c>
      <c r="H1033" s="9" t="s">
        <v>10074</v>
      </c>
    </row>
    <row r="1034" customFormat="false" ht="15.75" hidden="false" customHeight="false" outlineLevel="0" collapsed="false">
      <c r="B1034" s="7" t="n">
        <v>46222</v>
      </c>
      <c r="C1034" s="3" t="s">
        <v>10075</v>
      </c>
      <c r="D1034" s="3" t="s">
        <v>9982</v>
      </c>
      <c r="E1034" s="3" t="s">
        <v>10076</v>
      </c>
      <c r="F1034" s="10" t="str">
        <f aca="false">HYPERLINK("https://www.inaturalist.org/people/tcriley","tcriley")</f>
        <v>tcriley</v>
      </c>
      <c r="G1034" s="9" t="s">
        <v>13</v>
      </c>
      <c r="H1034" s="9" t="s">
        <v>10077</v>
      </c>
    </row>
    <row r="1035" customFormat="false" ht="15.75" hidden="false" customHeight="false" outlineLevel="0" collapsed="false">
      <c r="B1035" s="7" t="n">
        <v>46222</v>
      </c>
      <c r="C1035" s="3" t="s">
        <v>10078</v>
      </c>
      <c r="D1035" s="3" t="s">
        <v>9982</v>
      </c>
      <c r="E1035" s="3" t="s">
        <v>10079</v>
      </c>
      <c r="F1035" s="10" t="str">
        <f aca="false">HYPERLINK("https://www.inaturalist.org/people/tcriley","tcriley")</f>
        <v>tcriley</v>
      </c>
      <c r="G1035" s="9" t="s">
        <v>13</v>
      </c>
      <c r="H1035" s="9" t="s">
        <v>10080</v>
      </c>
    </row>
    <row r="1036" customFormat="false" ht="15.75" hidden="false" customHeight="false" outlineLevel="0" collapsed="false">
      <c r="B1036" s="7" t="n">
        <v>46222</v>
      </c>
      <c r="C1036" s="3" t="s">
        <v>10081</v>
      </c>
      <c r="D1036" s="3" t="s">
        <v>9982</v>
      </c>
      <c r="E1036" s="3" t="s">
        <v>10082</v>
      </c>
      <c r="F1036" s="10" t="str">
        <f aca="false">HYPERLINK("https://www.inaturalist.org/people/tcriley","tcriley")</f>
        <v>tcriley</v>
      </c>
      <c r="G1036" s="9" t="s">
        <v>13</v>
      </c>
      <c r="H1036" s="9" t="s">
        <v>10083</v>
      </c>
    </row>
    <row r="1037" customFormat="false" ht="15.75" hidden="false" customHeight="false" outlineLevel="0" collapsed="false">
      <c r="B1037" s="7" t="n">
        <v>46222</v>
      </c>
      <c r="C1037" s="3" t="s">
        <v>10084</v>
      </c>
      <c r="D1037" s="3" t="s">
        <v>9982</v>
      </c>
      <c r="E1037" s="3" t="s">
        <v>10085</v>
      </c>
      <c r="F1037" s="10" t="str">
        <f aca="false">HYPERLINK("https://www.inaturalist.org/people/rootfactor","rootfactor")</f>
        <v>rootfactor</v>
      </c>
      <c r="G1037" s="9" t="s">
        <v>13</v>
      </c>
      <c r="H1037" s="9" t="s">
        <v>10086</v>
      </c>
    </row>
    <row r="1038" customFormat="false" ht="15.75" hidden="false" customHeight="false" outlineLevel="0" collapsed="false">
      <c r="B1038" s="7" t="n">
        <v>46222</v>
      </c>
      <c r="C1038" s="3" t="s">
        <v>10087</v>
      </c>
      <c r="D1038" s="3" t="s">
        <v>9982</v>
      </c>
      <c r="E1038" s="3" t="s">
        <v>10088</v>
      </c>
      <c r="F1038" s="10" t="str">
        <f aca="false">HYPERLINK("https://www.inaturalist.org/people/ldickens06","ldickens06")</f>
        <v>ldickens06</v>
      </c>
      <c r="G1038" s="9" t="s">
        <v>13</v>
      </c>
      <c r="H1038" s="9" t="s">
        <v>10089</v>
      </c>
    </row>
    <row r="1039" customFormat="false" ht="15.75" hidden="false" customHeight="false" outlineLevel="0" collapsed="false">
      <c r="B1039" s="7" t="n">
        <v>46222</v>
      </c>
      <c r="C1039" s="3" t="s">
        <v>10090</v>
      </c>
      <c r="D1039" s="3" t="s">
        <v>9982</v>
      </c>
      <c r="E1039" s="3" t="s">
        <v>10091</v>
      </c>
      <c r="F1039" s="10" t="str">
        <f aca="false">HYPERLINK("https://www.inaturalist.org/people/matthewt6416","matthewt6416")</f>
        <v>matthewt6416</v>
      </c>
      <c r="G1039" s="9" t="s">
        <v>13</v>
      </c>
      <c r="H1039" s="9" t="s">
        <v>10092</v>
      </c>
    </row>
    <row r="1040" customFormat="false" ht="15.75" hidden="false" customHeight="false" outlineLevel="0" collapsed="false">
      <c r="B1040" s="7" t="n">
        <v>46222</v>
      </c>
      <c r="C1040" s="3" t="s">
        <v>10093</v>
      </c>
      <c r="D1040" s="3" t="s">
        <v>9982</v>
      </c>
      <c r="E1040" s="3" t="s">
        <v>10094</v>
      </c>
      <c r="F1040" s="10" t="str">
        <f aca="false">HYPERLINK("https://www.inaturalist.org/people/torijanese15","torijanese15")</f>
        <v>torijanese15</v>
      </c>
      <c r="G1040" s="9" t="s">
        <v>13</v>
      </c>
      <c r="H1040" s="9" t="s">
        <v>10095</v>
      </c>
    </row>
    <row r="1041" customFormat="false" ht="15.75" hidden="false" customHeight="false" outlineLevel="0" collapsed="false">
      <c r="B1041" s="7" t="n">
        <v>46222</v>
      </c>
      <c r="C1041" s="3" t="s">
        <v>10096</v>
      </c>
      <c r="D1041" s="3" t="s">
        <v>9982</v>
      </c>
      <c r="E1041" s="3" t="s">
        <v>10097</v>
      </c>
      <c r="F1041" s="10" t="str">
        <f aca="false">HYPERLINK("https://www.inaturalist.org/people/bretturner","bretturner")</f>
        <v>bretturner</v>
      </c>
      <c r="G1041" s="9" t="s">
        <v>13</v>
      </c>
      <c r="H1041" s="9" t="s">
        <v>10098</v>
      </c>
    </row>
    <row r="1042" customFormat="false" ht="15.75" hidden="false" customHeight="false" outlineLevel="0" collapsed="false">
      <c r="B1042" s="7" t="n">
        <v>46222</v>
      </c>
      <c r="C1042" s="3" t="s">
        <v>10099</v>
      </c>
      <c r="D1042" s="3" t="s">
        <v>9982</v>
      </c>
      <c r="E1042" s="3" t="s">
        <v>10100</v>
      </c>
      <c r="F1042" s="10" t="str">
        <f aca="false">HYPERLINK("https://www.inaturalist.org/people/bretturner","bretturner")</f>
        <v>bretturner</v>
      </c>
      <c r="G1042" s="9" t="s">
        <v>13</v>
      </c>
      <c r="H1042" s="9" t="s">
        <v>10101</v>
      </c>
    </row>
    <row r="1043" customFormat="false" ht="15.75" hidden="false" customHeight="false" outlineLevel="0" collapsed="false">
      <c r="B1043" s="7" t="n">
        <v>46222</v>
      </c>
      <c r="C1043" s="3" t="s">
        <v>10102</v>
      </c>
      <c r="D1043" s="3" t="s">
        <v>9982</v>
      </c>
      <c r="E1043" s="3" t="s">
        <v>10103</v>
      </c>
      <c r="F1043" s="10" t="str">
        <f aca="false">HYPERLINK("https://www.inaturalist.org/people/suecee","suecee")</f>
        <v>suecee</v>
      </c>
      <c r="G1043" s="9" t="s">
        <v>13</v>
      </c>
      <c r="H1043" s="9" t="s">
        <v>10104</v>
      </c>
    </row>
    <row r="1044" customFormat="false" ht="15.75" hidden="false" customHeight="false" outlineLevel="0" collapsed="false">
      <c r="B1044" s="7" t="n">
        <v>46222</v>
      </c>
      <c r="C1044" s="3" t="s">
        <v>10105</v>
      </c>
      <c r="D1044" s="3" t="s">
        <v>9982</v>
      </c>
      <c r="E1044" s="3" t="s">
        <v>10106</v>
      </c>
      <c r="F1044" s="10" t="str">
        <f aca="false">HYPERLINK("https://www.inaturalist.org/people/kokhuitan","kokhuitan")</f>
        <v>kokhuitan</v>
      </c>
      <c r="G1044" s="9" t="s">
        <v>13</v>
      </c>
      <c r="H1044" s="9" t="s">
        <v>10107</v>
      </c>
    </row>
    <row r="1045" customFormat="false" ht="15.75" hidden="false" customHeight="false" outlineLevel="0" collapsed="false">
      <c r="B1045" s="7" t="n">
        <v>46222</v>
      </c>
      <c r="C1045" s="3" t="s">
        <v>10108</v>
      </c>
      <c r="D1045" s="3" t="s">
        <v>9982</v>
      </c>
      <c r="E1045" s="3" t="s">
        <v>10109</v>
      </c>
      <c r="F1045" s="10" t="str">
        <f aca="false">HYPERLINK("https://www.inaturalist.org/people/kokhuitan","kokhuitan")</f>
        <v>kokhuitan</v>
      </c>
      <c r="G1045" s="9" t="s">
        <v>13</v>
      </c>
      <c r="H1045" s="9" t="s">
        <v>10110</v>
      </c>
    </row>
    <row r="1046" customFormat="false" ht="15.75" hidden="false" customHeight="false" outlineLevel="0" collapsed="false">
      <c r="B1046" s="7" t="n">
        <v>46222</v>
      </c>
      <c r="C1046" s="3" t="s">
        <v>10111</v>
      </c>
      <c r="D1046" s="3" t="s">
        <v>9982</v>
      </c>
      <c r="E1046" s="3" t="s">
        <v>10112</v>
      </c>
      <c r="F1046" s="10" t="str">
        <f aca="false">HYPERLINK("https://www.inaturalist.org/people/tcriley","tcriley")</f>
        <v>tcriley</v>
      </c>
      <c r="G1046" s="9" t="s">
        <v>13</v>
      </c>
      <c r="H1046" s="9" t="s">
        <v>10113</v>
      </c>
    </row>
    <row r="1047" customFormat="false" ht="15.75" hidden="false" customHeight="false" outlineLevel="0" collapsed="false">
      <c r="B1047" s="7" t="n">
        <v>46222</v>
      </c>
      <c r="C1047" s="3" t="s">
        <v>10114</v>
      </c>
      <c r="D1047" s="3" t="s">
        <v>9982</v>
      </c>
      <c r="E1047" s="3" t="s">
        <v>10115</v>
      </c>
      <c r="F1047" s="10" t="str">
        <f aca="false">HYPERLINK("https://www.inaturalist.org/people/tcriley","tcriley")</f>
        <v>tcriley</v>
      </c>
      <c r="G1047" s="9" t="s">
        <v>13</v>
      </c>
      <c r="H1047" s="9" t="s">
        <v>10116</v>
      </c>
    </row>
    <row r="1048" customFormat="false" ht="15.75" hidden="false" customHeight="false" outlineLevel="0" collapsed="false">
      <c r="B1048" s="7" t="n">
        <v>46222</v>
      </c>
      <c r="C1048" s="3" t="s">
        <v>10117</v>
      </c>
      <c r="D1048" s="3" t="s">
        <v>9982</v>
      </c>
      <c r="E1048" s="3" t="s">
        <v>10118</v>
      </c>
      <c r="F1048" s="10" t="str">
        <f aca="false">HYPERLINK("https://www.inaturalist.org/people/tcriley","tcriley")</f>
        <v>tcriley</v>
      </c>
      <c r="G1048" s="9" t="s">
        <v>13</v>
      </c>
      <c r="H1048" s="9" t="s">
        <v>10119</v>
      </c>
    </row>
    <row r="1049" customFormat="false" ht="15.75" hidden="false" customHeight="false" outlineLevel="0" collapsed="false">
      <c r="B1049" s="7" t="n">
        <v>46222</v>
      </c>
      <c r="C1049" s="3" t="s">
        <v>10120</v>
      </c>
      <c r="D1049" s="3" t="s">
        <v>9982</v>
      </c>
      <c r="E1049" s="3" t="s">
        <v>10121</v>
      </c>
      <c r="F1049" s="10" t="str">
        <f aca="false">HYPERLINK("https://www.inaturalist.org/people/tcriley","tcriley")</f>
        <v>tcriley</v>
      </c>
      <c r="G1049" s="9" t="s">
        <v>13</v>
      </c>
      <c r="H1049" s="9" t="s">
        <v>10122</v>
      </c>
    </row>
    <row r="1050" customFormat="false" ht="15.75" hidden="false" customHeight="false" outlineLevel="0" collapsed="false">
      <c r="B1050" s="7" t="n">
        <v>46222</v>
      </c>
      <c r="C1050" s="3" t="s">
        <v>10123</v>
      </c>
      <c r="D1050" s="3" t="s">
        <v>9982</v>
      </c>
      <c r="E1050" s="3" t="s">
        <v>10124</v>
      </c>
      <c r="F1050" s="10" t="str">
        <f aca="false">HYPERLINK("https://www.inaturalist.org/people/tcriley","tcriley")</f>
        <v>tcriley</v>
      </c>
      <c r="G1050" s="9" t="s">
        <v>13</v>
      </c>
      <c r="H1050" s="9" t="s">
        <v>10125</v>
      </c>
    </row>
    <row r="1051" customFormat="false" ht="15.75" hidden="false" customHeight="false" outlineLevel="0" collapsed="false">
      <c r="B1051" s="7" t="n">
        <v>46222</v>
      </c>
      <c r="C1051" s="3" t="s">
        <v>10126</v>
      </c>
      <c r="D1051" s="3" t="s">
        <v>9982</v>
      </c>
      <c r="E1051" s="3" t="s">
        <v>10127</v>
      </c>
      <c r="F1051" s="10" t="str">
        <f aca="false">HYPERLINK("https://www.inaturalist.org/people/photolith","photolith")</f>
        <v>photolith</v>
      </c>
      <c r="G1051" s="9" t="s">
        <v>13</v>
      </c>
      <c r="H1051" s="9" t="s">
        <v>10128</v>
      </c>
    </row>
    <row r="1052" customFormat="false" ht="15.75" hidden="false" customHeight="false" outlineLevel="0" collapsed="false">
      <c r="B1052" s="7" t="n">
        <v>46222</v>
      </c>
      <c r="C1052" s="3" t="s">
        <v>10129</v>
      </c>
      <c r="D1052" s="3" t="s">
        <v>9982</v>
      </c>
      <c r="E1052" s="3" t="s">
        <v>10130</v>
      </c>
      <c r="F1052" s="10" t="str">
        <f aca="false">HYPERLINK("https://www.inaturalist.org/people/allan_photographed_wild","allan_photographed_wild")</f>
        <v>allan_photographed_wild</v>
      </c>
      <c r="G1052" s="9" t="s">
        <v>13</v>
      </c>
      <c r="H1052" s="9" t="s">
        <v>10131</v>
      </c>
    </row>
    <row r="1053" customFormat="false" ht="15.75" hidden="false" customHeight="false" outlineLevel="0" collapsed="false">
      <c r="B1053" s="7" t="n">
        <v>46222</v>
      </c>
      <c r="C1053" s="3" t="s">
        <v>10132</v>
      </c>
      <c r="D1053" s="3" t="s">
        <v>9982</v>
      </c>
      <c r="E1053" s="3" t="s">
        <v>10133</v>
      </c>
      <c r="F1053" s="10" t="str">
        <f aca="false">HYPERLINK("https://www.inaturalist.org/people/allan_photographed_wild","allan_photographed_wild")</f>
        <v>allan_photographed_wild</v>
      </c>
      <c r="G1053" s="9" t="s">
        <v>13</v>
      </c>
      <c r="H1053" s="9" t="s">
        <v>10134</v>
      </c>
    </row>
    <row r="1054" customFormat="false" ht="15.75" hidden="false" customHeight="false" outlineLevel="0" collapsed="false">
      <c r="B1054" s="7" t="n">
        <v>46222</v>
      </c>
      <c r="C1054" s="3" t="s">
        <v>10135</v>
      </c>
      <c r="D1054" s="3" t="s">
        <v>9982</v>
      </c>
      <c r="E1054" s="3" t="s">
        <v>10136</v>
      </c>
      <c r="F1054" s="10" t="str">
        <f aca="false">HYPERLINK("https://www.inaturalist.org/people/allan_photographed_wild","allan_photographed_wild")</f>
        <v>allan_photographed_wild</v>
      </c>
      <c r="G1054" s="9" t="s">
        <v>13</v>
      </c>
      <c r="H1054" s="9" t="s">
        <v>10137</v>
      </c>
    </row>
    <row r="1055" customFormat="false" ht="15.75" hidden="false" customHeight="false" outlineLevel="0" collapsed="false">
      <c r="B1055" s="7" t="n">
        <v>46222</v>
      </c>
      <c r="C1055" s="3" t="s">
        <v>10138</v>
      </c>
      <c r="D1055" s="3" t="s">
        <v>9982</v>
      </c>
      <c r="E1055" s="3" t="s">
        <v>10139</v>
      </c>
      <c r="F1055" s="10" t="str">
        <f aca="false">HYPERLINK("https://www.inaturalist.org/people/allan_photographed_wild","allan_photographed_wild")</f>
        <v>allan_photographed_wild</v>
      </c>
      <c r="G1055" s="9" t="s">
        <v>13</v>
      </c>
      <c r="H1055" s="9" t="s">
        <v>10140</v>
      </c>
    </row>
    <row r="1056" customFormat="false" ht="15.75" hidden="false" customHeight="false" outlineLevel="0" collapsed="false">
      <c r="B1056" s="7" t="n">
        <v>46222</v>
      </c>
      <c r="C1056" s="3" t="s">
        <v>10141</v>
      </c>
      <c r="D1056" s="3" t="s">
        <v>9982</v>
      </c>
      <c r="E1056" s="3" t="s">
        <v>10142</v>
      </c>
      <c r="F1056" s="10" t="str">
        <f aca="false">HYPERLINK("https://www.inaturalist.org/people/allan_photographed_wild","allan_photographed_wild")</f>
        <v>allan_photographed_wild</v>
      </c>
      <c r="G1056" s="9" t="s">
        <v>13</v>
      </c>
      <c r="H1056" s="9" t="s">
        <v>10143</v>
      </c>
    </row>
    <row r="1057" customFormat="false" ht="15.75" hidden="false" customHeight="false" outlineLevel="0" collapsed="false">
      <c r="B1057" s="7" t="n">
        <v>46222</v>
      </c>
      <c r="C1057" s="3" t="s">
        <v>10144</v>
      </c>
      <c r="D1057" s="3" t="s">
        <v>9982</v>
      </c>
      <c r="E1057" s="3" t="s">
        <v>10145</v>
      </c>
      <c r="F1057" s="10" t="str">
        <f aca="false">HYPERLINK("https://www.inaturalist.org/people/thomasn8","thomasn8")</f>
        <v>thomasn8</v>
      </c>
      <c r="G1057" s="9" t="s">
        <v>13</v>
      </c>
      <c r="H1057" s="9" t="s">
        <v>10146</v>
      </c>
    </row>
    <row r="1058" customFormat="false" ht="15.75" hidden="false" customHeight="false" outlineLevel="0" collapsed="false">
      <c r="B1058" s="7" t="n">
        <v>46222</v>
      </c>
      <c r="C1058" s="3" t="s">
        <v>10147</v>
      </c>
      <c r="D1058" s="3" t="s">
        <v>9982</v>
      </c>
      <c r="E1058" s="3" t="s">
        <v>10148</v>
      </c>
      <c r="F1058" s="10" t="str">
        <f aca="false">HYPERLINK("https://www.inaturalist.org/people/dkonservationist","dkonservationist")</f>
        <v>dkonservationist</v>
      </c>
      <c r="G1058" s="9" t="s">
        <v>13</v>
      </c>
      <c r="H1058" s="9" t="s">
        <v>10149</v>
      </c>
    </row>
    <row r="1059" customFormat="false" ht="15.75" hidden="false" customHeight="false" outlineLevel="0" collapsed="false">
      <c r="B1059" s="7" t="n">
        <v>46222</v>
      </c>
      <c r="C1059" s="3" t="s">
        <v>10150</v>
      </c>
      <c r="D1059" s="3" t="s">
        <v>9982</v>
      </c>
      <c r="E1059" s="3" t="s">
        <v>10151</v>
      </c>
      <c r="F1059" s="10" t="str">
        <f aca="false">HYPERLINK("https://www.inaturalist.org/people/cheilinus","cheilinus")</f>
        <v>cheilinus</v>
      </c>
      <c r="G1059" s="9" t="s">
        <v>13</v>
      </c>
      <c r="H1059" s="9" t="s">
        <v>10152</v>
      </c>
    </row>
    <row r="1060" customFormat="false" ht="15.75" hidden="false" customHeight="false" outlineLevel="0" collapsed="false">
      <c r="B1060" s="7" t="n">
        <v>46222</v>
      </c>
      <c r="C1060" s="3" t="s">
        <v>10153</v>
      </c>
      <c r="D1060" s="3" t="s">
        <v>9982</v>
      </c>
      <c r="E1060" s="3" t="s">
        <v>10154</v>
      </c>
      <c r="F1060" s="10" t="str">
        <f aca="false">HYPERLINK("https://www.inaturalist.org/people/kheperer","kheperer")</f>
        <v>kheperer</v>
      </c>
      <c r="G1060" s="9" t="s">
        <v>13</v>
      </c>
      <c r="H1060" s="9" t="s">
        <v>10155</v>
      </c>
    </row>
    <row r="1061" customFormat="false" ht="15.75" hidden="false" customHeight="false" outlineLevel="0" collapsed="false">
      <c r="B1061" s="7" t="n">
        <v>46222</v>
      </c>
      <c r="C1061" s="3" t="s">
        <v>10156</v>
      </c>
      <c r="D1061" s="3" t="s">
        <v>9982</v>
      </c>
      <c r="E1061" s="3" t="s">
        <v>10157</v>
      </c>
      <c r="F1061" s="10" t="str">
        <f aca="false">HYPERLINK("https://www.inaturalist.org/people/kheperer","kheperer")</f>
        <v>kheperer</v>
      </c>
      <c r="G1061" s="9" t="s">
        <v>13</v>
      </c>
      <c r="H1061" s="9" t="s">
        <v>10158</v>
      </c>
    </row>
    <row r="1062" customFormat="false" ht="15.75" hidden="false" customHeight="false" outlineLevel="0" collapsed="false">
      <c r="B1062" s="7" t="n">
        <v>46222</v>
      </c>
      <c r="C1062" s="3" t="s">
        <v>10159</v>
      </c>
      <c r="D1062" s="3" t="s">
        <v>9982</v>
      </c>
      <c r="E1062" s="3" t="s">
        <v>10160</v>
      </c>
      <c r="F1062" s="10" t="str">
        <f aca="false">HYPERLINK("https://www.inaturalist.org/people/alisaluo","alisaluo")</f>
        <v>alisaluo</v>
      </c>
      <c r="G1062" s="9" t="s">
        <v>13</v>
      </c>
      <c r="H1062" s="9" t="s">
        <v>10161</v>
      </c>
    </row>
    <row r="1063" customFormat="false" ht="15.75" hidden="false" customHeight="false" outlineLevel="0" collapsed="false">
      <c r="B1063" s="7" t="n">
        <v>46222</v>
      </c>
      <c r="C1063" s="3" t="s">
        <v>10162</v>
      </c>
      <c r="D1063" s="3" t="s">
        <v>9982</v>
      </c>
      <c r="E1063" s="3" t="s">
        <v>10163</v>
      </c>
      <c r="F1063" s="10" t="str">
        <f aca="false">HYPERLINK("https://www.inaturalist.org/people/tomas91320","tomas91320")</f>
        <v>tomas91320</v>
      </c>
      <c r="G1063" s="9" t="s">
        <v>13</v>
      </c>
      <c r="H1063" s="9" t="s">
        <v>10164</v>
      </c>
    </row>
    <row r="1064" customFormat="false" ht="15.75" hidden="false" customHeight="false" outlineLevel="0" collapsed="false">
      <c r="B1064" s="7" t="n">
        <v>46222</v>
      </c>
      <c r="C1064" s="3" t="s">
        <v>10165</v>
      </c>
      <c r="D1064" s="3" t="s">
        <v>9982</v>
      </c>
      <c r="E1064" s="3" t="s">
        <v>10166</v>
      </c>
      <c r="F1064" s="10" t="str">
        <f aca="false">HYPERLINK("https://www.inaturalist.org/people/rlbakker","rlbakker")</f>
        <v>rlbakker</v>
      </c>
      <c r="G1064" s="9" t="s">
        <v>13</v>
      </c>
      <c r="H1064" s="9" t="s">
        <v>10167</v>
      </c>
    </row>
    <row r="1065" customFormat="false" ht="15.75" hidden="false" customHeight="false" outlineLevel="0" collapsed="false">
      <c r="B1065" s="7" t="n">
        <v>46222</v>
      </c>
      <c r="C1065" s="3" t="s">
        <v>10168</v>
      </c>
      <c r="D1065" s="3" t="s">
        <v>9982</v>
      </c>
      <c r="E1065" s="3" t="s">
        <v>10169</v>
      </c>
      <c r="F1065" s="10" t="str">
        <f aca="false">HYPERLINK("https://www.inaturalist.org/people/bushbuddies","bushbuddies")</f>
        <v>bushbuddies</v>
      </c>
      <c r="G1065" s="9" t="s">
        <v>13</v>
      </c>
      <c r="H1065" s="9" t="s">
        <v>10170</v>
      </c>
    </row>
    <row r="1066" customFormat="false" ht="15.75" hidden="false" customHeight="false" outlineLevel="0" collapsed="false">
      <c r="B1066" s="7" t="n">
        <v>46222</v>
      </c>
      <c r="C1066" s="3" t="s">
        <v>10171</v>
      </c>
      <c r="D1066" s="3" t="s">
        <v>9982</v>
      </c>
      <c r="E1066" s="3" t="s">
        <v>10172</v>
      </c>
      <c r="F1066" s="10" t="str">
        <f aca="false">HYPERLINK("https://www.inaturalist.org/people/kheperer","kheperer")</f>
        <v>kheperer</v>
      </c>
      <c r="G1066" s="9" t="s">
        <v>13</v>
      </c>
      <c r="H1066" s="9" t="s">
        <v>10173</v>
      </c>
    </row>
    <row r="1067" customFormat="false" ht="15.75" hidden="false" customHeight="false" outlineLevel="0" collapsed="false">
      <c r="B1067" s="7" t="n">
        <v>46222</v>
      </c>
      <c r="C1067" s="3" t="s">
        <v>10174</v>
      </c>
      <c r="D1067" s="3" t="s">
        <v>9982</v>
      </c>
      <c r="E1067" s="3" t="s">
        <v>10175</v>
      </c>
      <c r="F1067" s="10" t="str">
        <f aca="false">HYPERLINK("https://www.inaturalist.org/people/tomas91320","tomas91320")</f>
        <v>tomas91320</v>
      </c>
      <c r="G1067" s="9" t="s">
        <v>13</v>
      </c>
      <c r="H1067" s="9" t="s">
        <v>10176</v>
      </c>
    </row>
    <row r="1068" customFormat="false" ht="15.75" hidden="false" customHeight="false" outlineLevel="0" collapsed="false">
      <c r="B1068" s="7" t="n">
        <v>46222</v>
      </c>
      <c r="C1068" s="3" t="s">
        <v>10177</v>
      </c>
      <c r="D1068" s="3" t="s">
        <v>9982</v>
      </c>
      <c r="E1068" s="3" t="s">
        <v>10178</v>
      </c>
      <c r="F1068" s="10" t="str">
        <f aca="false">HYPERLINK("https://www.inaturalist.org/people/mikefalleguy","mikefalleguy")</f>
        <v>mikefalleguy</v>
      </c>
      <c r="G1068" s="9" t="s">
        <v>13</v>
      </c>
      <c r="H1068" s="9" t="s">
        <v>10179</v>
      </c>
    </row>
    <row r="1069" customFormat="false" ht="15.75" hidden="false" customHeight="false" outlineLevel="0" collapsed="false">
      <c r="B1069" s="7" t="n">
        <v>46222</v>
      </c>
      <c r="C1069" s="3" t="s">
        <v>10180</v>
      </c>
      <c r="D1069" s="3" t="s">
        <v>9982</v>
      </c>
      <c r="E1069" s="3" t="s">
        <v>10181</v>
      </c>
      <c r="F1069" s="10" t="str">
        <f aca="false">HYPERLINK("https://www.inaturalist.org/people/botanical_bandit","botanical_bandit")</f>
        <v>botanical_bandit</v>
      </c>
      <c r="G1069" s="9" t="s">
        <v>13</v>
      </c>
      <c r="H1069" s="9" t="s">
        <v>10182</v>
      </c>
    </row>
    <row r="1070" customFormat="false" ht="15.75" hidden="false" customHeight="false" outlineLevel="0" collapsed="false">
      <c r="B1070" s="7" t="n">
        <v>46222</v>
      </c>
      <c r="C1070" s="3" t="s">
        <v>10183</v>
      </c>
      <c r="D1070" s="3" t="s">
        <v>9982</v>
      </c>
      <c r="E1070" s="3" t="s">
        <v>10184</v>
      </c>
      <c r="F1070" s="10" t="str">
        <f aca="false">HYPERLINK("https://www.inaturalist.org/people/tcriley","tcriley")</f>
        <v>tcriley</v>
      </c>
      <c r="G1070" s="9" t="s">
        <v>13</v>
      </c>
      <c r="H1070" s="9" t="s">
        <v>10185</v>
      </c>
    </row>
    <row r="1071" customFormat="false" ht="15.75" hidden="false" customHeight="false" outlineLevel="0" collapsed="false">
      <c r="B1071" s="7" t="n">
        <v>46222</v>
      </c>
      <c r="C1071" s="3" t="s">
        <v>10186</v>
      </c>
      <c r="D1071" s="3" t="s">
        <v>9982</v>
      </c>
      <c r="E1071" s="3" t="s">
        <v>10187</v>
      </c>
      <c r="F1071" s="10" t="str">
        <f aca="false">HYPERLINK("https://www.inaturalist.org/people/tcriley","tcriley")</f>
        <v>tcriley</v>
      </c>
      <c r="G1071" s="9" t="s">
        <v>13</v>
      </c>
      <c r="H1071" s="9" t="s">
        <v>10188</v>
      </c>
    </row>
    <row r="1072" customFormat="false" ht="15.75" hidden="false" customHeight="false" outlineLevel="0" collapsed="false">
      <c r="B1072" s="7" t="n">
        <v>46222</v>
      </c>
      <c r="C1072" s="3" t="s">
        <v>10189</v>
      </c>
      <c r="D1072" s="3" t="s">
        <v>9982</v>
      </c>
      <c r="E1072" s="3" t="s">
        <v>10190</v>
      </c>
      <c r="F1072" s="10" t="str">
        <f aca="false">HYPERLINK("https://www.inaturalist.org/people/tcriley","tcriley")</f>
        <v>tcriley</v>
      </c>
      <c r="G1072" s="9" t="s">
        <v>13</v>
      </c>
      <c r="H1072" s="9" t="s">
        <v>10191</v>
      </c>
    </row>
    <row r="1073" customFormat="false" ht="15.75" hidden="false" customHeight="false" outlineLevel="0" collapsed="false">
      <c r="B1073" s="7" t="n">
        <v>46222</v>
      </c>
      <c r="C1073" s="3" t="s">
        <v>10192</v>
      </c>
      <c r="D1073" s="3" t="s">
        <v>9982</v>
      </c>
      <c r="E1073" s="3" t="s">
        <v>10193</v>
      </c>
      <c r="F1073" s="10" t="str">
        <f aca="false">HYPERLINK("https://www.inaturalist.org/people/tcriley","tcriley")</f>
        <v>tcriley</v>
      </c>
      <c r="G1073" s="9" t="s">
        <v>13</v>
      </c>
      <c r="H1073" s="9" t="s">
        <v>10194</v>
      </c>
    </row>
    <row r="1074" customFormat="false" ht="15.75" hidden="false" customHeight="false" outlineLevel="0" collapsed="false">
      <c r="B1074" s="7" t="n">
        <v>46222</v>
      </c>
      <c r="C1074" s="3" t="s">
        <v>10195</v>
      </c>
      <c r="D1074" s="3" t="s">
        <v>9982</v>
      </c>
      <c r="E1074" s="3" t="s">
        <v>10196</v>
      </c>
      <c r="F1074" s="10" t="str">
        <f aca="false">HYPERLINK("https://www.inaturalist.org/people/kheperer","kheperer")</f>
        <v>kheperer</v>
      </c>
      <c r="G1074" s="9" t="s">
        <v>13</v>
      </c>
      <c r="H1074" s="9" t="s">
        <v>10197</v>
      </c>
    </row>
    <row r="1075" customFormat="false" ht="15.75" hidden="false" customHeight="false" outlineLevel="0" collapsed="false">
      <c r="B1075" s="7" t="n">
        <v>46222</v>
      </c>
      <c r="C1075" s="3" t="s">
        <v>10198</v>
      </c>
      <c r="D1075" s="3" t="s">
        <v>9982</v>
      </c>
      <c r="E1075" s="3" t="s">
        <v>10199</v>
      </c>
      <c r="F1075" s="10" t="str">
        <f aca="false">HYPERLINK("https://www.inaturalist.org/people/caoraesque","caoraesque")</f>
        <v>caoraesque</v>
      </c>
      <c r="G1075" s="9" t="s">
        <v>13</v>
      </c>
      <c r="H1075" s="9" t="s">
        <v>10200</v>
      </c>
    </row>
    <row r="1076" customFormat="false" ht="15.75" hidden="false" customHeight="false" outlineLevel="0" collapsed="false">
      <c r="B1076" s="7" t="n">
        <v>46222</v>
      </c>
      <c r="C1076" s="3" t="s">
        <v>10201</v>
      </c>
      <c r="D1076" s="3" t="s">
        <v>9982</v>
      </c>
      <c r="E1076" s="3" t="s">
        <v>10202</v>
      </c>
      <c r="F1076" s="10" t="str">
        <f aca="false">HYPERLINK("https://www.inaturalist.org/people/sergio1953","sergio1953")</f>
        <v>sergio1953</v>
      </c>
      <c r="G1076" s="9" t="s">
        <v>13</v>
      </c>
      <c r="H1076" s="9" t="s">
        <v>10203</v>
      </c>
    </row>
    <row r="1077" customFormat="false" ht="15.75" hidden="false" customHeight="false" outlineLevel="0" collapsed="false">
      <c r="B1077" s="7" t="n">
        <v>46222</v>
      </c>
      <c r="C1077" s="3" t="s">
        <v>10204</v>
      </c>
      <c r="D1077" s="3" t="s">
        <v>9982</v>
      </c>
      <c r="E1077" s="3" t="s">
        <v>10205</v>
      </c>
      <c r="F1077" s="10" t="str">
        <f aca="false">HYPERLINK("https://www.inaturalist.org/people/jessiesunshine","jessiesunshine")</f>
        <v>jessiesunshine</v>
      </c>
      <c r="G1077" s="9" t="s">
        <v>13</v>
      </c>
      <c r="H1077" s="9" t="s">
        <v>10206</v>
      </c>
    </row>
    <row r="1078" customFormat="false" ht="15.75" hidden="false" customHeight="false" outlineLevel="0" collapsed="false">
      <c r="B1078" s="7" t="n">
        <v>46222</v>
      </c>
      <c r="C1078" s="3" t="s">
        <v>10207</v>
      </c>
      <c r="D1078" s="3" t="s">
        <v>9982</v>
      </c>
      <c r="E1078" s="3" t="s">
        <v>10208</v>
      </c>
      <c r="F1078" s="10" t="str">
        <f aca="false">HYPERLINK("https://www.inaturalist.org/people/heidi_yc_smith","heidi_yc_smith")</f>
        <v>heidi_yc_smith</v>
      </c>
      <c r="G1078" s="9" t="s">
        <v>13</v>
      </c>
      <c r="H1078" s="9" t="s">
        <v>10209</v>
      </c>
    </row>
    <row r="1079" customFormat="false" ht="15.75" hidden="false" customHeight="false" outlineLevel="0" collapsed="false">
      <c r="B1079" s="7" t="n">
        <v>46222</v>
      </c>
      <c r="C1079" s="3" t="s">
        <v>10210</v>
      </c>
      <c r="D1079" s="3" t="s">
        <v>9982</v>
      </c>
      <c r="E1079" s="3" t="s">
        <v>10211</v>
      </c>
      <c r="F1079" s="10" t="str">
        <f aca="false">HYPERLINK("https://www.inaturalist.org/people/iamnothelenmirren","iamnothelenmirren")</f>
        <v>iamnothelenmirren</v>
      </c>
      <c r="G1079" s="9" t="s">
        <v>13</v>
      </c>
      <c r="H1079" s="9" t="s">
        <v>10212</v>
      </c>
    </row>
    <row r="1080" customFormat="false" ht="15.75" hidden="false" customHeight="false" outlineLevel="0" collapsed="false">
      <c r="B1080" s="7" t="n">
        <v>46222</v>
      </c>
      <c r="C1080" s="3" t="s">
        <v>10213</v>
      </c>
      <c r="D1080" s="3" t="s">
        <v>9982</v>
      </c>
      <c r="E1080" s="3" t="s">
        <v>10214</v>
      </c>
      <c r="F1080" s="10" t="str">
        <f aca="false">HYPERLINK("https://www.inaturalist.org/people/gdotg","gdotg")</f>
        <v>gdotg</v>
      </c>
      <c r="G1080" s="9" t="s">
        <v>13</v>
      </c>
      <c r="H1080" s="9" t="s">
        <v>10215</v>
      </c>
    </row>
    <row r="1081" customFormat="false" ht="15.75" hidden="false" customHeight="false" outlineLevel="0" collapsed="false">
      <c r="B1081" s="7" t="n">
        <v>46222</v>
      </c>
      <c r="C1081" s="3" t="s">
        <v>10216</v>
      </c>
      <c r="D1081" s="3" t="s">
        <v>9982</v>
      </c>
      <c r="E1081" s="3" t="s">
        <v>10217</v>
      </c>
      <c r="F1081" s="10" t="str">
        <f aca="false">HYPERLINK("https://www.inaturalist.org/people/mtdillon","mtdillon")</f>
        <v>mtdillon</v>
      </c>
      <c r="G1081" s="9" t="s">
        <v>13</v>
      </c>
      <c r="H1081" s="9" t="s">
        <v>10218</v>
      </c>
    </row>
    <row r="1082" customFormat="false" ht="15.75" hidden="false" customHeight="false" outlineLevel="0" collapsed="false">
      <c r="B1082" s="7" t="n">
        <v>46222</v>
      </c>
      <c r="C1082" s="3" t="s">
        <v>10219</v>
      </c>
      <c r="D1082" s="3" t="s">
        <v>9982</v>
      </c>
      <c r="E1082" s="3" t="s">
        <v>10220</v>
      </c>
      <c r="F1082" s="10" t="str">
        <f aca="false">HYPERLINK("https://www.inaturalist.org/people/kellyfamille","kellyfamille")</f>
        <v>kellyfamille</v>
      </c>
      <c r="G1082" s="9" t="s">
        <v>13</v>
      </c>
      <c r="H1082" s="9" t="s">
        <v>10221</v>
      </c>
    </row>
    <row r="1083" customFormat="false" ht="15.75" hidden="false" customHeight="false" outlineLevel="0" collapsed="false">
      <c r="B1083" s="7" t="n">
        <v>46222</v>
      </c>
      <c r="C1083" s="3" t="s">
        <v>10222</v>
      </c>
      <c r="D1083" s="3" t="s">
        <v>9982</v>
      </c>
      <c r="E1083" s="3" t="s">
        <v>10223</v>
      </c>
      <c r="F1083" s="10" t="str">
        <f aca="false">HYPERLINK("https://www.inaturalist.org/people/halfmoon13","halfmoon13")</f>
        <v>halfmoon13</v>
      </c>
      <c r="G1083" s="9" t="s">
        <v>13</v>
      </c>
      <c r="H1083" s="9" t="s">
        <v>10224</v>
      </c>
    </row>
    <row r="1084" customFormat="false" ht="15.75" hidden="false" customHeight="false" outlineLevel="0" collapsed="false">
      <c r="B1084" s="7" t="n">
        <v>46222</v>
      </c>
      <c r="C1084" s="3" t="s">
        <v>10225</v>
      </c>
      <c r="D1084" s="3" t="s">
        <v>9982</v>
      </c>
      <c r="E1084" s="3" t="s">
        <v>10226</v>
      </c>
      <c r="F1084" s="10" t="str">
        <f aca="false">HYPERLINK("https://www.inaturalist.org/people/diegomeneses","diegomeneses")</f>
        <v>diegomeneses</v>
      </c>
      <c r="G1084" s="9" t="s">
        <v>13</v>
      </c>
      <c r="H1084" s="9" t="s">
        <v>10227</v>
      </c>
    </row>
    <row r="1085" customFormat="false" ht="15.75" hidden="false" customHeight="false" outlineLevel="0" collapsed="false">
      <c r="B1085" s="7" t="n">
        <v>46222</v>
      </c>
      <c r="C1085" s="3" t="s">
        <v>10228</v>
      </c>
      <c r="D1085" s="3" t="s">
        <v>9982</v>
      </c>
      <c r="E1085" s="3" t="s">
        <v>10229</v>
      </c>
      <c r="F1085" s="10" t="str">
        <f aca="false">HYPERLINK("https://www.inaturalist.org/people/leslie35679","leslie35679")</f>
        <v>leslie35679</v>
      </c>
      <c r="G1085" s="9" t="s">
        <v>13</v>
      </c>
      <c r="H1085" s="9" t="s">
        <v>10230</v>
      </c>
    </row>
    <row r="1086" customFormat="false" ht="15.75" hidden="false" customHeight="false" outlineLevel="0" collapsed="false">
      <c r="B1086" s="7" t="n">
        <v>46222</v>
      </c>
      <c r="C1086" s="3" t="s">
        <v>10231</v>
      </c>
      <c r="D1086" s="3" t="s">
        <v>9982</v>
      </c>
      <c r="E1086" s="3" t="s">
        <v>10232</v>
      </c>
      <c r="F1086" s="10" t="str">
        <f aca="false">HYPERLINK("https://www.inaturalist.org/people/mikefalleguy","mikefalleguy")</f>
        <v>mikefalleguy</v>
      </c>
      <c r="G1086" s="9" t="s">
        <v>13</v>
      </c>
      <c r="H1086" s="9" t="s">
        <v>10233</v>
      </c>
    </row>
    <row r="1087" customFormat="false" ht="15.75" hidden="false" customHeight="false" outlineLevel="0" collapsed="false">
      <c r="B1087" s="7" t="n">
        <v>46222</v>
      </c>
      <c r="C1087" s="3" t="s">
        <v>10234</v>
      </c>
      <c r="D1087" s="3" t="s">
        <v>9982</v>
      </c>
      <c r="E1087" s="3" t="s">
        <v>10235</v>
      </c>
      <c r="F1087" s="10" t="str">
        <f aca="false">HYPERLINK("https://www.inaturalist.org/people/eviesacco","eviesacco")</f>
        <v>eviesacco</v>
      </c>
      <c r="G1087" s="9" t="s">
        <v>13</v>
      </c>
      <c r="H1087" s="9" t="s">
        <v>10236</v>
      </c>
    </row>
    <row r="1088" customFormat="false" ht="15.75" hidden="false" customHeight="false" outlineLevel="0" collapsed="false">
      <c r="B1088" s="7" t="n">
        <v>46222</v>
      </c>
      <c r="C1088" s="3" t="s">
        <v>10237</v>
      </c>
      <c r="D1088" s="3" t="s">
        <v>9982</v>
      </c>
      <c r="E1088" s="3" t="s">
        <v>10238</v>
      </c>
      <c r="F1088" s="10" t="str">
        <f aca="false">HYPERLINK("https://www.inaturalist.org/people/bloodroot_petals","bloodroot_petals")</f>
        <v>bloodroot_petals</v>
      </c>
      <c r="G1088" s="9" t="s">
        <v>13</v>
      </c>
      <c r="H1088" s="9" t="s">
        <v>10239</v>
      </c>
    </row>
    <row r="1089" customFormat="false" ht="15.75" hidden="false" customHeight="false" outlineLevel="0" collapsed="false">
      <c r="B1089" s="7" t="n">
        <v>46222</v>
      </c>
      <c r="C1089" s="3" t="s">
        <v>10240</v>
      </c>
      <c r="D1089" s="3" t="s">
        <v>9982</v>
      </c>
      <c r="E1089" s="3" t="s">
        <v>10241</v>
      </c>
      <c r="F1089" s="10" t="str">
        <f aca="false">HYPERLINK("https://www.inaturalist.org/people/prof_bipasha_david_","prof_bipasha_david_")</f>
        <v>prof_bipasha_david_</v>
      </c>
      <c r="G1089" s="9" t="s">
        <v>13</v>
      </c>
      <c r="H1089" s="9" t="s">
        <v>10242</v>
      </c>
    </row>
    <row r="1090" customFormat="false" ht="15.75" hidden="false" customHeight="false" outlineLevel="0" collapsed="false">
      <c r="B1090" s="7" t="n">
        <v>46222</v>
      </c>
      <c r="C1090" s="3" t="s">
        <v>10243</v>
      </c>
      <c r="D1090" s="3" t="s">
        <v>9982</v>
      </c>
      <c r="E1090" s="3" t="s">
        <v>10244</v>
      </c>
      <c r="F1090" s="10" t="str">
        <f aca="false">HYPERLINK("https://www.inaturalist.org/people/bill_wimley","bill_wimley")</f>
        <v>bill_wimley</v>
      </c>
      <c r="G1090" s="9" t="s">
        <v>13</v>
      </c>
      <c r="H1090" s="9" t="s">
        <v>10245</v>
      </c>
    </row>
    <row r="1091" customFormat="false" ht="15.75" hidden="false" customHeight="false" outlineLevel="0" collapsed="false">
      <c r="B1091" s="7" t="n">
        <v>46222</v>
      </c>
      <c r="C1091" s="3" t="s">
        <v>10246</v>
      </c>
      <c r="D1091" s="3" t="s">
        <v>9982</v>
      </c>
      <c r="E1091" s="3" t="s">
        <v>10247</v>
      </c>
      <c r="F1091" s="10" t="str">
        <f aca="false">HYPERLINK("https://www.inaturalist.org/people/bill_wimley","bill_wimley")</f>
        <v>bill_wimley</v>
      </c>
      <c r="G1091" s="9" t="s">
        <v>13</v>
      </c>
      <c r="H1091" s="9" t="s">
        <v>10248</v>
      </c>
    </row>
    <row r="1092" customFormat="false" ht="15.75" hidden="false" customHeight="false" outlineLevel="0" collapsed="false">
      <c r="B1092" s="7" t="n">
        <v>46222</v>
      </c>
      <c r="C1092" s="3" t="s">
        <v>10249</v>
      </c>
      <c r="D1092" s="3" t="s">
        <v>9982</v>
      </c>
      <c r="E1092" s="3" t="s">
        <v>10250</v>
      </c>
      <c r="F1092" s="10" t="str">
        <f aca="false">HYPERLINK("https://www.inaturalist.org/people/krmud","krmud")</f>
        <v>krmud</v>
      </c>
      <c r="G1092" s="9" t="s">
        <v>13</v>
      </c>
      <c r="H1092" s="9" t="s">
        <v>10251</v>
      </c>
    </row>
    <row r="1093" customFormat="false" ht="15.75" hidden="false" customHeight="false" outlineLevel="0" collapsed="false">
      <c r="B1093" s="7" t="n">
        <v>46222</v>
      </c>
      <c r="C1093" s="3" t="s">
        <v>10252</v>
      </c>
      <c r="D1093" s="3" t="s">
        <v>9982</v>
      </c>
      <c r="E1093" s="3" t="s">
        <v>10253</v>
      </c>
      <c r="F1093" s="10" t="str">
        <f aca="false">HYPERLINK("https://www.inaturalist.org/people/kenny_well","kenny_well")</f>
        <v>kenny_well</v>
      </c>
      <c r="G1093" s="9" t="s">
        <v>13</v>
      </c>
      <c r="H1093" s="9" t="s">
        <v>10254</v>
      </c>
    </row>
    <row r="1094" customFormat="false" ht="15.75" hidden="false" customHeight="false" outlineLevel="0" collapsed="false">
      <c r="B1094" s="7" t="n">
        <v>46222</v>
      </c>
      <c r="C1094" s="3" t="s">
        <v>10255</v>
      </c>
      <c r="D1094" s="3" t="s">
        <v>9982</v>
      </c>
      <c r="E1094" s="3" t="s">
        <v>10256</v>
      </c>
      <c r="F1094" s="10" t="str">
        <f aca="false">HYPERLINK("https://www.inaturalist.org/people/thetrainhowl","thetrainhowl")</f>
        <v>thetrainhowl</v>
      </c>
      <c r="G1094" s="9" t="s">
        <v>13</v>
      </c>
      <c r="H1094" s="9" t="s">
        <v>10257</v>
      </c>
    </row>
    <row r="1095" customFormat="false" ht="15.75" hidden="false" customHeight="false" outlineLevel="0" collapsed="false">
      <c r="B1095" s="7" t="n">
        <v>46222</v>
      </c>
      <c r="C1095" s="3" t="s">
        <v>10258</v>
      </c>
      <c r="D1095" s="3" t="s">
        <v>9982</v>
      </c>
      <c r="E1095" s="3" t="s">
        <v>10259</v>
      </c>
      <c r="F1095" s="10" t="str">
        <f aca="false">HYPERLINK("https://www.inaturalist.org/people/edgarjoshua75","edgarjoshua75")</f>
        <v>edgarjoshua75</v>
      </c>
      <c r="G1095" s="9" t="s">
        <v>13</v>
      </c>
      <c r="H1095" s="9" t="s">
        <v>10260</v>
      </c>
    </row>
    <row r="1096" customFormat="false" ht="15.75" hidden="false" customHeight="false" outlineLevel="0" collapsed="false">
      <c r="B1096" s="7" t="n">
        <v>46222</v>
      </c>
      <c r="C1096" s="3" t="s">
        <v>10261</v>
      </c>
      <c r="D1096" s="3" t="s">
        <v>9982</v>
      </c>
      <c r="E1096" s="3" t="s">
        <v>10262</v>
      </c>
      <c r="F1096" s="10" t="str">
        <f aca="false">HYPERLINK("https://www.inaturalist.org/people/diegomeneses","diegomeneses")</f>
        <v>diegomeneses</v>
      </c>
      <c r="G1096" s="9" t="s">
        <v>13</v>
      </c>
      <c r="H1096" s="9" t="s">
        <v>10263</v>
      </c>
    </row>
    <row r="1097" customFormat="false" ht="15.75" hidden="false" customHeight="false" outlineLevel="0" collapsed="false">
      <c r="B1097" s="7" t="n">
        <v>46222</v>
      </c>
      <c r="C1097" s="3" t="s">
        <v>10264</v>
      </c>
      <c r="D1097" s="3" t="s">
        <v>9982</v>
      </c>
      <c r="E1097" s="3" t="s">
        <v>10265</v>
      </c>
      <c r="F1097" s="10" t="str">
        <f aca="false">HYPERLINK("https://www.inaturalist.org/people/edgarjoshua75","edgarjoshua75")</f>
        <v>edgarjoshua75</v>
      </c>
      <c r="G1097" s="9" t="s">
        <v>13</v>
      </c>
      <c r="H1097" s="9" t="s">
        <v>10266</v>
      </c>
    </row>
    <row r="1098" customFormat="false" ht="15.75" hidden="false" customHeight="false" outlineLevel="0" collapsed="false">
      <c r="B1098" s="7" t="n">
        <v>46222</v>
      </c>
      <c r="C1098" s="3" t="s">
        <v>10267</v>
      </c>
      <c r="D1098" s="3" t="s">
        <v>9982</v>
      </c>
      <c r="E1098" s="3" t="s">
        <v>10268</v>
      </c>
      <c r="F1098" s="10" t="str">
        <f aca="false">HYPERLINK("https://www.inaturalist.org/people/diego30634","diego30634")</f>
        <v>diego30634</v>
      </c>
      <c r="G1098" s="9" t="s">
        <v>13</v>
      </c>
      <c r="H1098" s="9" t="s">
        <v>10269</v>
      </c>
    </row>
    <row r="1099" customFormat="false" ht="15.75" hidden="false" customHeight="false" outlineLevel="0" collapsed="false">
      <c r="B1099" s="7" t="n">
        <v>46222</v>
      </c>
      <c r="C1099" s="3" t="s">
        <v>10270</v>
      </c>
      <c r="D1099" s="3" t="s">
        <v>9982</v>
      </c>
      <c r="E1099" s="3" t="s">
        <v>10271</v>
      </c>
      <c r="F1099" s="10" t="str">
        <f aca="false">HYPERLINK("https://www.inaturalist.org/people/gdotg","gdotg")</f>
        <v>gdotg</v>
      </c>
      <c r="G1099" s="9" t="s">
        <v>13</v>
      </c>
      <c r="H1099" s="9" t="s">
        <v>10272</v>
      </c>
    </row>
    <row r="1100" customFormat="false" ht="15.75" hidden="false" customHeight="false" outlineLevel="0" collapsed="false">
      <c r="B1100" s="7" t="n">
        <v>46222</v>
      </c>
      <c r="C1100" s="3" t="s">
        <v>10273</v>
      </c>
      <c r="D1100" s="3" t="s">
        <v>9982</v>
      </c>
      <c r="E1100" s="3" t="s">
        <v>10274</v>
      </c>
      <c r="F1100" s="10" t="str">
        <f aca="false">HYPERLINK("https://www.inaturalist.org/people/aloevera64","aloevera64")</f>
        <v>aloevera64</v>
      </c>
      <c r="G1100" s="9" t="s">
        <v>13</v>
      </c>
      <c r="H1100" s="9" t="s">
        <v>10275</v>
      </c>
    </row>
    <row r="1101" customFormat="false" ht="15.75" hidden="false" customHeight="false" outlineLevel="0" collapsed="false">
      <c r="B1101" s="7" t="n">
        <v>46222</v>
      </c>
      <c r="C1101" s="3" t="s">
        <v>10276</v>
      </c>
      <c r="D1101" s="3" t="s">
        <v>9982</v>
      </c>
      <c r="E1101" s="3" t="s">
        <v>10277</v>
      </c>
      <c r="F1101" s="10" t="str">
        <f aca="false">HYPERLINK("https://www.inaturalist.org/people/sthil_fs94c","sthil_fs94c")</f>
        <v>sthil_fs94c</v>
      </c>
      <c r="G1101" s="9" t="s">
        <v>13</v>
      </c>
      <c r="H1101" s="9" t="s">
        <v>10278</v>
      </c>
    </row>
    <row r="1102" customFormat="false" ht="15.75" hidden="false" customHeight="false" outlineLevel="0" collapsed="false">
      <c r="B1102" s="7" t="n">
        <v>46222</v>
      </c>
      <c r="C1102" s="3" t="s">
        <v>10279</v>
      </c>
      <c r="D1102" s="3" t="s">
        <v>9982</v>
      </c>
      <c r="E1102" s="3" t="s">
        <v>10280</v>
      </c>
      <c r="F1102" s="10" t="str">
        <f aca="false">HYPERLINK("https://www.inaturalist.org/people/carol1086","carol1086")</f>
        <v>carol1086</v>
      </c>
      <c r="G1102" s="9" t="s">
        <v>13</v>
      </c>
      <c r="H1102" s="9" t="s">
        <v>10281</v>
      </c>
    </row>
    <row r="1103" customFormat="false" ht="15.75" hidden="false" customHeight="false" outlineLevel="0" collapsed="false">
      <c r="B1103" s="7" t="n">
        <v>46222</v>
      </c>
      <c r="C1103" s="3" t="s">
        <v>10282</v>
      </c>
      <c r="D1103" s="3" t="s">
        <v>9982</v>
      </c>
      <c r="E1103" s="3" t="s">
        <v>10283</v>
      </c>
      <c r="F1103" s="10" t="str">
        <f aca="false">HYPERLINK("https://www.inaturalist.org/people/johnslowry","johnslowry")</f>
        <v>johnslowry</v>
      </c>
      <c r="G1103" s="9" t="s">
        <v>13</v>
      </c>
      <c r="H1103" s="9" t="s">
        <v>10284</v>
      </c>
    </row>
    <row r="1104" customFormat="false" ht="15.75" hidden="false" customHeight="false" outlineLevel="0" collapsed="false">
      <c r="B1104" s="7" t="n">
        <v>46222</v>
      </c>
      <c r="C1104" s="3" t="s">
        <v>10285</v>
      </c>
      <c r="D1104" s="3" t="s">
        <v>9982</v>
      </c>
      <c r="E1104" s="3" t="s">
        <v>10286</v>
      </c>
      <c r="F1104" s="10" t="str">
        <f aca="false">HYPERLINK("https://www.inaturalist.org/people/johnslowry","johnslowry")</f>
        <v>johnslowry</v>
      </c>
      <c r="G1104" s="9" t="s">
        <v>13</v>
      </c>
      <c r="H1104" s="9" t="s">
        <v>10287</v>
      </c>
    </row>
    <row r="1105" customFormat="false" ht="15.75" hidden="false" customHeight="false" outlineLevel="0" collapsed="false">
      <c r="B1105" s="7" t="n">
        <v>46222</v>
      </c>
      <c r="C1105" s="3" t="s">
        <v>10288</v>
      </c>
      <c r="D1105" s="3" t="s">
        <v>9982</v>
      </c>
      <c r="E1105" s="3" t="s">
        <v>10289</v>
      </c>
      <c r="F1105" s="10" t="str">
        <f aca="false">HYPERLINK("https://www.inaturalist.org/people/diegomeneses","diegomeneses")</f>
        <v>diegomeneses</v>
      </c>
      <c r="G1105" s="9" t="s">
        <v>13</v>
      </c>
      <c r="H1105" s="9" t="s">
        <v>10290</v>
      </c>
    </row>
    <row r="1106" customFormat="false" ht="15.75" hidden="false" customHeight="false" outlineLevel="0" collapsed="false">
      <c r="B1106" s="7" t="n">
        <v>46222</v>
      </c>
      <c r="C1106" s="3" t="s">
        <v>10291</v>
      </c>
      <c r="D1106" s="3" t="s">
        <v>9982</v>
      </c>
      <c r="E1106" s="3" t="s">
        <v>10292</v>
      </c>
      <c r="F1106" s="10" t="str">
        <f aca="false">HYPERLINK("https://www.inaturalist.org/people/trent-massey","trent-massey")</f>
        <v>trent-massey</v>
      </c>
      <c r="G1106" s="9" t="s">
        <v>13</v>
      </c>
      <c r="H1106" s="9" t="s">
        <v>10293</v>
      </c>
    </row>
    <row r="1107" customFormat="false" ht="15.75" hidden="false" customHeight="false" outlineLevel="0" collapsed="false">
      <c r="B1107" s="7" t="n">
        <v>46222</v>
      </c>
      <c r="C1107" s="3" t="s">
        <v>10294</v>
      </c>
      <c r="D1107" s="3" t="s">
        <v>9982</v>
      </c>
      <c r="E1107" s="3" t="s">
        <v>10295</v>
      </c>
      <c r="F1107" s="10" t="str">
        <f aca="false">HYPERLINK("https://www.inaturalist.org/people/paulswitzer","paulswitzer")</f>
        <v>paulswitzer</v>
      </c>
      <c r="G1107" s="9" t="s">
        <v>13</v>
      </c>
      <c r="H1107" s="9" t="s">
        <v>10296</v>
      </c>
    </row>
    <row r="1108" customFormat="false" ht="15.75" hidden="false" customHeight="false" outlineLevel="0" collapsed="false">
      <c r="B1108" s="7" t="n">
        <v>46222</v>
      </c>
      <c r="C1108" s="3" t="s">
        <v>10297</v>
      </c>
      <c r="D1108" s="3" t="s">
        <v>9982</v>
      </c>
      <c r="E1108" s="3" t="s">
        <v>10298</v>
      </c>
      <c r="F1108" s="10" t="str">
        <f aca="false">HYPERLINK("https://www.inaturalist.org/people/paulswitzer","paulswitzer")</f>
        <v>paulswitzer</v>
      </c>
      <c r="G1108" s="9" t="s">
        <v>13</v>
      </c>
      <c r="H1108" s="9" t="s">
        <v>10299</v>
      </c>
    </row>
    <row r="1109" customFormat="false" ht="15.75" hidden="false" customHeight="false" outlineLevel="0" collapsed="false">
      <c r="B1109" s="7" t="n">
        <v>46222</v>
      </c>
      <c r="C1109" s="3" t="s">
        <v>10300</v>
      </c>
      <c r="D1109" s="3" t="s">
        <v>9982</v>
      </c>
      <c r="E1109" s="3" t="s">
        <v>10301</v>
      </c>
      <c r="F1109" s="10" t="str">
        <f aca="false">HYPERLINK("https://www.inaturalist.org/people/lo_eleos","lo_eleos")</f>
        <v>lo_eleos</v>
      </c>
      <c r="G1109" s="9" t="s">
        <v>13</v>
      </c>
      <c r="H1109" s="9" t="s">
        <v>10302</v>
      </c>
    </row>
    <row r="1110" customFormat="false" ht="15.75" hidden="false" customHeight="false" outlineLevel="0" collapsed="false">
      <c r="B1110" s="7" t="n">
        <v>46222</v>
      </c>
      <c r="C1110" s="3" t="s">
        <v>10303</v>
      </c>
      <c r="D1110" s="3" t="s">
        <v>9982</v>
      </c>
      <c r="E1110" s="3" t="s">
        <v>10304</v>
      </c>
      <c r="F1110" s="10" t="str">
        <f aca="false">HYPERLINK("https://www.inaturalist.org/people/bazuso","bazuso")</f>
        <v>bazuso</v>
      </c>
      <c r="G1110" s="9" t="s">
        <v>13</v>
      </c>
      <c r="H1110" s="9" t="s">
        <v>10305</v>
      </c>
    </row>
    <row r="1111" customFormat="false" ht="15.75" hidden="false" customHeight="false" outlineLevel="0" collapsed="false">
      <c r="B1111" s="7" t="n">
        <v>46222</v>
      </c>
      <c r="C1111" s="3" t="s">
        <v>10306</v>
      </c>
      <c r="D1111" s="3" t="s">
        <v>9982</v>
      </c>
      <c r="E1111" s="3" t="s">
        <v>10307</v>
      </c>
      <c r="F1111" s="10" t="str">
        <f aca="false">HYPERLINK("https://www.inaturalist.org/people/gdotg","gdotg")</f>
        <v>gdotg</v>
      </c>
      <c r="G1111" s="9" t="s">
        <v>13</v>
      </c>
      <c r="H1111" s="9" t="s">
        <v>10308</v>
      </c>
    </row>
    <row r="1112" customFormat="false" ht="15.75" hidden="false" customHeight="false" outlineLevel="0" collapsed="false">
      <c r="B1112" s="7" t="n">
        <v>46222</v>
      </c>
      <c r="C1112" s="3" t="s">
        <v>10309</v>
      </c>
      <c r="D1112" s="3" t="s">
        <v>9982</v>
      </c>
      <c r="E1112" s="3" t="s">
        <v>10310</v>
      </c>
      <c r="F1112" s="10" t="str">
        <f aca="false">HYPERLINK("https://www.inaturalist.org/people/bcvi","bcvi")</f>
        <v>bcvi</v>
      </c>
      <c r="G1112" s="9" t="s">
        <v>13</v>
      </c>
      <c r="H1112" s="9" t="s">
        <v>10311</v>
      </c>
    </row>
    <row r="1113" customFormat="false" ht="15.75" hidden="false" customHeight="false" outlineLevel="0" collapsed="false">
      <c r="B1113" s="7" t="n">
        <v>46222</v>
      </c>
      <c r="C1113" s="3" t="s">
        <v>10312</v>
      </c>
      <c r="D1113" s="3" t="s">
        <v>9982</v>
      </c>
      <c r="E1113" s="3" t="s">
        <v>10313</v>
      </c>
      <c r="F1113" s="10" t="str">
        <f aca="false">HYPERLINK("https://www.inaturalist.org/people/bazuso","bazuso")</f>
        <v>bazuso</v>
      </c>
      <c r="G1113" s="9" t="s">
        <v>13</v>
      </c>
      <c r="H1113" s="9" t="s">
        <v>10314</v>
      </c>
    </row>
    <row r="1114" customFormat="false" ht="15.75" hidden="false" customHeight="false" outlineLevel="0" collapsed="false">
      <c r="B1114" s="7" t="n">
        <v>46222</v>
      </c>
      <c r="C1114" s="3" t="s">
        <v>10315</v>
      </c>
      <c r="D1114" s="3" t="s">
        <v>9982</v>
      </c>
      <c r="E1114" s="3" t="s">
        <v>10316</v>
      </c>
      <c r="F1114" s="10" t="str">
        <f aca="false">HYPERLINK("https://www.inaturalist.org/people/bazuso","bazuso")</f>
        <v>bazuso</v>
      </c>
      <c r="G1114" s="9" t="s">
        <v>13</v>
      </c>
      <c r="H1114" s="9" t="s">
        <v>10317</v>
      </c>
    </row>
    <row r="1115" customFormat="false" ht="15.75" hidden="false" customHeight="false" outlineLevel="0" collapsed="false">
      <c r="B1115" s="7" t="n">
        <v>46222</v>
      </c>
      <c r="C1115" s="3" t="s">
        <v>10318</v>
      </c>
      <c r="D1115" s="3" t="s">
        <v>9982</v>
      </c>
      <c r="E1115" s="3" t="s">
        <v>10319</v>
      </c>
      <c r="F1115" s="10" t="str">
        <f aca="false">HYPERLINK("https://www.inaturalist.org/people/amy95826","amy95826")</f>
        <v>amy95826</v>
      </c>
      <c r="G1115" s="9" t="s">
        <v>13</v>
      </c>
      <c r="H1115" s="9" t="s">
        <v>10320</v>
      </c>
    </row>
    <row r="1116" customFormat="false" ht="15.75" hidden="false" customHeight="false" outlineLevel="0" collapsed="false">
      <c r="B1116" s="7" t="n">
        <v>46222</v>
      </c>
      <c r="C1116" s="3" t="s">
        <v>10321</v>
      </c>
      <c r="D1116" s="3" t="s">
        <v>9982</v>
      </c>
      <c r="E1116" s="3" t="s">
        <v>10322</v>
      </c>
      <c r="F1116" s="10" t="str">
        <f aca="false">HYPERLINK("https://www.inaturalist.org/people/patrickobrien3","patrickobrien3")</f>
        <v>patrickobrien3</v>
      </c>
      <c r="G1116" s="9" t="s">
        <v>13</v>
      </c>
      <c r="H1116" s="9" t="s">
        <v>10323</v>
      </c>
    </row>
    <row r="1117" customFormat="false" ht="15.75" hidden="false" customHeight="false" outlineLevel="0" collapsed="false">
      <c r="B1117" s="7" t="n">
        <v>46222</v>
      </c>
      <c r="C1117" s="3" t="s">
        <v>10324</v>
      </c>
      <c r="D1117" s="3" t="s">
        <v>9982</v>
      </c>
      <c r="E1117" s="3" t="s">
        <v>10325</v>
      </c>
      <c r="F1117" s="10" t="str">
        <f aca="false">HYPERLINK("https://www.inaturalist.org/people/patrickobrien3","patrickobrien3")</f>
        <v>patrickobrien3</v>
      </c>
      <c r="G1117" s="9" t="s">
        <v>13</v>
      </c>
      <c r="H1117" s="9" t="s">
        <v>10326</v>
      </c>
    </row>
    <row r="1118" customFormat="false" ht="15.75" hidden="false" customHeight="false" outlineLevel="0" collapsed="false">
      <c r="B1118" s="7" t="n">
        <v>46222</v>
      </c>
      <c r="C1118" s="3" t="s">
        <v>10327</v>
      </c>
      <c r="D1118" s="3" t="s">
        <v>9982</v>
      </c>
      <c r="E1118" s="3" t="s">
        <v>10328</v>
      </c>
      <c r="F1118" s="10" t="str">
        <f aca="false">HYPERLINK("https://www.inaturalist.org/people/patrickobrien3","patrickobrien3")</f>
        <v>patrickobrien3</v>
      </c>
      <c r="G1118" s="9" t="s">
        <v>13</v>
      </c>
      <c r="H1118" s="9" t="s">
        <v>10329</v>
      </c>
    </row>
    <row r="1119" customFormat="false" ht="15.75" hidden="false" customHeight="false" outlineLevel="0" collapsed="false">
      <c r="B1119" s="7" t="n">
        <v>46222</v>
      </c>
      <c r="C1119" s="3" t="s">
        <v>10330</v>
      </c>
      <c r="D1119" s="3" t="s">
        <v>9982</v>
      </c>
      <c r="E1119" s="3" t="s">
        <v>10331</v>
      </c>
      <c r="F1119" s="10" t="str">
        <f aca="false">HYPERLINK("https://www.inaturalist.org/people/cloudberry","cloudberry")</f>
        <v>cloudberry</v>
      </c>
      <c r="G1119" s="9" t="s">
        <v>13</v>
      </c>
      <c r="H1119" s="9" t="s">
        <v>10332</v>
      </c>
    </row>
    <row r="1120" customFormat="false" ht="15.75" hidden="false" customHeight="false" outlineLevel="0" collapsed="false">
      <c r="B1120" s="7" t="n">
        <v>46222</v>
      </c>
      <c r="C1120" s="3" t="s">
        <v>10333</v>
      </c>
      <c r="D1120" s="3" t="s">
        <v>9982</v>
      </c>
      <c r="E1120" s="3" t="s">
        <v>10334</v>
      </c>
      <c r="F1120" s="10" t="str">
        <f aca="false">HYPERLINK("https://www.inaturalist.org/people/life_of_small_things","life_of_small_things")</f>
        <v>life_of_small_things</v>
      </c>
      <c r="G1120" s="9" t="s">
        <v>13</v>
      </c>
      <c r="H1120" s="9" t="s">
        <v>10335</v>
      </c>
    </row>
    <row r="1121" customFormat="false" ht="15.75" hidden="false" customHeight="false" outlineLevel="0" collapsed="false">
      <c r="B1121" s="7" t="n">
        <v>46222</v>
      </c>
      <c r="C1121" s="3" t="s">
        <v>10336</v>
      </c>
      <c r="D1121" s="3" t="s">
        <v>9982</v>
      </c>
      <c r="E1121" s="3" t="s">
        <v>10337</v>
      </c>
      <c r="F1121" s="10" t="str">
        <f aca="false">HYPERLINK("https://www.inaturalist.org/people/picklejar","picklejar")</f>
        <v>picklejar</v>
      </c>
      <c r="G1121" s="9" t="s">
        <v>13</v>
      </c>
      <c r="H1121" s="9" t="s">
        <v>10338</v>
      </c>
    </row>
    <row r="1122" customFormat="false" ht="15.75" hidden="false" customHeight="false" outlineLevel="0" collapsed="false">
      <c r="B1122" s="7" t="n">
        <v>46222</v>
      </c>
      <c r="C1122" s="3" t="s">
        <v>10339</v>
      </c>
      <c r="D1122" s="3" t="s">
        <v>9982</v>
      </c>
      <c r="E1122" s="3" t="s">
        <v>10340</v>
      </c>
      <c r="F1122" s="10" t="str">
        <f aca="false">HYPERLINK("https://www.inaturalist.org/people/stevoj","stevoj")</f>
        <v>stevoj</v>
      </c>
      <c r="G1122" s="9" t="s">
        <v>13</v>
      </c>
      <c r="H1122" s="9" t="s">
        <v>10341</v>
      </c>
    </row>
    <row r="1123" customFormat="false" ht="15.75" hidden="false" customHeight="false" outlineLevel="0" collapsed="false">
      <c r="B1123" s="7" t="n">
        <v>46222</v>
      </c>
      <c r="C1123" s="3" t="s">
        <v>10342</v>
      </c>
      <c r="D1123" s="3" t="s">
        <v>9982</v>
      </c>
      <c r="E1123" s="3" t="s">
        <v>10343</v>
      </c>
      <c r="F1123" s="10" t="str">
        <f aca="false">HYPERLINK("https://www.inaturalist.org/people/adrianne_sun","adrianne_sun")</f>
        <v>adrianne_sun</v>
      </c>
      <c r="G1123" s="9" t="s">
        <v>13</v>
      </c>
      <c r="H1123" s="9" t="s">
        <v>10344</v>
      </c>
    </row>
    <row r="1124" customFormat="false" ht="15.75" hidden="false" customHeight="false" outlineLevel="0" collapsed="false">
      <c r="B1124" s="7" t="n">
        <v>46222</v>
      </c>
      <c r="C1124" s="3" t="s">
        <v>10345</v>
      </c>
      <c r="D1124" s="3" t="s">
        <v>9982</v>
      </c>
      <c r="E1124" s="3" t="s">
        <v>10346</v>
      </c>
      <c r="F1124" s="10" t="str">
        <f aca="false">HYPERLINK("https://www.inaturalist.org/people/lotus_mcleod345677","lotus_mcleod345677")</f>
        <v>lotus_mcleod345677</v>
      </c>
      <c r="G1124" s="9" t="s">
        <v>13</v>
      </c>
      <c r="H1124" s="9" t="s">
        <v>10347</v>
      </c>
    </row>
    <row r="1125" customFormat="false" ht="15.75" hidden="false" customHeight="false" outlineLevel="0" collapsed="false">
      <c r="B1125" s="7" t="n">
        <v>46222</v>
      </c>
      <c r="C1125" s="3" t="s">
        <v>10348</v>
      </c>
      <c r="D1125" s="3" t="s">
        <v>9982</v>
      </c>
      <c r="E1125" s="3" t="s">
        <v>10349</v>
      </c>
      <c r="F1125" s="10" t="str">
        <f aca="false">HYPERLINK("https://www.inaturalist.org/people/bolmstead42","bolmstead42")</f>
        <v>bolmstead42</v>
      </c>
      <c r="G1125" s="9" t="s">
        <v>13</v>
      </c>
      <c r="H1125" s="9" t="s">
        <v>10350</v>
      </c>
    </row>
    <row r="1126" customFormat="false" ht="15.75" hidden="false" customHeight="false" outlineLevel="0" collapsed="false">
      <c r="B1126" s="7" t="n">
        <v>46222</v>
      </c>
      <c r="C1126" s="3" t="s">
        <v>10351</v>
      </c>
      <c r="D1126" s="3" t="s">
        <v>9982</v>
      </c>
      <c r="E1126" s="3" t="s">
        <v>10352</v>
      </c>
      <c r="F1126" s="10" t="str">
        <f aca="false">HYPERLINK("https://www.inaturalist.org/people/krishikes07","krishikes07")</f>
        <v>krishikes07</v>
      </c>
      <c r="G1126" s="9" t="s">
        <v>13</v>
      </c>
      <c r="H1126" s="9" t="s">
        <v>10353</v>
      </c>
    </row>
    <row r="1127" customFormat="false" ht="15.75" hidden="false" customHeight="false" outlineLevel="0" collapsed="false">
      <c r="B1127" s="7" t="n">
        <v>46222</v>
      </c>
      <c r="C1127" s="3" t="s">
        <v>10354</v>
      </c>
      <c r="D1127" s="3" t="s">
        <v>9982</v>
      </c>
      <c r="E1127" s="3" t="s">
        <v>10355</v>
      </c>
      <c r="F1127" s="10" t="str">
        <f aca="false">HYPERLINK("https://www.inaturalist.org/people/krishikes07","krishikes07")</f>
        <v>krishikes07</v>
      </c>
      <c r="G1127" s="9" t="s">
        <v>13</v>
      </c>
      <c r="H1127" s="9" t="s">
        <v>10356</v>
      </c>
    </row>
    <row r="1128" customFormat="false" ht="15.75" hidden="false" customHeight="false" outlineLevel="0" collapsed="false">
      <c r="B1128" s="7" t="n">
        <v>46222</v>
      </c>
      <c r="C1128" s="3" t="s">
        <v>10357</v>
      </c>
      <c r="D1128" s="3" t="s">
        <v>9982</v>
      </c>
      <c r="E1128" s="3" t="s">
        <v>10358</v>
      </c>
      <c r="F1128" s="10" t="str">
        <f aca="false">HYPERLINK("https://www.inaturalist.org/people/carol1086","carol1086")</f>
        <v>carol1086</v>
      </c>
      <c r="G1128" s="9" t="s">
        <v>13</v>
      </c>
      <c r="H1128" s="9" t="s">
        <v>10359</v>
      </c>
    </row>
    <row r="1129" customFormat="false" ht="15.75" hidden="false" customHeight="false" outlineLevel="0" collapsed="false">
      <c r="B1129" s="7" t="n">
        <v>46222</v>
      </c>
      <c r="C1129" s="3" t="s">
        <v>10360</v>
      </c>
      <c r="D1129" s="3" t="s">
        <v>9982</v>
      </c>
      <c r="E1129" s="3" t="s">
        <v>10361</v>
      </c>
      <c r="F1129" s="10" t="str">
        <f aca="false">HYPERLINK("https://www.inaturalist.org/people/tinawiley","tinawiley")</f>
        <v>tinawiley</v>
      </c>
      <c r="G1129" s="9" t="s">
        <v>13</v>
      </c>
      <c r="H1129" s="9" t="s">
        <v>10362</v>
      </c>
    </row>
    <row r="1130" customFormat="false" ht="15.75" hidden="false" customHeight="false" outlineLevel="0" collapsed="false">
      <c r="B1130" s="7" t="n">
        <v>46222</v>
      </c>
      <c r="C1130" s="3" t="s">
        <v>10363</v>
      </c>
      <c r="D1130" s="3" t="s">
        <v>9982</v>
      </c>
      <c r="E1130" s="3" t="s">
        <v>10364</v>
      </c>
      <c r="F1130" s="10" t="str">
        <f aca="false">HYPERLINK("https://www.inaturalist.org/people/tinawiley","tinawiley")</f>
        <v>tinawiley</v>
      </c>
      <c r="G1130" s="9" t="s">
        <v>13</v>
      </c>
      <c r="H1130" s="9" t="s">
        <v>10365</v>
      </c>
    </row>
    <row r="1131" customFormat="false" ht="15.75" hidden="false" customHeight="false" outlineLevel="0" collapsed="false">
      <c r="B1131" s="7" t="n">
        <v>46222</v>
      </c>
      <c r="C1131" s="3" t="s">
        <v>10366</v>
      </c>
      <c r="D1131" s="3" t="s">
        <v>9982</v>
      </c>
      <c r="E1131" s="3" t="s">
        <v>10367</v>
      </c>
      <c r="F1131" s="10" t="str">
        <f aca="false">HYPERLINK("https://www.inaturalist.org/people/tinawiley","tinawiley")</f>
        <v>tinawiley</v>
      </c>
      <c r="G1131" s="9" t="s">
        <v>13</v>
      </c>
      <c r="H1131" s="9" t="s">
        <v>10368</v>
      </c>
    </row>
    <row r="1132" customFormat="false" ht="15.75" hidden="false" customHeight="false" outlineLevel="0" collapsed="false">
      <c r="B1132" s="7" t="n">
        <v>46222</v>
      </c>
      <c r="C1132" s="3" t="s">
        <v>10369</v>
      </c>
      <c r="D1132" s="3" t="s">
        <v>9982</v>
      </c>
      <c r="E1132" s="3" t="s">
        <v>10370</v>
      </c>
      <c r="F1132" s="10" t="str">
        <f aca="false">HYPERLINK("https://www.inaturalist.org/people/tinawiley","tinawiley")</f>
        <v>tinawiley</v>
      </c>
      <c r="G1132" s="9" t="s">
        <v>13</v>
      </c>
      <c r="H1132" s="9" t="s">
        <v>10371</v>
      </c>
    </row>
    <row r="1133" customFormat="false" ht="15.75" hidden="false" customHeight="false" outlineLevel="0" collapsed="false">
      <c r="B1133" s="7" t="n">
        <v>46222</v>
      </c>
      <c r="C1133" s="3" t="s">
        <v>10372</v>
      </c>
      <c r="D1133" s="3" t="s">
        <v>9982</v>
      </c>
      <c r="E1133" s="3" t="s">
        <v>10373</v>
      </c>
      <c r="F1133" s="10" t="str">
        <f aca="false">HYPERLINK("https://www.inaturalist.org/people/tinawiley","tinawiley")</f>
        <v>tinawiley</v>
      </c>
      <c r="G1133" s="9" t="s">
        <v>13</v>
      </c>
      <c r="H1133" s="9" t="s">
        <v>10374</v>
      </c>
    </row>
    <row r="1134" customFormat="false" ht="15.75" hidden="false" customHeight="false" outlineLevel="0" collapsed="false">
      <c r="B1134" s="7" t="n">
        <v>46222</v>
      </c>
      <c r="C1134" s="3" t="s">
        <v>10375</v>
      </c>
      <c r="D1134" s="3" t="s">
        <v>9982</v>
      </c>
      <c r="E1134" s="3" t="s">
        <v>10376</v>
      </c>
      <c r="F1134" s="10" t="str">
        <f aca="false">HYPERLINK("https://www.inaturalist.org/people/tinawiley","tinawiley")</f>
        <v>tinawiley</v>
      </c>
      <c r="G1134" s="9" t="s">
        <v>13</v>
      </c>
      <c r="H1134" s="9" t="s">
        <v>10377</v>
      </c>
    </row>
    <row r="1135" customFormat="false" ht="15.75" hidden="false" customHeight="false" outlineLevel="0" collapsed="false">
      <c r="B1135" s="7" t="n">
        <v>46222</v>
      </c>
      <c r="C1135" s="3" t="s">
        <v>10378</v>
      </c>
      <c r="D1135" s="3" t="s">
        <v>9982</v>
      </c>
      <c r="E1135" s="3" t="s">
        <v>10379</v>
      </c>
      <c r="F1135" s="10" t="str">
        <f aca="false">HYPERLINK("https://www.inaturalist.org/people/jblinde","jblinde")</f>
        <v>jblinde</v>
      </c>
      <c r="G1135" s="9" t="s">
        <v>13</v>
      </c>
      <c r="H1135" s="9" t="s">
        <v>10380</v>
      </c>
    </row>
    <row r="1136" customFormat="false" ht="15.75" hidden="false" customHeight="false" outlineLevel="0" collapsed="false">
      <c r="B1136" s="7" t="n">
        <v>46222</v>
      </c>
      <c r="C1136" s="3" t="s">
        <v>10381</v>
      </c>
      <c r="D1136" s="3" t="s">
        <v>9982</v>
      </c>
      <c r="E1136" s="3" t="s">
        <v>10382</v>
      </c>
      <c r="F1136" s="10" t="str">
        <f aca="false">HYPERLINK("https://www.inaturalist.org/people/upthemountain","upthemountain")</f>
        <v>upthemountain</v>
      </c>
      <c r="G1136" s="9" t="s">
        <v>13</v>
      </c>
      <c r="H1136" s="9" t="s">
        <v>10383</v>
      </c>
    </row>
    <row r="1137" customFormat="false" ht="15.75" hidden="false" customHeight="false" outlineLevel="0" collapsed="false">
      <c r="B1137" s="7" t="n">
        <v>46222</v>
      </c>
      <c r="C1137" s="3" t="s">
        <v>10384</v>
      </c>
      <c r="D1137" s="3" t="s">
        <v>9982</v>
      </c>
      <c r="E1137" s="3" t="s">
        <v>10385</v>
      </c>
      <c r="F1137" s="10" t="str">
        <f aca="false">HYPERLINK("https://www.inaturalist.org/people/saiquaticlifeform","saiquaticlifeform")</f>
        <v>saiquaticlifeform</v>
      </c>
      <c r="G1137" s="9" t="s">
        <v>13</v>
      </c>
      <c r="H1137" s="9" t="s">
        <v>10386</v>
      </c>
    </row>
    <row r="1138" customFormat="false" ht="15.75" hidden="false" customHeight="false" outlineLevel="0" collapsed="false">
      <c r="B1138" s="7" t="n">
        <v>46222</v>
      </c>
      <c r="C1138" s="3" t="s">
        <v>10387</v>
      </c>
      <c r="D1138" s="3" t="s">
        <v>9982</v>
      </c>
      <c r="E1138" s="3" t="s">
        <v>10388</v>
      </c>
      <c r="F1138" s="10" t="str">
        <f aca="false">HYPERLINK("https://www.inaturalist.org/people/panecillo","panecillo")</f>
        <v>panecillo</v>
      </c>
      <c r="G1138" s="9" t="s">
        <v>13</v>
      </c>
      <c r="H1138" s="9" t="s">
        <v>10389</v>
      </c>
    </row>
    <row r="1139" customFormat="false" ht="15.75" hidden="false" customHeight="false" outlineLevel="0" collapsed="false">
      <c r="B1139" s="7" t="n">
        <v>46222</v>
      </c>
      <c r="C1139" s="3" t="s">
        <v>10390</v>
      </c>
      <c r="D1139" s="3" t="s">
        <v>9982</v>
      </c>
      <c r="E1139" s="3" t="s">
        <v>10391</v>
      </c>
      <c r="F1139" s="10" t="str">
        <f aca="false">HYPERLINK("https://www.inaturalist.org/people/herong","herong")</f>
        <v>herong</v>
      </c>
      <c r="G1139" s="9" t="s">
        <v>13</v>
      </c>
      <c r="H1139" s="9" t="s">
        <v>10392</v>
      </c>
    </row>
    <row r="1140" customFormat="false" ht="15.75" hidden="false" customHeight="false" outlineLevel="0" collapsed="false">
      <c r="B1140" s="7" t="n">
        <v>46222</v>
      </c>
      <c r="C1140" s="3" t="s">
        <v>10393</v>
      </c>
      <c r="D1140" s="3" t="s">
        <v>9982</v>
      </c>
      <c r="E1140" s="3" t="s">
        <v>10394</v>
      </c>
      <c r="F1140" s="10" t="str">
        <f aca="false">HYPERLINK("https://www.inaturalist.org/people/derekanddamon","derekanddamon")</f>
        <v>derekanddamon</v>
      </c>
      <c r="G1140" s="9" t="s">
        <v>13</v>
      </c>
      <c r="H1140" s="9" t="s">
        <v>10395</v>
      </c>
    </row>
    <row r="1141" customFormat="false" ht="15.75" hidden="false" customHeight="false" outlineLevel="0" collapsed="false">
      <c r="B1141" s="7" t="n">
        <v>46222</v>
      </c>
      <c r="C1141" s="3" t="s">
        <v>10396</v>
      </c>
      <c r="D1141" s="3" t="s">
        <v>9982</v>
      </c>
      <c r="E1141" s="3" t="s">
        <v>10397</v>
      </c>
      <c r="F1141" s="10" t="str">
        <f aca="false">HYPERLINK("https://www.inaturalist.org/people/jblinde","jblinde")</f>
        <v>jblinde</v>
      </c>
      <c r="G1141" s="9" t="s">
        <v>13</v>
      </c>
      <c r="H1141" s="9" t="s">
        <v>10398</v>
      </c>
    </row>
    <row r="1142" customFormat="false" ht="15.75" hidden="false" customHeight="false" outlineLevel="0" collapsed="false">
      <c r="B1142" s="7" t="n">
        <v>46222</v>
      </c>
      <c r="C1142" s="3" t="s">
        <v>10399</v>
      </c>
      <c r="D1142" s="3" t="s">
        <v>9982</v>
      </c>
      <c r="E1142" s="3" t="s">
        <v>10400</v>
      </c>
      <c r="F1142" s="10" t="str">
        <f aca="false">HYPERLINK("https://www.inaturalist.org/people/tara_h5","tara_h5")</f>
        <v>tara_h5</v>
      </c>
      <c r="G1142" s="9" t="s">
        <v>13</v>
      </c>
      <c r="H1142" s="9" t="s">
        <v>10401</v>
      </c>
    </row>
    <row r="1143" customFormat="false" ht="15.75" hidden="false" customHeight="false" outlineLevel="0" collapsed="false">
      <c r="B1143" s="7" t="n">
        <v>46222</v>
      </c>
      <c r="C1143" s="3" t="s">
        <v>10402</v>
      </c>
      <c r="D1143" s="3" t="s">
        <v>9982</v>
      </c>
      <c r="E1143" s="3" t="s">
        <v>10403</v>
      </c>
      <c r="F1143" s="10" t="str">
        <f aca="false">HYPERLINK("https://www.inaturalist.org/people/khensen","khensen")</f>
        <v>khensen</v>
      </c>
      <c r="G1143" s="9" t="s">
        <v>13</v>
      </c>
      <c r="H1143" s="9" t="s">
        <v>10404</v>
      </c>
    </row>
    <row r="1144" customFormat="false" ht="15.75" hidden="false" customHeight="false" outlineLevel="0" collapsed="false">
      <c r="B1144" s="7" t="n">
        <v>46222</v>
      </c>
      <c r="C1144" s="3" t="s">
        <v>10405</v>
      </c>
      <c r="D1144" s="3" t="s">
        <v>9982</v>
      </c>
      <c r="E1144" s="3" t="s">
        <v>10406</v>
      </c>
      <c r="F1144" s="10" t="str">
        <f aca="false">HYPERLINK("https://www.inaturalist.org/people/tara_h5","tara_h5")</f>
        <v>tara_h5</v>
      </c>
      <c r="G1144" s="9" t="s">
        <v>13</v>
      </c>
      <c r="H1144" s="9" t="s">
        <v>10407</v>
      </c>
    </row>
    <row r="1145" customFormat="false" ht="15.75" hidden="false" customHeight="false" outlineLevel="0" collapsed="false">
      <c r="B1145" s="7" t="n">
        <v>46222</v>
      </c>
      <c r="C1145" s="3" t="s">
        <v>10408</v>
      </c>
      <c r="D1145" s="3" t="s">
        <v>9982</v>
      </c>
      <c r="E1145" s="3" t="s">
        <v>10409</v>
      </c>
      <c r="F1145" s="10" t="str">
        <f aca="false">HYPERLINK("https://www.inaturalist.org/people/jblinde","jblinde")</f>
        <v>jblinde</v>
      </c>
      <c r="G1145" s="9" t="s">
        <v>13</v>
      </c>
      <c r="H1145" s="9" t="s">
        <v>10410</v>
      </c>
    </row>
    <row r="1146" customFormat="false" ht="15.75" hidden="false" customHeight="false" outlineLevel="0" collapsed="false">
      <c r="B1146" s="7" t="n">
        <v>46222</v>
      </c>
      <c r="C1146" s="3" t="s">
        <v>10411</v>
      </c>
      <c r="D1146" s="3" t="s">
        <v>9982</v>
      </c>
      <c r="E1146" s="3" t="s">
        <v>10412</v>
      </c>
      <c r="F1146" s="10" t="str">
        <f aca="false">HYPERLINK("https://www.inaturalist.org/people/jblinde","jblinde")</f>
        <v>jblinde</v>
      </c>
      <c r="G1146" s="9" t="s">
        <v>13</v>
      </c>
      <c r="H1146" s="9" t="s">
        <v>10413</v>
      </c>
    </row>
    <row r="1147" customFormat="false" ht="15.75" hidden="false" customHeight="false" outlineLevel="0" collapsed="false">
      <c r="B1147" s="7" t="n">
        <v>46222</v>
      </c>
      <c r="C1147" s="3" t="s">
        <v>10414</v>
      </c>
      <c r="D1147" s="3" t="s">
        <v>9982</v>
      </c>
      <c r="E1147" s="3" t="s">
        <v>10415</v>
      </c>
      <c r="F1147" s="10" t="str">
        <f aca="false">HYPERLINK("https://www.inaturalist.org/people/hazelhensley","hazelhensley")</f>
        <v>hazelhensley</v>
      </c>
      <c r="G1147" s="9" t="s">
        <v>13</v>
      </c>
      <c r="H1147" s="9" t="s">
        <v>10416</v>
      </c>
    </row>
    <row r="1148" customFormat="false" ht="15.75" hidden="false" customHeight="false" outlineLevel="0" collapsed="false">
      <c r="B1148" s="7" t="n">
        <v>46222</v>
      </c>
      <c r="C1148" s="3" t="s">
        <v>10417</v>
      </c>
      <c r="D1148" s="3" t="s">
        <v>9982</v>
      </c>
      <c r="E1148" s="3" t="s">
        <v>10418</v>
      </c>
      <c r="F1148" s="10" t="str">
        <f aca="false">HYPERLINK("https://www.inaturalist.org/people/carol1086","carol1086")</f>
        <v>carol1086</v>
      </c>
      <c r="G1148" s="9" t="s">
        <v>13</v>
      </c>
      <c r="H1148" s="9" t="s">
        <v>10419</v>
      </c>
    </row>
    <row r="1149" customFormat="false" ht="15.75" hidden="false" customHeight="false" outlineLevel="0" collapsed="false">
      <c r="B1149" s="7" t="n">
        <v>46222</v>
      </c>
      <c r="C1149" s="3" t="s">
        <v>10420</v>
      </c>
      <c r="D1149" s="3" t="s">
        <v>9982</v>
      </c>
      <c r="E1149" s="3" t="s">
        <v>10421</v>
      </c>
      <c r="F1149" s="10" t="str">
        <f aca="false">HYPERLINK("https://www.inaturalist.org/people/alexpat05","alexpat05")</f>
        <v>alexpat05</v>
      </c>
      <c r="G1149" s="9" t="s">
        <v>13</v>
      </c>
      <c r="H1149" s="9" t="s">
        <v>10422</v>
      </c>
    </row>
    <row r="1150" customFormat="false" ht="15.75" hidden="false" customHeight="false" outlineLevel="0" collapsed="false">
      <c r="B1150" s="7" t="n">
        <v>46222</v>
      </c>
      <c r="C1150" s="3" t="s">
        <v>10423</v>
      </c>
      <c r="D1150" s="3" t="s">
        <v>9982</v>
      </c>
      <c r="E1150" s="3" t="s">
        <v>10424</v>
      </c>
      <c r="F1150" s="10" t="str">
        <f aca="false">HYPERLINK("https://www.inaturalist.org/people/alexpat05","alexpat05")</f>
        <v>alexpat05</v>
      </c>
      <c r="G1150" s="9" t="s">
        <v>13</v>
      </c>
      <c r="H1150" s="9" t="s">
        <v>10425</v>
      </c>
    </row>
    <row r="1151" customFormat="false" ht="15.75" hidden="false" customHeight="false" outlineLevel="0" collapsed="false">
      <c r="B1151" s="7" t="n">
        <v>46222</v>
      </c>
      <c r="C1151" s="3" t="s">
        <v>10426</v>
      </c>
      <c r="D1151" s="3" t="s">
        <v>9982</v>
      </c>
      <c r="E1151" s="3" t="s">
        <v>10427</v>
      </c>
      <c r="F1151" s="10" t="str">
        <f aca="false">HYPERLINK("https://www.inaturalist.org/people/alexpat05","alexpat05")</f>
        <v>alexpat05</v>
      </c>
      <c r="G1151" s="9" t="s">
        <v>13</v>
      </c>
      <c r="H1151" s="9" t="s">
        <v>10428</v>
      </c>
    </row>
    <row r="1152" customFormat="false" ht="15.75" hidden="false" customHeight="false" outlineLevel="0" collapsed="false">
      <c r="B1152" s="7" t="n">
        <v>46222</v>
      </c>
      <c r="C1152" s="3" t="s">
        <v>10429</v>
      </c>
      <c r="D1152" s="3" t="s">
        <v>9982</v>
      </c>
      <c r="E1152" s="3" t="s">
        <v>10430</v>
      </c>
      <c r="F1152" s="10" t="str">
        <f aca="false">HYPERLINK("https://www.inaturalist.org/people/alexpat05","alexpat05")</f>
        <v>alexpat05</v>
      </c>
      <c r="G1152" s="9" t="s">
        <v>13</v>
      </c>
      <c r="H1152" s="9" t="s">
        <v>10431</v>
      </c>
    </row>
    <row r="1153" customFormat="false" ht="15.75" hidden="false" customHeight="false" outlineLevel="0" collapsed="false">
      <c r="B1153" s="7" t="n">
        <v>46222</v>
      </c>
      <c r="C1153" s="3" t="s">
        <v>10432</v>
      </c>
      <c r="D1153" s="3" t="s">
        <v>9982</v>
      </c>
      <c r="E1153" s="3" t="s">
        <v>10433</v>
      </c>
      <c r="F1153" s="10" t="str">
        <f aca="false">HYPERLINK("https://www.inaturalist.org/people/jblinde","jblinde")</f>
        <v>jblinde</v>
      </c>
      <c r="G1153" s="9" t="s">
        <v>13</v>
      </c>
      <c r="H1153" s="9" t="s">
        <v>10434</v>
      </c>
    </row>
    <row r="1154" customFormat="false" ht="15.75" hidden="false" customHeight="false" outlineLevel="0" collapsed="false">
      <c r="B1154" s="7" t="n">
        <v>46222</v>
      </c>
      <c r="C1154" s="3" t="s">
        <v>10435</v>
      </c>
      <c r="D1154" s="3" t="s">
        <v>9982</v>
      </c>
      <c r="E1154" s="3" t="s">
        <v>10436</v>
      </c>
      <c r="F1154" s="10" t="str">
        <f aca="false">HYPERLINK("https://www.inaturalist.org/people/jblinde","jblinde")</f>
        <v>jblinde</v>
      </c>
      <c r="G1154" s="9" t="s">
        <v>13</v>
      </c>
      <c r="H1154" s="9" t="s">
        <v>10437</v>
      </c>
    </row>
    <row r="1155" customFormat="false" ht="15.75" hidden="false" customHeight="false" outlineLevel="0" collapsed="false">
      <c r="B1155" s="7" t="n">
        <v>46222</v>
      </c>
      <c r="C1155" s="3" t="s">
        <v>10438</v>
      </c>
      <c r="D1155" s="3" t="s">
        <v>9982</v>
      </c>
      <c r="E1155" s="3" t="s">
        <v>10439</v>
      </c>
      <c r="F1155" s="10" t="str">
        <f aca="false">HYPERLINK("https://www.inaturalist.org/people/treadcarefully","treadcarefully")</f>
        <v>treadcarefully</v>
      </c>
      <c r="G1155" s="9" t="s">
        <v>13</v>
      </c>
      <c r="H1155" s="9" t="s">
        <v>10440</v>
      </c>
    </row>
    <row r="1156" customFormat="false" ht="15.75" hidden="false" customHeight="false" outlineLevel="0" collapsed="false">
      <c r="B1156" s="7" t="n">
        <v>46222</v>
      </c>
      <c r="C1156" s="3" t="s">
        <v>10441</v>
      </c>
      <c r="D1156" s="3" t="s">
        <v>9982</v>
      </c>
      <c r="E1156" s="3" t="s">
        <v>10442</v>
      </c>
      <c r="F1156" s="10" t="str">
        <f aca="false">HYPERLINK("https://www.inaturalist.org/people/htrimpe","htrimpe")</f>
        <v>htrimpe</v>
      </c>
      <c r="G1156" s="9" t="s">
        <v>13</v>
      </c>
      <c r="H1156" s="9" t="s">
        <v>10443</v>
      </c>
    </row>
    <row r="1157" customFormat="false" ht="15.75" hidden="false" customHeight="false" outlineLevel="0" collapsed="false">
      <c r="B1157" s="7" t="n">
        <v>46222</v>
      </c>
      <c r="C1157" s="3" t="s">
        <v>10444</v>
      </c>
      <c r="D1157" s="3" t="s">
        <v>9982</v>
      </c>
      <c r="E1157" s="3" t="s">
        <v>10445</v>
      </c>
      <c r="F1157" s="10" t="str">
        <f aca="false">HYPERLINK("https://www.inaturalist.org/people/fsmith03","fsmith03")</f>
        <v>fsmith03</v>
      </c>
      <c r="G1157" s="9" t="s">
        <v>13</v>
      </c>
      <c r="H1157" s="9" t="s">
        <v>10446</v>
      </c>
    </row>
    <row r="1158" customFormat="false" ht="15.75" hidden="false" customHeight="false" outlineLevel="0" collapsed="false">
      <c r="B1158" s="7" t="n">
        <v>46222</v>
      </c>
      <c r="C1158" s="3" t="s">
        <v>10447</v>
      </c>
      <c r="D1158" s="3" t="s">
        <v>9982</v>
      </c>
      <c r="E1158" s="3" t="s">
        <v>10448</v>
      </c>
      <c r="F1158" s="10" t="str">
        <f aca="false">HYPERLINK("https://www.inaturalist.org/people/nalaurasiq","nalaurasiq")</f>
        <v>nalaurasiq</v>
      </c>
      <c r="G1158" s="9" t="s">
        <v>13</v>
      </c>
      <c r="H1158" s="9" t="s">
        <v>10449</v>
      </c>
    </row>
    <row r="1159" customFormat="false" ht="15.75" hidden="false" customHeight="false" outlineLevel="0" collapsed="false">
      <c r="B1159" s="7" t="n">
        <v>46222</v>
      </c>
      <c r="C1159" s="3" t="s">
        <v>10450</v>
      </c>
      <c r="D1159" s="3" t="s">
        <v>9982</v>
      </c>
      <c r="E1159" s="3" t="s">
        <v>10451</v>
      </c>
      <c r="F1159" s="10" t="str">
        <f aca="false">HYPERLINK("https://www.inaturalist.org/people/aranlovesbirds","aranlovesbirds")</f>
        <v>aranlovesbirds</v>
      </c>
      <c r="G1159" s="9" t="s">
        <v>13</v>
      </c>
      <c r="H1159" s="9" t="s">
        <v>10452</v>
      </c>
    </row>
    <row r="1160" customFormat="false" ht="15.75" hidden="false" customHeight="false" outlineLevel="0" collapsed="false">
      <c r="B1160" s="7" t="n">
        <v>46222</v>
      </c>
      <c r="C1160" s="3" t="s">
        <v>10453</v>
      </c>
      <c r="D1160" s="3" t="s">
        <v>9982</v>
      </c>
      <c r="E1160" s="3" t="s">
        <v>10454</v>
      </c>
      <c r="F1160" s="10" t="str">
        <f aca="false">HYPERLINK("https://www.inaturalist.org/people/nalaurasiq","nalaurasiq")</f>
        <v>nalaurasiq</v>
      </c>
      <c r="G1160" s="9" t="s">
        <v>13</v>
      </c>
      <c r="H1160" s="9" t="s">
        <v>10455</v>
      </c>
    </row>
    <row r="1161" customFormat="false" ht="15.75" hidden="false" customHeight="false" outlineLevel="0" collapsed="false">
      <c r="B1161" s="7" t="n">
        <v>46222</v>
      </c>
      <c r="C1161" s="3" t="s">
        <v>10456</v>
      </c>
      <c r="D1161" s="3" t="s">
        <v>9982</v>
      </c>
      <c r="E1161" s="3" t="s">
        <v>10457</v>
      </c>
      <c r="F1161" s="10" t="str">
        <f aca="false">HYPERLINK("https://www.inaturalist.org/people/janicefarral","janicefarral")</f>
        <v>janicefarral</v>
      </c>
      <c r="G1161" s="9" t="s">
        <v>13</v>
      </c>
      <c r="H1161" s="9" t="s">
        <v>10458</v>
      </c>
    </row>
    <row r="1162" customFormat="false" ht="15.75" hidden="false" customHeight="false" outlineLevel="0" collapsed="false">
      <c r="B1162" s="7" t="n">
        <v>46222</v>
      </c>
      <c r="C1162" s="3" t="s">
        <v>10459</v>
      </c>
      <c r="D1162" s="3" t="s">
        <v>9982</v>
      </c>
      <c r="E1162" s="3" t="s">
        <v>10460</v>
      </c>
      <c r="F1162" s="10" t="str">
        <f aca="false">HYPERLINK("https://www.inaturalist.org/people/scherbst","scherbst")</f>
        <v>scherbst</v>
      </c>
      <c r="G1162" s="9" t="s">
        <v>13</v>
      </c>
      <c r="H1162" s="9" t="s">
        <v>10461</v>
      </c>
    </row>
    <row r="1163" customFormat="false" ht="15.75" hidden="false" customHeight="false" outlineLevel="0" collapsed="false">
      <c r="B1163" s="7" t="n">
        <v>46222</v>
      </c>
      <c r="C1163" s="3" t="s">
        <v>10462</v>
      </c>
      <c r="D1163" s="3" t="s">
        <v>9982</v>
      </c>
      <c r="E1163" s="3" t="s">
        <v>10463</v>
      </c>
      <c r="F1163" s="10" t="str">
        <f aca="false">HYPERLINK("https://www.inaturalist.org/people/ryaldrich","ryaldrich")</f>
        <v>ryaldrich</v>
      </c>
      <c r="G1163" s="9" t="s">
        <v>13</v>
      </c>
      <c r="H1163" s="9" t="s">
        <v>10464</v>
      </c>
    </row>
    <row r="1164" customFormat="false" ht="15.75" hidden="false" customHeight="false" outlineLevel="0" collapsed="false">
      <c r="B1164" s="7" t="n">
        <v>46222</v>
      </c>
      <c r="C1164" s="3" t="s">
        <v>10465</v>
      </c>
      <c r="D1164" s="3" t="s">
        <v>9982</v>
      </c>
      <c r="E1164" s="3" t="s">
        <v>10466</v>
      </c>
      <c r="F1164" s="10" t="str">
        <f aca="false">HYPERLINK("https://www.inaturalist.org/people/lydia919","lydia919")</f>
        <v>lydia919</v>
      </c>
      <c r="G1164" s="9" t="s">
        <v>13</v>
      </c>
      <c r="H1164" s="9" t="s">
        <v>10467</v>
      </c>
    </row>
    <row r="1165" customFormat="false" ht="15.75" hidden="false" customHeight="false" outlineLevel="0" collapsed="false">
      <c r="B1165" s="7" t="n">
        <v>46222</v>
      </c>
      <c r="C1165" s="3" t="s">
        <v>10468</v>
      </c>
      <c r="D1165" s="3" t="s">
        <v>9982</v>
      </c>
      <c r="E1165" s="3" t="s">
        <v>10469</v>
      </c>
      <c r="F1165" s="10" t="str">
        <f aca="false">HYPERLINK("https://www.inaturalist.org/people/matthewt6416","matthewt6416")</f>
        <v>matthewt6416</v>
      </c>
      <c r="G1165" s="9" t="s">
        <v>13</v>
      </c>
      <c r="H1165" s="9" t="s">
        <v>10470</v>
      </c>
    </row>
    <row r="1166" customFormat="false" ht="15.75" hidden="false" customHeight="false" outlineLevel="0" collapsed="false">
      <c r="B1166" s="7" t="n">
        <v>46222</v>
      </c>
      <c r="C1166" s="3" t="s">
        <v>10471</v>
      </c>
      <c r="D1166" s="3" t="s">
        <v>9982</v>
      </c>
      <c r="E1166" s="3" t="s">
        <v>10472</v>
      </c>
      <c r="F1166" s="10" t="str">
        <f aca="false">HYPERLINK("https://www.inaturalist.org/people/ajsherman","ajsherman")</f>
        <v>ajsherman</v>
      </c>
      <c r="G1166" s="9" t="s">
        <v>13</v>
      </c>
      <c r="H1166" s="9" t="s">
        <v>10473</v>
      </c>
    </row>
    <row r="1167" customFormat="false" ht="15.75" hidden="false" customHeight="false" outlineLevel="0" collapsed="false">
      <c r="B1167" s="7" t="n">
        <v>46222</v>
      </c>
      <c r="C1167" s="3" t="s">
        <v>10474</v>
      </c>
      <c r="D1167" s="3" t="s">
        <v>9982</v>
      </c>
      <c r="E1167" s="3" t="s">
        <v>10475</v>
      </c>
      <c r="F1167" s="10" t="str">
        <f aca="false">HYPERLINK("https://www.inaturalist.org/people/milesheisel","milesheisel")</f>
        <v>milesheisel</v>
      </c>
      <c r="G1167" s="9" t="s">
        <v>13</v>
      </c>
      <c r="H1167" s="9" t="s">
        <v>10476</v>
      </c>
    </row>
    <row r="1168" customFormat="false" ht="15.75" hidden="false" customHeight="false" outlineLevel="0" collapsed="false">
      <c r="B1168" s="7" t="n">
        <v>46222</v>
      </c>
      <c r="C1168" s="3" t="s">
        <v>10477</v>
      </c>
      <c r="D1168" s="3" t="s">
        <v>9982</v>
      </c>
      <c r="E1168" s="3" t="s">
        <v>10478</v>
      </c>
      <c r="F1168" s="10" t="str">
        <f aca="false">HYPERLINK("https://www.inaturalist.org/people/kenchamberlain","kenchamberlain")</f>
        <v>kenchamberlain</v>
      </c>
      <c r="G1168" s="9" t="s">
        <v>13</v>
      </c>
      <c r="H1168" s="9" t="s">
        <v>10479</v>
      </c>
    </row>
    <row r="1169" customFormat="false" ht="15.75" hidden="false" customHeight="false" outlineLevel="0" collapsed="false">
      <c r="B1169" s="7" t="n">
        <v>46222</v>
      </c>
      <c r="C1169" s="3" t="s">
        <v>10480</v>
      </c>
      <c r="D1169" s="3" t="s">
        <v>9982</v>
      </c>
      <c r="E1169" s="3" t="s">
        <v>10481</v>
      </c>
      <c r="F1169" s="10" t="str">
        <f aca="false">HYPERLINK("https://www.inaturalist.org/people/phklsch","phklsch")</f>
        <v>phklsch</v>
      </c>
      <c r="G1169" s="9" t="s">
        <v>13</v>
      </c>
      <c r="H1169" s="9" t="s">
        <v>10482</v>
      </c>
    </row>
    <row r="1170" customFormat="false" ht="15.75" hidden="false" customHeight="false" outlineLevel="0" collapsed="false">
      <c r="B1170" s="7" t="n">
        <v>46222</v>
      </c>
      <c r="C1170" s="3" t="s">
        <v>10483</v>
      </c>
      <c r="D1170" s="3" t="s">
        <v>9982</v>
      </c>
      <c r="E1170" s="3" t="s">
        <v>10484</v>
      </c>
      <c r="F1170" s="10" t="str">
        <f aca="false">HYPERLINK("https://www.inaturalist.org/people/elisamariev","elisamariev")</f>
        <v>elisamariev</v>
      </c>
      <c r="G1170" s="9" t="s">
        <v>13</v>
      </c>
      <c r="H1170" s="9" t="s">
        <v>10485</v>
      </c>
    </row>
    <row r="1171" customFormat="false" ht="15.75" hidden="false" customHeight="false" outlineLevel="0" collapsed="false">
      <c r="B1171" s="7" t="n">
        <v>46222</v>
      </c>
      <c r="C1171" s="3" t="s">
        <v>10486</v>
      </c>
      <c r="D1171" s="3" t="s">
        <v>9982</v>
      </c>
      <c r="E1171" s="3" t="s">
        <v>10487</v>
      </c>
      <c r="F1171" s="10" t="str">
        <f aca="false">HYPERLINK("https://www.inaturalist.org/people/milesheisel","milesheisel")</f>
        <v>milesheisel</v>
      </c>
      <c r="G1171" s="9" t="s">
        <v>13</v>
      </c>
      <c r="H1171" s="9" t="s">
        <v>10488</v>
      </c>
    </row>
    <row r="1172" customFormat="false" ht="15.75" hidden="false" customHeight="false" outlineLevel="0" collapsed="false">
      <c r="B1172" s="7" t="n">
        <v>46222</v>
      </c>
      <c r="C1172" s="3" t="s">
        <v>10489</v>
      </c>
      <c r="D1172" s="3" t="s">
        <v>9982</v>
      </c>
      <c r="E1172" s="3" t="s">
        <v>10490</v>
      </c>
      <c r="F1172" s="10" t="str">
        <f aca="false">HYPERLINK("https://www.inaturalist.org/people/tlells","tlells")</f>
        <v>tlells</v>
      </c>
      <c r="G1172" s="9" t="s">
        <v>13</v>
      </c>
      <c r="H1172" s="9" t="s">
        <v>10491</v>
      </c>
    </row>
    <row r="1173" customFormat="false" ht="15.75" hidden="false" customHeight="false" outlineLevel="0" collapsed="false">
      <c r="B1173" s="7" t="n">
        <v>46222</v>
      </c>
      <c r="C1173" s="3" t="s">
        <v>10492</v>
      </c>
      <c r="D1173" s="3" t="s">
        <v>9982</v>
      </c>
      <c r="E1173" s="3" t="s">
        <v>10493</v>
      </c>
      <c r="F1173" s="10" t="str">
        <f aca="false">HYPERLINK("https://www.inaturalist.org/people/reximiliano","reximiliano")</f>
        <v>reximiliano</v>
      </c>
      <c r="G1173" s="9" t="s">
        <v>13</v>
      </c>
      <c r="H1173" s="9" t="s">
        <v>10494</v>
      </c>
    </row>
    <row r="1174" customFormat="false" ht="15.75" hidden="false" customHeight="false" outlineLevel="0" collapsed="false">
      <c r="B1174" s="7" t="n">
        <v>46222</v>
      </c>
      <c r="C1174" s="3" t="s">
        <v>10495</v>
      </c>
      <c r="D1174" s="3" t="s">
        <v>9982</v>
      </c>
      <c r="E1174" s="3" t="s">
        <v>10496</v>
      </c>
      <c r="F1174" s="10" t="str">
        <f aca="false">HYPERLINK("https://www.inaturalist.org/people/bradenk2c","bradenk2c")</f>
        <v>bradenk2c</v>
      </c>
      <c r="G1174" s="9" t="s">
        <v>13</v>
      </c>
      <c r="H1174" s="9" t="s">
        <v>10497</v>
      </c>
    </row>
    <row r="1175" customFormat="false" ht="15.75" hidden="false" customHeight="false" outlineLevel="0" collapsed="false">
      <c r="B1175" s="7" t="n">
        <v>46222</v>
      </c>
      <c r="C1175" s="3" t="s">
        <v>10498</v>
      </c>
      <c r="D1175" s="3" t="s">
        <v>9982</v>
      </c>
      <c r="E1175" s="3" t="s">
        <v>10499</v>
      </c>
      <c r="F1175" s="10" t="str">
        <f aca="false">HYPERLINK("https://www.inaturalist.org/people/wiiiywagtail","wiiiywagtail")</f>
        <v>wiiiywagtail</v>
      </c>
      <c r="G1175" s="9" t="s">
        <v>13</v>
      </c>
      <c r="H1175" s="9" t="s">
        <v>10500</v>
      </c>
    </row>
    <row r="1176" customFormat="false" ht="15.75" hidden="false" customHeight="false" outlineLevel="0" collapsed="false">
      <c r="B1176" s="7" t="n">
        <v>46222</v>
      </c>
      <c r="C1176" s="3" t="s">
        <v>10501</v>
      </c>
      <c r="D1176" s="3" t="s">
        <v>9982</v>
      </c>
      <c r="E1176" s="3" t="s">
        <v>10502</v>
      </c>
      <c r="F1176" s="10" t="str">
        <f aca="false">HYPERLINK("https://www.inaturalist.org/people/kelly68630","kelly68630")</f>
        <v>kelly68630</v>
      </c>
      <c r="G1176" s="9" t="s">
        <v>13</v>
      </c>
      <c r="H1176" s="9" t="s">
        <v>10503</v>
      </c>
    </row>
    <row r="1177" customFormat="false" ht="15.75" hidden="false" customHeight="false" outlineLevel="0" collapsed="false">
      <c r="B1177" s="7" t="n">
        <v>46222</v>
      </c>
      <c r="C1177" s="3" t="s">
        <v>10504</v>
      </c>
      <c r="D1177" s="3" t="s">
        <v>9982</v>
      </c>
      <c r="E1177" s="3" t="s">
        <v>10505</v>
      </c>
      <c r="F1177" s="10" t="str">
        <f aca="false">HYPERLINK("https://www.inaturalist.org/people/kenny_well","kenny_well")</f>
        <v>kenny_well</v>
      </c>
      <c r="G1177" s="9" t="s">
        <v>13</v>
      </c>
      <c r="H1177" s="9" t="s">
        <v>10506</v>
      </c>
    </row>
    <row r="1178" customFormat="false" ht="15.75" hidden="false" customHeight="false" outlineLevel="0" collapsed="false">
      <c r="B1178" s="7" t="n">
        <v>46222</v>
      </c>
      <c r="C1178" s="3" t="s">
        <v>10507</v>
      </c>
      <c r="D1178" s="3" t="s">
        <v>9982</v>
      </c>
      <c r="E1178" s="3" t="s">
        <v>10508</v>
      </c>
      <c r="F1178" s="10" t="str">
        <f aca="false">HYPERLINK("https://www.inaturalist.org/people/kenny_well","kenny_well")</f>
        <v>kenny_well</v>
      </c>
      <c r="G1178" s="9" t="s">
        <v>13</v>
      </c>
      <c r="H1178" s="9" t="s">
        <v>10509</v>
      </c>
    </row>
    <row r="1179" customFormat="false" ht="15.75" hidden="false" customHeight="false" outlineLevel="0" collapsed="false">
      <c r="B1179" s="7" t="n">
        <v>46222</v>
      </c>
      <c r="C1179" s="3" t="s">
        <v>10510</v>
      </c>
      <c r="D1179" s="3" t="s">
        <v>9982</v>
      </c>
      <c r="E1179" s="3" t="s">
        <v>10511</v>
      </c>
      <c r="F1179" s="10" t="str">
        <f aca="false">HYPERLINK("https://www.inaturalist.org/people/kenny_well","kenny_well")</f>
        <v>kenny_well</v>
      </c>
      <c r="G1179" s="9" t="s">
        <v>13</v>
      </c>
      <c r="H1179" s="9" t="s">
        <v>10512</v>
      </c>
    </row>
    <row r="1180" customFormat="false" ht="15.75" hidden="false" customHeight="false" outlineLevel="0" collapsed="false">
      <c r="B1180" s="7" t="n">
        <v>46222</v>
      </c>
      <c r="C1180" s="3" t="s">
        <v>10513</v>
      </c>
      <c r="D1180" s="3" t="s">
        <v>9982</v>
      </c>
      <c r="E1180" s="3" t="s">
        <v>10514</v>
      </c>
      <c r="F1180" s="10" t="str">
        <f aca="false">HYPERLINK("https://www.inaturalist.org/people/bosquenublado","bosquenublado")</f>
        <v>bosquenublado</v>
      </c>
      <c r="G1180" s="9" t="s">
        <v>13</v>
      </c>
      <c r="H1180" s="9" t="s">
        <v>10515</v>
      </c>
    </row>
    <row r="1181" customFormat="false" ht="15.75" hidden="false" customHeight="false" outlineLevel="0" collapsed="false">
      <c r="B1181" s="7" t="n">
        <v>46222</v>
      </c>
      <c r="C1181" s="3" t="s">
        <v>10516</v>
      </c>
      <c r="D1181" s="3" t="s">
        <v>9982</v>
      </c>
      <c r="E1181" s="3" t="s">
        <v>10517</v>
      </c>
      <c r="F1181" s="10" t="str">
        <f aca="false">HYPERLINK("https://www.inaturalist.org/people/bosquenublado","bosquenublado")</f>
        <v>bosquenublado</v>
      </c>
      <c r="G1181" s="9" t="s">
        <v>13</v>
      </c>
      <c r="H1181" s="9" t="s">
        <v>10518</v>
      </c>
    </row>
    <row r="1182" customFormat="false" ht="15.75" hidden="false" customHeight="false" outlineLevel="0" collapsed="false">
      <c r="B1182" s="7" t="n">
        <v>46222</v>
      </c>
      <c r="C1182" s="3" t="s">
        <v>10519</v>
      </c>
      <c r="D1182" s="3" t="s">
        <v>9982</v>
      </c>
      <c r="E1182" s="3" t="s">
        <v>10520</v>
      </c>
      <c r="F1182" s="10" t="str">
        <f aca="false">HYPERLINK("https://www.inaturalist.org/people/reximiliano","reximiliano")</f>
        <v>reximiliano</v>
      </c>
      <c r="G1182" s="9" t="s">
        <v>13</v>
      </c>
      <c r="H1182" s="9" t="s">
        <v>10521</v>
      </c>
    </row>
    <row r="1183" customFormat="false" ht="15.75" hidden="false" customHeight="false" outlineLevel="0" collapsed="false">
      <c r="B1183" s="7" t="n">
        <v>46222</v>
      </c>
      <c r="C1183" s="3" t="s">
        <v>10522</v>
      </c>
      <c r="D1183" s="3" t="s">
        <v>9982</v>
      </c>
      <c r="E1183" s="3" t="s">
        <v>10523</v>
      </c>
      <c r="F1183" s="10" t="str">
        <f aca="false">HYPERLINK("https://www.inaturalist.org/people/cu_ashton","cu_ashton")</f>
        <v>cu_ashton</v>
      </c>
      <c r="G1183" s="9" t="s">
        <v>13</v>
      </c>
      <c r="H1183" s="9" t="s">
        <v>10524</v>
      </c>
    </row>
    <row r="1184" customFormat="false" ht="15.75" hidden="false" customHeight="false" outlineLevel="0" collapsed="false">
      <c r="B1184" s="7" t="n">
        <v>46222</v>
      </c>
      <c r="C1184" s="3" t="s">
        <v>10525</v>
      </c>
      <c r="D1184" s="3" t="s">
        <v>9982</v>
      </c>
      <c r="E1184" s="3" t="s">
        <v>10526</v>
      </c>
      <c r="F1184" s="10" t="str">
        <f aca="false">HYPERLINK("https://www.inaturalist.org/people/cu_ashton","cu_ashton")</f>
        <v>cu_ashton</v>
      </c>
      <c r="G1184" s="9" t="s">
        <v>13</v>
      </c>
      <c r="H1184" s="9" t="s">
        <v>10527</v>
      </c>
    </row>
    <row r="1185" customFormat="false" ht="15.75" hidden="false" customHeight="false" outlineLevel="0" collapsed="false">
      <c r="B1185" s="7" t="n">
        <v>46222</v>
      </c>
      <c r="C1185" s="3" t="s">
        <v>10528</v>
      </c>
      <c r="D1185" s="3" t="s">
        <v>9982</v>
      </c>
      <c r="E1185" s="3" t="s">
        <v>10529</v>
      </c>
      <c r="F1185" s="10" t="str">
        <f aca="false">HYPERLINK("https://www.inaturalist.org/people/reneraki","reneraki")</f>
        <v>reneraki</v>
      </c>
      <c r="G1185" s="9" t="s">
        <v>13</v>
      </c>
      <c r="H1185" s="9" t="s">
        <v>10530</v>
      </c>
    </row>
    <row r="1186" customFormat="false" ht="15.75" hidden="false" customHeight="false" outlineLevel="0" collapsed="false">
      <c r="B1186" s="7" t="n">
        <v>46222</v>
      </c>
      <c r="C1186" s="3" t="s">
        <v>10531</v>
      </c>
      <c r="D1186" s="3" t="s">
        <v>9982</v>
      </c>
      <c r="E1186" s="3" t="s">
        <v>10532</v>
      </c>
      <c r="F1186" s="10" t="str">
        <f aca="false">HYPERLINK("https://www.inaturalist.org/people/floppa4808","floppa4808")</f>
        <v>floppa4808</v>
      </c>
      <c r="G1186" s="9" t="s">
        <v>13</v>
      </c>
      <c r="H1186" s="9" t="s">
        <v>10533</v>
      </c>
    </row>
    <row r="1187" customFormat="false" ht="15.75" hidden="false" customHeight="false" outlineLevel="0" collapsed="false">
      <c r="B1187" s="7" t="n">
        <v>46222</v>
      </c>
      <c r="C1187" s="3" t="s">
        <v>10534</v>
      </c>
      <c r="D1187" s="3" t="s">
        <v>9982</v>
      </c>
      <c r="E1187" s="3" t="s">
        <v>10535</v>
      </c>
      <c r="F1187" s="10" t="str">
        <f aca="false">HYPERLINK("https://www.inaturalist.org/people/mabelin","mabelin")</f>
        <v>mabelin</v>
      </c>
      <c r="G1187" s="9" t="s">
        <v>13</v>
      </c>
      <c r="H1187" s="9" t="s">
        <v>10536</v>
      </c>
    </row>
    <row r="1188" customFormat="false" ht="15.75" hidden="false" customHeight="false" outlineLevel="0" collapsed="false">
      <c r="B1188" s="7" t="n">
        <v>46222</v>
      </c>
      <c r="C1188" s="3" t="s">
        <v>10537</v>
      </c>
      <c r="D1188" s="3" t="s">
        <v>9982</v>
      </c>
      <c r="E1188" s="3" t="s">
        <v>10538</v>
      </c>
      <c r="F1188" s="10" t="str">
        <f aca="false">HYPERLINK("https://www.inaturalist.org/people/krishikes07","krishikes07")</f>
        <v>krishikes07</v>
      </c>
      <c r="G1188" s="9" t="s">
        <v>13</v>
      </c>
      <c r="H1188" s="9" t="s">
        <v>10539</v>
      </c>
    </row>
    <row r="1189" customFormat="false" ht="15.75" hidden="false" customHeight="false" outlineLevel="0" collapsed="false">
      <c r="B1189" s="7" t="n">
        <v>46222</v>
      </c>
      <c r="C1189" s="3" t="s">
        <v>10540</v>
      </c>
      <c r="D1189" s="3" t="s">
        <v>9982</v>
      </c>
      <c r="E1189" s="3" t="s">
        <v>10541</v>
      </c>
      <c r="F1189" s="10" t="str">
        <f aca="false">HYPERLINK("https://www.inaturalist.org/people/zonotrichiaenjoyer","zonotrichiaenjoyer")</f>
        <v>zonotrichiaenjoyer</v>
      </c>
      <c r="G1189" s="9" t="s">
        <v>13</v>
      </c>
      <c r="H1189" s="9" t="s">
        <v>10542</v>
      </c>
    </row>
    <row r="1190" customFormat="false" ht="15.75" hidden="false" customHeight="false" outlineLevel="0" collapsed="false">
      <c r="B1190" s="7" t="n">
        <v>46222</v>
      </c>
      <c r="C1190" s="3" t="s">
        <v>10543</v>
      </c>
      <c r="D1190" s="3" t="s">
        <v>9982</v>
      </c>
      <c r="E1190" s="3" t="s">
        <v>10544</v>
      </c>
      <c r="F1190" s="10" t="str">
        <f aca="false">HYPERLINK("https://www.inaturalist.org/people/zonotrichiaenjoyer","zonotrichiaenjoyer")</f>
        <v>zonotrichiaenjoyer</v>
      </c>
      <c r="G1190" s="9" t="s">
        <v>13</v>
      </c>
      <c r="H1190" s="9" t="s">
        <v>10545</v>
      </c>
    </row>
    <row r="1191" customFormat="false" ht="15.75" hidden="false" customHeight="false" outlineLevel="0" collapsed="false">
      <c r="B1191" s="7" t="n">
        <v>46222</v>
      </c>
      <c r="C1191" s="3" t="s">
        <v>10546</v>
      </c>
      <c r="D1191" s="3" t="s">
        <v>9982</v>
      </c>
      <c r="E1191" s="3" t="s">
        <v>10547</v>
      </c>
      <c r="F1191" s="10" t="str">
        <f aca="false">HYPERLINK("https://www.inaturalist.org/people/zonotrichiaenjoyer","zonotrichiaenjoyer")</f>
        <v>zonotrichiaenjoyer</v>
      </c>
      <c r="G1191" s="9" t="s">
        <v>13</v>
      </c>
      <c r="H1191" s="9" t="s">
        <v>10548</v>
      </c>
    </row>
    <row r="1192" customFormat="false" ht="15.75" hidden="false" customHeight="false" outlineLevel="0" collapsed="false">
      <c r="B1192" s="7" t="n">
        <v>46222</v>
      </c>
      <c r="C1192" s="3" t="s">
        <v>10549</v>
      </c>
      <c r="D1192" s="3" t="s">
        <v>9982</v>
      </c>
      <c r="E1192" s="3" t="s">
        <v>10550</v>
      </c>
      <c r="F1192" s="10" t="str">
        <f aca="false">HYPERLINK("https://www.inaturalist.org/people/zchau99","zchau99")</f>
        <v>zchau99</v>
      </c>
      <c r="G1192" s="9" t="s">
        <v>13</v>
      </c>
      <c r="H1192" s="9" t="s">
        <v>10551</v>
      </c>
    </row>
    <row r="1193" customFormat="false" ht="15.75" hidden="false" customHeight="false" outlineLevel="0" collapsed="false">
      <c r="B1193" s="7" t="n">
        <v>46222</v>
      </c>
      <c r="C1193" s="3" t="s">
        <v>10552</v>
      </c>
      <c r="D1193" s="3" t="s">
        <v>9982</v>
      </c>
      <c r="E1193" s="3" t="s">
        <v>10553</v>
      </c>
      <c r="F1193" s="10" t="str">
        <f aca="false">HYPERLINK("https://www.inaturalist.org/people/cindychrisler","cindychrisler")</f>
        <v>cindychrisler</v>
      </c>
      <c r="G1193" s="9" t="s">
        <v>13</v>
      </c>
      <c r="H1193" s="9" t="s">
        <v>10554</v>
      </c>
    </row>
    <row r="1194" customFormat="false" ht="15.75" hidden="false" customHeight="false" outlineLevel="0" collapsed="false">
      <c r="B1194" s="7" t="n">
        <v>46222</v>
      </c>
      <c r="C1194" s="3" t="s">
        <v>10555</v>
      </c>
      <c r="D1194" s="3" t="s">
        <v>9982</v>
      </c>
      <c r="E1194" s="3" t="s">
        <v>10556</v>
      </c>
      <c r="F1194" s="10" t="str">
        <f aca="false">HYPERLINK("https://www.inaturalist.org/people/prof_bipasha_david_","prof_bipasha_david_")</f>
        <v>prof_bipasha_david_</v>
      </c>
      <c r="G1194" s="9" t="s">
        <v>13</v>
      </c>
      <c r="H1194" s="9" t="s">
        <v>10557</v>
      </c>
    </row>
    <row r="1195" customFormat="false" ht="15.75" hidden="false" customHeight="false" outlineLevel="0" collapsed="false">
      <c r="B1195" s="7" t="n">
        <v>46222</v>
      </c>
      <c r="C1195" s="3" t="s">
        <v>10558</v>
      </c>
      <c r="D1195" s="3" t="s">
        <v>9982</v>
      </c>
      <c r="E1195" s="3" t="s">
        <v>10559</v>
      </c>
      <c r="F1195" s="10" t="str">
        <f aca="false">HYPERLINK("https://www.inaturalist.org/people/curious_canoe","curious_canoe")</f>
        <v>curious_canoe</v>
      </c>
      <c r="G1195" s="9" t="s">
        <v>13</v>
      </c>
      <c r="H1195" s="9" t="s">
        <v>10560</v>
      </c>
    </row>
    <row r="1196" customFormat="false" ht="15.75" hidden="false" customHeight="false" outlineLevel="0" collapsed="false">
      <c r="B1196" s="7" t="n">
        <v>46222</v>
      </c>
      <c r="C1196" s="3" t="s">
        <v>10561</v>
      </c>
      <c r="D1196" s="3" t="s">
        <v>9982</v>
      </c>
      <c r="E1196" s="3" t="s">
        <v>10562</v>
      </c>
      <c r="F1196" s="10" t="str">
        <f aca="false">HYPERLINK("https://www.inaturalist.org/people/wesleytheowl","wesleytheowl")</f>
        <v>wesleytheowl</v>
      </c>
      <c r="G1196" s="9" t="s">
        <v>13</v>
      </c>
      <c r="H1196" s="9" t="s">
        <v>10563</v>
      </c>
    </row>
    <row r="1197" customFormat="false" ht="15.75" hidden="false" customHeight="false" outlineLevel="0" collapsed="false">
      <c r="B1197" s="7" t="n">
        <v>46222</v>
      </c>
      <c r="C1197" s="3" t="s">
        <v>10564</v>
      </c>
      <c r="D1197" s="3" t="s">
        <v>9982</v>
      </c>
      <c r="E1197" s="3" t="s">
        <v>10565</v>
      </c>
      <c r="F1197" s="10" t="str">
        <f aca="false">HYPERLINK("https://www.inaturalist.org/people/jds412","jds412")</f>
        <v>jds412</v>
      </c>
      <c r="G1197" s="9" t="s">
        <v>13</v>
      </c>
      <c r="H1197" s="9" t="s">
        <v>10566</v>
      </c>
    </row>
    <row r="1198" customFormat="false" ht="15.75" hidden="false" customHeight="false" outlineLevel="0" collapsed="false">
      <c r="B1198" s="7" t="n">
        <v>46222</v>
      </c>
      <c r="C1198" s="3" t="s">
        <v>10567</v>
      </c>
      <c r="D1198" s="3" t="s">
        <v>9982</v>
      </c>
      <c r="E1198" s="3" t="s">
        <v>10568</v>
      </c>
      <c r="F1198" s="10" t="str">
        <f aca="false">HYPERLINK("https://www.inaturalist.org/people/catrijn","catrijn")</f>
        <v>catrijn</v>
      </c>
      <c r="G1198" s="9" t="s">
        <v>13</v>
      </c>
      <c r="H1198" s="9" t="s">
        <v>10569</v>
      </c>
    </row>
    <row r="1199" customFormat="false" ht="15.75" hidden="false" customHeight="false" outlineLevel="0" collapsed="false">
      <c r="B1199" s="7" t="n">
        <v>46222</v>
      </c>
      <c r="C1199" s="3" t="s">
        <v>10570</v>
      </c>
      <c r="D1199" s="3" t="s">
        <v>9982</v>
      </c>
      <c r="E1199" s="3" t="s">
        <v>10571</v>
      </c>
      <c r="F1199" s="10" t="str">
        <f aca="false">HYPERLINK("https://www.inaturalist.org/people/catrijn","catrijn")</f>
        <v>catrijn</v>
      </c>
      <c r="G1199" s="9" t="s">
        <v>13</v>
      </c>
      <c r="H1199" s="9" t="s">
        <v>10572</v>
      </c>
    </row>
    <row r="1200" customFormat="false" ht="15.75" hidden="false" customHeight="false" outlineLevel="0" collapsed="false">
      <c r="B1200" s="7" t="n">
        <v>46222</v>
      </c>
      <c r="C1200" s="3" t="s">
        <v>10573</v>
      </c>
      <c r="D1200" s="3" t="s">
        <v>9982</v>
      </c>
      <c r="E1200" s="3" t="s">
        <v>10574</v>
      </c>
      <c r="F1200" s="10" t="str">
        <f aca="false">HYPERLINK("https://www.inaturalist.org/people/vitoba","vitoba")</f>
        <v>vitoba</v>
      </c>
      <c r="G1200" s="9" t="s">
        <v>13</v>
      </c>
      <c r="H1200" s="9" t="s">
        <v>10575</v>
      </c>
    </row>
    <row r="1201" customFormat="false" ht="15.75" hidden="false" customHeight="false" outlineLevel="0" collapsed="false">
      <c r="B1201" s="7" t="n">
        <v>46222</v>
      </c>
      <c r="C1201" s="3" t="s">
        <v>10576</v>
      </c>
      <c r="D1201" s="3" t="s">
        <v>9982</v>
      </c>
      <c r="E1201" s="3" t="s">
        <v>10577</v>
      </c>
      <c r="F1201" s="10" t="str">
        <f aca="false">HYPERLINK("https://www.inaturalist.org/people/vitoba","vitoba")</f>
        <v>vitoba</v>
      </c>
      <c r="G1201" s="9" t="s">
        <v>13</v>
      </c>
      <c r="H1201" s="9" t="s">
        <v>10578</v>
      </c>
    </row>
    <row r="1202" customFormat="false" ht="15.75" hidden="false" customHeight="false" outlineLevel="0" collapsed="false">
      <c r="B1202" s="7" t="n">
        <v>46222</v>
      </c>
      <c r="C1202" s="3" t="s">
        <v>10579</v>
      </c>
      <c r="D1202" s="3" t="s">
        <v>9982</v>
      </c>
      <c r="E1202" s="3" t="s">
        <v>10580</v>
      </c>
      <c r="F1202" s="10" t="str">
        <f aca="false">HYPERLINK("https://www.inaturalist.org/people/vitoba","vitoba")</f>
        <v>vitoba</v>
      </c>
      <c r="G1202" s="9" t="s">
        <v>13</v>
      </c>
      <c r="H1202" s="9" t="s">
        <v>10581</v>
      </c>
    </row>
    <row r="1203" customFormat="false" ht="15.75" hidden="false" customHeight="false" outlineLevel="0" collapsed="false">
      <c r="B1203" s="7" t="n">
        <v>46222</v>
      </c>
      <c r="C1203" s="3" t="s">
        <v>10582</v>
      </c>
      <c r="D1203" s="3" t="s">
        <v>9982</v>
      </c>
      <c r="E1203" s="3" t="s">
        <v>10583</v>
      </c>
      <c r="F1203" s="10" t="str">
        <f aca="false">HYPERLINK("https://www.inaturalist.org/people/vitoba","vitoba")</f>
        <v>vitoba</v>
      </c>
      <c r="G1203" s="9" t="s">
        <v>13</v>
      </c>
      <c r="H1203" s="9" t="s">
        <v>10584</v>
      </c>
    </row>
    <row r="1204" customFormat="false" ht="15.75" hidden="false" customHeight="false" outlineLevel="0" collapsed="false">
      <c r="B1204" s="7" t="n">
        <v>46222</v>
      </c>
      <c r="C1204" s="3" t="s">
        <v>10585</v>
      </c>
      <c r="D1204" s="3" t="s">
        <v>9982</v>
      </c>
      <c r="E1204" s="3" t="s">
        <v>10586</v>
      </c>
      <c r="F1204" s="10" t="str">
        <f aca="false">HYPERLINK("https://www.inaturalist.org/people/alblueheron","alblueheron")</f>
        <v>alblueheron</v>
      </c>
      <c r="G1204" s="9" t="s">
        <v>13</v>
      </c>
      <c r="H1204" s="9" t="s">
        <v>10587</v>
      </c>
    </row>
    <row r="1205" customFormat="false" ht="15.75" hidden="false" customHeight="false" outlineLevel="0" collapsed="false">
      <c r="B1205" s="7" t="n">
        <v>46222</v>
      </c>
      <c r="C1205" s="3" t="s">
        <v>10588</v>
      </c>
      <c r="D1205" s="3" t="s">
        <v>9982</v>
      </c>
      <c r="E1205" s="3" t="s">
        <v>10589</v>
      </c>
      <c r="F1205" s="10" t="str">
        <f aca="false">HYPERLINK("https://www.inaturalist.org/people/vitoba","vitoba")</f>
        <v>vitoba</v>
      </c>
      <c r="G1205" s="9" t="s">
        <v>13</v>
      </c>
      <c r="H1205" s="9" t="s">
        <v>10590</v>
      </c>
    </row>
    <row r="1206" customFormat="false" ht="15.75" hidden="false" customHeight="false" outlineLevel="0" collapsed="false">
      <c r="B1206" s="7" t="n">
        <v>46222</v>
      </c>
      <c r="C1206" s="3" t="s">
        <v>10591</v>
      </c>
      <c r="D1206" s="3" t="s">
        <v>9982</v>
      </c>
      <c r="E1206" s="3" t="s">
        <v>10592</v>
      </c>
      <c r="F1206" s="10" t="str">
        <f aca="false">HYPERLINK("https://www.inaturalist.org/people/vitoba","vitoba")</f>
        <v>vitoba</v>
      </c>
      <c r="G1206" s="9" t="s">
        <v>13</v>
      </c>
      <c r="H1206" s="9" t="s">
        <v>10593</v>
      </c>
    </row>
    <row r="1207" customFormat="false" ht="15.75" hidden="false" customHeight="false" outlineLevel="0" collapsed="false">
      <c r="B1207" s="7" t="n">
        <v>46222</v>
      </c>
      <c r="C1207" s="3" t="s">
        <v>10594</v>
      </c>
      <c r="D1207" s="3" t="s">
        <v>9982</v>
      </c>
      <c r="E1207" s="3" t="s">
        <v>10595</v>
      </c>
      <c r="F1207" s="10" t="str">
        <f aca="false">HYPERLINK("https://www.inaturalist.org/people/vitoba","vitoba")</f>
        <v>vitoba</v>
      </c>
      <c r="G1207" s="9" t="s">
        <v>13</v>
      </c>
      <c r="H1207" s="9" t="s">
        <v>10596</v>
      </c>
    </row>
    <row r="1208" customFormat="false" ht="15.75" hidden="false" customHeight="false" outlineLevel="0" collapsed="false">
      <c r="B1208" s="7" t="n">
        <v>46222</v>
      </c>
      <c r="C1208" s="3" t="s">
        <v>10597</v>
      </c>
      <c r="D1208" s="3" t="s">
        <v>9982</v>
      </c>
      <c r="E1208" s="3" t="s">
        <v>10598</v>
      </c>
      <c r="F1208" s="10" t="str">
        <f aca="false">HYPERLINK("https://www.inaturalist.org/people/vitoba","vitoba")</f>
        <v>vitoba</v>
      </c>
      <c r="G1208" s="9" t="s">
        <v>13</v>
      </c>
      <c r="H1208" s="9" t="s">
        <v>10599</v>
      </c>
    </row>
    <row r="1209" customFormat="false" ht="15.75" hidden="false" customHeight="false" outlineLevel="0" collapsed="false">
      <c r="B1209" s="7" t="n">
        <v>46222</v>
      </c>
      <c r="C1209" s="3" t="s">
        <v>10600</v>
      </c>
      <c r="D1209" s="3" t="s">
        <v>9982</v>
      </c>
      <c r="E1209" s="3" t="s">
        <v>10601</v>
      </c>
      <c r="F1209" s="10" t="str">
        <f aca="false">HYPERLINK("https://www.inaturalist.org/people/vitoba","vitoba")</f>
        <v>vitoba</v>
      </c>
      <c r="G1209" s="9" t="s">
        <v>13</v>
      </c>
      <c r="H1209" s="9" t="s">
        <v>10602</v>
      </c>
    </row>
    <row r="1210" customFormat="false" ht="15.75" hidden="false" customHeight="false" outlineLevel="0" collapsed="false">
      <c r="B1210" s="7" t="n">
        <v>46222</v>
      </c>
      <c r="C1210" s="3" t="s">
        <v>10603</v>
      </c>
      <c r="D1210" s="3" t="s">
        <v>9982</v>
      </c>
      <c r="E1210" s="3" t="s">
        <v>10604</v>
      </c>
      <c r="F1210" s="10" t="str">
        <f aca="false">HYPERLINK("https://www.inaturalist.org/people/vitoba","vitoba")</f>
        <v>vitoba</v>
      </c>
      <c r="G1210" s="9" t="s">
        <v>13</v>
      </c>
      <c r="H1210" s="9" t="s">
        <v>10605</v>
      </c>
    </row>
    <row r="1211" customFormat="false" ht="15.75" hidden="false" customHeight="false" outlineLevel="0" collapsed="false">
      <c r="B1211" s="7" t="n">
        <v>46222</v>
      </c>
      <c r="C1211" s="3" t="s">
        <v>10606</v>
      </c>
      <c r="D1211" s="3" t="s">
        <v>9982</v>
      </c>
      <c r="E1211" s="3" t="s">
        <v>10607</v>
      </c>
      <c r="F1211" s="10" t="str">
        <f aca="false">HYPERLINK("https://www.inaturalist.org/people/vitoba","vitoba")</f>
        <v>vitoba</v>
      </c>
      <c r="G1211" s="9" t="s">
        <v>13</v>
      </c>
      <c r="H1211" s="9" t="s">
        <v>10608</v>
      </c>
    </row>
    <row r="1212" customFormat="false" ht="15.75" hidden="false" customHeight="false" outlineLevel="0" collapsed="false">
      <c r="B1212" s="7" t="n">
        <v>46222</v>
      </c>
      <c r="C1212" s="3" t="s">
        <v>10609</v>
      </c>
      <c r="D1212" s="3" t="s">
        <v>9982</v>
      </c>
      <c r="E1212" s="3" t="s">
        <v>10610</v>
      </c>
      <c r="F1212" s="10" t="str">
        <f aca="false">HYPERLINK("https://www.inaturalist.org/people/vitoba","vitoba")</f>
        <v>vitoba</v>
      </c>
      <c r="G1212" s="9" t="s">
        <v>13</v>
      </c>
      <c r="H1212" s="9" t="s">
        <v>10611</v>
      </c>
    </row>
    <row r="1213" customFormat="false" ht="15.75" hidden="false" customHeight="false" outlineLevel="0" collapsed="false">
      <c r="B1213" s="7" t="n">
        <v>46222</v>
      </c>
      <c r="C1213" s="3" t="s">
        <v>10612</v>
      </c>
      <c r="D1213" s="3" t="s">
        <v>9982</v>
      </c>
      <c r="E1213" s="3" t="s">
        <v>10613</v>
      </c>
      <c r="F1213" s="10" t="str">
        <f aca="false">HYPERLINK("https://www.inaturalist.org/people/vitoba","vitoba")</f>
        <v>vitoba</v>
      </c>
      <c r="G1213" s="9" t="s">
        <v>13</v>
      </c>
      <c r="H1213" s="9" t="s">
        <v>10614</v>
      </c>
    </row>
    <row r="1214" customFormat="false" ht="15.75" hidden="false" customHeight="false" outlineLevel="0" collapsed="false">
      <c r="B1214" s="7" t="n">
        <v>46222</v>
      </c>
      <c r="C1214" s="3" t="s">
        <v>10615</v>
      </c>
      <c r="D1214" s="3" t="s">
        <v>9982</v>
      </c>
      <c r="E1214" s="3" t="s">
        <v>10616</v>
      </c>
      <c r="F1214" s="10" t="str">
        <f aca="false">HYPERLINK("https://www.inaturalist.org/people/vitoba","vitoba")</f>
        <v>vitoba</v>
      </c>
      <c r="G1214" s="9" t="s">
        <v>13</v>
      </c>
      <c r="H1214" s="9" t="s">
        <v>10617</v>
      </c>
    </row>
    <row r="1215" customFormat="false" ht="15.75" hidden="false" customHeight="false" outlineLevel="0" collapsed="false">
      <c r="B1215" s="7" t="n">
        <v>46222</v>
      </c>
      <c r="C1215" s="3" t="s">
        <v>10618</v>
      </c>
      <c r="D1215" s="3" t="s">
        <v>9982</v>
      </c>
      <c r="E1215" s="3" t="s">
        <v>10619</v>
      </c>
      <c r="F1215" s="10" t="str">
        <f aca="false">HYPERLINK("https://www.inaturalist.org/people/bobbar","bobbar")</f>
        <v>bobbar</v>
      </c>
      <c r="G1215" s="9" t="s">
        <v>13</v>
      </c>
      <c r="H1215" s="9" t="s">
        <v>10620</v>
      </c>
    </row>
    <row r="1216" customFormat="false" ht="15.75" hidden="false" customHeight="false" outlineLevel="0" collapsed="false">
      <c r="B1216" s="7" t="n">
        <v>46222</v>
      </c>
      <c r="C1216" s="3" t="s">
        <v>10621</v>
      </c>
      <c r="D1216" s="3" t="s">
        <v>9982</v>
      </c>
      <c r="E1216" s="3" t="s">
        <v>10622</v>
      </c>
      <c r="F1216" s="10" t="str">
        <f aca="false">HYPERLINK("https://www.inaturalist.org/people/arkschmo","arkschmo")</f>
        <v>arkschmo</v>
      </c>
      <c r="G1216" s="9" t="s">
        <v>13</v>
      </c>
      <c r="H1216" s="9" t="s">
        <v>10623</v>
      </c>
    </row>
    <row r="1217" customFormat="false" ht="15.75" hidden="false" customHeight="false" outlineLevel="0" collapsed="false">
      <c r="B1217" s="7" t="n">
        <v>46222</v>
      </c>
      <c r="C1217" s="3" t="s">
        <v>10624</v>
      </c>
      <c r="D1217" s="3" t="s">
        <v>9982</v>
      </c>
      <c r="E1217" s="3" t="s">
        <v>10625</v>
      </c>
      <c r="F1217" s="10" t="str">
        <f aca="false">HYPERLINK("https://www.inaturalist.org/people/steph_thecnidarian","steph_thecnidarian")</f>
        <v>steph_thecnidarian</v>
      </c>
      <c r="G1217" s="9" t="s">
        <v>13</v>
      </c>
      <c r="H1217" s="9" t="s">
        <v>10626</v>
      </c>
    </row>
    <row r="1218" customFormat="false" ht="15.75" hidden="false" customHeight="false" outlineLevel="0" collapsed="false">
      <c r="B1218" s="7" t="n">
        <v>46222</v>
      </c>
      <c r="C1218" s="3" t="s">
        <v>10627</v>
      </c>
      <c r="D1218" s="3" t="s">
        <v>9982</v>
      </c>
      <c r="E1218" s="3" t="s">
        <v>10628</v>
      </c>
      <c r="F1218" s="10" t="str">
        <f aca="false">HYPERLINK("https://www.inaturalist.org/people/traceefugate","traceefugate")</f>
        <v>traceefugate</v>
      </c>
      <c r="G1218" s="9" t="s">
        <v>13</v>
      </c>
      <c r="H1218" s="9" t="s">
        <v>10629</v>
      </c>
    </row>
    <row r="1219" customFormat="false" ht="15.75" hidden="false" customHeight="false" outlineLevel="0" collapsed="false">
      <c r="B1219" s="7" t="n">
        <v>46222</v>
      </c>
      <c r="C1219" s="3" t="s">
        <v>10630</v>
      </c>
      <c r="D1219" s="3" t="s">
        <v>9982</v>
      </c>
      <c r="E1219" s="3" t="s">
        <v>10631</v>
      </c>
      <c r="F1219" s="10" t="str">
        <f aca="false">HYPERLINK("https://www.inaturalist.org/people/sandhiyabaskaran","sandhiyabaskaran")</f>
        <v>sandhiyabaskaran</v>
      </c>
      <c r="G1219" s="9" t="s">
        <v>13</v>
      </c>
      <c r="H1219" s="9" t="s">
        <v>10632</v>
      </c>
    </row>
    <row r="1220" customFormat="false" ht="15.75" hidden="false" customHeight="false" outlineLevel="0" collapsed="false">
      <c r="B1220" s="7" t="n">
        <v>46222</v>
      </c>
      <c r="C1220" s="3" t="s">
        <v>10633</v>
      </c>
      <c r="D1220" s="3" t="s">
        <v>9982</v>
      </c>
      <c r="E1220" s="3" t="s">
        <v>10634</v>
      </c>
      <c r="F1220" s="10" t="str">
        <f aca="false">HYPERLINK("https://www.inaturalist.org/people/leyla_balchugova","leyla_balchugova")</f>
        <v>leyla_balchugova</v>
      </c>
      <c r="G1220" s="9" t="s">
        <v>13</v>
      </c>
      <c r="H1220" s="9" t="s">
        <v>10635</v>
      </c>
    </row>
    <row r="1221" customFormat="false" ht="15.75" hidden="false" customHeight="false" outlineLevel="0" collapsed="false">
      <c r="B1221" s="7" t="n">
        <v>46222</v>
      </c>
      <c r="C1221" s="3" t="s">
        <v>10636</v>
      </c>
      <c r="D1221" s="3" t="s">
        <v>9982</v>
      </c>
      <c r="E1221" s="3" t="s">
        <v>10637</v>
      </c>
      <c r="F1221" s="10" t="str">
        <f aca="false">HYPERLINK("https://www.inaturalist.org/people/andreenkov","andreenkov")</f>
        <v>andreenkov</v>
      </c>
      <c r="G1221" s="9" t="s">
        <v>13</v>
      </c>
      <c r="H1221" s="9" t="s">
        <v>10638</v>
      </c>
    </row>
    <row r="1222" customFormat="false" ht="15.75" hidden="false" customHeight="false" outlineLevel="0" collapsed="false">
      <c r="B1222" s="7" t="n">
        <v>46222</v>
      </c>
      <c r="C1222" s="3" t="s">
        <v>10639</v>
      </c>
      <c r="D1222" s="3" t="s">
        <v>9982</v>
      </c>
      <c r="E1222" s="3" t="s">
        <v>10640</v>
      </c>
      <c r="F1222" s="10" t="str">
        <f aca="false">HYPERLINK("https://www.inaturalist.org/people/joey_clarke","joey_clarke")</f>
        <v>joey_clarke</v>
      </c>
      <c r="G1222" s="9" t="s">
        <v>13</v>
      </c>
      <c r="H1222" s="9" t="s">
        <v>10641</v>
      </c>
    </row>
    <row r="1223" customFormat="false" ht="15.75" hidden="false" customHeight="false" outlineLevel="0" collapsed="false">
      <c r="B1223" s="7" t="n">
        <v>46222</v>
      </c>
      <c r="C1223" s="3" t="s">
        <v>10642</v>
      </c>
      <c r="D1223" s="3" t="s">
        <v>9982</v>
      </c>
      <c r="E1223" s="3" t="s">
        <v>10643</v>
      </c>
      <c r="F1223" s="10" t="str">
        <f aca="false">HYPERLINK("https://www.inaturalist.org/people/nicolajeanshepherd","nicolajeanshepherd")</f>
        <v>nicolajeanshepherd</v>
      </c>
      <c r="G1223" s="9" t="s">
        <v>13</v>
      </c>
      <c r="H1223" s="9" t="s">
        <v>10644</v>
      </c>
    </row>
    <row r="1224" customFormat="false" ht="15.75" hidden="false" customHeight="false" outlineLevel="0" collapsed="false">
      <c r="B1224" s="7" t="n">
        <v>46222</v>
      </c>
      <c r="C1224" s="3" t="s">
        <v>10645</v>
      </c>
      <c r="D1224" s="3" t="s">
        <v>9982</v>
      </c>
      <c r="E1224" s="3" t="s">
        <v>10646</v>
      </c>
      <c r="F1224" s="10" t="str">
        <f aca="false">HYPERLINK("https://www.inaturalist.org/people/shilpagadgil","shilpagadgil")</f>
        <v>shilpagadgil</v>
      </c>
      <c r="G1224" s="9" t="s">
        <v>13</v>
      </c>
      <c r="H1224" s="9" t="s">
        <v>10647</v>
      </c>
    </row>
    <row r="1225" customFormat="false" ht="15.75" hidden="false" customHeight="false" outlineLevel="0" collapsed="false">
      <c r="B1225" s="7" t="n">
        <v>46222</v>
      </c>
      <c r="C1225" s="3" t="s">
        <v>10648</v>
      </c>
      <c r="D1225" s="3" t="s">
        <v>9982</v>
      </c>
      <c r="E1225" s="3" t="s">
        <v>10649</v>
      </c>
      <c r="F1225" s="10" t="str">
        <f aca="false">HYPERLINK("https://www.inaturalist.org/people/shilpagadgil","shilpagadgil")</f>
        <v>shilpagadgil</v>
      </c>
      <c r="G1225" s="9" t="s">
        <v>13</v>
      </c>
      <c r="H1225" s="9" t="s">
        <v>10650</v>
      </c>
    </row>
    <row r="1226" customFormat="false" ht="15.75" hidden="false" customHeight="false" outlineLevel="0" collapsed="false">
      <c r="B1226" s="7" t="n">
        <v>46222</v>
      </c>
      <c r="C1226" s="3" t="s">
        <v>10651</v>
      </c>
      <c r="D1226" s="3" t="s">
        <v>9982</v>
      </c>
      <c r="E1226" s="3" t="s">
        <v>10652</v>
      </c>
      <c r="F1226" s="10" t="str">
        <f aca="false">HYPERLINK("https://www.inaturalist.org/people/alblueheron","alblueheron")</f>
        <v>alblueheron</v>
      </c>
      <c r="G1226" s="9" t="s">
        <v>13</v>
      </c>
      <c r="H1226" s="9" t="s">
        <v>10653</v>
      </c>
    </row>
    <row r="1227" customFormat="false" ht="15.75" hidden="false" customHeight="false" outlineLevel="0" collapsed="false">
      <c r="B1227" s="7" t="n">
        <v>46222</v>
      </c>
      <c r="C1227" s="3" t="s">
        <v>10654</v>
      </c>
      <c r="D1227" s="3" t="s">
        <v>9982</v>
      </c>
      <c r="E1227" s="3" t="s">
        <v>10655</v>
      </c>
      <c r="F1227" s="10" t="str">
        <f aca="false">HYPERLINK("https://www.inaturalist.org/people/samholt56","samholt56")</f>
        <v>samholt56</v>
      </c>
      <c r="G1227" s="9" t="s">
        <v>13</v>
      </c>
      <c r="H1227" s="9" t="s">
        <v>10656</v>
      </c>
    </row>
    <row r="1228" customFormat="false" ht="15.75" hidden="false" customHeight="false" outlineLevel="0" collapsed="false">
      <c r="B1228" s="7" t="n">
        <v>46222</v>
      </c>
      <c r="C1228" s="3" t="s">
        <v>10657</v>
      </c>
      <c r="D1228" s="3" t="s">
        <v>9982</v>
      </c>
      <c r="E1228" s="3" t="s">
        <v>10658</v>
      </c>
      <c r="F1228" s="10" t="str">
        <f aca="false">HYPERLINK("https://www.inaturalist.org/people/imogenisunderwater","imogenisunderwater")</f>
        <v>imogenisunderwater</v>
      </c>
      <c r="G1228" s="9" t="s">
        <v>13</v>
      </c>
      <c r="H1228" s="9" t="s">
        <v>10659</v>
      </c>
    </row>
    <row r="1229" customFormat="false" ht="15.75" hidden="false" customHeight="false" outlineLevel="0" collapsed="false">
      <c r="B1229" s="7" t="n">
        <v>46222</v>
      </c>
      <c r="C1229" s="3" t="s">
        <v>10660</v>
      </c>
      <c r="D1229" s="3" t="s">
        <v>9982</v>
      </c>
      <c r="E1229" s="3" t="s">
        <v>10661</v>
      </c>
      <c r="F1229" s="10" t="str">
        <f aca="false">HYPERLINK("https://www.inaturalist.org/people/imogenisunderwater","imogenisunderwater")</f>
        <v>imogenisunderwater</v>
      </c>
      <c r="G1229" s="9" t="s">
        <v>13</v>
      </c>
      <c r="H1229" s="9" t="s">
        <v>10662</v>
      </c>
    </row>
    <row r="1230" customFormat="false" ht="15.75" hidden="false" customHeight="false" outlineLevel="0" collapsed="false">
      <c r="B1230" s="7" t="n">
        <v>46222</v>
      </c>
      <c r="C1230" s="3" t="s">
        <v>10663</v>
      </c>
      <c r="D1230" s="3" t="s">
        <v>9982</v>
      </c>
      <c r="E1230" s="3" t="s">
        <v>10664</v>
      </c>
      <c r="F1230" s="10" t="str">
        <f aca="false">HYPERLINK("https://www.inaturalist.org/people/imogenisunderwater","imogenisunderwater")</f>
        <v>imogenisunderwater</v>
      </c>
      <c r="G1230" s="9" t="s">
        <v>13</v>
      </c>
      <c r="H1230" s="9" t="s">
        <v>10665</v>
      </c>
    </row>
    <row r="1231" customFormat="false" ht="15.75" hidden="false" customHeight="false" outlineLevel="0" collapsed="false">
      <c r="B1231" s="7" t="n">
        <v>46222</v>
      </c>
      <c r="C1231" s="3" t="s">
        <v>10666</v>
      </c>
      <c r="D1231" s="3" t="s">
        <v>9982</v>
      </c>
      <c r="E1231" s="3" t="s">
        <v>10667</v>
      </c>
      <c r="F1231" s="10" t="str">
        <f aca="false">HYPERLINK("https://www.inaturalist.org/people/imogenisunderwater","imogenisunderwater")</f>
        <v>imogenisunderwater</v>
      </c>
      <c r="G1231" s="9" t="s">
        <v>13</v>
      </c>
      <c r="H1231" s="9" t="s">
        <v>10668</v>
      </c>
    </row>
    <row r="1232" customFormat="false" ht="15.75" hidden="false" customHeight="false" outlineLevel="0" collapsed="false">
      <c r="B1232" s="7" t="n">
        <v>46222</v>
      </c>
      <c r="C1232" s="3" t="s">
        <v>10669</v>
      </c>
      <c r="D1232" s="3" t="s">
        <v>9982</v>
      </c>
      <c r="E1232" s="3" t="s">
        <v>10670</v>
      </c>
      <c r="F1232" s="10" t="str">
        <f aca="false">HYPERLINK("https://www.inaturalist.org/people/mukeshkandpal","mukeshkandpal")</f>
        <v>mukeshkandpal</v>
      </c>
      <c r="G1232" s="9" t="s">
        <v>13</v>
      </c>
      <c r="H1232" s="9" t="s">
        <v>10671</v>
      </c>
    </row>
    <row r="1233" customFormat="false" ht="15.75" hidden="false" customHeight="false" outlineLevel="0" collapsed="false">
      <c r="B1233" s="7" t="n">
        <v>46222</v>
      </c>
      <c r="C1233" s="3" t="s">
        <v>10672</v>
      </c>
      <c r="D1233" s="3" t="s">
        <v>9982</v>
      </c>
      <c r="E1233" s="3" t="s">
        <v>10673</v>
      </c>
      <c r="F1233" s="10" t="str">
        <f aca="false">HYPERLINK("https://www.inaturalist.org/people/saggital","saggital")</f>
        <v>saggital</v>
      </c>
      <c r="G1233" s="9" t="s">
        <v>13</v>
      </c>
      <c r="H1233" s="9" t="s">
        <v>10674</v>
      </c>
    </row>
    <row r="1234" customFormat="false" ht="15.75" hidden="false" customHeight="false" outlineLevel="0" collapsed="false">
      <c r="B1234" s="7" t="n">
        <v>46222</v>
      </c>
      <c r="C1234" s="3" t="s">
        <v>10675</v>
      </c>
      <c r="D1234" s="3" t="s">
        <v>9982</v>
      </c>
      <c r="E1234" s="3" t="s">
        <v>10676</v>
      </c>
      <c r="F1234" s="10" t="str">
        <f aca="false">HYPERLINK("https://www.inaturalist.org/people/saggital","saggital")</f>
        <v>saggital</v>
      </c>
      <c r="G1234" s="9" t="s">
        <v>13</v>
      </c>
      <c r="H1234" s="9" t="s">
        <v>10677</v>
      </c>
    </row>
    <row r="1235" customFormat="false" ht="15.75" hidden="false" customHeight="false" outlineLevel="0" collapsed="false">
      <c r="B1235" s="7" t="n">
        <v>46222</v>
      </c>
      <c r="C1235" s="3" t="s">
        <v>10678</v>
      </c>
      <c r="D1235" s="3" t="s">
        <v>9982</v>
      </c>
      <c r="E1235" s="3" t="s">
        <v>10679</v>
      </c>
      <c r="F1235" s="10" t="str">
        <f aca="false">HYPERLINK("https://www.inaturalist.org/people/saggital","saggital")</f>
        <v>saggital</v>
      </c>
      <c r="G1235" s="9" t="s">
        <v>13</v>
      </c>
      <c r="H1235" s="9" t="s">
        <v>10680</v>
      </c>
    </row>
    <row r="1236" customFormat="false" ht="15.75" hidden="false" customHeight="false" outlineLevel="0" collapsed="false">
      <c r="B1236" s="7" t="n">
        <v>46222</v>
      </c>
      <c r="C1236" s="3" t="s">
        <v>10681</v>
      </c>
      <c r="D1236" s="3" t="s">
        <v>9982</v>
      </c>
      <c r="E1236" s="3" t="s">
        <v>10682</v>
      </c>
      <c r="F1236" s="10" t="str">
        <f aca="false">HYPERLINK("https://www.inaturalist.org/people/saggital","saggital")</f>
        <v>saggital</v>
      </c>
      <c r="G1236" s="9" t="s">
        <v>13</v>
      </c>
      <c r="H1236" s="9" t="s">
        <v>10683</v>
      </c>
    </row>
    <row r="1237" customFormat="false" ht="15.75" hidden="false" customHeight="false" outlineLevel="0" collapsed="false">
      <c r="B1237" s="7" t="n">
        <v>46222</v>
      </c>
      <c r="C1237" s="3" t="s">
        <v>10684</v>
      </c>
      <c r="D1237" s="3" t="s">
        <v>9982</v>
      </c>
      <c r="E1237" s="3" t="s">
        <v>10685</v>
      </c>
      <c r="F1237" s="10" t="str">
        <f aca="false">HYPERLINK("https://www.inaturalist.org/people/saggital","saggital")</f>
        <v>saggital</v>
      </c>
      <c r="G1237" s="9" t="s">
        <v>13</v>
      </c>
      <c r="H1237" s="9" t="s">
        <v>10686</v>
      </c>
    </row>
    <row r="1238" customFormat="false" ht="15.75" hidden="false" customHeight="false" outlineLevel="0" collapsed="false">
      <c r="B1238" s="7" t="n">
        <v>46222</v>
      </c>
      <c r="C1238" s="3" t="s">
        <v>10687</v>
      </c>
      <c r="D1238" s="3" t="s">
        <v>9982</v>
      </c>
      <c r="E1238" s="3" t="s">
        <v>10688</v>
      </c>
      <c r="F1238" s="10" t="str">
        <f aca="false">HYPERLINK("https://www.inaturalist.org/people/saggital","saggital")</f>
        <v>saggital</v>
      </c>
      <c r="G1238" s="9" t="s">
        <v>13</v>
      </c>
      <c r="H1238" s="9" t="s">
        <v>10689</v>
      </c>
    </row>
    <row r="1239" customFormat="false" ht="15.75" hidden="false" customHeight="false" outlineLevel="0" collapsed="false">
      <c r="B1239" s="7" t="n">
        <v>46222</v>
      </c>
      <c r="C1239" s="3" t="s">
        <v>10690</v>
      </c>
      <c r="D1239" s="3" t="s">
        <v>9982</v>
      </c>
      <c r="E1239" s="3" t="s">
        <v>10691</v>
      </c>
      <c r="F1239" s="10" t="str">
        <f aca="false">HYPERLINK("https://www.inaturalist.org/people/saggital","saggital")</f>
        <v>saggital</v>
      </c>
      <c r="G1239" s="9" t="s">
        <v>13</v>
      </c>
      <c r="H1239" s="9" t="s">
        <v>10692</v>
      </c>
    </row>
    <row r="1240" customFormat="false" ht="15.75" hidden="false" customHeight="false" outlineLevel="0" collapsed="false">
      <c r="B1240" s="7" t="n">
        <v>46222</v>
      </c>
      <c r="C1240" s="3" t="s">
        <v>10693</v>
      </c>
      <c r="D1240" s="3" t="s">
        <v>9982</v>
      </c>
      <c r="E1240" s="3" t="s">
        <v>10694</v>
      </c>
      <c r="F1240" s="10" t="str">
        <f aca="false">HYPERLINK("https://www.inaturalist.org/people/saggital","saggital")</f>
        <v>saggital</v>
      </c>
      <c r="G1240" s="9" t="s">
        <v>13</v>
      </c>
      <c r="H1240" s="9" t="s">
        <v>10695</v>
      </c>
    </row>
    <row r="1241" customFormat="false" ht="15.75" hidden="false" customHeight="false" outlineLevel="0" collapsed="false">
      <c r="B1241" s="7" t="n">
        <v>46222</v>
      </c>
      <c r="C1241" s="3" t="s">
        <v>10696</v>
      </c>
      <c r="D1241" s="3" t="s">
        <v>9982</v>
      </c>
      <c r="E1241" s="3" t="s">
        <v>10697</v>
      </c>
      <c r="F1241" s="10" t="str">
        <f aca="false">HYPERLINK("https://www.inaturalist.org/people/andreenkov","andreenkov")</f>
        <v>andreenkov</v>
      </c>
      <c r="G1241" s="9" t="s">
        <v>13</v>
      </c>
      <c r="H1241" s="9" t="s">
        <v>10698</v>
      </c>
    </row>
    <row r="1242" customFormat="false" ht="15.75" hidden="false" customHeight="false" outlineLevel="0" collapsed="false">
      <c r="B1242" s="7" t="n">
        <v>46222</v>
      </c>
      <c r="C1242" s="3" t="s">
        <v>10699</v>
      </c>
      <c r="D1242" s="3" t="s">
        <v>9982</v>
      </c>
      <c r="E1242" s="3" t="s">
        <v>10700</v>
      </c>
      <c r="F1242" s="10" t="str">
        <f aca="false">HYPERLINK("https://www.inaturalist.org/people/timelikeangela","timelikeangela")</f>
        <v>timelikeangela</v>
      </c>
      <c r="G1242" s="9" t="s">
        <v>13</v>
      </c>
      <c r="H1242" s="9" t="s">
        <v>10701</v>
      </c>
    </row>
    <row r="1243" customFormat="false" ht="15.75" hidden="false" customHeight="false" outlineLevel="0" collapsed="false">
      <c r="B1243" s="7" t="n">
        <v>46222</v>
      </c>
      <c r="C1243" s="3" t="s">
        <v>10702</v>
      </c>
      <c r="D1243" s="3" t="s">
        <v>9982</v>
      </c>
      <c r="E1243" s="3" t="s">
        <v>10703</v>
      </c>
      <c r="F1243" s="10" t="str">
        <f aca="false">HYPERLINK("https://www.inaturalist.org/people/mukeshkandpal","mukeshkandpal")</f>
        <v>mukeshkandpal</v>
      </c>
      <c r="G1243" s="9" t="s">
        <v>13</v>
      </c>
      <c r="H1243" s="9" t="s">
        <v>10704</v>
      </c>
    </row>
    <row r="1244" customFormat="false" ht="15.75" hidden="false" customHeight="false" outlineLevel="0" collapsed="false">
      <c r="B1244" s="7" t="n">
        <v>46222</v>
      </c>
      <c r="C1244" s="3" t="s">
        <v>10705</v>
      </c>
      <c r="D1244" s="3" t="s">
        <v>9982</v>
      </c>
      <c r="E1244" s="3" t="s">
        <v>10706</v>
      </c>
      <c r="F1244" s="10" t="str">
        <f aca="false">HYPERLINK("https://www.inaturalist.org/people/shilpagadgil","shilpagadgil")</f>
        <v>shilpagadgil</v>
      </c>
      <c r="G1244" s="9" t="s">
        <v>13</v>
      </c>
      <c r="H1244" s="9" t="s">
        <v>10707</v>
      </c>
    </row>
    <row r="1245" customFormat="false" ht="15.75" hidden="false" customHeight="false" outlineLevel="0" collapsed="false">
      <c r="B1245" s="7" t="n">
        <v>46222</v>
      </c>
      <c r="C1245" s="3" t="s">
        <v>10708</v>
      </c>
      <c r="D1245" s="3" t="s">
        <v>9982</v>
      </c>
      <c r="E1245" s="3" t="s">
        <v>10709</v>
      </c>
      <c r="F1245" s="10" t="str">
        <f aca="false">HYPERLINK("https://www.inaturalist.org/people/shilpagadgil","shilpagadgil")</f>
        <v>shilpagadgil</v>
      </c>
      <c r="G1245" s="9" t="s">
        <v>13</v>
      </c>
      <c r="H1245" s="9" t="s">
        <v>10710</v>
      </c>
    </row>
    <row r="1246" customFormat="false" ht="15.75" hidden="false" customHeight="false" outlineLevel="0" collapsed="false">
      <c r="B1246" s="7" t="n">
        <v>46222</v>
      </c>
      <c r="C1246" s="3" t="s">
        <v>10711</v>
      </c>
      <c r="D1246" s="3" t="s">
        <v>9982</v>
      </c>
      <c r="E1246" s="3" t="s">
        <v>10712</v>
      </c>
      <c r="F1246" s="10" t="str">
        <f aca="false">HYPERLINK("https://www.inaturalist.org/people/andreenkov","andreenkov")</f>
        <v>andreenkov</v>
      </c>
      <c r="G1246" s="9" t="s">
        <v>13</v>
      </c>
      <c r="H1246" s="9" t="s">
        <v>10713</v>
      </c>
    </row>
    <row r="1247" customFormat="false" ht="15.75" hidden="false" customHeight="false" outlineLevel="0" collapsed="false">
      <c r="B1247" s="7" t="n">
        <v>46222</v>
      </c>
      <c r="C1247" s="3" t="s">
        <v>10714</v>
      </c>
      <c r="D1247" s="3" t="s">
        <v>9982</v>
      </c>
      <c r="E1247" s="3" t="s">
        <v>10715</v>
      </c>
      <c r="F1247" s="10" t="str">
        <f aca="false">HYPERLINK("https://www.inaturalist.org/people/bluebottle77","bluebottle77")</f>
        <v>bluebottle77</v>
      </c>
      <c r="G1247" s="9" t="s">
        <v>13</v>
      </c>
      <c r="H1247" s="9" t="s">
        <v>10716</v>
      </c>
    </row>
    <row r="1248" customFormat="false" ht="15.75" hidden="false" customHeight="false" outlineLevel="0" collapsed="false">
      <c r="B1248" s="7" t="n">
        <v>46222</v>
      </c>
      <c r="C1248" s="3" t="s">
        <v>10717</v>
      </c>
      <c r="D1248" s="3" t="s">
        <v>9982</v>
      </c>
      <c r="E1248" s="3" t="s">
        <v>10718</v>
      </c>
      <c r="F1248" s="10" t="str">
        <f aca="false">HYPERLINK("https://www.inaturalist.org/people/bluebottle77","bluebottle77")</f>
        <v>bluebottle77</v>
      </c>
      <c r="G1248" s="9" t="s">
        <v>13</v>
      </c>
      <c r="H1248" s="9" t="s">
        <v>10719</v>
      </c>
    </row>
    <row r="1249" customFormat="false" ht="15.75" hidden="false" customHeight="false" outlineLevel="0" collapsed="false">
      <c r="B1249" s="7" t="n">
        <v>46222</v>
      </c>
      <c r="C1249" s="3" t="s">
        <v>10720</v>
      </c>
      <c r="D1249" s="3" t="s">
        <v>9982</v>
      </c>
      <c r="E1249" s="3" t="s">
        <v>10721</v>
      </c>
      <c r="F1249" s="10" t="str">
        <f aca="false">HYPERLINK("https://www.inaturalist.org/people/diego30634","diego30634")</f>
        <v>diego30634</v>
      </c>
      <c r="G1249" s="9" t="s">
        <v>13</v>
      </c>
      <c r="H1249" s="9" t="s">
        <v>10722</v>
      </c>
    </row>
    <row r="1250" customFormat="false" ht="15.75" hidden="false" customHeight="false" outlineLevel="0" collapsed="false">
      <c r="B1250" s="7" t="n">
        <v>46222</v>
      </c>
      <c r="C1250" s="3" t="s">
        <v>10723</v>
      </c>
      <c r="D1250" s="3" t="s">
        <v>9982</v>
      </c>
      <c r="E1250" s="3" t="s">
        <v>10724</v>
      </c>
      <c r="F1250" s="10" t="str">
        <f aca="false">HYPERLINK("https://www.inaturalist.org/people/ximenajimenez","ximenajimenez")</f>
        <v>ximenajimenez</v>
      </c>
      <c r="G1250" s="9" t="s">
        <v>13</v>
      </c>
      <c r="H1250" s="9" t="s">
        <v>10725</v>
      </c>
    </row>
    <row r="1251" customFormat="false" ht="15.75" hidden="false" customHeight="false" outlineLevel="0" collapsed="false">
      <c r="B1251" s="7" t="n">
        <v>46222</v>
      </c>
      <c r="C1251" s="3" t="s">
        <v>10726</v>
      </c>
      <c r="D1251" s="3" t="s">
        <v>9982</v>
      </c>
      <c r="E1251" s="3" t="s">
        <v>10727</v>
      </c>
      <c r="F1251" s="10" t="str">
        <f aca="false">HYPERLINK("https://www.inaturalist.org/people/mukeshkandpal","mukeshkandpal")</f>
        <v>mukeshkandpal</v>
      </c>
      <c r="G1251" s="9" t="s">
        <v>13</v>
      </c>
      <c r="H1251" s="9" t="s">
        <v>10728</v>
      </c>
    </row>
    <row r="1252" customFormat="false" ht="15.75" hidden="false" customHeight="false" outlineLevel="0" collapsed="false">
      <c r="B1252" s="7" t="n">
        <v>46222</v>
      </c>
      <c r="C1252" s="3" t="s">
        <v>10729</v>
      </c>
      <c r="D1252" s="3" t="s">
        <v>9982</v>
      </c>
      <c r="E1252" s="3" t="s">
        <v>10730</v>
      </c>
      <c r="F1252" s="10" t="str">
        <f aca="false">HYPERLINK("https://www.inaturalist.org/people/bluebottle77","bluebottle77")</f>
        <v>bluebottle77</v>
      </c>
      <c r="G1252" s="9" t="s">
        <v>13</v>
      </c>
      <c r="H1252" s="9" t="s">
        <v>10731</v>
      </c>
    </row>
    <row r="1253" customFormat="false" ht="15.75" hidden="false" customHeight="false" outlineLevel="0" collapsed="false">
      <c r="B1253" s="7" t="n">
        <v>46222</v>
      </c>
      <c r="C1253" s="3" t="s">
        <v>10732</v>
      </c>
      <c r="D1253" s="3" t="s">
        <v>9982</v>
      </c>
      <c r="E1253" s="3" t="s">
        <v>10733</v>
      </c>
      <c r="F1253" s="10" t="str">
        <f aca="false">HYPERLINK("https://www.inaturalist.org/people/andreenkov","andreenkov")</f>
        <v>andreenkov</v>
      </c>
      <c r="G1253" s="9" t="s">
        <v>13</v>
      </c>
      <c r="H1253" s="9" t="s">
        <v>10734</v>
      </c>
    </row>
    <row r="1254" customFormat="false" ht="15.75" hidden="false" customHeight="false" outlineLevel="0" collapsed="false">
      <c r="B1254" s="7" t="n">
        <v>46222</v>
      </c>
      <c r="C1254" s="3" t="s">
        <v>10735</v>
      </c>
      <c r="D1254" s="3" t="s">
        <v>9982</v>
      </c>
      <c r="E1254" s="3" t="s">
        <v>10736</v>
      </c>
      <c r="F1254" s="10" t="str">
        <f aca="false">HYPERLINK("https://www.inaturalist.org/people/spakai","spakai")</f>
        <v>spakai</v>
      </c>
      <c r="G1254" s="9" t="s">
        <v>13</v>
      </c>
      <c r="H1254" s="9" t="s">
        <v>10737</v>
      </c>
    </row>
    <row r="1255" customFormat="false" ht="15.75" hidden="false" customHeight="false" outlineLevel="0" collapsed="false">
      <c r="B1255" s="7" t="n">
        <v>46222</v>
      </c>
      <c r="C1255" s="3" t="s">
        <v>10738</v>
      </c>
      <c r="D1255" s="3" t="s">
        <v>9982</v>
      </c>
      <c r="E1255" s="3" t="s">
        <v>10739</v>
      </c>
      <c r="F1255" s="10" t="str">
        <f aca="false">HYPERLINK("https://www.inaturalist.org/people/peloski","peloski")</f>
        <v>peloski</v>
      </c>
      <c r="G1255" s="9" t="s">
        <v>13</v>
      </c>
      <c r="H1255" s="9" t="s">
        <v>10740</v>
      </c>
    </row>
    <row r="1256" customFormat="false" ht="15.75" hidden="false" customHeight="false" outlineLevel="0" collapsed="false">
      <c r="B1256" s="7" t="n">
        <v>46222</v>
      </c>
      <c r="C1256" s="3" t="s">
        <v>10741</v>
      </c>
      <c r="D1256" s="3" t="s">
        <v>9982</v>
      </c>
      <c r="E1256" s="3" t="s">
        <v>10742</v>
      </c>
      <c r="F1256" s="10" t="str">
        <f aca="false">HYPERLINK("https://www.inaturalist.org/people/leptim","leptim")</f>
        <v>leptim</v>
      </c>
      <c r="G1256" s="9" t="s">
        <v>13</v>
      </c>
      <c r="H1256" s="9" t="s">
        <v>10743</v>
      </c>
    </row>
    <row r="1257" customFormat="false" ht="15.75" hidden="false" customHeight="false" outlineLevel="0" collapsed="false">
      <c r="B1257" s="7" t="n">
        <v>46222</v>
      </c>
      <c r="C1257" s="3" t="s">
        <v>10744</v>
      </c>
      <c r="D1257" s="3" t="s">
        <v>9982</v>
      </c>
      <c r="E1257" s="3" t="s">
        <v>10745</v>
      </c>
      <c r="F1257" s="10" t="str">
        <f aca="false">HYPERLINK("https://www.inaturalist.org/people/kwat","kwat")</f>
        <v>kwat</v>
      </c>
      <c r="G1257" s="9" t="s">
        <v>13</v>
      </c>
      <c r="H1257" s="9" t="s">
        <v>10746</v>
      </c>
    </row>
    <row r="1258" customFormat="false" ht="15.75" hidden="false" customHeight="false" outlineLevel="0" collapsed="false">
      <c r="B1258" s="7" t="n">
        <v>46222</v>
      </c>
      <c r="C1258" s="3" t="s">
        <v>10747</v>
      </c>
      <c r="D1258" s="3" t="s">
        <v>9982</v>
      </c>
      <c r="E1258" s="3" t="s">
        <v>10748</v>
      </c>
      <c r="F1258" s="10" t="str">
        <f aca="false">HYPERLINK("https://www.inaturalist.org/people/kwat","kwat")</f>
        <v>kwat</v>
      </c>
      <c r="G1258" s="9" t="s">
        <v>13</v>
      </c>
      <c r="H1258" s="9" t="s">
        <v>10749</v>
      </c>
    </row>
    <row r="1259" customFormat="false" ht="15.75" hidden="false" customHeight="false" outlineLevel="0" collapsed="false">
      <c r="B1259" s="7" t="n">
        <v>46222</v>
      </c>
      <c r="C1259" s="3" t="s">
        <v>10750</v>
      </c>
      <c r="D1259" s="3" t="s">
        <v>9982</v>
      </c>
      <c r="E1259" s="3" t="s">
        <v>10751</v>
      </c>
      <c r="F1259" s="10" t="str">
        <f aca="false">HYPERLINK("https://www.inaturalist.org/people/kwat","kwat")</f>
        <v>kwat</v>
      </c>
      <c r="G1259" s="9" t="s">
        <v>13</v>
      </c>
      <c r="H1259" s="9" t="s">
        <v>10752</v>
      </c>
    </row>
    <row r="1260" customFormat="false" ht="15.75" hidden="false" customHeight="false" outlineLevel="0" collapsed="false">
      <c r="B1260" s="7" t="n">
        <v>46222</v>
      </c>
      <c r="C1260" s="3" t="s">
        <v>10753</v>
      </c>
      <c r="D1260" s="3" t="s">
        <v>9982</v>
      </c>
      <c r="E1260" s="3" t="s">
        <v>10754</v>
      </c>
      <c r="F1260" s="10" t="str">
        <f aca="false">HYPERLINK("https://www.inaturalist.org/people/cindyleedanylukboisvert","cindyleedanylukboisvert")</f>
        <v>cindyleedanylukboisvert</v>
      </c>
      <c r="G1260" s="9" t="s">
        <v>13</v>
      </c>
      <c r="H1260" s="9" t="s">
        <v>10755</v>
      </c>
    </row>
    <row r="1261" customFormat="false" ht="15.75" hidden="false" customHeight="false" outlineLevel="0" collapsed="false">
      <c r="B1261" s="7" t="n">
        <v>46222</v>
      </c>
      <c r="C1261" s="3" t="s">
        <v>10756</v>
      </c>
      <c r="D1261" s="3" t="s">
        <v>9982</v>
      </c>
      <c r="E1261" s="3" t="s">
        <v>10757</v>
      </c>
      <c r="F1261" s="10" t="str">
        <f aca="false">HYPERLINK("https://www.inaturalist.org/people/bill-blauvelt","bill-blauvelt")</f>
        <v>bill-blauvelt</v>
      </c>
      <c r="G1261" s="9" t="s">
        <v>13</v>
      </c>
      <c r="H1261" s="9" t="s">
        <v>10758</v>
      </c>
    </row>
    <row r="1262" customFormat="false" ht="15.75" hidden="false" customHeight="false" outlineLevel="0" collapsed="false">
      <c r="B1262" s="7" t="n">
        <v>46222</v>
      </c>
      <c r="C1262" s="3" t="s">
        <v>10759</v>
      </c>
      <c r="D1262" s="3" t="s">
        <v>9982</v>
      </c>
      <c r="E1262" s="3" t="s">
        <v>10760</v>
      </c>
      <c r="F1262" s="10" t="str">
        <f aca="false">HYPERLINK("https://www.inaturalist.org/people/bill-blauvelt","bill-blauvelt")</f>
        <v>bill-blauvelt</v>
      </c>
      <c r="G1262" s="9" t="s">
        <v>13</v>
      </c>
      <c r="H1262" s="9" t="s">
        <v>10761</v>
      </c>
    </row>
    <row r="1263" customFormat="false" ht="15.75" hidden="false" customHeight="false" outlineLevel="0" collapsed="false">
      <c r="B1263" s="7" t="n">
        <v>46222</v>
      </c>
      <c r="C1263" s="3" t="s">
        <v>10762</v>
      </c>
      <c r="D1263" s="3" t="s">
        <v>9982</v>
      </c>
      <c r="E1263" s="3" t="s">
        <v>10763</v>
      </c>
      <c r="F1263" s="10" t="str">
        <f aca="false">HYPERLINK("https://www.inaturalist.org/people/oliverkomar","oliverkomar")</f>
        <v>oliverkomar</v>
      </c>
      <c r="G1263" s="9" t="s">
        <v>13</v>
      </c>
      <c r="H1263" s="9" t="s">
        <v>10764</v>
      </c>
    </row>
    <row r="1264" customFormat="false" ht="15.75" hidden="false" customHeight="false" outlineLevel="0" collapsed="false">
      <c r="B1264" s="7" t="n">
        <v>46222</v>
      </c>
      <c r="C1264" s="3" t="s">
        <v>10765</v>
      </c>
      <c r="D1264" s="3" t="s">
        <v>9982</v>
      </c>
      <c r="E1264" s="3" t="s">
        <v>10766</v>
      </c>
      <c r="F1264" s="10" t="str">
        <f aca="false">HYPERLINK("https://www.inaturalist.org/people/dj_maple","dj_maple")</f>
        <v>dj_maple</v>
      </c>
      <c r="G1264" s="9" t="s">
        <v>13</v>
      </c>
      <c r="H1264" s="9" t="s">
        <v>10767</v>
      </c>
    </row>
    <row r="1265" customFormat="false" ht="15.75" hidden="false" customHeight="false" outlineLevel="0" collapsed="false">
      <c r="B1265" s="7" t="n">
        <v>46222</v>
      </c>
      <c r="C1265" s="3" t="s">
        <v>10768</v>
      </c>
      <c r="D1265" s="3" t="s">
        <v>9982</v>
      </c>
      <c r="E1265" s="3" t="s">
        <v>10769</v>
      </c>
      <c r="F1265" s="10" t="str">
        <f aca="false">HYPERLINK("https://www.inaturalist.org/people/melonlike","melonlike")</f>
        <v>melonlike</v>
      </c>
      <c r="G1265" s="9" t="s">
        <v>13</v>
      </c>
      <c r="H1265" s="9" t="s">
        <v>10770</v>
      </c>
    </row>
    <row r="1266" customFormat="false" ht="15.75" hidden="false" customHeight="false" outlineLevel="0" collapsed="false">
      <c r="B1266" s="7" t="n">
        <v>46222</v>
      </c>
      <c r="C1266" s="3" t="s">
        <v>10771</v>
      </c>
      <c r="D1266" s="3" t="s">
        <v>9982</v>
      </c>
      <c r="E1266" s="3" t="s">
        <v>10772</v>
      </c>
      <c r="F1266" s="10" t="str">
        <f aca="false">HYPERLINK("https://www.inaturalist.org/people/dj_maple","dj_maple")</f>
        <v>dj_maple</v>
      </c>
      <c r="G1266" s="9" t="s">
        <v>13</v>
      </c>
      <c r="H1266" s="9" t="s">
        <v>10773</v>
      </c>
    </row>
    <row r="1267" customFormat="false" ht="15.75" hidden="false" customHeight="false" outlineLevel="0" collapsed="false">
      <c r="B1267" s="7" t="n">
        <v>46222</v>
      </c>
      <c r="C1267" s="3" t="s">
        <v>10774</v>
      </c>
      <c r="D1267" s="3" t="s">
        <v>9982</v>
      </c>
      <c r="E1267" s="3" t="s">
        <v>10775</v>
      </c>
      <c r="F1267" s="10" t="str">
        <f aca="false">HYPERLINK("https://www.inaturalist.org/people/dj_maple","dj_maple")</f>
        <v>dj_maple</v>
      </c>
      <c r="G1267" s="9" t="s">
        <v>13</v>
      </c>
      <c r="H1267" s="9" t="s">
        <v>10776</v>
      </c>
    </row>
    <row r="1268" customFormat="false" ht="15.75" hidden="false" customHeight="false" outlineLevel="0" collapsed="false">
      <c r="B1268" s="7" t="n">
        <v>46222</v>
      </c>
      <c r="C1268" s="3" t="s">
        <v>10777</v>
      </c>
      <c r="D1268" s="3" t="s">
        <v>9982</v>
      </c>
      <c r="E1268" s="3" t="s">
        <v>10778</v>
      </c>
      <c r="F1268" s="10" t="str">
        <f aca="false">HYPERLINK("https://www.inaturalist.org/people/staticdust","staticdust")</f>
        <v>staticdust</v>
      </c>
      <c r="G1268" s="9" t="s">
        <v>13</v>
      </c>
      <c r="H1268" s="9" t="s">
        <v>10779</v>
      </c>
    </row>
    <row r="1269" customFormat="false" ht="15.75" hidden="false" customHeight="false" outlineLevel="0" collapsed="false">
      <c r="B1269" s="7" t="n">
        <v>46222</v>
      </c>
      <c r="C1269" s="3" t="s">
        <v>10780</v>
      </c>
      <c r="D1269" s="3" t="s">
        <v>9982</v>
      </c>
      <c r="E1269" s="3" t="s">
        <v>10781</v>
      </c>
      <c r="F1269" s="10" t="str">
        <f aca="false">HYPERLINK("https://www.inaturalist.org/people/miavl","miavl")</f>
        <v>miavl</v>
      </c>
      <c r="G1269" s="9" t="s">
        <v>13</v>
      </c>
      <c r="H1269" s="9" t="s">
        <v>10782</v>
      </c>
    </row>
    <row r="1270" customFormat="false" ht="15.75" hidden="false" customHeight="false" outlineLevel="0" collapsed="false">
      <c r="B1270" s="7" t="n">
        <v>46222</v>
      </c>
      <c r="C1270" s="3" t="s">
        <v>10783</v>
      </c>
      <c r="D1270" s="3" t="s">
        <v>9982</v>
      </c>
      <c r="E1270" s="3" t="s">
        <v>10784</v>
      </c>
      <c r="F1270" s="10" t="str">
        <f aca="false">HYPERLINK("https://www.inaturalist.org/people/phklsch","phklsch")</f>
        <v>phklsch</v>
      </c>
      <c r="G1270" s="9" t="s">
        <v>13</v>
      </c>
      <c r="H1270" s="9" t="s">
        <v>10785</v>
      </c>
    </row>
    <row r="1271" customFormat="false" ht="15.75" hidden="false" customHeight="false" outlineLevel="0" collapsed="false">
      <c r="B1271" s="7" t="n">
        <v>46222</v>
      </c>
      <c r="C1271" s="3" t="s">
        <v>10786</v>
      </c>
      <c r="D1271" s="3" t="s">
        <v>9982</v>
      </c>
      <c r="E1271" s="3" t="s">
        <v>10787</v>
      </c>
      <c r="F1271" s="10" t="str">
        <f aca="false">HYPERLINK("https://www.inaturalist.org/people/j_olivia_k","j_olivia_k")</f>
        <v>j_olivia_k</v>
      </c>
      <c r="G1271" s="9" t="s">
        <v>13</v>
      </c>
      <c r="H1271" s="9" t="s">
        <v>10788</v>
      </c>
    </row>
    <row r="1272" customFormat="false" ht="15.75" hidden="false" customHeight="false" outlineLevel="0" collapsed="false">
      <c r="B1272" s="7" t="n">
        <v>46222</v>
      </c>
      <c r="C1272" s="3" t="s">
        <v>10789</v>
      </c>
      <c r="D1272" s="3" t="s">
        <v>9982</v>
      </c>
      <c r="E1272" s="3" t="s">
        <v>10790</v>
      </c>
      <c r="F1272" s="10" t="str">
        <f aca="false">HYPERLINK("https://www.inaturalist.org/people/diego30634","diego30634")</f>
        <v>diego30634</v>
      </c>
      <c r="G1272" s="9" t="s">
        <v>13</v>
      </c>
      <c r="H1272" s="9" t="s">
        <v>10791</v>
      </c>
    </row>
    <row r="1273" customFormat="false" ht="15.75" hidden="false" customHeight="false" outlineLevel="0" collapsed="false">
      <c r="B1273" s="7" t="n">
        <v>46222</v>
      </c>
      <c r="C1273" s="3" t="s">
        <v>10792</v>
      </c>
      <c r="D1273" s="3" t="s">
        <v>9982</v>
      </c>
      <c r="E1273" s="3" t="s">
        <v>10793</v>
      </c>
      <c r="F1273" s="10" t="str">
        <f aca="false">HYPERLINK("https://www.inaturalist.org/people/shilpagadgil","shilpagadgil")</f>
        <v>shilpagadgil</v>
      </c>
      <c r="G1273" s="9" t="s">
        <v>13</v>
      </c>
      <c r="H1273" s="9" t="s">
        <v>10794</v>
      </c>
    </row>
    <row r="1274" customFormat="false" ht="15.75" hidden="false" customHeight="false" outlineLevel="0" collapsed="false">
      <c r="B1274" s="7" t="n">
        <v>46222</v>
      </c>
      <c r="C1274" s="3" t="s">
        <v>10795</v>
      </c>
      <c r="D1274" s="3" t="s">
        <v>9982</v>
      </c>
      <c r="E1274" s="3" t="s">
        <v>10796</v>
      </c>
      <c r="F1274" s="10" t="str">
        <f aca="false">HYPERLINK("https://www.inaturalist.org/people/shilpagadgil","shilpagadgil")</f>
        <v>shilpagadgil</v>
      </c>
      <c r="G1274" s="9" t="s">
        <v>13</v>
      </c>
      <c r="H1274" s="9" t="s">
        <v>10797</v>
      </c>
    </row>
    <row r="1275" customFormat="false" ht="15.75" hidden="false" customHeight="false" outlineLevel="0" collapsed="false">
      <c r="B1275" s="7" t="n">
        <v>46222</v>
      </c>
      <c r="C1275" s="3" t="s">
        <v>10798</v>
      </c>
      <c r="D1275" s="3" t="s">
        <v>9982</v>
      </c>
      <c r="E1275" s="3" t="s">
        <v>10799</v>
      </c>
      <c r="F1275" s="10" t="str">
        <f aca="false">HYPERLINK("https://www.inaturalist.org/people/estherseyyeh","estherseyyeh")</f>
        <v>estherseyyeh</v>
      </c>
      <c r="G1275" s="9" t="s">
        <v>13</v>
      </c>
      <c r="H1275" s="9" t="s">
        <v>10800</v>
      </c>
    </row>
    <row r="1276" customFormat="false" ht="15.75" hidden="false" customHeight="false" outlineLevel="0" collapsed="false">
      <c r="B1276" s="7" t="n">
        <v>46222</v>
      </c>
      <c r="C1276" s="3" t="s">
        <v>10801</v>
      </c>
      <c r="D1276" s="3" t="s">
        <v>9982</v>
      </c>
      <c r="E1276" s="3" t="s">
        <v>10802</v>
      </c>
      <c r="F1276" s="10" t="str">
        <f aca="false">HYPERLINK("https://www.inaturalist.org/people/animaldexx","animaldexx")</f>
        <v>animaldexx</v>
      </c>
      <c r="G1276" s="9" t="s">
        <v>13</v>
      </c>
      <c r="H1276" s="9" t="s">
        <v>10803</v>
      </c>
    </row>
    <row r="1277" customFormat="false" ht="15.75" hidden="false" customHeight="false" outlineLevel="0" collapsed="false">
      <c r="B1277" s="7" t="n">
        <v>46222</v>
      </c>
      <c r="C1277" s="3" t="s">
        <v>10804</v>
      </c>
      <c r="D1277" s="3" t="s">
        <v>9982</v>
      </c>
      <c r="E1277" s="3" t="s">
        <v>10805</v>
      </c>
      <c r="F1277" s="10" t="str">
        <f aca="false">HYPERLINK("https://www.inaturalist.org/people/fylth","fylth")</f>
        <v>fylth</v>
      </c>
      <c r="G1277" s="9" t="s">
        <v>13</v>
      </c>
      <c r="H1277" s="9" t="s">
        <v>10806</v>
      </c>
    </row>
    <row r="1278" customFormat="false" ht="15.75" hidden="false" customHeight="false" outlineLevel="0" collapsed="false">
      <c r="B1278" s="7" t="n">
        <v>46222</v>
      </c>
      <c r="C1278" s="3" t="s">
        <v>10807</v>
      </c>
      <c r="D1278" s="3" t="s">
        <v>9982</v>
      </c>
      <c r="E1278" s="3" t="s">
        <v>10808</v>
      </c>
      <c r="F1278" s="10" t="str">
        <f aca="false">HYPERLINK("https://www.inaturalist.org/people/fylth","fylth")</f>
        <v>fylth</v>
      </c>
      <c r="G1278" s="9" t="s">
        <v>13</v>
      </c>
      <c r="H1278" s="9" t="s">
        <v>10809</v>
      </c>
    </row>
    <row r="1279" customFormat="false" ht="15.75" hidden="false" customHeight="false" outlineLevel="0" collapsed="false">
      <c r="B1279" s="7" t="n">
        <v>46222</v>
      </c>
      <c r="C1279" s="3" t="s">
        <v>10810</v>
      </c>
      <c r="D1279" s="3" t="s">
        <v>9982</v>
      </c>
      <c r="E1279" s="3" t="s">
        <v>10811</v>
      </c>
      <c r="F1279" s="10" t="str">
        <f aca="false">HYPERLINK("https://www.inaturalist.org/people/fylth","fylth")</f>
        <v>fylth</v>
      </c>
      <c r="G1279" s="9" t="s">
        <v>13</v>
      </c>
      <c r="H1279" s="9" t="s">
        <v>10812</v>
      </c>
    </row>
    <row r="1280" customFormat="false" ht="15.75" hidden="false" customHeight="false" outlineLevel="0" collapsed="false">
      <c r="B1280" s="7" t="n">
        <v>46222</v>
      </c>
      <c r="C1280" s="3" t="s">
        <v>10813</v>
      </c>
      <c r="D1280" s="3" t="s">
        <v>9982</v>
      </c>
      <c r="E1280" s="3" t="s">
        <v>10814</v>
      </c>
      <c r="F1280" s="10" t="str">
        <f aca="false">HYPERLINK("https://www.inaturalist.org/people/mvlichens","mvlichens")</f>
        <v>mvlichens</v>
      </c>
      <c r="G1280" s="9" t="s">
        <v>13</v>
      </c>
      <c r="H1280" s="9" t="s">
        <v>10815</v>
      </c>
    </row>
    <row r="1281" customFormat="false" ht="15.75" hidden="false" customHeight="false" outlineLevel="0" collapsed="false">
      <c r="B1281" s="7" t="n">
        <v>46222</v>
      </c>
      <c r="C1281" s="3" t="s">
        <v>10816</v>
      </c>
      <c r="D1281" s="3" t="s">
        <v>9982</v>
      </c>
      <c r="E1281" s="3" t="s">
        <v>10817</v>
      </c>
      <c r="F1281" s="10" t="str">
        <f aca="false">HYPERLINK("https://www.inaturalist.org/people/fylth","fylth")</f>
        <v>fylth</v>
      </c>
      <c r="G1281" s="9" t="s">
        <v>13</v>
      </c>
      <c r="H1281" s="9" t="s">
        <v>10818</v>
      </c>
    </row>
    <row r="1282" customFormat="false" ht="15.75" hidden="false" customHeight="false" outlineLevel="0" collapsed="false">
      <c r="B1282" s="7" t="n">
        <v>46222</v>
      </c>
      <c r="C1282" s="3" t="s">
        <v>10819</v>
      </c>
      <c r="D1282" s="3" t="s">
        <v>9982</v>
      </c>
      <c r="E1282" s="3" t="s">
        <v>10820</v>
      </c>
      <c r="F1282" s="10" t="str">
        <f aca="false">HYPERLINK("https://www.inaturalist.org/people/rainerkosok","rainerkosok")</f>
        <v>rainerkosok</v>
      </c>
      <c r="G1282" s="9" t="s">
        <v>13</v>
      </c>
      <c r="H1282" s="9" t="s">
        <v>10821</v>
      </c>
    </row>
    <row r="1283" customFormat="false" ht="15.75" hidden="false" customHeight="false" outlineLevel="0" collapsed="false">
      <c r="B1283" s="7" t="n">
        <v>46222</v>
      </c>
      <c r="C1283" s="3" t="s">
        <v>10822</v>
      </c>
      <c r="D1283" s="3" t="s">
        <v>9982</v>
      </c>
      <c r="E1283" s="3" t="s">
        <v>10823</v>
      </c>
      <c r="F1283" s="10" t="str">
        <f aca="false">HYPERLINK("https://www.inaturalist.org/people/animaldexx","animaldexx")</f>
        <v>animaldexx</v>
      </c>
      <c r="G1283" s="9" t="s">
        <v>13</v>
      </c>
      <c r="H1283" s="9" t="s">
        <v>10824</v>
      </c>
    </row>
    <row r="1284" customFormat="false" ht="15.75" hidden="false" customHeight="false" outlineLevel="0" collapsed="false">
      <c r="B1284" s="7" t="n">
        <v>46222</v>
      </c>
      <c r="C1284" s="3" t="s">
        <v>10825</v>
      </c>
      <c r="D1284" s="3" t="s">
        <v>9982</v>
      </c>
      <c r="E1284" s="3" t="s">
        <v>10826</v>
      </c>
      <c r="F1284" s="10" t="str">
        <f aca="false">HYPERLINK("https://www.inaturalist.org/people/lindajwilson","lindajwilson")</f>
        <v>lindajwilson</v>
      </c>
      <c r="G1284" s="9" t="s">
        <v>13</v>
      </c>
      <c r="H1284" s="9" t="s">
        <v>10827</v>
      </c>
    </row>
    <row r="1285" customFormat="false" ht="15.75" hidden="false" customHeight="false" outlineLevel="0" collapsed="false">
      <c r="B1285" s="7" t="n">
        <v>46222</v>
      </c>
      <c r="C1285" s="3" t="s">
        <v>10828</v>
      </c>
      <c r="D1285" s="3" t="s">
        <v>9982</v>
      </c>
      <c r="E1285" s="3" t="s">
        <v>10829</v>
      </c>
      <c r="F1285" s="10" t="str">
        <f aca="false">HYPERLINK("https://www.inaturalist.org/people/lindajwilson","lindajwilson")</f>
        <v>lindajwilson</v>
      </c>
      <c r="G1285" s="9" t="s">
        <v>13</v>
      </c>
      <c r="H1285" s="9" t="s">
        <v>10830</v>
      </c>
    </row>
    <row r="1286" customFormat="false" ht="15.75" hidden="false" customHeight="false" outlineLevel="0" collapsed="false">
      <c r="B1286" s="7" t="n">
        <v>46222</v>
      </c>
      <c r="C1286" s="3" t="s">
        <v>10831</v>
      </c>
      <c r="D1286" s="3" t="s">
        <v>9982</v>
      </c>
      <c r="E1286" s="3" t="s">
        <v>10832</v>
      </c>
      <c r="F1286" s="10" t="str">
        <f aca="false">HYPERLINK("https://www.inaturalist.org/people/lindajwilson","lindajwilson")</f>
        <v>lindajwilson</v>
      </c>
      <c r="G1286" s="9" t="s">
        <v>13</v>
      </c>
      <c r="H1286" s="9" t="s">
        <v>10833</v>
      </c>
    </row>
    <row r="1287" customFormat="false" ht="15.75" hidden="false" customHeight="false" outlineLevel="0" collapsed="false">
      <c r="B1287" s="7" t="n">
        <v>46222</v>
      </c>
      <c r="C1287" s="3" t="s">
        <v>10834</v>
      </c>
      <c r="D1287" s="3" t="s">
        <v>9982</v>
      </c>
      <c r="E1287" s="3" t="s">
        <v>10835</v>
      </c>
      <c r="F1287" s="10" t="str">
        <f aca="false">HYPERLINK("https://www.inaturalist.org/people/daswamp","daswamp")</f>
        <v>daswamp</v>
      </c>
      <c r="G1287" s="9" t="s">
        <v>13</v>
      </c>
      <c r="H1287" s="9" t="s">
        <v>10836</v>
      </c>
    </row>
    <row r="1288" customFormat="false" ht="15.75" hidden="false" customHeight="false" outlineLevel="0" collapsed="false">
      <c r="B1288" s="7" t="n">
        <v>46222</v>
      </c>
      <c r="C1288" s="3" t="s">
        <v>10837</v>
      </c>
      <c r="D1288" s="3" t="s">
        <v>9982</v>
      </c>
      <c r="E1288" s="3" t="s">
        <v>10838</v>
      </c>
      <c r="F1288" s="10" t="str">
        <f aca="false">HYPERLINK("https://www.inaturalist.org/people/sheliahargis","sheliahargis")</f>
        <v>sheliahargis</v>
      </c>
      <c r="G1288" s="9" t="s">
        <v>13</v>
      </c>
      <c r="H1288" s="9" t="s">
        <v>10839</v>
      </c>
    </row>
    <row r="1289" customFormat="false" ht="15.75" hidden="false" customHeight="false" outlineLevel="0" collapsed="false">
      <c r="B1289" s="7" t="n">
        <v>46222</v>
      </c>
      <c r="C1289" s="3" t="s">
        <v>10840</v>
      </c>
      <c r="D1289" s="3" t="s">
        <v>9982</v>
      </c>
      <c r="E1289" s="3" t="s">
        <v>10841</v>
      </c>
      <c r="F1289" s="10" t="str">
        <f aca="false">HYPERLINK("https://www.inaturalist.org/people/xonix","xonix")</f>
        <v>xonix</v>
      </c>
      <c r="G1289" s="9" t="s">
        <v>13</v>
      </c>
      <c r="H1289" s="9" t="s">
        <v>10842</v>
      </c>
    </row>
    <row r="1290" customFormat="false" ht="15.75" hidden="false" customHeight="false" outlineLevel="0" collapsed="false">
      <c r="B1290" s="7" t="n">
        <v>46222</v>
      </c>
      <c r="C1290" s="3" t="s">
        <v>10843</v>
      </c>
      <c r="D1290" s="3" t="s">
        <v>9982</v>
      </c>
      <c r="E1290" s="3" t="s">
        <v>10844</v>
      </c>
      <c r="F1290" s="10" t="str">
        <f aca="false">HYPERLINK("https://www.inaturalist.org/people/stefanpopovic","stefanpopovic")</f>
        <v>stefanpopovic</v>
      </c>
      <c r="G1290" s="9" t="s">
        <v>13</v>
      </c>
      <c r="H1290" s="9" t="s">
        <v>10845</v>
      </c>
    </row>
    <row r="1291" customFormat="false" ht="15.75" hidden="false" customHeight="false" outlineLevel="0" collapsed="false">
      <c r="B1291" s="7" t="n">
        <v>46222</v>
      </c>
      <c r="C1291" s="3" t="s">
        <v>10846</v>
      </c>
      <c r="D1291" s="3" t="s">
        <v>9982</v>
      </c>
      <c r="E1291" s="3" t="s">
        <v>10847</v>
      </c>
      <c r="F1291" s="10" t="str">
        <f aca="false">HYPERLINK("https://www.inaturalist.org/people/leptim","leptim")</f>
        <v>leptim</v>
      </c>
      <c r="G1291" s="9" t="s">
        <v>13</v>
      </c>
      <c r="H1291" s="9" t="s">
        <v>10848</v>
      </c>
    </row>
    <row r="1292" customFormat="false" ht="15.75" hidden="false" customHeight="false" outlineLevel="0" collapsed="false">
      <c r="B1292" s="7" t="n">
        <v>46222</v>
      </c>
      <c r="C1292" s="3" t="s">
        <v>10849</v>
      </c>
      <c r="D1292" s="3" t="s">
        <v>9982</v>
      </c>
      <c r="E1292" s="3" t="s">
        <v>10850</v>
      </c>
      <c r="F1292" s="10" t="str">
        <f aca="false">HYPERLINK("https://www.inaturalist.org/people/jotrack","jotrack")</f>
        <v>jotrack</v>
      </c>
      <c r="G1292" s="9" t="s">
        <v>13</v>
      </c>
      <c r="H1292" s="9" t="s">
        <v>10851</v>
      </c>
    </row>
    <row r="1293" customFormat="false" ht="15.75" hidden="false" customHeight="false" outlineLevel="0" collapsed="false">
      <c r="B1293" s="7" t="n">
        <v>46222</v>
      </c>
      <c r="C1293" s="3" t="s">
        <v>10852</v>
      </c>
      <c r="D1293" s="3" t="s">
        <v>9982</v>
      </c>
      <c r="E1293" s="3" t="s">
        <v>10853</v>
      </c>
      <c r="F1293" s="10" t="str">
        <f aca="false">HYPERLINK("https://www.inaturalist.org/people/animaldexx","animaldexx")</f>
        <v>animaldexx</v>
      </c>
      <c r="G1293" s="9" t="s">
        <v>13</v>
      </c>
      <c r="H1293" s="9" t="s">
        <v>10854</v>
      </c>
    </row>
    <row r="1294" customFormat="false" ht="15.75" hidden="false" customHeight="false" outlineLevel="0" collapsed="false">
      <c r="B1294" s="7" t="n">
        <v>46222</v>
      </c>
      <c r="C1294" s="3" t="s">
        <v>10855</v>
      </c>
      <c r="D1294" s="3" t="s">
        <v>9982</v>
      </c>
      <c r="E1294" s="3" t="s">
        <v>10856</v>
      </c>
      <c r="F1294" s="10" t="str">
        <f aca="false">HYPERLINK("https://www.inaturalist.org/people/msilvera","msilvera")</f>
        <v>msilvera</v>
      </c>
      <c r="G1294" s="9" t="s">
        <v>13</v>
      </c>
      <c r="H1294" s="9" t="s">
        <v>10857</v>
      </c>
    </row>
    <row r="1295" customFormat="false" ht="15.75" hidden="false" customHeight="false" outlineLevel="0" collapsed="false">
      <c r="B1295" s="7" t="n">
        <v>46222</v>
      </c>
      <c r="C1295" s="3" t="s">
        <v>10858</v>
      </c>
      <c r="D1295" s="3" t="s">
        <v>9982</v>
      </c>
      <c r="E1295" s="3" t="s">
        <v>10859</v>
      </c>
      <c r="F1295" s="10" t="str">
        <f aca="false">HYPERLINK("https://www.inaturalist.org/people/msilvera","msilvera")</f>
        <v>msilvera</v>
      </c>
      <c r="G1295" s="9" t="s">
        <v>13</v>
      </c>
      <c r="H1295" s="9" t="s">
        <v>10860</v>
      </c>
    </row>
    <row r="1296" customFormat="false" ht="15.75" hidden="false" customHeight="false" outlineLevel="0" collapsed="false">
      <c r="B1296" s="7" t="n">
        <v>46222</v>
      </c>
      <c r="C1296" s="3" t="s">
        <v>10861</v>
      </c>
      <c r="D1296" s="3" t="s">
        <v>9982</v>
      </c>
      <c r="E1296" s="3" t="s">
        <v>10862</v>
      </c>
      <c r="F1296" s="10" t="str">
        <f aca="false">HYPERLINK("https://www.inaturalist.org/people/kwat","kwat")</f>
        <v>kwat</v>
      </c>
      <c r="G1296" s="9" t="s">
        <v>13</v>
      </c>
      <c r="H1296" s="9" t="s">
        <v>10863</v>
      </c>
    </row>
    <row r="1297" customFormat="false" ht="15.75" hidden="false" customHeight="false" outlineLevel="0" collapsed="false">
      <c r="B1297" s="7" t="n">
        <v>46222</v>
      </c>
      <c r="C1297" s="3" t="s">
        <v>10864</v>
      </c>
      <c r="D1297" s="3" t="s">
        <v>9982</v>
      </c>
      <c r="E1297" s="3" t="s">
        <v>10865</v>
      </c>
      <c r="F1297" s="10" t="str">
        <f aca="false">HYPERLINK("https://www.inaturalist.org/people/manu_karri","manu_karri")</f>
        <v>manu_karri</v>
      </c>
      <c r="G1297" s="9" t="s">
        <v>13</v>
      </c>
      <c r="H1297" s="9" t="s">
        <v>10866</v>
      </c>
    </row>
    <row r="1298" customFormat="false" ht="15.75" hidden="false" customHeight="false" outlineLevel="0" collapsed="false">
      <c r="B1298" s="7" t="n">
        <v>46222</v>
      </c>
      <c r="C1298" s="3" t="s">
        <v>10867</v>
      </c>
      <c r="D1298" s="3" t="s">
        <v>9982</v>
      </c>
      <c r="E1298" s="3" t="s">
        <v>10868</v>
      </c>
      <c r="F1298" s="10" t="str">
        <f aca="false">HYPERLINK("https://www.inaturalist.org/people/manu_karri","manu_karri")</f>
        <v>manu_karri</v>
      </c>
      <c r="G1298" s="9" t="s">
        <v>13</v>
      </c>
      <c r="H1298" s="9" t="s">
        <v>10869</v>
      </c>
    </row>
    <row r="1299" customFormat="false" ht="15.75" hidden="false" customHeight="false" outlineLevel="0" collapsed="false">
      <c r="B1299" s="7" t="n">
        <v>46222</v>
      </c>
      <c r="C1299" s="3" t="s">
        <v>10870</v>
      </c>
      <c r="D1299" s="3" t="s">
        <v>9982</v>
      </c>
      <c r="E1299" s="3" t="s">
        <v>10871</v>
      </c>
      <c r="F1299" s="10" t="str">
        <f aca="false">HYPERLINK("https://www.inaturalist.org/people/xonix","xonix")</f>
        <v>xonix</v>
      </c>
      <c r="G1299" s="9" t="s">
        <v>13</v>
      </c>
      <c r="H1299" s="9" t="s">
        <v>10872</v>
      </c>
    </row>
    <row r="1300" customFormat="false" ht="15.75" hidden="false" customHeight="false" outlineLevel="0" collapsed="false">
      <c r="B1300" s="7" t="n">
        <v>46222</v>
      </c>
      <c r="C1300" s="3" t="s">
        <v>10873</v>
      </c>
      <c r="D1300" s="3" t="s">
        <v>9982</v>
      </c>
      <c r="E1300" s="3" t="s">
        <v>10874</v>
      </c>
      <c r="F1300" s="10" t="str">
        <f aca="false">HYPERLINK("https://www.inaturalist.org/people/ellen_brilhante","ellen_brilhante")</f>
        <v>ellen_brilhante</v>
      </c>
      <c r="G1300" s="9" t="s">
        <v>13</v>
      </c>
      <c r="H1300" s="9" t="s">
        <v>10875</v>
      </c>
    </row>
    <row r="1301" customFormat="false" ht="15.75" hidden="false" customHeight="false" outlineLevel="0" collapsed="false">
      <c r="B1301" s="7" t="n">
        <v>46222</v>
      </c>
      <c r="C1301" s="3" t="s">
        <v>10876</v>
      </c>
      <c r="D1301" s="3" t="s">
        <v>9982</v>
      </c>
      <c r="E1301" s="3" t="s">
        <v>10877</v>
      </c>
      <c r="F1301" s="10" t="str">
        <f aca="false">HYPERLINK("https://www.inaturalist.org/people/ximenajimenez","ximenajimenez")</f>
        <v>ximenajimenez</v>
      </c>
      <c r="G1301" s="9" t="s">
        <v>13</v>
      </c>
      <c r="H1301" s="9" t="s">
        <v>10878</v>
      </c>
    </row>
    <row r="1302" customFormat="false" ht="15.75" hidden="false" customHeight="false" outlineLevel="0" collapsed="false">
      <c r="B1302" s="7" t="n">
        <v>46222</v>
      </c>
      <c r="C1302" s="3" t="s">
        <v>10879</v>
      </c>
      <c r="D1302" s="3" t="s">
        <v>9982</v>
      </c>
      <c r="E1302" s="3" t="s">
        <v>10880</v>
      </c>
      <c r="F1302" s="10" t="str">
        <f aca="false">HYPERLINK("https://www.inaturalist.org/people/evan_cameron","evan_cameron")</f>
        <v>evan_cameron</v>
      </c>
      <c r="G1302" s="9" t="s">
        <v>13</v>
      </c>
      <c r="H1302" s="9" t="s">
        <v>10881</v>
      </c>
    </row>
    <row r="1303" customFormat="false" ht="15.75" hidden="false" customHeight="false" outlineLevel="0" collapsed="false">
      <c r="B1303" s="7" t="n">
        <v>46222</v>
      </c>
      <c r="C1303" s="3" t="s">
        <v>10882</v>
      </c>
      <c r="D1303" s="3" t="s">
        <v>10883</v>
      </c>
      <c r="E1303" s="3" t="s">
        <v>10884</v>
      </c>
      <c r="F1303" s="10" t="str">
        <f aca="false">HYPERLINK("https://www.inaturalist.org/people/z_kia_r","z_kia_r")</f>
        <v>z_kia_r</v>
      </c>
      <c r="G1303" s="9" t="s">
        <v>13</v>
      </c>
      <c r="H1303" s="9" t="s">
        <v>10885</v>
      </c>
    </row>
    <row r="1304" customFormat="false" ht="15.75" hidden="false" customHeight="false" outlineLevel="0" collapsed="false">
      <c r="B1304" s="7" t="n">
        <v>46222</v>
      </c>
      <c r="C1304" s="3" t="s">
        <v>10886</v>
      </c>
      <c r="D1304" s="3" t="s">
        <v>10883</v>
      </c>
      <c r="E1304" s="3" t="s">
        <v>10887</v>
      </c>
      <c r="F1304" s="10" t="str">
        <f aca="false">HYPERLINK("https://www.inaturalist.org/people/silversea_starsong","silversea_starsong")</f>
        <v>silversea_starsong</v>
      </c>
      <c r="G1304" s="9" t="s">
        <v>13</v>
      </c>
      <c r="H1304" s="9" t="s">
        <v>10888</v>
      </c>
    </row>
    <row r="1305" customFormat="false" ht="15.75" hidden="false" customHeight="false" outlineLevel="0" collapsed="false">
      <c r="B1305" s="7" t="n">
        <v>46222</v>
      </c>
      <c r="C1305" s="3" t="s">
        <v>10889</v>
      </c>
      <c r="D1305" s="3" t="s">
        <v>10883</v>
      </c>
      <c r="E1305" s="3" t="s">
        <v>10890</v>
      </c>
      <c r="F1305" s="10" t="str">
        <f aca="false">HYPERLINK("https://www.inaturalist.org/people/griffen3508","griffen3508")</f>
        <v>griffen3508</v>
      </c>
      <c r="G1305" s="9" t="s">
        <v>13</v>
      </c>
      <c r="H1305" s="9" t="s">
        <v>10891</v>
      </c>
    </row>
    <row r="1306" customFormat="false" ht="15.75" hidden="false" customHeight="false" outlineLevel="0" collapsed="false">
      <c r="B1306" s="7" t="n">
        <v>46222</v>
      </c>
      <c r="C1306" s="3" t="s">
        <v>10892</v>
      </c>
      <c r="D1306" s="3" t="s">
        <v>10883</v>
      </c>
      <c r="E1306" s="3" t="s">
        <v>10893</v>
      </c>
      <c r="F1306" s="10" t="str">
        <f aca="false">HYPERLINK("https://www.inaturalist.org/people/the_birds_nest","the_birds_nest")</f>
        <v>the_birds_nest</v>
      </c>
      <c r="G1306" s="9" t="s">
        <v>13</v>
      </c>
      <c r="H1306" s="9" t="s">
        <v>10894</v>
      </c>
    </row>
    <row r="1307" customFormat="false" ht="15.75" hidden="false" customHeight="false" outlineLevel="0" collapsed="false">
      <c r="B1307" s="7" t="n">
        <v>46222</v>
      </c>
      <c r="C1307" s="3" t="s">
        <v>10895</v>
      </c>
      <c r="D1307" s="3" t="s">
        <v>10883</v>
      </c>
      <c r="E1307" s="3" t="s">
        <v>10896</v>
      </c>
      <c r="F1307" s="10" t="str">
        <f aca="false">HYPERLINK("https://www.inaturalist.org/people/lansing-birder","lansing-birder")</f>
        <v>lansing-birder</v>
      </c>
      <c r="G1307" s="9" t="s">
        <v>13</v>
      </c>
      <c r="H1307" s="9" t="s">
        <v>10897</v>
      </c>
    </row>
    <row r="1308" customFormat="false" ht="15.75" hidden="false" customHeight="false" outlineLevel="0" collapsed="false">
      <c r="B1308" s="7" t="n">
        <v>46222</v>
      </c>
      <c r="C1308" s="3" t="s">
        <v>10898</v>
      </c>
      <c r="D1308" s="3" t="s">
        <v>10883</v>
      </c>
      <c r="E1308" s="3" t="s">
        <v>10899</v>
      </c>
      <c r="F1308" s="10" t="str">
        <f aca="false">HYPERLINK("https://www.inaturalist.org/people/seymoregulls","seymoregulls")</f>
        <v>seymoregulls</v>
      </c>
      <c r="G1308" s="9" t="s">
        <v>13</v>
      </c>
      <c r="H1308" s="9" t="s">
        <v>10900</v>
      </c>
    </row>
    <row r="1309" customFormat="false" ht="15.75" hidden="false" customHeight="false" outlineLevel="0" collapsed="false">
      <c r="B1309" s="7" t="n">
        <v>46222</v>
      </c>
      <c r="C1309" s="3" t="s">
        <v>10901</v>
      </c>
      <c r="D1309" s="3" t="s">
        <v>10883</v>
      </c>
      <c r="E1309" s="3" t="s">
        <v>10902</v>
      </c>
      <c r="F1309" s="10" t="str">
        <f aca="false">HYPERLINK("https://www.inaturalist.org/people/laelene","laelene")</f>
        <v>laelene</v>
      </c>
      <c r="G1309" s="9" t="s">
        <v>13</v>
      </c>
      <c r="H1309" s="9" t="s">
        <v>10903</v>
      </c>
    </row>
    <row r="1310" customFormat="false" ht="15.75" hidden="false" customHeight="false" outlineLevel="0" collapsed="false">
      <c r="B1310" s="7" t="n">
        <v>46222</v>
      </c>
      <c r="C1310" s="3" t="s">
        <v>10904</v>
      </c>
      <c r="D1310" s="3" t="s">
        <v>10883</v>
      </c>
      <c r="E1310" s="3" t="s">
        <v>10905</v>
      </c>
      <c r="F1310" s="10" t="str">
        <f aca="false">HYPERLINK("https://www.inaturalist.org/people/gchurley","gchurley")</f>
        <v>gchurley</v>
      </c>
      <c r="G1310" s="9" t="s">
        <v>13</v>
      </c>
      <c r="H1310" s="9" t="s">
        <v>10906</v>
      </c>
    </row>
    <row r="1311" customFormat="false" ht="15.75" hidden="false" customHeight="false" outlineLevel="0" collapsed="false">
      <c r="B1311" s="7" t="n">
        <v>46222</v>
      </c>
      <c r="C1311" s="3" t="s">
        <v>10907</v>
      </c>
      <c r="D1311" s="3" t="s">
        <v>10883</v>
      </c>
      <c r="E1311" s="3" t="s">
        <v>10908</v>
      </c>
      <c r="F1311" s="10" t="str">
        <f aca="false">HYPERLINK("https://www.inaturalist.org/people/kylebwild","kylebwild")</f>
        <v>kylebwild</v>
      </c>
      <c r="G1311" s="9" t="s">
        <v>13</v>
      </c>
      <c r="H1311" s="9" t="s">
        <v>10909</v>
      </c>
    </row>
    <row r="1312" customFormat="false" ht="15.75" hidden="false" customHeight="false" outlineLevel="0" collapsed="false">
      <c r="B1312" s="7" t="n">
        <v>46222</v>
      </c>
      <c r="C1312" s="3" t="s">
        <v>10910</v>
      </c>
      <c r="D1312" s="3" t="s">
        <v>10883</v>
      </c>
      <c r="E1312" s="3" t="s">
        <v>10911</v>
      </c>
      <c r="F1312" s="10" t="str">
        <f aca="false">HYPERLINK("https://www.inaturalist.org/people/greeganowo","greeganowo")</f>
        <v>greeganowo</v>
      </c>
      <c r="G1312" s="9" t="s">
        <v>13</v>
      </c>
      <c r="H1312" s="9" t="s">
        <v>10912</v>
      </c>
    </row>
    <row r="1313" customFormat="false" ht="15.75" hidden="false" customHeight="false" outlineLevel="0" collapsed="false">
      <c r="B1313" s="7" t="n">
        <v>46222</v>
      </c>
      <c r="C1313" s="3" t="s">
        <v>10913</v>
      </c>
      <c r="D1313" s="3" t="s">
        <v>10883</v>
      </c>
      <c r="E1313" s="3" t="s">
        <v>10914</v>
      </c>
      <c r="F1313" s="10" t="str">
        <f aca="false">HYPERLINK("https://www.inaturalist.org/people/nachiketl","nachiketl")</f>
        <v>nachiketl</v>
      </c>
      <c r="G1313" s="9" t="s">
        <v>13</v>
      </c>
      <c r="H1313" s="9" t="s">
        <v>10915</v>
      </c>
    </row>
    <row r="1314" customFormat="false" ht="15.75" hidden="false" customHeight="false" outlineLevel="0" collapsed="false">
      <c r="B1314" s="7" t="n">
        <v>46222</v>
      </c>
      <c r="C1314" s="3" t="s">
        <v>10916</v>
      </c>
      <c r="D1314" s="3" t="s">
        <v>10883</v>
      </c>
      <c r="E1314" s="3" t="s">
        <v>10917</v>
      </c>
      <c r="F1314" s="10" t="str">
        <f aca="false">HYPERLINK("https://www.inaturalist.org/people/nate_chamb","nate_chamb")</f>
        <v>nate_chamb</v>
      </c>
      <c r="G1314" s="9" t="s">
        <v>13</v>
      </c>
      <c r="H1314" s="9" t="s">
        <v>10918</v>
      </c>
    </row>
    <row r="1315" customFormat="false" ht="15.75" hidden="false" customHeight="false" outlineLevel="0" collapsed="false">
      <c r="B1315" s="7" t="n">
        <v>46222</v>
      </c>
      <c r="C1315" s="3" t="s">
        <v>10919</v>
      </c>
      <c r="D1315" s="3" t="s">
        <v>10883</v>
      </c>
      <c r="E1315" s="3" t="s">
        <v>10920</v>
      </c>
      <c r="F1315" s="10" t="str">
        <f aca="false">HYPERLINK("https://www.inaturalist.org/people/jdbaker","jdbaker")</f>
        <v>jdbaker</v>
      </c>
      <c r="G1315" s="9" t="s">
        <v>13</v>
      </c>
      <c r="H1315" s="9" t="s">
        <v>10921</v>
      </c>
    </row>
    <row r="1316" customFormat="false" ht="15.75" hidden="false" customHeight="false" outlineLevel="0" collapsed="false">
      <c r="B1316" s="7" t="n">
        <v>46222</v>
      </c>
      <c r="C1316" s="3" t="s">
        <v>10922</v>
      </c>
      <c r="D1316" s="3" t="s">
        <v>10883</v>
      </c>
      <c r="E1316" s="3" t="s">
        <v>10923</v>
      </c>
      <c r="F1316" s="10" t="str">
        <f aca="false">HYPERLINK("https://www.inaturalist.org/people/dougmacsafaris","dougmacsafaris")</f>
        <v>dougmacsafaris</v>
      </c>
      <c r="G1316" s="9" t="s">
        <v>13</v>
      </c>
      <c r="H1316" s="9" t="s">
        <v>10924</v>
      </c>
    </row>
    <row r="1317" customFormat="false" ht="15.75" hidden="false" customHeight="false" outlineLevel="0" collapsed="false">
      <c r="B1317" s="7" t="n">
        <v>46222</v>
      </c>
      <c r="C1317" s="3" t="s">
        <v>10925</v>
      </c>
      <c r="D1317" s="3" t="s">
        <v>10883</v>
      </c>
      <c r="E1317" s="3" t="s">
        <v>10926</v>
      </c>
      <c r="F1317" s="10" t="str">
        <f aca="false">HYPERLINK("https://www.inaturalist.org/people/littlexiao","littlexiao")</f>
        <v>littlexiao</v>
      </c>
      <c r="G1317" s="9" t="s">
        <v>13</v>
      </c>
      <c r="H1317" s="9" t="s">
        <v>10927</v>
      </c>
    </row>
    <row r="1318" customFormat="false" ht="15.75" hidden="false" customHeight="false" outlineLevel="0" collapsed="false">
      <c r="B1318" s="7" t="n">
        <v>46222</v>
      </c>
      <c r="C1318" s="3" t="s">
        <v>10928</v>
      </c>
      <c r="D1318" s="3" t="s">
        <v>10883</v>
      </c>
      <c r="E1318" s="3" t="s">
        <v>10929</v>
      </c>
      <c r="F1318" s="10" t="str">
        <f aca="false">HYPERLINK("https://www.inaturalist.org/people/ravinaidu","ravinaidu")</f>
        <v>ravinaidu</v>
      </c>
      <c r="G1318" s="9" t="s">
        <v>13</v>
      </c>
      <c r="H1318" s="9" t="s">
        <v>10930</v>
      </c>
    </row>
    <row r="1319" customFormat="false" ht="15.75" hidden="false" customHeight="false" outlineLevel="0" collapsed="false">
      <c r="B1319" s="7" t="n">
        <v>46222</v>
      </c>
      <c r="C1319" s="3" t="s">
        <v>10931</v>
      </c>
      <c r="D1319" s="3" t="s">
        <v>10883</v>
      </c>
      <c r="E1319" s="3" t="s">
        <v>10932</v>
      </c>
      <c r="F1319" s="10" t="str">
        <f aca="false">HYPERLINK("https://www.inaturalist.org/people/dougmacsafaris","dougmacsafaris")</f>
        <v>dougmacsafaris</v>
      </c>
      <c r="G1319" s="9" t="s">
        <v>13</v>
      </c>
      <c r="H1319" s="9" t="s">
        <v>10933</v>
      </c>
    </row>
    <row r="1320" customFormat="false" ht="15.75" hidden="false" customHeight="false" outlineLevel="0" collapsed="false">
      <c r="B1320" s="7" t="n">
        <v>46222</v>
      </c>
      <c r="C1320" s="3" t="s">
        <v>10934</v>
      </c>
      <c r="D1320" s="3" t="s">
        <v>10883</v>
      </c>
      <c r="E1320" s="3" t="s">
        <v>10935</v>
      </c>
      <c r="F1320" s="10" t="str">
        <f aca="false">HYPERLINK("https://www.inaturalist.org/people/malacochersus","malacochersus")</f>
        <v>malacochersus</v>
      </c>
      <c r="G1320" s="9" t="s">
        <v>13</v>
      </c>
      <c r="H1320" s="9" t="s">
        <v>10936</v>
      </c>
    </row>
    <row r="1321" customFormat="false" ht="15.75" hidden="false" customHeight="false" outlineLevel="0" collapsed="false">
      <c r="B1321" s="7" t="n">
        <v>46222</v>
      </c>
      <c r="C1321" s="3" t="s">
        <v>10937</v>
      </c>
      <c r="D1321" s="3" t="s">
        <v>10883</v>
      </c>
      <c r="E1321" s="3" t="s">
        <v>10938</v>
      </c>
      <c r="F1321" s="10" t="str">
        <f aca="false">HYPERLINK("https://www.inaturalist.org/people/malacochersus","malacochersus")</f>
        <v>malacochersus</v>
      </c>
      <c r="G1321" s="9" t="s">
        <v>13</v>
      </c>
      <c r="H1321" s="9" t="s">
        <v>10939</v>
      </c>
    </row>
    <row r="1322" customFormat="false" ht="15.75" hidden="false" customHeight="false" outlineLevel="0" collapsed="false">
      <c r="B1322" s="7" t="n">
        <v>46222</v>
      </c>
      <c r="C1322" s="3" t="s">
        <v>10940</v>
      </c>
      <c r="D1322" s="3" t="s">
        <v>10883</v>
      </c>
      <c r="E1322" s="3" t="s">
        <v>10941</v>
      </c>
      <c r="F1322" s="10" t="str">
        <f aca="false">HYPERLINK("https://www.inaturalist.org/people/malacochersus","malacochersus")</f>
        <v>malacochersus</v>
      </c>
      <c r="G1322" s="9" t="s">
        <v>13</v>
      </c>
      <c r="H1322" s="9" t="s">
        <v>10942</v>
      </c>
    </row>
    <row r="1323" customFormat="false" ht="15.75" hidden="false" customHeight="false" outlineLevel="0" collapsed="false">
      <c r="B1323" s="7" t="n">
        <v>46222</v>
      </c>
      <c r="C1323" s="3" t="s">
        <v>10943</v>
      </c>
      <c r="D1323" s="3" t="s">
        <v>10944</v>
      </c>
      <c r="E1323" s="3" t="s">
        <v>10945</v>
      </c>
      <c r="F1323" s="10" t="str">
        <f aca="false">HYPERLINK("https://www.inaturalist.org/people/aedanrowan","aedanrowan")</f>
        <v>aedanrowan</v>
      </c>
      <c r="G1323" s="9" t="s">
        <v>13</v>
      </c>
      <c r="H1323" s="9" t="s">
        <v>10946</v>
      </c>
    </row>
    <row r="1324" customFormat="false" ht="15.75" hidden="false" customHeight="false" outlineLevel="0" collapsed="false">
      <c r="B1324" s="7" t="n">
        <v>46222</v>
      </c>
      <c r="C1324" s="3" t="s">
        <v>10947</v>
      </c>
      <c r="D1324" s="3" t="s">
        <v>10944</v>
      </c>
      <c r="E1324" s="3" t="s">
        <v>10948</v>
      </c>
      <c r="F1324" s="10" t="str">
        <f aca="false">HYPERLINK("https://www.inaturalist.org/people/albaker39","albaker39")</f>
        <v>albaker39</v>
      </c>
      <c r="G1324" s="9" t="s">
        <v>13</v>
      </c>
      <c r="H1324" s="9" t="s">
        <v>10949</v>
      </c>
    </row>
    <row r="1325" customFormat="false" ht="15.75" hidden="false" customHeight="false" outlineLevel="0" collapsed="false">
      <c r="B1325" s="7" t="n">
        <v>46222</v>
      </c>
      <c r="C1325" s="3" t="s">
        <v>10950</v>
      </c>
      <c r="D1325" s="3" t="s">
        <v>10944</v>
      </c>
      <c r="E1325" s="3" t="s">
        <v>10951</v>
      </c>
      <c r="F1325" s="10" t="str">
        <f aca="false">HYPERLINK("https://www.inaturalist.org/people/joshbowling","joshbowling")</f>
        <v>joshbowling</v>
      </c>
      <c r="G1325" s="9" t="s">
        <v>13</v>
      </c>
      <c r="H1325" s="9" t="s">
        <v>10952</v>
      </c>
    </row>
    <row r="1326" customFormat="false" ht="15.75" hidden="false" customHeight="false" outlineLevel="0" collapsed="false">
      <c r="B1326" s="7" t="n">
        <v>46222</v>
      </c>
      <c r="C1326" s="3" t="s">
        <v>10953</v>
      </c>
      <c r="D1326" s="3" t="s">
        <v>10944</v>
      </c>
      <c r="E1326" s="3" t="s">
        <v>10954</v>
      </c>
      <c r="F1326" s="10" t="str">
        <f aca="false">HYPERLINK("https://www.inaturalist.org/people/elisejay","elisejay")</f>
        <v>elisejay</v>
      </c>
      <c r="G1326" s="9" t="s">
        <v>13</v>
      </c>
      <c r="H1326" s="9" t="s">
        <v>10955</v>
      </c>
    </row>
    <row r="1327" customFormat="false" ht="15.75" hidden="false" customHeight="false" outlineLevel="0" collapsed="false">
      <c r="B1327" s="7" t="n">
        <v>46222</v>
      </c>
      <c r="C1327" s="3" t="s">
        <v>10956</v>
      </c>
      <c r="D1327" s="3" t="s">
        <v>10944</v>
      </c>
      <c r="E1327" s="3" t="s">
        <v>10957</v>
      </c>
      <c r="F1327" s="10" t="str">
        <f aca="false">HYPERLINK("https://www.inaturalist.org/people/lucasmorton","lucasmorton")</f>
        <v>lucasmorton</v>
      </c>
      <c r="G1327" s="9" t="s">
        <v>13</v>
      </c>
      <c r="H1327" s="9" t="s">
        <v>10958</v>
      </c>
    </row>
    <row r="1328" customFormat="false" ht="15.75" hidden="false" customHeight="false" outlineLevel="0" collapsed="false">
      <c r="B1328" s="7" t="n">
        <v>46222</v>
      </c>
      <c r="C1328" s="3" t="s">
        <v>10959</v>
      </c>
      <c r="D1328" s="3" t="s">
        <v>10944</v>
      </c>
      <c r="E1328" s="3" t="s">
        <v>10960</v>
      </c>
      <c r="F1328" s="10" t="str">
        <f aca="false">HYPERLINK("https://www.inaturalist.org/people/joshbowling","joshbowling")</f>
        <v>joshbowling</v>
      </c>
      <c r="G1328" s="9" t="s">
        <v>13</v>
      </c>
      <c r="H1328" s="9" t="s">
        <v>10961</v>
      </c>
    </row>
    <row r="1329" customFormat="false" ht="15.75" hidden="false" customHeight="false" outlineLevel="0" collapsed="false">
      <c r="B1329" s="7" t="n">
        <v>46222</v>
      </c>
      <c r="C1329" s="3" t="s">
        <v>10962</v>
      </c>
      <c r="D1329" s="3" t="s">
        <v>10944</v>
      </c>
      <c r="E1329" s="3" t="s">
        <v>10963</v>
      </c>
      <c r="F1329" s="10" t="str">
        <f aca="false">HYPERLINK("https://www.inaturalist.org/people/lily226","lily226")</f>
        <v>lily226</v>
      </c>
      <c r="G1329" s="9" t="s">
        <v>13</v>
      </c>
      <c r="H1329" s="9" t="s">
        <v>10964</v>
      </c>
    </row>
    <row r="1330" customFormat="false" ht="15.75" hidden="false" customHeight="false" outlineLevel="0" collapsed="false">
      <c r="B1330" s="7" t="n">
        <v>46222</v>
      </c>
      <c r="C1330" s="3" t="s">
        <v>10965</v>
      </c>
      <c r="D1330" s="3" t="s">
        <v>10944</v>
      </c>
      <c r="E1330" s="3" t="s">
        <v>10966</v>
      </c>
      <c r="F1330" s="10" t="str">
        <f aca="false">HYPERLINK("https://www.inaturalist.org/people/joshbowling","joshbowling")</f>
        <v>joshbowling</v>
      </c>
      <c r="G1330" s="9" t="s">
        <v>13</v>
      </c>
      <c r="H1330" s="9" t="s">
        <v>10967</v>
      </c>
    </row>
    <row r="1331" customFormat="false" ht="15.75" hidden="false" customHeight="false" outlineLevel="0" collapsed="false">
      <c r="B1331" s="7" t="n">
        <v>46222</v>
      </c>
      <c r="C1331" s="3" t="s">
        <v>10968</v>
      </c>
      <c r="D1331" s="3" t="s">
        <v>10944</v>
      </c>
      <c r="E1331" s="3" t="s">
        <v>10969</v>
      </c>
      <c r="F1331" s="10" t="str">
        <f aca="false">HYPERLINK("https://www.inaturalist.org/people/joshbowling","joshbowling")</f>
        <v>joshbowling</v>
      </c>
      <c r="G1331" s="9" t="s">
        <v>13</v>
      </c>
      <c r="H1331" s="9" t="s">
        <v>10970</v>
      </c>
    </row>
    <row r="1332" customFormat="false" ht="15.75" hidden="false" customHeight="false" outlineLevel="0" collapsed="false">
      <c r="B1332" s="7" t="n">
        <v>46222</v>
      </c>
      <c r="C1332" s="3" t="s">
        <v>10971</v>
      </c>
      <c r="D1332" s="3" t="s">
        <v>10944</v>
      </c>
      <c r="E1332" s="3" t="s">
        <v>10972</v>
      </c>
      <c r="F1332" s="10" t="str">
        <f aca="false">HYPERLINK("https://www.inaturalist.org/people/joshbowling","joshbowling")</f>
        <v>joshbowling</v>
      </c>
      <c r="G1332" s="9" t="s">
        <v>13</v>
      </c>
      <c r="H1332" s="9" t="s">
        <v>10973</v>
      </c>
    </row>
    <row r="1333" customFormat="false" ht="15.75" hidden="false" customHeight="false" outlineLevel="0" collapsed="false">
      <c r="B1333" s="7" t="n">
        <v>46222</v>
      </c>
      <c r="C1333" s="3" t="s">
        <v>10974</v>
      </c>
      <c r="D1333" s="3" t="s">
        <v>10944</v>
      </c>
      <c r="E1333" s="3" t="s">
        <v>10975</v>
      </c>
      <c r="F1333" s="10" t="str">
        <f aca="false">HYPERLINK("https://www.inaturalist.org/people/frootch17","frootch17")</f>
        <v>frootch17</v>
      </c>
      <c r="G1333" s="9" t="s">
        <v>13</v>
      </c>
      <c r="H1333" s="9" t="s">
        <v>10976</v>
      </c>
    </row>
    <row r="1334" customFormat="false" ht="15.75" hidden="false" customHeight="false" outlineLevel="0" collapsed="false">
      <c r="B1334" s="7" t="n">
        <v>46222</v>
      </c>
      <c r="C1334" s="3" t="s">
        <v>10977</v>
      </c>
      <c r="D1334" s="3" t="s">
        <v>10944</v>
      </c>
      <c r="E1334" s="3" t="s">
        <v>10978</v>
      </c>
      <c r="F1334" s="10" t="str">
        <f aca="false">HYPERLINK("https://www.inaturalist.org/people/zogador","zogador")</f>
        <v>zogador</v>
      </c>
      <c r="G1334" s="9" t="s">
        <v>13</v>
      </c>
      <c r="H1334" s="9" t="s">
        <v>10979</v>
      </c>
    </row>
    <row r="1335" customFormat="false" ht="15.75" hidden="false" customHeight="false" outlineLevel="0" collapsed="false">
      <c r="B1335" s="7" t="n">
        <v>46222</v>
      </c>
      <c r="C1335" s="3" t="s">
        <v>10980</v>
      </c>
      <c r="D1335" s="3" t="s">
        <v>10944</v>
      </c>
      <c r="E1335" s="3" t="s">
        <v>10981</v>
      </c>
      <c r="F1335" s="10" t="str">
        <f aca="false">HYPERLINK("https://www.inaturalist.org/people/rinnyvanvan","rinnyvanvan")</f>
        <v>rinnyvanvan</v>
      </c>
      <c r="G1335" s="9" t="s">
        <v>13</v>
      </c>
      <c r="H1335" s="9" t="s">
        <v>10982</v>
      </c>
    </row>
    <row r="1336" customFormat="false" ht="15.75" hidden="false" customHeight="false" outlineLevel="0" collapsed="false">
      <c r="B1336" s="7" t="n">
        <v>46222</v>
      </c>
      <c r="C1336" s="3" t="s">
        <v>10983</v>
      </c>
      <c r="D1336" s="3" t="s">
        <v>10944</v>
      </c>
      <c r="E1336" s="3" t="s">
        <v>10984</v>
      </c>
      <c r="F1336" s="10" t="str">
        <f aca="false">HYPERLINK("https://www.inaturalist.org/people/mariajj","mariajj")</f>
        <v>mariajj</v>
      </c>
      <c r="G1336" s="9" t="s">
        <v>13</v>
      </c>
      <c r="H1336" s="9" t="s">
        <v>10985</v>
      </c>
    </row>
    <row r="1337" customFormat="false" ht="15.75" hidden="false" customHeight="false" outlineLevel="0" collapsed="false">
      <c r="B1337" s="7" t="n">
        <v>46222</v>
      </c>
      <c r="C1337" s="3" t="s">
        <v>10986</v>
      </c>
      <c r="D1337" s="3" t="s">
        <v>10944</v>
      </c>
      <c r="E1337" s="3" t="s">
        <v>10987</v>
      </c>
      <c r="F1337" s="10" t="str">
        <f aca="false">HYPERLINK("https://www.inaturalist.org/people/trashpandapermaculture","trashpandapermaculture")</f>
        <v>trashpandapermaculture</v>
      </c>
      <c r="G1337" s="9" t="s">
        <v>13</v>
      </c>
      <c r="H1337" s="9" t="s">
        <v>10988</v>
      </c>
    </row>
    <row r="1338" customFormat="false" ht="15.75" hidden="false" customHeight="false" outlineLevel="0" collapsed="false">
      <c r="B1338" s="7" t="n">
        <v>46222</v>
      </c>
      <c r="C1338" s="3" t="s">
        <v>10989</v>
      </c>
      <c r="D1338" s="3" t="s">
        <v>10944</v>
      </c>
      <c r="E1338" s="3" t="s">
        <v>10990</v>
      </c>
      <c r="F1338" s="10" t="str">
        <f aca="false">HYPERLINK("https://www.inaturalist.org/people/danceswithplants","danceswithplants")</f>
        <v>danceswithplants</v>
      </c>
      <c r="G1338" s="9" t="s">
        <v>13</v>
      </c>
      <c r="H1338" s="9" t="s">
        <v>10991</v>
      </c>
    </row>
    <row r="1339" customFormat="false" ht="15.75" hidden="false" customHeight="false" outlineLevel="0" collapsed="false">
      <c r="B1339" s="7" t="n">
        <v>46222</v>
      </c>
      <c r="C1339" s="3" t="s">
        <v>10992</v>
      </c>
      <c r="D1339" s="3" t="s">
        <v>10944</v>
      </c>
      <c r="E1339" s="3" t="s">
        <v>10993</v>
      </c>
      <c r="F1339" s="10" t="str">
        <f aca="false">HYPERLINK("https://www.inaturalist.org/people/albaker39","albaker39")</f>
        <v>albaker39</v>
      </c>
      <c r="G1339" s="9" t="s">
        <v>13</v>
      </c>
      <c r="H1339" s="9" t="s">
        <v>10994</v>
      </c>
    </row>
    <row r="1340" customFormat="false" ht="15.75" hidden="false" customHeight="false" outlineLevel="0" collapsed="false">
      <c r="B1340" s="7" t="n">
        <v>46222</v>
      </c>
      <c r="C1340" s="3" t="s">
        <v>10995</v>
      </c>
      <c r="D1340" s="3" t="s">
        <v>10944</v>
      </c>
      <c r="E1340" s="3" t="s">
        <v>10996</v>
      </c>
      <c r="F1340" s="10" t="str">
        <f aca="false">HYPERLINK("https://www.inaturalist.org/people/tkoosman","tkoosman")</f>
        <v>tkoosman</v>
      </c>
      <c r="G1340" s="9" t="s">
        <v>13</v>
      </c>
      <c r="H1340" s="9" t="s">
        <v>10997</v>
      </c>
    </row>
    <row r="1341" customFormat="false" ht="15.75" hidden="false" customHeight="false" outlineLevel="0" collapsed="false">
      <c r="B1341" s="7" t="n">
        <v>46222</v>
      </c>
      <c r="C1341" s="3" t="s">
        <v>10998</v>
      </c>
      <c r="D1341" s="3" t="s">
        <v>10944</v>
      </c>
      <c r="E1341" s="3" t="s">
        <v>10999</v>
      </c>
      <c r="F1341" s="10" t="str">
        <f aca="false">HYPERLINK("https://www.inaturalist.org/people/mossomest","mossomest")</f>
        <v>mossomest</v>
      </c>
      <c r="G1341" s="9" t="s">
        <v>13</v>
      </c>
      <c r="H1341" s="9" t="s">
        <v>11000</v>
      </c>
    </row>
    <row r="1342" customFormat="false" ht="15.75" hidden="false" customHeight="false" outlineLevel="0" collapsed="false">
      <c r="B1342" s="7" t="n">
        <v>46222</v>
      </c>
      <c r="C1342" s="3" t="s">
        <v>11001</v>
      </c>
      <c r="D1342" s="3" t="s">
        <v>10944</v>
      </c>
      <c r="E1342" s="3" t="s">
        <v>11002</v>
      </c>
      <c r="F1342" s="10" t="str">
        <f aca="false">HYPERLINK("https://www.inaturalist.org/people/thisisdan","thisisdan")</f>
        <v>thisisdan</v>
      </c>
      <c r="G1342" s="9" t="s">
        <v>13</v>
      </c>
      <c r="H1342" s="9" t="s">
        <v>11003</v>
      </c>
    </row>
    <row r="1343" customFormat="false" ht="15.75" hidden="false" customHeight="false" outlineLevel="0" collapsed="false">
      <c r="B1343" s="7" t="n">
        <v>46222</v>
      </c>
      <c r="C1343" s="3" t="s">
        <v>11004</v>
      </c>
      <c r="D1343" s="3" t="s">
        <v>10944</v>
      </c>
      <c r="E1343" s="3" t="s">
        <v>11005</v>
      </c>
      <c r="F1343" s="10" t="str">
        <f aca="false">HYPERLINK("https://www.inaturalist.org/people/zogador","zogador")</f>
        <v>zogador</v>
      </c>
      <c r="G1343" s="9" t="s">
        <v>13</v>
      </c>
      <c r="H1343" s="9" t="s">
        <v>11006</v>
      </c>
    </row>
    <row r="1344" customFormat="false" ht="15.75" hidden="false" customHeight="false" outlineLevel="0" collapsed="false">
      <c r="B1344" s="7" t="n">
        <v>46222</v>
      </c>
      <c r="C1344" s="3" t="s">
        <v>11007</v>
      </c>
      <c r="D1344" s="3" t="s">
        <v>10944</v>
      </c>
      <c r="E1344" s="3" t="s">
        <v>11008</v>
      </c>
      <c r="F1344" s="10" t="str">
        <f aca="false">HYPERLINK("https://www.inaturalist.org/people/slinginpenstemon","slinginpenstemon")</f>
        <v>slinginpenstemon</v>
      </c>
      <c r="G1344" s="9" t="s">
        <v>13</v>
      </c>
      <c r="H1344" s="9" t="s">
        <v>11009</v>
      </c>
    </row>
    <row r="1345" customFormat="false" ht="15.75" hidden="false" customHeight="false" outlineLevel="0" collapsed="false">
      <c r="B1345" s="7" t="n">
        <v>46222</v>
      </c>
      <c r="C1345" s="3" t="s">
        <v>11010</v>
      </c>
      <c r="D1345" s="3" t="s">
        <v>10944</v>
      </c>
      <c r="E1345" s="3" t="s">
        <v>11011</v>
      </c>
      <c r="F1345" s="10" t="str">
        <f aca="false">HYPERLINK("https://www.inaturalist.org/people/bmoerdyk","bmoerdyk")</f>
        <v>bmoerdyk</v>
      </c>
      <c r="G1345" s="9" t="s">
        <v>13</v>
      </c>
      <c r="H1345" s="9" t="s">
        <v>11012</v>
      </c>
    </row>
    <row r="1346" customFormat="false" ht="15.75" hidden="false" customHeight="false" outlineLevel="0" collapsed="false">
      <c r="B1346" s="7" t="n">
        <v>46222</v>
      </c>
      <c r="C1346" s="3" t="s">
        <v>11013</v>
      </c>
      <c r="D1346" s="3" t="s">
        <v>10944</v>
      </c>
      <c r="E1346" s="3" t="s">
        <v>11014</v>
      </c>
      <c r="F1346" s="10" t="str">
        <f aca="false">HYPERLINK("https://www.inaturalist.org/people/lyrlc","lyrlc")</f>
        <v>lyrlc</v>
      </c>
      <c r="G1346" s="9" t="s">
        <v>13</v>
      </c>
      <c r="H1346" s="9" t="s">
        <v>11015</v>
      </c>
    </row>
    <row r="1347" customFormat="false" ht="15.75" hidden="false" customHeight="false" outlineLevel="0" collapsed="false">
      <c r="B1347" s="7" t="n">
        <v>46222</v>
      </c>
      <c r="C1347" s="3" t="s">
        <v>11016</v>
      </c>
      <c r="D1347" s="3" t="s">
        <v>10944</v>
      </c>
      <c r="E1347" s="3" t="s">
        <v>11017</v>
      </c>
      <c r="F1347" s="10" t="str">
        <f aca="false">HYPERLINK("https://www.inaturalist.org/people/forestseasons","forestseasons")</f>
        <v>forestseasons</v>
      </c>
      <c r="G1347" s="9" t="s">
        <v>13</v>
      </c>
      <c r="H1347" s="9" t="s">
        <v>11018</v>
      </c>
    </row>
    <row r="1348" customFormat="false" ht="15.75" hidden="false" customHeight="false" outlineLevel="0" collapsed="false">
      <c r="B1348" s="7" t="n">
        <v>46222</v>
      </c>
      <c r="C1348" s="3" t="s">
        <v>11019</v>
      </c>
      <c r="D1348" s="3" t="s">
        <v>10944</v>
      </c>
      <c r="E1348" s="3" t="s">
        <v>11020</v>
      </c>
      <c r="F1348" s="10" t="str">
        <f aca="false">HYPERLINK("https://www.inaturalist.org/people/forestseasons","forestseasons")</f>
        <v>forestseasons</v>
      </c>
      <c r="G1348" s="9" t="s">
        <v>13</v>
      </c>
      <c r="H1348" s="9" t="s">
        <v>11021</v>
      </c>
    </row>
    <row r="1349" customFormat="false" ht="15.75" hidden="false" customHeight="false" outlineLevel="0" collapsed="false">
      <c r="B1349" s="7" t="n">
        <v>46222</v>
      </c>
      <c r="C1349" s="3" t="s">
        <v>11022</v>
      </c>
      <c r="D1349" s="3" t="s">
        <v>10944</v>
      </c>
      <c r="E1349" s="3" t="s">
        <v>11023</v>
      </c>
      <c r="F1349" s="10" t="str">
        <f aca="false">HYPERLINK("https://www.inaturalist.org/people/elisejay","elisejay")</f>
        <v>elisejay</v>
      </c>
      <c r="G1349" s="9" t="s">
        <v>13</v>
      </c>
      <c r="H1349" s="9" t="s">
        <v>11024</v>
      </c>
    </row>
    <row r="1350" customFormat="false" ht="15.75" hidden="false" customHeight="false" outlineLevel="0" collapsed="false">
      <c r="B1350" s="7" t="n">
        <v>46222</v>
      </c>
      <c r="C1350" s="3" t="s">
        <v>11025</v>
      </c>
      <c r="D1350" s="3" t="s">
        <v>10944</v>
      </c>
      <c r="E1350" s="3" t="s">
        <v>11026</v>
      </c>
      <c r="F1350" s="10" t="str">
        <f aca="false">HYPERLINK("https://www.inaturalist.org/people/zogador","zogador")</f>
        <v>zogador</v>
      </c>
      <c r="G1350" s="9" t="s">
        <v>13</v>
      </c>
      <c r="H1350" s="9" t="s">
        <v>11027</v>
      </c>
    </row>
    <row r="1351" customFormat="false" ht="15.75" hidden="false" customHeight="false" outlineLevel="0" collapsed="false">
      <c r="B1351" s="7" t="n">
        <v>46222</v>
      </c>
      <c r="C1351" s="3" t="s">
        <v>11028</v>
      </c>
      <c r="D1351" s="3" t="s">
        <v>10944</v>
      </c>
      <c r="E1351" s="3" t="s">
        <v>11029</v>
      </c>
      <c r="F1351" s="10" t="str">
        <f aca="false">HYPERLINK("https://www.inaturalist.org/people/bmoerdyk","bmoerdyk")</f>
        <v>bmoerdyk</v>
      </c>
      <c r="G1351" s="9" t="s">
        <v>13</v>
      </c>
      <c r="H1351" s="9" t="s">
        <v>11030</v>
      </c>
    </row>
    <row r="1352" customFormat="false" ht="15.75" hidden="false" customHeight="false" outlineLevel="0" collapsed="false">
      <c r="B1352" s="7" t="n">
        <v>46222</v>
      </c>
      <c r="C1352" s="3" t="s">
        <v>11031</v>
      </c>
      <c r="D1352" s="3" t="s">
        <v>10944</v>
      </c>
      <c r="E1352" s="3" t="s">
        <v>11032</v>
      </c>
      <c r="F1352" s="10" t="str">
        <f aca="false">HYPERLINK("https://www.inaturalist.org/people/georgiarainey","georgiarainey")</f>
        <v>georgiarainey</v>
      </c>
      <c r="G1352" s="9" t="s">
        <v>13</v>
      </c>
      <c r="H1352" s="9" t="s">
        <v>11033</v>
      </c>
    </row>
    <row r="1353" customFormat="false" ht="15.75" hidden="false" customHeight="false" outlineLevel="0" collapsed="false">
      <c r="B1353" s="7" t="n">
        <v>46222</v>
      </c>
      <c r="C1353" s="3" t="s">
        <v>11034</v>
      </c>
      <c r="D1353" s="3" t="s">
        <v>10944</v>
      </c>
      <c r="E1353" s="3" t="s">
        <v>11035</v>
      </c>
      <c r="F1353" s="10" t="str">
        <f aca="false">HYPERLINK("https://www.inaturalist.org/people/zogador","zogador")</f>
        <v>zogador</v>
      </c>
      <c r="G1353" s="9" t="s">
        <v>13</v>
      </c>
      <c r="H1353" s="9" t="s">
        <v>11036</v>
      </c>
    </row>
    <row r="1354" customFormat="false" ht="15.75" hidden="false" customHeight="false" outlineLevel="0" collapsed="false">
      <c r="B1354" s="7" t="n">
        <v>46222</v>
      </c>
      <c r="C1354" s="3" t="s">
        <v>11037</v>
      </c>
      <c r="D1354" s="3" t="s">
        <v>10944</v>
      </c>
      <c r="E1354" s="3" t="s">
        <v>11038</v>
      </c>
      <c r="F1354" s="10" t="str">
        <f aca="false">HYPERLINK("https://www.inaturalist.org/people/catrijn","catrijn")</f>
        <v>catrijn</v>
      </c>
      <c r="G1354" s="9" t="s">
        <v>13</v>
      </c>
      <c r="H1354" s="9" t="s">
        <v>11039</v>
      </c>
    </row>
    <row r="1355" customFormat="false" ht="15.75" hidden="false" customHeight="false" outlineLevel="0" collapsed="false">
      <c r="B1355" s="7" t="n">
        <v>46222</v>
      </c>
      <c r="C1355" s="3" t="s">
        <v>11040</v>
      </c>
      <c r="D1355" s="3" t="s">
        <v>10944</v>
      </c>
      <c r="E1355" s="3" t="s">
        <v>11041</v>
      </c>
      <c r="F1355" s="10" t="str">
        <f aca="false">HYPERLINK("https://www.inaturalist.org/people/elisejay","elisejay")</f>
        <v>elisejay</v>
      </c>
      <c r="G1355" s="9" t="s">
        <v>13</v>
      </c>
      <c r="H1355" s="9" t="s">
        <v>11042</v>
      </c>
    </row>
    <row r="1356" customFormat="false" ht="15.75" hidden="false" customHeight="false" outlineLevel="0" collapsed="false">
      <c r="B1356" s="7" t="n">
        <v>46222</v>
      </c>
      <c r="C1356" s="3" t="s">
        <v>11043</v>
      </c>
      <c r="D1356" s="3" t="s">
        <v>10944</v>
      </c>
      <c r="E1356" s="3" t="s">
        <v>11044</v>
      </c>
      <c r="F1356" s="10" t="str">
        <f aca="false">HYPERLINK("https://www.inaturalist.org/people/sleepytoad","sleepytoad")</f>
        <v>sleepytoad</v>
      </c>
      <c r="G1356" s="9" t="s">
        <v>13</v>
      </c>
      <c r="H1356" s="9" t="s">
        <v>11045</v>
      </c>
    </row>
    <row r="1357" customFormat="false" ht="15.75" hidden="false" customHeight="false" outlineLevel="0" collapsed="false">
      <c r="B1357" s="7" t="n">
        <v>46222</v>
      </c>
      <c r="C1357" s="3" t="s">
        <v>11046</v>
      </c>
      <c r="D1357" s="3" t="s">
        <v>10944</v>
      </c>
      <c r="E1357" s="3" t="s">
        <v>11047</v>
      </c>
      <c r="F1357" s="10" t="str">
        <f aca="false">HYPERLINK("https://www.inaturalist.org/people/mattkitchen21","mattkitchen21")</f>
        <v>mattkitchen21</v>
      </c>
      <c r="G1357" s="9" t="s">
        <v>13</v>
      </c>
      <c r="H1357" s="9" t="s">
        <v>11048</v>
      </c>
    </row>
    <row r="1358" customFormat="false" ht="15.75" hidden="false" customHeight="false" outlineLevel="0" collapsed="false">
      <c r="B1358" s="7" t="n">
        <v>46222</v>
      </c>
      <c r="C1358" s="3" t="s">
        <v>11049</v>
      </c>
      <c r="D1358" s="3" t="s">
        <v>10944</v>
      </c>
      <c r="E1358" s="3" t="s">
        <v>11050</v>
      </c>
      <c r="F1358" s="10" t="str">
        <f aca="false">HYPERLINK("https://www.inaturalist.org/people/sleepytoad","sleepytoad")</f>
        <v>sleepytoad</v>
      </c>
      <c r="G1358" s="9" t="s">
        <v>13</v>
      </c>
      <c r="H1358" s="9" t="s">
        <v>11051</v>
      </c>
    </row>
    <row r="1359" customFormat="false" ht="15.75" hidden="false" customHeight="false" outlineLevel="0" collapsed="false">
      <c r="B1359" s="7" t="n">
        <v>46222</v>
      </c>
      <c r="C1359" s="3" t="s">
        <v>11052</v>
      </c>
      <c r="D1359" s="3" t="s">
        <v>10944</v>
      </c>
      <c r="E1359" s="3" t="s">
        <v>11053</v>
      </c>
      <c r="F1359" s="10" t="str">
        <f aca="false">HYPERLINK("https://www.inaturalist.org/people/jmmusser","jmmusser")</f>
        <v>jmmusser</v>
      </c>
      <c r="G1359" s="9" t="s">
        <v>13</v>
      </c>
      <c r="H1359" s="9" t="s">
        <v>11054</v>
      </c>
    </row>
    <row r="1360" customFormat="false" ht="15.75" hidden="false" customHeight="false" outlineLevel="0" collapsed="false">
      <c r="B1360" s="7" t="n">
        <v>46222</v>
      </c>
      <c r="C1360" s="3" t="s">
        <v>11055</v>
      </c>
      <c r="D1360" s="3" t="s">
        <v>10944</v>
      </c>
      <c r="E1360" s="3" t="s">
        <v>11056</v>
      </c>
      <c r="F1360" s="10" t="str">
        <f aca="false">HYPERLINK("https://www.inaturalist.org/people/lchart","lchart")</f>
        <v>lchart</v>
      </c>
      <c r="G1360" s="9" t="s">
        <v>13</v>
      </c>
      <c r="H1360" s="9" t="s">
        <v>11057</v>
      </c>
    </row>
    <row r="1361" customFormat="false" ht="15.75" hidden="false" customHeight="false" outlineLevel="0" collapsed="false">
      <c r="B1361" s="7" t="n">
        <v>46222</v>
      </c>
      <c r="C1361" s="3" t="s">
        <v>11058</v>
      </c>
      <c r="D1361" s="3" t="s">
        <v>10944</v>
      </c>
      <c r="E1361" s="3" t="s">
        <v>11059</v>
      </c>
      <c r="F1361" s="10" t="str">
        <f aca="false">HYPERLINK("https://www.inaturalist.org/people/alysonmu14","alysonmu14")</f>
        <v>alysonmu14</v>
      </c>
      <c r="G1361" s="9" t="s">
        <v>13</v>
      </c>
      <c r="H1361" s="9" t="s">
        <v>11060</v>
      </c>
    </row>
    <row r="1362" customFormat="false" ht="15.75" hidden="false" customHeight="false" outlineLevel="0" collapsed="false">
      <c r="B1362" s="7" t="n">
        <v>46222</v>
      </c>
      <c r="C1362" s="3" t="s">
        <v>11061</v>
      </c>
      <c r="D1362" s="3" t="s">
        <v>10944</v>
      </c>
      <c r="E1362" s="3" t="s">
        <v>11062</v>
      </c>
      <c r="F1362" s="10" t="str">
        <f aca="false">HYPERLINK("https://www.inaturalist.org/people/nhavrilchak","nhavrilchak")</f>
        <v>nhavrilchak</v>
      </c>
      <c r="G1362" s="9" t="s">
        <v>13</v>
      </c>
      <c r="H1362" s="9" t="s">
        <v>11063</v>
      </c>
    </row>
    <row r="1363" customFormat="false" ht="15.75" hidden="false" customHeight="false" outlineLevel="0" collapsed="false">
      <c r="B1363" s="7" t="n">
        <v>46222</v>
      </c>
      <c r="C1363" s="3" t="s">
        <v>11064</v>
      </c>
      <c r="D1363" s="3" t="s">
        <v>10944</v>
      </c>
      <c r="E1363" s="3" t="s">
        <v>11065</v>
      </c>
      <c r="F1363" s="10" t="str">
        <f aca="false">HYPERLINK("https://www.inaturalist.org/people/braydophyte","braydophyte")</f>
        <v>braydophyte</v>
      </c>
      <c r="G1363" s="9" t="s">
        <v>13</v>
      </c>
      <c r="H1363" s="9" t="s">
        <v>11066</v>
      </c>
    </row>
    <row r="1364" customFormat="false" ht="15.75" hidden="false" customHeight="false" outlineLevel="0" collapsed="false">
      <c r="B1364" s="7" t="n">
        <v>46222</v>
      </c>
      <c r="C1364" s="3" t="s">
        <v>11067</v>
      </c>
      <c r="D1364" s="3" t="s">
        <v>10944</v>
      </c>
      <c r="E1364" s="3" t="s">
        <v>11068</v>
      </c>
      <c r="F1364" s="10" t="str">
        <f aca="false">HYPERLINK("https://www.inaturalist.org/people/jfearns","jfearns")</f>
        <v>jfearns</v>
      </c>
      <c r="G1364" s="9" t="s">
        <v>13</v>
      </c>
      <c r="H1364" s="9" t="s">
        <v>11069</v>
      </c>
    </row>
    <row r="1365" customFormat="false" ht="15.75" hidden="false" customHeight="false" outlineLevel="0" collapsed="false">
      <c r="B1365" s="7" t="n">
        <v>46222</v>
      </c>
      <c r="C1365" s="3" t="s">
        <v>11070</v>
      </c>
      <c r="D1365" s="3" t="s">
        <v>10944</v>
      </c>
      <c r="E1365" s="3" t="s">
        <v>11071</v>
      </c>
      <c r="F1365" s="10" t="str">
        <f aca="false">HYPERLINK("https://www.inaturalist.org/people/shikii","shikii")</f>
        <v>shikii</v>
      </c>
      <c r="G1365" s="9" t="s">
        <v>13</v>
      </c>
      <c r="H1365" s="9" t="s">
        <v>11072</v>
      </c>
    </row>
    <row r="1366" customFormat="false" ht="15.75" hidden="false" customHeight="false" outlineLevel="0" collapsed="false">
      <c r="B1366" s="7" t="n">
        <v>46222</v>
      </c>
      <c r="C1366" s="3" t="s">
        <v>11073</v>
      </c>
      <c r="D1366" s="3" t="s">
        <v>10944</v>
      </c>
      <c r="E1366" s="3" t="s">
        <v>11074</v>
      </c>
      <c r="F1366" s="10" t="str">
        <f aca="false">HYPERLINK("https://www.inaturalist.org/people/shikii","shikii")</f>
        <v>shikii</v>
      </c>
      <c r="G1366" s="9" t="s">
        <v>13</v>
      </c>
      <c r="H1366" s="9" t="s">
        <v>11075</v>
      </c>
    </row>
    <row r="1367" customFormat="false" ht="15.75" hidden="false" customHeight="false" outlineLevel="0" collapsed="false">
      <c r="B1367" s="7" t="n">
        <v>46222</v>
      </c>
      <c r="C1367" s="3" t="s">
        <v>11076</v>
      </c>
      <c r="D1367" s="3" t="s">
        <v>10944</v>
      </c>
      <c r="E1367" s="3" t="s">
        <v>11077</v>
      </c>
      <c r="F1367" s="10" t="str">
        <f aca="false">HYPERLINK("https://www.inaturalist.org/people/almanacrdr","almanacrdr")</f>
        <v>almanacrdr</v>
      </c>
      <c r="G1367" s="9" t="s">
        <v>13</v>
      </c>
      <c r="H1367" s="9" t="s">
        <v>11078</v>
      </c>
    </row>
    <row r="1368" customFormat="false" ht="15.75" hidden="false" customHeight="false" outlineLevel="0" collapsed="false">
      <c r="B1368" s="7" t="n">
        <v>46222</v>
      </c>
      <c r="C1368" s="3" t="s">
        <v>11079</v>
      </c>
      <c r="D1368" s="3" t="s">
        <v>10944</v>
      </c>
      <c r="E1368" s="3" t="s">
        <v>11080</v>
      </c>
      <c r="F1368" s="10" t="str">
        <f aca="false">HYPERLINK("https://www.inaturalist.org/people/zogador","zogador")</f>
        <v>zogador</v>
      </c>
      <c r="G1368" s="9" t="s">
        <v>13</v>
      </c>
      <c r="H1368" s="9" t="s">
        <v>11081</v>
      </c>
    </row>
    <row r="1369" customFormat="false" ht="15.75" hidden="false" customHeight="false" outlineLevel="0" collapsed="false">
      <c r="B1369" s="7" t="n">
        <v>46222</v>
      </c>
      <c r="C1369" s="3" t="s">
        <v>11082</v>
      </c>
      <c r="D1369" s="3" t="s">
        <v>10944</v>
      </c>
      <c r="E1369" s="3" t="s">
        <v>11083</v>
      </c>
      <c r="F1369" s="10" t="str">
        <f aca="false">HYPERLINK("https://www.inaturalist.org/people/richey1","richey1")</f>
        <v>richey1</v>
      </c>
      <c r="G1369" s="9" t="s">
        <v>13</v>
      </c>
      <c r="H1369" s="9" t="s">
        <v>11084</v>
      </c>
    </row>
    <row r="1370" customFormat="false" ht="15.75" hidden="false" customHeight="false" outlineLevel="0" collapsed="false">
      <c r="B1370" s="7" t="n">
        <v>46222</v>
      </c>
      <c r="C1370" s="3" t="s">
        <v>11085</v>
      </c>
      <c r="D1370" s="3" t="s">
        <v>10944</v>
      </c>
      <c r="E1370" s="3" t="s">
        <v>11086</v>
      </c>
      <c r="F1370" s="10" t="str">
        <f aca="false">HYPERLINK("https://www.inaturalist.org/people/jwboreal","jwboreal")</f>
        <v>jwboreal</v>
      </c>
      <c r="G1370" s="9" t="s">
        <v>13</v>
      </c>
      <c r="H1370" s="9" t="s">
        <v>11087</v>
      </c>
    </row>
    <row r="1371" customFormat="false" ht="15.75" hidden="false" customHeight="false" outlineLevel="0" collapsed="false">
      <c r="B1371" s="7" t="n">
        <v>46222</v>
      </c>
      <c r="C1371" s="3" t="s">
        <v>11088</v>
      </c>
      <c r="D1371" s="3" t="s">
        <v>10944</v>
      </c>
      <c r="E1371" s="3" t="s">
        <v>11089</v>
      </c>
      <c r="F1371" s="10" t="str">
        <f aca="false">HYPERLINK("https://www.inaturalist.org/people/aedanrowan","aedanrowan")</f>
        <v>aedanrowan</v>
      </c>
      <c r="G1371" s="9" t="s">
        <v>13</v>
      </c>
      <c r="H1371" s="9" t="s">
        <v>11090</v>
      </c>
    </row>
    <row r="1372" customFormat="false" ht="15.75" hidden="false" customHeight="false" outlineLevel="0" collapsed="false">
      <c r="B1372" s="7" t="n">
        <v>46222</v>
      </c>
      <c r="C1372" s="3" t="s">
        <v>11091</v>
      </c>
      <c r="D1372" s="3" t="s">
        <v>10944</v>
      </c>
      <c r="E1372" s="3" t="s">
        <v>11092</v>
      </c>
      <c r="F1372" s="10" t="str">
        <f aca="false">HYPERLINK("https://www.inaturalist.org/people/nhavrilchak","nhavrilchak")</f>
        <v>nhavrilchak</v>
      </c>
      <c r="G1372" s="9" t="s">
        <v>13</v>
      </c>
      <c r="H1372" s="9" t="s">
        <v>11093</v>
      </c>
    </row>
    <row r="1373" customFormat="false" ht="15.75" hidden="false" customHeight="false" outlineLevel="0" collapsed="false">
      <c r="B1373" s="7" t="n">
        <v>46222</v>
      </c>
      <c r="C1373" s="3" t="s">
        <v>11094</v>
      </c>
      <c r="D1373" s="3" t="s">
        <v>10944</v>
      </c>
      <c r="E1373" s="3" t="s">
        <v>11095</v>
      </c>
      <c r="F1373" s="10" t="str">
        <f aca="false">HYPERLINK("https://www.inaturalist.org/people/aedanrowan","aedanrowan")</f>
        <v>aedanrowan</v>
      </c>
      <c r="G1373" s="9" t="s">
        <v>13</v>
      </c>
      <c r="H1373" s="9" t="s">
        <v>11096</v>
      </c>
    </row>
    <row r="1374" customFormat="false" ht="15.75" hidden="false" customHeight="false" outlineLevel="0" collapsed="false">
      <c r="B1374" s="7" t="n">
        <v>46222</v>
      </c>
      <c r="C1374" s="3" t="s">
        <v>11097</v>
      </c>
      <c r="D1374" s="3" t="s">
        <v>10944</v>
      </c>
      <c r="E1374" s="3" t="s">
        <v>11098</v>
      </c>
      <c r="F1374" s="10" t="str">
        <f aca="false">HYPERLINK("https://www.inaturalist.org/people/a_pearce07","a_pearce07")</f>
        <v>a_pearce07</v>
      </c>
      <c r="G1374" s="9" t="s">
        <v>13</v>
      </c>
      <c r="H1374" s="9" t="s">
        <v>11099</v>
      </c>
    </row>
    <row r="1375" customFormat="false" ht="15.75" hidden="false" customHeight="false" outlineLevel="0" collapsed="false">
      <c r="B1375" s="7" t="n">
        <v>46222</v>
      </c>
      <c r="C1375" s="3" t="s">
        <v>11100</v>
      </c>
      <c r="D1375" s="3" t="s">
        <v>10944</v>
      </c>
      <c r="E1375" s="3" t="s">
        <v>11101</v>
      </c>
      <c r="F1375" s="10" t="str">
        <f aca="false">HYPERLINK("https://www.inaturalist.org/people/tjmckenna","tjmckenna")</f>
        <v>tjmckenna</v>
      </c>
      <c r="G1375" s="9" t="s">
        <v>13</v>
      </c>
      <c r="H1375" s="9" t="s">
        <v>11102</v>
      </c>
    </row>
    <row r="1376" customFormat="false" ht="15.75" hidden="false" customHeight="false" outlineLevel="0" collapsed="false">
      <c r="B1376" s="7" t="n">
        <v>46222</v>
      </c>
      <c r="C1376" s="3" t="s">
        <v>11103</v>
      </c>
      <c r="D1376" s="3" t="s">
        <v>10944</v>
      </c>
      <c r="E1376" s="3" t="s">
        <v>11104</v>
      </c>
      <c r="F1376" s="10" t="str">
        <f aca="false">HYPERLINK("https://www.inaturalist.org/people/nhavrilchak","nhavrilchak")</f>
        <v>nhavrilchak</v>
      </c>
      <c r="G1376" s="9" t="s">
        <v>13</v>
      </c>
      <c r="H1376" s="9" t="s">
        <v>11105</v>
      </c>
    </row>
    <row r="1377" customFormat="false" ht="15.75" hidden="false" customHeight="false" outlineLevel="0" collapsed="false">
      <c r="B1377" s="7" t="n">
        <v>46222</v>
      </c>
      <c r="C1377" s="3" t="s">
        <v>11106</v>
      </c>
      <c r="D1377" s="3" t="s">
        <v>10944</v>
      </c>
      <c r="E1377" s="3" t="s">
        <v>11107</v>
      </c>
      <c r="F1377" s="10" t="str">
        <f aca="false">HYPERLINK("https://www.inaturalist.org/people/aedanrowan","aedanrowan")</f>
        <v>aedanrowan</v>
      </c>
      <c r="G1377" s="9" t="s">
        <v>13</v>
      </c>
      <c r="H1377" s="9" t="s">
        <v>11108</v>
      </c>
    </row>
    <row r="1378" customFormat="false" ht="15.75" hidden="false" customHeight="false" outlineLevel="0" collapsed="false">
      <c r="B1378" s="7" t="n">
        <v>46222</v>
      </c>
      <c r="C1378" s="3" t="s">
        <v>11109</v>
      </c>
      <c r="D1378" s="3" t="s">
        <v>10944</v>
      </c>
      <c r="E1378" s="3" t="s">
        <v>11110</v>
      </c>
      <c r="F1378" s="10" t="str">
        <f aca="false">HYPERLINK("https://www.inaturalist.org/people/mimsa","mimsa")</f>
        <v>mimsa</v>
      </c>
      <c r="G1378" s="9" t="s">
        <v>13</v>
      </c>
      <c r="H1378" s="9" t="s">
        <v>11111</v>
      </c>
    </row>
    <row r="1379" customFormat="false" ht="15.75" hidden="false" customHeight="false" outlineLevel="0" collapsed="false">
      <c r="B1379" s="7" t="n">
        <v>46222</v>
      </c>
      <c r="C1379" s="3" t="s">
        <v>11112</v>
      </c>
      <c r="D1379" s="3" t="s">
        <v>10944</v>
      </c>
      <c r="E1379" s="3" t="s">
        <v>11113</v>
      </c>
      <c r="F1379" s="10" t="str">
        <f aca="false">HYPERLINK("https://www.inaturalist.org/people/grackleluvr","grackleluvr")</f>
        <v>grackleluvr</v>
      </c>
      <c r="G1379" s="9" t="s">
        <v>13</v>
      </c>
      <c r="H1379" s="9" t="s">
        <v>11114</v>
      </c>
    </row>
    <row r="1380" customFormat="false" ht="15.75" hidden="false" customHeight="false" outlineLevel="0" collapsed="false">
      <c r="B1380" s="7" t="n">
        <v>46222</v>
      </c>
      <c r="C1380" s="3" t="s">
        <v>11115</v>
      </c>
      <c r="D1380" s="3" t="s">
        <v>10944</v>
      </c>
      <c r="E1380" s="3" t="s">
        <v>11116</v>
      </c>
      <c r="F1380" s="10" t="str">
        <f aca="false">HYPERLINK("https://www.inaturalist.org/people/aedanrowan","aedanrowan")</f>
        <v>aedanrowan</v>
      </c>
      <c r="G1380" s="9" t="s">
        <v>13</v>
      </c>
      <c r="H1380" s="9" t="s">
        <v>11117</v>
      </c>
    </row>
    <row r="1381" customFormat="false" ht="15.75" hidden="false" customHeight="false" outlineLevel="0" collapsed="false">
      <c r="B1381" s="7" t="n">
        <v>46222</v>
      </c>
      <c r="C1381" s="3" t="s">
        <v>11118</v>
      </c>
      <c r="D1381" s="3" t="s">
        <v>10944</v>
      </c>
      <c r="E1381" s="3" t="s">
        <v>11119</v>
      </c>
      <c r="F1381" s="10" t="str">
        <f aca="false">HYPERLINK("https://www.inaturalist.org/people/silly__mongoose","silly__mongoose")</f>
        <v>silly__mongoose</v>
      </c>
      <c r="G1381" s="9" t="s">
        <v>13</v>
      </c>
      <c r="H1381" s="9" t="s">
        <v>11120</v>
      </c>
    </row>
    <row r="1382" customFormat="false" ht="15.75" hidden="false" customHeight="false" outlineLevel="0" collapsed="false">
      <c r="B1382" s="7" t="n">
        <v>46222</v>
      </c>
      <c r="C1382" s="3" t="s">
        <v>11121</v>
      </c>
      <c r="D1382" s="3" t="s">
        <v>10944</v>
      </c>
      <c r="E1382" s="3" t="s">
        <v>11122</v>
      </c>
      <c r="F1382" s="10" t="str">
        <f aca="false">HYPERLINK("https://www.inaturalist.org/people/aedanrowan","aedanrowan")</f>
        <v>aedanrowan</v>
      </c>
      <c r="G1382" s="9" t="s">
        <v>13</v>
      </c>
      <c r="H1382" s="9" t="s">
        <v>11123</v>
      </c>
    </row>
    <row r="1383" customFormat="false" ht="15.75" hidden="false" customHeight="false" outlineLevel="0" collapsed="false">
      <c r="B1383" s="7" t="n">
        <v>46222</v>
      </c>
      <c r="C1383" s="3" t="s">
        <v>11124</v>
      </c>
      <c r="D1383" s="3" t="s">
        <v>10944</v>
      </c>
      <c r="E1383" s="3" t="s">
        <v>11125</v>
      </c>
      <c r="F1383" s="10" t="str">
        <f aca="false">HYPERLINK("https://www.inaturalist.org/people/gdf277","gdf277")</f>
        <v>gdf277</v>
      </c>
      <c r="G1383" s="9" t="s">
        <v>13</v>
      </c>
      <c r="H1383" s="9" t="s">
        <v>11126</v>
      </c>
    </row>
    <row r="1384" customFormat="false" ht="15.75" hidden="false" customHeight="false" outlineLevel="0" collapsed="false">
      <c r="B1384" s="7" t="n">
        <v>46222</v>
      </c>
      <c r="C1384" s="3" t="s">
        <v>11127</v>
      </c>
      <c r="D1384" s="3" t="s">
        <v>10944</v>
      </c>
      <c r="E1384" s="3" t="s">
        <v>11128</v>
      </c>
      <c r="F1384" s="10" t="str">
        <f aca="false">HYPERLINK("https://www.inaturalist.org/people/aedanrowan","aedanrowan")</f>
        <v>aedanrowan</v>
      </c>
      <c r="G1384" s="9" t="s">
        <v>13</v>
      </c>
      <c r="H1384" s="9" t="s">
        <v>11129</v>
      </c>
    </row>
    <row r="1385" customFormat="false" ht="15.75" hidden="false" customHeight="false" outlineLevel="0" collapsed="false">
      <c r="B1385" s="7" t="n">
        <v>46222</v>
      </c>
      <c r="C1385" s="3" t="s">
        <v>11130</v>
      </c>
      <c r="D1385" s="3" t="s">
        <v>10944</v>
      </c>
      <c r="E1385" s="3" t="s">
        <v>11131</v>
      </c>
      <c r="F1385" s="10" t="str">
        <f aca="false">HYPERLINK("https://www.inaturalist.org/people/poviwxrt","poviwxrt")</f>
        <v>poviwxrt</v>
      </c>
      <c r="G1385" s="9" t="s">
        <v>13</v>
      </c>
      <c r="H1385" s="9" t="s">
        <v>11132</v>
      </c>
    </row>
    <row r="1386" customFormat="false" ht="15.75" hidden="false" customHeight="false" outlineLevel="0" collapsed="false">
      <c r="B1386" s="7" t="n">
        <v>46222</v>
      </c>
      <c r="C1386" s="3" t="s">
        <v>11133</v>
      </c>
      <c r="D1386" s="3" t="s">
        <v>10944</v>
      </c>
      <c r="E1386" s="3" t="s">
        <v>11134</v>
      </c>
      <c r="F1386" s="10" t="str">
        <f aca="false">HYPERLINK("https://www.inaturalist.org/people/raileighfaye","raileighfaye")</f>
        <v>raileighfaye</v>
      </c>
      <c r="G1386" s="9" t="s">
        <v>13</v>
      </c>
      <c r="H1386" s="9" t="s">
        <v>11135</v>
      </c>
    </row>
    <row r="1387" customFormat="false" ht="15.75" hidden="false" customHeight="false" outlineLevel="0" collapsed="false">
      <c r="B1387" s="7" t="n">
        <v>46222</v>
      </c>
      <c r="C1387" s="3" t="s">
        <v>11136</v>
      </c>
      <c r="D1387" s="3" t="s">
        <v>10944</v>
      </c>
      <c r="E1387" s="3" t="s">
        <v>11137</v>
      </c>
      <c r="F1387" s="10" t="str">
        <f aca="false">HYPERLINK("https://www.inaturalist.org/people/aedanrowan","aedanrowan")</f>
        <v>aedanrowan</v>
      </c>
      <c r="G1387" s="9" t="s">
        <v>13</v>
      </c>
      <c r="H1387" s="9" t="s">
        <v>11138</v>
      </c>
    </row>
    <row r="1388" customFormat="false" ht="15.75" hidden="false" customHeight="false" outlineLevel="0" collapsed="false">
      <c r="B1388" s="7" t="n">
        <v>46222</v>
      </c>
      <c r="C1388" s="3" t="s">
        <v>11139</v>
      </c>
      <c r="D1388" s="3" t="s">
        <v>10944</v>
      </c>
      <c r="E1388" s="3" t="s">
        <v>11140</v>
      </c>
      <c r="F1388" s="10" t="str">
        <f aca="false">HYPERLINK("https://www.inaturalist.org/people/caters","caters")</f>
        <v>caters</v>
      </c>
      <c r="G1388" s="9" t="s">
        <v>13</v>
      </c>
      <c r="H1388" s="9" t="s">
        <v>11141</v>
      </c>
    </row>
    <row r="1389" customFormat="false" ht="15.75" hidden="false" customHeight="false" outlineLevel="0" collapsed="false">
      <c r="B1389" s="7" t="n">
        <v>46222</v>
      </c>
      <c r="C1389" s="3" t="s">
        <v>11142</v>
      </c>
      <c r="D1389" s="3" t="s">
        <v>10944</v>
      </c>
      <c r="E1389" s="3" t="s">
        <v>11143</v>
      </c>
      <c r="F1389" s="10" t="str">
        <f aca="false">HYPERLINK("https://www.inaturalist.org/people/bastefanidis","bastefanidis")</f>
        <v>bastefanidis</v>
      </c>
      <c r="G1389" s="9" t="s">
        <v>13</v>
      </c>
      <c r="H1389" s="9" t="s">
        <v>11144</v>
      </c>
    </row>
    <row r="1390" customFormat="false" ht="15.75" hidden="false" customHeight="false" outlineLevel="0" collapsed="false">
      <c r="B1390" s="7" t="n">
        <v>46222</v>
      </c>
      <c r="C1390" s="3" t="s">
        <v>11145</v>
      </c>
      <c r="D1390" s="3" t="s">
        <v>10944</v>
      </c>
      <c r="E1390" s="3" t="s">
        <v>11146</v>
      </c>
      <c r="F1390" s="10" t="str">
        <f aca="false">HYPERLINK("https://www.inaturalist.org/people/bolmstead42","bolmstead42")</f>
        <v>bolmstead42</v>
      </c>
      <c r="G1390" s="9" t="s">
        <v>13</v>
      </c>
      <c r="H1390" s="9" t="s">
        <v>11147</v>
      </c>
    </row>
    <row r="1391" customFormat="false" ht="15.75" hidden="false" customHeight="false" outlineLevel="0" collapsed="false">
      <c r="B1391" s="7" t="n">
        <v>46222</v>
      </c>
      <c r="C1391" s="3" t="s">
        <v>11148</v>
      </c>
      <c r="D1391" s="3" t="s">
        <v>10944</v>
      </c>
      <c r="E1391" s="3" t="s">
        <v>11149</v>
      </c>
      <c r="F1391" s="10" t="str">
        <f aca="false">HYPERLINK("https://www.inaturalist.org/people/bolmstead42","bolmstead42")</f>
        <v>bolmstead42</v>
      </c>
      <c r="G1391" s="9" t="s">
        <v>13</v>
      </c>
      <c r="H1391" s="9" t="s">
        <v>11150</v>
      </c>
    </row>
    <row r="1392" customFormat="false" ht="15.75" hidden="false" customHeight="false" outlineLevel="0" collapsed="false">
      <c r="B1392" s="7" t="n">
        <v>46222</v>
      </c>
      <c r="C1392" s="3" t="s">
        <v>11151</v>
      </c>
      <c r="D1392" s="3" t="s">
        <v>10944</v>
      </c>
      <c r="E1392" s="3" t="s">
        <v>11152</v>
      </c>
      <c r="F1392" s="10" t="str">
        <f aca="false">HYPERLINK("https://www.inaturalist.org/people/clhughes","clhughes")</f>
        <v>clhughes</v>
      </c>
      <c r="G1392" s="9" t="s">
        <v>13</v>
      </c>
      <c r="H1392" s="9" t="s">
        <v>11153</v>
      </c>
    </row>
    <row r="1393" customFormat="false" ht="15.75" hidden="false" customHeight="false" outlineLevel="0" collapsed="false">
      <c r="B1393" s="7" t="n">
        <v>46222</v>
      </c>
      <c r="C1393" s="3" t="s">
        <v>11154</v>
      </c>
      <c r="D1393" s="3" t="s">
        <v>10944</v>
      </c>
      <c r="E1393" s="3" t="s">
        <v>11155</v>
      </c>
      <c r="F1393" s="10" t="str">
        <f aca="false">HYPERLINK("https://www.inaturalist.org/people/caters","caters")</f>
        <v>caters</v>
      </c>
      <c r="G1393" s="9" t="s">
        <v>13</v>
      </c>
      <c r="H1393" s="9" t="s">
        <v>11156</v>
      </c>
    </row>
    <row r="1394" customFormat="false" ht="15.75" hidden="false" customHeight="false" outlineLevel="0" collapsed="false">
      <c r="B1394" s="7" t="n">
        <v>46222</v>
      </c>
      <c r="C1394" s="3" t="s">
        <v>11157</v>
      </c>
      <c r="D1394" s="3" t="s">
        <v>10944</v>
      </c>
      <c r="E1394" s="3" t="s">
        <v>11158</v>
      </c>
      <c r="F1394" s="10" t="str">
        <f aca="false">HYPERLINK("https://www.inaturalist.org/people/shikii","shikii")</f>
        <v>shikii</v>
      </c>
      <c r="G1394" s="9" t="s">
        <v>13</v>
      </c>
      <c r="H1394" s="9" t="s">
        <v>11159</v>
      </c>
    </row>
    <row r="1395" customFormat="false" ht="15.75" hidden="false" customHeight="false" outlineLevel="0" collapsed="false">
      <c r="B1395" s="7" t="n">
        <v>46222</v>
      </c>
      <c r="C1395" s="3" t="s">
        <v>11160</v>
      </c>
      <c r="D1395" s="3" t="s">
        <v>10944</v>
      </c>
      <c r="E1395" s="3" t="s">
        <v>11161</v>
      </c>
      <c r="F1395" s="10" t="str">
        <f aca="false">HYPERLINK("https://www.inaturalist.org/people/shikii","shikii")</f>
        <v>shikii</v>
      </c>
      <c r="G1395" s="9" t="s">
        <v>13</v>
      </c>
      <c r="H1395" s="9" t="s">
        <v>11162</v>
      </c>
    </row>
    <row r="1396" customFormat="false" ht="15.75" hidden="false" customHeight="false" outlineLevel="0" collapsed="false">
      <c r="B1396" s="7" t="n">
        <v>46222</v>
      </c>
      <c r="C1396" s="3" t="s">
        <v>11163</v>
      </c>
      <c r="D1396" s="3" t="s">
        <v>10944</v>
      </c>
      <c r="E1396" s="3" t="s">
        <v>11164</v>
      </c>
      <c r="F1396" s="10" t="str">
        <f aca="false">HYPERLINK("https://www.inaturalist.org/people/shikii","shikii")</f>
        <v>shikii</v>
      </c>
      <c r="G1396" s="9" t="s">
        <v>13</v>
      </c>
      <c r="H1396" s="9" t="s">
        <v>11165</v>
      </c>
    </row>
    <row r="1397" customFormat="false" ht="15.75" hidden="false" customHeight="false" outlineLevel="0" collapsed="false">
      <c r="B1397" s="7" t="n">
        <v>46222</v>
      </c>
      <c r="C1397" s="3" t="s">
        <v>11166</v>
      </c>
      <c r="D1397" s="3" t="s">
        <v>10944</v>
      </c>
      <c r="E1397" s="3" t="s">
        <v>11167</v>
      </c>
      <c r="F1397" s="10" t="str">
        <f aca="false">HYPERLINK("https://www.inaturalist.org/people/shikii","shikii")</f>
        <v>shikii</v>
      </c>
      <c r="G1397" s="9" t="s">
        <v>13</v>
      </c>
      <c r="H1397" s="9" t="s">
        <v>11168</v>
      </c>
    </row>
    <row r="1398" customFormat="false" ht="15.75" hidden="false" customHeight="false" outlineLevel="0" collapsed="false">
      <c r="B1398" s="7" t="n">
        <v>46222</v>
      </c>
      <c r="C1398" s="3" t="s">
        <v>11169</v>
      </c>
      <c r="D1398" s="3" t="s">
        <v>10944</v>
      </c>
      <c r="E1398" s="3" t="s">
        <v>11170</v>
      </c>
      <c r="F1398" s="10" t="str">
        <f aca="false">HYPERLINK("https://www.inaturalist.org/people/georgiarainey","georgiarainey")</f>
        <v>georgiarainey</v>
      </c>
      <c r="G1398" s="9" t="s">
        <v>13</v>
      </c>
      <c r="H1398" s="9" t="s">
        <v>11171</v>
      </c>
    </row>
    <row r="1399" customFormat="false" ht="15.75" hidden="false" customHeight="false" outlineLevel="0" collapsed="false">
      <c r="B1399" s="7" t="n">
        <v>46222</v>
      </c>
      <c r="C1399" s="3" t="s">
        <v>11172</v>
      </c>
      <c r="D1399" s="3" t="s">
        <v>10944</v>
      </c>
      <c r="E1399" s="3" t="s">
        <v>11173</v>
      </c>
      <c r="F1399" s="10" t="str">
        <f aca="false">HYPERLINK("https://www.inaturalist.org/people/cwehner88","cwehner88")</f>
        <v>cwehner88</v>
      </c>
      <c r="G1399" s="9" t="s">
        <v>13</v>
      </c>
      <c r="H1399" s="9" t="s">
        <v>11174</v>
      </c>
    </row>
    <row r="1400" customFormat="false" ht="15.75" hidden="false" customHeight="false" outlineLevel="0" collapsed="false">
      <c r="B1400" s="7" t="n">
        <v>46222</v>
      </c>
      <c r="C1400" s="3" t="s">
        <v>11175</v>
      </c>
      <c r="D1400" s="3" t="s">
        <v>10944</v>
      </c>
      <c r="E1400" s="3" t="s">
        <v>11176</v>
      </c>
      <c r="F1400" s="10" t="str">
        <f aca="false">HYPERLINK("https://www.inaturalist.org/people/jasminejulesbeehive","jasminejulesbeehive")</f>
        <v>jasminejulesbeehive</v>
      </c>
      <c r="G1400" s="9" t="s">
        <v>13</v>
      </c>
      <c r="H1400" s="9" t="s">
        <v>11177</v>
      </c>
    </row>
    <row r="1401" customFormat="false" ht="15.75" hidden="false" customHeight="false" outlineLevel="0" collapsed="false">
      <c r="B1401" s="7" t="n">
        <v>46222</v>
      </c>
      <c r="C1401" s="3" t="s">
        <v>11178</v>
      </c>
      <c r="D1401" s="3" t="s">
        <v>10944</v>
      </c>
      <c r="E1401" s="3" t="s">
        <v>11179</v>
      </c>
      <c r="F1401" s="10" t="str">
        <f aca="false">HYPERLINK("https://www.inaturalist.org/people/alamb42","alamb42")</f>
        <v>alamb42</v>
      </c>
      <c r="G1401" s="9" t="s">
        <v>13</v>
      </c>
      <c r="H1401" s="9" t="s">
        <v>11180</v>
      </c>
    </row>
    <row r="1402" customFormat="false" ht="15.75" hidden="false" customHeight="false" outlineLevel="0" collapsed="false">
      <c r="B1402" s="7" t="n">
        <v>46222</v>
      </c>
      <c r="C1402" s="3" t="s">
        <v>11181</v>
      </c>
      <c r="D1402" s="3" t="s">
        <v>10944</v>
      </c>
      <c r="E1402" s="3" t="s">
        <v>11182</v>
      </c>
      <c r="F1402" s="10" t="str">
        <f aca="false">HYPERLINK("https://www.inaturalist.org/people/alamb42","alamb42")</f>
        <v>alamb42</v>
      </c>
      <c r="G1402" s="9" t="s">
        <v>13</v>
      </c>
      <c r="H1402" s="9" t="s">
        <v>11183</v>
      </c>
    </row>
    <row r="1403" customFormat="false" ht="15.75" hidden="false" customHeight="false" outlineLevel="0" collapsed="false">
      <c r="B1403" s="7" t="n">
        <v>46222</v>
      </c>
      <c r="C1403" s="3" t="s">
        <v>11184</v>
      </c>
      <c r="D1403" s="3" t="s">
        <v>10944</v>
      </c>
      <c r="E1403" s="3" t="s">
        <v>11185</v>
      </c>
      <c r="F1403" s="10" t="str">
        <f aca="false">HYPERLINK("https://www.inaturalist.org/people/smoothdarner","smoothdarner")</f>
        <v>smoothdarner</v>
      </c>
      <c r="G1403" s="9" t="s">
        <v>13</v>
      </c>
      <c r="H1403" s="9" t="s">
        <v>11186</v>
      </c>
    </row>
    <row r="1404" customFormat="false" ht="15.75" hidden="false" customHeight="false" outlineLevel="0" collapsed="false">
      <c r="B1404" s="7" t="n">
        <v>46222</v>
      </c>
      <c r="C1404" s="3" t="s">
        <v>11187</v>
      </c>
      <c r="D1404" s="3" t="s">
        <v>10944</v>
      </c>
      <c r="E1404" s="3" t="s">
        <v>11188</v>
      </c>
      <c r="F1404" s="10" t="str">
        <f aca="false">HYPERLINK("https://www.inaturalist.org/people/esager04","esager04")</f>
        <v>esager04</v>
      </c>
      <c r="G1404" s="9" t="s">
        <v>13</v>
      </c>
      <c r="H1404" s="9" t="s">
        <v>11189</v>
      </c>
    </row>
    <row r="1405" customFormat="false" ht="15.75" hidden="false" customHeight="false" outlineLevel="0" collapsed="false">
      <c r="B1405" s="7" t="n">
        <v>46222</v>
      </c>
      <c r="C1405" s="3" t="s">
        <v>11190</v>
      </c>
      <c r="D1405" s="3" t="s">
        <v>10944</v>
      </c>
      <c r="E1405" s="3" t="s">
        <v>11191</v>
      </c>
      <c r="F1405" s="10" t="str">
        <f aca="false">HYPERLINK("https://www.inaturalist.org/people/alex_barone","alex_barone")</f>
        <v>alex_barone</v>
      </c>
      <c r="G1405" s="9" t="s">
        <v>13</v>
      </c>
      <c r="H1405" s="9" t="s">
        <v>11192</v>
      </c>
    </row>
    <row r="1406" customFormat="false" ht="15.75" hidden="false" customHeight="false" outlineLevel="0" collapsed="false">
      <c r="B1406" s="7" t="n">
        <v>46222</v>
      </c>
      <c r="C1406" s="3" t="s">
        <v>11193</v>
      </c>
      <c r="D1406" s="3" t="s">
        <v>10944</v>
      </c>
      <c r="E1406" s="3" t="s">
        <v>11194</v>
      </c>
      <c r="F1406" s="10" t="str">
        <f aca="false">HYPERLINK("https://www.inaturalist.org/people/lomaxtribe","lomaxtribe")</f>
        <v>lomaxtribe</v>
      </c>
      <c r="G1406" s="9" t="s">
        <v>13</v>
      </c>
      <c r="H1406" s="9" t="s">
        <v>11195</v>
      </c>
    </row>
    <row r="1407" customFormat="false" ht="15.75" hidden="false" customHeight="false" outlineLevel="0" collapsed="false">
      <c r="B1407" s="7" t="n">
        <v>46222</v>
      </c>
      <c r="C1407" s="3" t="s">
        <v>11196</v>
      </c>
      <c r="D1407" s="3" t="s">
        <v>10944</v>
      </c>
      <c r="E1407" s="3" t="s">
        <v>11197</v>
      </c>
      <c r="F1407" s="10" t="str">
        <f aca="false">HYPERLINK("https://www.inaturalist.org/people/alex_barone","alex_barone")</f>
        <v>alex_barone</v>
      </c>
      <c r="G1407" s="9" t="s">
        <v>13</v>
      </c>
      <c r="H1407" s="9" t="s">
        <v>11198</v>
      </c>
    </row>
    <row r="1408" customFormat="false" ht="15.75" hidden="false" customHeight="false" outlineLevel="0" collapsed="false">
      <c r="B1408" s="7" t="n">
        <v>46222</v>
      </c>
      <c r="C1408" s="3" t="s">
        <v>11199</v>
      </c>
      <c r="D1408" s="3" t="s">
        <v>10944</v>
      </c>
      <c r="E1408" s="3" t="s">
        <v>11200</v>
      </c>
      <c r="F1408" s="10" t="str">
        <f aca="false">HYPERLINK("https://www.inaturalist.org/people/tomas91320","tomas91320")</f>
        <v>tomas91320</v>
      </c>
      <c r="G1408" s="9" t="s">
        <v>13</v>
      </c>
      <c r="H1408" s="9" t="s">
        <v>11201</v>
      </c>
    </row>
    <row r="1409" customFormat="false" ht="15.75" hidden="false" customHeight="false" outlineLevel="0" collapsed="false">
      <c r="B1409" s="7" t="n">
        <v>46222</v>
      </c>
      <c r="C1409" s="3" t="s">
        <v>11202</v>
      </c>
      <c r="D1409" s="3" t="s">
        <v>10944</v>
      </c>
      <c r="E1409" s="3" t="s">
        <v>11203</v>
      </c>
      <c r="F1409" s="10" t="str">
        <f aca="false">HYPERLINK("https://www.inaturalist.org/people/elijah_okeefe","elijah_okeefe")</f>
        <v>elijah_okeefe</v>
      </c>
      <c r="G1409" s="9" t="s">
        <v>13</v>
      </c>
      <c r="H1409" s="9" t="s">
        <v>11204</v>
      </c>
    </row>
    <row r="1410" customFormat="false" ht="15.75" hidden="false" customHeight="false" outlineLevel="0" collapsed="false">
      <c r="B1410" s="7" t="n">
        <v>46222</v>
      </c>
      <c r="C1410" s="3" t="s">
        <v>11205</v>
      </c>
      <c r="D1410" s="3" t="s">
        <v>10944</v>
      </c>
      <c r="E1410" s="3" t="s">
        <v>11206</v>
      </c>
      <c r="F1410" s="10" t="str">
        <f aca="false">HYPERLINK("https://www.inaturalist.org/people/jesse_barry_secker","jesse_barry_secker")</f>
        <v>jesse_barry_secker</v>
      </c>
      <c r="G1410" s="9" t="s">
        <v>13</v>
      </c>
      <c r="H1410" s="9" t="s">
        <v>11207</v>
      </c>
    </row>
    <row r="1411" customFormat="false" ht="15.75" hidden="false" customHeight="false" outlineLevel="0" collapsed="false">
      <c r="B1411" s="7" t="n">
        <v>46222</v>
      </c>
      <c r="C1411" s="3" t="s">
        <v>11208</v>
      </c>
      <c r="D1411" s="3" t="s">
        <v>10944</v>
      </c>
      <c r="E1411" s="3" t="s">
        <v>11209</v>
      </c>
      <c r="F1411" s="10" t="str">
        <f aca="false">HYPERLINK("https://www.inaturalist.org/people/ejs0809","ejs0809")</f>
        <v>ejs0809</v>
      </c>
      <c r="G1411" s="9" t="s">
        <v>13</v>
      </c>
      <c r="H1411" s="9" t="s">
        <v>11210</v>
      </c>
    </row>
    <row r="1412" customFormat="false" ht="15.75" hidden="false" customHeight="false" outlineLevel="0" collapsed="false">
      <c r="B1412" s="7" t="n">
        <v>46222</v>
      </c>
      <c r="C1412" s="3" t="s">
        <v>11211</v>
      </c>
      <c r="D1412" s="3" t="s">
        <v>10944</v>
      </c>
      <c r="E1412" s="3" t="s">
        <v>11212</v>
      </c>
      <c r="F1412" s="10" t="str">
        <f aca="false">HYPERLINK("https://www.inaturalist.org/people/amaciuba","amaciuba")</f>
        <v>amaciuba</v>
      </c>
      <c r="G1412" s="9" t="s">
        <v>13</v>
      </c>
      <c r="H1412" s="9" t="s">
        <v>11213</v>
      </c>
    </row>
    <row r="1413" customFormat="false" ht="15.75" hidden="false" customHeight="false" outlineLevel="0" collapsed="false">
      <c r="B1413" s="7" t="n">
        <v>46222</v>
      </c>
      <c r="C1413" s="3" t="s">
        <v>11214</v>
      </c>
      <c r="D1413" s="3" t="s">
        <v>10944</v>
      </c>
      <c r="E1413" s="3" t="s">
        <v>11215</v>
      </c>
      <c r="F1413" s="10" t="str">
        <f aca="false">HYPERLINK("https://www.inaturalist.org/people/tomas91320","tomas91320")</f>
        <v>tomas91320</v>
      </c>
      <c r="G1413" s="9" t="s">
        <v>13</v>
      </c>
      <c r="H1413" s="9" t="s">
        <v>11216</v>
      </c>
    </row>
    <row r="1414" customFormat="false" ht="15.75" hidden="false" customHeight="false" outlineLevel="0" collapsed="false">
      <c r="B1414" s="7" t="n">
        <v>46222</v>
      </c>
      <c r="C1414" s="3" t="s">
        <v>11217</v>
      </c>
      <c r="D1414" s="3" t="s">
        <v>10944</v>
      </c>
      <c r="E1414" s="3" t="s">
        <v>11218</v>
      </c>
      <c r="F1414" s="10" t="str">
        <f aca="false">HYPERLINK("https://www.inaturalist.org/people/tomas91320","tomas91320")</f>
        <v>tomas91320</v>
      </c>
      <c r="G1414" s="9" t="s">
        <v>13</v>
      </c>
      <c r="H1414" s="9" t="s">
        <v>11219</v>
      </c>
    </row>
    <row r="1415" customFormat="false" ht="15.75" hidden="false" customHeight="false" outlineLevel="0" collapsed="false">
      <c r="B1415" s="7" t="n">
        <v>46222</v>
      </c>
      <c r="C1415" s="3" t="s">
        <v>11220</v>
      </c>
      <c r="D1415" s="3" t="s">
        <v>10944</v>
      </c>
      <c r="E1415" s="3" t="s">
        <v>11221</v>
      </c>
      <c r="F1415" s="10" t="str">
        <f aca="false">HYPERLINK("https://www.inaturalist.org/people/ejs0809","ejs0809")</f>
        <v>ejs0809</v>
      </c>
      <c r="G1415" s="9" t="s">
        <v>13</v>
      </c>
      <c r="H1415" s="9" t="s">
        <v>11222</v>
      </c>
    </row>
    <row r="1416" customFormat="false" ht="15.75" hidden="false" customHeight="false" outlineLevel="0" collapsed="false">
      <c r="B1416" s="7" t="n">
        <v>46222</v>
      </c>
      <c r="C1416" s="3" t="s">
        <v>11223</v>
      </c>
      <c r="D1416" s="3" t="s">
        <v>10944</v>
      </c>
      <c r="E1416" s="3" t="s">
        <v>11224</v>
      </c>
      <c r="F1416" s="10" t="str">
        <f aca="false">HYPERLINK("https://www.inaturalist.org/people/michael_bernard","michael_bernard")</f>
        <v>michael_bernard</v>
      </c>
      <c r="G1416" s="9" t="s">
        <v>13</v>
      </c>
      <c r="H1416" s="9" t="s">
        <v>11225</v>
      </c>
    </row>
    <row r="1417" customFormat="false" ht="15.75" hidden="false" customHeight="false" outlineLevel="0" collapsed="false">
      <c r="B1417" s="7" t="n">
        <v>46222</v>
      </c>
      <c r="C1417" s="3" t="s">
        <v>11226</v>
      </c>
      <c r="D1417" s="3" t="s">
        <v>10944</v>
      </c>
      <c r="E1417" s="3" t="s">
        <v>11227</v>
      </c>
      <c r="F1417" s="10" t="str">
        <f aca="false">HYPERLINK("https://www.inaturalist.org/people/paxitrol","paxitrol")</f>
        <v>paxitrol</v>
      </c>
      <c r="G1417" s="9" t="s">
        <v>13</v>
      </c>
      <c r="H1417" s="9" t="s">
        <v>11228</v>
      </c>
    </row>
    <row r="1418" customFormat="false" ht="15.75" hidden="false" customHeight="false" outlineLevel="0" collapsed="false">
      <c r="B1418" s="7" t="n">
        <v>46222</v>
      </c>
      <c r="C1418" s="3" t="s">
        <v>11229</v>
      </c>
      <c r="D1418" s="3" t="s">
        <v>10944</v>
      </c>
      <c r="E1418" s="3" t="s">
        <v>11230</v>
      </c>
      <c r="F1418" s="10" t="str">
        <f aca="false">HYPERLINK("https://www.inaturalist.org/people/georgiarainey","georgiarainey")</f>
        <v>georgiarainey</v>
      </c>
      <c r="G1418" s="9" t="s">
        <v>13</v>
      </c>
      <c r="H1418" s="9" t="s">
        <v>11231</v>
      </c>
    </row>
    <row r="1419" customFormat="false" ht="15.75" hidden="false" customHeight="false" outlineLevel="0" collapsed="false">
      <c r="B1419" s="7" t="n">
        <v>46222</v>
      </c>
      <c r="C1419" s="3" t="s">
        <v>11232</v>
      </c>
      <c r="D1419" s="3" t="s">
        <v>10944</v>
      </c>
      <c r="E1419" s="3" t="s">
        <v>11233</v>
      </c>
      <c r="F1419" s="10" t="str">
        <f aca="false">HYPERLINK("https://www.inaturalist.org/people/paxitrol","paxitrol")</f>
        <v>paxitrol</v>
      </c>
      <c r="G1419" s="9" t="s">
        <v>13</v>
      </c>
      <c r="H1419" s="9" t="s">
        <v>11234</v>
      </c>
    </row>
    <row r="1420" customFormat="false" ht="15.75" hidden="false" customHeight="false" outlineLevel="0" collapsed="false">
      <c r="B1420" s="7" t="n">
        <v>46222</v>
      </c>
      <c r="C1420" s="3" t="s">
        <v>11235</v>
      </c>
      <c r="D1420" s="3" t="s">
        <v>10944</v>
      </c>
      <c r="E1420" s="3" t="s">
        <v>11236</v>
      </c>
      <c r="F1420" s="10" t="str">
        <f aca="false">HYPERLINK("https://www.inaturalist.org/people/cmt2","cmt2")</f>
        <v>cmt2</v>
      </c>
      <c r="G1420" s="9" t="s">
        <v>13</v>
      </c>
      <c r="H1420" s="9" t="s">
        <v>11237</v>
      </c>
    </row>
    <row r="1421" customFormat="false" ht="15.75" hidden="false" customHeight="false" outlineLevel="0" collapsed="false">
      <c r="B1421" s="7" t="n">
        <v>46222</v>
      </c>
      <c r="C1421" s="3" t="s">
        <v>11238</v>
      </c>
      <c r="D1421" s="3" t="s">
        <v>10944</v>
      </c>
      <c r="E1421" s="3" t="s">
        <v>11239</v>
      </c>
      <c r="F1421" s="10" t="str">
        <f aca="false">HYPERLINK("https://www.inaturalist.org/people/bethkiser","bethkiser")</f>
        <v>bethkiser</v>
      </c>
      <c r="G1421" s="9" t="s">
        <v>13</v>
      </c>
      <c r="H1421" s="9" t="s">
        <v>11240</v>
      </c>
    </row>
    <row r="1422" customFormat="false" ht="15.75" hidden="false" customHeight="false" outlineLevel="0" collapsed="false">
      <c r="B1422" s="7" t="n">
        <v>46222</v>
      </c>
      <c r="C1422" s="3" t="s">
        <v>11241</v>
      </c>
      <c r="D1422" s="3" t="s">
        <v>10944</v>
      </c>
      <c r="E1422" s="3" t="s">
        <v>11242</v>
      </c>
      <c r="F1422" s="10" t="str">
        <f aca="false">HYPERLINK("https://www.inaturalist.org/people/cherishnature13","cherishnature13")</f>
        <v>cherishnature13</v>
      </c>
      <c r="G1422" s="9" t="s">
        <v>13</v>
      </c>
      <c r="H1422" s="9" t="s">
        <v>11243</v>
      </c>
    </row>
    <row r="1423" customFormat="false" ht="15.75" hidden="false" customHeight="false" outlineLevel="0" collapsed="false">
      <c r="B1423" s="7" t="n">
        <v>46222</v>
      </c>
      <c r="C1423" s="3" t="s">
        <v>11244</v>
      </c>
      <c r="D1423" s="3" t="s">
        <v>10944</v>
      </c>
      <c r="E1423" s="3" t="s">
        <v>11245</v>
      </c>
      <c r="F1423" s="10" t="str">
        <f aca="false">HYPERLINK("https://www.inaturalist.org/people/olivianielsen12345","olivianielsen12345")</f>
        <v>olivianielsen12345</v>
      </c>
      <c r="G1423" s="9" t="s">
        <v>13</v>
      </c>
      <c r="H1423" s="9" t="s">
        <v>11246</v>
      </c>
    </row>
    <row r="1424" customFormat="false" ht="15.75" hidden="false" customHeight="false" outlineLevel="0" collapsed="false">
      <c r="B1424" s="7" t="n">
        <v>46222</v>
      </c>
      <c r="C1424" s="3" t="s">
        <v>11247</v>
      </c>
      <c r="D1424" s="3" t="s">
        <v>10944</v>
      </c>
      <c r="E1424" s="3" t="s">
        <v>11248</v>
      </c>
      <c r="F1424" s="10" t="str">
        <f aca="false">HYPERLINK("https://www.inaturalist.org/people/lily226","lily226")</f>
        <v>lily226</v>
      </c>
      <c r="G1424" s="9" t="s">
        <v>13</v>
      </c>
      <c r="H1424" s="9" t="s">
        <v>11249</v>
      </c>
    </row>
    <row r="1425" customFormat="false" ht="15.75" hidden="false" customHeight="false" outlineLevel="0" collapsed="false">
      <c r="B1425" s="7" t="n">
        <v>46222</v>
      </c>
      <c r="C1425" s="3" t="s">
        <v>11250</v>
      </c>
      <c r="D1425" s="3" t="s">
        <v>10944</v>
      </c>
      <c r="E1425" s="3" t="s">
        <v>11251</v>
      </c>
      <c r="F1425" s="10" t="str">
        <f aca="false">HYPERLINK("https://www.inaturalist.org/people/bethkiser","bethkiser")</f>
        <v>bethkiser</v>
      </c>
      <c r="G1425" s="9" t="s">
        <v>13</v>
      </c>
      <c r="H1425" s="9" t="s">
        <v>11252</v>
      </c>
    </row>
    <row r="1426" customFormat="false" ht="15.75" hidden="false" customHeight="false" outlineLevel="0" collapsed="false">
      <c r="B1426" s="7" t="n">
        <v>46222</v>
      </c>
      <c r="C1426" s="3" t="s">
        <v>11253</v>
      </c>
      <c r="D1426" s="3" t="s">
        <v>10944</v>
      </c>
      <c r="E1426" s="3" t="s">
        <v>11254</v>
      </c>
      <c r="F1426" s="10" t="str">
        <f aca="false">HYPERLINK("https://www.inaturalist.org/people/oiseauuu","oiseauuu")</f>
        <v>oiseauuu</v>
      </c>
      <c r="G1426" s="9" t="s">
        <v>13</v>
      </c>
      <c r="H1426" s="9" t="s">
        <v>11255</v>
      </c>
    </row>
    <row r="1427" customFormat="false" ht="15.75" hidden="false" customHeight="false" outlineLevel="0" collapsed="false">
      <c r="B1427" s="7" t="n">
        <v>46222</v>
      </c>
      <c r="C1427" s="3" t="s">
        <v>11256</v>
      </c>
      <c r="D1427" s="3" t="s">
        <v>10944</v>
      </c>
      <c r="E1427" s="3" t="s">
        <v>11257</v>
      </c>
      <c r="F1427" s="10" t="str">
        <f aca="false">HYPERLINK("https://www.inaturalist.org/people/bethkiser","bethkiser")</f>
        <v>bethkiser</v>
      </c>
      <c r="G1427" s="9" t="s">
        <v>13</v>
      </c>
      <c r="H1427" s="9" t="s">
        <v>11258</v>
      </c>
    </row>
    <row r="1428" customFormat="false" ht="15.75" hidden="false" customHeight="false" outlineLevel="0" collapsed="false">
      <c r="B1428" s="7" t="n">
        <v>46222</v>
      </c>
      <c r="C1428" s="3" t="s">
        <v>11259</v>
      </c>
      <c r="D1428" s="3" t="s">
        <v>10944</v>
      </c>
      <c r="E1428" s="3" t="s">
        <v>11260</v>
      </c>
      <c r="F1428" s="10" t="str">
        <f aca="false">HYPERLINK("https://www.inaturalist.org/people/dinomama789","dinomama789")</f>
        <v>dinomama789</v>
      </c>
      <c r="G1428" s="9" t="s">
        <v>13</v>
      </c>
      <c r="H1428" s="9" t="s">
        <v>11261</v>
      </c>
    </row>
    <row r="1429" customFormat="false" ht="15.75" hidden="false" customHeight="false" outlineLevel="0" collapsed="false">
      <c r="B1429" s="7" t="n">
        <v>46222</v>
      </c>
      <c r="C1429" s="3" t="s">
        <v>11262</v>
      </c>
      <c r="D1429" s="3" t="s">
        <v>10944</v>
      </c>
      <c r="E1429" s="3" t="s">
        <v>11263</v>
      </c>
      <c r="F1429" s="10" t="str">
        <f aca="false">HYPERLINK("https://www.inaturalist.org/people/dinomama789","dinomama789")</f>
        <v>dinomama789</v>
      </c>
      <c r="G1429" s="9" t="s">
        <v>13</v>
      </c>
      <c r="H1429" s="9" t="s">
        <v>11264</v>
      </c>
    </row>
    <row r="1430" customFormat="false" ht="15.75" hidden="false" customHeight="false" outlineLevel="0" collapsed="false">
      <c r="B1430" s="7" t="n">
        <v>46222</v>
      </c>
      <c r="C1430" s="3" t="s">
        <v>11265</v>
      </c>
      <c r="D1430" s="3" t="s">
        <v>10944</v>
      </c>
      <c r="E1430" s="3" t="s">
        <v>11266</v>
      </c>
      <c r="F1430" s="10" t="str">
        <f aca="false">HYPERLINK("https://www.inaturalist.org/people/zarigueyamuerta","zarigueyamuerta")</f>
        <v>zarigueyamuerta</v>
      </c>
      <c r="G1430" s="9" t="s">
        <v>13</v>
      </c>
      <c r="H1430" s="9" t="s">
        <v>11267</v>
      </c>
    </row>
    <row r="1431" customFormat="false" ht="15.75" hidden="false" customHeight="false" outlineLevel="0" collapsed="false">
      <c r="B1431" s="7" t="n">
        <v>46222</v>
      </c>
      <c r="C1431" s="3" t="s">
        <v>11268</v>
      </c>
      <c r="D1431" s="3" t="s">
        <v>10944</v>
      </c>
      <c r="E1431" s="3" t="s">
        <v>11269</v>
      </c>
      <c r="F1431" s="10" t="str">
        <f aca="false">HYPERLINK("https://www.inaturalist.org/people/cmt2","cmt2")</f>
        <v>cmt2</v>
      </c>
      <c r="G1431" s="9" t="s">
        <v>13</v>
      </c>
      <c r="H1431" s="9" t="s">
        <v>11270</v>
      </c>
    </row>
    <row r="1432" customFormat="false" ht="15.75" hidden="false" customHeight="false" outlineLevel="0" collapsed="false">
      <c r="B1432" s="7" t="n">
        <v>46222</v>
      </c>
      <c r="C1432" s="3" t="s">
        <v>11271</v>
      </c>
      <c r="D1432" s="3" t="s">
        <v>10944</v>
      </c>
      <c r="E1432" s="3" t="s">
        <v>11272</v>
      </c>
      <c r="F1432" s="10" t="str">
        <f aca="false">HYPERLINK("https://www.inaturalist.org/people/parquetprinter","parquetprinter")</f>
        <v>parquetprinter</v>
      </c>
      <c r="G1432" s="9" t="s">
        <v>13</v>
      </c>
      <c r="H1432" s="9" t="s">
        <v>11273</v>
      </c>
    </row>
    <row r="1433" customFormat="false" ht="15.75" hidden="false" customHeight="false" outlineLevel="0" collapsed="false">
      <c r="B1433" s="7" t="n">
        <v>46222</v>
      </c>
      <c r="C1433" s="3" t="s">
        <v>11274</v>
      </c>
      <c r="D1433" s="3" t="s">
        <v>10944</v>
      </c>
      <c r="E1433" s="3" t="s">
        <v>11275</v>
      </c>
      <c r="F1433" s="10" t="str">
        <f aca="false">HYPERLINK("https://www.inaturalist.org/people/cmt2","cmt2")</f>
        <v>cmt2</v>
      </c>
      <c r="G1433" s="9" t="s">
        <v>13</v>
      </c>
      <c r="H1433" s="9" t="s">
        <v>11276</v>
      </c>
    </row>
    <row r="1434" customFormat="false" ht="15.75" hidden="false" customHeight="false" outlineLevel="0" collapsed="false">
      <c r="B1434" s="7" t="n">
        <v>46222</v>
      </c>
      <c r="C1434" s="3" t="s">
        <v>11277</v>
      </c>
      <c r="D1434" s="3" t="s">
        <v>10944</v>
      </c>
      <c r="E1434" s="3" t="s">
        <v>11278</v>
      </c>
      <c r="F1434" s="10" t="str">
        <f aca="false">HYPERLINK("https://www.inaturalist.org/people/kcarragher","kcarragher")</f>
        <v>kcarragher</v>
      </c>
      <c r="G1434" s="9" t="s">
        <v>13</v>
      </c>
      <c r="H1434" s="9" t="s">
        <v>11279</v>
      </c>
    </row>
    <row r="1435" customFormat="false" ht="15.75" hidden="false" customHeight="false" outlineLevel="0" collapsed="false">
      <c r="B1435" s="7" t="n">
        <v>46222</v>
      </c>
      <c r="C1435" s="3" t="s">
        <v>11280</v>
      </c>
      <c r="D1435" s="3" t="s">
        <v>10944</v>
      </c>
      <c r="E1435" s="3" t="s">
        <v>11281</v>
      </c>
      <c r="F1435" s="10" t="str">
        <f aca="false">HYPERLINK("https://www.inaturalist.org/people/lily226","lily226")</f>
        <v>lily226</v>
      </c>
      <c r="G1435" s="9" t="s">
        <v>13</v>
      </c>
      <c r="H1435" s="9" t="s">
        <v>11282</v>
      </c>
    </row>
    <row r="1436" customFormat="false" ht="15.75" hidden="false" customHeight="false" outlineLevel="0" collapsed="false">
      <c r="B1436" s="7" t="n">
        <v>46222</v>
      </c>
      <c r="C1436" s="3" t="s">
        <v>11283</v>
      </c>
      <c r="D1436" s="3" t="s">
        <v>10944</v>
      </c>
      <c r="E1436" s="3" t="s">
        <v>11284</v>
      </c>
      <c r="F1436" s="10" t="str">
        <f aca="false">HYPERLINK("https://www.inaturalist.org/people/cmt2","cmt2")</f>
        <v>cmt2</v>
      </c>
      <c r="G1436" s="9" t="s">
        <v>13</v>
      </c>
      <c r="H1436" s="9" t="s">
        <v>11285</v>
      </c>
    </row>
    <row r="1437" customFormat="false" ht="15.75" hidden="false" customHeight="false" outlineLevel="0" collapsed="false">
      <c r="B1437" s="7" t="n">
        <v>46222</v>
      </c>
      <c r="C1437" s="3" t="s">
        <v>11286</v>
      </c>
      <c r="D1437" s="3" t="s">
        <v>10944</v>
      </c>
      <c r="E1437" s="3" t="s">
        <v>11287</v>
      </c>
      <c r="F1437" s="10" t="str">
        <f aca="false">HYPERLINK("https://www.inaturalist.org/people/ggilmer_","ggilmer_")</f>
        <v>ggilmer_</v>
      </c>
      <c r="G1437" s="9" t="s">
        <v>13</v>
      </c>
      <c r="H1437" s="9" t="s">
        <v>11288</v>
      </c>
    </row>
    <row r="1438" customFormat="false" ht="15.75" hidden="false" customHeight="false" outlineLevel="0" collapsed="false">
      <c r="B1438" s="7" t="n">
        <v>46222</v>
      </c>
      <c r="C1438" s="3" t="s">
        <v>11289</v>
      </c>
      <c r="D1438" s="3" t="s">
        <v>10944</v>
      </c>
      <c r="E1438" s="3" t="s">
        <v>11290</v>
      </c>
      <c r="F1438" s="10" t="str">
        <f aca="false">HYPERLINK("https://www.inaturalist.org/people/russellcumming","russellcumming")</f>
        <v>russellcumming</v>
      </c>
      <c r="G1438" s="9" t="s">
        <v>13</v>
      </c>
      <c r="H1438" s="9" t="s">
        <v>11291</v>
      </c>
    </row>
    <row r="1439" customFormat="false" ht="15.75" hidden="false" customHeight="false" outlineLevel="0" collapsed="false">
      <c r="B1439" s="7" t="n">
        <v>46222</v>
      </c>
      <c r="C1439" s="3" t="s">
        <v>11292</v>
      </c>
      <c r="D1439" s="3" t="s">
        <v>10944</v>
      </c>
      <c r="E1439" s="3" t="s">
        <v>11293</v>
      </c>
      <c r="F1439" s="10" t="str">
        <f aca="false">HYPERLINK("https://www.inaturalist.org/people/igiem","igiem")</f>
        <v>igiem</v>
      </c>
      <c r="G1439" s="9" t="s">
        <v>13</v>
      </c>
      <c r="H1439" s="9" t="s">
        <v>11294</v>
      </c>
    </row>
    <row r="1440" customFormat="false" ht="15.75" hidden="false" customHeight="false" outlineLevel="0" collapsed="false">
      <c r="B1440" s="7" t="n">
        <v>46222</v>
      </c>
      <c r="C1440" s="3" t="s">
        <v>11295</v>
      </c>
      <c r="D1440" s="3" t="s">
        <v>10944</v>
      </c>
      <c r="E1440" s="3" t="s">
        <v>11296</v>
      </c>
      <c r="F1440" s="10" t="str">
        <f aca="false">HYPERLINK("https://www.inaturalist.org/people/cherishnature13","cherishnature13")</f>
        <v>cherishnature13</v>
      </c>
      <c r="G1440" s="9" t="s">
        <v>13</v>
      </c>
      <c r="H1440" s="9" t="s">
        <v>11297</v>
      </c>
    </row>
    <row r="1441" customFormat="false" ht="15.75" hidden="false" customHeight="false" outlineLevel="0" collapsed="false">
      <c r="B1441" s="7" t="n">
        <v>46222</v>
      </c>
      <c r="C1441" s="3" t="s">
        <v>11298</v>
      </c>
      <c r="D1441" s="3" t="s">
        <v>10944</v>
      </c>
      <c r="E1441" s="3" t="s">
        <v>11299</v>
      </c>
      <c r="F1441" s="10" t="str">
        <f aca="false">HYPERLINK("https://www.inaturalist.org/people/dizzilizzi","dizzilizzi")</f>
        <v>dizzilizzi</v>
      </c>
      <c r="G1441" s="9" t="s">
        <v>13</v>
      </c>
      <c r="H1441" s="9" t="s">
        <v>11300</v>
      </c>
    </row>
    <row r="1442" customFormat="false" ht="15.75" hidden="false" customHeight="false" outlineLevel="0" collapsed="false">
      <c r="B1442" s="7" t="n">
        <v>46222</v>
      </c>
      <c r="C1442" s="3" t="s">
        <v>11301</v>
      </c>
      <c r="D1442" s="3" t="s">
        <v>10944</v>
      </c>
      <c r="E1442" s="3" t="s">
        <v>11302</v>
      </c>
      <c r="F1442" s="10" t="str">
        <f aca="false">HYPERLINK("https://www.inaturalist.org/people/plantladyvee","plantladyvee")</f>
        <v>plantladyvee</v>
      </c>
      <c r="G1442" s="9" t="s">
        <v>13</v>
      </c>
      <c r="H1442" s="9" t="s">
        <v>11303</v>
      </c>
    </row>
    <row r="1443" customFormat="false" ht="15.75" hidden="false" customHeight="false" outlineLevel="0" collapsed="false">
      <c r="B1443" s="7" t="n">
        <v>46222</v>
      </c>
      <c r="C1443" s="3" t="s">
        <v>11304</v>
      </c>
      <c r="D1443" s="3" t="s">
        <v>10944</v>
      </c>
      <c r="E1443" s="3" t="s">
        <v>11305</v>
      </c>
      <c r="F1443" s="10" t="str">
        <f aca="false">HYPERLINK("https://www.inaturalist.org/people/jfearns","jfearns")</f>
        <v>jfearns</v>
      </c>
      <c r="G1443" s="9" t="s">
        <v>13</v>
      </c>
      <c r="H1443" s="9" t="s">
        <v>11306</v>
      </c>
    </row>
    <row r="1444" customFormat="false" ht="15.75" hidden="false" customHeight="false" outlineLevel="0" collapsed="false">
      <c r="B1444" s="7" t="n">
        <v>46222</v>
      </c>
      <c r="C1444" s="3" t="s">
        <v>11307</v>
      </c>
      <c r="D1444" s="3" t="s">
        <v>10944</v>
      </c>
      <c r="E1444" s="3" t="s">
        <v>11308</v>
      </c>
      <c r="F1444" s="10" t="str">
        <f aca="false">HYPERLINK("https://www.inaturalist.org/people/luciferasemaster","luciferasemaster")</f>
        <v>luciferasemaster</v>
      </c>
      <c r="G1444" s="9" t="s">
        <v>13</v>
      </c>
      <c r="H1444" s="9" t="s">
        <v>11309</v>
      </c>
    </row>
    <row r="1445" customFormat="false" ht="15.75" hidden="false" customHeight="false" outlineLevel="0" collapsed="false">
      <c r="B1445" s="7" t="n">
        <v>46222</v>
      </c>
      <c r="C1445" s="3" t="s">
        <v>11310</v>
      </c>
      <c r="D1445" s="3" t="s">
        <v>10944</v>
      </c>
      <c r="E1445" s="3" t="s">
        <v>11311</v>
      </c>
      <c r="F1445" s="10" t="str">
        <f aca="false">HYPERLINK("https://www.inaturalist.org/people/yerpez","yerpez")</f>
        <v>yerpez</v>
      </c>
      <c r="G1445" s="9" t="s">
        <v>13</v>
      </c>
      <c r="H1445" s="9" t="s">
        <v>11312</v>
      </c>
    </row>
    <row r="1446" customFormat="false" ht="15.75" hidden="false" customHeight="false" outlineLevel="0" collapsed="false">
      <c r="B1446" s="7" t="n">
        <v>46222</v>
      </c>
      <c r="C1446" s="3" t="s">
        <v>11313</v>
      </c>
      <c r="D1446" s="3" t="s">
        <v>10944</v>
      </c>
      <c r="E1446" s="3" t="s">
        <v>11314</v>
      </c>
      <c r="F1446" s="10" t="str">
        <f aca="false">HYPERLINK("https://www.inaturalist.org/people/jfearns","jfearns")</f>
        <v>jfearns</v>
      </c>
      <c r="G1446" s="9" t="s">
        <v>13</v>
      </c>
      <c r="H1446" s="9" t="s">
        <v>11315</v>
      </c>
    </row>
    <row r="1447" customFormat="false" ht="15.75" hidden="false" customHeight="false" outlineLevel="0" collapsed="false">
      <c r="B1447" s="7" t="n">
        <v>46222</v>
      </c>
      <c r="C1447" s="3" t="s">
        <v>11316</v>
      </c>
      <c r="D1447" s="3" t="s">
        <v>10944</v>
      </c>
      <c r="E1447" s="3" t="s">
        <v>11317</v>
      </c>
      <c r="F1447" s="10" t="str">
        <f aca="false">HYPERLINK("https://www.inaturalist.org/people/dimetrodon_deuteron","dimetrodon_deuteron")</f>
        <v>dimetrodon_deuteron</v>
      </c>
      <c r="G1447" s="9" t="s">
        <v>13</v>
      </c>
      <c r="H1447" s="9" t="s">
        <v>11318</v>
      </c>
    </row>
    <row r="1448" customFormat="false" ht="15.75" hidden="false" customHeight="false" outlineLevel="0" collapsed="false">
      <c r="B1448" s="7" t="n">
        <v>46222</v>
      </c>
      <c r="C1448" s="3" t="s">
        <v>11319</v>
      </c>
      <c r="D1448" s="3" t="s">
        <v>10944</v>
      </c>
      <c r="E1448" s="3" t="s">
        <v>11320</v>
      </c>
      <c r="F1448" s="10" t="str">
        <f aca="false">HYPERLINK("https://www.inaturalist.org/people/photolith","photolith")</f>
        <v>photolith</v>
      </c>
      <c r="G1448" s="9" t="s">
        <v>13</v>
      </c>
      <c r="H1448" s="9" t="s">
        <v>11321</v>
      </c>
    </row>
    <row r="1449" customFormat="false" ht="15.75" hidden="false" customHeight="false" outlineLevel="0" collapsed="false">
      <c r="B1449" s="7" t="n">
        <v>46222</v>
      </c>
      <c r="C1449" s="3" t="s">
        <v>11322</v>
      </c>
      <c r="D1449" s="3" t="s">
        <v>10944</v>
      </c>
      <c r="E1449" s="3" t="s">
        <v>11323</v>
      </c>
      <c r="F1449" s="10" t="str">
        <f aca="false">HYPERLINK("https://www.inaturalist.org/people/luciferasemaster","luciferasemaster")</f>
        <v>luciferasemaster</v>
      </c>
      <c r="G1449" s="9" t="s">
        <v>13</v>
      </c>
      <c r="H1449" s="9" t="s">
        <v>11324</v>
      </c>
    </row>
    <row r="1450" customFormat="false" ht="15.75" hidden="false" customHeight="false" outlineLevel="0" collapsed="false">
      <c r="B1450" s="7" t="n">
        <v>46222</v>
      </c>
      <c r="C1450" s="3" t="s">
        <v>11325</v>
      </c>
      <c r="D1450" s="3" t="s">
        <v>10944</v>
      </c>
      <c r="E1450" s="3" t="s">
        <v>11326</v>
      </c>
      <c r="F1450" s="10" t="str">
        <f aca="false">HYPERLINK("https://www.inaturalist.org/people/jfearns","jfearns")</f>
        <v>jfearns</v>
      </c>
      <c r="G1450" s="9" t="s">
        <v>13</v>
      </c>
      <c r="H1450" s="9" t="s">
        <v>11327</v>
      </c>
    </row>
    <row r="1451" customFormat="false" ht="15.75" hidden="false" customHeight="false" outlineLevel="0" collapsed="false">
      <c r="B1451" s="7" t="n">
        <v>46222</v>
      </c>
      <c r="C1451" s="3" t="s">
        <v>11328</v>
      </c>
      <c r="D1451" s="3" t="s">
        <v>10944</v>
      </c>
      <c r="E1451" s="3" t="s">
        <v>11329</v>
      </c>
      <c r="F1451" s="10" t="str">
        <f aca="false">HYPERLINK("https://www.inaturalist.org/people/dimetrodon_deuteron","dimetrodon_deuteron")</f>
        <v>dimetrodon_deuteron</v>
      </c>
      <c r="G1451" s="9" t="s">
        <v>13</v>
      </c>
      <c r="H1451" s="9" t="s">
        <v>11330</v>
      </c>
    </row>
    <row r="1452" customFormat="false" ht="15.75" hidden="false" customHeight="false" outlineLevel="0" collapsed="false">
      <c r="B1452" s="7" t="n">
        <v>46222</v>
      </c>
      <c r="C1452" s="3" t="s">
        <v>11331</v>
      </c>
      <c r="D1452" s="3" t="s">
        <v>10944</v>
      </c>
      <c r="E1452" s="3" t="s">
        <v>11332</v>
      </c>
      <c r="F1452" s="10" t="str">
        <f aca="false">HYPERLINK("https://www.inaturalist.org/people/amaciuba","amaciuba")</f>
        <v>amaciuba</v>
      </c>
      <c r="G1452" s="9" t="s">
        <v>13</v>
      </c>
      <c r="H1452" s="9" t="s">
        <v>11333</v>
      </c>
    </row>
    <row r="1453" customFormat="false" ht="15.75" hidden="false" customHeight="false" outlineLevel="0" collapsed="false">
      <c r="B1453" s="7" t="n">
        <v>46222</v>
      </c>
      <c r="C1453" s="3" t="s">
        <v>11334</v>
      </c>
      <c r="D1453" s="3" t="s">
        <v>10944</v>
      </c>
      <c r="E1453" s="3" t="s">
        <v>11335</v>
      </c>
      <c r="F1453" s="10" t="str">
        <f aca="false">HYPERLINK("https://www.inaturalist.org/people/guckles505","guckles505")</f>
        <v>guckles505</v>
      </c>
      <c r="G1453" s="9" t="s">
        <v>13</v>
      </c>
      <c r="H1453" s="9" t="s">
        <v>11336</v>
      </c>
    </row>
    <row r="1454" customFormat="false" ht="15.75" hidden="false" customHeight="false" outlineLevel="0" collapsed="false">
      <c r="B1454" s="7" t="n">
        <v>46222</v>
      </c>
      <c r="C1454" s="3" t="s">
        <v>11337</v>
      </c>
      <c r="D1454" s="3" t="s">
        <v>10944</v>
      </c>
      <c r="E1454" s="3" t="s">
        <v>11338</v>
      </c>
      <c r="F1454" s="10" t="str">
        <f aca="false">HYPERLINK("https://www.inaturalist.org/people/dsandii","dsandii")</f>
        <v>dsandii</v>
      </c>
      <c r="G1454" s="9" t="s">
        <v>13</v>
      </c>
      <c r="H1454" s="9" t="s">
        <v>11339</v>
      </c>
    </row>
    <row r="1455" customFormat="false" ht="15.75" hidden="false" customHeight="false" outlineLevel="0" collapsed="false">
      <c r="B1455" s="7" t="n">
        <v>46222</v>
      </c>
      <c r="C1455" s="3" t="s">
        <v>11340</v>
      </c>
      <c r="D1455" s="3" t="s">
        <v>10944</v>
      </c>
      <c r="E1455" s="3" t="s">
        <v>11341</v>
      </c>
      <c r="F1455" s="10" t="str">
        <f aca="false">HYPERLINK("https://www.inaturalist.org/people/tcpekin","tcpekin")</f>
        <v>tcpekin</v>
      </c>
      <c r="G1455" s="9" t="s">
        <v>13</v>
      </c>
      <c r="H1455" s="9" t="s">
        <v>11342</v>
      </c>
    </row>
    <row r="1456" customFormat="false" ht="15.75" hidden="false" customHeight="false" outlineLevel="0" collapsed="false">
      <c r="B1456" s="7" t="n">
        <v>46222</v>
      </c>
      <c r="C1456" s="3" t="s">
        <v>11343</v>
      </c>
      <c r="D1456" s="3" t="s">
        <v>10944</v>
      </c>
      <c r="E1456" s="3" t="s">
        <v>11344</v>
      </c>
      <c r="F1456" s="10" t="str">
        <f aca="false">HYPERLINK("https://www.inaturalist.org/people/jfearns","jfearns")</f>
        <v>jfearns</v>
      </c>
      <c r="G1456" s="9" t="s">
        <v>13</v>
      </c>
      <c r="H1456" s="9" t="s">
        <v>11345</v>
      </c>
    </row>
    <row r="1457" customFormat="false" ht="15.75" hidden="false" customHeight="false" outlineLevel="0" collapsed="false">
      <c r="B1457" s="7" t="n">
        <v>46222</v>
      </c>
      <c r="C1457" s="3" t="s">
        <v>11346</v>
      </c>
      <c r="D1457" s="3" t="s">
        <v>10944</v>
      </c>
      <c r="E1457" s="3" t="s">
        <v>11347</v>
      </c>
      <c r="F1457" s="10" t="str">
        <f aca="false">HYPERLINK("https://www.inaturalist.org/people/goatparty","goatparty")</f>
        <v>goatparty</v>
      </c>
      <c r="G1457" s="9" t="s">
        <v>13</v>
      </c>
      <c r="H1457" s="9" t="s">
        <v>11348</v>
      </c>
    </row>
    <row r="1458" customFormat="false" ht="15.75" hidden="false" customHeight="false" outlineLevel="0" collapsed="false">
      <c r="B1458" s="7" t="n">
        <v>46222</v>
      </c>
      <c r="C1458" s="3" t="s">
        <v>11349</v>
      </c>
      <c r="D1458" s="3" t="s">
        <v>10944</v>
      </c>
      <c r="E1458" s="3" t="s">
        <v>11350</v>
      </c>
      <c r="F1458" s="10" t="str">
        <f aca="false">HYPERLINK("https://www.inaturalist.org/people/ishriner","ishriner")</f>
        <v>ishriner</v>
      </c>
      <c r="G1458" s="9" t="s">
        <v>13</v>
      </c>
      <c r="H1458" s="9" t="s">
        <v>11351</v>
      </c>
    </row>
    <row r="1459" customFormat="false" ht="15.75" hidden="false" customHeight="false" outlineLevel="0" collapsed="false">
      <c r="B1459" s="7" t="n">
        <v>46222</v>
      </c>
      <c r="C1459" s="3" t="s">
        <v>11352</v>
      </c>
      <c r="D1459" s="3" t="s">
        <v>10944</v>
      </c>
      <c r="E1459" s="3" t="s">
        <v>11353</v>
      </c>
      <c r="F1459" s="10" t="str">
        <f aca="false">HYPERLINK("https://www.inaturalist.org/people/raebaxter","raebaxter")</f>
        <v>raebaxter</v>
      </c>
      <c r="G1459" s="9" t="s">
        <v>13</v>
      </c>
      <c r="H1459" s="9" t="s">
        <v>11354</v>
      </c>
    </row>
    <row r="1460" customFormat="false" ht="15.75" hidden="false" customHeight="false" outlineLevel="0" collapsed="false">
      <c r="B1460" s="7" t="n">
        <v>46222</v>
      </c>
      <c r="C1460" s="3" t="s">
        <v>11355</v>
      </c>
      <c r="D1460" s="3" t="s">
        <v>10944</v>
      </c>
      <c r="E1460" s="3" t="s">
        <v>11356</v>
      </c>
      <c r="F1460" s="10" t="str">
        <f aca="false">HYPERLINK("https://www.inaturalist.org/people/bazuso","bazuso")</f>
        <v>bazuso</v>
      </c>
      <c r="G1460" s="9" t="s">
        <v>13</v>
      </c>
      <c r="H1460" s="9" t="s">
        <v>11357</v>
      </c>
    </row>
    <row r="1461" customFormat="false" ht="15.75" hidden="false" customHeight="false" outlineLevel="0" collapsed="false">
      <c r="B1461" s="7" t="n">
        <v>46222</v>
      </c>
      <c r="C1461" s="3" t="s">
        <v>11358</v>
      </c>
      <c r="D1461" s="3" t="s">
        <v>10944</v>
      </c>
      <c r="E1461" s="3" t="s">
        <v>11359</v>
      </c>
      <c r="F1461" s="10" t="str">
        <f aca="false">HYPERLINK("https://www.inaturalist.org/people/heidicee","heidicee")</f>
        <v>heidicee</v>
      </c>
      <c r="G1461" s="9" t="s">
        <v>13</v>
      </c>
      <c r="H1461" s="9" t="s">
        <v>11360</v>
      </c>
    </row>
    <row r="1462" customFormat="false" ht="15.75" hidden="false" customHeight="false" outlineLevel="0" collapsed="false">
      <c r="B1462" s="7" t="n">
        <v>46222</v>
      </c>
      <c r="C1462" s="3" t="s">
        <v>11361</v>
      </c>
      <c r="D1462" s="3" t="s">
        <v>10944</v>
      </c>
      <c r="E1462" s="3" t="s">
        <v>11362</v>
      </c>
      <c r="F1462" s="10" t="str">
        <f aca="false">HYPERLINK("https://www.inaturalist.org/people/keelymae98","keelymae98")</f>
        <v>keelymae98</v>
      </c>
      <c r="G1462" s="9" t="s">
        <v>13</v>
      </c>
      <c r="H1462" s="9" t="s">
        <v>11363</v>
      </c>
    </row>
    <row r="1463" customFormat="false" ht="15.75" hidden="false" customHeight="false" outlineLevel="0" collapsed="false">
      <c r="B1463" s="7" t="n">
        <v>46222</v>
      </c>
      <c r="C1463" s="3" t="s">
        <v>11364</v>
      </c>
      <c r="D1463" s="3" t="s">
        <v>10944</v>
      </c>
      <c r="E1463" s="3" t="s">
        <v>11365</v>
      </c>
      <c r="F1463" s="10" t="str">
        <f aca="false">HYPERLINK("https://www.inaturalist.org/people/bazuso","bazuso")</f>
        <v>bazuso</v>
      </c>
      <c r="G1463" s="9" t="s">
        <v>13</v>
      </c>
      <c r="H1463" s="9" t="s">
        <v>11366</v>
      </c>
    </row>
    <row r="1464" customFormat="false" ht="15.75" hidden="false" customHeight="false" outlineLevel="0" collapsed="false">
      <c r="B1464" s="7" t="n">
        <v>46222</v>
      </c>
      <c r="C1464" s="3" t="s">
        <v>11367</v>
      </c>
      <c r="D1464" s="3" t="s">
        <v>10944</v>
      </c>
      <c r="E1464" s="3" t="s">
        <v>11368</v>
      </c>
      <c r="F1464" s="10" t="str">
        <f aca="false">HYPERLINK("https://www.inaturalist.org/people/patrickobrien3","patrickobrien3")</f>
        <v>patrickobrien3</v>
      </c>
      <c r="G1464" s="9" t="s">
        <v>13</v>
      </c>
      <c r="H1464" s="9" t="s">
        <v>11369</v>
      </c>
    </row>
    <row r="1465" customFormat="false" ht="15.75" hidden="false" customHeight="false" outlineLevel="0" collapsed="false">
      <c r="B1465" s="7" t="n">
        <v>46222</v>
      </c>
      <c r="C1465" s="3" t="s">
        <v>11370</v>
      </c>
      <c r="D1465" s="3" t="s">
        <v>10944</v>
      </c>
      <c r="E1465" s="3" t="s">
        <v>11371</v>
      </c>
      <c r="F1465" s="10" t="str">
        <f aca="false">HYPERLINK("https://www.inaturalist.org/people/patrickobrien3","patrickobrien3")</f>
        <v>patrickobrien3</v>
      </c>
      <c r="G1465" s="9" t="s">
        <v>13</v>
      </c>
      <c r="H1465" s="9" t="s">
        <v>11372</v>
      </c>
    </row>
    <row r="1466" customFormat="false" ht="15.75" hidden="false" customHeight="false" outlineLevel="0" collapsed="false">
      <c r="B1466" s="7" t="n">
        <v>46222</v>
      </c>
      <c r="C1466" s="3" t="s">
        <v>11373</v>
      </c>
      <c r="D1466" s="3" t="s">
        <v>10944</v>
      </c>
      <c r="E1466" s="3" t="s">
        <v>11374</v>
      </c>
      <c r="F1466" s="10" t="str">
        <f aca="false">HYPERLINK("https://www.inaturalist.org/people/amaciuba","amaciuba")</f>
        <v>amaciuba</v>
      </c>
      <c r="G1466" s="9" t="s">
        <v>13</v>
      </c>
      <c r="H1466" s="9" t="s">
        <v>11375</v>
      </c>
    </row>
    <row r="1467" customFormat="false" ht="15.75" hidden="false" customHeight="false" outlineLevel="0" collapsed="false">
      <c r="B1467" s="7" t="n">
        <v>46222</v>
      </c>
      <c r="C1467" s="3" t="s">
        <v>11376</v>
      </c>
      <c r="D1467" s="3" t="s">
        <v>10944</v>
      </c>
      <c r="E1467" s="3" t="s">
        <v>11377</v>
      </c>
      <c r="F1467" s="10" t="str">
        <f aca="false">HYPERLINK("https://www.inaturalist.org/people/emmank","emmank")</f>
        <v>emmank</v>
      </c>
      <c r="G1467" s="9" t="s">
        <v>13</v>
      </c>
      <c r="H1467" s="9" t="s">
        <v>11378</v>
      </c>
    </row>
    <row r="1468" customFormat="false" ht="15.75" hidden="false" customHeight="false" outlineLevel="0" collapsed="false">
      <c r="B1468" s="7" t="n">
        <v>46222</v>
      </c>
      <c r="C1468" s="3" t="s">
        <v>11379</v>
      </c>
      <c r="D1468" s="3" t="s">
        <v>10944</v>
      </c>
      <c r="E1468" s="3" t="s">
        <v>11380</v>
      </c>
      <c r="F1468" s="10" t="str">
        <f aca="false">HYPERLINK("https://www.inaturalist.org/people/karenthegoodkind","karenthegoodkind")</f>
        <v>karenthegoodkind</v>
      </c>
      <c r="G1468" s="9" t="s">
        <v>13</v>
      </c>
      <c r="H1468" s="9" t="s">
        <v>11381</v>
      </c>
    </row>
    <row r="1469" customFormat="false" ht="15.75" hidden="false" customHeight="false" outlineLevel="0" collapsed="false">
      <c r="B1469" s="7" t="n">
        <v>46222</v>
      </c>
      <c r="C1469" s="3" t="s">
        <v>11382</v>
      </c>
      <c r="D1469" s="3" t="s">
        <v>10944</v>
      </c>
      <c r="E1469" s="3" t="s">
        <v>11383</v>
      </c>
      <c r="F1469" s="10" t="str">
        <f aca="false">HYPERLINK("https://www.inaturalist.org/people/luciferasemaster","luciferasemaster")</f>
        <v>luciferasemaster</v>
      </c>
      <c r="G1469" s="9" t="s">
        <v>13</v>
      </c>
      <c r="H1469" s="9" t="s">
        <v>11384</v>
      </c>
    </row>
    <row r="1470" customFormat="false" ht="15.75" hidden="false" customHeight="false" outlineLevel="0" collapsed="false">
      <c r="B1470" s="7" t="n">
        <v>46222</v>
      </c>
      <c r="C1470" s="3" t="s">
        <v>11385</v>
      </c>
      <c r="D1470" s="3" t="s">
        <v>10944</v>
      </c>
      <c r="E1470" s="3" t="s">
        <v>11386</v>
      </c>
      <c r="F1470" s="10" t="str">
        <f aca="false">HYPERLINK("https://www.inaturalist.org/people/keelymae98","keelymae98")</f>
        <v>keelymae98</v>
      </c>
      <c r="G1470" s="9" t="s">
        <v>13</v>
      </c>
      <c r="H1470" s="9" t="s">
        <v>11387</v>
      </c>
    </row>
    <row r="1471" customFormat="false" ht="15.75" hidden="false" customHeight="false" outlineLevel="0" collapsed="false">
      <c r="B1471" s="7" t="n">
        <v>46222</v>
      </c>
      <c r="C1471" s="3" t="s">
        <v>11388</v>
      </c>
      <c r="D1471" s="3" t="s">
        <v>10944</v>
      </c>
      <c r="E1471" s="3" t="s">
        <v>11389</v>
      </c>
      <c r="F1471" s="10" t="str">
        <f aca="false">HYPERLINK("https://www.inaturalist.org/people/teeteebeezie","teeteebeezie")</f>
        <v>teeteebeezie</v>
      </c>
      <c r="G1471" s="9" t="s">
        <v>13</v>
      </c>
      <c r="H1471" s="9" t="s">
        <v>11390</v>
      </c>
    </row>
    <row r="1472" customFormat="false" ht="15.75" hidden="false" customHeight="false" outlineLevel="0" collapsed="false">
      <c r="B1472" s="7" t="n">
        <v>46222</v>
      </c>
      <c r="C1472" s="3" t="s">
        <v>11391</v>
      </c>
      <c r="D1472" s="3" t="s">
        <v>10944</v>
      </c>
      <c r="E1472" s="3" t="s">
        <v>11392</v>
      </c>
      <c r="F1472" s="10" t="str">
        <f aca="false">HYPERLINK("https://www.inaturalist.org/people/teeteebeezie","teeteebeezie")</f>
        <v>teeteebeezie</v>
      </c>
      <c r="G1472" s="9" t="s">
        <v>13</v>
      </c>
      <c r="H1472" s="9" t="s">
        <v>11393</v>
      </c>
    </row>
    <row r="1473" customFormat="false" ht="15.75" hidden="false" customHeight="false" outlineLevel="0" collapsed="false">
      <c r="B1473" s="7" t="n">
        <v>46222</v>
      </c>
      <c r="C1473" s="3" t="s">
        <v>11394</v>
      </c>
      <c r="D1473" s="3" t="s">
        <v>10944</v>
      </c>
      <c r="E1473" s="3" t="s">
        <v>11395</v>
      </c>
      <c r="F1473" s="10" t="str">
        <f aca="false">HYPERLINK("https://www.inaturalist.org/people/jfearns","jfearns")</f>
        <v>jfearns</v>
      </c>
      <c r="G1473" s="9" t="s">
        <v>13</v>
      </c>
      <c r="H1473" s="9" t="s">
        <v>11396</v>
      </c>
    </row>
    <row r="1474" customFormat="false" ht="15.75" hidden="false" customHeight="false" outlineLevel="0" collapsed="false">
      <c r="B1474" s="7" t="n">
        <v>46222</v>
      </c>
      <c r="C1474" s="3" t="s">
        <v>11397</v>
      </c>
      <c r="D1474" s="3" t="s">
        <v>10944</v>
      </c>
      <c r="E1474" s="3" t="s">
        <v>11398</v>
      </c>
      <c r="F1474" s="10" t="str">
        <f aca="false">HYPERLINK("https://www.inaturalist.org/people/dhcox57","dhcox57")</f>
        <v>dhcox57</v>
      </c>
      <c r="G1474" s="9" t="s">
        <v>13</v>
      </c>
      <c r="H1474" s="9" t="s">
        <v>11399</v>
      </c>
    </row>
    <row r="1475" customFormat="false" ht="15.75" hidden="false" customHeight="false" outlineLevel="0" collapsed="false">
      <c r="B1475" s="7" t="n">
        <v>46222</v>
      </c>
      <c r="C1475" s="3" t="s">
        <v>11400</v>
      </c>
      <c r="D1475" s="3" t="s">
        <v>10944</v>
      </c>
      <c r="E1475" s="3" t="s">
        <v>11401</v>
      </c>
      <c r="F1475" s="10" t="str">
        <f aca="false">HYPERLINK("https://www.inaturalist.org/people/wonderful_world","wonderful_world")</f>
        <v>wonderful_world</v>
      </c>
      <c r="G1475" s="9" t="s">
        <v>13</v>
      </c>
      <c r="H1475" s="9" t="s">
        <v>11402</v>
      </c>
    </row>
    <row r="1476" customFormat="false" ht="15.75" hidden="false" customHeight="false" outlineLevel="0" collapsed="false">
      <c r="B1476" s="7" t="n">
        <v>46222</v>
      </c>
      <c r="C1476" s="3" t="s">
        <v>11403</v>
      </c>
      <c r="D1476" s="3" t="s">
        <v>10944</v>
      </c>
      <c r="E1476" s="3" t="s">
        <v>11404</v>
      </c>
      <c r="F1476" s="10" t="str">
        <f aca="false">HYPERLINK("https://www.inaturalist.org/people/purple-martin","purple-martin")</f>
        <v>purple-martin</v>
      </c>
      <c r="G1476" s="9" t="s">
        <v>13</v>
      </c>
      <c r="H1476" s="9" t="s">
        <v>11405</v>
      </c>
    </row>
    <row r="1477" customFormat="false" ht="15.75" hidden="false" customHeight="false" outlineLevel="0" collapsed="false">
      <c r="B1477" s="7" t="n">
        <v>46222</v>
      </c>
      <c r="C1477" s="3" t="s">
        <v>11406</v>
      </c>
      <c r="D1477" s="3" t="s">
        <v>10944</v>
      </c>
      <c r="E1477" s="3" t="s">
        <v>11407</v>
      </c>
      <c r="F1477" s="10" t="str">
        <f aca="false">HYPERLINK("https://www.inaturalist.org/people/k_tolentino","k_tolentino")</f>
        <v>k_tolentino</v>
      </c>
      <c r="G1477" s="9" t="s">
        <v>13</v>
      </c>
      <c r="H1477" s="9" t="s">
        <v>11408</v>
      </c>
    </row>
    <row r="1478" customFormat="false" ht="15.75" hidden="false" customHeight="false" outlineLevel="0" collapsed="false">
      <c r="B1478" s="7" t="n">
        <v>46222</v>
      </c>
      <c r="C1478" s="3" t="s">
        <v>11409</v>
      </c>
      <c r="D1478" s="3" t="s">
        <v>10944</v>
      </c>
      <c r="E1478" s="3" t="s">
        <v>11410</v>
      </c>
      <c r="F1478" s="10" t="str">
        <f aca="false">HYPERLINK("https://www.inaturalist.org/people/kimkliska","kimkliska")</f>
        <v>kimkliska</v>
      </c>
      <c r="G1478" s="9" t="s">
        <v>13</v>
      </c>
      <c r="H1478" s="9" t="s">
        <v>11411</v>
      </c>
    </row>
    <row r="1479" customFormat="false" ht="15.75" hidden="false" customHeight="false" outlineLevel="0" collapsed="false">
      <c r="B1479" s="7" t="n">
        <v>46222</v>
      </c>
      <c r="C1479" s="3" t="s">
        <v>11412</v>
      </c>
      <c r="D1479" s="3" t="s">
        <v>10944</v>
      </c>
      <c r="E1479" s="3" t="s">
        <v>11413</v>
      </c>
      <c r="F1479" s="10" t="str">
        <f aca="false">HYPERLINK("https://www.inaturalist.org/people/elisamariev","elisamariev")</f>
        <v>elisamariev</v>
      </c>
      <c r="G1479" s="9" t="s">
        <v>13</v>
      </c>
      <c r="H1479" s="9" t="s">
        <v>11414</v>
      </c>
    </row>
    <row r="1480" customFormat="false" ht="15.75" hidden="false" customHeight="false" outlineLevel="0" collapsed="false">
      <c r="B1480" s="7" t="n">
        <v>46222</v>
      </c>
      <c r="C1480" s="3" t="s">
        <v>11415</v>
      </c>
      <c r="D1480" s="3" t="s">
        <v>10944</v>
      </c>
      <c r="E1480" s="3" t="s">
        <v>11416</v>
      </c>
      <c r="F1480" s="10" t="str">
        <f aca="false">HYPERLINK("https://www.inaturalist.org/people/jeff_kowalski","jeff_kowalski")</f>
        <v>jeff_kowalski</v>
      </c>
      <c r="G1480" s="9" t="s">
        <v>13</v>
      </c>
      <c r="H1480" s="9" t="s">
        <v>11417</v>
      </c>
    </row>
    <row r="1481" customFormat="false" ht="15.75" hidden="false" customHeight="false" outlineLevel="0" collapsed="false">
      <c r="B1481" s="7" t="n">
        <v>46222</v>
      </c>
      <c r="C1481" s="3" t="s">
        <v>11418</v>
      </c>
      <c r="D1481" s="3" t="s">
        <v>10944</v>
      </c>
      <c r="E1481" s="3" t="s">
        <v>11419</v>
      </c>
      <c r="F1481" s="10" t="str">
        <f aca="false">HYPERLINK("https://www.inaturalist.org/people/jeff_kowalski","jeff_kowalski")</f>
        <v>jeff_kowalski</v>
      </c>
      <c r="G1481" s="9" t="s">
        <v>13</v>
      </c>
      <c r="H1481" s="9" t="s">
        <v>11420</v>
      </c>
    </row>
    <row r="1482" customFormat="false" ht="15.75" hidden="false" customHeight="false" outlineLevel="0" collapsed="false">
      <c r="B1482" s="7" t="n">
        <v>46222</v>
      </c>
      <c r="C1482" s="3" t="s">
        <v>11421</v>
      </c>
      <c r="D1482" s="3" t="s">
        <v>10944</v>
      </c>
      <c r="E1482" s="3" t="s">
        <v>11422</v>
      </c>
      <c r="F1482" s="10" t="str">
        <f aca="false">HYPERLINK("https://www.inaturalist.org/people/jeff_kowalski","jeff_kowalski")</f>
        <v>jeff_kowalski</v>
      </c>
      <c r="G1482" s="9" t="s">
        <v>13</v>
      </c>
      <c r="H1482" s="9" t="s">
        <v>11423</v>
      </c>
    </row>
    <row r="1483" customFormat="false" ht="15.75" hidden="false" customHeight="false" outlineLevel="0" collapsed="false">
      <c r="B1483" s="7" t="n">
        <v>46222</v>
      </c>
      <c r="C1483" s="3" t="s">
        <v>11424</v>
      </c>
      <c r="D1483" s="3" t="s">
        <v>10944</v>
      </c>
      <c r="E1483" s="3" t="s">
        <v>11425</v>
      </c>
      <c r="F1483" s="10" t="str">
        <f aca="false">HYPERLINK("https://www.inaturalist.org/people/jeff_kowalski","jeff_kowalski")</f>
        <v>jeff_kowalski</v>
      </c>
      <c r="G1483" s="9" t="s">
        <v>13</v>
      </c>
      <c r="H1483" s="9" t="s">
        <v>11426</v>
      </c>
    </row>
    <row r="1484" customFormat="false" ht="15.75" hidden="false" customHeight="false" outlineLevel="0" collapsed="false">
      <c r="B1484" s="7" t="n">
        <v>46222</v>
      </c>
      <c r="C1484" s="3" t="s">
        <v>11427</v>
      </c>
      <c r="D1484" s="3" t="s">
        <v>10944</v>
      </c>
      <c r="E1484" s="3" t="s">
        <v>11428</v>
      </c>
      <c r="F1484" s="10" t="str">
        <f aca="false">HYPERLINK("https://www.inaturalist.org/people/idat51","idat51")</f>
        <v>idat51</v>
      </c>
      <c r="G1484" s="9" t="s">
        <v>13</v>
      </c>
      <c r="H1484" s="9" t="s">
        <v>11429</v>
      </c>
    </row>
    <row r="1485" customFormat="false" ht="15.75" hidden="false" customHeight="false" outlineLevel="0" collapsed="false">
      <c r="B1485" s="7" t="n">
        <v>46222</v>
      </c>
      <c r="C1485" s="3" t="s">
        <v>11430</v>
      </c>
      <c r="D1485" s="3" t="s">
        <v>10944</v>
      </c>
      <c r="E1485" s="3" t="s">
        <v>11431</v>
      </c>
      <c r="F1485" s="10" t="str">
        <f aca="false">HYPERLINK("https://www.inaturalist.org/people/sriram_narasimhan","sriram_narasimhan")</f>
        <v>sriram_narasimhan</v>
      </c>
      <c r="G1485" s="9" t="s">
        <v>13</v>
      </c>
      <c r="H1485" s="9" t="s">
        <v>11432</v>
      </c>
    </row>
    <row r="1486" customFormat="false" ht="15.75" hidden="false" customHeight="false" outlineLevel="0" collapsed="false">
      <c r="B1486" s="7" t="n">
        <v>46222</v>
      </c>
      <c r="C1486" s="3" t="s">
        <v>11433</v>
      </c>
      <c r="D1486" s="3" t="s">
        <v>10944</v>
      </c>
      <c r="E1486" s="3" t="s">
        <v>11434</v>
      </c>
      <c r="F1486" s="10" t="str">
        <f aca="false">HYPERLINK("https://www.inaturalist.org/people/jess-skene","jess-skene")</f>
        <v>jess-skene</v>
      </c>
      <c r="G1486" s="9" t="s">
        <v>13</v>
      </c>
      <c r="H1486" s="9" t="s">
        <v>11435</v>
      </c>
    </row>
    <row r="1487" customFormat="false" ht="15.75" hidden="false" customHeight="false" outlineLevel="0" collapsed="false">
      <c r="B1487" s="7" t="n">
        <v>46222</v>
      </c>
      <c r="C1487" s="3" t="s">
        <v>11436</v>
      </c>
      <c r="D1487" s="3" t="s">
        <v>10944</v>
      </c>
      <c r="E1487" s="3" t="s">
        <v>11437</v>
      </c>
      <c r="F1487" s="10" t="str">
        <f aca="false">HYPERLINK("https://www.inaturalist.org/people/elisamariev","elisamariev")</f>
        <v>elisamariev</v>
      </c>
      <c r="G1487" s="9" t="s">
        <v>13</v>
      </c>
      <c r="H1487" s="9" t="s">
        <v>11438</v>
      </c>
    </row>
    <row r="1488" customFormat="false" ht="15.75" hidden="false" customHeight="false" outlineLevel="0" collapsed="false">
      <c r="B1488" s="7" t="n">
        <v>46222</v>
      </c>
      <c r="C1488" s="3" t="s">
        <v>11439</v>
      </c>
      <c r="D1488" s="3" t="s">
        <v>10944</v>
      </c>
      <c r="E1488" s="3" t="s">
        <v>11440</v>
      </c>
      <c r="F1488" s="10" t="str">
        <f aca="false">HYPERLINK("https://www.inaturalist.org/people/treadcarefully","treadcarefully")</f>
        <v>treadcarefully</v>
      </c>
      <c r="G1488" s="9" t="s">
        <v>13</v>
      </c>
      <c r="H1488" s="9" t="s">
        <v>11441</v>
      </c>
    </row>
    <row r="1489" customFormat="false" ht="15.75" hidden="false" customHeight="false" outlineLevel="0" collapsed="false">
      <c r="B1489" s="7" t="n">
        <v>46222</v>
      </c>
      <c r="C1489" s="3" t="s">
        <v>11442</v>
      </c>
      <c r="D1489" s="3" t="s">
        <v>10944</v>
      </c>
      <c r="E1489" s="3" t="s">
        <v>11443</v>
      </c>
      <c r="F1489" s="10" t="str">
        <f aca="false">HYPERLINK("https://www.inaturalist.org/people/elisamariev","elisamariev")</f>
        <v>elisamariev</v>
      </c>
      <c r="G1489" s="9" t="s">
        <v>13</v>
      </c>
      <c r="H1489" s="9" t="s">
        <v>11444</v>
      </c>
    </row>
    <row r="1490" customFormat="false" ht="15.75" hidden="false" customHeight="false" outlineLevel="0" collapsed="false">
      <c r="B1490" s="7" t="n">
        <v>46222</v>
      </c>
      <c r="C1490" s="3" t="s">
        <v>11445</v>
      </c>
      <c r="D1490" s="3" t="s">
        <v>10944</v>
      </c>
      <c r="E1490" s="3" t="s">
        <v>11446</v>
      </c>
      <c r="F1490" s="10" t="str">
        <f aca="false">HYPERLINK("https://www.inaturalist.org/people/elisamariev","elisamariev")</f>
        <v>elisamariev</v>
      </c>
      <c r="G1490" s="9" t="s">
        <v>13</v>
      </c>
      <c r="H1490" s="9" t="s">
        <v>11447</v>
      </c>
    </row>
    <row r="1491" customFormat="false" ht="15.75" hidden="false" customHeight="false" outlineLevel="0" collapsed="false">
      <c r="B1491" s="7" t="n">
        <v>46222</v>
      </c>
      <c r="C1491" s="3" t="s">
        <v>11448</v>
      </c>
      <c r="D1491" s="3" t="s">
        <v>10944</v>
      </c>
      <c r="E1491" s="3" t="s">
        <v>11449</v>
      </c>
      <c r="F1491" s="10" t="str">
        <f aca="false">HYPERLINK("https://www.inaturalist.org/people/jadeky8","jadeky8")</f>
        <v>jadeky8</v>
      </c>
      <c r="G1491" s="9" t="s">
        <v>13</v>
      </c>
      <c r="H1491" s="9" t="s">
        <v>11450</v>
      </c>
    </row>
    <row r="1492" customFormat="false" ht="15.75" hidden="false" customHeight="false" outlineLevel="0" collapsed="false">
      <c r="B1492" s="7" t="n">
        <v>46222</v>
      </c>
      <c r="C1492" s="3" t="s">
        <v>11451</v>
      </c>
      <c r="D1492" s="3" t="s">
        <v>10944</v>
      </c>
      <c r="E1492" s="3" t="s">
        <v>11452</v>
      </c>
      <c r="F1492" s="10" t="str">
        <f aca="false">HYPERLINK("https://www.inaturalist.org/people/sincerelysuella","sincerelysuella")</f>
        <v>sincerelysuella</v>
      </c>
      <c r="G1492" s="9" t="s">
        <v>13</v>
      </c>
      <c r="H1492" s="9" t="s">
        <v>11453</v>
      </c>
    </row>
    <row r="1493" customFormat="false" ht="15.75" hidden="false" customHeight="false" outlineLevel="0" collapsed="false">
      <c r="B1493" s="7" t="n">
        <v>46222</v>
      </c>
      <c r="C1493" s="3" t="s">
        <v>11454</v>
      </c>
      <c r="D1493" s="3" t="s">
        <v>10944</v>
      </c>
      <c r="E1493" s="3" t="s">
        <v>11455</v>
      </c>
      <c r="F1493" s="10" t="str">
        <f aca="false">HYPERLINK("https://www.inaturalist.org/people/haylstorm42","haylstorm42")</f>
        <v>haylstorm42</v>
      </c>
      <c r="G1493" s="9" t="s">
        <v>13</v>
      </c>
      <c r="H1493" s="9" t="s">
        <v>11456</v>
      </c>
    </row>
    <row r="1494" customFormat="false" ht="15.75" hidden="false" customHeight="false" outlineLevel="0" collapsed="false">
      <c r="B1494" s="7" t="n">
        <v>46222</v>
      </c>
      <c r="C1494" s="3" t="s">
        <v>11457</v>
      </c>
      <c r="D1494" s="3" t="s">
        <v>10944</v>
      </c>
      <c r="E1494" s="3" t="s">
        <v>11458</v>
      </c>
      <c r="F1494" s="10" t="str">
        <f aca="false">HYPERLINK("https://www.inaturalist.org/people/morganspatz","morganspatz")</f>
        <v>morganspatz</v>
      </c>
      <c r="G1494" s="9" t="s">
        <v>13</v>
      </c>
      <c r="H1494" s="9" t="s">
        <v>11459</v>
      </c>
    </row>
    <row r="1495" customFormat="false" ht="15.75" hidden="false" customHeight="false" outlineLevel="0" collapsed="false">
      <c r="B1495" s="7" t="n">
        <v>46222</v>
      </c>
      <c r="C1495" s="3" t="s">
        <v>11460</v>
      </c>
      <c r="D1495" s="3" t="s">
        <v>10944</v>
      </c>
      <c r="E1495" s="3" t="s">
        <v>11461</v>
      </c>
      <c r="F1495" s="10" t="str">
        <f aca="false">HYPERLINK("https://www.inaturalist.org/people/curieosity","curieosity")</f>
        <v>curieosity</v>
      </c>
      <c r="G1495" s="9" t="s">
        <v>13</v>
      </c>
      <c r="H1495" s="9" t="s">
        <v>11462</v>
      </c>
    </row>
    <row r="1496" customFormat="false" ht="15.75" hidden="false" customHeight="false" outlineLevel="0" collapsed="false">
      <c r="B1496" s="7" t="n">
        <v>46222</v>
      </c>
      <c r="C1496" s="3" t="s">
        <v>11463</v>
      </c>
      <c r="D1496" s="3" t="s">
        <v>10944</v>
      </c>
      <c r="E1496" s="3" t="s">
        <v>11464</v>
      </c>
      <c r="F1496" s="10" t="str">
        <f aca="false">HYPERLINK("https://www.inaturalist.org/people/treadcarefully","treadcarefully")</f>
        <v>treadcarefully</v>
      </c>
      <c r="G1496" s="9" t="s">
        <v>13</v>
      </c>
      <c r="H1496" s="9" t="s">
        <v>11465</v>
      </c>
    </row>
    <row r="1497" customFormat="false" ht="15.75" hidden="false" customHeight="false" outlineLevel="0" collapsed="false">
      <c r="B1497" s="7" t="n">
        <v>46222</v>
      </c>
      <c r="C1497" s="3" t="s">
        <v>11466</v>
      </c>
      <c r="D1497" s="3" t="s">
        <v>10944</v>
      </c>
      <c r="E1497" s="3" t="s">
        <v>11467</v>
      </c>
      <c r="F1497" s="10" t="str">
        <f aca="false">HYPERLINK("https://www.inaturalist.org/people/scherbst","scherbst")</f>
        <v>scherbst</v>
      </c>
      <c r="G1497" s="9" t="s">
        <v>13</v>
      </c>
      <c r="H1497" s="9" t="s">
        <v>11468</v>
      </c>
    </row>
    <row r="1498" customFormat="false" ht="15.75" hidden="false" customHeight="false" outlineLevel="0" collapsed="false">
      <c r="B1498" s="7" t="n">
        <v>46222</v>
      </c>
      <c r="C1498" s="3" t="s">
        <v>11469</v>
      </c>
      <c r="D1498" s="3" t="s">
        <v>10944</v>
      </c>
      <c r="E1498" s="3" t="s">
        <v>11470</v>
      </c>
      <c r="F1498" s="10" t="str">
        <f aca="false">HYPERLINK("https://www.inaturalist.org/people/treadcarefully","treadcarefully")</f>
        <v>treadcarefully</v>
      </c>
      <c r="G1498" s="9" t="s">
        <v>13</v>
      </c>
      <c r="H1498" s="9" t="s">
        <v>11471</v>
      </c>
    </row>
    <row r="1499" customFormat="false" ht="15.75" hidden="false" customHeight="false" outlineLevel="0" collapsed="false">
      <c r="B1499" s="7" t="n">
        <v>46222</v>
      </c>
      <c r="C1499" s="3" t="s">
        <v>11472</v>
      </c>
      <c r="D1499" s="3" t="s">
        <v>10944</v>
      </c>
      <c r="E1499" s="3" t="s">
        <v>11473</v>
      </c>
      <c r="F1499" s="10" t="str">
        <f aca="false">HYPERLINK("https://www.inaturalist.org/people/stormyqc","stormyqc")</f>
        <v>stormyqc</v>
      </c>
      <c r="G1499" s="9" t="s">
        <v>13</v>
      </c>
      <c r="H1499" s="9" t="s">
        <v>11474</v>
      </c>
    </row>
    <row r="1500" customFormat="false" ht="15.75" hidden="false" customHeight="false" outlineLevel="0" collapsed="false">
      <c r="B1500" s="7" t="n">
        <v>46222</v>
      </c>
      <c r="C1500" s="3" t="s">
        <v>11475</v>
      </c>
      <c r="D1500" s="3" t="s">
        <v>10944</v>
      </c>
      <c r="E1500" s="3" t="s">
        <v>11476</v>
      </c>
      <c r="F1500" s="10" t="str">
        <f aca="false">HYPERLINK("https://www.inaturalist.org/people/curieosity","curieosity")</f>
        <v>curieosity</v>
      </c>
      <c r="G1500" s="9" t="s">
        <v>13</v>
      </c>
      <c r="H1500" s="9" t="s">
        <v>11477</v>
      </c>
    </row>
    <row r="1501" customFormat="false" ht="15.75" hidden="false" customHeight="false" outlineLevel="0" collapsed="false">
      <c r="B1501" s="7" t="n">
        <v>46222</v>
      </c>
      <c r="C1501" s="3" t="s">
        <v>11478</v>
      </c>
      <c r="D1501" s="3" t="s">
        <v>10944</v>
      </c>
      <c r="E1501" s="3" t="s">
        <v>11479</v>
      </c>
      <c r="F1501" s="10" t="str">
        <f aca="false">HYPERLINK("https://www.inaturalist.org/people/kimlpetersen","kimlpetersen")</f>
        <v>kimlpetersen</v>
      </c>
      <c r="G1501" s="9" t="s">
        <v>13</v>
      </c>
      <c r="H1501" s="9" t="s">
        <v>11480</v>
      </c>
    </row>
    <row r="1502" customFormat="false" ht="15.75" hidden="false" customHeight="false" outlineLevel="0" collapsed="false">
      <c r="B1502" s="7" t="n">
        <v>46222</v>
      </c>
      <c r="C1502" s="3" t="s">
        <v>11481</v>
      </c>
      <c r="D1502" s="3" t="s">
        <v>10944</v>
      </c>
      <c r="E1502" s="3" t="s">
        <v>11482</v>
      </c>
      <c r="F1502" s="10" t="str">
        <f aca="false">HYPERLINK("https://www.inaturalist.org/people/donny_darksouls","donny_darksouls")</f>
        <v>donny_darksouls</v>
      </c>
      <c r="G1502" s="9" t="s">
        <v>13</v>
      </c>
      <c r="H1502" s="9" t="s">
        <v>11483</v>
      </c>
    </row>
    <row r="1503" customFormat="false" ht="15.75" hidden="false" customHeight="false" outlineLevel="0" collapsed="false">
      <c r="B1503" s="7" t="n">
        <v>46222</v>
      </c>
      <c r="C1503" s="3" t="s">
        <v>11484</v>
      </c>
      <c r="D1503" s="3" t="s">
        <v>10944</v>
      </c>
      <c r="E1503" s="3" t="s">
        <v>11485</v>
      </c>
      <c r="F1503" s="10" t="str">
        <f aca="false">HYPERLINK("https://www.inaturalist.org/people/treadcarefully","treadcarefully")</f>
        <v>treadcarefully</v>
      </c>
      <c r="G1503" s="9" t="s">
        <v>13</v>
      </c>
      <c r="H1503" s="9" t="s">
        <v>11486</v>
      </c>
    </row>
    <row r="1504" customFormat="false" ht="15.75" hidden="false" customHeight="false" outlineLevel="0" collapsed="false">
      <c r="B1504" s="7" t="n">
        <v>46222</v>
      </c>
      <c r="C1504" s="3" t="s">
        <v>11487</v>
      </c>
      <c r="D1504" s="3" t="s">
        <v>10944</v>
      </c>
      <c r="E1504" s="3" t="s">
        <v>11488</v>
      </c>
      <c r="F1504" s="10" t="str">
        <f aca="false">HYPERLINK("https://www.inaturalist.org/people/elisamariev","elisamariev")</f>
        <v>elisamariev</v>
      </c>
      <c r="G1504" s="9" t="s">
        <v>13</v>
      </c>
      <c r="H1504" s="9" t="s">
        <v>11489</v>
      </c>
    </row>
    <row r="1505" customFormat="false" ht="15.75" hidden="false" customHeight="false" outlineLevel="0" collapsed="false">
      <c r="B1505" s="7" t="n">
        <v>46222</v>
      </c>
      <c r="C1505" s="3" t="s">
        <v>11490</v>
      </c>
      <c r="D1505" s="3" t="s">
        <v>10944</v>
      </c>
      <c r="E1505" s="3" t="s">
        <v>11491</v>
      </c>
      <c r="F1505" s="10" t="str">
        <f aca="false">HYPERLINK("https://www.inaturalist.org/people/treadcarefully","treadcarefully")</f>
        <v>treadcarefully</v>
      </c>
      <c r="G1505" s="9" t="s">
        <v>13</v>
      </c>
      <c r="H1505" s="9" t="s">
        <v>11492</v>
      </c>
    </row>
    <row r="1506" customFormat="false" ht="15.75" hidden="false" customHeight="false" outlineLevel="0" collapsed="false">
      <c r="B1506" s="7" t="n">
        <v>46222</v>
      </c>
      <c r="C1506" s="3" t="s">
        <v>11493</v>
      </c>
      <c r="D1506" s="3" t="s">
        <v>10944</v>
      </c>
      <c r="E1506" s="3" t="s">
        <v>11494</v>
      </c>
      <c r="F1506" s="10" t="str">
        <f aca="false">HYPERLINK("https://www.inaturalist.org/people/treadcarefully","treadcarefully")</f>
        <v>treadcarefully</v>
      </c>
      <c r="G1506" s="9" t="s">
        <v>13</v>
      </c>
      <c r="H1506" s="9" t="s">
        <v>11495</v>
      </c>
    </row>
    <row r="1507" customFormat="false" ht="15.75" hidden="false" customHeight="false" outlineLevel="0" collapsed="false">
      <c r="B1507" s="7" t="n">
        <v>46222</v>
      </c>
      <c r="C1507" s="3" t="s">
        <v>11496</v>
      </c>
      <c r="D1507" s="3" t="s">
        <v>10944</v>
      </c>
      <c r="E1507" s="3" t="s">
        <v>11497</v>
      </c>
      <c r="F1507" s="10" t="str">
        <f aca="false">HYPERLINK("https://www.inaturalist.org/people/treadcarefully","treadcarefully")</f>
        <v>treadcarefully</v>
      </c>
      <c r="G1507" s="9" t="s">
        <v>13</v>
      </c>
      <c r="H1507" s="9" t="s">
        <v>11498</v>
      </c>
    </row>
    <row r="1508" customFormat="false" ht="15.75" hidden="false" customHeight="false" outlineLevel="0" collapsed="false">
      <c r="B1508" s="7" t="n">
        <v>46222</v>
      </c>
      <c r="C1508" s="3" t="s">
        <v>11499</v>
      </c>
      <c r="D1508" s="3" t="s">
        <v>10944</v>
      </c>
      <c r="E1508" s="3" t="s">
        <v>11500</v>
      </c>
      <c r="F1508" s="10" t="str">
        <f aca="false">HYPERLINK("https://www.inaturalist.org/people/elisamariev","elisamariev")</f>
        <v>elisamariev</v>
      </c>
      <c r="G1508" s="9" t="s">
        <v>13</v>
      </c>
      <c r="H1508" s="9" t="s">
        <v>11501</v>
      </c>
    </row>
    <row r="1509" customFormat="false" ht="15.75" hidden="false" customHeight="false" outlineLevel="0" collapsed="false">
      <c r="B1509" s="7" t="n">
        <v>46222</v>
      </c>
      <c r="C1509" s="3" t="s">
        <v>11502</v>
      </c>
      <c r="D1509" s="3" t="s">
        <v>10944</v>
      </c>
      <c r="E1509" s="3" t="s">
        <v>11503</v>
      </c>
      <c r="F1509" s="10" t="str">
        <f aca="false">HYPERLINK("https://www.inaturalist.org/people/danielcmassey","danielcmassey")</f>
        <v>danielcmassey</v>
      </c>
      <c r="G1509" s="9" t="s">
        <v>13</v>
      </c>
      <c r="H1509" s="9" t="s">
        <v>11504</v>
      </c>
    </row>
    <row r="1510" customFormat="false" ht="15.75" hidden="false" customHeight="false" outlineLevel="0" collapsed="false">
      <c r="B1510" s="7" t="n">
        <v>46222</v>
      </c>
      <c r="C1510" s="3" t="s">
        <v>11505</v>
      </c>
      <c r="D1510" s="3" t="s">
        <v>10944</v>
      </c>
      <c r="E1510" s="3" t="s">
        <v>11506</v>
      </c>
      <c r="F1510" s="10" t="str">
        <f aca="false">HYPERLINK("https://www.inaturalist.org/people/treadcarefully","treadcarefully")</f>
        <v>treadcarefully</v>
      </c>
      <c r="G1510" s="9" t="s">
        <v>13</v>
      </c>
      <c r="H1510" s="9" t="s">
        <v>11507</v>
      </c>
    </row>
    <row r="1511" customFormat="false" ht="15.75" hidden="false" customHeight="false" outlineLevel="0" collapsed="false">
      <c r="B1511" s="7" t="n">
        <v>46222</v>
      </c>
      <c r="C1511" s="3" t="s">
        <v>11508</v>
      </c>
      <c r="D1511" s="3" t="s">
        <v>10944</v>
      </c>
      <c r="E1511" s="3" t="s">
        <v>11509</v>
      </c>
      <c r="F1511" s="10" t="str">
        <f aca="false">HYPERLINK("https://www.inaturalist.org/people/treadcarefully","treadcarefully")</f>
        <v>treadcarefully</v>
      </c>
      <c r="G1511" s="9" t="s">
        <v>13</v>
      </c>
      <c r="H1511" s="9" t="s">
        <v>11510</v>
      </c>
    </row>
    <row r="1512" customFormat="false" ht="15.75" hidden="false" customHeight="false" outlineLevel="0" collapsed="false">
      <c r="B1512" s="7" t="n">
        <v>46222</v>
      </c>
      <c r="C1512" s="3" t="s">
        <v>11511</v>
      </c>
      <c r="D1512" s="3" t="s">
        <v>10944</v>
      </c>
      <c r="E1512" s="3" t="s">
        <v>11512</v>
      </c>
      <c r="F1512" s="10" t="str">
        <f aca="false">HYPERLINK("https://www.inaturalist.org/people/treadcarefully","treadcarefully")</f>
        <v>treadcarefully</v>
      </c>
      <c r="G1512" s="9" t="s">
        <v>13</v>
      </c>
      <c r="H1512" s="9" t="s">
        <v>11513</v>
      </c>
    </row>
    <row r="1513" customFormat="false" ht="15.75" hidden="false" customHeight="false" outlineLevel="0" collapsed="false">
      <c r="B1513" s="7" t="n">
        <v>46222</v>
      </c>
      <c r="C1513" s="3" t="s">
        <v>11514</v>
      </c>
      <c r="D1513" s="3" t="s">
        <v>10944</v>
      </c>
      <c r="E1513" s="3" t="s">
        <v>11515</v>
      </c>
      <c r="F1513" s="10" t="str">
        <f aca="false">HYPERLINK("https://www.inaturalist.org/people/elisamariev","elisamariev")</f>
        <v>elisamariev</v>
      </c>
      <c r="G1513" s="9" t="s">
        <v>13</v>
      </c>
      <c r="H1513" s="9" t="s">
        <v>11516</v>
      </c>
    </row>
    <row r="1514" customFormat="false" ht="15.75" hidden="false" customHeight="false" outlineLevel="0" collapsed="false">
      <c r="B1514" s="7" t="n">
        <v>46222</v>
      </c>
      <c r="C1514" s="3" t="s">
        <v>11517</v>
      </c>
      <c r="D1514" s="3" t="s">
        <v>10944</v>
      </c>
      <c r="E1514" s="3" t="s">
        <v>11518</v>
      </c>
      <c r="F1514" s="10" t="str">
        <f aca="false">HYPERLINK("https://www.inaturalist.org/people/treadcarefully","treadcarefully")</f>
        <v>treadcarefully</v>
      </c>
      <c r="G1514" s="9" t="s">
        <v>13</v>
      </c>
      <c r="H1514" s="9" t="s">
        <v>11519</v>
      </c>
    </row>
    <row r="1515" customFormat="false" ht="15.75" hidden="false" customHeight="false" outlineLevel="0" collapsed="false">
      <c r="B1515" s="7" t="n">
        <v>46222</v>
      </c>
      <c r="C1515" s="3" t="s">
        <v>11520</v>
      </c>
      <c r="D1515" s="3" t="s">
        <v>10944</v>
      </c>
      <c r="E1515" s="3" t="s">
        <v>11521</v>
      </c>
      <c r="F1515" s="10" t="str">
        <f aca="false">HYPERLINK("https://www.inaturalist.org/people/maranthropus","maranthropus")</f>
        <v>maranthropus</v>
      </c>
      <c r="G1515" s="9" t="s">
        <v>13</v>
      </c>
      <c r="H1515" s="9" t="s">
        <v>11522</v>
      </c>
    </row>
    <row r="1516" customFormat="false" ht="15.75" hidden="false" customHeight="false" outlineLevel="0" collapsed="false">
      <c r="B1516" s="7" t="n">
        <v>46222</v>
      </c>
      <c r="C1516" s="3" t="s">
        <v>11523</v>
      </c>
      <c r="D1516" s="3" t="s">
        <v>10944</v>
      </c>
      <c r="E1516" s="3" t="s">
        <v>11524</v>
      </c>
      <c r="F1516" s="10" t="str">
        <f aca="false">HYPERLINK("https://www.inaturalist.org/people/elisamariev","elisamariev")</f>
        <v>elisamariev</v>
      </c>
      <c r="G1516" s="9" t="s">
        <v>13</v>
      </c>
      <c r="H1516" s="9" t="s">
        <v>11525</v>
      </c>
    </row>
    <row r="1517" customFormat="false" ht="15.75" hidden="false" customHeight="false" outlineLevel="0" collapsed="false">
      <c r="B1517" s="7" t="n">
        <v>46222</v>
      </c>
      <c r="C1517" s="3" t="s">
        <v>11526</v>
      </c>
      <c r="D1517" s="3" t="s">
        <v>10944</v>
      </c>
      <c r="E1517" s="3" t="s">
        <v>11527</v>
      </c>
      <c r="F1517" s="10" t="str">
        <f aca="false">HYPERLINK("https://www.inaturalist.org/people/carriemcc","carriemcc")</f>
        <v>carriemcc</v>
      </c>
      <c r="G1517" s="9" t="s">
        <v>13</v>
      </c>
      <c r="H1517" s="9" t="s">
        <v>11528</v>
      </c>
    </row>
    <row r="1518" customFormat="false" ht="15.75" hidden="false" customHeight="false" outlineLevel="0" collapsed="false">
      <c r="B1518" s="7" t="n">
        <v>46222</v>
      </c>
      <c r="C1518" s="3" t="s">
        <v>11529</v>
      </c>
      <c r="D1518" s="3" t="s">
        <v>10944</v>
      </c>
      <c r="E1518" s="3" t="s">
        <v>11530</v>
      </c>
      <c r="F1518" s="10" t="str">
        <f aca="false">HYPERLINK("https://www.inaturalist.org/people/eeriefrog","eeriefrog")</f>
        <v>eeriefrog</v>
      </c>
      <c r="G1518" s="9" t="s">
        <v>13</v>
      </c>
      <c r="H1518" s="9" t="s">
        <v>11531</v>
      </c>
    </row>
    <row r="1519" customFormat="false" ht="15.75" hidden="false" customHeight="false" outlineLevel="0" collapsed="false">
      <c r="B1519" s="7" t="n">
        <v>46222</v>
      </c>
      <c r="C1519" s="3" t="s">
        <v>11532</v>
      </c>
      <c r="D1519" s="3" t="s">
        <v>10944</v>
      </c>
      <c r="E1519" s="3" t="s">
        <v>11533</v>
      </c>
      <c r="F1519" s="10" t="str">
        <f aca="false">HYPERLINK("https://www.inaturalist.org/people/treadcarefully","treadcarefully")</f>
        <v>treadcarefully</v>
      </c>
      <c r="G1519" s="9" t="s">
        <v>13</v>
      </c>
      <c r="H1519" s="9" t="s">
        <v>11534</v>
      </c>
    </row>
    <row r="1520" customFormat="false" ht="15.75" hidden="false" customHeight="false" outlineLevel="0" collapsed="false">
      <c r="B1520" s="7" t="n">
        <v>46222</v>
      </c>
      <c r="C1520" s="3" t="s">
        <v>11535</v>
      </c>
      <c r="D1520" s="3" t="s">
        <v>10944</v>
      </c>
      <c r="E1520" s="3" t="s">
        <v>11536</v>
      </c>
      <c r="F1520" s="10" t="str">
        <f aca="false">HYPERLINK("https://www.inaturalist.org/people/krobits","krobits")</f>
        <v>krobits</v>
      </c>
      <c r="G1520" s="9" t="s">
        <v>13</v>
      </c>
      <c r="H1520" s="9" t="s">
        <v>11537</v>
      </c>
    </row>
    <row r="1521" customFormat="false" ht="15.75" hidden="false" customHeight="false" outlineLevel="0" collapsed="false">
      <c r="B1521" s="7" t="n">
        <v>46222</v>
      </c>
      <c r="C1521" s="3" t="s">
        <v>11538</v>
      </c>
      <c r="D1521" s="3" t="s">
        <v>10944</v>
      </c>
      <c r="E1521" s="3" t="s">
        <v>11539</v>
      </c>
      <c r="F1521" s="10" t="str">
        <f aca="false">HYPERLINK("https://www.inaturalist.org/people/treadcarefully","treadcarefully")</f>
        <v>treadcarefully</v>
      </c>
      <c r="G1521" s="9" t="s">
        <v>13</v>
      </c>
      <c r="H1521" s="9" t="s">
        <v>11540</v>
      </c>
    </row>
    <row r="1522" customFormat="false" ht="15.75" hidden="false" customHeight="false" outlineLevel="0" collapsed="false">
      <c r="B1522" s="7" t="n">
        <v>46222</v>
      </c>
      <c r="C1522" s="3" t="s">
        <v>11541</v>
      </c>
      <c r="D1522" s="3" t="s">
        <v>10944</v>
      </c>
      <c r="E1522" s="3" t="s">
        <v>11542</v>
      </c>
      <c r="F1522" s="10" t="str">
        <f aca="false">HYPERLINK("https://www.inaturalist.org/people/tlells","tlells")</f>
        <v>tlells</v>
      </c>
      <c r="G1522" s="9" t="s">
        <v>13</v>
      </c>
      <c r="H1522" s="9" t="s">
        <v>11543</v>
      </c>
    </row>
    <row r="1523" customFormat="false" ht="15.75" hidden="false" customHeight="false" outlineLevel="0" collapsed="false">
      <c r="B1523" s="7" t="n">
        <v>46222</v>
      </c>
      <c r="C1523" s="3" t="s">
        <v>11544</v>
      </c>
      <c r="D1523" s="3" t="s">
        <v>10944</v>
      </c>
      <c r="E1523" s="3" t="s">
        <v>11545</v>
      </c>
      <c r="F1523" s="10" t="str">
        <f aca="false">HYPERLINK("https://www.inaturalist.org/people/bburgnaturalist","bburgnaturalist")</f>
        <v>bburgnaturalist</v>
      </c>
      <c r="G1523" s="9" t="s">
        <v>13</v>
      </c>
      <c r="H1523" s="9" t="s">
        <v>11546</v>
      </c>
    </row>
    <row r="1524" customFormat="false" ht="15.75" hidden="false" customHeight="false" outlineLevel="0" collapsed="false">
      <c r="B1524" s="7" t="n">
        <v>46222</v>
      </c>
      <c r="C1524" s="3" t="s">
        <v>11547</v>
      </c>
      <c r="D1524" s="3" t="s">
        <v>10944</v>
      </c>
      <c r="E1524" s="3" t="s">
        <v>11548</v>
      </c>
      <c r="F1524" s="10" t="str">
        <f aca="false">HYPERLINK("https://www.inaturalist.org/people/scherbst","scherbst")</f>
        <v>scherbst</v>
      </c>
      <c r="G1524" s="9" t="s">
        <v>13</v>
      </c>
      <c r="H1524" s="9" t="s">
        <v>11549</v>
      </c>
    </row>
    <row r="1525" customFormat="false" ht="15.75" hidden="false" customHeight="false" outlineLevel="0" collapsed="false">
      <c r="B1525" s="7" t="n">
        <v>46222</v>
      </c>
      <c r="C1525" s="3" t="s">
        <v>11550</v>
      </c>
      <c r="D1525" s="3" t="s">
        <v>10944</v>
      </c>
      <c r="E1525" s="3" t="s">
        <v>11551</v>
      </c>
      <c r="F1525" s="10" t="str">
        <f aca="false">HYPERLINK("https://www.inaturalist.org/people/scherbst","scherbst")</f>
        <v>scherbst</v>
      </c>
      <c r="G1525" s="9" t="s">
        <v>13</v>
      </c>
      <c r="H1525" s="9" t="s">
        <v>11552</v>
      </c>
    </row>
    <row r="1526" customFormat="false" ht="15.75" hidden="false" customHeight="false" outlineLevel="0" collapsed="false">
      <c r="B1526" s="7" t="n">
        <v>46222</v>
      </c>
      <c r="C1526" s="3" t="s">
        <v>11553</v>
      </c>
      <c r="D1526" s="3" t="s">
        <v>10944</v>
      </c>
      <c r="E1526" s="3" t="s">
        <v>11554</v>
      </c>
      <c r="F1526" s="10" t="str">
        <f aca="false">HYPERLINK("https://www.inaturalist.org/people/scherbst","scherbst")</f>
        <v>scherbst</v>
      </c>
      <c r="G1526" s="9" t="s">
        <v>13</v>
      </c>
      <c r="H1526" s="9" t="s">
        <v>11555</v>
      </c>
    </row>
    <row r="1527" customFormat="false" ht="15.75" hidden="false" customHeight="false" outlineLevel="0" collapsed="false">
      <c r="B1527" s="7" t="n">
        <v>46222</v>
      </c>
      <c r="C1527" s="3" t="s">
        <v>11556</v>
      </c>
      <c r="D1527" s="3" t="s">
        <v>10944</v>
      </c>
      <c r="E1527" s="3" t="s">
        <v>11557</v>
      </c>
      <c r="F1527" s="10" t="str">
        <f aca="false">HYPERLINK("https://www.inaturalist.org/people/treadcarefully","treadcarefully")</f>
        <v>treadcarefully</v>
      </c>
      <c r="G1527" s="9" t="s">
        <v>13</v>
      </c>
      <c r="H1527" s="9" t="s">
        <v>11558</v>
      </c>
    </row>
    <row r="1528" customFormat="false" ht="15.75" hidden="false" customHeight="false" outlineLevel="0" collapsed="false">
      <c r="B1528" s="7" t="n">
        <v>46222</v>
      </c>
      <c r="C1528" s="3" t="s">
        <v>11559</v>
      </c>
      <c r="D1528" s="3" t="s">
        <v>10944</v>
      </c>
      <c r="E1528" s="3" t="s">
        <v>11560</v>
      </c>
      <c r="F1528" s="10" t="str">
        <f aca="false">HYPERLINK("https://www.inaturalist.org/people/thomasrc","thomasrc")</f>
        <v>thomasrc</v>
      </c>
      <c r="G1528" s="9" t="s">
        <v>13</v>
      </c>
      <c r="H1528" s="9" t="s">
        <v>11561</v>
      </c>
    </row>
    <row r="1529" customFormat="false" ht="15.75" hidden="false" customHeight="false" outlineLevel="0" collapsed="false">
      <c r="B1529" s="7" t="n">
        <v>46222</v>
      </c>
      <c r="C1529" s="3" t="s">
        <v>11562</v>
      </c>
      <c r="D1529" s="3" t="s">
        <v>10944</v>
      </c>
      <c r="E1529" s="3" t="s">
        <v>11563</v>
      </c>
      <c r="F1529" s="10" t="str">
        <f aca="false">HYPERLINK("https://www.inaturalist.org/people/em_nature","em_nature")</f>
        <v>em_nature</v>
      </c>
      <c r="G1529" s="9" t="s">
        <v>13</v>
      </c>
      <c r="H1529" s="9" t="s">
        <v>11564</v>
      </c>
    </row>
    <row r="1530" customFormat="false" ht="15.75" hidden="false" customHeight="false" outlineLevel="0" collapsed="false">
      <c r="B1530" s="7" t="n">
        <v>46222</v>
      </c>
      <c r="C1530" s="3" t="s">
        <v>11565</v>
      </c>
      <c r="D1530" s="3" t="s">
        <v>10944</v>
      </c>
      <c r="E1530" s="3" t="s">
        <v>11566</v>
      </c>
      <c r="F1530" s="10" t="str">
        <f aca="false">HYPERLINK("https://www.inaturalist.org/people/em_nature","em_nature")</f>
        <v>em_nature</v>
      </c>
      <c r="G1530" s="9" t="s">
        <v>13</v>
      </c>
      <c r="H1530" s="9" t="s">
        <v>11567</v>
      </c>
    </row>
    <row r="1531" customFormat="false" ht="15.75" hidden="false" customHeight="false" outlineLevel="0" collapsed="false">
      <c r="B1531" s="7" t="n">
        <v>46222</v>
      </c>
      <c r="C1531" s="3" t="s">
        <v>11568</v>
      </c>
      <c r="D1531" s="3" t="s">
        <v>10944</v>
      </c>
      <c r="E1531" s="3" t="s">
        <v>11569</v>
      </c>
      <c r="F1531" s="10" t="str">
        <f aca="false">HYPERLINK("https://www.inaturalist.org/people/treadcarefully","treadcarefully")</f>
        <v>treadcarefully</v>
      </c>
      <c r="G1531" s="9" t="s">
        <v>13</v>
      </c>
      <c r="H1531" s="9" t="s">
        <v>11570</v>
      </c>
    </row>
    <row r="1532" customFormat="false" ht="15.75" hidden="false" customHeight="false" outlineLevel="0" collapsed="false">
      <c r="B1532" s="7" t="n">
        <v>46222</v>
      </c>
      <c r="C1532" s="3" t="s">
        <v>11571</v>
      </c>
      <c r="D1532" s="3" t="s">
        <v>10944</v>
      </c>
      <c r="E1532" s="3" t="s">
        <v>11572</v>
      </c>
      <c r="F1532" s="10" t="str">
        <f aca="false">HYPERLINK("https://www.inaturalist.org/people/arand","arand")</f>
        <v>arand</v>
      </c>
      <c r="G1532" s="9" t="s">
        <v>13</v>
      </c>
      <c r="H1532" s="9" t="s">
        <v>11573</v>
      </c>
    </row>
    <row r="1533" customFormat="false" ht="15.75" hidden="false" customHeight="false" outlineLevel="0" collapsed="false">
      <c r="B1533" s="7" t="n">
        <v>46222</v>
      </c>
      <c r="C1533" s="3" t="s">
        <v>11574</v>
      </c>
      <c r="D1533" s="3" t="s">
        <v>10944</v>
      </c>
      <c r="E1533" s="3" t="s">
        <v>11575</v>
      </c>
      <c r="F1533" s="10" t="str">
        <f aca="false">HYPERLINK("https://www.inaturalist.org/people/wesleytheowl","wesleytheowl")</f>
        <v>wesleytheowl</v>
      </c>
      <c r="G1533" s="9" t="s">
        <v>13</v>
      </c>
      <c r="H1533" s="9" t="s">
        <v>11576</v>
      </c>
    </row>
    <row r="1534" customFormat="false" ht="15.75" hidden="false" customHeight="false" outlineLevel="0" collapsed="false">
      <c r="B1534" s="7" t="n">
        <v>46222</v>
      </c>
      <c r="C1534" s="3" t="s">
        <v>11577</v>
      </c>
      <c r="D1534" s="3" t="s">
        <v>10944</v>
      </c>
      <c r="E1534" s="3" t="s">
        <v>11578</v>
      </c>
      <c r="F1534" s="10" t="str">
        <f aca="false">HYPERLINK("https://www.inaturalist.org/people/ksuter13","ksuter13")</f>
        <v>ksuter13</v>
      </c>
      <c r="G1534" s="9" t="s">
        <v>13</v>
      </c>
      <c r="H1534" s="9" t="s">
        <v>11579</v>
      </c>
    </row>
    <row r="1535" customFormat="false" ht="15.75" hidden="false" customHeight="false" outlineLevel="0" collapsed="false">
      <c r="B1535" s="7" t="n">
        <v>46222</v>
      </c>
      <c r="C1535" s="3" t="s">
        <v>11580</v>
      </c>
      <c r="D1535" s="3" t="s">
        <v>10944</v>
      </c>
      <c r="E1535" s="3" t="s">
        <v>11581</v>
      </c>
      <c r="F1535" s="10" t="str">
        <f aca="false">HYPERLINK("https://www.inaturalist.org/people/elisamariev","elisamariev")</f>
        <v>elisamariev</v>
      </c>
      <c r="G1535" s="9" t="s">
        <v>13</v>
      </c>
      <c r="H1535" s="9" t="s">
        <v>11582</v>
      </c>
    </row>
    <row r="1536" customFormat="false" ht="15.75" hidden="false" customHeight="false" outlineLevel="0" collapsed="false">
      <c r="B1536" s="7" t="n">
        <v>46222</v>
      </c>
      <c r="C1536" s="3" t="s">
        <v>11583</v>
      </c>
      <c r="D1536" s="3" t="s">
        <v>10944</v>
      </c>
      <c r="E1536" s="3" t="s">
        <v>11584</v>
      </c>
      <c r="F1536" s="10" t="str">
        <f aca="false">HYPERLINK("https://www.inaturalist.org/people/maxillarynode","maxillarynode")</f>
        <v>maxillarynode</v>
      </c>
      <c r="G1536" s="9" t="s">
        <v>13</v>
      </c>
      <c r="H1536" s="9" t="s">
        <v>11585</v>
      </c>
    </row>
    <row r="1537" customFormat="false" ht="15.75" hidden="false" customHeight="false" outlineLevel="0" collapsed="false">
      <c r="B1537" s="7" t="n">
        <v>46222</v>
      </c>
      <c r="C1537" s="3" t="s">
        <v>11586</v>
      </c>
      <c r="D1537" s="3" t="s">
        <v>10944</v>
      </c>
      <c r="E1537" s="3" t="s">
        <v>11587</v>
      </c>
      <c r="F1537" s="10" t="str">
        <f aca="false">HYPERLINK("https://www.inaturalist.org/people/prof_bipasha_david_","prof_bipasha_david_")</f>
        <v>prof_bipasha_david_</v>
      </c>
      <c r="G1537" s="9" t="s">
        <v>13</v>
      </c>
      <c r="H1537" s="9" t="s">
        <v>11588</v>
      </c>
    </row>
    <row r="1538" customFormat="false" ht="15.75" hidden="false" customHeight="false" outlineLevel="0" collapsed="false">
      <c r="B1538" s="7" t="n">
        <v>46222</v>
      </c>
      <c r="C1538" s="3" t="s">
        <v>11589</v>
      </c>
      <c r="D1538" s="3" t="s">
        <v>10944</v>
      </c>
      <c r="E1538" s="3" t="s">
        <v>11590</v>
      </c>
      <c r="F1538" s="10" t="str">
        <f aca="false">HYPERLINK("https://www.inaturalist.org/people/joey_clarke","joey_clarke")</f>
        <v>joey_clarke</v>
      </c>
      <c r="G1538" s="9" t="s">
        <v>13</v>
      </c>
      <c r="H1538" s="9" t="s">
        <v>11591</v>
      </c>
    </row>
    <row r="1539" customFormat="false" ht="15.75" hidden="false" customHeight="false" outlineLevel="0" collapsed="false">
      <c r="B1539" s="7" t="n">
        <v>46222</v>
      </c>
      <c r="C1539" s="3" t="s">
        <v>11592</v>
      </c>
      <c r="D1539" s="3" t="s">
        <v>10944</v>
      </c>
      <c r="E1539" s="3" t="s">
        <v>11593</v>
      </c>
      <c r="F1539" s="10" t="str">
        <f aca="false">HYPERLINK("https://www.inaturalist.org/people/oliviamayy8","oliviamayy8")</f>
        <v>oliviamayy8</v>
      </c>
      <c r="G1539" s="9" t="s">
        <v>13</v>
      </c>
      <c r="H1539" s="9" t="s">
        <v>11594</v>
      </c>
    </row>
    <row r="1540" customFormat="false" ht="15.75" hidden="false" customHeight="false" outlineLevel="0" collapsed="false">
      <c r="B1540" s="7" t="n">
        <v>46222</v>
      </c>
      <c r="C1540" s="3" t="s">
        <v>11595</v>
      </c>
      <c r="D1540" s="3" t="s">
        <v>10944</v>
      </c>
      <c r="E1540" s="3" t="s">
        <v>11596</v>
      </c>
      <c r="F1540" s="10" t="str">
        <f aca="false">HYPERLINK("https://www.inaturalist.org/people/fairiesnshrooms","fairiesnshrooms")</f>
        <v>fairiesnshrooms</v>
      </c>
      <c r="G1540" s="9" t="s">
        <v>13</v>
      </c>
      <c r="H1540" s="9" t="s">
        <v>11597</v>
      </c>
    </row>
    <row r="1541" customFormat="false" ht="15.75" hidden="false" customHeight="false" outlineLevel="0" collapsed="false">
      <c r="B1541" s="7" t="n">
        <v>46222</v>
      </c>
      <c r="C1541" s="3" t="s">
        <v>11598</v>
      </c>
      <c r="D1541" s="3" t="s">
        <v>10944</v>
      </c>
      <c r="E1541" s="3" t="s">
        <v>11599</v>
      </c>
      <c r="F1541" s="10" t="str">
        <f aca="false">HYPERLINK("https://www.inaturalist.org/people/fairiesnshrooms","fairiesnshrooms")</f>
        <v>fairiesnshrooms</v>
      </c>
      <c r="G1541" s="9" t="s">
        <v>13</v>
      </c>
      <c r="H1541" s="9" t="s">
        <v>11600</v>
      </c>
    </row>
    <row r="1542" customFormat="false" ht="15.75" hidden="false" customHeight="false" outlineLevel="0" collapsed="false">
      <c r="B1542" s="7" t="n">
        <v>46222</v>
      </c>
      <c r="C1542" s="3" t="s">
        <v>11601</v>
      </c>
      <c r="D1542" s="3" t="s">
        <v>10944</v>
      </c>
      <c r="E1542" s="3" t="s">
        <v>11602</v>
      </c>
      <c r="F1542" s="10" t="str">
        <f aca="false">HYPERLINK("https://www.inaturalist.org/people/naomy24730","naomy24730")</f>
        <v>naomy24730</v>
      </c>
      <c r="G1542" s="9" t="s">
        <v>13</v>
      </c>
      <c r="H1542" s="9" t="s">
        <v>11603</v>
      </c>
    </row>
    <row r="1543" customFormat="false" ht="15.75" hidden="false" customHeight="false" outlineLevel="0" collapsed="false">
      <c r="B1543" s="7" t="n">
        <v>46222</v>
      </c>
      <c r="C1543" s="3" t="s">
        <v>11604</v>
      </c>
      <c r="D1543" s="3" t="s">
        <v>10944</v>
      </c>
      <c r="E1543" s="3" t="s">
        <v>11605</v>
      </c>
      <c r="F1543" s="10" t="str">
        <f aca="false">HYPERLINK("https://www.inaturalist.org/people/fairiesnshrooms","fairiesnshrooms")</f>
        <v>fairiesnshrooms</v>
      </c>
      <c r="G1543" s="9" t="s">
        <v>13</v>
      </c>
      <c r="H1543" s="9" t="s">
        <v>11606</v>
      </c>
    </row>
    <row r="1544" customFormat="false" ht="15.75" hidden="false" customHeight="false" outlineLevel="0" collapsed="false">
      <c r="B1544" s="7" t="n">
        <v>46222</v>
      </c>
      <c r="C1544" s="3" t="s">
        <v>11607</v>
      </c>
      <c r="D1544" s="3" t="s">
        <v>10944</v>
      </c>
      <c r="E1544" s="3" t="s">
        <v>11608</v>
      </c>
      <c r="F1544" s="10" t="str">
        <f aca="false">HYPERLINK("https://www.inaturalist.org/people/wanderingeden","wanderingeden")</f>
        <v>wanderingeden</v>
      </c>
      <c r="G1544" s="9" t="s">
        <v>13</v>
      </c>
      <c r="H1544" s="9" t="s">
        <v>11609</v>
      </c>
    </row>
    <row r="1545" customFormat="false" ht="15.75" hidden="false" customHeight="false" outlineLevel="0" collapsed="false">
      <c r="B1545" s="7" t="n">
        <v>46222</v>
      </c>
      <c r="C1545" s="3" t="s">
        <v>11610</v>
      </c>
      <c r="D1545" s="3" t="s">
        <v>10944</v>
      </c>
      <c r="E1545" s="3" t="s">
        <v>11611</v>
      </c>
      <c r="F1545" s="10" t="str">
        <f aca="false">HYPERLINK("https://www.inaturalist.org/people/wdonnelley","wdonnelley")</f>
        <v>wdonnelley</v>
      </c>
      <c r="G1545" s="9" t="s">
        <v>13</v>
      </c>
      <c r="H1545" s="9" t="s">
        <v>11612</v>
      </c>
    </row>
    <row r="1546" customFormat="false" ht="15.75" hidden="false" customHeight="false" outlineLevel="0" collapsed="false">
      <c r="B1546" s="7" t="n">
        <v>46222</v>
      </c>
      <c r="C1546" s="3" t="s">
        <v>11613</v>
      </c>
      <c r="D1546" s="3" t="s">
        <v>10944</v>
      </c>
      <c r="E1546" s="3" t="s">
        <v>11614</v>
      </c>
      <c r="F1546" s="10" t="str">
        <f aca="false">HYPERLINK("https://www.inaturalist.org/people/cferen13","cferen13")</f>
        <v>cferen13</v>
      </c>
      <c r="G1546" s="9" t="s">
        <v>13</v>
      </c>
      <c r="H1546" s="9" t="s">
        <v>11615</v>
      </c>
    </row>
    <row r="1547" customFormat="false" ht="15.75" hidden="false" customHeight="false" outlineLevel="0" collapsed="false">
      <c r="B1547" s="7" t="n">
        <v>46222</v>
      </c>
      <c r="C1547" s="3" t="s">
        <v>11616</v>
      </c>
      <c r="D1547" s="3" t="s">
        <v>10944</v>
      </c>
      <c r="E1547" s="3" t="s">
        <v>11617</v>
      </c>
      <c r="F1547" s="10" t="str">
        <f aca="false">HYPERLINK("https://www.inaturalist.org/people/inaturalist_cesar","inaturalist_cesar")</f>
        <v>inaturalist_cesar</v>
      </c>
      <c r="G1547" s="9" t="s">
        <v>13</v>
      </c>
      <c r="H1547" s="9" t="s">
        <v>11618</v>
      </c>
    </row>
    <row r="1548" customFormat="false" ht="15.75" hidden="false" customHeight="false" outlineLevel="0" collapsed="false">
      <c r="B1548" s="7" t="n">
        <v>46222</v>
      </c>
      <c r="C1548" s="3" t="s">
        <v>11619</v>
      </c>
      <c r="D1548" s="3" t="s">
        <v>10944</v>
      </c>
      <c r="E1548" s="3" t="s">
        <v>11620</v>
      </c>
      <c r="F1548" s="10" t="str">
        <f aca="false">HYPERLINK("https://www.inaturalist.org/people/wanderingeden","wanderingeden")</f>
        <v>wanderingeden</v>
      </c>
      <c r="G1548" s="9" t="s">
        <v>13</v>
      </c>
      <c r="H1548" s="9" t="s">
        <v>11621</v>
      </c>
    </row>
    <row r="1549" customFormat="false" ht="15.75" hidden="false" customHeight="false" outlineLevel="0" collapsed="false">
      <c r="B1549" s="7" t="n">
        <v>46222</v>
      </c>
      <c r="C1549" s="3" t="s">
        <v>11622</v>
      </c>
      <c r="D1549" s="3" t="s">
        <v>10944</v>
      </c>
      <c r="E1549" s="3" t="s">
        <v>11623</v>
      </c>
      <c r="F1549" s="10" t="str">
        <f aca="false">HYPERLINK("https://www.inaturalist.org/people/bc-pierre","bc-pierre")</f>
        <v>bc-pierre</v>
      </c>
      <c r="G1549" s="9" t="s">
        <v>13</v>
      </c>
      <c r="H1549" s="9" t="s">
        <v>11624</v>
      </c>
    </row>
    <row r="1550" customFormat="false" ht="15.75" hidden="false" customHeight="false" outlineLevel="0" collapsed="false">
      <c r="B1550" s="7" t="n">
        <v>46222</v>
      </c>
      <c r="C1550" s="3" t="s">
        <v>11625</v>
      </c>
      <c r="D1550" s="3" t="s">
        <v>10944</v>
      </c>
      <c r="E1550" s="3" t="s">
        <v>11626</v>
      </c>
      <c r="F1550" s="10" t="str">
        <f aca="false">HYPERLINK("https://www.inaturalist.org/people/tomclr","tomclr")</f>
        <v>tomclr</v>
      </c>
      <c r="G1550" s="9" t="s">
        <v>13</v>
      </c>
      <c r="H1550" s="9" t="s">
        <v>11627</v>
      </c>
    </row>
    <row r="1551" customFormat="false" ht="15.75" hidden="false" customHeight="false" outlineLevel="0" collapsed="false">
      <c r="B1551" s="7" t="n">
        <v>46222</v>
      </c>
      <c r="C1551" s="3" t="s">
        <v>11628</v>
      </c>
      <c r="D1551" s="3" t="s">
        <v>10944</v>
      </c>
      <c r="E1551" s="3" t="s">
        <v>11629</v>
      </c>
      <c r="F1551" s="10" t="str">
        <f aca="false">HYPERLINK("https://www.inaturalist.org/people/kynaturalistfeller","kynaturalistfeller")</f>
        <v>kynaturalistfeller</v>
      </c>
      <c r="G1551" s="9" t="s">
        <v>13</v>
      </c>
      <c r="H1551" s="9" t="s">
        <v>11630</v>
      </c>
    </row>
    <row r="1552" customFormat="false" ht="15.75" hidden="false" customHeight="false" outlineLevel="0" collapsed="false">
      <c r="B1552" s="7" t="n">
        <v>46222</v>
      </c>
      <c r="C1552" s="3" t="s">
        <v>11631</v>
      </c>
      <c r="D1552" s="3" t="s">
        <v>10944</v>
      </c>
      <c r="E1552" s="3" t="s">
        <v>11632</v>
      </c>
      <c r="F1552" s="10" t="str">
        <f aca="false">HYPERLINK("https://www.inaturalist.org/people/macklerath","macklerath")</f>
        <v>macklerath</v>
      </c>
      <c r="G1552" s="9" t="s">
        <v>13</v>
      </c>
      <c r="H1552" s="9" t="s">
        <v>11633</v>
      </c>
    </row>
    <row r="1553" customFormat="false" ht="15.75" hidden="false" customHeight="false" outlineLevel="0" collapsed="false">
      <c r="B1553" s="7" t="n">
        <v>46222</v>
      </c>
      <c r="C1553" s="3" t="s">
        <v>11634</v>
      </c>
      <c r="D1553" s="3" t="s">
        <v>10944</v>
      </c>
      <c r="E1553" s="3" t="s">
        <v>11635</v>
      </c>
      <c r="F1553" s="10" t="str">
        <f aca="false">HYPERLINK("https://www.inaturalist.org/people/joey_clarke","joey_clarke")</f>
        <v>joey_clarke</v>
      </c>
      <c r="G1553" s="9" t="s">
        <v>13</v>
      </c>
      <c r="H1553" s="9" t="s">
        <v>11636</v>
      </c>
    </row>
    <row r="1554" customFormat="false" ht="15.75" hidden="false" customHeight="false" outlineLevel="0" collapsed="false">
      <c r="B1554" s="7" t="n">
        <v>46222</v>
      </c>
      <c r="C1554" s="3" t="s">
        <v>11637</v>
      </c>
      <c r="D1554" s="3" t="s">
        <v>10944</v>
      </c>
      <c r="E1554" s="3" t="s">
        <v>11638</v>
      </c>
      <c r="F1554" s="10" t="str">
        <f aca="false">HYPERLINK("https://www.inaturalist.org/people/ik_web","ik_web")</f>
        <v>ik_web</v>
      </c>
      <c r="G1554" s="9" t="s">
        <v>13</v>
      </c>
      <c r="H1554" s="9" t="s">
        <v>11639</v>
      </c>
    </row>
    <row r="1555" customFormat="false" ht="15.75" hidden="false" customHeight="false" outlineLevel="0" collapsed="false">
      <c r="B1555" s="7" t="n">
        <v>46222</v>
      </c>
      <c r="C1555" s="3" t="s">
        <v>11640</v>
      </c>
      <c r="D1555" s="3" t="s">
        <v>10944</v>
      </c>
      <c r="E1555" s="3" t="s">
        <v>11641</v>
      </c>
      <c r="F1555" s="10" t="str">
        <f aca="false">HYPERLINK("https://www.inaturalist.org/people/madisyn21772","madisyn21772")</f>
        <v>madisyn21772</v>
      </c>
      <c r="G1555" s="9" t="s">
        <v>13</v>
      </c>
      <c r="H1555" s="9" t="s">
        <v>11642</v>
      </c>
    </row>
    <row r="1556" customFormat="false" ht="15.75" hidden="false" customHeight="false" outlineLevel="0" collapsed="false">
      <c r="B1556" s="7" t="n">
        <v>46222</v>
      </c>
      <c r="C1556" s="3" t="s">
        <v>11643</v>
      </c>
      <c r="D1556" s="3" t="s">
        <v>10944</v>
      </c>
      <c r="E1556" s="3" t="s">
        <v>11644</v>
      </c>
      <c r="F1556" s="10" t="str">
        <f aca="false">HYPERLINK("https://www.inaturalist.org/people/oliviamayy8","oliviamayy8")</f>
        <v>oliviamayy8</v>
      </c>
      <c r="G1556" s="9" t="s">
        <v>13</v>
      </c>
      <c r="H1556" s="9" t="s">
        <v>11645</v>
      </c>
    </row>
    <row r="1557" customFormat="false" ht="15.75" hidden="false" customHeight="false" outlineLevel="0" collapsed="false">
      <c r="B1557" s="7" t="n">
        <v>46222</v>
      </c>
      <c r="C1557" s="3" t="s">
        <v>11646</v>
      </c>
      <c r="D1557" s="3" t="s">
        <v>10944</v>
      </c>
      <c r="E1557" s="3" t="s">
        <v>11647</v>
      </c>
      <c r="F1557" s="10" t="str">
        <f aca="false">HYPERLINK("https://www.inaturalist.org/people/ashleightree","ashleightree")</f>
        <v>ashleightree</v>
      </c>
      <c r="G1557" s="9" t="s">
        <v>13</v>
      </c>
      <c r="H1557" s="9" t="s">
        <v>11648</v>
      </c>
    </row>
    <row r="1558" customFormat="false" ht="15.75" hidden="false" customHeight="false" outlineLevel="0" collapsed="false">
      <c r="B1558" s="7" t="n">
        <v>46222</v>
      </c>
      <c r="C1558" s="3" t="s">
        <v>11649</v>
      </c>
      <c r="D1558" s="3" t="s">
        <v>10944</v>
      </c>
      <c r="E1558" s="3" t="s">
        <v>11650</v>
      </c>
      <c r="F1558" s="10" t="str">
        <f aca="false">HYPERLINK("https://www.inaturalist.org/people/cferen13","cferen13")</f>
        <v>cferen13</v>
      </c>
      <c r="G1558" s="9" t="s">
        <v>13</v>
      </c>
      <c r="H1558" s="9" t="s">
        <v>11651</v>
      </c>
    </row>
    <row r="1559" customFormat="false" ht="15.75" hidden="false" customHeight="false" outlineLevel="0" collapsed="false">
      <c r="B1559" s="7" t="n">
        <v>46222</v>
      </c>
      <c r="C1559" s="3" t="s">
        <v>11652</v>
      </c>
      <c r="D1559" s="3" t="s">
        <v>10944</v>
      </c>
      <c r="E1559" s="3" t="s">
        <v>11653</v>
      </c>
      <c r="F1559" s="10" t="str">
        <f aca="false">HYPERLINK("https://www.inaturalist.org/people/rosie45562","rosie45562")</f>
        <v>rosie45562</v>
      </c>
      <c r="G1559" s="9" t="s">
        <v>13</v>
      </c>
      <c r="H1559" s="9" t="s">
        <v>11654</v>
      </c>
    </row>
    <row r="1560" customFormat="false" ht="15.75" hidden="false" customHeight="false" outlineLevel="0" collapsed="false">
      <c r="B1560" s="7" t="n">
        <v>46222</v>
      </c>
      <c r="C1560" s="3" t="s">
        <v>11655</v>
      </c>
      <c r="D1560" s="3" t="s">
        <v>10944</v>
      </c>
      <c r="E1560" s="3" t="s">
        <v>11656</v>
      </c>
      <c r="F1560" s="10" t="str">
        <f aca="false">HYPERLINK("https://www.inaturalist.org/people/eastsooke","eastsooke")</f>
        <v>eastsooke</v>
      </c>
      <c r="G1560" s="9" t="s">
        <v>13</v>
      </c>
      <c r="H1560" s="9" t="s">
        <v>11657</v>
      </c>
    </row>
    <row r="1561" customFormat="false" ht="15.75" hidden="false" customHeight="false" outlineLevel="0" collapsed="false">
      <c r="B1561" s="7" t="n">
        <v>46222</v>
      </c>
      <c r="C1561" s="3" t="s">
        <v>11658</v>
      </c>
      <c r="D1561" s="3" t="s">
        <v>10944</v>
      </c>
      <c r="E1561" s="3" t="s">
        <v>11659</v>
      </c>
      <c r="F1561" s="10" t="str">
        <f aca="false">HYPERLINK("https://www.inaturalist.org/people/denzil_b","denzil_b")</f>
        <v>denzil_b</v>
      </c>
      <c r="G1561" s="9" t="s">
        <v>13</v>
      </c>
      <c r="H1561" s="9" t="s">
        <v>11660</v>
      </c>
    </row>
    <row r="1562" customFormat="false" ht="15.75" hidden="false" customHeight="false" outlineLevel="0" collapsed="false">
      <c r="B1562" s="7" t="n">
        <v>46222</v>
      </c>
      <c r="C1562" s="3" t="s">
        <v>11661</v>
      </c>
      <c r="D1562" s="3" t="s">
        <v>10944</v>
      </c>
      <c r="E1562" s="3" t="s">
        <v>11662</v>
      </c>
      <c r="F1562" s="10" t="str">
        <f aca="false">HYPERLINK("https://www.inaturalist.org/people/eastsooke","eastsooke")</f>
        <v>eastsooke</v>
      </c>
      <c r="G1562" s="9" t="s">
        <v>13</v>
      </c>
      <c r="H1562" s="9" t="s">
        <v>11663</v>
      </c>
    </row>
    <row r="1563" customFormat="false" ht="15.75" hidden="false" customHeight="false" outlineLevel="0" collapsed="false">
      <c r="B1563" s="7" t="n">
        <v>46222</v>
      </c>
      <c r="C1563" s="3" t="s">
        <v>11664</v>
      </c>
      <c r="D1563" s="3" t="s">
        <v>10944</v>
      </c>
      <c r="E1563" s="3" t="s">
        <v>11665</v>
      </c>
      <c r="F1563" s="10" t="str">
        <f aca="false">HYPERLINK("https://www.inaturalist.org/people/rosie45562","rosie45562")</f>
        <v>rosie45562</v>
      </c>
      <c r="G1563" s="9" t="s">
        <v>13</v>
      </c>
      <c r="H1563" s="9" t="s">
        <v>11666</v>
      </c>
    </row>
    <row r="1564" customFormat="false" ht="15.75" hidden="false" customHeight="false" outlineLevel="0" collapsed="false">
      <c r="B1564" s="7" t="n">
        <v>46222</v>
      </c>
      <c r="C1564" s="3" t="s">
        <v>11667</v>
      </c>
      <c r="D1564" s="3" t="s">
        <v>10944</v>
      </c>
      <c r="E1564" s="3" t="s">
        <v>11668</v>
      </c>
      <c r="F1564" s="10" t="str">
        <f aca="false">HYPERLINK("https://www.inaturalist.org/people/oliviamayy8","oliviamayy8")</f>
        <v>oliviamayy8</v>
      </c>
      <c r="G1564" s="9" t="s">
        <v>13</v>
      </c>
      <c r="H1564" s="9" t="s">
        <v>11669</v>
      </c>
    </row>
    <row r="1565" customFormat="false" ht="15.75" hidden="false" customHeight="false" outlineLevel="0" collapsed="false">
      <c r="B1565" s="7" t="n">
        <v>46222</v>
      </c>
      <c r="C1565" s="3" t="s">
        <v>11670</v>
      </c>
      <c r="D1565" s="3" t="s">
        <v>10944</v>
      </c>
      <c r="E1565" s="3" t="s">
        <v>11671</v>
      </c>
      <c r="F1565" s="10" t="str">
        <f aca="false">HYPERLINK("https://www.inaturalist.org/people/fairiesnshrooms","fairiesnshrooms")</f>
        <v>fairiesnshrooms</v>
      </c>
      <c r="G1565" s="9" t="s">
        <v>13</v>
      </c>
      <c r="H1565" s="9" t="s">
        <v>11672</v>
      </c>
    </row>
    <row r="1566" customFormat="false" ht="15.75" hidden="false" customHeight="false" outlineLevel="0" collapsed="false">
      <c r="B1566" s="7" t="n">
        <v>46222</v>
      </c>
      <c r="C1566" s="3" t="s">
        <v>11673</v>
      </c>
      <c r="D1566" s="3" t="s">
        <v>10944</v>
      </c>
      <c r="E1566" s="3" t="s">
        <v>11674</v>
      </c>
      <c r="F1566" s="10" t="str">
        <f aca="false">HYPERLINK("https://www.inaturalist.org/people/kuzma_parsons","kuzma_parsons")</f>
        <v>kuzma_parsons</v>
      </c>
      <c r="G1566" s="9" t="s">
        <v>13</v>
      </c>
      <c r="H1566" s="9" t="s">
        <v>11675</v>
      </c>
    </row>
    <row r="1567" customFormat="false" ht="15.75" hidden="false" customHeight="false" outlineLevel="0" collapsed="false">
      <c r="B1567" s="7" t="n">
        <v>46222</v>
      </c>
      <c r="C1567" s="3" t="s">
        <v>11676</v>
      </c>
      <c r="D1567" s="3" t="s">
        <v>10944</v>
      </c>
      <c r="E1567" s="3" t="s">
        <v>11677</v>
      </c>
      <c r="F1567" s="10" t="str">
        <f aca="false">HYPERLINK("https://www.inaturalist.org/people/mogardener10","mogardener10")</f>
        <v>mogardener10</v>
      </c>
      <c r="G1567" s="9" t="s">
        <v>13</v>
      </c>
      <c r="H1567" s="9" t="s">
        <v>11678</v>
      </c>
    </row>
    <row r="1568" customFormat="false" ht="15.75" hidden="false" customHeight="false" outlineLevel="0" collapsed="false">
      <c r="B1568" s="7" t="n">
        <v>46222</v>
      </c>
      <c r="C1568" s="3" t="s">
        <v>11679</v>
      </c>
      <c r="D1568" s="3" t="s">
        <v>10944</v>
      </c>
      <c r="E1568" s="3" t="s">
        <v>11680</v>
      </c>
      <c r="F1568" s="10" t="str">
        <f aca="false">HYPERLINK("https://www.inaturalist.org/people/janellebar","janellebar")</f>
        <v>janellebar</v>
      </c>
      <c r="G1568" s="9" t="s">
        <v>13</v>
      </c>
      <c r="H1568" s="9" t="s">
        <v>11681</v>
      </c>
    </row>
    <row r="1569" customFormat="false" ht="15.75" hidden="false" customHeight="false" outlineLevel="0" collapsed="false">
      <c r="B1569" s="7" t="n">
        <v>46222</v>
      </c>
      <c r="C1569" s="3" t="s">
        <v>11682</v>
      </c>
      <c r="D1569" s="3" t="s">
        <v>10944</v>
      </c>
      <c r="E1569" s="3" t="s">
        <v>11683</v>
      </c>
      <c r="F1569" s="10" t="str">
        <f aca="false">HYPERLINK("https://www.inaturalist.org/people/kentross","kentross")</f>
        <v>kentross</v>
      </c>
      <c r="G1569" s="9" t="s">
        <v>13</v>
      </c>
      <c r="H1569" s="9" t="s">
        <v>11684</v>
      </c>
    </row>
    <row r="1570" customFormat="false" ht="15.75" hidden="false" customHeight="false" outlineLevel="0" collapsed="false">
      <c r="B1570" s="7" t="n">
        <v>46222</v>
      </c>
      <c r="C1570" s="3" t="s">
        <v>11685</v>
      </c>
      <c r="D1570" s="3" t="s">
        <v>10944</v>
      </c>
      <c r="E1570" s="3" t="s">
        <v>11686</v>
      </c>
      <c r="F1570" s="10" t="str">
        <f aca="false">HYPERLINK("https://www.inaturalist.org/people/leprendre","leprendre")</f>
        <v>leprendre</v>
      </c>
      <c r="G1570" s="9" t="s">
        <v>13</v>
      </c>
      <c r="H1570" s="9" t="s">
        <v>11687</v>
      </c>
    </row>
    <row r="1571" customFormat="false" ht="15.75" hidden="false" customHeight="false" outlineLevel="0" collapsed="false">
      <c r="B1571" s="7" t="n">
        <v>46222</v>
      </c>
      <c r="C1571" s="3" t="s">
        <v>11688</v>
      </c>
      <c r="D1571" s="3" t="s">
        <v>10944</v>
      </c>
      <c r="E1571" s="3" t="s">
        <v>11689</v>
      </c>
      <c r="F1571" s="10" t="str">
        <f aca="false">HYPERLINK("https://www.inaturalist.org/people/denzil_b","denzil_b")</f>
        <v>denzil_b</v>
      </c>
      <c r="G1571" s="9" t="s">
        <v>13</v>
      </c>
      <c r="H1571" s="9" t="s">
        <v>11690</v>
      </c>
    </row>
    <row r="1572" customFormat="false" ht="15.75" hidden="false" customHeight="false" outlineLevel="0" collapsed="false">
      <c r="B1572" s="7" t="n">
        <v>46222</v>
      </c>
      <c r="C1572" s="3" t="s">
        <v>11691</v>
      </c>
      <c r="D1572" s="3" t="s">
        <v>10944</v>
      </c>
      <c r="E1572" s="3" t="s">
        <v>11692</v>
      </c>
      <c r="F1572" s="10" t="str">
        <f aca="false">HYPERLINK("https://www.inaturalist.org/people/joey_clarke","joey_clarke")</f>
        <v>joey_clarke</v>
      </c>
      <c r="G1572" s="9" t="s">
        <v>13</v>
      </c>
      <c r="H1572" s="9" t="s">
        <v>11693</v>
      </c>
    </row>
    <row r="1573" customFormat="false" ht="15.75" hidden="false" customHeight="false" outlineLevel="0" collapsed="false">
      <c r="B1573" s="7" t="n">
        <v>46222</v>
      </c>
      <c r="C1573" s="3" t="s">
        <v>11694</v>
      </c>
      <c r="D1573" s="3" t="s">
        <v>10944</v>
      </c>
      <c r="E1573" s="3" t="s">
        <v>11695</v>
      </c>
      <c r="F1573" s="10" t="str">
        <f aca="false">HYPERLINK("https://www.inaturalist.org/people/oliviamayy8","oliviamayy8")</f>
        <v>oliviamayy8</v>
      </c>
      <c r="G1573" s="9" t="s">
        <v>13</v>
      </c>
      <c r="H1573" s="9" t="s">
        <v>11696</v>
      </c>
    </row>
    <row r="1574" customFormat="false" ht="15.75" hidden="false" customHeight="false" outlineLevel="0" collapsed="false">
      <c r="B1574" s="7" t="n">
        <v>46222</v>
      </c>
      <c r="C1574" s="3" t="s">
        <v>11697</v>
      </c>
      <c r="D1574" s="3" t="s">
        <v>10944</v>
      </c>
      <c r="E1574" s="3" t="s">
        <v>11698</v>
      </c>
      <c r="F1574" s="10" t="str">
        <f aca="false">HYPERLINK("https://www.inaturalist.org/people/lovett","lovett")</f>
        <v>lovett</v>
      </c>
      <c r="G1574" s="9" t="s">
        <v>13</v>
      </c>
      <c r="H1574" s="9" t="s">
        <v>11699</v>
      </c>
    </row>
    <row r="1575" customFormat="false" ht="15.75" hidden="false" customHeight="false" outlineLevel="0" collapsed="false">
      <c r="B1575" s="7" t="n">
        <v>46222</v>
      </c>
      <c r="C1575" s="3" t="s">
        <v>11700</v>
      </c>
      <c r="D1575" s="3" t="s">
        <v>10944</v>
      </c>
      <c r="E1575" s="3" t="s">
        <v>11701</v>
      </c>
      <c r="F1575" s="10" t="str">
        <f aca="false">HYPERLINK("https://www.inaturalist.org/people/lovett","lovett")</f>
        <v>lovett</v>
      </c>
      <c r="G1575" s="9" t="s">
        <v>13</v>
      </c>
      <c r="H1575" s="9" t="s">
        <v>11702</v>
      </c>
    </row>
    <row r="1576" customFormat="false" ht="15.75" hidden="false" customHeight="false" outlineLevel="0" collapsed="false">
      <c r="B1576" s="7" t="n">
        <v>46222</v>
      </c>
      <c r="C1576" s="3" t="s">
        <v>11703</v>
      </c>
      <c r="D1576" s="3" t="s">
        <v>10944</v>
      </c>
      <c r="E1576" s="3" t="s">
        <v>11704</v>
      </c>
      <c r="F1576" s="10" t="str">
        <f aca="false">HYPERLINK("https://www.inaturalist.org/people/saggital","saggital")</f>
        <v>saggital</v>
      </c>
      <c r="G1576" s="9" t="s">
        <v>13</v>
      </c>
      <c r="H1576" s="9" t="s">
        <v>11705</v>
      </c>
    </row>
    <row r="1577" customFormat="false" ht="15.75" hidden="false" customHeight="false" outlineLevel="0" collapsed="false">
      <c r="B1577" s="7" t="n">
        <v>46222</v>
      </c>
      <c r="C1577" s="3" t="s">
        <v>11706</v>
      </c>
      <c r="D1577" s="3" t="s">
        <v>10944</v>
      </c>
      <c r="E1577" s="3" t="s">
        <v>11707</v>
      </c>
      <c r="F1577" s="10" t="str">
        <f aca="false">HYPERLINK("https://www.inaturalist.org/people/saggital","saggital")</f>
        <v>saggital</v>
      </c>
      <c r="G1577" s="9" t="s">
        <v>13</v>
      </c>
      <c r="H1577" s="9" t="s">
        <v>11708</v>
      </c>
    </row>
    <row r="1578" customFormat="false" ht="15.75" hidden="false" customHeight="false" outlineLevel="0" collapsed="false">
      <c r="B1578" s="7" t="n">
        <v>46222</v>
      </c>
      <c r="C1578" s="3" t="s">
        <v>11709</v>
      </c>
      <c r="D1578" s="3" t="s">
        <v>10944</v>
      </c>
      <c r="E1578" s="3" t="s">
        <v>11710</v>
      </c>
      <c r="F1578" s="10" t="str">
        <f aca="false">HYPERLINK("https://www.inaturalist.org/people/jack0inat","jack0inat")</f>
        <v>jack0inat</v>
      </c>
      <c r="G1578" s="9" t="s">
        <v>13</v>
      </c>
      <c r="H1578" s="9" t="s">
        <v>11711</v>
      </c>
    </row>
    <row r="1579" customFormat="false" ht="15.75" hidden="false" customHeight="false" outlineLevel="0" collapsed="false">
      <c r="B1579" s="7" t="n">
        <v>46222</v>
      </c>
      <c r="C1579" s="3" t="s">
        <v>11712</v>
      </c>
      <c r="D1579" s="3" t="s">
        <v>10944</v>
      </c>
      <c r="E1579" s="3" t="s">
        <v>11713</v>
      </c>
      <c r="F1579" s="10" t="str">
        <f aca="false">HYPERLINK("https://www.inaturalist.org/people/elisamariev","elisamariev")</f>
        <v>elisamariev</v>
      </c>
      <c r="G1579" s="9" t="s">
        <v>13</v>
      </c>
      <c r="H1579" s="9" t="s">
        <v>11714</v>
      </c>
    </row>
    <row r="1580" customFormat="false" ht="15.75" hidden="false" customHeight="false" outlineLevel="0" collapsed="false">
      <c r="B1580" s="7" t="n">
        <v>46222</v>
      </c>
      <c r="C1580" s="3" t="s">
        <v>11715</v>
      </c>
      <c r="D1580" s="3" t="s">
        <v>10944</v>
      </c>
      <c r="E1580" s="3" t="s">
        <v>11716</v>
      </c>
      <c r="F1580" s="10" t="str">
        <f aca="false">HYPERLINK("https://www.inaturalist.org/people/kentross","kentross")</f>
        <v>kentross</v>
      </c>
      <c r="G1580" s="9" t="s">
        <v>13</v>
      </c>
      <c r="H1580" s="9" t="s">
        <v>11717</v>
      </c>
    </row>
    <row r="1581" customFormat="false" ht="15.75" hidden="false" customHeight="false" outlineLevel="0" collapsed="false">
      <c r="B1581" s="7" t="n">
        <v>46222</v>
      </c>
      <c r="C1581" s="3" t="s">
        <v>11718</v>
      </c>
      <c r="D1581" s="3" t="s">
        <v>10944</v>
      </c>
      <c r="E1581" s="3" t="s">
        <v>11719</v>
      </c>
      <c r="F1581" s="10" t="str">
        <f aca="false">HYPERLINK("https://www.inaturalist.org/people/pgkaestner","pgkaestner")</f>
        <v>pgkaestner</v>
      </c>
      <c r="G1581" s="9" t="s">
        <v>13</v>
      </c>
      <c r="H1581" s="9" t="s">
        <v>11720</v>
      </c>
    </row>
    <row r="1582" customFormat="false" ht="15.75" hidden="false" customHeight="false" outlineLevel="0" collapsed="false">
      <c r="B1582" s="7" t="n">
        <v>46222</v>
      </c>
      <c r="C1582" s="3" t="s">
        <v>11721</v>
      </c>
      <c r="D1582" s="3" t="s">
        <v>10944</v>
      </c>
      <c r="E1582" s="3" t="s">
        <v>11722</v>
      </c>
      <c r="F1582" s="10" t="str">
        <f aca="false">HYPERLINK("https://www.inaturalist.org/people/shilpagadgil","shilpagadgil")</f>
        <v>shilpagadgil</v>
      </c>
      <c r="G1582" s="9" t="s">
        <v>13</v>
      </c>
      <c r="H1582" s="9" t="s">
        <v>11723</v>
      </c>
    </row>
    <row r="1583" customFormat="false" ht="15.75" hidden="false" customHeight="false" outlineLevel="0" collapsed="false">
      <c r="B1583" s="7" t="n">
        <v>46222</v>
      </c>
      <c r="C1583" s="3" t="s">
        <v>11724</v>
      </c>
      <c r="D1583" s="3" t="s">
        <v>10944</v>
      </c>
      <c r="E1583" s="3" t="s">
        <v>11725</v>
      </c>
      <c r="F1583" s="10" t="str">
        <f aca="false">HYPERLINK("https://www.inaturalist.org/people/kentross","kentross")</f>
        <v>kentross</v>
      </c>
      <c r="G1583" s="9" t="s">
        <v>13</v>
      </c>
      <c r="H1583" s="9" t="s">
        <v>11726</v>
      </c>
    </row>
    <row r="1584" customFormat="false" ht="15.75" hidden="false" customHeight="false" outlineLevel="0" collapsed="false">
      <c r="B1584" s="7" t="n">
        <v>46222</v>
      </c>
      <c r="C1584" s="3" t="s">
        <v>11727</v>
      </c>
      <c r="D1584" s="3" t="s">
        <v>10944</v>
      </c>
      <c r="E1584" s="3" t="s">
        <v>11728</v>
      </c>
      <c r="F1584" s="10" t="str">
        <f aca="false">HYPERLINK("https://www.inaturalist.org/people/kentross","kentross")</f>
        <v>kentross</v>
      </c>
      <c r="G1584" s="9" t="s">
        <v>13</v>
      </c>
      <c r="H1584" s="9" t="s">
        <v>11729</v>
      </c>
    </row>
    <row r="1585" customFormat="false" ht="15.75" hidden="false" customHeight="false" outlineLevel="0" collapsed="false">
      <c r="B1585" s="7" t="n">
        <v>46222</v>
      </c>
      <c r="C1585" s="3" t="s">
        <v>11730</v>
      </c>
      <c r="D1585" s="3" t="s">
        <v>10944</v>
      </c>
      <c r="E1585" s="3" t="s">
        <v>11731</v>
      </c>
      <c r="F1585" s="10" t="str">
        <f aca="false">HYPERLINK("https://www.inaturalist.org/people/wanderingeden","wanderingeden")</f>
        <v>wanderingeden</v>
      </c>
      <c r="G1585" s="9" t="s">
        <v>13</v>
      </c>
      <c r="H1585" s="9" t="s">
        <v>11732</v>
      </c>
    </row>
    <row r="1586" customFormat="false" ht="15.75" hidden="false" customHeight="false" outlineLevel="0" collapsed="false">
      <c r="B1586" s="7" t="n">
        <v>46222</v>
      </c>
      <c r="C1586" s="3" t="s">
        <v>11733</v>
      </c>
      <c r="D1586" s="3" t="s">
        <v>10944</v>
      </c>
      <c r="E1586" s="3" t="s">
        <v>11734</v>
      </c>
      <c r="F1586" s="10" t="str">
        <f aca="false">HYPERLINK("https://www.inaturalist.org/people/dylan93048","dylan93048")</f>
        <v>dylan93048</v>
      </c>
      <c r="G1586" s="9" t="s">
        <v>13</v>
      </c>
      <c r="H1586" s="9" t="s">
        <v>11735</v>
      </c>
    </row>
    <row r="1587" customFormat="false" ht="15.75" hidden="false" customHeight="false" outlineLevel="0" collapsed="false">
      <c r="B1587" s="7" t="n">
        <v>46222</v>
      </c>
      <c r="C1587" s="3" t="s">
        <v>11736</v>
      </c>
      <c r="D1587" s="3" t="s">
        <v>10944</v>
      </c>
      <c r="E1587" s="3" t="s">
        <v>11737</v>
      </c>
      <c r="F1587" s="10" t="str">
        <f aca="false">HYPERLINK("https://www.inaturalist.org/people/eben56815","eben56815")</f>
        <v>eben56815</v>
      </c>
      <c r="G1587" s="9" t="s">
        <v>13</v>
      </c>
      <c r="H1587" s="9" t="s">
        <v>11738</v>
      </c>
    </row>
    <row r="1588" customFormat="false" ht="15.75" hidden="false" customHeight="false" outlineLevel="0" collapsed="false">
      <c r="B1588" s="7" t="n">
        <v>46222</v>
      </c>
      <c r="C1588" s="3" t="s">
        <v>11739</v>
      </c>
      <c r="D1588" s="3" t="s">
        <v>10944</v>
      </c>
      <c r="E1588" s="3" t="s">
        <v>11740</v>
      </c>
      <c r="F1588" s="10" t="str">
        <f aca="false">HYPERLINK("https://www.inaturalist.org/people/mattdemmon","mattdemmon")</f>
        <v>mattdemmon</v>
      </c>
      <c r="G1588" s="9" t="s">
        <v>13</v>
      </c>
      <c r="H1588" s="9" t="s">
        <v>11741</v>
      </c>
    </row>
    <row r="1589" customFormat="false" ht="15.75" hidden="false" customHeight="false" outlineLevel="0" collapsed="false">
      <c r="B1589" s="7" t="n">
        <v>46222</v>
      </c>
      <c r="C1589" s="3" t="s">
        <v>11742</v>
      </c>
      <c r="D1589" s="3" t="s">
        <v>10944</v>
      </c>
      <c r="E1589" s="3" t="s">
        <v>11743</v>
      </c>
      <c r="F1589" s="10" t="str">
        <f aca="false">HYPERLINK("https://www.inaturalist.org/people/inatter","inatter")</f>
        <v>inatter</v>
      </c>
      <c r="G1589" s="9" t="s">
        <v>13</v>
      </c>
      <c r="H1589" s="9" t="s">
        <v>11744</v>
      </c>
    </row>
    <row r="1590" customFormat="false" ht="15.75" hidden="false" customHeight="false" outlineLevel="0" collapsed="false">
      <c r="B1590" s="7" t="n">
        <v>46222</v>
      </c>
      <c r="C1590" s="3" t="s">
        <v>11745</v>
      </c>
      <c r="D1590" s="3" t="s">
        <v>10944</v>
      </c>
      <c r="E1590" s="3" t="s">
        <v>11746</v>
      </c>
      <c r="F1590" s="10" t="str">
        <f aca="false">HYPERLINK("https://www.inaturalist.org/people/hardyrk","hardyrk")</f>
        <v>hardyrk</v>
      </c>
      <c r="G1590" s="9" t="s">
        <v>13</v>
      </c>
      <c r="H1590" s="9" t="s">
        <v>11747</v>
      </c>
    </row>
    <row r="1591" customFormat="false" ht="15.75" hidden="false" customHeight="false" outlineLevel="0" collapsed="false">
      <c r="B1591" s="7" t="n">
        <v>46222</v>
      </c>
      <c r="C1591" s="3" t="s">
        <v>11748</v>
      </c>
      <c r="D1591" s="3" t="s">
        <v>10944</v>
      </c>
      <c r="E1591" s="3" t="s">
        <v>11749</v>
      </c>
      <c r="F1591" s="10" t="str">
        <f aca="false">HYPERLINK("https://www.inaturalist.org/people/jjs1","jjs1")</f>
        <v>jjs1</v>
      </c>
      <c r="G1591" s="9" t="s">
        <v>13</v>
      </c>
      <c r="H1591" s="9" t="s">
        <v>11750</v>
      </c>
    </row>
    <row r="1592" customFormat="false" ht="15.75" hidden="false" customHeight="false" outlineLevel="0" collapsed="false">
      <c r="B1592" s="7" t="n">
        <v>46222</v>
      </c>
      <c r="C1592" s="3" t="s">
        <v>11751</v>
      </c>
      <c r="D1592" s="3" t="s">
        <v>10944</v>
      </c>
      <c r="E1592" s="3" t="s">
        <v>11752</v>
      </c>
      <c r="F1592" s="10" t="str">
        <f aca="false">HYPERLINK("https://www.inaturalist.org/people/ken_j_allison","ken_j_allison")</f>
        <v>ken_j_allison</v>
      </c>
      <c r="G1592" s="9" t="s">
        <v>13</v>
      </c>
      <c r="H1592" s="9" t="s">
        <v>11753</v>
      </c>
    </row>
    <row r="1593" customFormat="false" ht="15.75" hidden="false" customHeight="false" outlineLevel="0" collapsed="false">
      <c r="B1593" s="7" t="n">
        <v>46222</v>
      </c>
      <c r="C1593" s="3" t="s">
        <v>11754</v>
      </c>
      <c r="D1593" s="3" t="s">
        <v>10944</v>
      </c>
      <c r="E1593" s="3" t="s">
        <v>11755</v>
      </c>
      <c r="F1593" s="10" t="str">
        <f aca="false">HYPERLINK("https://www.inaturalist.org/people/joey_clarke","joey_clarke")</f>
        <v>joey_clarke</v>
      </c>
      <c r="G1593" s="9" t="s">
        <v>13</v>
      </c>
      <c r="H1593" s="9" t="s">
        <v>11756</v>
      </c>
    </row>
    <row r="1594" customFormat="false" ht="15.75" hidden="false" customHeight="false" outlineLevel="0" collapsed="false">
      <c r="B1594" s="7" t="n">
        <v>46222</v>
      </c>
      <c r="C1594" s="3" t="s">
        <v>11757</v>
      </c>
      <c r="D1594" s="3" t="s">
        <v>10944</v>
      </c>
      <c r="E1594" s="3" t="s">
        <v>11758</v>
      </c>
      <c r="F1594" s="10" t="str">
        <f aca="false">HYPERLINK("https://www.inaturalist.org/people/jimbo225","jimbo225")</f>
        <v>jimbo225</v>
      </c>
      <c r="G1594" s="9" t="s">
        <v>13</v>
      </c>
      <c r="H1594" s="9" t="s">
        <v>11759</v>
      </c>
    </row>
    <row r="1595" customFormat="false" ht="15.75" hidden="false" customHeight="false" outlineLevel="0" collapsed="false">
      <c r="B1595" s="7" t="n">
        <v>46222</v>
      </c>
      <c r="C1595" s="3" t="s">
        <v>11760</v>
      </c>
      <c r="D1595" s="3" t="s">
        <v>10944</v>
      </c>
      <c r="E1595" s="3" t="s">
        <v>11761</v>
      </c>
      <c r="F1595" s="10" t="str">
        <f aca="false">HYPERLINK("https://www.inaturalist.org/people/dayhannanicole","dayhannanicole")</f>
        <v>dayhannanicole</v>
      </c>
      <c r="G1595" s="9" t="s">
        <v>13</v>
      </c>
      <c r="H1595" s="9" t="s">
        <v>11762</v>
      </c>
    </row>
    <row r="1596" customFormat="false" ht="15.75" hidden="false" customHeight="false" outlineLevel="0" collapsed="false">
      <c r="B1596" s="7" t="n">
        <v>46222</v>
      </c>
      <c r="C1596" s="3" t="s">
        <v>11763</v>
      </c>
      <c r="D1596" s="3" t="s">
        <v>10944</v>
      </c>
      <c r="E1596" s="3" t="s">
        <v>11764</v>
      </c>
      <c r="F1596" s="10" t="str">
        <f aca="false">HYPERLINK("https://www.inaturalist.org/people/hardyrk","hardyrk")</f>
        <v>hardyrk</v>
      </c>
      <c r="G1596" s="9" t="s">
        <v>13</v>
      </c>
      <c r="H1596" s="9" t="s">
        <v>11765</v>
      </c>
    </row>
    <row r="1597" customFormat="false" ht="15.75" hidden="false" customHeight="false" outlineLevel="0" collapsed="false">
      <c r="B1597" s="7" t="n">
        <v>46222</v>
      </c>
      <c r="C1597" s="3" t="s">
        <v>11766</v>
      </c>
      <c r="D1597" s="3" t="s">
        <v>10944</v>
      </c>
      <c r="E1597" s="3" t="s">
        <v>11767</v>
      </c>
      <c r="F1597" s="10" t="str">
        <f aca="false">HYPERLINK("https://www.inaturalist.org/people/eastsooke","eastsooke")</f>
        <v>eastsooke</v>
      </c>
      <c r="G1597" s="9" t="s">
        <v>13</v>
      </c>
      <c r="H1597" s="9" t="s">
        <v>11768</v>
      </c>
    </row>
    <row r="1598" customFormat="false" ht="15.75" hidden="false" customHeight="false" outlineLevel="0" collapsed="false">
      <c r="B1598" s="7" t="n">
        <v>46222</v>
      </c>
      <c r="C1598" s="3" t="s">
        <v>11769</v>
      </c>
      <c r="D1598" s="3" t="s">
        <v>10944</v>
      </c>
      <c r="E1598" s="3" t="s">
        <v>11770</v>
      </c>
      <c r="F1598" s="10" t="str">
        <f aca="false">HYPERLINK("https://www.inaturalist.org/people/elisamariev","elisamariev")</f>
        <v>elisamariev</v>
      </c>
      <c r="G1598" s="9" t="s">
        <v>13</v>
      </c>
      <c r="H1598" s="9" t="s">
        <v>11771</v>
      </c>
    </row>
    <row r="1599" customFormat="false" ht="15.75" hidden="false" customHeight="false" outlineLevel="0" collapsed="false">
      <c r="B1599" s="7" t="n">
        <v>46222</v>
      </c>
      <c r="C1599" s="3" t="s">
        <v>11772</v>
      </c>
      <c r="D1599" s="3" t="s">
        <v>10944</v>
      </c>
      <c r="E1599" s="3" t="s">
        <v>11773</v>
      </c>
      <c r="F1599" s="10" t="str">
        <f aca="false">HYPERLINK("https://www.inaturalist.org/people/tomclr","tomclr")</f>
        <v>tomclr</v>
      </c>
      <c r="G1599" s="9" t="s">
        <v>13</v>
      </c>
      <c r="H1599" s="9" t="s">
        <v>11774</v>
      </c>
    </row>
    <row r="1600" customFormat="false" ht="15.75" hidden="false" customHeight="false" outlineLevel="0" collapsed="false">
      <c r="B1600" s="7" t="n">
        <v>46222</v>
      </c>
      <c r="C1600" s="3" t="s">
        <v>11775</v>
      </c>
      <c r="D1600" s="3" t="s">
        <v>10944</v>
      </c>
      <c r="E1600" s="3" t="s">
        <v>11776</v>
      </c>
      <c r="F1600" s="10" t="str">
        <f aca="false">HYPERLINK("https://www.inaturalist.org/people/eben56815","eben56815")</f>
        <v>eben56815</v>
      </c>
      <c r="G1600" s="9" t="s">
        <v>13</v>
      </c>
      <c r="H1600" s="9" t="s">
        <v>11777</v>
      </c>
    </row>
    <row r="1601" customFormat="false" ht="15.75" hidden="false" customHeight="false" outlineLevel="0" collapsed="false">
      <c r="B1601" s="7" t="n">
        <v>46222</v>
      </c>
      <c r="C1601" s="3" t="s">
        <v>11778</v>
      </c>
      <c r="D1601" s="3" t="s">
        <v>10944</v>
      </c>
      <c r="E1601" s="3" t="s">
        <v>11779</v>
      </c>
      <c r="F1601" s="10" t="str">
        <f aca="false">HYPERLINK("https://www.inaturalist.org/people/rae__thoma","rae__thoma")</f>
        <v>rae__thoma</v>
      </c>
      <c r="G1601" s="9" t="s">
        <v>13</v>
      </c>
      <c r="H1601" s="9" t="s">
        <v>11780</v>
      </c>
    </row>
    <row r="1602" customFormat="false" ht="15.75" hidden="false" customHeight="false" outlineLevel="0" collapsed="false">
      <c r="B1602" s="7" t="n">
        <v>46222</v>
      </c>
      <c r="C1602" s="3" t="s">
        <v>11781</v>
      </c>
      <c r="D1602" s="3" t="s">
        <v>10944</v>
      </c>
      <c r="E1602" s="3" t="s">
        <v>11782</v>
      </c>
      <c r="F1602" s="10" t="str">
        <f aca="false">HYPERLINK("https://www.inaturalist.org/people/wanderingeden","wanderingeden")</f>
        <v>wanderingeden</v>
      </c>
      <c r="G1602" s="9" t="s">
        <v>13</v>
      </c>
      <c r="H1602" s="9" t="s">
        <v>11783</v>
      </c>
    </row>
    <row r="1603" customFormat="false" ht="15.75" hidden="false" customHeight="false" outlineLevel="0" collapsed="false">
      <c r="B1603" s="7" t="n">
        <v>46222</v>
      </c>
      <c r="C1603" s="3" t="s">
        <v>11784</v>
      </c>
      <c r="D1603" s="3" t="s">
        <v>10944</v>
      </c>
      <c r="E1603" s="3" t="s">
        <v>11785</v>
      </c>
      <c r="F1603" s="10" t="str">
        <f aca="false">HYPERLINK("https://www.inaturalist.org/people/dylan93048","dylan93048")</f>
        <v>dylan93048</v>
      </c>
      <c r="G1603" s="9" t="s">
        <v>13</v>
      </c>
      <c r="H1603" s="9" t="s">
        <v>11786</v>
      </c>
    </row>
    <row r="1604" customFormat="false" ht="15.75" hidden="false" customHeight="false" outlineLevel="0" collapsed="false">
      <c r="B1604" s="7" t="n">
        <v>46222</v>
      </c>
      <c r="C1604" s="3" t="s">
        <v>11787</v>
      </c>
      <c r="D1604" s="3" t="s">
        <v>10944</v>
      </c>
      <c r="E1604" s="3" t="s">
        <v>11788</v>
      </c>
      <c r="F1604" s="10" t="str">
        <f aca="false">HYPERLINK("https://www.inaturalist.org/people/jey42","jey42")</f>
        <v>jey42</v>
      </c>
      <c r="G1604" s="9" t="s">
        <v>13</v>
      </c>
      <c r="H1604" s="9" t="s">
        <v>11789</v>
      </c>
    </row>
    <row r="1605" customFormat="false" ht="15.75" hidden="false" customHeight="false" outlineLevel="0" collapsed="false">
      <c r="B1605" s="7" t="n">
        <v>46222</v>
      </c>
      <c r="C1605" s="3" t="s">
        <v>11790</v>
      </c>
      <c r="D1605" s="3" t="s">
        <v>10944</v>
      </c>
      <c r="E1605" s="3" t="s">
        <v>11791</v>
      </c>
      <c r="F1605" s="10" t="str">
        <f aca="false">HYPERLINK("https://www.inaturalist.org/people/jey42","jey42")</f>
        <v>jey42</v>
      </c>
      <c r="G1605" s="9" t="s">
        <v>13</v>
      </c>
      <c r="H1605" s="9" t="s">
        <v>11792</v>
      </c>
    </row>
    <row r="1606" customFormat="false" ht="15.75" hidden="false" customHeight="false" outlineLevel="0" collapsed="false">
      <c r="B1606" s="7" t="n">
        <v>46222</v>
      </c>
      <c r="C1606" s="3" t="s">
        <v>11793</v>
      </c>
      <c r="D1606" s="3" t="s">
        <v>10944</v>
      </c>
      <c r="E1606" s="3" t="s">
        <v>11794</v>
      </c>
      <c r="F1606" s="10" t="str">
        <f aca="false">HYPERLINK("https://www.inaturalist.org/people/elisamariev","elisamariev")</f>
        <v>elisamariev</v>
      </c>
      <c r="G1606" s="9" t="s">
        <v>13</v>
      </c>
      <c r="H1606" s="9" t="s">
        <v>11795</v>
      </c>
    </row>
    <row r="1607" customFormat="false" ht="15.75" hidden="false" customHeight="false" outlineLevel="0" collapsed="false">
      <c r="B1607" s="7" t="n">
        <v>46222</v>
      </c>
      <c r="C1607" s="3" t="s">
        <v>11796</v>
      </c>
      <c r="D1607" s="3" t="s">
        <v>10944</v>
      </c>
      <c r="E1607" s="3" t="s">
        <v>11797</v>
      </c>
      <c r="F1607" s="10" t="str">
        <f aca="false">HYPERLINK("https://www.inaturalist.org/people/madisyn21772","madisyn21772")</f>
        <v>madisyn21772</v>
      </c>
      <c r="G1607" s="9" t="s">
        <v>13</v>
      </c>
      <c r="H1607" s="9" t="s">
        <v>11798</v>
      </c>
    </row>
    <row r="1608" customFormat="false" ht="15.75" hidden="false" customHeight="false" outlineLevel="0" collapsed="false">
      <c r="B1608" s="7" t="n">
        <v>46222</v>
      </c>
      <c r="C1608" s="3" t="s">
        <v>11799</v>
      </c>
      <c r="D1608" s="3" t="s">
        <v>10944</v>
      </c>
      <c r="E1608" s="3" t="s">
        <v>11800</v>
      </c>
      <c r="F1608" s="10" t="str">
        <f aca="false">HYPERLINK("https://www.inaturalist.org/people/emfishcreek","emfishcreek")</f>
        <v>emfishcreek</v>
      </c>
      <c r="G1608" s="9" t="s">
        <v>13</v>
      </c>
      <c r="H1608" s="9" t="s">
        <v>11801</v>
      </c>
    </row>
    <row r="1609" customFormat="false" ht="15.75" hidden="false" customHeight="false" outlineLevel="0" collapsed="false">
      <c r="B1609" s="7" t="n">
        <v>46222</v>
      </c>
      <c r="C1609" s="3" t="s">
        <v>11802</v>
      </c>
      <c r="D1609" s="3" t="s">
        <v>10944</v>
      </c>
      <c r="E1609" s="3" t="s">
        <v>11803</v>
      </c>
      <c r="F1609" s="10" t="str">
        <f aca="false">HYPERLINK("https://www.inaturalist.org/people/tomclr","tomclr")</f>
        <v>tomclr</v>
      </c>
      <c r="G1609" s="9" t="s">
        <v>13</v>
      </c>
      <c r="H1609" s="9" t="s">
        <v>11804</v>
      </c>
    </row>
    <row r="1610" customFormat="false" ht="15.75" hidden="false" customHeight="false" outlineLevel="0" collapsed="false">
      <c r="B1610" s="7" t="n">
        <v>46222</v>
      </c>
      <c r="C1610" s="3" t="s">
        <v>11805</v>
      </c>
      <c r="D1610" s="3" t="s">
        <v>10944</v>
      </c>
      <c r="E1610" s="3" t="s">
        <v>11806</v>
      </c>
      <c r="F1610" s="10" t="str">
        <f aca="false">HYPERLINK("https://www.inaturalist.org/people/penguinsarethebest869","penguinsarethebest869")</f>
        <v>penguinsarethebest869</v>
      </c>
      <c r="G1610" s="9" t="s">
        <v>13</v>
      </c>
      <c r="H1610" s="9" t="s">
        <v>11807</v>
      </c>
    </row>
    <row r="1611" customFormat="false" ht="15.75" hidden="false" customHeight="false" outlineLevel="0" collapsed="false">
      <c r="B1611" s="7" t="n">
        <v>46222</v>
      </c>
      <c r="C1611" s="3" t="s">
        <v>11808</v>
      </c>
      <c r="D1611" s="3" t="s">
        <v>10944</v>
      </c>
      <c r="E1611" s="3" t="s">
        <v>11809</v>
      </c>
      <c r="F1611" s="10" t="str">
        <f aca="false">HYPERLINK("https://www.inaturalist.org/people/darin101","darin101")</f>
        <v>darin101</v>
      </c>
      <c r="G1611" s="9" t="s">
        <v>13</v>
      </c>
      <c r="H1611" s="9" t="s">
        <v>11810</v>
      </c>
    </row>
    <row r="1612" customFormat="false" ht="15.75" hidden="false" customHeight="false" outlineLevel="0" collapsed="false">
      <c r="B1612" s="7" t="n">
        <v>46222</v>
      </c>
      <c r="C1612" s="3" t="s">
        <v>11811</v>
      </c>
      <c r="D1612" s="3" t="s">
        <v>10944</v>
      </c>
      <c r="E1612" s="3" t="s">
        <v>11812</v>
      </c>
      <c r="F1612" s="10" t="str">
        <f aca="false">HYPERLINK("https://www.inaturalist.org/people/tomclr","tomclr")</f>
        <v>tomclr</v>
      </c>
      <c r="G1612" s="9" t="s">
        <v>13</v>
      </c>
      <c r="H1612" s="9" t="s">
        <v>11813</v>
      </c>
    </row>
    <row r="1613" customFormat="false" ht="15.75" hidden="false" customHeight="false" outlineLevel="0" collapsed="false">
      <c r="B1613" s="7" t="n">
        <v>46222</v>
      </c>
      <c r="C1613" s="3" t="s">
        <v>11814</v>
      </c>
      <c r="D1613" s="3" t="s">
        <v>10944</v>
      </c>
      <c r="E1613" s="3" t="s">
        <v>11815</v>
      </c>
      <c r="F1613" s="10" t="str">
        <f aca="false">HYPERLINK("https://www.inaturalist.org/people/joseph12414","joseph12414")</f>
        <v>joseph12414</v>
      </c>
      <c r="G1613" s="9" t="s">
        <v>13</v>
      </c>
      <c r="H1613" s="9" t="s">
        <v>11816</v>
      </c>
    </row>
    <row r="1614" customFormat="false" ht="15.75" hidden="false" customHeight="false" outlineLevel="0" collapsed="false">
      <c r="B1614" s="7" t="n">
        <v>46222</v>
      </c>
      <c r="C1614" s="3" t="s">
        <v>11817</v>
      </c>
      <c r="D1614" s="3" t="s">
        <v>10944</v>
      </c>
      <c r="E1614" s="3" t="s">
        <v>11818</v>
      </c>
      <c r="F1614" s="10" t="str">
        <f aca="false">HYPERLINK("https://www.inaturalist.org/people/melonlike","melonlike")</f>
        <v>melonlike</v>
      </c>
      <c r="G1614" s="9" t="s">
        <v>13</v>
      </c>
      <c r="H1614" s="9" t="s">
        <v>11819</v>
      </c>
    </row>
    <row r="1615" customFormat="false" ht="15.75" hidden="false" customHeight="false" outlineLevel="0" collapsed="false">
      <c r="B1615" s="7" t="n">
        <v>46222</v>
      </c>
      <c r="C1615" s="3" t="s">
        <v>11820</v>
      </c>
      <c r="D1615" s="3" t="s">
        <v>10944</v>
      </c>
      <c r="E1615" s="3" t="s">
        <v>11821</v>
      </c>
      <c r="F1615" s="10" t="str">
        <f aca="false">HYPERLINK("https://www.inaturalist.org/people/fraseran","fraseran")</f>
        <v>fraseran</v>
      </c>
      <c r="G1615" s="9" t="s">
        <v>13</v>
      </c>
      <c r="H1615" s="9" t="s">
        <v>11822</v>
      </c>
    </row>
    <row r="1616" customFormat="false" ht="15.75" hidden="false" customHeight="false" outlineLevel="0" collapsed="false">
      <c r="B1616" s="7" t="n">
        <v>46222</v>
      </c>
      <c r="C1616" s="3" t="s">
        <v>11823</v>
      </c>
      <c r="D1616" s="3" t="s">
        <v>10944</v>
      </c>
      <c r="E1616" s="3" t="s">
        <v>11824</v>
      </c>
      <c r="F1616" s="10" t="str">
        <f aca="false">HYPERLINK("https://www.inaturalist.org/people/gen2050","gen2050")</f>
        <v>gen2050</v>
      </c>
      <c r="G1616" s="9" t="s">
        <v>13</v>
      </c>
      <c r="H1616" s="9" t="s">
        <v>11825</v>
      </c>
    </row>
    <row r="1617" customFormat="false" ht="15.75" hidden="false" customHeight="false" outlineLevel="0" collapsed="false">
      <c r="B1617" s="7" t="n">
        <v>46222</v>
      </c>
      <c r="C1617" s="3" t="s">
        <v>11826</v>
      </c>
      <c r="D1617" s="3" t="s">
        <v>10944</v>
      </c>
      <c r="E1617" s="3" t="s">
        <v>11827</v>
      </c>
      <c r="F1617" s="10" t="str">
        <f aca="false">HYPERLINK("https://www.inaturalist.org/people/gen2050","gen2050")</f>
        <v>gen2050</v>
      </c>
      <c r="G1617" s="9" t="s">
        <v>13</v>
      </c>
      <c r="H1617" s="9" t="s">
        <v>11828</v>
      </c>
    </row>
    <row r="1618" customFormat="false" ht="15.75" hidden="false" customHeight="false" outlineLevel="0" collapsed="false">
      <c r="B1618" s="7" t="n">
        <v>46222</v>
      </c>
      <c r="C1618" s="3" t="s">
        <v>11829</v>
      </c>
      <c r="D1618" s="3" t="s">
        <v>10944</v>
      </c>
      <c r="E1618" s="3" t="s">
        <v>11830</v>
      </c>
      <c r="F1618" s="10" t="str">
        <f aca="false">HYPERLINK("https://www.inaturalist.org/people/gen2050","gen2050")</f>
        <v>gen2050</v>
      </c>
      <c r="G1618" s="9" t="s">
        <v>13</v>
      </c>
      <c r="H1618" s="9" t="s">
        <v>11831</v>
      </c>
    </row>
    <row r="1619" customFormat="false" ht="15.75" hidden="false" customHeight="false" outlineLevel="0" collapsed="false">
      <c r="B1619" s="7" t="n">
        <v>46222</v>
      </c>
      <c r="C1619" s="3" t="s">
        <v>11832</v>
      </c>
      <c r="D1619" s="3" t="s">
        <v>10944</v>
      </c>
      <c r="E1619" s="3" t="s">
        <v>11833</v>
      </c>
      <c r="F1619" s="10" t="str">
        <f aca="false">HYPERLINK("https://www.inaturalist.org/people/gemstom","gemstom")</f>
        <v>gemstom</v>
      </c>
      <c r="G1619" s="9" t="s">
        <v>13</v>
      </c>
      <c r="H1619" s="9" t="s">
        <v>11834</v>
      </c>
    </row>
    <row r="1620" customFormat="false" ht="15.75" hidden="false" customHeight="false" outlineLevel="0" collapsed="false">
      <c r="B1620" s="7" t="n">
        <v>46222</v>
      </c>
      <c r="C1620" s="3" t="s">
        <v>11835</v>
      </c>
      <c r="D1620" s="3" t="s">
        <v>10944</v>
      </c>
      <c r="E1620" s="3" t="s">
        <v>11836</v>
      </c>
      <c r="F1620" s="10" t="str">
        <f aca="false">HYPERLINK("https://www.inaturalist.org/people/naturecuriosity","naturecuriosity")</f>
        <v>naturecuriosity</v>
      </c>
      <c r="G1620" s="9" t="s">
        <v>13</v>
      </c>
      <c r="H1620" s="9" t="s">
        <v>11837</v>
      </c>
    </row>
    <row r="1621" customFormat="false" ht="15.75" hidden="false" customHeight="false" outlineLevel="0" collapsed="false">
      <c r="B1621" s="7" t="n">
        <v>46222</v>
      </c>
      <c r="C1621" s="3" t="s">
        <v>11838</v>
      </c>
      <c r="D1621" s="3" t="s">
        <v>10944</v>
      </c>
      <c r="E1621" s="3" t="s">
        <v>11839</v>
      </c>
      <c r="F1621" s="10" t="str">
        <f aca="false">HYPERLINK("https://www.inaturalist.org/people/melonlike","melonlike")</f>
        <v>melonlike</v>
      </c>
      <c r="G1621" s="9" t="s">
        <v>13</v>
      </c>
      <c r="H1621" s="9" t="s">
        <v>11840</v>
      </c>
    </row>
    <row r="1622" customFormat="false" ht="15.75" hidden="false" customHeight="false" outlineLevel="0" collapsed="false">
      <c r="B1622" s="7" t="n">
        <v>46222</v>
      </c>
      <c r="C1622" s="3" t="s">
        <v>11841</v>
      </c>
      <c r="D1622" s="3" t="s">
        <v>10944</v>
      </c>
      <c r="E1622" s="3" t="s">
        <v>11842</v>
      </c>
      <c r="F1622" s="10" t="str">
        <f aca="false">HYPERLINK("https://www.inaturalist.org/people/matteuccia","matteuccia")</f>
        <v>matteuccia</v>
      </c>
      <c r="G1622" s="9" t="s">
        <v>13</v>
      </c>
      <c r="H1622" s="9" t="s">
        <v>11843</v>
      </c>
    </row>
    <row r="1623" customFormat="false" ht="15.75" hidden="false" customHeight="false" outlineLevel="0" collapsed="false">
      <c r="B1623" s="7" t="n">
        <v>46222</v>
      </c>
      <c r="C1623" s="3" t="s">
        <v>11844</v>
      </c>
      <c r="D1623" s="3" t="s">
        <v>10944</v>
      </c>
      <c r="E1623" s="3" t="s">
        <v>11845</v>
      </c>
      <c r="F1623" s="10" t="str">
        <f aca="false">HYPERLINK("https://www.inaturalist.org/people/silverydragon","silverydragon")</f>
        <v>silverydragon</v>
      </c>
      <c r="G1623" s="9" t="s">
        <v>13</v>
      </c>
      <c r="H1623" s="9" t="s">
        <v>11846</v>
      </c>
    </row>
    <row r="1624" customFormat="false" ht="15.75" hidden="false" customHeight="false" outlineLevel="0" collapsed="false">
      <c r="B1624" s="7" t="n">
        <v>46222</v>
      </c>
      <c r="C1624" s="3" t="s">
        <v>11847</v>
      </c>
      <c r="D1624" s="3" t="s">
        <v>10944</v>
      </c>
      <c r="E1624" s="3" t="s">
        <v>11848</v>
      </c>
      <c r="F1624" s="10" t="str">
        <f aca="false">HYPERLINK("https://www.inaturalist.org/people/wanderingeden","wanderingeden")</f>
        <v>wanderingeden</v>
      </c>
      <c r="G1624" s="9" t="s">
        <v>13</v>
      </c>
      <c r="H1624" s="9" t="s">
        <v>11849</v>
      </c>
    </row>
    <row r="1625" customFormat="false" ht="15.75" hidden="false" customHeight="false" outlineLevel="0" collapsed="false">
      <c r="B1625" s="7" t="n">
        <v>46222</v>
      </c>
      <c r="C1625" s="3" t="s">
        <v>11850</v>
      </c>
      <c r="D1625" s="3" t="s">
        <v>10944</v>
      </c>
      <c r="E1625" s="3" t="s">
        <v>11851</v>
      </c>
      <c r="F1625" s="10" t="str">
        <f aca="false">HYPERLINK("https://www.inaturalist.org/people/tomclr","tomclr")</f>
        <v>tomclr</v>
      </c>
      <c r="G1625" s="9" t="s">
        <v>13</v>
      </c>
      <c r="H1625" s="9" t="s">
        <v>11852</v>
      </c>
    </row>
    <row r="1626" customFormat="false" ht="15.75" hidden="false" customHeight="false" outlineLevel="0" collapsed="false">
      <c r="B1626" s="7" t="n">
        <v>46222</v>
      </c>
      <c r="C1626" s="3" t="s">
        <v>11853</v>
      </c>
      <c r="D1626" s="3" t="s">
        <v>10944</v>
      </c>
      <c r="E1626" s="3" t="s">
        <v>11854</v>
      </c>
      <c r="F1626" s="10" t="str">
        <f aca="false">HYPERLINK("https://www.inaturalist.org/people/tomclr","tomclr")</f>
        <v>tomclr</v>
      </c>
      <c r="G1626" s="9" t="s">
        <v>13</v>
      </c>
      <c r="H1626" s="9" t="s">
        <v>11855</v>
      </c>
    </row>
    <row r="1627" customFormat="false" ht="15.75" hidden="false" customHeight="false" outlineLevel="0" collapsed="false">
      <c r="B1627" s="7" t="n">
        <v>46222</v>
      </c>
      <c r="C1627" s="3" t="s">
        <v>11856</v>
      </c>
      <c r="D1627" s="3" t="s">
        <v>10944</v>
      </c>
      <c r="E1627" s="3" t="s">
        <v>11857</v>
      </c>
      <c r="F1627" s="10" t="str">
        <f aca="false">HYPERLINK("https://www.inaturalist.org/people/megaelim","megaelim")</f>
        <v>megaelim</v>
      </c>
      <c r="G1627" s="9" t="s">
        <v>13</v>
      </c>
      <c r="H1627" s="9" t="s">
        <v>11858</v>
      </c>
    </row>
    <row r="1628" customFormat="false" ht="15.75" hidden="false" customHeight="false" outlineLevel="0" collapsed="false">
      <c r="B1628" s="7" t="n">
        <v>46222</v>
      </c>
      <c r="C1628" s="3" t="s">
        <v>11859</v>
      </c>
      <c r="D1628" s="3" t="s">
        <v>10944</v>
      </c>
      <c r="E1628" s="3" t="s">
        <v>11860</v>
      </c>
      <c r="F1628" s="10" t="str">
        <f aca="false">HYPERLINK("https://www.inaturalist.org/people/elisamariev","elisamariev")</f>
        <v>elisamariev</v>
      </c>
      <c r="G1628" s="9" t="s">
        <v>13</v>
      </c>
      <c r="H1628" s="9" t="s">
        <v>11861</v>
      </c>
    </row>
    <row r="1629" customFormat="false" ht="15.75" hidden="false" customHeight="false" outlineLevel="0" collapsed="false">
      <c r="B1629" s="7" t="n">
        <v>46222</v>
      </c>
      <c r="C1629" s="3" t="s">
        <v>11862</v>
      </c>
      <c r="D1629" s="3" t="s">
        <v>10944</v>
      </c>
      <c r="E1629" s="3" t="s">
        <v>11863</v>
      </c>
      <c r="F1629" s="10" t="str">
        <f aca="false">HYPERLINK("https://www.inaturalist.org/people/toryga","toryga")</f>
        <v>toryga</v>
      </c>
      <c r="G1629" s="9" t="s">
        <v>13</v>
      </c>
      <c r="H1629" s="9" t="s">
        <v>11864</v>
      </c>
    </row>
    <row r="1630" customFormat="false" ht="15.75" hidden="false" customHeight="false" outlineLevel="0" collapsed="false">
      <c r="B1630" s="7" t="n">
        <v>46222</v>
      </c>
      <c r="C1630" s="3" t="s">
        <v>11865</v>
      </c>
      <c r="D1630" s="3" t="s">
        <v>10944</v>
      </c>
      <c r="E1630" s="3" t="s">
        <v>11866</v>
      </c>
      <c r="F1630" s="10" t="str">
        <f aca="false">HYPERLINK("https://www.inaturalist.org/people/photolith","photolith")</f>
        <v>photolith</v>
      </c>
      <c r="G1630" s="9" t="s">
        <v>13</v>
      </c>
      <c r="H1630" s="9" t="s">
        <v>11867</v>
      </c>
    </row>
    <row r="1631" customFormat="false" ht="15.75" hidden="false" customHeight="false" outlineLevel="0" collapsed="false">
      <c r="B1631" s="7" t="n">
        <v>46222</v>
      </c>
      <c r="C1631" s="3" t="s">
        <v>11868</v>
      </c>
      <c r="D1631" s="3" t="s">
        <v>10944</v>
      </c>
      <c r="E1631" s="3" t="s">
        <v>11869</v>
      </c>
      <c r="F1631" s="10" t="str">
        <f aca="false">HYPERLINK("https://www.inaturalist.org/people/lily226","lily226")</f>
        <v>lily226</v>
      </c>
      <c r="G1631" s="9" t="s">
        <v>13</v>
      </c>
      <c r="H1631" s="9" t="s">
        <v>11870</v>
      </c>
    </row>
    <row r="1632" customFormat="false" ht="15.75" hidden="false" customHeight="false" outlineLevel="0" collapsed="false">
      <c r="B1632" s="7" t="n">
        <v>46222</v>
      </c>
      <c r="C1632" s="3" t="s">
        <v>11871</v>
      </c>
      <c r="D1632" s="3" t="s">
        <v>10944</v>
      </c>
      <c r="E1632" s="3" t="s">
        <v>11872</v>
      </c>
      <c r="F1632" s="10" t="str">
        <f aca="false">HYPERLINK("https://www.inaturalist.org/people/shilpagadgil","shilpagadgil")</f>
        <v>shilpagadgil</v>
      </c>
      <c r="G1632" s="9" t="s">
        <v>13</v>
      </c>
      <c r="H1632" s="9" t="s">
        <v>11873</v>
      </c>
    </row>
    <row r="1633" customFormat="false" ht="15.75" hidden="false" customHeight="false" outlineLevel="0" collapsed="false">
      <c r="B1633" s="7" t="n">
        <v>46222</v>
      </c>
      <c r="C1633" s="3" t="s">
        <v>11874</v>
      </c>
      <c r="D1633" s="3" t="s">
        <v>10944</v>
      </c>
      <c r="E1633" s="3" t="s">
        <v>11875</v>
      </c>
      <c r="F1633" s="10" t="str">
        <f aca="false">HYPERLINK("https://www.inaturalist.org/people/wanderingeden","wanderingeden")</f>
        <v>wanderingeden</v>
      </c>
      <c r="G1633" s="9" t="s">
        <v>13</v>
      </c>
      <c r="H1633" s="9" t="s">
        <v>11876</v>
      </c>
    </row>
    <row r="1634" customFormat="false" ht="15.75" hidden="false" customHeight="false" outlineLevel="0" collapsed="false">
      <c r="B1634" s="7" t="n">
        <v>46222</v>
      </c>
      <c r="C1634" s="3" t="s">
        <v>11877</v>
      </c>
      <c r="D1634" s="3" t="s">
        <v>10944</v>
      </c>
      <c r="E1634" s="3" t="s">
        <v>11878</v>
      </c>
      <c r="F1634" s="10" t="str">
        <f aca="false">HYPERLINK("https://www.inaturalist.org/people/kroessler","kroessler")</f>
        <v>kroessler</v>
      </c>
      <c r="G1634" s="9" t="s">
        <v>13</v>
      </c>
      <c r="H1634" s="9" t="s">
        <v>11879</v>
      </c>
    </row>
    <row r="1635" customFormat="false" ht="15.75" hidden="false" customHeight="false" outlineLevel="0" collapsed="false">
      <c r="B1635" s="7" t="n">
        <v>46222</v>
      </c>
      <c r="C1635" s="3" t="s">
        <v>11880</v>
      </c>
      <c r="D1635" s="3" t="s">
        <v>10944</v>
      </c>
      <c r="E1635" s="3" t="s">
        <v>11881</v>
      </c>
      <c r="F1635" s="10" t="str">
        <f aca="false">HYPERLINK("https://www.inaturalist.org/people/shieldsscout","shieldsscout")</f>
        <v>shieldsscout</v>
      </c>
      <c r="G1635" s="9" t="s">
        <v>13</v>
      </c>
      <c r="H1635" s="9" t="s">
        <v>11882</v>
      </c>
    </row>
    <row r="1636" customFormat="false" ht="15.75" hidden="false" customHeight="false" outlineLevel="0" collapsed="false">
      <c r="B1636" s="7" t="n">
        <v>46222</v>
      </c>
      <c r="C1636" s="3" t="s">
        <v>11883</v>
      </c>
      <c r="D1636" s="3" t="s">
        <v>10944</v>
      </c>
      <c r="E1636" s="3" t="s">
        <v>11884</v>
      </c>
      <c r="F1636" s="10" t="str">
        <f aca="false">HYPERLINK("https://www.inaturalist.org/people/amelia_watson","amelia_watson")</f>
        <v>amelia_watson</v>
      </c>
      <c r="G1636" s="9" t="s">
        <v>13</v>
      </c>
      <c r="H1636" s="9" t="s">
        <v>11885</v>
      </c>
    </row>
    <row r="1637" customFormat="false" ht="15.75" hidden="false" customHeight="false" outlineLevel="0" collapsed="false">
      <c r="B1637" s="7" t="n">
        <v>46222</v>
      </c>
      <c r="C1637" s="3" t="s">
        <v>11886</v>
      </c>
      <c r="D1637" s="3" t="s">
        <v>10944</v>
      </c>
      <c r="E1637" s="3" t="s">
        <v>11887</v>
      </c>
      <c r="F1637" s="10" t="str">
        <f aca="false">HYPERLINK("https://www.inaturalist.org/people/photolith","photolith")</f>
        <v>photolith</v>
      </c>
      <c r="G1637" s="9" t="s">
        <v>13</v>
      </c>
      <c r="H1637" s="9" t="s">
        <v>11888</v>
      </c>
    </row>
    <row r="1638" customFormat="false" ht="15.75" hidden="false" customHeight="false" outlineLevel="0" collapsed="false">
      <c r="B1638" s="7" t="n">
        <v>46222</v>
      </c>
      <c r="C1638" s="3" t="s">
        <v>11889</v>
      </c>
      <c r="D1638" s="3" t="s">
        <v>10944</v>
      </c>
      <c r="E1638" s="3" t="s">
        <v>11890</v>
      </c>
      <c r="F1638" s="10" t="str">
        <f aca="false">HYPERLINK("https://www.inaturalist.org/people/cwfoo","cwfoo")</f>
        <v>cwfoo</v>
      </c>
      <c r="G1638" s="9" t="s">
        <v>13</v>
      </c>
      <c r="H1638" s="9" t="s">
        <v>11891</v>
      </c>
    </row>
    <row r="1639" customFormat="false" ht="15.75" hidden="false" customHeight="false" outlineLevel="0" collapsed="false">
      <c r="B1639" s="7" t="n">
        <v>46222</v>
      </c>
      <c r="C1639" s="3" t="s">
        <v>11892</v>
      </c>
      <c r="D1639" s="3" t="s">
        <v>10944</v>
      </c>
      <c r="E1639" s="3" t="s">
        <v>11893</v>
      </c>
      <c r="F1639" s="10" t="str">
        <f aca="false">HYPERLINK("https://www.inaturalist.org/people/wanderingeden","wanderingeden")</f>
        <v>wanderingeden</v>
      </c>
      <c r="G1639" s="9" t="s">
        <v>13</v>
      </c>
      <c r="H1639" s="9" t="s">
        <v>11894</v>
      </c>
    </row>
    <row r="1640" customFormat="false" ht="15.75" hidden="false" customHeight="false" outlineLevel="0" collapsed="false">
      <c r="B1640" s="7" t="n">
        <v>46222</v>
      </c>
      <c r="C1640" s="3" t="s">
        <v>11895</v>
      </c>
      <c r="D1640" s="3" t="s">
        <v>10944</v>
      </c>
      <c r="E1640" s="3" t="s">
        <v>11896</v>
      </c>
      <c r="F1640" s="10" t="str">
        <f aca="false">HYPERLINK("https://www.inaturalist.org/people/dreadnoughtus","dreadnoughtus")</f>
        <v>dreadnoughtus</v>
      </c>
      <c r="G1640" s="9" t="s">
        <v>13</v>
      </c>
      <c r="H1640" s="9" t="s">
        <v>11897</v>
      </c>
    </row>
    <row r="1641" customFormat="false" ht="15.75" hidden="false" customHeight="false" outlineLevel="0" collapsed="false">
      <c r="B1641" s="7" t="n">
        <v>46222</v>
      </c>
      <c r="C1641" s="3" t="s">
        <v>11898</v>
      </c>
      <c r="D1641" s="3" t="s">
        <v>10944</v>
      </c>
      <c r="E1641" s="3" t="s">
        <v>11899</v>
      </c>
      <c r="F1641" s="10" t="str">
        <f aca="false">HYPERLINK("https://www.inaturalist.org/people/fabledoddities","fabledoddities")</f>
        <v>fabledoddities</v>
      </c>
      <c r="G1641" s="9" t="s">
        <v>13</v>
      </c>
      <c r="H1641" s="9" t="s">
        <v>11900</v>
      </c>
    </row>
    <row r="1642" customFormat="false" ht="15.75" hidden="false" customHeight="false" outlineLevel="0" collapsed="false">
      <c r="B1642" s="7" t="n">
        <v>46222</v>
      </c>
      <c r="C1642" s="3" t="s">
        <v>11901</v>
      </c>
      <c r="D1642" s="3" t="s">
        <v>10944</v>
      </c>
      <c r="E1642" s="3" t="s">
        <v>11902</v>
      </c>
      <c r="F1642" s="10" t="str">
        <f aca="false">HYPERLINK("https://www.inaturalist.org/people/johndietrich","johndietrich")</f>
        <v>johndietrich</v>
      </c>
      <c r="G1642" s="9" t="s">
        <v>13</v>
      </c>
      <c r="H1642" s="9" t="s">
        <v>11903</v>
      </c>
    </row>
    <row r="1643" customFormat="false" ht="15.75" hidden="false" customHeight="false" outlineLevel="0" collapsed="false">
      <c r="B1643" s="7" t="n">
        <v>46222</v>
      </c>
      <c r="C1643" s="3" t="s">
        <v>11904</v>
      </c>
      <c r="D1643" s="3" t="s">
        <v>10944</v>
      </c>
      <c r="E1643" s="3" t="s">
        <v>11905</v>
      </c>
      <c r="F1643" s="10" t="str">
        <f aca="false">HYPERLINK("https://www.inaturalist.org/people/wanderingeden","wanderingeden")</f>
        <v>wanderingeden</v>
      </c>
      <c r="G1643" s="9" t="s">
        <v>13</v>
      </c>
      <c r="H1643" s="9" t="s">
        <v>11906</v>
      </c>
    </row>
    <row r="1644" customFormat="false" ht="15.75" hidden="false" customHeight="false" outlineLevel="0" collapsed="false">
      <c r="B1644" s="7" t="n">
        <v>46222</v>
      </c>
      <c r="C1644" s="3" t="s">
        <v>11907</v>
      </c>
      <c r="D1644" s="3" t="s">
        <v>10944</v>
      </c>
      <c r="E1644" s="3" t="s">
        <v>11908</v>
      </c>
      <c r="F1644" s="10" t="str">
        <f aca="false">HYPERLINK("https://www.inaturalist.org/people/rileybram","rileybram")</f>
        <v>rileybram</v>
      </c>
      <c r="G1644" s="9" t="s">
        <v>13</v>
      </c>
      <c r="H1644" s="9" t="s">
        <v>11909</v>
      </c>
    </row>
    <row r="1645" customFormat="false" ht="15.75" hidden="false" customHeight="false" outlineLevel="0" collapsed="false">
      <c r="B1645" s="7" t="n">
        <v>46222</v>
      </c>
      <c r="C1645" s="3" t="s">
        <v>11910</v>
      </c>
      <c r="D1645" s="3" t="s">
        <v>10944</v>
      </c>
      <c r="E1645" s="3" t="s">
        <v>11911</v>
      </c>
      <c r="F1645" s="10" t="str">
        <f aca="false">HYPERLINK("https://www.inaturalist.org/people/arosawa","arosawa")</f>
        <v>arosawa</v>
      </c>
      <c r="G1645" s="9" t="s">
        <v>13</v>
      </c>
      <c r="H1645" s="9" t="s">
        <v>11912</v>
      </c>
    </row>
    <row r="1646" customFormat="false" ht="15.75" hidden="false" customHeight="false" outlineLevel="0" collapsed="false">
      <c r="B1646" s="7" t="n">
        <v>46222</v>
      </c>
      <c r="C1646" s="3" t="s">
        <v>11913</v>
      </c>
      <c r="D1646" s="3" t="s">
        <v>10944</v>
      </c>
      <c r="E1646" s="3" t="s">
        <v>11914</v>
      </c>
      <c r="F1646" s="10" t="str">
        <f aca="false">HYPERLINK("https://www.inaturalist.org/people/yorlapasanctuaries","yorlapasanctuaries")</f>
        <v>yorlapasanctuaries</v>
      </c>
      <c r="G1646" s="9" t="s">
        <v>13</v>
      </c>
      <c r="H1646" s="9" t="s">
        <v>11915</v>
      </c>
    </row>
    <row r="1647" customFormat="false" ht="15.75" hidden="false" customHeight="false" outlineLevel="0" collapsed="false">
      <c r="B1647" s="7" t="n">
        <v>46222</v>
      </c>
      <c r="C1647" s="3" t="s">
        <v>11916</v>
      </c>
      <c r="D1647" s="3" t="s">
        <v>10944</v>
      </c>
      <c r="E1647" s="3" t="s">
        <v>11917</v>
      </c>
      <c r="F1647" s="10" t="str">
        <f aca="false">HYPERLINK("https://www.inaturalist.org/people/skeeterfeeder","skeeterfeeder")</f>
        <v>skeeterfeeder</v>
      </c>
      <c r="G1647" s="9" t="s">
        <v>13</v>
      </c>
      <c r="H1647" s="9" t="s">
        <v>11918</v>
      </c>
    </row>
    <row r="1648" customFormat="false" ht="15.75" hidden="false" customHeight="false" outlineLevel="0" collapsed="false">
      <c r="B1648" s="7" t="n">
        <v>46222</v>
      </c>
      <c r="C1648" s="3" t="s">
        <v>11919</v>
      </c>
      <c r="D1648" s="3" t="s">
        <v>10944</v>
      </c>
      <c r="E1648" s="3" t="s">
        <v>11920</v>
      </c>
      <c r="F1648" s="10" t="str">
        <f aca="false">HYPERLINK("https://www.inaturalist.org/people/becbrydon","becbrydon")</f>
        <v>becbrydon</v>
      </c>
      <c r="G1648" s="9" t="s">
        <v>13</v>
      </c>
      <c r="H1648" s="9" t="s">
        <v>11921</v>
      </c>
    </row>
    <row r="1649" customFormat="false" ht="15.75" hidden="false" customHeight="false" outlineLevel="0" collapsed="false">
      <c r="B1649" s="7" t="n">
        <v>46222</v>
      </c>
      <c r="C1649" s="3" t="s">
        <v>11922</v>
      </c>
      <c r="D1649" s="3" t="s">
        <v>10944</v>
      </c>
      <c r="E1649" s="3" t="s">
        <v>11923</v>
      </c>
      <c r="F1649" s="10" t="str">
        <f aca="false">HYPERLINK("https://www.inaturalist.org/people/milesmeasured","milesmeasured")</f>
        <v>milesmeasured</v>
      </c>
      <c r="G1649" s="9" t="s">
        <v>13</v>
      </c>
      <c r="H1649" s="9" t="s">
        <v>11924</v>
      </c>
    </row>
    <row r="1650" customFormat="false" ht="15.75" hidden="false" customHeight="false" outlineLevel="0" collapsed="false">
      <c r="B1650" s="7" t="n">
        <v>46222</v>
      </c>
      <c r="C1650" s="3" t="s">
        <v>11925</v>
      </c>
      <c r="D1650" s="3" t="s">
        <v>10944</v>
      </c>
      <c r="E1650" s="3" t="s">
        <v>11926</v>
      </c>
      <c r="F1650" s="10" t="str">
        <f aca="false">HYPERLINK("https://www.inaturalist.org/people/becbrydon","becbrydon")</f>
        <v>becbrydon</v>
      </c>
      <c r="G1650" s="9" t="s">
        <v>13</v>
      </c>
      <c r="H1650" s="9" t="s">
        <v>11927</v>
      </c>
    </row>
    <row r="1651" customFormat="false" ht="15.75" hidden="false" customHeight="false" outlineLevel="0" collapsed="false">
      <c r="B1651" s="7" t="n">
        <v>46222</v>
      </c>
      <c r="C1651" s="3" t="s">
        <v>11928</v>
      </c>
      <c r="D1651" s="3" t="s">
        <v>10944</v>
      </c>
      <c r="E1651" s="3" t="s">
        <v>11929</v>
      </c>
      <c r="F1651" s="10" t="str">
        <f aca="false">HYPERLINK("https://www.inaturalist.org/people/elilucht","elilucht")</f>
        <v>elilucht</v>
      </c>
      <c r="G1651" s="9" t="s">
        <v>13</v>
      </c>
      <c r="H1651" s="9" t="s">
        <v>11930</v>
      </c>
    </row>
    <row r="1652" customFormat="false" ht="15.75" hidden="false" customHeight="false" outlineLevel="0" collapsed="false">
      <c r="B1652" s="7" t="n">
        <v>46222</v>
      </c>
      <c r="C1652" s="3" t="s">
        <v>11931</v>
      </c>
      <c r="D1652" s="3" t="s">
        <v>10944</v>
      </c>
      <c r="E1652" s="3" t="s">
        <v>11932</v>
      </c>
      <c r="F1652" s="10" t="str">
        <f aca="false">HYPERLINK("https://www.inaturalist.org/people/gracew_","gracew_")</f>
        <v>gracew_</v>
      </c>
      <c r="G1652" s="9" t="s">
        <v>13</v>
      </c>
      <c r="H1652" s="9" t="s">
        <v>11933</v>
      </c>
    </row>
    <row r="1653" customFormat="false" ht="15.75" hidden="false" customHeight="false" outlineLevel="0" collapsed="false">
      <c r="B1653" s="7" t="n">
        <v>46222</v>
      </c>
      <c r="C1653" s="3" t="s">
        <v>11934</v>
      </c>
      <c r="D1653" s="3" t="s">
        <v>10944</v>
      </c>
      <c r="E1653" s="3" t="s">
        <v>11935</v>
      </c>
      <c r="F1653" s="10" t="str">
        <f aca="false">HYPERLINK("https://www.inaturalist.org/people/damo999","damo999")</f>
        <v>damo999</v>
      </c>
      <c r="G1653" s="9" t="s">
        <v>13</v>
      </c>
      <c r="H1653" s="9" t="s">
        <v>11936</v>
      </c>
    </row>
    <row r="1654" customFormat="false" ht="15.75" hidden="false" customHeight="false" outlineLevel="0" collapsed="false">
      <c r="B1654" s="7" t="n">
        <v>46222</v>
      </c>
      <c r="C1654" s="3" t="s">
        <v>11937</v>
      </c>
      <c r="D1654" s="3" t="s">
        <v>10944</v>
      </c>
      <c r="E1654" s="3" t="s">
        <v>11938</v>
      </c>
      <c r="F1654" s="10" t="str">
        <f aca="false">HYPERLINK("https://www.inaturalist.org/people/elisamariev","elisamariev")</f>
        <v>elisamariev</v>
      </c>
      <c r="G1654" s="9" t="s">
        <v>13</v>
      </c>
      <c r="H1654" s="9" t="s">
        <v>11939</v>
      </c>
    </row>
    <row r="1655" customFormat="false" ht="15.75" hidden="false" customHeight="false" outlineLevel="0" collapsed="false">
      <c r="B1655" s="7" t="n">
        <v>46222</v>
      </c>
      <c r="C1655" s="3" t="s">
        <v>11940</v>
      </c>
      <c r="D1655" s="3" t="s">
        <v>10944</v>
      </c>
      <c r="E1655" s="3" t="s">
        <v>11941</v>
      </c>
      <c r="F1655" s="10" t="str">
        <f aca="false">HYPERLINK("https://www.inaturalist.org/people/elisamariev","elisamariev")</f>
        <v>elisamariev</v>
      </c>
      <c r="G1655" s="9" t="s">
        <v>13</v>
      </c>
      <c r="H1655" s="9" t="s">
        <v>11942</v>
      </c>
    </row>
    <row r="1656" customFormat="false" ht="15.75" hidden="false" customHeight="false" outlineLevel="0" collapsed="false">
      <c r="B1656" s="7" t="n">
        <v>46222</v>
      </c>
      <c r="C1656" s="3" t="s">
        <v>11943</v>
      </c>
      <c r="D1656" s="3" t="s">
        <v>10944</v>
      </c>
      <c r="E1656" s="3" t="s">
        <v>11944</v>
      </c>
      <c r="F1656" s="10" t="str">
        <f aca="false">HYPERLINK("https://www.inaturalist.org/people/elisamariev","elisamariev")</f>
        <v>elisamariev</v>
      </c>
      <c r="G1656" s="9" t="s">
        <v>13</v>
      </c>
      <c r="H1656" s="9" t="s">
        <v>11945</v>
      </c>
    </row>
    <row r="1657" customFormat="false" ht="15.75" hidden="false" customHeight="false" outlineLevel="0" collapsed="false">
      <c r="B1657" s="7" t="n">
        <v>46222</v>
      </c>
      <c r="C1657" s="3" t="s">
        <v>11946</v>
      </c>
      <c r="D1657" s="3" t="s">
        <v>10944</v>
      </c>
      <c r="E1657" s="3" t="s">
        <v>11947</v>
      </c>
      <c r="F1657" s="10" t="str">
        <f aca="false">HYPERLINK("https://www.inaturalist.org/people/evan_cameron","evan_cameron")</f>
        <v>evan_cameron</v>
      </c>
      <c r="G1657" s="9" t="s">
        <v>13</v>
      </c>
      <c r="H1657" s="9" t="s">
        <v>11948</v>
      </c>
    </row>
    <row r="1658" customFormat="false" ht="15.75" hidden="false" customHeight="false" outlineLevel="0" collapsed="false">
      <c r="B1658" s="7" t="n">
        <v>46222</v>
      </c>
      <c r="C1658" s="3" t="s">
        <v>11949</v>
      </c>
      <c r="D1658" s="3" t="s">
        <v>10944</v>
      </c>
      <c r="E1658" s="3" t="s">
        <v>11950</v>
      </c>
      <c r="F1658" s="10" t="str">
        <f aca="false">HYPERLINK("https://www.inaturalist.org/people/redpercie","redpercie")</f>
        <v>redpercie</v>
      </c>
      <c r="G1658" s="9" t="s">
        <v>13</v>
      </c>
      <c r="H1658" s="9" t="s">
        <v>11951</v>
      </c>
    </row>
    <row r="1659" customFormat="false" ht="15.75" hidden="false" customHeight="false" outlineLevel="0" collapsed="false">
      <c r="B1659" s="7" t="n">
        <v>46222</v>
      </c>
      <c r="C1659" s="3" t="s">
        <v>11952</v>
      </c>
      <c r="D1659" s="3" t="s">
        <v>10944</v>
      </c>
      <c r="E1659" s="3" t="s">
        <v>11953</v>
      </c>
      <c r="F1659" s="10" t="str">
        <f aca="false">HYPERLINK("https://www.inaturalist.org/people/tkoosman","tkoosman")</f>
        <v>tkoosman</v>
      </c>
      <c r="G1659" s="9" t="s">
        <v>13</v>
      </c>
      <c r="H1659" s="9" t="s">
        <v>11954</v>
      </c>
    </row>
    <row r="1660" customFormat="false" ht="15.75" hidden="false" customHeight="false" outlineLevel="0" collapsed="false">
      <c r="B1660" s="7" t="n">
        <v>46222</v>
      </c>
      <c r="C1660" s="3" t="s">
        <v>11955</v>
      </c>
      <c r="D1660" s="3" t="s">
        <v>10944</v>
      </c>
      <c r="E1660" s="3" t="s">
        <v>11956</v>
      </c>
      <c r="F1660" s="10" t="str">
        <f aca="false">HYPERLINK("https://www.inaturalist.org/people/detritvs","detritvs")</f>
        <v>detritvs</v>
      </c>
      <c r="G1660" s="9" t="s">
        <v>13</v>
      </c>
      <c r="H1660" s="9" t="s">
        <v>11957</v>
      </c>
    </row>
    <row r="1661" customFormat="false" ht="15.75" hidden="false" customHeight="false" outlineLevel="0" collapsed="false">
      <c r="B1661" s="7" t="n">
        <v>46222</v>
      </c>
      <c r="C1661" s="3" t="s">
        <v>11958</v>
      </c>
      <c r="D1661" s="3" t="s">
        <v>10944</v>
      </c>
      <c r="E1661" s="3" t="s">
        <v>11959</v>
      </c>
      <c r="F1661" s="10" t="str">
        <f aca="false">HYPERLINK("https://www.inaturalist.org/people/dylan93048","dylan93048")</f>
        <v>dylan93048</v>
      </c>
      <c r="G1661" s="9" t="s">
        <v>13</v>
      </c>
      <c r="H1661" s="9" t="s">
        <v>11960</v>
      </c>
    </row>
    <row r="1662" customFormat="false" ht="15.75" hidden="false" customHeight="false" outlineLevel="0" collapsed="false">
      <c r="B1662" s="7" t="n">
        <v>46222</v>
      </c>
      <c r="C1662" s="3" t="s">
        <v>11961</v>
      </c>
      <c r="D1662" s="3" t="s">
        <v>10944</v>
      </c>
      <c r="E1662" s="3" t="s">
        <v>11962</v>
      </c>
      <c r="F1662" s="10" t="str">
        <f aca="false">HYPERLINK("https://www.inaturalist.org/people/elisamariev","elisamariev")</f>
        <v>elisamariev</v>
      </c>
      <c r="G1662" s="9" t="s">
        <v>13</v>
      </c>
      <c r="H1662" s="9" t="s">
        <v>11963</v>
      </c>
    </row>
    <row r="1663" customFormat="false" ht="15.75" hidden="false" customHeight="false" outlineLevel="0" collapsed="false">
      <c r="B1663" s="7" t="n">
        <v>46222</v>
      </c>
      <c r="C1663" s="3" t="s">
        <v>11964</v>
      </c>
      <c r="D1663" s="3" t="s">
        <v>10944</v>
      </c>
      <c r="E1663" s="3" t="s">
        <v>11965</v>
      </c>
      <c r="F1663" s="10" t="str">
        <f aca="false">HYPERLINK("https://www.inaturalist.org/people/sarahflosky","sarahflosky")</f>
        <v>sarahflosky</v>
      </c>
      <c r="G1663" s="9" t="s">
        <v>13</v>
      </c>
      <c r="H1663" s="9" t="s">
        <v>11966</v>
      </c>
    </row>
    <row r="1664" customFormat="false" ht="15.75" hidden="false" customHeight="false" outlineLevel="0" collapsed="false">
      <c r="B1664" s="7" t="n">
        <v>46222</v>
      </c>
      <c r="C1664" s="3" t="s">
        <v>11967</v>
      </c>
      <c r="D1664" s="3" t="s">
        <v>10944</v>
      </c>
      <c r="E1664" s="3" t="s">
        <v>11968</v>
      </c>
      <c r="F1664" s="10" t="str">
        <f aca="false">HYPERLINK("https://www.inaturalist.org/people/mogardener10","mogardener10")</f>
        <v>mogardener10</v>
      </c>
      <c r="G1664" s="9" t="s">
        <v>13</v>
      </c>
      <c r="H1664" s="9" t="s">
        <v>11969</v>
      </c>
    </row>
    <row r="1665" customFormat="false" ht="15.75" hidden="false" customHeight="false" outlineLevel="0" collapsed="false">
      <c r="B1665" s="7" t="n">
        <v>46222</v>
      </c>
      <c r="C1665" s="3" t="s">
        <v>11970</v>
      </c>
      <c r="D1665" s="3" t="s">
        <v>10944</v>
      </c>
      <c r="E1665" s="3" t="s">
        <v>11971</v>
      </c>
      <c r="F1665" s="10" t="str">
        <f aca="false">HYPERLINK("https://www.inaturalist.org/people/erin_silva419","erin_silva419")</f>
        <v>erin_silva419</v>
      </c>
      <c r="G1665" s="9" t="s">
        <v>13</v>
      </c>
      <c r="H1665" s="9" t="s">
        <v>11972</v>
      </c>
    </row>
    <row r="1666" customFormat="false" ht="15.75" hidden="false" customHeight="false" outlineLevel="0" collapsed="false">
      <c r="B1666" s="7" t="n">
        <v>46222</v>
      </c>
      <c r="C1666" s="3" t="s">
        <v>11973</v>
      </c>
      <c r="D1666" s="3" t="s">
        <v>10944</v>
      </c>
      <c r="E1666" s="3" t="s">
        <v>11974</v>
      </c>
      <c r="F1666" s="10" t="str">
        <f aca="false">HYPERLINK("https://www.inaturalist.org/people/justintylerm","justintylerm")</f>
        <v>justintylerm</v>
      </c>
      <c r="G1666" s="9" t="s">
        <v>13</v>
      </c>
      <c r="H1666" s="9" t="s">
        <v>11975</v>
      </c>
    </row>
    <row r="1667" customFormat="false" ht="15.75" hidden="false" customHeight="false" outlineLevel="0" collapsed="false">
      <c r="B1667" s="7" t="n">
        <v>46222</v>
      </c>
      <c r="C1667" s="3" t="s">
        <v>11976</v>
      </c>
      <c r="D1667" s="3" t="s">
        <v>10944</v>
      </c>
      <c r="E1667" s="3" t="s">
        <v>11977</v>
      </c>
      <c r="F1667" s="10" t="str">
        <f aca="false">HYPERLINK("https://www.inaturalist.org/people/alex_ecology","alex_ecology")</f>
        <v>alex_ecology</v>
      </c>
      <c r="G1667" s="9" t="s">
        <v>13</v>
      </c>
      <c r="H1667" s="9" t="s">
        <v>11978</v>
      </c>
    </row>
    <row r="1668" customFormat="false" ht="15.75" hidden="false" customHeight="false" outlineLevel="0" collapsed="false">
      <c r="B1668" s="7" t="n">
        <v>46222</v>
      </c>
      <c r="C1668" s="3" t="s">
        <v>11979</v>
      </c>
      <c r="D1668" s="3" t="s">
        <v>10944</v>
      </c>
      <c r="E1668" s="3" t="s">
        <v>11980</v>
      </c>
      <c r="F1668" s="10" t="str">
        <f aca="false">HYPERLINK("https://www.inaturalist.org/people/karen96550","karen96550")</f>
        <v>karen96550</v>
      </c>
      <c r="G1668" s="9" t="s">
        <v>13</v>
      </c>
      <c r="H1668" s="9" t="s">
        <v>11981</v>
      </c>
    </row>
    <row r="1669" customFormat="false" ht="15.75" hidden="false" customHeight="false" outlineLevel="0" collapsed="false">
      <c r="B1669" s="7" t="n">
        <v>46222</v>
      </c>
      <c r="C1669" s="3" t="s">
        <v>11982</v>
      </c>
      <c r="D1669" s="3" t="s">
        <v>10944</v>
      </c>
      <c r="E1669" s="3" t="s">
        <v>11983</v>
      </c>
      <c r="F1669" s="10" t="str">
        <f aca="false">HYPERLINK("https://www.inaturalist.org/people/prettylittleblackbird","prettylittleblackbird")</f>
        <v>prettylittleblackbird</v>
      </c>
      <c r="G1669" s="9" t="s">
        <v>13</v>
      </c>
      <c r="H1669" s="9" t="s">
        <v>11984</v>
      </c>
    </row>
    <row r="1670" customFormat="false" ht="15.75" hidden="false" customHeight="false" outlineLevel="0" collapsed="false">
      <c r="B1670" s="7" t="n">
        <v>46222</v>
      </c>
      <c r="C1670" s="3" t="s">
        <v>11985</v>
      </c>
      <c r="D1670" s="3" t="s">
        <v>10944</v>
      </c>
      <c r="E1670" s="3" t="s">
        <v>11986</v>
      </c>
      <c r="F1670" s="10" t="str">
        <f aca="false">HYPERLINK("https://www.inaturalist.org/people/lifeinthemoss","lifeinthemoss")</f>
        <v>lifeinthemoss</v>
      </c>
      <c r="G1670" s="9" t="s">
        <v>13</v>
      </c>
      <c r="H1670" s="9" t="s">
        <v>11987</v>
      </c>
    </row>
    <row r="1671" customFormat="false" ht="15.75" hidden="false" customHeight="false" outlineLevel="0" collapsed="false">
      <c r="B1671" s="7" t="n">
        <v>46222</v>
      </c>
      <c r="C1671" s="3" t="s">
        <v>11988</v>
      </c>
      <c r="D1671" s="3" t="s">
        <v>10944</v>
      </c>
      <c r="E1671" s="3" t="s">
        <v>11989</v>
      </c>
      <c r="F1671" s="10" t="str">
        <f aca="false">HYPERLINK("https://www.inaturalist.org/people/tonytu","tonytu")</f>
        <v>tonytu</v>
      </c>
      <c r="G1671" s="9" t="s">
        <v>13</v>
      </c>
      <c r="H1671" s="9" t="s">
        <v>11990</v>
      </c>
    </row>
    <row r="1672" customFormat="false" ht="15.75" hidden="false" customHeight="false" outlineLevel="0" collapsed="false">
      <c r="B1672" s="7" t="n">
        <v>46222</v>
      </c>
      <c r="C1672" s="3" t="s">
        <v>11991</v>
      </c>
      <c r="D1672" s="3" t="s">
        <v>10944</v>
      </c>
      <c r="E1672" s="3" t="s">
        <v>11992</v>
      </c>
      <c r="F1672" s="10" t="str">
        <f aca="false">HYPERLINK("https://www.inaturalist.org/people/otispeppercorn","otispeppercorn")</f>
        <v>otispeppercorn</v>
      </c>
      <c r="G1672" s="9" t="s">
        <v>13</v>
      </c>
      <c r="H1672" s="9" t="s">
        <v>11993</v>
      </c>
    </row>
    <row r="1673" customFormat="false" ht="15.75" hidden="false" customHeight="false" outlineLevel="0" collapsed="false">
      <c r="B1673" s="7" t="n">
        <v>46222</v>
      </c>
      <c r="C1673" s="3" t="s">
        <v>11994</v>
      </c>
      <c r="D1673" s="3" t="s">
        <v>10944</v>
      </c>
      <c r="E1673" s="3" t="s">
        <v>11995</v>
      </c>
      <c r="F1673" s="10" t="str">
        <f aca="false">HYPERLINK("https://www.inaturalist.org/people/charley","charley")</f>
        <v>charley</v>
      </c>
      <c r="G1673" s="9" t="s">
        <v>13</v>
      </c>
      <c r="H1673" s="9" t="s">
        <v>11996</v>
      </c>
    </row>
    <row r="1674" customFormat="false" ht="15.75" hidden="false" customHeight="false" outlineLevel="0" collapsed="false">
      <c r="B1674" s="7" t="n">
        <v>46222</v>
      </c>
      <c r="C1674" s="3" t="s">
        <v>11997</v>
      </c>
      <c r="D1674" s="3" t="s">
        <v>10944</v>
      </c>
      <c r="E1674" s="3" t="s">
        <v>11998</v>
      </c>
      <c r="F1674" s="10" t="str">
        <f aca="false">HYPERLINK("https://www.inaturalist.org/people/lopdog","lopdog")</f>
        <v>lopdog</v>
      </c>
      <c r="G1674" s="9" t="s">
        <v>13</v>
      </c>
      <c r="H1674" s="9" t="s">
        <v>11999</v>
      </c>
    </row>
    <row r="1675" customFormat="false" ht="15.75" hidden="false" customHeight="false" outlineLevel="0" collapsed="false">
      <c r="B1675" s="7" t="n">
        <v>46222</v>
      </c>
      <c r="C1675" s="3" t="s">
        <v>12000</v>
      </c>
      <c r="D1675" s="3" t="s">
        <v>10944</v>
      </c>
      <c r="E1675" s="3" t="s">
        <v>12001</v>
      </c>
      <c r="F1675" s="10" t="str">
        <f aca="false">HYPERLINK("https://www.inaturalist.org/people/justintylerm","justintylerm")</f>
        <v>justintylerm</v>
      </c>
      <c r="G1675" s="9" t="s">
        <v>13</v>
      </c>
      <c r="H1675" s="9" t="s">
        <v>12002</v>
      </c>
    </row>
    <row r="1676" customFormat="false" ht="15.75" hidden="false" customHeight="false" outlineLevel="0" collapsed="false">
      <c r="B1676" s="7" t="n">
        <v>46222</v>
      </c>
      <c r="C1676" s="3" t="s">
        <v>12003</v>
      </c>
      <c r="D1676" s="3" t="s">
        <v>10944</v>
      </c>
      <c r="E1676" s="3" t="s">
        <v>12004</v>
      </c>
      <c r="F1676" s="10" t="str">
        <f aca="false">HYPERLINK("https://www.inaturalist.org/people/luzluz","luzluz")</f>
        <v>luzluz</v>
      </c>
      <c r="G1676" s="9" t="s">
        <v>13</v>
      </c>
      <c r="H1676" s="9" t="s">
        <v>12005</v>
      </c>
    </row>
    <row r="1677" customFormat="false" ht="15.75" hidden="false" customHeight="false" outlineLevel="0" collapsed="false">
      <c r="B1677" s="7" t="n">
        <v>46222</v>
      </c>
      <c r="C1677" s="3" t="s">
        <v>12006</v>
      </c>
      <c r="D1677" s="3" t="s">
        <v>10944</v>
      </c>
      <c r="E1677" s="3" t="s">
        <v>12007</v>
      </c>
      <c r="F1677" s="10" t="str">
        <f aca="false">HYPERLINK("https://www.inaturalist.org/people/sabrandot","sabrandot")</f>
        <v>sabrandot</v>
      </c>
      <c r="G1677" s="9" t="s">
        <v>13</v>
      </c>
      <c r="H1677" s="9" t="s">
        <v>12008</v>
      </c>
    </row>
    <row r="1678" customFormat="false" ht="15.75" hidden="false" customHeight="false" outlineLevel="0" collapsed="false">
      <c r="B1678" s="7" t="n">
        <v>46222</v>
      </c>
      <c r="C1678" s="3" t="s">
        <v>12009</v>
      </c>
      <c r="D1678" s="3" t="s">
        <v>10944</v>
      </c>
      <c r="E1678" s="3" t="s">
        <v>12010</v>
      </c>
      <c r="F1678" s="10" t="str">
        <f aca="false">HYPERLINK("https://www.inaturalist.org/people/elisamariev","elisamariev")</f>
        <v>elisamariev</v>
      </c>
      <c r="G1678" s="9" t="s">
        <v>13</v>
      </c>
      <c r="H1678" s="9" t="s">
        <v>12011</v>
      </c>
    </row>
    <row r="1679" customFormat="false" ht="15.75" hidden="false" customHeight="false" outlineLevel="0" collapsed="false">
      <c r="B1679" s="7" t="n">
        <v>46222</v>
      </c>
      <c r="C1679" s="3" t="s">
        <v>12012</v>
      </c>
      <c r="D1679" s="3" t="s">
        <v>10944</v>
      </c>
      <c r="E1679" s="3" t="s">
        <v>12013</v>
      </c>
      <c r="F1679" s="10" t="str">
        <f aca="false">HYPERLINK("https://www.inaturalist.org/people/scherbst","scherbst")</f>
        <v>scherbst</v>
      </c>
      <c r="G1679" s="9" t="s">
        <v>13</v>
      </c>
      <c r="H1679" s="9" t="s">
        <v>12014</v>
      </c>
    </row>
    <row r="1680" customFormat="false" ht="15.75" hidden="false" customHeight="false" outlineLevel="0" collapsed="false">
      <c r="B1680" s="7" t="n">
        <v>46222</v>
      </c>
      <c r="C1680" s="3" t="s">
        <v>12015</v>
      </c>
      <c r="D1680" s="3" t="s">
        <v>10944</v>
      </c>
      <c r="E1680" s="3" t="s">
        <v>12016</v>
      </c>
      <c r="F1680" s="10" t="str">
        <f aca="false">HYPERLINK("https://www.inaturalist.org/people/turnuip","turnuip")</f>
        <v>turnuip</v>
      </c>
      <c r="G1680" s="9" t="s">
        <v>13</v>
      </c>
      <c r="H1680" s="9" t="s">
        <v>12017</v>
      </c>
    </row>
    <row r="1681" customFormat="false" ht="15.75" hidden="false" customHeight="false" outlineLevel="0" collapsed="false">
      <c r="B1681" s="7" t="n">
        <v>46222</v>
      </c>
      <c r="C1681" s="3" t="s">
        <v>12018</v>
      </c>
      <c r="D1681" s="3" t="s">
        <v>10944</v>
      </c>
      <c r="E1681" s="3" t="s">
        <v>12019</v>
      </c>
      <c r="F1681" s="10" t="str">
        <f aca="false">HYPERLINK("https://www.inaturalist.org/people/wanderingeden","wanderingeden")</f>
        <v>wanderingeden</v>
      </c>
      <c r="G1681" s="9" t="s">
        <v>13</v>
      </c>
      <c r="H1681" s="9" t="s">
        <v>12020</v>
      </c>
    </row>
    <row r="1682" customFormat="false" ht="15.75" hidden="false" customHeight="false" outlineLevel="0" collapsed="false">
      <c r="B1682" s="7" t="n">
        <v>46222</v>
      </c>
      <c r="C1682" s="3" t="s">
        <v>12021</v>
      </c>
      <c r="D1682" s="3" t="s">
        <v>10944</v>
      </c>
      <c r="E1682" s="3" t="s">
        <v>12022</v>
      </c>
      <c r="F1682" s="10" t="str">
        <f aca="false">HYPERLINK("https://www.inaturalist.org/people/gracula","gracula")</f>
        <v>gracula</v>
      </c>
      <c r="G1682" s="9" t="s">
        <v>13</v>
      </c>
      <c r="H1682" s="9" t="s">
        <v>12023</v>
      </c>
    </row>
    <row r="1683" customFormat="false" ht="15.75" hidden="false" customHeight="false" outlineLevel="0" collapsed="false">
      <c r="B1683" s="7" t="n">
        <v>46222</v>
      </c>
      <c r="C1683" s="3" t="s">
        <v>12024</v>
      </c>
      <c r="D1683" s="3" t="s">
        <v>10944</v>
      </c>
      <c r="E1683" s="3" t="s">
        <v>12025</v>
      </c>
      <c r="F1683" s="10" t="str">
        <f aca="false">HYPERLINK("https://www.inaturalist.org/people/sabrandot","sabrandot")</f>
        <v>sabrandot</v>
      </c>
      <c r="G1683" s="9" t="s">
        <v>13</v>
      </c>
      <c r="H1683" s="9" t="s">
        <v>12026</v>
      </c>
    </row>
    <row r="1684" customFormat="false" ht="15.75" hidden="false" customHeight="false" outlineLevel="0" collapsed="false">
      <c r="B1684" s="7" t="n">
        <v>46222</v>
      </c>
      <c r="C1684" s="3" t="s">
        <v>12027</v>
      </c>
      <c r="D1684" s="3" t="s">
        <v>10944</v>
      </c>
      <c r="E1684" s="3" t="s">
        <v>12028</v>
      </c>
      <c r="F1684" s="10" t="str">
        <f aca="false">HYPERLINK("https://www.inaturalist.org/people/lifeinthemoss","lifeinthemoss")</f>
        <v>lifeinthemoss</v>
      </c>
      <c r="G1684" s="9" t="s">
        <v>13</v>
      </c>
      <c r="H1684" s="9" t="s">
        <v>12029</v>
      </c>
    </row>
    <row r="1685" customFormat="false" ht="15.75" hidden="false" customHeight="false" outlineLevel="0" collapsed="false">
      <c r="B1685" s="7" t="n">
        <v>46222</v>
      </c>
      <c r="C1685" s="3" t="s">
        <v>12030</v>
      </c>
      <c r="D1685" s="3" t="s">
        <v>10944</v>
      </c>
      <c r="E1685" s="3" t="s">
        <v>12031</v>
      </c>
      <c r="F1685" s="10" t="str">
        <f aca="false">HYPERLINK("https://www.inaturalist.org/people/wanderingeden","wanderingeden")</f>
        <v>wanderingeden</v>
      </c>
      <c r="G1685" s="9" t="s">
        <v>13</v>
      </c>
      <c r="H1685" s="9" t="s">
        <v>12032</v>
      </c>
    </row>
    <row r="1686" customFormat="false" ht="15.75" hidden="false" customHeight="false" outlineLevel="0" collapsed="false">
      <c r="B1686" s="7" t="n">
        <v>46222</v>
      </c>
      <c r="C1686" s="3" t="s">
        <v>12033</v>
      </c>
      <c r="D1686" s="3" t="s">
        <v>10944</v>
      </c>
      <c r="E1686" s="3" t="s">
        <v>12034</v>
      </c>
      <c r="F1686" s="10" t="str">
        <f aca="false">HYPERLINK("https://www.inaturalist.org/people/treadcarefully","treadcarefully")</f>
        <v>treadcarefully</v>
      </c>
      <c r="G1686" s="9" t="s">
        <v>13</v>
      </c>
      <c r="H1686" s="9" t="s">
        <v>12035</v>
      </c>
    </row>
    <row r="1687" customFormat="false" ht="15.75" hidden="false" customHeight="false" outlineLevel="0" collapsed="false">
      <c r="B1687" s="7" t="n">
        <v>46222</v>
      </c>
      <c r="C1687" s="3" t="s">
        <v>12036</v>
      </c>
      <c r="D1687" s="3" t="s">
        <v>10944</v>
      </c>
      <c r="E1687" s="3" t="s">
        <v>12037</v>
      </c>
      <c r="F1687" s="10" t="str">
        <f aca="false">HYPERLINK("https://www.inaturalist.org/people/treadcarefully","treadcarefully")</f>
        <v>treadcarefully</v>
      </c>
      <c r="G1687" s="9" t="s">
        <v>13</v>
      </c>
      <c r="H1687" s="9" t="s">
        <v>12038</v>
      </c>
    </row>
    <row r="1688" customFormat="false" ht="15.75" hidden="false" customHeight="false" outlineLevel="0" collapsed="false">
      <c r="B1688" s="7" t="n">
        <v>46222</v>
      </c>
      <c r="C1688" s="3" t="s">
        <v>12039</v>
      </c>
      <c r="D1688" s="3" t="s">
        <v>10944</v>
      </c>
      <c r="E1688" s="3" t="s">
        <v>12040</v>
      </c>
      <c r="F1688" s="10" t="str">
        <f aca="false">HYPERLINK("https://www.inaturalist.org/people/treadcarefully","treadcarefully")</f>
        <v>treadcarefully</v>
      </c>
      <c r="G1688" s="9" t="s">
        <v>13</v>
      </c>
      <c r="H1688" s="9" t="s">
        <v>12041</v>
      </c>
    </row>
    <row r="1689" customFormat="false" ht="15.75" hidden="false" customHeight="false" outlineLevel="0" collapsed="false">
      <c r="B1689" s="7" t="n">
        <v>46222</v>
      </c>
      <c r="C1689" s="3" t="s">
        <v>12042</v>
      </c>
      <c r="D1689" s="3" t="s">
        <v>10944</v>
      </c>
      <c r="E1689" s="3" t="s">
        <v>12043</v>
      </c>
      <c r="F1689" s="10" t="str">
        <f aca="false">HYPERLINK("https://www.inaturalist.org/people/everymanjackalope","everymanjackalope")</f>
        <v>everymanjackalope</v>
      </c>
      <c r="G1689" s="9" t="s">
        <v>13</v>
      </c>
      <c r="H1689" s="9" t="s">
        <v>12044</v>
      </c>
    </row>
    <row r="1690" customFormat="false" ht="15.75" hidden="false" customHeight="false" outlineLevel="0" collapsed="false">
      <c r="B1690" s="7" t="n">
        <v>46222</v>
      </c>
      <c r="C1690" s="3" t="s">
        <v>12045</v>
      </c>
      <c r="D1690" s="3" t="s">
        <v>10944</v>
      </c>
      <c r="E1690" s="3" t="s">
        <v>12046</v>
      </c>
      <c r="F1690" s="10" t="str">
        <f aca="false">HYPERLINK("https://www.inaturalist.org/people/everymanjackalope","everymanjackalope")</f>
        <v>everymanjackalope</v>
      </c>
      <c r="G1690" s="9" t="s">
        <v>13</v>
      </c>
      <c r="H1690" s="9" t="s">
        <v>12047</v>
      </c>
    </row>
    <row r="1691" customFormat="false" ht="15.75" hidden="false" customHeight="false" outlineLevel="0" collapsed="false">
      <c r="B1691" s="7" t="n">
        <v>46222</v>
      </c>
      <c r="C1691" s="3" t="s">
        <v>12048</v>
      </c>
      <c r="D1691" s="3" t="s">
        <v>10944</v>
      </c>
      <c r="E1691" s="3" t="s">
        <v>12049</v>
      </c>
      <c r="F1691" s="10" t="str">
        <f aca="false">HYPERLINK("https://www.inaturalist.org/people/wanderingeden","wanderingeden")</f>
        <v>wanderingeden</v>
      </c>
      <c r="G1691" s="9" t="s">
        <v>13</v>
      </c>
      <c r="H1691" s="9" t="s">
        <v>12050</v>
      </c>
    </row>
    <row r="1692" customFormat="false" ht="15.75" hidden="false" customHeight="false" outlineLevel="0" collapsed="false">
      <c r="B1692" s="7" t="n">
        <v>46222</v>
      </c>
      <c r="C1692" s="3" t="s">
        <v>12051</v>
      </c>
      <c r="D1692" s="3" t="s">
        <v>10944</v>
      </c>
      <c r="E1692" s="3" t="s">
        <v>12052</v>
      </c>
      <c r="F1692" s="10" t="str">
        <f aca="false">HYPERLINK("https://www.inaturalist.org/people/rosshall","rosshall")</f>
        <v>rosshall</v>
      </c>
      <c r="G1692" s="9" t="s">
        <v>13</v>
      </c>
      <c r="H1692" s="9" t="s">
        <v>12053</v>
      </c>
    </row>
    <row r="1693" customFormat="false" ht="15.75" hidden="false" customHeight="false" outlineLevel="0" collapsed="false">
      <c r="B1693" s="7" t="n">
        <v>46222</v>
      </c>
      <c r="C1693" s="3" t="s">
        <v>12054</v>
      </c>
      <c r="D1693" s="3" t="s">
        <v>10944</v>
      </c>
      <c r="E1693" s="3" t="s">
        <v>12055</v>
      </c>
      <c r="F1693" s="10" t="str">
        <f aca="false">HYPERLINK("https://www.inaturalist.org/people/wanderingeden","wanderingeden")</f>
        <v>wanderingeden</v>
      </c>
      <c r="G1693" s="9" t="s">
        <v>13</v>
      </c>
      <c r="H1693" s="9" t="s">
        <v>12056</v>
      </c>
    </row>
    <row r="1694" customFormat="false" ht="15.75" hidden="false" customHeight="false" outlineLevel="0" collapsed="false">
      <c r="B1694" s="7" t="n">
        <v>46222</v>
      </c>
      <c r="C1694" s="3" t="s">
        <v>12057</v>
      </c>
      <c r="D1694" s="3" t="s">
        <v>10944</v>
      </c>
      <c r="E1694" s="3" t="s">
        <v>12058</v>
      </c>
      <c r="F1694" s="10" t="str">
        <f aca="false">HYPERLINK("https://www.inaturalist.org/people/ciando","ciando")</f>
        <v>ciando</v>
      </c>
      <c r="G1694" s="9" t="s">
        <v>13</v>
      </c>
      <c r="H1694" s="9" t="s">
        <v>12059</v>
      </c>
    </row>
    <row r="1695" customFormat="false" ht="15.75" hidden="false" customHeight="false" outlineLevel="0" collapsed="false">
      <c r="B1695" s="7" t="n">
        <v>46222</v>
      </c>
      <c r="C1695" s="3" t="s">
        <v>12060</v>
      </c>
      <c r="D1695" s="3" t="s">
        <v>10944</v>
      </c>
      <c r="E1695" s="3" t="s">
        <v>12061</v>
      </c>
      <c r="F1695" s="10" t="str">
        <f aca="false">HYPERLINK("https://www.inaturalist.org/people/kroessler","kroessler")</f>
        <v>kroessler</v>
      </c>
      <c r="G1695" s="9" t="s">
        <v>13</v>
      </c>
      <c r="H1695" s="9" t="s">
        <v>12062</v>
      </c>
    </row>
    <row r="1696" customFormat="false" ht="15.75" hidden="false" customHeight="false" outlineLevel="0" collapsed="false">
      <c r="B1696" s="7" t="n">
        <v>46222</v>
      </c>
      <c r="C1696" s="3" t="s">
        <v>12063</v>
      </c>
      <c r="D1696" s="3" t="s">
        <v>10944</v>
      </c>
      <c r="E1696" s="3" t="s">
        <v>12064</v>
      </c>
      <c r="F1696" s="10" t="str">
        <f aca="false">HYPERLINK("https://www.inaturalist.org/people/kroessler","kroessler")</f>
        <v>kroessler</v>
      </c>
      <c r="G1696" s="9" t="s">
        <v>13</v>
      </c>
      <c r="H1696" s="9" t="s">
        <v>12065</v>
      </c>
    </row>
    <row r="1697" customFormat="false" ht="15.75" hidden="false" customHeight="false" outlineLevel="0" collapsed="false">
      <c r="B1697" s="7" t="n">
        <v>46222</v>
      </c>
      <c r="C1697" s="3" t="s">
        <v>12066</v>
      </c>
      <c r="D1697" s="3" t="s">
        <v>10944</v>
      </c>
      <c r="E1697" s="3" t="s">
        <v>12067</v>
      </c>
      <c r="F1697" s="10" t="str">
        <f aca="false">HYPERLINK("https://www.inaturalist.org/people/wanderingeden","wanderingeden")</f>
        <v>wanderingeden</v>
      </c>
      <c r="G1697" s="9" t="s">
        <v>13</v>
      </c>
      <c r="H1697" s="9" t="s">
        <v>12068</v>
      </c>
    </row>
    <row r="1698" customFormat="false" ht="15.75" hidden="false" customHeight="false" outlineLevel="0" collapsed="false">
      <c r="B1698" s="7" t="n">
        <v>46222</v>
      </c>
      <c r="C1698" s="3" t="s">
        <v>12069</v>
      </c>
      <c r="D1698" s="3" t="s">
        <v>10944</v>
      </c>
      <c r="E1698" s="3" t="s">
        <v>12070</v>
      </c>
      <c r="F1698" s="10" t="str">
        <f aca="false">HYPERLINK("https://www.inaturalist.org/people/stevenc22","stevenc22")</f>
        <v>stevenc22</v>
      </c>
      <c r="G1698" s="9" t="s">
        <v>13</v>
      </c>
      <c r="H1698" s="9" t="s">
        <v>12071</v>
      </c>
    </row>
    <row r="1699" customFormat="false" ht="15.75" hidden="false" customHeight="false" outlineLevel="0" collapsed="false">
      <c r="B1699" s="7" t="n">
        <v>46222</v>
      </c>
      <c r="C1699" s="3" t="s">
        <v>12072</v>
      </c>
      <c r="D1699" s="3" t="s">
        <v>10944</v>
      </c>
      <c r="E1699" s="3" t="s">
        <v>12073</v>
      </c>
      <c r="F1699" s="10" t="str">
        <f aca="false">HYPERLINK("https://www.inaturalist.org/people/afsperez","afsperez")</f>
        <v>afsperez</v>
      </c>
      <c r="G1699" s="9" t="s">
        <v>13</v>
      </c>
      <c r="H1699" s="9" t="s">
        <v>12074</v>
      </c>
    </row>
    <row r="1700" customFormat="false" ht="15.75" hidden="false" customHeight="false" outlineLevel="0" collapsed="false">
      <c r="B1700" s="7" t="n">
        <v>46222</v>
      </c>
      <c r="C1700" s="3" t="s">
        <v>12075</v>
      </c>
      <c r="D1700" s="3" t="s">
        <v>10944</v>
      </c>
      <c r="E1700" s="3" t="s">
        <v>12076</v>
      </c>
      <c r="F1700" s="10" t="str">
        <f aca="false">HYPERLINK("https://www.inaturalist.org/people/jeffwhite","jeffwhite")</f>
        <v>jeffwhite</v>
      </c>
      <c r="G1700" s="9" t="s">
        <v>13</v>
      </c>
      <c r="H1700" s="9" t="s">
        <v>12077</v>
      </c>
    </row>
    <row r="1701" customFormat="false" ht="15.75" hidden="false" customHeight="false" outlineLevel="0" collapsed="false">
      <c r="B1701" s="7" t="n">
        <v>46222</v>
      </c>
      <c r="C1701" s="3" t="s">
        <v>12078</v>
      </c>
      <c r="D1701" s="3" t="s">
        <v>10944</v>
      </c>
      <c r="E1701" s="3" t="s">
        <v>12079</v>
      </c>
      <c r="F1701" s="10" t="str">
        <f aca="false">HYPERLINK("https://www.inaturalist.org/people/wanderingeden","wanderingeden")</f>
        <v>wanderingeden</v>
      </c>
      <c r="G1701" s="9" t="s">
        <v>13</v>
      </c>
      <c r="H1701" s="9" t="s">
        <v>12080</v>
      </c>
    </row>
    <row r="1702" customFormat="false" ht="15.75" hidden="false" customHeight="false" outlineLevel="0" collapsed="false">
      <c r="B1702" s="7" t="n">
        <v>46222</v>
      </c>
      <c r="C1702" s="3" t="s">
        <v>12081</v>
      </c>
      <c r="D1702" s="3" t="s">
        <v>10944</v>
      </c>
      <c r="E1702" s="3" t="s">
        <v>12082</v>
      </c>
      <c r="F1702" s="10" t="str">
        <f aca="false">HYPERLINK("https://www.inaturalist.org/people/jonreimann","jonreimann")</f>
        <v>jonreimann</v>
      </c>
      <c r="G1702" s="9" t="s">
        <v>13</v>
      </c>
      <c r="H1702" s="9" t="s">
        <v>12083</v>
      </c>
    </row>
    <row r="1703" customFormat="false" ht="15.75" hidden="false" customHeight="false" outlineLevel="0" collapsed="false">
      <c r="B1703" s="7" t="n">
        <v>46222</v>
      </c>
      <c r="C1703" s="3" t="s">
        <v>12084</v>
      </c>
      <c r="D1703" s="3" t="s">
        <v>10944</v>
      </c>
      <c r="E1703" s="3" t="s">
        <v>12085</v>
      </c>
      <c r="F1703" s="10" t="str">
        <f aca="false">HYPERLINK("https://www.inaturalist.org/people/jeffwhite","jeffwhite")</f>
        <v>jeffwhite</v>
      </c>
      <c r="G1703" s="9" t="s">
        <v>13</v>
      </c>
      <c r="H1703" s="9" t="s">
        <v>12086</v>
      </c>
    </row>
    <row r="1704" customFormat="false" ht="15.75" hidden="false" customHeight="false" outlineLevel="0" collapsed="false">
      <c r="B1704" s="7" t="n">
        <v>46222</v>
      </c>
      <c r="C1704" s="3" t="s">
        <v>12087</v>
      </c>
      <c r="D1704" s="3" t="s">
        <v>10944</v>
      </c>
      <c r="E1704" s="3" t="s">
        <v>12088</v>
      </c>
      <c r="F1704" s="10" t="str">
        <f aca="false">HYPERLINK("https://www.inaturalist.org/people/usernameforinaturalist","usernameforinaturalist")</f>
        <v>usernameforinaturalist</v>
      </c>
      <c r="G1704" s="9" t="s">
        <v>13</v>
      </c>
      <c r="H1704" s="9" t="s">
        <v>12089</v>
      </c>
    </row>
    <row r="1705" customFormat="false" ht="15.75" hidden="false" customHeight="false" outlineLevel="0" collapsed="false">
      <c r="B1705" s="7" t="n">
        <v>46222</v>
      </c>
      <c r="C1705" s="3" t="s">
        <v>12090</v>
      </c>
      <c r="D1705" s="3" t="s">
        <v>10944</v>
      </c>
      <c r="E1705" s="3" t="s">
        <v>12091</v>
      </c>
      <c r="F1705" s="10" t="str">
        <f aca="false">HYPERLINK("https://www.inaturalist.org/people/brackets6","brackets6")</f>
        <v>brackets6</v>
      </c>
      <c r="G1705" s="9" t="s">
        <v>13</v>
      </c>
      <c r="H1705" s="9" t="s">
        <v>12092</v>
      </c>
    </row>
    <row r="1706" customFormat="false" ht="15.75" hidden="false" customHeight="false" outlineLevel="0" collapsed="false">
      <c r="B1706" s="7" t="n">
        <v>46222</v>
      </c>
      <c r="C1706" s="3" t="s">
        <v>12093</v>
      </c>
      <c r="D1706" s="3" t="s">
        <v>10944</v>
      </c>
      <c r="E1706" s="3" t="s">
        <v>12094</v>
      </c>
      <c r="F1706" s="10" t="str">
        <f aca="false">HYPERLINK("https://www.inaturalist.org/people/crifket","crifket")</f>
        <v>crifket</v>
      </c>
      <c r="G1706" s="9" t="s">
        <v>13</v>
      </c>
      <c r="H1706" s="9" t="s">
        <v>12095</v>
      </c>
    </row>
    <row r="1707" customFormat="false" ht="15.75" hidden="false" customHeight="false" outlineLevel="0" collapsed="false">
      <c r="B1707" s="7" t="n">
        <v>46222</v>
      </c>
      <c r="C1707" s="3" t="s">
        <v>12096</v>
      </c>
      <c r="D1707" s="3" t="s">
        <v>10944</v>
      </c>
      <c r="E1707" s="3" t="s">
        <v>12097</v>
      </c>
      <c r="F1707" s="10" t="str">
        <f aca="false">HYPERLINK("https://www.inaturalist.org/people/micholoko","micholoko")</f>
        <v>micholoko</v>
      </c>
      <c r="G1707" s="9" t="s">
        <v>13</v>
      </c>
      <c r="H1707" s="9" t="s">
        <v>12098</v>
      </c>
    </row>
    <row r="1708" customFormat="false" ht="15.75" hidden="false" customHeight="false" outlineLevel="0" collapsed="false">
      <c r="B1708" s="7" t="n">
        <v>46222</v>
      </c>
      <c r="C1708" s="3" t="s">
        <v>12099</v>
      </c>
      <c r="D1708" s="3" t="s">
        <v>10944</v>
      </c>
      <c r="E1708" s="3" t="s">
        <v>12100</v>
      </c>
      <c r="F1708" s="10" t="str">
        <f aca="false">HYPERLINK("https://www.inaturalist.org/people/caters","caters")</f>
        <v>caters</v>
      </c>
      <c r="G1708" s="9" t="s">
        <v>13</v>
      </c>
      <c r="H1708" s="9" t="s">
        <v>12101</v>
      </c>
    </row>
    <row r="1709" customFormat="false" ht="15.75" hidden="false" customHeight="false" outlineLevel="0" collapsed="false">
      <c r="B1709" s="7" t="n">
        <v>46222</v>
      </c>
      <c r="C1709" s="3" t="s">
        <v>12102</v>
      </c>
      <c r="D1709" s="3" t="s">
        <v>10944</v>
      </c>
      <c r="E1709" s="3" t="s">
        <v>12103</v>
      </c>
      <c r="F1709" s="10" t="str">
        <f aca="false">HYPERLINK("https://www.inaturalist.org/people/johnslowry","johnslowry")</f>
        <v>johnslowry</v>
      </c>
      <c r="G1709" s="9" t="s">
        <v>13</v>
      </c>
      <c r="H1709" s="9" t="s">
        <v>12104</v>
      </c>
    </row>
    <row r="1710" customFormat="false" ht="15.75" hidden="false" customHeight="false" outlineLevel="0" collapsed="false">
      <c r="B1710" s="7" t="n">
        <v>46222</v>
      </c>
      <c r="C1710" s="3" t="s">
        <v>12105</v>
      </c>
      <c r="D1710" s="3" t="s">
        <v>10944</v>
      </c>
      <c r="E1710" s="3" t="s">
        <v>12106</v>
      </c>
      <c r="F1710" s="10" t="str">
        <f aca="false">HYPERLINK("https://www.inaturalist.org/people/johnslowry","johnslowry")</f>
        <v>johnslowry</v>
      </c>
      <c r="G1710" s="9" t="s">
        <v>13</v>
      </c>
      <c r="H1710" s="9" t="s">
        <v>12107</v>
      </c>
    </row>
    <row r="1711" customFormat="false" ht="15.75" hidden="false" customHeight="false" outlineLevel="0" collapsed="false">
      <c r="B1711" s="7" t="n">
        <v>46222</v>
      </c>
      <c r="C1711" s="3" t="s">
        <v>12108</v>
      </c>
      <c r="D1711" s="3" t="s">
        <v>10944</v>
      </c>
      <c r="E1711" s="3" t="s">
        <v>12109</v>
      </c>
      <c r="F1711" s="10" t="str">
        <f aca="false">HYPERLINK("https://www.inaturalist.org/people/treadcarefully","treadcarefully")</f>
        <v>treadcarefully</v>
      </c>
      <c r="G1711" s="9" t="s">
        <v>13</v>
      </c>
      <c r="H1711" s="9" t="s">
        <v>12110</v>
      </c>
    </row>
    <row r="1712" customFormat="false" ht="15.75" hidden="false" customHeight="false" outlineLevel="0" collapsed="false">
      <c r="B1712" s="7" t="n">
        <v>46222</v>
      </c>
      <c r="C1712" s="3" t="s">
        <v>12111</v>
      </c>
      <c r="D1712" s="3" t="s">
        <v>10944</v>
      </c>
      <c r="E1712" s="3" t="s">
        <v>12112</v>
      </c>
      <c r="F1712" s="10" t="str">
        <f aca="false">HYPERLINK("https://www.inaturalist.org/people/jeffwhite","jeffwhite")</f>
        <v>jeffwhite</v>
      </c>
      <c r="G1712" s="9" t="s">
        <v>13</v>
      </c>
      <c r="H1712" s="9" t="s">
        <v>12113</v>
      </c>
    </row>
    <row r="1713" customFormat="false" ht="15.75" hidden="false" customHeight="false" outlineLevel="0" collapsed="false">
      <c r="B1713" s="7" t="n">
        <v>46222</v>
      </c>
      <c r="C1713" s="3" t="s">
        <v>12114</v>
      </c>
      <c r="D1713" s="3" t="s">
        <v>10944</v>
      </c>
      <c r="E1713" s="3" t="s">
        <v>12115</v>
      </c>
      <c r="F1713" s="10" t="str">
        <f aca="false">HYPERLINK("https://www.inaturalist.org/people/tdown","tdown")</f>
        <v>tdown</v>
      </c>
      <c r="G1713" s="9" t="s">
        <v>13</v>
      </c>
      <c r="H1713" s="9" t="s">
        <v>12116</v>
      </c>
    </row>
    <row r="1714" customFormat="false" ht="15.75" hidden="false" customHeight="false" outlineLevel="0" collapsed="false">
      <c r="B1714" s="7" t="n">
        <v>46222</v>
      </c>
      <c r="C1714" s="3" t="s">
        <v>12117</v>
      </c>
      <c r="D1714" s="3" t="s">
        <v>10944</v>
      </c>
      <c r="E1714" s="3" t="s">
        <v>12118</v>
      </c>
      <c r="F1714" s="10" t="str">
        <f aca="false">HYPERLINK("https://www.inaturalist.org/people/tdown","tdown")</f>
        <v>tdown</v>
      </c>
      <c r="G1714" s="9" t="s">
        <v>13</v>
      </c>
      <c r="H1714" s="9" t="s">
        <v>12119</v>
      </c>
    </row>
    <row r="1715" customFormat="false" ht="15.75" hidden="false" customHeight="false" outlineLevel="0" collapsed="false">
      <c r="B1715" s="7" t="n">
        <v>46222</v>
      </c>
      <c r="C1715" s="3" t="s">
        <v>12120</v>
      </c>
      <c r="D1715" s="3" t="s">
        <v>10944</v>
      </c>
      <c r="E1715" s="3" t="s">
        <v>12121</v>
      </c>
      <c r="F1715" s="10" t="str">
        <f aca="false">HYPERLINK("https://www.inaturalist.org/people/tdown","tdown")</f>
        <v>tdown</v>
      </c>
      <c r="G1715" s="9" t="s">
        <v>13</v>
      </c>
      <c r="H1715" s="9" t="s">
        <v>12122</v>
      </c>
    </row>
    <row r="1716" customFormat="false" ht="15.75" hidden="false" customHeight="false" outlineLevel="0" collapsed="false">
      <c r="B1716" s="7" t="n">
        <v>46222</v>
      </c>
      <c r="C1716" s="3" t="s">
        <v>12123</v>
      </c>
      <c r="D1716" s="3" t="s">
        <v>10944</v>
      </c>
      <c r="E1716" s="3" t="s">
        <v>12124</v>
      </c>
      <c r="F1716" s="10" t="str">
        <f aca="false">HYPERLINK("https://www.inaturalist.org/people/wanderingeden","wanderingeden")</f>
        <v>wanderingeden</v>
      </c>
      <c r="G1716" s="9" t="s">
        <v>13</v>
      </c>
      <c r="H1716" s="9" t="s">
        <v>12125</v>
      </c>
    </row>
    <row r="1717" customFormat="false" ht="15.75" hidden="false" customHeight="false" outlineLevel="0" collapsed="false">
      <c r="B1717" s="7" t="n">
        <v>46222</v>
      </c>
      <c r="C1717" s="3" t="s">
        <v>12126</v>
      </c>
      <c r="D1717" s="3" t="s">
        <v>10944</v>
      </c>
      <c r="E1717" s="3" t="s">
        <v>12127</v>
      </c>
      <c r="F1717" s="10" t="str">
        <f aca="false">HYPERLINK("https://www.inaturalist.org/people/jman99","jman99")</f>
        <v>jman99</v>
      </c>
      <c r="G1717" s="9" t="s">
        <v>13</v>
      </c>
      <c r="H1717" s="9" t="s">
        <v>12128</v>
      </c>
    </row>
    <row r="1718" customFormat="false" ht="15.75" hidden="false" customHeight="false" outlineLevel="0" collapsed="false">
      <c r="B1718" s="7" t="n">
        <v>46222</v>
      </c>
      <c r="C1718" s="3" t="s">
        <v>12129</v>
      </c>
      <c r="D1718" s="3" t="s">
        <v>10944</v>
      </c>
      <c r="E1718" s="3" t="s">
        <v>12130</v>
      </c>
      <c r="F1718" s="10" t="str">
        <f aca="false">HYPERLINK("https://www.inaturalist.org/people/treadcarefully","treadcarefully")</f>
        <v>treadcarefully</v>
      </c>
      <c r="G1718" s="9" t="s">
        <v>13</v>
      </c>
      <c r="H1718" s="9" t="s">
        <v>12131</v>
      </c>
    </row>
    <row r="1719" customFormat="false" ht="15.75" hidden="false" customHeight="false" outlineLevel="0" collapsed="false">
      <c r="B1719" s="7" t="n">
        <v>46222</v>
      </c>
      <c r="C1719" s="3" t="s">
        <v>12132</v>
      </c>
      <c r="D1719" s="3" t="s">
        <v>10944</v>
      </c>
      <c r="E1719" s="3" t="s">
        <v>12133</v>
      </c>
      <c r="F1719" s="10" t="str">
        <f aca="false">HYPERLINK("https://www.inaturalist.org/people/treadcarefully","treadcarefully")</f>
        <v>treadcarefully</v>
      </c>
      <c r="G1719" s="9" t="s">
        <v>13</v>
      </c>
      <c r="H1719" s="9" t="s">
        <v>12134</v>
      </c>
    </row>
    <row r="1720" customFormat="false" ht="15.75" hidden="false" customHeight="false" outlineLevel="0" collapsed="false">
      <c r="B1720" s="7" t="n">
        <v>46222</v>
      </c>
      <c r="C1720" s="3" t="s">
        <v>12135</v>
      </c>
      <c r="D1720" s="3" t="s">
        <v>10944</v>
      </c>
      <c r="E1720" s="3" t="s">
        <v>12136</v>
      </c>
      <c r="F1720" s="10" t="str">
        <f aca="false">HYPERLINK("https://www.inaturalist.org/people/tama_king_fisher","tama_king_fisher")</f>
        <v>tama_king_fisher</v>
      </c>
      <c r="G1720" s="9" t="s">
        <v>13</v>
      </c>
      <c r="H1720" s="9" t="s">
        <v>12137</v>
      </c>
    </row>
    <row r="1721" customFormat="false" ht="15.75" hidden="false" customHeight="false" outlineLevel="0" collapsed="false">
      <c r="B1721" s="7" t="n">
        <v>46222</v>
      </c>
      <c r="C1721" s="3" t="s">
        <v>12138</v>
      </c>
      <c r="D1721" s="3" t="s">
        <v>10944</v>
      </c>
      <c r="E1721" s="3" t="s">
        <v>12139</v>
      </c>
      <c r="F1721" s="10" t="str">
        <f aca="false">HYPERLINK("https://www.inaturalist.org/people/photolith","photolith")</f>
        <v>photolith</v>
      </c>
      <c r="G1721" s="9" t="s">
        <v>13</v>
      </c>
      <c r="H1721" s="9" t="s">
        <v>12140</v>
      </c>
    </row>
    <row r="1722" customFormat="false" ht="15.75" hidden="false" customHeight="false" outlineLevel="0" collapsed="false">
      <c r="B1722" s="7" t="n">
        <v>46222</v>
      </c>
      <c r="C1722" s="3" t="s">
        <v>12141</v>
      </c>
      <c r="D1722" s="3" t="s">
        <v>10944</v>
      </c>
      <c r="E1722" s="3" t="s">
        <v>12142</v>
      </c>
      <c r="F1722" s="10" t="str">
        <f aca="false">HYPERLINK("https://www.inaturalist.org/people/wanderingeden","wanderingeden")</f>
        <v>wanderingeden</v>
      </c>
      <c r="G1722" s="9" t="s">
        <v>13</v>
      </c>
      <c r="H1722" s="9" t="s">
        <v>12143</v>
      </c>
    </row>
    <row r="1723" customFormat="false" ht="15.75" hidden="false" customHeight="false" outlineLevel="0" collapsed="false">
      <c r="B1723" s="7" t="n">
        <v>46222</v>
      </c>
      <c r="C1723" s="3" t="s">
        <v>12144</v>
      </c>
      <c r="D1723" s="3" t="s">
        <v>10944</v>
      </c>
      <c r="E1723" s="3" t="s">
        <v>12145</v>
      </c>
      <c r="F1723" s="10" t="str">
        <f aca="false">HYPERLINK("https://www.inaturalist.org/people/jeffwhite","jeffwhite")</f>
        <v>jeffwhite</v>
      </c>
      <c r="G1723" s="9" t="s">
        <v>13</v>
      </c>
      <c r="H1723" s="9" t="s">
        <v>12146</v>
      </c>
    </row>
    <row r="1724" customFormat="false" ht="15.75" hidden="false" customHeight="false" outlineLevel="0" collapsed="false">
      <c r="B1724" s="7" t="n">
        <v>46222</v>
      </c>
      <c r="C1724" s="3" t="s">
        <v>12147</v>
      </c>
      <c r="D1724" s="3" t="s">
        <v>10944</v>
      </c>
      <c r="E1724" s="3" t="s">
        <v>12148</v>
      </c>
      <c r="F1724" s="10" t="str">
        <f aca="false">HYPERLINK("https://www.inaturalist.org/people/photolith","photolith")</f>
        <v>photolith</v>
      </c>
      <c r="G1724" s="9" t="s">
        <v>13</v>
      </c>
      <c r="H1724" s="9" t="s">
        <v>12149</v>
      </c>
    </row>
    <row r="1725" customFormat="false" ht="15.75" hidden="false" customHeight="false" outlineLevel="0" collapsed="false">
      <c r="B1725" s="7" t="n">
        <v>46222</v>
      </c>
      <c r="C1725" s="3" t="s">
        <v>12150</v>
      </c>
      <c r="D1725" s="3" t="s">
        <v>10944</v>
      </c>
      <c r="E1725" s="3" t="s">
        <v>12151</v>
      </c>
      <c r="F1725" s="10" t="str">
        <f aca="false">HYPERLINK("https://www.inaturalist.org/people/afsperez","afsperez")</f>
        <v>afsperez</v>
      </c>
      <c r="G1725" s="9" t="s">
        <v>13</v>
      </c>
      <c r="H1725" s="9" t="s">
        <v>12152</v>
      </c>
    </row>
    <row r="1726" customFormat="false" ht="15.75" hidden="false" customHeight="false" outlineLevel="0" collapsed="false">
      <c r="B1726" s="7" t="n">
        <v>46222</v>
      </c>
      <c r="C1726" s="3" t="s">
        <v>12153</v>
      </c>
      <c r="D1726" s="3" t="s">
        <v>10944</v>
      </c>
      <c r="E1726" s="3" t="s">
        <v>12154</v>
      </c>
      <c r="F1726" s="10" t="str">
        <f aca="false">HYPERLINK("https://www.inaturalist.org/people/mylodon","mylodon")</f>
        <v>mylodon</v>
      </c>
      <c r="G1726" s="9" t="s">
        <v>13</v>
      </c>
      <c r="H1726" s="9" t="s">
        <v>12155</v>
      </c>
    </row>
    <row r="1727" customFormat="false" ht="15.75" hidden="false" customHeight="false" outlineLevel="0" collapsed="false">
      <c r="B1727" s="7" t="n">
        <v>46222</v>
      </c>
      <c r="C1727" s="3" t="s">
        <v>12156</v>
      </c>
      <c r="D1727" s="3" t="s">
        <v>10944</v>
      </c>
      <c r="E1727" s="3" t="s">
        <v>12157</v>
      </c>
      <c r="F1727" s="10" t="str">
        <f aca="false">HYPERLINK("https://www.inaturalist.org/people/jmalisland","jmalisland")</f>
        <v>jmalisland</v>
      </c>
      <c r="G1727" s="9" t="s">
        <v>13</v>
      </c>
      <c r="H1727" s="9" t="s">
        <v>12158</v>
      </c>
    </row>
    <row r="1728" customFormat="false" ht="15.75" hidden="false" customHeight="false" outlineLevel="0" collapsed="false">
      <c r="B1728" s="7" t="n">
        <v>46222</v>
      </c>
      <c r="C1728" s="3" t="s">
        <v>12159</v>
      </c>
      <c r="D1728" s="3" t="s">
        <v>10944</v>
      </c>
      <c r="E1728" s="3" t="s">
        <v>12160</v>
      </c>
      <c r="F1728" s="10" t="str">
        <f aca="false">HYPERLINK("https://www.inaturalist.org/people/dimples1_4","dimples1_4")</f>
        <v>dimples1_4</v>
      </c>
      <c r="G1728" s="9" t="s">
        <v>13</v>
      </c>
      <c r="H1728" s="9" t="s">
        <v>12161</v>
      </c>
    </row>
    <row r="1729" customFormat="false" ht="15.75" hidden="false" customHeight="false" outlineLevel="0" collapsed="false">
      <c r="B1729" s="7" t="n">
        <v>46222</v>
      </c>
      <c r="C1729" s="3" t="s">
        <v>12162</v>
      </c>
      <c r="D1729" s="3" t="s">
        <v>10944</v>
      </c>
      <c r="E1729" s="3" t="s">
        <v>12163</v>
      </c>
      <c r="F1729" s="10" t="str">
        <f aca="false">HYPERLINK("https://www.inaturalist.org/people/nelsonpoore","nelsonpoore")</f>
        <v>nelsonpoore</v>
      </c>
      <c r="G1729" s="9" t="s">
        <v>13</v>
      </c>
      <c r="H1729" s="9" t="s">
        <v>12164</v>
      </c>
    </row>
    <row r="1730" customFormat="false" ht="15.75" hidden="false" customHeight="false" outlineLevel="0" collapsed="false">
      <c r="B1730" s="7" t="n">
        <v>46222</v>
      </c>
      <c r="C1730" s="3" t="s">
        <v>12165</v>
      </c>
      <c r="D1730" s="3" t="s">
        <v>10944</v>
      </c>
      <c r="E1730" s="3" t="s">
        <v>12166</v>
      </c>
      <c r="F1730" s="10" t="str">
        <f aca="false">HYPERLINK("https://www.inaturalist.org/people/nelsonpoore","nelsonpoore")</f>
        <v>nelsonpoore</v>
      </c>
      <c r="G1730" s="9" t="s">
        <v>13</v>
      </c>
      <c r="H1730" s="9" t="s">
        <v>12167</v>
      </c>
    </row>
    <row r="1731" customFormat="false" ht="15.75" hidden="false" customHeight="false" outlineLevel="0" collapsed="false">
      <c r="B1731" s="7" t="n">
        <v>46222</v>
      </c>
      <c r="C1731" s="3" t="s">
        <v>12168</v>
      </c>
      <c r="D1731" s="3" t="s">
        <v>10944</v>
      </c>
      <c r="E1731" s="3" t="s">
        <v>12169</v>
      </c>
      <c r="F1731" s="10" t="str">
        <f aca="false">HYPERLINK("https://www.inaturalist.org/people/jeffwhite","jeffwhite")</f>
        <v>jeffwhite</v>
      </c>
      <c r="G1731" s="9" t="s">
        <v>13</v>
      </c>
      <c r="H1731" s="9" t="s">
        <v>12170</v>
      </c>
    </row>
    <row r="1732" customFormat="false" ht="15.75" hidden="false" customHeight="false" outlineLevel="0" collapsed="false">
      <c r="B1732" s="7" t="n">
        <v>46222</v>
      </c>
      <c r="C1732" s="3" t="s">
        <v>12171</v>
      </c>
      <c r="D1732" s="3" t="s">
        <v>10944</v>
      </c>
      <c r="E1732" s="3" t="s">
        <v>12172</v>
      </c>
      <c r="F1732" s="10" t="str">
        <f aca="false">HYPERLINK("https://www.inaturalist.org/people/trees130","trees130")</f>
        <v>trees130</v>
      </c>
      <c r="G1732" s="9" t="s">
        <v>13</v>
      </c>
      <c r="H1732" s="9" t="s">
        <v>12173</v>
      </c>
    </row>
    <row r="1733" customFormat="false" ht="15.75" hidden="false" customHeight="false" outlineLevel="0" collapsed="false">
      <c r="B1733" s="7" t="n">
        <v>46222</v>
      </c>
      <c r="C1733" s="3" t="s">
        <v>12174</v>
      </c>
      <c r="D1733" s="3" t="s">
        <v>10944</v>
      </c>
      <c r="E1733" s="3" t="s">
        <v>12175</v>
      </c>
      <c r="F1733" s="10" t="str">
        <f aca="false">HYPERLINK("https://www.inaturalist.org/people/andrewm1000","andrewm1000")</f>
        <v>andrewm1000</v>
      </c>
      <c r="G1733" s="9" t="s">
        <v>13</v>
      </c>
      <c r="H1733" s="9" t="s">
        <v>12176</v>
      </c>
    </row>
    <row r="1734" customFormat="false" ht="15.75" hidden="false" customHeight="false" outlineLevel="0" collapsed="false">
      <c r="B1734" s="7" t="n">
        <v>46222</v>
      </c>
      <c r="C1734" s="3" t="s">
        <v>12177</v>
      </c>
      <c r="D1734" s="3" t="s">
        <v>10944</v>
      </c>
      <c r="E1734" s="3" t="s">
        <v>12178</v>
      </c>
      <c r="F1734" s="10" t="str">
        <f aca="false">HYPERLINK("https://www.inaturalist.org/people/kjolee","kjolee")</f>
        <v>kjolee</v>
      </c>
      <c r="G1734" s="9" t="s">
        <v>13</v>
      </c>
      <c r="H1734" s="9" t="s">
        <v>12179</v>
      </c>
    </row>
    <row r="1735" customFormat="false" ht="15.75" hidden="false" customHeight="false" outlineLevel="0" collapsed="false">
      <c r="B1735" s="7" t="n">
        <v>46222</v>
      </c>
      <c r="C1735" s="3" t="s">
        <v>12180</v>
      </c>
      <c r="D1735" s="3" t="s">
        <v>10944</v>
      </c>
      <c r="E1735" s="3" t="s">
        <v>12181</v>
      </c>
      <c r="F1735" s="10" t="str">
        <f aca="false">HYPERLINK("https://www.inaturalist.org/people/brackets6","brackets6")</f>
        <v>brackets6</v>
      </c>
      <c r="G1735" s="9" t="s">
        <v>13</v>
      </c>
      <c r="H1735" s="9" t="s">
        <v>12182</v>
      </c>
    </row>
    <row r="1736" customFormat="false" ht="15.75" hidden="false" customHeight="false" outlineLevel="0" collapsed="false">
      <c r="B1736" s="7" t="n">
        <v>46222</v>
      </c>
      <c r="C1736" s="3" t="s">
        <v>12183</v>
      </c>
      <c r="D1736" s="3" t="s">
        <v>10944</v>
      </c>
      <c r="E1736" s="3" t="s">
        <v>12184</v>
      </c>
      <c r="F1736" s="10" t="str">
        <f aca="false">HYPERLINK("https://www.inaturalist.org/people/lily226","lily226")</f>
        <v>lily226</v>
      </c>
      <c r="G1736" s="9" t="s">
        <v>13</v>
      </c>
      <c r="H1736" s="9" t="s">
        <v>12185</v>
      </c>
    </row>
    <row r="1737" customFormat="false" ht="15.75" hidden="false" customHeight="false" outlineLevel="0" collapsed="false">
      <c r="B1737" s="7" t="n">
        <v>46222</v>
      </c>
      <c r="C1737" s="3" t="s">
        <v>12186</v>
      </c>
      <c r="D1737" s="3" t="s">
        <v>10944</v>
      </c>
      <c r="E1737" s="3" t="s">
        <v>12187</v>
      </c>
      <c r="F1737" s="10" t="str">
        <f aca="false">HYPERLINK("https://www.inaturalist.org/people/shuchenyang","shuchenyang")</f>
        <v>shuchenyang</v>
      </c>
      <c r="G1737" s="9" t="s">
        <v>13</v>
      </c>
      <c r="H1737" s="9" t="s">
        <v>12188</v>
      </c>
    </row>
    <row r="1738" customFormat="false" ht="15.75" hidden="false" customHeight="false" outlineLevel="0" collapsed="false">
      <c r="B1738" s="7" t="n">
        <v>46222</v>
      </c>
      <c r="C1738" s="3" t="s">
        <v>12189</v>
      </c>
      <c r="D1738" s="3" t="s">
        <v>10944</v>
      </c>
      <c r="E1738" s="3" t="s">
        <v>12190</v>
      </c>
      <c r="F1738" s="10" t="str">
        <f aca="false">HYPERLINK("https://www.inaturalist.org/people/iwmcculloch","iwmcculloch")</f>
        <v>iwmcculloch</v>
      </c>
      <c r="G1738" s="9" t="s">
        <v>13</v>
      </c>
      <c r="H1738" s="9" t="s">
        <v>12191</v>
      </c>
    </row>
    <row r="1739" customFormat="false" ht="15.75" hidden="false" customHeight="false" outlineLevel="0" collapsed="false">
      <c r="B1739" s="7" t="n">
        <v>46222</v>
      </c>
      <c r="C1739" s="3" t="s">
        <v>12192</v>
      </c>
      <c r="D1739" s="3" t="s">
        <v>10944</v>
      </c>
      <c r="E1739" s="3" t="s">
        <v>12193</v>
      </c>
      <c r="F1739" s="10" t="str">
        <f aca="false">HYPERLINK("https://www.inaturalist.org/people/dive345","dive345")</f>
        <v>dive345</v>
      </c>
      <c r="G1739" s="9" t="s">
        <v>13</v>
      </c>
      <c r="H1739" s="9" t="s">
        <v>12194</v>
      </c>
    </row>
    <row r="1740" customFormat="false" ht="15.75" hidden="false" customHeight="false" outlineLevel="0" collapsed="false">
      <c r="B1740" s="7" t="n">
        <v>46222</v>
      </c>
      <c r="C1740" s="3" t="s">
        <v>12195</v>
      </c>
      <c r="D1740" s="3" t="s">
        <v>10944</v>
      </c>
      <c r="E1740" s="3" t="s">
        <v>12196</v>
      </c>
      <c r="F1740" s="10" t="str">
        <f aca="false">HYPERLINK("https://www.inaturalist.org/people/maimai16","maimai16")</f>
        <v>maimai16</v>
      </c>
      <c r="G1740" s="9" t="s">
        <v>13</v>
      </c>
      <c r="H1740" s="9" t="s">
        <v>12197</v>
      </c>
    </row>
    <row r="1741" customFormat="false" ht="15.75" hidden="false" customHeight="false" outlineLevel="0" collapsed="false">
      <c r="B1741" s="7" t="n">
        <v>46222</v>
      </c>
      <c r="C1741" s="3" t="s">
        <v>12198</v>
      </c>
      <c r="D1741" s="3" t="s">
        <v>10944</v>
      </c>
      <c r="E1741" s="3" t="s">
        <v>12199</v>
      </c>
      <c r="F1741" s="10" t="str">
        <f aca="false">HYPERLINK("https://www.inaturalist.org/people/luz0099","luz0099")</f>
        <v>luz0099</v>
      </c>
      <c r="G1741" s="9" t="s">
        <v>13</v>
      </c>
      <c r="H1741" s="9" t="s">
        <v>12200</v>
      </c>
    </row>
    <row r="1742" customFormat="false" ht="15.75" hidden="false" customHeight="false" outlineLevel="0" collapsed="false">
      <c r="B1742" s="7" t="n">
        <v>46222</v>
      </c>
      <c r="C1742" s="3" t="s">
        <v>12201</v>
      </c>
      <c r="D1742" s="3" t="s">
        <v>10944</v>
      </c>
      <c r="E1742" s="3" t="s">
        <v>12202</v>
      </c>
      <c r="F1742" s="10" t="str">
        <f aca="false">HYPERLINK("https://www.inaturalist.org/people/jeffwhite","jeffwhite")</f>
        <v>jeffwhite</v>
      </c>
      <c r="G1742" s="9" t="s">
        <v>13</v>
      </c>
      <c r="H1742" s="9" t="s">
        <v>12203</v>
      </c>
    </row>
    <row r="1743" customFormat="false" ht="15.75" hidden="false" customHeight="false" outlineLevel="0" collapsed="false">
      <c r="B1743" s="7" t="n">
        <v>46222</v>
      </c>
      <c r="C1743" s="3" t="s">
        <v>12204</v>
      </c>
      <c r="D1743" s="3" t="s">
        <v>10944</v>
      </c>
      <c r="E1743" s="3" t="s">
        <v>12205</v>
      </c>
      <c r="F1743" s="10" t="str">
        <f aca="false">HYPERLINK("https://www.inaturalist.org/people/sweetbean","sweetbean")</f>
        <v>sweetbean</v>
      </c>
      <c r="G1743" s="9" t="s">
        <v>13</v>
      </c>
      <c r="H1743" s="9" t="s">
        <v>12206</v>
      </c>
    </row>
    <row r="1744" customFormat="false" ht="15.75" hidden="false" customHeight="false" outlineLevel="0" collapsed="false">
      <c r="B1744" s="7" t="n">
        <v>46222</v>
      </c>
      <c r="C1744" s="3" t="s">
        <v>12207</v>
      </c>
      <c r="D1744" s="3" t="s">
        <v>10944</v>
      </c>
      <c r="E1744" s="3" t="s">
        <v>12208</v>
      </c>
      <c r="F1744" s="10" t="str">
        <f aca="false">HYPERLINK("https://www.inaturalist.org/people/christina81644","christina81644")</f>
        <v>christina81644</v>
      </c>
      <c r="G1744" s="9" t="s">
        <v>13</v>
      </c>
      <c r="H1744" s="9" t="s">
        <v>12209</v>
      </c>
    </row>
    <row r="1745" customFormat="false" ht="15.75" hidden="false" customHeight="false" outlineLevel="0" collapsed="false">
      <c r="B1745" s="7" t="n">
        <v>46222</v>
      </c>
      <c r="C1745" s="3" t="s">
        <v>12210</v>
      </c>
      <c r="D1745" s="3" t="s">
        <v>10944</v>
      </c>
      <c r="E1745" s="3" t="s">
        <v>12211</v>
      </c>
      <c r="F1745" s="10" t="str">
        <f aca="false">HYPERLINK("https://www.inaturalist.org/people/jeffwhite","jeffwhite")</f>
        <v>jeffwhite</v>
      </c>
      <c r="G1745" s="9" t="s">
        <v>13</v>
      </c>
      <c r="H1745" s="9" t="s">
        <v>12212</v>
      </c>
    </row>
    <row r="1746" customFormat="false" ht="15.75" hidden="false" customHeight="false" outlineLevel="0" collapsed="false">
      <c r="B1746" s="7" t="n">
        <v>46222</v>
      </c>
      <c r="C1746" s="3" t="s">
        <v>12213</v>
      </c>
      <c r="D1746" s="3" t="s">
        <v>10944</v>
      </c>
      <c r="E1746" s="3" t="s">
        <v>12214</v>
      </c>
      <c r="F1746" s="10" t="str">
        <f aca="false">HYPERLINK("https://www.inaturalist.org/people/yerpez","yerpez")</f>
        <v>yerpez</v>
      </c>
      <c r="G1746" s="9" t="s">
        <v>13</v>
      </c>
      <c r="H1746" s="9" t="s">
        <v>12215</v>
      </c>
    </row>
    <row r="1747" customFormat="false" ht="15.75" hidden="false" customHeight="false" outlineLevel="0" collapsed="false">
      <c r="B1747" s="7" t="n">
        <v>46222</v>
      </c>
      <c r="C1747" s="3" t="s">
        <v>12216</v>
      </c>
      <c r="D1747" s="3" t="s">
        <v>10944</v>
      </c>
      <c r="E1747" s="3" t="s">
        <v>12217</v>
      </c>
      <c r="F1747" s="10" t="str">
        <f aca="false">HYPERLINK("https://www.inaturalist.org/people/matthew_bowery","matthew_bowery")</f>
        <v>matthew_bowery</v>
      </c>
      <c r="G1747" s="9" t="s">
        <v>13</v>
      </c>
      <c r="H1747" s="9" t="s">
        <v>12218</v>
      </c>
    </row>
    <row r="1748" customFormat="false" ht="15.75" hidden="false" customHeight="false" outlineLevel="0" collapsed="false">
      <c r="B1748" s="7" t="n">
        <v>46222</v>
      </c>
      <c r="C1748" s="3" t="s">
        <v>12219</v>
      </c>
      <c r="D1748" s="3" t="s">
        <v>10944</v>
      </c>
      <c r="E1748" s="3" t="s">
        <v>12220</v>
      </c>
      <c r="F1748" s="10" t="str">
        <f aca="false">HYPERLINK("https://www.inaturalist.org/people/suz","suz")</f>
        <v>suz</v>
      </c>
      <c r="G1748" s="9" t="s">
        <v>13</v>
      </c>
      <c r="H1748" s="9" t="s">
        <v>12221</v>
      </c>
    </row>
    <row r="1749" customFormat="false" ht="15.75" hidden="false" customHeight="false" outlineLevel="0" collapsed="false">
      <c r="B1749" s="7" t="n">
        <v>46222</v>
      </c>
      <c r="C1749" s="3" t="s">
        <v>12222</v>
      </c>
      <c r="D1749" s="3" t="s">
        <v>10944</v>
      </c>
      <c r="E1749" s="3" t="s">
        <v>12223</v>
      </c>
      <c r="F1749" s="10" t="str">
        <f aca="false">HYPERLINK("https://www.inaturalist.org/people/myrtheblur","myrtheblur")</f>
        <v>myrtheblur</v>
      </c>
      <c r="G1749" s="9" t="s">
        <v>13</v>
      </c>
      <c r="H1749" s="9" t="s">
        <v>12224</v>
      </c>
    </row>
    <row r="1750" customFormat="false" ht="15.75" hidden="false" customHeight="false" outlineLevel="0" collapsed="false">
      <c r="B1750" s="7" t="n">
        <v>46222</v>
      </c>
      <c r="C1750" s="3" t="s">
        <v>12225</v>
      </c>
      <c r="D1750" s="3" t="s">
        <v>10944</v>
      </c>
      <c r="E1750" s="3" t="s">
        <v>12226</v>
      </c>
      <c r="F1750" s="10" t="str">
        <f aca="false">HYPERLINK("https://www.inaturalist.org/people/windows721","windows721")</f>
        <v>windows721</v>
      </c>
      <c r="G1750" s="9" t="s">
        <v>13</v>
      </c>
      <c r="H1750" s="9" t="s">
        <v>12227</v>
      </c>
    </row>
    <row r="1751" customFormat="false" ht="15.75" hidden="false" customHeight="false" outlineLevel="0" collapsed="false">
      <c r="B1751" s="7" t="n">
        <v>46222</v>
      </c>
      <c r="C1751" s="3" t="s">
        <v>12228</v>
      </c>
      <c r="D1751" s="3" t="s">
        <v>10944</v>
      </c>
      <c r="E1751" s="3" t="s">
        <v>12229</v>
      </c>
      <c r="F1751" s="10" t="str">
        <f aca="false">HYPERLINK("https://www.inaturalist.org/people/jack4rogers","jack4rogers")</f>
        <v>jack4rogers</v>
      </c>
      <c r="G1751" s="9" t="s">
        <v>13</v>
      </c>
      <c r="H1751" s="9" t="s">
        <v>12230</v>
      </c>
    </row>
    <row r="1752" customFormat="false" ht="15.75" hidden="false" customHeight="false" outlineLevel="0" collapsed="false">
      <c r="B1752" s="7" t="n">
        <v>46222</v>
      </c>
      <c r="C1752" s="3" t="s">
        <v>12231</v>
      </c>
      <c r="D1752" s="3" t="s">
        <v>10944</v>
      </c>
      <c r="E1752" s="3" t="s">
        <v>12232</v>
      </c>
      <c r="F1752" s="10" t="str">
        <f aca="false">HYPERLINK("https://www.inaturalist.org/people/sean-mg","sean-mg")</f>
        <v>sean-mg</v>
      </c>
      <c r="G1752" s="9" t="s">
        <v>13</v>
      </c>
      <c r="H1752" s="9" t="s">
        <v>12233</v>
      </c>
    </row>
    <row r="1753" customFormat="false" ht="15.75" hidden="false" customHeight="false" outlineLevel="0" collapsed="false">
      <c r="B1753" s="7" t="n">
        <v>46222</v>
      </c>
      <c r="C1753" s="3" t="s">
        <v>12234</v>
      </c>
      <c r="D1753" s="3" t="s">
        <v>10944</v>
      </c>
      <c r="E1753" s="3" t="s">
        <v>12235</v>
      </c>
      <c r="F1753" s="10" t="str">
        <f aca="false">HYPERLINK("https://www.inaturalist.org/people/abelardomendesjr","abelardomendesjr")</f>
        <v>abelardomendesjr</v>
      </c>
      <c r="G1753" s="9" t="s">
        <v>13</v>
      </c>
      <c r="H1753" s="9" t="s">
        <v>12236</v>
      </c>
    </row>
    <row r="1754" customFormat="false" ht="15.75" hidden="false" customHeight="false" outlineLevel="0" collapsed="false">
      <c r="B1754" s="7" t="n">
        <v>46222</v>
      </c>
      <c r="C1754" s="3" t="s">
        <v>12237</v>
      </c>
      <c r="D1754" s="3" t="s">
        <v>10944</v>
      </c>
      <c r="E1754" s="3" t="s">
        <v>12238</v>
      </c>
      <c r="F1754" s="10" t="str">
        <f aca="false">HYPERLINK("https://www.inaturalist.org/people/samoliver78","samoliver78")</f>
        <v>samoliver78</v>
      </c>
      <c r="G1754" s="9" t="s">
        <v>13</v>
      </c>
      <c r="H1754" s="9" t="s">
        <v>12239</v>
      </c>
    </row>
    <row r="1755" customFormat="false" ht="15.75" hidden="false" customHeight="false" outlineLevel="0" collapsed="false">
      <c r="B1755" s="7" t="n">
        <v>46222</v>
      </c>
      <c r="C1755" s="3" t="s">
        <v>12240</v>
      </c>
      <c r="D1755" s="3" t="s">
        <v>10944</v>
      </c>
      <c r="E1755" s="3" t="s">
        <v>12241</v>
      </c>
      <c r="F1755" s="10" t="str">
        <f aca="false">HYPERLINK("https://www.inaturalist.org/people/tama_king_fisher","tama_king_fisher")</f>
        <v>tama_king_fisher</v>
      </c>
      <c r="G1755" s="9" t="s">
        <v>13</v>
      </c>
      <c r="H1755" s="9" t="s">
        <v>12242</v>
      </c>
    </row>
    <row r="1756" customFormat="false" ht="15.75" hidden="false" customHeight="false" outlineLevel="0" collapsed="false">
      <c r="B1756" s="7" t="n">
        <v>46222</v>
      </c>
      <c r="C1756" s="3" t="s">
        <v>12243</v>
      </c>
      <c r="D1756" s="3" t="s">
        <v>10944</v>
      </c>
      <c r="E1756" s="3" t="s">
        <v>12244</v>
      </c>
      <c r="F1756" s="10" t="str">
        <f aca="false">HYPERLINK("https://www.inaturalist.org/people/samoliver78","samoliver78")</f>
        <v>samoliver78</v>
      </c>
      <c r="G1756" s="9" t="s">
        <v>13</v>
      </c>
      <c r="H1756" s="9" t="s">
        <v>12245</v>
      </c>
    </row>
    <row r="1757" customFormat="false" ht="15.75" hidden="false" customHeight="false" outlineLevel="0" collapsed="false">
      <c r="B1757" s="7" t="n">
        <v>46222</v>
      </c>
      <c r="C1757" s="3" t="s">
        <v>12246</v>
      </c>
      <c r="D1757" s="3" t="s">
        <v>10944</v>
      </c>
      <c r="E1757" s="3" t="s">
        <v>12247</v>
      </c>
      <c r="F1757" s="10" t="str">
        <f aca="false">HYPERLINK("https://www.inaturalist.org/people/steveansell","steveansell")</f>
        <v>steveansell</v>
      </c>
      <c r="G1757" s="9" t="s">
        <v>13</v>
      </c>
      <c r="H1757" s="9" t="s">
        <v>12248</v>
      </c>
    </row>
    <row r="1758" customFormat="false" ht="15.75" hidden="false" customHeight="false" outlineLevel="0" collapsed="false">
      <c r="B1758" s="7" t="n">
        <v>46222</v>
      </c>
      <c r="C1758" s="3" t="s">
        <v>12249</v>
      </c>
      <c r="D1758" s="3" t="s">
        <v>10944</v>
      </c>
      <c r="E1758" s="3" t="s">
        <v>12250</v>
      </c>
      <c r="F1758" s="10" t="str">
        <f aca="false">HYPERLINK("https://www.inaturalist.org/people/ken-potter","ken-potter")</f>
        <v>ken-potter</v>
      </c>
      <c r="G1758" s="9" t="s">
        <v>13</v>
      </c>
      <c r="H1758" s="9" t="s">
        <v>12251</v>
      </c>
    </row>
    <row r="1759" customFormat="false" ht="15.75" hidden="false" customHeight="false" outlineLevel="0" collapsed="false">
      <c r="B1759" s="7" t="n">
        <v>46222</v>
      </c>
      <c r="C1759" s="3" t="s">
        <v>12252</v>
      </c>
      <c r="D1759" s="3" t="s">
        <v>10944</v>
      </c>
      <c r="E1759" s="3" t="s">
        <v>12253</v>
      </c>
      <c r="F1759" s="10" t="str">
        <f aca="false">HYPERLINK("https://www.inaturalist.org/people/shuchenyang","shuchenyang")</f>
        <v>shuchenyang</v>
      </c>
      <c r="G1759" s="9" t="s">
        <v>13</v>
      </c>
      <c r="H1759" s="9" t="s">
        <v>12254</v>
      </c>
    </row>
    <row r="1760" customFormat="false" ht="15.75" hidden="false" customHeight="false" outlineLevel="0" collapsed="false">
      <c r="B1760" s="7" t="n">
        <v>46222</v>
      </c>
      <c r="C1760" s="3" t="s">
        <v>12255</v>
      </c>
      <c r="D1760" s="3" t="s">
        <v>10944</v>
      </c>
      <c r="E1760" s="3" t="s">
        <v>12256</v>
      </c>
      <c r="F1760" s="10" t="str">
        <f aca="false">HYPERLINK("https://www.inaturalist.org/people/mabelin","mabelin")</f>
        <v>mabelin</v>
      </c>
      <c r="G1760" s="9" t="s">
        <v>13</v>
      </c>
      <c r="H1760" s="9" t="s">
        <v>12257</v>
      </c>
    </row>
    <row r="1761" customFormat="false" ht="15.75" hidden="false" customHeight="false" outlineLevel="0" collapsed="false">
      <c r="B1761" s="7" t="n">
        <v>46222</v>
      </c>
      <c r="C1761" s="3" t="s">
        <v>12258</v>
      </c>
      <c r="D1761" s="3" t="s">
        <v>10944</v>
      </c>
      <c r="E1761" s="3" t="s">
        <v>12259</v>
      </c>
      <c r="F1761" s="10" t="str">
        <f aca="false">HYPERLINK("https://www.inaturalist.org/people/nsocher","nsocher")</f>
        <v>nsocher</v>
      </c>
      <c r="G1761" s="9" t="s">
        <v>13</v>
      </c>
      <c r="H1761" s="9" t="s">
        <v>12260</v>
      </c>
    </row>
    <row r="1762" customFormat="false" ht="15.75" hidden="false" customHeight="false" outlineLevel="0" collapsed="false">
      <c r="B1762" s="7" t="n">
        <v>46222</v>
      </c>
      <c r="C1762" s="3" t="s">
        <v>12261</v>
      </c>
      <c r="D1762" s="3" t="s">
        <v>10944</v>
      </c>
      <c r="E1762" s="3" t="s">
        <v>12262</v>
      </c>
      <c r="F1762" s="10" t="str">
        <f aca="false">HYPERLINK("https://www.inaturalist.org/people/bcur155","bcur155")</f>
        <v>bcur155</v>
      </c>
      <c r="G1762" s="9" t="s">
        <v>13</v>
      </c>
      <c r="H1762" s="9" t="s">
        <v>12263</v>
      </c>
    </row>
    <row r="1763" customFormat="false" ht="15.75" hidden="false" customHeight="false" outlineLevel="0" collapsed="false">
      <c r="B1763" s="7" t="n">
        <v>46222</v>
      </c>
      <c r="C1763" s="3" t="s">
        <v>12264</v>
      </c>
      <c r="D1763" s="3" t="s">
        <v>10944</v>
      </c>
      <c r="E1763" s="3" t="s">
        <v>12265</v>
      </c>
      <c r="F1763" s="10" t="str">
        <f aca="false">HYPERLINK("https://www.inaturalist.org/people/viksin","viksin")</f>
        <v>viksin</v>
      </c>
      <c r="G1763" s="9" t="s">
        <v>13</v>
      </c>
      <c r="H1763" s="9" t="s">
        <v>12266</v>
      </c>
    </row>
    <row r="1764" customFormat="false" ht="15.75" hidden="false" customHeight="false" outlineLevel="0" collapsed="false">
      <c r="B1764" s="7" t="n">
        <v>46222</v>
      </c>
      <c r="C1764" s="3" t="s">
        <v>12267</v>
      </c>
      <c r="D1764" s="3" t="s">
        <v>10944</v>
      </c>
      <c r="E1764" s="3" t="s">
        <v>12268</v>
      </c>
      <c r="F1764" s="10" t="str">
        <f aca="false">HYPERLINK("https://www.inaturalist.org/people/dive345","dive345")</f>
        <v>dive345</v>
      </c>
      <c r="G1764" s="9" t="s">
        <v>13</v>
      </c>
      <c r="H1764" s="9" t="s">
        <v>12269</v>
      </c>
    </row>
    <row r="1765" customFormat="false" ht="15.75" hidden="false" customHeight="false" outlineLevel="0" collapsed="false">
      <c r="B1765" s="7" t="n">
        <v>46222</v>
      </c>
      <c r="C1765" s="3" t="s">
        <v>12270</v>
      </c>
      <c r="D1765" s="3" t="s">
        <v>10944</v>
      </c>
      <c r="E1765" s="3" t="s">
        <v>12271</v>
      </c>
      <c r="F1765" s="10" t="str">
        <f aca="false">HYPERLINK("https://www.inaturalist.org/people/brackets6","brackets6")</f>
        <v>brackets6</v>
      </c>
      <c r="G1765" s="9" t="s">
        <v>13</v>
      </c>
      <c r="H1765" s="9" t="s">
        <v>12272</v>
      </c>
    </row>
    <row r="1766" customFormat="false" ht="15.75" hidden="false" customHeight="false" outlineLevel="0" collapsed="false">
      <c r="B1766" s="7" t="n">
        <v>46222</v>
      </c>
      <c r="C1766" s="3" t="s">
        <v>12273</v>
      </c>
      <c r="D1766" s="3" t="s">
        <v>10944</v>
      </c>
      <c r="E1766" s="3" t="s">
        <v>12274</v>
      </c>
      <c r="F1766" s="10" t="str">
        <f aca="false">HYPERLINK("https://www.inaturalist.org/people/steveansell","steveansell")</f>
        <v>steveansell</v>
      </c>
      <c r="G1766" s="9" t="s">
        <v>13</v>
      </c>
      <c r="H1766" s="9" t="s">
        <v>12275</v>
      </c>
    </row>
    <row r="1767" customFormat="false" ht="15.75" hidden="false" customHeight="false" outlineLevel="0" collapsed="false">
      <c r="B1767" s="7" t="n">
        <v>46222</v>
      </c>
      <c r="C1767" s="3" t="s">
        <v>12276</v>
      </c>
      <c r="D1767" s="3" t="s">
        <v>10944</v>
      </c>
      <c r="E1767" s="3" t="s">
        <v>12277</v>
      </c>
      <c r="F1767" s="10" t="str">
        <f aca="false">HYPERLINK("https://www.inaturalist.org/people/afsperez","afsperez")</f>
        <v>afsperez</v>
      </c>
      <c r="G1767" s="9" t="s">
        <v>13</v>
      </c>
      <c r="H1767" s="9" t="s">
        <v>12278</v>
      </c>
    </row>
    <row r="1768" customFormat="false" ht="15.75" hidden="false" customHeight="false" outlineLevel="0" collapsed="false">
      <c r="B1768" s="7" t="n">
        <v>46222</v>
      </c>
      <c r="C1768" s="3" t="s">
        <v>12279</v>
      </c>
      <c r="D1768" s="3" t="s">
        <v>10944</v>
      </c>
      <c r="E1768" s="3" t="s">
        <v>12280</v>
      </c>
      <c r="F1768" s="10" t="str">
        <f aca="false">HYPERLINK("https://www.inaturalist.org/people/georgetelehin","georgetelehin")</f>
        <v>georgetelehin</v>
      </c>
      <c r="G1768" s="9" t="s">
        <v>13</v>
      </c>
      <c r="H1768" s="9" t="s">
        <v>12281</v>
      </c>
    </row>
    <row r="1769" customFormat="false" ht="15.75" hidden="false" customHeight="false" outlineLevel="0" collapsed="false">
      <c r="B1769" s="7" t="n">
        <v>46222</v>
      </c>
      <c r="C1769" s="3" t="s">
        <v>12282</v>
      </c>
      <c r="D1769" s="3" t="s">
        <v>10944</v>
      </c>
      <c r="E1769" s="3" t="s">
        <v>12283</v>
      </c>
      <c r="F1769" s="10" t="str">
        <f aca="false">HYPERLINK("https://www.inaturalist.org/people/greg-soniana","greg-soniana")</f>
        <v>greg-soniana</v>
      </c>
      <c r="G1769" s="9" t="s">
        <v>13</v>
      </c>
      <c r="H1769" s="9" t="s">
        <v>12284</v>
      </c>
    </row>
    <row r="1770" customFormat="false" ht="15.75" hidden="false" customHeight="false" outlineLevel="0" collapsed="false">
      <c r="B1770" s="7" t="n">
        <v>46222</v>
      </c>
      <c r="C1770" s="3" t="s">
        <v>12285</v>
      </c>
      <c r="D1770" s="3" t="s">
        <v>10944</v>
      </c>
      <c r="E1770" s="3" t="s">
        <v>12286</v>
      </c>
      <c r="F1770" s="10" t="str">
        <f aca="false">HYPERLINK("https://www.inaturalist.org/people/afsperez","afsperez")</f>
        <v>afsperez</v>
      </c>
      <c r="G1770" s="9" t="s">
        <v>13</v>
      </c>
      <c r="H1770" s="9" t="s">
        <v>12287</v>
      </c>
    </row>
    <row r="1771" customFormat="false" ht="15.75" hidden="false" customHeight="false" outlineLevel="0" collapsed="false">
      <c r="B1771" s="7" t="n">
        <v>46222</v>
      </c>
      <c r="C1771" s="3" t="s">
        <v>12288</v>
      </c>
      <c r="D1771" s="3" t="s">
        <v>10944</v>
      </c>
      <c r="E1771" s="3" t="s">
        <v>12289</v>
      </c>
      <c r="F1771" s="10" t="str">
        <f aca="false">HYPERLINK("https://www.inaturalist.org/people/sweetbean","sweetbean")</f>
        <v>sweetbean</v>
      </c>
      <c r="G1771" s="9" t="s">
        <v>13</v>
      </c>
      <c r="H1771" s="9" t="s">
        <v>12290</v>
      </c>
    </row>
    <row r="1772" customFormat="false" ht="15.75" hidden="false" customHeight="false" outlineLevel="0" collapsed="false">
      <c r="B1772" s="7" t="n">
        <v>46222</v>
      </c>
      <c r="C1772" s="3" t="s">
        <v>12291</v>
      </c>
      <c r="D1772" s="3" t="s">
        <v>10944</v>
      </c>
      <c r="E1772" s="3" t="s">
        <v>12292</v>
      </c>
      <c r="F1772" s="10" t="str">
        <f aca="false">HYPERLINK("https://www.inaturalist.org/people/paniolo_man","paniolo_man")</f>
        <v>paniolo_man</v>
      </c>
      <c r="G1772" s="9" t="s">
        <v>13</v>
      </c>
      <c r="H1772" s="9" t="s">
        <v>12293</v>
      </c>
    </row>
    <row r="1773" customFormat="false" ht="15.75" hidden="false" customHeight="false" outlineLevel="0" collapsed="false">
      <c r="B1773" s="7" t="n">
        <v>46222</v>
      </c>
      <c r="C1773" s="3" t="s">
        <v>12294</v>
      </c>
      <c r="D1773" s="3" t="s">
        <v>10944</v>
      </c>
      <c r="E1773" s="3" t="s">
        <v>12295</v>
      </c>
      <c r="F1773" s="10" t="str">
        <f aca="false">HYPERLINK("https://www.inaturalist.org/people/afsperez","afsperez")</f>
        <v>afsperez</v>
      </c>
      <c r="G1773" s="9" t="s">
        <v>13</v>
      </c>
      <c r="H1773" s="9" t="s">
        <v>12296</v>
      </c>
    </row>
    <row r="1774" customFormat="false" ht="15.75" hidden="false" customHeight="false" outlineLevel="0" collapsed="false">
      <c r="B1774" s="7" t="n">
        <v>46222</v>
      </c>
      <c r="C1774" s="3" t="s">
        <v>12297</v>
      </c>
      <c r="D1774" s="3" t="s">
        <v>10944</v>
      </c>
      <c r="E1774" s="3" t="s">
        <v>12298</v>
      </c>
      <c r="F1774" s="10" t="str">
        <f aca="false">HYPERLINK("https://www.inaturalist.org/people/shuchenyang","shuchenyang")</f>
        <v>shuchenyang</v>
      </c>
      <c r="G1774" s="9" t="s">
        <v>13</v>
      </c>
      <c r="H1774" s="9" t="s">
        <v>12299</v>
      </c>
    </row>
    <row r="1775" customFormat="false" ht="15.75" hidden="false" customHeight="false" outlineLevel="0" collapsed="false">
      <c r="B1775" s="7" t="n">
        <v>46222</v>
      </c>
      <c r="C1775" s="3" t="s">
        <v>12300</v>
      </c>
      <c r="D1775" s="3" t="s">
        <v>10944</v>
      </c>
      <c r="E1775" s="3" t="s">
        <v>12301</v>
      </c>
      <c r="F1775" s="10" t="str">
        <f aca="false">HYPERLINK("https://www.inaturalist.org/people/sweetbean","sweetbean")</f>
        <v>sweetbean</v>
      </c>
      <c r="G1775" s="9" t="s">
        <v>13</v>
      </c>
      <c r="H1775" s="9" t="s">
        <v>12302</v>
      </c>
    </row>
    <row r="1776" customFormat="false" ht="15.75" hidden="false" customHeight="false" outlineLevel="0" collapsed="false">
      <c r="B1776" s="7" t="n">
        <v>46222</v>
      </c>
      <c r="C1776" s="3" t="s">
        <v>12303</v>
      </c>
      <c r="D1776" s="3" t="s">
        <v>10944</v>
      </c>
      <c r="E1776" s="3" t="s">
        <v>12304</v>
      </c>
      <c r="F1776" s="10" t="str">
        <f aca="false">HYPERLINK("https://www.inaturalist.org/people/steveansell","steveansell")</f>
        <v>steveansell</v>
      </c>
      <c r="G1776" s="9" t="s">
        <v>13</v>
      </c>
      <c r="H1776" s="9" t="s">
        <v>12305</v>
      </c>
    </row>
    <row r="1777" customFormat="false" ht="15.75" hidden="false" customHeight="false" outlineLevel="0" collapsed="false">
      <c r="B1777" s="7" t="n">
        <v>46222</v>
      </c>
      <c r="C1777" s="3" t="s">
        <v>12306</v>
      </c>
      <c r="D1777" s="3" t="s">
        <v>10944</v>
      </c>
      <c r="E1777" s="3" t="s">
        <v>12307</v>
      </c>
      <c r="F1777" s="10" t="str">
        <f aca="false">HYPERLINK("https://www.inaturalist.org/people/apcwalina","apcwalina")</f>
        <v>apcwalina</v>
      </c>
      <c r="G1777" s="9" t="s">
        <v>13</v>
      </c>
      <c r="H1777" s="9" t="s">
        <v>12308</v>
      </c>
    </row>
    <row r="1778" customFormat="false" ht="15.75" hidden="false" customHeight="false" outlineLevel="0" collapsed="false">
      <c r="B1778" s="7" t="n">
        <v>46222</v>
      </c>
      <c r="C1778" s="3" t="s">
        <v>12309</v>
      </c>
      <c r="D1778" s="3" t="s">
        <v>10944</v>
      </c>
      <c r="E1778" s="3" t="s">
        <v>12310</v>
      </c>
      <c r="F1778" s="10" t="str">
        <f aca="false">HYPERLINK("https://www.inaturalist.org/people/afsperez","afsperez")</f>
        <v>afsperez</v>
      </c>
      <c r="G1778" s="9" t="s">
        <v>13</v>
      </c>
      <c r="H1778" s="9" t="s">
        <v>12311</v>
      </c>
    </row>
    <row r="1779" customFormat="false" ht="15.75" hidden="false" customHeight="false" outlineLevel="0" collapsed="false">
      <c r="B1779" s="7" t="n">
        <v>46222</v>
      </c>
      <c r="C1779" s="3" t="s">
        <v>12312</v>
      </c>
      <c r="D1779" s="3" t="s">
        <v>10944</v>
      </c>
      <c r="E1779" s="3" t="s">
        <v>12313</v>
      </c>
      <c r="F1779" s="10" t="str">
        <f aca="false">HYPERLINK("https://www.inaturalist.org/people/jeffwhite","jeffwhite")</f>
        <v>jeffwhite</v>
      </c>
      <c r="G1779" s="9" t="s">
        <v>13</v>
      </c>
      <c r="H1779" s="9" t="s">
        <v>12314</v>
      </c>
    </row>
    <row r="1780" customFormat="false" ht="15.75" hidden="false" customHeight="false" outlineLevel="0" collapsed="false">
      <c r="B1780" s="7" t="n">
        <v>46222</v>
      </c>
      <c r="C1780" s="3" t="s">
        <v>12315</v>
      </c>
      <c r="D1780" s="3" t="s">
        <v>10944</v>
      </c>
      <c r="E1780" s="3" t="s">
        <v>12316</v>
      </c>
      <c r="F1780" s="10" t="str">
        <f aca="false">HYPERLINK("https://www.inaturalist.org/people/mimoribaba","mimoribaba")</f>
        <v>mimoribaba</v>
      </c>
      <c r="G1780" s="9" t="s">
        <v>13</v>
      </c>
      <c r="H1780" s="9" t="s">
        <v>12317</v>
      </c>
    </row>
    <row r="1781" customFormat="false" ht="15.75" hidden="false" customHeight="false" outlineLevel="0" collapsed="false">
      <c r="B1781" s="7" t="n">
        <v>46222</v>
      </c>
      <c r="C1781" s="3" t="s">
        <v>12318</v>
      </c>
      <c r="D1781" s="3" t="s">
        <v>10944</v>
      </c>
      <c r="E1781" s="3" t="s">
        <v>12319</v>
      </c>
      <c r="F1781" s="10" t="str">
        <f aca="false">HYPERLINK("https://www.inaturalist.org/people/luzluz","luzluz")</f>
        <v>luzluz</v>
      </c>
      <c r="G1781" s="9" t="s">
        <v>13</v>
      </c>
      <c r="H1781" s="9" t="s">
        <v>12320</v>
      </c>
    </row>
    <row r="1782" customFormat="false" ht="15.75" hidden="false" customHeight="false" outlineLevel="0" collapsed="false">
      <c r="B1782" s="7" t="n">
        <v>46222</v>
      </c>
      <c r="C1782" s="3" t="s">
        <v>12321</v>
      </c>
      <c r="D1782" s="3" t="s">
        <v>10944</v>
      </c>
      <c r="E1782" s="3" t="s">
        <v>12322</v>
      </c>
      <c r="F1782" s="10" t="str">
        <f aca="false">HYPERLINK("https://www.inaturalist.org/people/apcwalina","apcwalina")</f>
        <v>apcwalina</v>
      </c>
      <c r="G1782" s="9" t="s">
        <v>13</v>
      </c>
      <c r="H1782" s="9" t="s">
        <v>12323</v>
      </c>
    </row>
    <row r="1783" customFormat="false" ht="15.75" hidden="false" customHeight="false" outlineLevel="0" collapsed="false">
      <c r="B1783" s="7" t="n">
        <v>46222</v>
      </c>
      <c r="C1783" s="3" t="s">
        <v>12324</v>
      </c>
      <c r="D1783" s="3" t="s">
        <v>10944</v>
      </c>
      <c r="E1783" s="3" t="s">
        <v>12325</v>
      </c>
      <c r="F1783" s="10" t="str">
        <f aca="false">HYPERLINK("https://www.inaturalist.org/people/urban_botanist","urban_botanist")</f>
        <v>urban_botanist</v>
      </c>
      <c r="G1783" s="9" t="s">
        <v>13</v>
      </c>
      <c r="H1783" s="9" t="s">
        <v>12326</v>
      </c>
    </row>
    <row r="1784" customFormat="false" ht="15.75" hidden="false" customHeight="false" outlineLevel="0" collapsed="false">
      <c r="B1784" s="7" t="n">
        <v>46222</v>
      </c>
      <c r="C1784" s="3" t="s">
        <v>12327</v>
      </c>
      <c r="D1784" s="3" t="s">
        <v>10944</v>
      </c>
      <c r="E1784" s="3" t="s">
        <v>12328</v>
      </c>
      <c r="F1784" s="10" t="str">
        <f aca="false">HYPERLINK("https://www.inaturalist.org/people/f__carter_smith","f__carter_smith")</f>
        <v>f__carter_smith</v>
      </c>
      <c r="G1784" s="9" t="s">
        <v>13</v>
      </c>
      <c r="H1784" s="9" t="s">
        <v>12329</v>
      </c>
    </row>
    <row r="1785" customFormat="false" ht="15.75" hidden="false" customHeight="false" outlineLevel="0" collapsed="false">
      <c r="B1785" s="7" t="n">
        <v>46222</v>
      </c>
      <c r="C1785" s="3" t="s">
        <v>12330</v>
      </c>
      <c r="D1785" s="3" t="s">
        <v>10944</v>
      </c>
      <c r="E1785" s="3" t="s">
        <v>12331</v>
      </c>
      <c r="F1785" s="10" t="str">
        <f aca="false">HYPERLINK("https://www.inaturalist.org/people/warddaniel","warddaniel")</f>
        <v>warddaniel</v>
      </c>
      <c r="G1785" s="9" t="s">
        <v>13</v>
      </c>
      <c r="H1785" s="9" t="s">
        <v>12332</v>
      </c>
    </row>
    <row r="1786" customFormat="false" ht="15.75" hidden="false" customHeight="false" outlineLevel="0" collapsed="false">
      <c r="B1786" s="7" t="n">
        <v>46222</v>
      </c>
      <c r="C1786" s="3" t="s">
        <v>12333</v>
      </c>
      <c r="D1786" s="3" t="s">
        <v>10944</v>
      </c>
      <c r="E1786" s="3" t="s">
        <v>12334</v>
      </c>
      <c r="F1786" s="10" t="str">
        <f aca="false">HYPERLINK("https://www.inaturalist.org/people/shuchenyang","shuchenyang")</f>
        <v>shuchenyang</v>
      </c>
      <c r="G1786" s="9" t="s">
        <v>13</v>
      </c>
      <c r="H1786" s="9" t="s">
        <v>12335</v>
      </c>
    </row>
    <row r="1787" customFormat="false" ht="15.75" hidden="false" customHeight="false" outlineLevel="0" collapsed="false">
      <c r="B1787" s="7" t="n">
        <v>46222</v>
      </c>
      <c r="C1787" s="3" t="s">
        <v>12336</v>
      </c>
      <c r="D1787" s="3" t="s">
        <v>10944</v>
      </c>
      <c r="E1787" s="3" t="s">
        <v>12337</v>
      </c>
      <c r="F1787" s="10" t="str">
        <f aca="false">HYPERLINK("https://www.inaturalist.org/people/lambt14","lambt14")</f>
        <v>lambt14</v>
      </c>
      <c r="G1787" s="9" t="s">
        <v>13</v>
      </c>
      <c r="H1787" s="9" t="s">
        <v>12338</v>
      </c>
    </row>
    <row r="1788" customFormat="false" ht="15.75" hidden="false" customHeight="false" outlineLevel="0" collapsed="false">
      <c r="B1788" s="7" t="n">
        <v>46222</v>
      </c>
      <c r="C1788" s="3" t="s">
        <v>12339</v>
      </c>
      <c r="D1788" s="3" t="s">
        <v>10944</v>
      </c>
      <c r="E1788" s="3" t="s">
        <v>12340</v>
      </c>
      <c r="F1788" s="10" t="str">
        <f aca="false">HYPERLINK("https://www.inaturalist.org/people/tatyana_livshultz","tatyana_livshultz")</f>
        <v>tatyana_livshultz</v>
      </c>
      <c r="G1788" s="9" t="s">
        <v>13</v>
      </c>
      <c r="H1788" s="9" t="s">
        <v>12341</v>
      </c>
    </row>
    <row r="1789" customFormat="false" ht="15.75" hidden="false" customHeight="false" outlineLevel="0" collapsed="false">
      <c r="B1789" s="7" t="n">
        <v>46222</v>
      </c>
      <c r="C1789" s="3" t="s">
        <v>12342</v>
      </c>
      <c r="D1789" s="3" t="s">
        <v>10944</v>
      </c>
      <c r="E1789" s="3" t="s">
        <v>12343</v>
      </c>
      <c r="F1789" s="10" t="str">
        <f aca="false">HYPERLINK("https://www.inaturalist.org/people/jeffwhite","jeffwhite")</f>
        <v>jeffwhite</v>
      </c>
      <c r="G1789" s="9" t="s">
        <v>13</v>
      </c>
      <c r="H1789" s="9" t="s">
        <v>12344</v>
      </c>
    </row>
    <row r="1790" customFormat="false" ht="15.75" hidden="false" customHeight="false" outlineLevel="0" collapsed="false">
      <c r="B1790" s="7" t="n">
        <v>46222</v>
      </c>
      <c r="C1790" s="3" t="s">
        <v>12345</v>
      </c>
      <c r="D1790" s="3" t="s">
        <v>10944</v>
      </c>
      <c r="E1790" s="3" t="s">
        <v>12346</v>
      </c>
      <c r="F1790" s="10" t="str">
        <f aca="false">HYPERLINK("https://www.inaturalist.org/people/rhsh","rhsh")</f>
        <v>rhsh</v>
      </c>
      <c r="G1790" s="9" t="s">
        <v>13</v>
      </c>
      <c r="H1790" s="9" t="s">
        <v>12347</v>
      </c>
    </row>
    <row r="1791" customFormat="false" ht="15.75" hidden="false" customHeight="false" outlineLevel="0" collapsed="false">
      <c r="B1791" s="7" t="n">
        <v>46222</v>
      </c>
      <c r="C1791" s="3" t="s">
        <v>12348</v>
      </c>
      <c r="D1791" s="3" t="s">
        <v>10944</v>
      </c>
      <c r="E1791" s="3" t="s">
        <v>12349</v>
      </c>
      <c r="F1791" s="10" t="str">
        <f aca="false">HYPERLINK("https://www.inaturalist.org/people/adidjimenez","adidjimenez")</f>
        <v>adidjimenez</v>
      </c>
      <c r="G1791" s="9" t="s">
        <v>13</v>
      </c>
      <c r="H1791" s="9" t="s">
        <v>12350</v>
      </c>
    </row>
    <row r="1792" customFormat="false" ht="15.75" hidden="false" customHeight="false" outlineLevel="0" collapsed="false">
      <c r="B1792" s="7" t="n">
        <v>46222</v>
      </c>
      <c r="C1792" s="3" t="s">
        <v>12351</v>
      </c>
      <c r="D1792" s="3" t="s">
        <v>10944</v>
      </c>
      <c r="E1792" s="3" t="s">
        <v>12352</v>
      </c>
      <c r="F1792" s="10" t="str">
        <f aca="false">HYPERLINK("https://www.inaturalist.org/people/adidjimenez","adidjimenez")</f>
        <v>adidjimenez</v>
      </c>
      <c r="G1792" s="9" t="s">
        <v>13</v>
      </c>
      <c r="H1792" s="9" t="s">
        <v>12353</v>
      </c>
    </row>
    <row r="1793" customFormat="false" ht="15.75" hidden="false" customHeight="false" outlineLevel="0" collapsed="false">
      <c r="B1793" s="7" t="n">
        <v>46222</v>
      </c>
      <c r="C1793" s="3" t="s">
        <v>12354</v>
      </c>
      <c r="D1793" s="3" t="s">
        <v>10944</v>
      </c>
      <c r="E1793" s="3" t="s">
        <v>12355</v>
      </c>
      <c r="F1793" s="10" t="str">
        <f aca="false">HYPERLINK("https://www.inaturalist.org/people/anniehobby","anniehobby")</f>
        <v>anniehobby</v>
      </c>
      <c r="G1793" s="9" t="s">
        <v>13</v>
      </c>
      <c r="H1793" s="9" t="s">
        <v>12356</v>
      </c>
    </row>
    <row r="1794" customFormat="false" ht="15.75" hidden="false" customHeight="false" outlineLevel="0" collapsed="false">
      <c r="B1794" s="7" t="n">
        <v>46222</v>
      </c>
      <c r="C1794" s="3" t="s">
        <v>12357</v>
      </c>
      <c r="D1794" s="3" t="s">
        <v>10944</v>
      </c>
      <c r="E1794" s="3" t="s">
        <v>12358</v>
      </c>
      <c r="F1794" s="10" t="str">
        <f aca="false">HYPERLINK("https://www.inaturalist.org/people/logan-berner","logan-berner")</f>
        <v>logan-berner</v>
      </c>
      <c r="G1794" s="9" t="s">
        <v>13</v>
      </c>
      <c r="H1794" s="9" t="s">
        <v>12359</v>
      </c>
    </row>
    <row r="1795" customFormat="false" ht="15.75" hidden="false" customHeight="false" outlineLevel="0" collapsed="false">
      <c r="B1795" s="7" t="n">
        <v>46222</v>
      </c>
      <c r="C1795" s="3" t="s">
        <v>12360</v>
      </c>
      <c r="D1795" s="3" t="s">
        <v>10944</v>
      </c>
      <c r="E1795" s="3" t="s">
        <v>12361</v>
      </c>
      <c r="F1795" s="10" t="str">
        <f aca="false">HYPERLINK("https://www.inaturalist.org/people/tatyana_livshultz","tatyana_livshultz")</f>
        <v>tatyana_livshultz</v>
      </c>
      <c r="G1795" s="9" t="s">
        <v>13</v>
      </c>
      <c r="H1795" s="9" t="s">
        <v>12362</v>
      </c>
    </row>
    <row r="1796" customFormat="false" ht="15.75" hidden="false" customHeight="false" outlineLevel="0" collapsed="false">
      <c r="B1796" s="7" t="n">
        <v>46222</v>
      </c>
      <c r="C1796" s="3" t="s">
        <v>12363</v>
      </c>
      <c r="D1796" s="3" t="s">
        <v>10944</v>
      </c>
      <c r="E1796" s="3" t="s">
        <v>12364</v>
      </c>
      <c r="F1796" s="10" t="str">
        <f aca="false">HYPERLINK("https://www.inaturalist.org/people/jeffwhite","jeffwhite")</f>
        <v>jeffwhite</v>
      </c>
      <c r="G1796" s="9" t="s">
        <v>13</v>
      </c>
      <c r="H1796" s="9" t="s">
        <v>12365</v>
      </c>
    </row>
    <row r="1797" customFormat="false" ht="15.75" hidden="false" customHeight="false" outlineLevel="0" collapsed="false">
      <c r="B1797" s="7" t="n">
        <v>46222</v>
      </c>
      <c r="C1797" s="3" t="s">
        <v>12366</v>
      </c>
      <c r="D1797" s="3" t="s">
        <v>10944</v>
      </c>
      <c r="E1797" s="3" t="s">
        <v>12367</v>
      </c>
      <c r="F1797" s="10" t="str">
        <f aca="false">HYPERLINK("https://www.inaturalist.org/people/darcywhittaker","darcywhittaker")</f>
        <v>darcywhittaker</v>
      </c>
      <c r="G1797" s="9" t="s">
        <v>13</v>
      </c>
      <c r="H1797" s="9" t="s">
        <v>12368</v>
      </c>
    </row>
    <row r="1798" customFormat="false" ht="15.75" hidden="false" customHeight="false" outlineLevel="0" collapsed="false">
      <c r="B1798" s="7" t="n">
        <v>46222</v>
      </c>
      <c r="C1798" s="3" t="s">
        <v>12369</v>
      </c>
      <c r="D1798" s="3" t="s">
        <v>10944</v>
      </c>
      <c r="E1798" s="3" t="s">
        <v>12370</v>
      </c>
      <c r="F1798" s="10" t="str">
        <f aca="false">HYPERLINK("https://www.inaturalist.org/people/joshbowling","joshbowling")</f>
        <v>joshbowling</v>
      </c>
      <c r="G1798" s="9" t="s">
        <v>13</v>
      </c>
      <c r="H1798" s="9" t="s">
        <v>12371</v>
      </c>
    </row>
    <row r="1799" customFormat="false" ht="15.75" hidden="false" customHeight="false" outlineLevel="0" collapsed="false">
      <c r="B1799" s="7" t="n">
        <v>46222</v>
      </c>
      <c r="C1799" s="3" t="s">
        <v>12372</v>
      </c>
      <c r="D1799" s="3" t="s">
        <v>10944</v>
      </c>
      <c r="E1799" s="3" t="s">
        <v>12373</v>
      </c>
      <c r="F1799" s="10" t="str">
        <f aca="false">HYPERLINK("https://www.inaturalist.org/people/haylstorm42","haylstorm42")</f>
        <v>haylstorm42</v>
      </c>
      <c r="G1799" s="9" t="s">
        <v>13</v>
      </c>
      <c r="H1799" s="9" t="s">
        <v>12374</v>
      </c>
    </row>
    <row r="1800" customFormat="false" ht="15.75" hidden="false" customHeight="false" outlineLevel="0" collapsed="false">
      <c r="B1800" s="7" t="n">
        <v>46222</v>
      </c>
      <c r="C1800" s="3" t="s">
        <v>12375</v>
      </c>
      <c r="D1800" s="3" t="s">
        <v>10944</v>
      </c>
      <c r="E1800" s="3" t="s">
        <v>12376</v>
      </c>
      <c r="F1800" s="10" t="str">
        <f aca="false">HYPERLINK("https://www.inaturalist.org/people/bensonetson104","bensonetson104")</f>
        <v>bensonetson104</v>
      </c>
      <c r="G1800" s="9" t="s">
        <v>13</v>
      </c>
      <c r="H1800" s="9" t="s">
        <v>12377</v>
      </c>
    </row>
    <row r="1801" customFormat="false" ht="15.75" hidden="false" customHeight="false" outlineLevel="0" collapsed="false">
      <c r="B1801" s="7" t="n">
        <v>46222</v>
      </c>
      <c r="C1801" s="3" t="s">
        <v>12378</v>
      </c>
      <c r="D1801" s="3" t="s">
        <v>10944</v>
      </c>
      <c r="E1801" s="3" t="s">
        <v>12379</v>
      </c>
      <c r="F1801" s="10" t="str">
        <f aca="false">HYPERLINK("https://www.inaturalist.org/people/tatyana_livshultz","tatyana_livshultz")</f>
        <v>tatyana_livshultz</v>
      </c>
      <c r="G1801" s="9" t="s">
        <v>13</v>
      </c>
      <c r="H1801" s="9" t="s">
        <v>12380</v>
      </c>
    </row>
    <row r="1802" customFormat="false" ht="15.75" hidden="false" customHeight="false" outlineLevel="0" collapsed="false">
      <c r="B1802" s="7" t="n">
        <v>46222</v>
      </c>
      <c r="C1802" s="3" t="s">
        <v>12381</v>
      </c>
      <c r="D1802" s="3" t="s">
        <v>10944</v>
      </c>
      <c r="E1802" s="3" t="s">
        <v>12382</v>
      </c>
      <c r="F1802" s="10" t="str">
        <f aca="false">HYPERLINK("https://www.inaturalist.org/people/bensonetson104","bensonetson104")</f>
        <v>bensonetson104</v>
      </c>
      <c r="G1802" s="9" t="s">
        <v>13</v>
      </c>
      <c r="H1802" s="9" t="s">
        <v>12383</v>
      </c>
    </row>
    <row r="1803" customFormat="false" ht="15.75" hidden="false" customHeight="false" outlineLevel="0" collapsed="false">
      <c r="B1803" s="7" t="n">
        <v>46222</v>
      </c>
      <c r="C1803" s="3" t="s">
        <v>12384</v>
      </c>
      <c r="D1803" s="3" t="s">
        <v>10944</v>
      </c>
      <c r="E1803" s="3" t="s">
        <v>12385</v>
      </c>
      <c r="F1803" s="10" t="str">
        <f aca="false">HYPERLINK("https://www.inaturalist.org/people/byellen","byellen")</f>
        <v>byellen</v>
      </c>
      <c r="G1803" s="9" t="s">
        <v>13</v>
      </c>
      <c r="H1803" s="9" t="s">
        <v>12386</v>
      </c>
    </row>
    <row r="1804" customFormat="false" ht="15.75" hidden="false" customHeight="false" outlineLevel="0" collapsed="false">
      <c r="B1804" s="7" t="n">
        <v>46222</v>
      </c>
      <c r="C1804" s="3" t="s">
        <v>12387</v>
      </c>
      <c r="D1804" s="3" t="s">
        <v>10944</v>
      </c>
      <c r="E1804" s="3" t="s">
        <v>12388</v>
      </c>
      <c r="F1804" s="10" t="str">
        <f aca="false">HYPERLINK("https://www.inaturalist.org/people/jeffwhite","jeffwhite")</f>
        <v>jeffwhite</v>
      </c>
      <c r="G1804" s="9" t="s">
        <v>13</v>
      </c>
      <c r="H1804" s="9" t="s">
        <v>12389</v>
      </c>
    </row>
    <row r="1805" customFormat="false" ht="15.75" hidden="false" customHeight="false" outlineLevel="0" collapsed="false">
      <c r="B1805" s="7" t="n">
        <v>46222</v>
      </c>
      <c r="C1805" s="3" t="s">
        <v>12390</v>
      </c>
      <c r="D1805" s="3" t="s">
        <v>10944</v>
      </c>
      <c r="E1805" s="3" t="s">
        <v>12391</v>
      </c>
      <c r="F1805" s="10" t="str">
        <f aca="false">HYPERLINK("https://www.inaturalist.org/people/baxter-birdnird","baxter-birdnird")</f>
        <v>baxter-birdnird</v>
      </c>
      <c r="G1805" s="9" t="s">
        <v>13</v>
      </c>
      <c r="H1805" s="9" t="s">
        <v>12392</v>
      </c>
    </row>
    <row r="1806" customFormat="false" ht="15.75" hidden="false" customHeight="false" outlineLevel="0" collapsed="false">
      <c r="B1806" s="7" t="n">
        <v>46222</v>
      </c>
      <c r="C1806" s="3" t="s">
        <v>12393</v>
      </c>
      <c r="D1806" s="3" t="s">
        <v>10944</v>
      </c>
      <c r="E1806" s="3" t="s">
        <v>12394</v>
      </c>
      <c r="F1806" s="10" t="str">
        <f aca="false">HYPERLINK("https://www.inaturalist.org/people/megaelim","megaelim")</f>
        <v>megaelim</v>
      </c>
      <c r="G1806" s="9" t="s">
        <v>13</v>
      </c>
      <c r="H1806" s="9" t="s">
        <v>12395</v>
      </c>
    </row>
    <row r="1807" customFormat="false" ht="15.75" hidden="false" customHeight="false" outlineLevel="0" collapsed="false">
      <c r="B1807" s="7" t="n">
        <v>46222</v>
      </c>
      <c r="C1807" s="3" t="s">
        <v>12396</v>
      </c>
      <c r="D1807" s="3" t="s">
        <v>10944</v>
      </c>
      <c r="E1807" s="3" t="s">
        <v>12397</v>
      </c>
      <c r="F1807" s="10" t="str">
        <f aca="false">HYPERLINK("https://www.inaturalist.org/people/iloverdz","iloverdz")</f>
        <v>iloverdz</v>
      </c>
      <c r="G1807" s="9" t="s">
        <v>13</v>
      </c>
      <c r="H1807" s="9" t="s">
        <v>12398</v>
      </c>
    </row>
    <row r="1808" customFormat="false" ht="15.75" hidden="false" customHeight="false" outlineLevel="0" collapsed="false">
      <c r="B1808" s="7" t="n">
        <v>46222</v>
      </c>
      <c r="C1808" s="3" t="s">
        <v>12399</v>
      </c>
      <c r="D1808" s="3" t="s">
        <v>10944</v>
      </c>
      <c r="E1808" s="3" t="s">
        <v>12400</v>
      </c>
      <c r="F1808" s="10" t="str">
        <f aca="false">HYPERLINK("https://www.inaturalist.org/people/sharon92553","sharon92553")</f>
        <v>sharon92553</v>
      </c>
      <c r="G1808" s="9" t="s">
        <v>13</v>
      </c>
      <c r="H1808" s="9" t="s">
        <v>12401</v>
      </c>
    </row>
    <row r="1809" customFormat="false" ht="15.75" hidden="false" customHeight="false" outlineLevel="0" collapsed="false">
      <c r="B1809" s="7" t="n">
        <v>46222</v>
      </c>
      <c r="C1809" s="3" t="s">
        <v>12402</v>
      </c>
      <c r="D1809" s="3" t="s">
        <v>10944</v>
      </c>
      <c r="E1809" s="3" t="s">
        <v>12403</v>
      </c>
      <c r="F1809" s="10" t="str">
        <f aca="false">HYPERLINK("https://www.inaturalist.org/people/justintylerm","justintylerm")</f>
        <v>justintylerm</v>
      </c>
      <c r="G1809" s="9" t="s">
        <v>13</v>
      </c>
      <c r="H1809" s="9" t="s">
        <v>12404</v>
      </c>
    </row>
    <row r="1810" customFormat="false" ht="15.75" hidden="false" customHeight="false" outlineLevel="0" collapsed="false">
      <c r="B1810" s="7" t="n">
        <v>46222</v>
      </c>
      <c r="C1810" s="3" t="s">
        <v>12405</v>
      </c>
      <c r="D1810" s="3" t="s">
        <v>10944</v>
      </c>
      <c r="E1810" s="3" t="s">
        <v>12406</v>
      </c>
      <c r="F1810" s="10" t="str">
        <f aca="false">HYPERLINK("https://www.inaturalist.org/people/billthompson0001","billthompson0001")</f>
        <v>billthompson0001</v>
      </c>
      <c r="G1810" s="9" t="s">
        <v>13</v>
      </c>
      <c r="H1810" s="9" t="s">
        <v>12407</v>
      </c>
    </row>
    <row r="1811" customFormat="false" ht="15.75" hidden="false" customHeight="false" outlineLevel="0" collapsed="false">
      <c r="B1811" s="7" t="n">
        <v>46222</v>
      </c>
      <c r="C1811" s="3" t="s">
        <v>12408</v>
      </c>
      <c r="D1811" s="3" t="s">
        <v>10944</v>
      </c>
      <c r="E1811" s="3" t="s">
        <v>12409</v>
      </c>
      <c r="F1811" s="10" t="str">
        <f aca="false">HYPERLINK("https://www.inaturalist.org/people/russellcumming","russellcumming")</f>
        <v>russellcumming</v>
      </c>
      <c r="G1811" s="9" t="s">
        <v>13</v>
      </c>
      <c r="H1811" s="9" t="s">
        <v>12410</v>
      </c>
    </row>
    <row r="1812" customFormat="false" ht="15.75" hidden="false" customHeight="false" outlineLevel="0" collapsed="false">
      <c r="B1812" s="7" t="n">
        <v>46222</v>
      </c>
      <c r="C1812" s="3" t="s">
        <v>12411</v>
      </c>
      <c r="D1812" s="3" t="s">
        <v>10944</v>
      </c>
      <c r="E1812" s="3" t="s">
        <v>12412</v>
      </c>
      <c r="F1812" s="10" t="str">
        <f aca="false">HYPERLINK("https://www.inaturalist.org/people/sharon92553","sharon92553")</f>
        <v>sharon92553</v>
      </c>
      <c r="G1812" s="9" t="s">
        <v>13</v>
      </c>
      <c r="H1812" s="9" t="s">
        <v>12413</v>
      </c>
    </row>
    <row r="1813" customFormat="false" ht="15.75" hidden="false" customHeight="false" outlineLevel="0" collapsed="false">
      <c r="B1813" s="7" t="n">
        <v>46222</v>
      </c>
      <c r="C1813" s="3" t="s">
        <v>12414</v>
      </c>
      <c r="D1813" s="3" t="s">
        <v>10944</v>
      </c>
      <c r="E1813" s="3" t="s">
        <v>12415</v>
      </c>
      <c r="F1813" s="10" t="str">
        <f aca="false">HYPERLINK("https://www.inaturalist.org/people/sarcasmic","sarcasmic")</f>
        <v>sarcasmic</v>
      </c>
      <c r="G1813" s="9" t="s">
        <v>13</v>
      </c>
      <c r="H1813" s="9" t="s">
        <v>12416</v>
      </c>
    </row>
    <row r="1814" customFormat="false" ht="15.75" hidden="false" customHeight="false" outlineLevel="0" collapsed="false">
      <c r="B1814" s="7" t="n">
        <v>46222</v>
      </c>
      <c r="C1814" s="3" t="s">
        <v>12417</v>
      </c>
      <c r="D1814" s="3" t="s">
        <v>10944</v>
      </c>
      <c r="E1814" s="3" t="s">
        <v>12418</v>
      </c>
      <c r="F1814" s="10" t="str">
        <f aca="false">HYPERLINK("https://www.inaturalist.org/people/im-a_cat-purrson","im-a_cat-purrson")</f>
        <v>im-a_cat-purrson</v>
      </c>
      <c r="G1814" s="9" t="s">
        <v>13</v>
      </c>
      <c r="H1814" s="9" t="s">
        <v>12419</v>
      </c>
    </row>
    <row r="1815" customFormat="false" ht="15.75" hidden="false" customHeight="false" outlineLevel="0" collapsed="false">
      <c r="B1815" s="7" t="n">
        <v>46222</v>
      </c>
      <c r="C1815" s="3" t="s">
        <v>12420</v>
      </c>
      <c r="D1815" s="3" t="s">
        <v>10944</v>
      </c>
      <c r="E1815" s="3" t="s">
        <v>12421</v>
      </c>
      <c r="F1815" s="10" t="str">
        <f aca="false">HYPERLINK("https://www.inaturalist.org/people/reinderw","reinderw")</f>
        <v>reinderw</v>
      </c>
      <c r="G1815" s="9" t="s">
        <v>13</v>
      </c>
      <c r="H1815" s="9" t="s">
        <v>12422</v>
      </c>
    </row>
    <row r="1816" customFormat="false" ht="15.75" hidden="false" customHeight="false" outlineLevel="0" collapsed="false">
      <c r="B1816" s="7" t="n">
        <v>46222</v>
      </c>
      <c r="C1816" s="3" t="s">
        <v>12423</v>
      </c>
      <c r="D1816" s="3" t="s">
        <v>10944</v>
      </c>
      <c r="E1816" s="3" t="s">
        <v>12424</v>
      </c>
      <c r="F1816" s="10" t="str">
        <f aca="false">HYPERLINK("https://www.inaturalist.org/people/tatyana_livshultz","tatyana_livshultz")</f>
        <v>tatyana_livshultz</v>
      </c>
      <c r="G1816" s="9" t="s">
        <v>13</v>
      </c>
      <c r="H1816" s="9" t="s">
        <v>12425</v>
      </c>
    </row>
    <row r="1817" customFormat="false" ht="15.75" hidden="false" customHeight="false" outlineLevel="0" collapsed="false">
      <c r="B1817" s="7" t="n">
        <v>46222</v>
      </c>
      <c r="C1817" s="3" t="s">
        <v>12426</v>
      </c>
      <c r="D1817" s="3" t="s">
        <v>10944</v>
      </c>
      <c r="E1817" s="3" t="s">
        <v>12427</v>
      </c>
      <c r="F1817" s="10" t="str">
        <f aca="false">HYPERLINK("https://www.inaturalist.org/people/rhouser0131","rhouser0131")</f>
        <v>rhouser0131</v>
      </c>
      <c r="G1817" s="9" t="s">
        <v>13</v>
      </c>
      <c r="H1817" s="9" t="s">
        <v>12428</v>
      </c>
    </row>
    <row r="1818" customFormat="false" ht="15.75" hidden="false" customHeight="false" outlineLevel="0" collapsed="false">
      <c r="B1818" s="7" t="n">
        <v>46222</v>
      </c>
      <c r="C1818" s="3" t="s">
        <v>12429</v>
      </c>
      <c r="D1818" s="3" t="s">
        <v>10944</v>
      </c>
      <c r="E1818" s="3" t="s">
        <v>12430</v>
      </c>
      <c r="F1818" s="10" t="str">
        <f aca="false">HYPERLINK("https://www.inaturalist.org/people/wetlandwanderer","wetlandwanderer")</f>
        <v>wetlandwanderer</v>
      </c>
      <c r="G1818" s="9" t="s">
        <v>13</v>
      </c>
      <c r="H1818" s="9" t="s">
        <v>12431</v>
      </c>
    </row>
    <row r="1819" customFormat="false" ht="15.75" hidden="false" customHeight="false" outlineLevel="0" collapsed="false">
      <c r="B1819" s="7" t="n">
        <v>46222</v>
      </c>
      <c r="C1819" s="3" t="s">
        <v>12432</v>
      </c>
      <c r="D1819" s="3" t="s">
        <v>10944</v>
      </c>
      <c r="E1819" s="3" t="s">
        <v>12433</v>
      </c>
      <c r="F1819" s="10" t="str">
        <f aca="false">HYPERLINK("https://www.inaturalist.org/people/frankiedoodledandy","frankiedoodledandy")</f>
        <v>frankiedoodledandy</v>
      </c>
      <c r="G1819" s="9" t="s">
        <v>13</v>
      </c>
      <c r="H1819" s="9" t="s">
        <v>12434</v>
      </c>
    </row>
    <row r="1820" customFormat="false" ht="15.75" hidden="false" customHeight="false" outlineLevel="0" collapsed="false">
      <c r="B1820" s="7" t="n">
        <v>46222</v>
      </c>
      <c r="C1820" s="3" t="s">
        <v>12435</v>
      </c>
      <c r="D1820" s="3" t="s">
        <v>10944</v>
      </c>
      <c r="E1820" s="3" t="s">
        <v>12436</v>
      </c>
      <c r="F1820" s="10" t="str">
        <f aca="false">HYPERLINK("https://www.inaturalist.org/people/frankiedoodledandy","frankiedoodledandy")</f>
        <v>frankiedoodledandy</v>
      </c>
      <c r="G1820" s="9" t="s">
        <v>13</v>
      </c>
      <c r="H1820" s="9" t="s">
        <v>12437</v>
      </c>
    </row>
    <row r="1821" customFormat="false" ht="15.75" hidden="false" customHeight="false" outlineLevel="0" collapsed="false">
      <c r="B1821" s="7" t="n">
        <v>46222</v>
      </c>
      <c r="C1821" s="3" t="s">
        <v>12438</v>
      </c>
      <c r="D1821" s="3" t="s">
        <v>10944</v>
      </c>
      <c r="E1821" s="3" t="s">
        <v>12439</v>
      </c>
      <c r="F1821" s="10" t="str">
        <f aca="false">HYPERLINK("https://www.inaturalist.org/people/frankiedoodledandy","frankiedoodledandy")</f>
        <v>frankiedoodledandy</v>
      </c>
      <c r="G1821" s="9" t="s">
        <v>13</v>
      </c>
      <c r="H1821" s="9" t="s">
        <v>12440</v>
      </c>
    </row>
    <row r="1822" customFormat="false" ht="15.75" hidden="false" customHeight="false" outlineLevel="0" collapsed="false">
      <c r="B1822" s="7" t="n">
        <v>46222</v>
      </c>
      <c r="C1822" s="3" t="s">
        <v>12441</v>
      </c>
      <c r="D1822" s="3" t="s">
        <v>10944</v>
      </c>
      <c r="E1822" s="3" t="s">
        <v>12442</v>
      </c>
      <c r="F1822" s="10" t="str">
        <f aca="false">HYPERLINK("https://www.inaturalist.org/people/frankiedoodledandy","frankiedoodledandy")</f>
        <v>frankiedoodledandy</v>
      </c>
      <c r="G1822" s="9" t="s">
        <v>13</v>
      </c>
      <c r="H1822" s="9" t="s">
        <v>12443</v>
      </c>
    </row>
    <row r="1823" customFormat="false" ht="15.75" hidden="false" customHeight="false" outlineLevel="0" collapsed="false">
      <c r="B1823" s="7" t="n">
        <v>46222</v>
      </c>
      <c r="C1823" s="3" t="s">
        <v>12444</v>
      </c>
      <c r="D1823" s="3" t="s">
        <v>12445</v>
      </c>
      <c r="E1823" s="3" t="s">
        <v>12446</v>
      </c>
      <c r="F1823" s="10" t="str">
        <f aca="false">HYPERLINK("https://www.inaturalist.org/people/spacebird_64","spacebird_64")</f>
        <v>spacebird_64</v>
      </c>
      <c r="G1823" s="9" t="s">
        <v>13</v>
      </c>
      <c r="H1823" s="9" t="s">
        <v>12447</v>
      </c>
    </row>
    <row r="1824" customFormat="false" ht="15.75" hidden="false" customHeight="false" outlineLevel="0" collapsed="false">
      <c r="B1824" s="7" t="n">
        <v>46222</v>
      </c>
      <c r="C1824" s="3" t="s">
        <v>12448</v>
      </c>
      <c r="D1824" s="3" t="s">
        <v>12445</v>
      </c>
      <c r="E1824" s="3" t="s">
        <v>12449</v>
      </c>
      <c r="F1824" s="10" t="str">
        <f aca="false">HYPERLINK("https://www.inaturalist.org/people/wannabee33","wannabee33")</f>
        <v>wannabee33</v>
      </c>
      <c r="G1824" s="9" t="s">
        <v>13</v>
      </c>
      <c r="H1824" s="9" t="s">
        <v>12450</v>
      </c>
    </row>
    <row r="1825" customFormat="false" ht="15.75" hidden="false" customHeight="false" outlineLevel="0" collapsed="false">
      <c r="B1825" s="7" t="n">
        <v>46222</v>
      </c>
      <c r="C1825" s="3" t="s">
        <v>12451</v>
      </c>
      <c r="D1825" s="3" t="s">
        <v>12445</v>
      </c>
      <c r="E1825" s="3" t="s">
        <v>12452</v>
      </c>
      <c r="F1825" s="10" t="str">
        <f aca="false">HYPERLINK("https://www.inaturalist.org/people/fnd","fnd")</f>
        <v>fnd</v>
      </c>
      <c r="G1825" s="9" t="s">
        <v>13</v>
      </c>
      <c r="H1825" s="9" t="s">
        <v>12453</v>
      </c>
    </row>
    <row r="1826" customFormat="false" ht="15.75" hidden="false" customHeight="false" outlineLevel="0" collapsed="false">
      <c r="B1826" s="7" t="n">
        <v>46222</v>
      </c>
      <c r="C1826" s="3" t="s">
        <v>12454</v>
      </c>
      <c r="D1826" s="3" t="s">
        <v>12445</v>
      </c>
      <c r="E1826" s="3" t="s">
        <v>12455</v>
      </c>
      <c r="F1826" s="10" t="str">
        <f aca="false">HYPERLINK("https://www.inaturalist.org/people/maryscottz","maryscottz")</f>
        <v>maryscottz</v>
      </c>
      <c r="G1826" s="9" t="s">
        <v>13</v>
      </c>
      <c r="H1826" s="9" t="s">
        <v>12456</v>
      </c>
    </row>
    <row r="1827" customFormat="false" ht="15.75" hidden="false" customHeight="false" outlineLevel="0" collapsed="false">
      <c r="B1827" s="7" t="n">
        <v>46222</v>
      </c>
      <c r="C1827" s="3" t="s">
        <v>12457</v>
      </c>
      <c r="D1827" s="3" t="s">
        <v>12445</v>
      </c>
      <c r="E1827" s="3" t="s">
        <v>12458</v>
      </c>
      <c r="F1827" s="10" t="str">
        <f aca="false">HYPERLINK("https://www.inaturalist.org/people/noodlestm","noodlestm")</f>
        <v>noodlestm</v>
      </c>
      <c r="G1827" s="9" t="s">
        <v>13</v>
      </c>
      <c r="H1827" s="9" t="s">
        <v>12459</v>
      </c>
    </row>
    <row r="1828" customFormat="false" ht="15.75" hidden="false" customHeight="false" outlineLevel="0" collapsed="false">
      <c r="B1828" s="7" t="n">
        <v>46222</v>
      </c>
      <c r="C1828" s="3" t="s">
        <v>12460</v>
      </c>
      <c r="D1828" s="3" t="s">
        <v>12445</v>
      </c>
      <c r="E1828" s="3" t="s">
        <v>12461</v>
      </c>
      <c r="F1828" s="10" t="str">
        <f aca="false">HYPERLINK("https://www.inaturalist.org/people/rayrob","rayrob")</f>
        <v>rayrob</v>
      </c>
      <c r="G1828" s="9" t="s">
        <v>13</v>
      </c>
      <c r="H1828" s="9" t="s">
        <v>12462</v>
      </c>
    </row>
    <row r="1829" customFormat="false" ht="15.75" hidden="false" customHeight="false" outlineLevel="0" collapsed="false">
      <c r="B1829" s="7" t="n">
        <v>46222</v>
      </c>
      <c r="C1829" s="3" t="s">
        <v>12463</v>
      </c>
      <c r="D1829" s="3" t="s">
        <v>12445</v>
      </c>
      <c r="E1829" s="3" t="s">
        <v>12464</v>
      </c>
      <c r="F1829" s="10" t="str">
        <f aca="false">HYPERLINK("https://www.inaturalist.org/people/rayrob","rayrob")</f>
        <v>rayrob</v>
      </c>
      <c r="G1829" s="9" t="s">
        <v>13</v>
      </c>
      <c r="H1829" s="9" t="s">
        <v>12465</v>
      </c>
    </row>
    <row r="1830" customFormat="false" ht="15.75" hidden="false" customHeight="false" outlineLevel="0" collapsed="false">
      <c r="B1830" s="7" t="n">
        <v>46222</v>
      </c>
      <c r="C1830" s="3" t="s">
        <v>12466</v>
      </c>
      <c r="D1830" s="3" t="s">
        <v>12445</v>
      </c>
      <c r="E1830" s="3" t="s">
        <v>12467</v>
      </c>
      <c r="F1830" s="10" t="str">
        <f aca="false">HYPERLINK("https://www.inaturalist.org/people/j-j","j-j")</f>
        <v>j-j</v>
      </c>
      <c r="G1830" s="9" t="s">
        <v>13</v>
      </c>
      <c r="H1830" s="9" t="s">
        <v>12468</v>
      </c>
    </row>
    <row r="1831" customFormat="false" ht="15.75" hidden="false" customHeight="false" outlineLevel="0" collapsed="false">
      <c r="B1831" s="7" t="n">
        <v>46222</v>
      </c>
      <c r="C1831" s="3" t="s">
        <v>12469</v>
      </c>
      <c r="D1831" s="3" t="s">
        <v>12445</v>
      </c>
      <c r="E1831" s="3" t="s">
        <v>12470</v>
      </c>
      <c r="F1831" s="10" t="str">
        <f aca="false">HYPERLINK("https://www.inaturalist.org/people/tgimages","tgimages")</f>
        <v>tgimages</v>
      </c>
      <c r="G1831" s="9" t="s">
        <v>13</v>
      </c>
      <c r="H1831" s="9" t="s">
        <v>12471</v>
      </c>
    </row>
    <row r="1832" customFormat="false" ht="15.75" hidden="false" customHeight="false" outlineLevel="0" collapsed="false">
      <c r="B1832" s="7" t="n">
        <v>46222</v>
      </c>
      <c r="C1832" s="3" t="s">
        <v>12472</v>
      </c>
      <c r="D1832" s="3" t="s">
        <v>12445</v>
      </c>
      <c r="E1832" s="3" t="s">
        <v>12473</v>
      </c>
      <c r="F1832" s="10" t="str">
        <f aca="false">HYPERLINK("https://www.inaturalist.org/people/adamluvsplants","adamluvsplants")</f>
        <v>adamluvsplants</v>
      </c>
      <c r="G1832" s="9" t="s">
        <v>13</v>
      </c>
      <c r="H1832" s="9" t="s">
        <v>12474</v>
      </c>
    </row>
    <row r="1833" customFormat="false" ht="15.75" hidden="false" customHeight="false" outlineLevel="0" collapsed="false">
      <c r="B1833" s="7" t="n">
        <v>46222</v>
      </c>
      <c r="C1833" s="3" t="s">
        <v>12475</v>
      </c>
      <c r="D1833" s="3" t="s">
        <v>12445</v>
      </c>
      <c r="E1833" s="3" t="s">
        <v>12476</v>
      </c>
      <c r="F1833" s="10" t="str">
        <f aca="false">HYPERLINK("https://www.inaturalist.org/people/pgkaestner","pgkaestner")</f>
        <v>pgkaestner</v>
      </c>
      <c r="G1833" s="9" t="s">
        <v>13</v>
      </c>
      <c r="H1833" s="9" t="s">
        <v>12477</v>
      </c>
    </row>
    <row r="1834" customFormat="false" ht="15.75" hidden="false" customHeight="false" outlineLevel="0" collapsed="false">
      <c r="B1834" s="7" t="n">
        <v>46222</v>
      </c>
      <c r="C1834" s="3" t="s">
        <v>12478</v>
      </c>
      <c r="D1834" s="3" t="s">
        <v>12445</v>
      </c>
      <c r="E1834" s="3" t="s">
        <v>12479</v>
      </c>
      <c r="F1834" s="10" t="str">
        <f aca="false">HYPERLINK("https://www.inaturalist.org/people/harpo","harpo")</f>
        <v>harpo</v>
      </c>
      <c r="G1834" s="9" t="s">
        <v>13</v>
      </c>
      <c r="H1834" s="9" t="s">
        <v>12480</v>
      </c>
    </row>
    <row r="1835" customFormat="false" ht="15.75" hidden="false" customHeight="false" outlineLevel="0" collapsed="false">
      <c r="B1835" s="7" t="n">
        <v>46222</v>
      </c>
      <c r="C1835" s="3" t="s">
        <v>12481</v>
      </c>
      <c r="D1835" s="3" t="s">
        <v>12445</v>
      </c>
      <c r="E1835" s="3" t="s">
        <v>12482</v>
      </c>
      <c r="F1835" s="10" t="str">
        <f aca="false">HYPERLINK("https://www.inaturalist.org/people/mitchoutdoors","mitchoutdoors")</f>
        <v>mitchoutdoors</v>
      </c>
      <c r="G1835" s="9" t="s">
        <v>13</v>
      </c>
      <c r="H1835" s="9" t="s">
        <v>12483</v>
      </c>
    </row>
    <row r="1836" customFormat="false" ht="15.75" hidden="false" customHeight="false" outlineLevel="0" collapsed="false">
      <c r="B1836" s="7" t="n">
        <v>46222</v>
      </c>
      <c r="C1836" s="3" t="s">
        <v>12484</v>
      </c>
      <c r="D1836" s="3" t="s">
        <v>12445</v>
      </c>
      <c r="E1836" s="3" t="s">
        <v>12485</v>
      </c>
      <c r="F1836" s="10" t="str">
        <f aca="false">HYPERLINK("https://www.inaturalist.org/people/peteacorr","peteacorr")</f>
        <v>peteacorr</v>
      </c>
      <c r="G1836" s="9" t="s">
        <v>13</v>
      </c>
      <c r="H1836" s="9" t="s">
        <v>12486</v>
      </c>
    </row>
    <row r="1837" customFormat="false" ht="15.75" hidden="false" customHeight="false" outlineLevel="0" collapsed="false">
      <c r="B1837" s="7" t="n">
        <v>46222</v>
      </c>
      <c r="C1837" s="3" t="s">
        <v>12487</v>
      </c>
      <c r="D1837" s="3" t="s">
        <v>12445</v>
      </c>
      <c r="E1837" s="3" t="s">
        <v>12488</v>
      </c>
      <c r="F1837" s="10" t="str">
        <f aca="false">HYPERLINK("https://www.inaturalist.org/people/peteacorr","peteacorr")</f>
        <v>peteacorr</v>
      </c>
      <c r="G1837" s="9" t="s">
        <v>13</v>
      </c>
      <c r="H1837" s="9" t="s">
        <v>12489</v>
      </c>
    </row>
    <row r="1838" customFormat="false" ht="15.75" hidden="false" customHeight="false" outlineLevel="0" collapsed="false">
      <c r="B1838" s="7" t="n">
        <v>46222</v>
      </c>
      <c r="C1838" s="3" t="s">
        <v>12490</v>
      </c>
      <c r="D1838" s="3" t="s">
        <v>12445</v>
      </c>
      <c r="E1838" s="3" t="s">
        <v>12491</v>
      </c>
      <c r="F1838" s="10" t="str">
        <f aca="false">HYPERLINK("https://www.inaturalist.org/people/kev317","kev317")</f>
        <v>kev317</v>
      </c>
      <c r="G1838" s="9" t="s">
        <v>13</v>
      </c>
      <c r="H1838" s="9" t="s">
        <v>12492</v>
      </c>
    </row>
    <row r="1839" customFormat="false" ht="15.75" hidden="false" customHeight="false" outlineLevel="0" collapsed="false">
      <c r="B1839" s="7" t="n">
        <v>46222</v>
      </c>
      <c r="C1839" s="3" t="s">
        <v>12493</v>
      </c>
      <c r="D1839" s="3" t="s">
        <v>12445</v>
      </c>
      <c r="E1839" s="3" t="s">
        <v>12494</v>
      </c>
      <c r="F1839" s="10" t="str">
        <f aca="false">HYPERLINK("https://www.inaturalist.org/people/tkp123","tkp123")</f>
        <v>tkp123</v>
      </c>
      <c r="G1839" s="9" t="s">
        <v>13</v>
      </c>
      <c r="H1839" s="9" t="s">
        <v>12495</v>
      </c>
    </row>
    <row r="1840" customFormat="false" ht="15.75" hidden="false" customHeight="false" outlineLevel="0" collapsed="false">
      <c r="B1840" s="7" t="n">
        <v>46222</v>
      </c>
      <c r="C1840" s="3" t="s">
        <v>12496</v>
      </c>
      <c r="D1840" s="3" t="s">
        <v>12445</v>
      </c>
      <c r="E1840" s="3" t="s">
        <v>12497</v>
      </c>
      <c r="F1840" s="10" t="str">
        <f aca="false">HYPERLINK("https://www.inaturalist.org/people/tkp123","tkp123")</f>
        <v>tkp123</v>
      </c>
      <c r="G1840" s="9" t="s">
        <v>13</v>
      </c>
      <c r="H1840" s="9" t="s">
        <v>12498</v>
      </c>
    </row>
    <row r="1841" customFormat="false" ht="15.75" hidden="false" customHeight="false" outlineLevel="0" collapsed="false">
      <c r="B1841" s="7" t="n">
        <v>46222</v>
      </c>
      <c r="C1841" s="3" t="s">
        <v>12499</v>
      </c>
      <c r="D1841" s="3" t="s">
        <v>12445</v>
      </c>
      <c r="E1841" s="3" t="s">
        <v>12500</v>
      </c>
      <c r="F1841" s="10" t="str">
        <f aca="false">HYPERLINK("https://www.inaturalist.org/people/mikeshen","mikeshen")</f>
        <v>mikeshen</v>
      </c>
      <c r="G1841" s="9" t="s">
        <v>13</v>
      </c>
      <c r="H1841" s="9" t="s">
        <v>12501</v>
      </c>
    </row>
    <row r="1842" customFormat="false" ht="15.75" hidden="false" customHeight="false" outlineLevel="0" collapsed="false">
      <c r="B1842" s="7" t="n">
        <v>46222</v>
      </c>
      <c r="C1842" s="3" t="s">
        <v>12502</v>
      </c>
      <c r="D1842" s="3" t="s">
        <v>12445</v>
      </c>
      <c r="E1842" s="3" t="s">
        <v>12503</v>
      </c>
      <c r="F1842" s="10" t="str">
        <f aca="false">HYPERLINK("https://www.inaturalist.org/people/lyrlc","lyrlc")</f>
        <v>lyrlc</v>
      </c>
      <c r="G1842" s="9" t="s">
        <v>13</v>
      </c>
      <c r="H1842" s="9" t="s">
        <v>12504</v>
      </c>
    </row>
    <row r="1843" customFormat="false" ht="15.75" hidden="false" customHeight="false" outlineLevel="0" collapsed="false">
      <c r="B1843" s="7" t="n">
        <v>46222</v>
      </c>
      <c r="C1843" s="3" t="s">
        <v>12505</v>
      </c>
      <c r="D1843" s="3" t="s">
        <v>12445</v>
      </c>
      <c r="E1843" s="3" t="s">
        <v>12506</v>
      </c>
      <c r="F1843" s="10" t="str">
        <f aca="false">HYPERLINK("https://www.inaturalist.org/people/lilplantpal","lilplantpal")</f>
        <v>lilplantpal</v>
      </c>
      <c r="G1843" s="9" t="s">
        <v>13</v>
      </c>
      <c r="H1843" s="9" t="s">
        <v>12507</v>
      </c>
    </row>
    <row r="1844" customFormat="false" ht="15.75" hidden="false" customHeight="false" outlineLevel="0" collapsed="false">
      <c r="B1844" s="7" t="n">
        <v>46222</v>
      </c>
      <c r="C1844" s="3" t="s">
        <v>12508</v>
      </c>
      <c r="D1844" s="3" t="s">
        <v>12445</v>
      </c>
      <c r="E1844" s="3" t="s">
        <v>12509</v>
      </c>
      <c r="F1844" s="10" t="str">
        <f aca="false">HYPERLINK("https://www.inaturalist.org/people/loydceara","loydceara")</f>
        <v>loydceara</v>
      </c>
      <c r="G1844" s="9" t="s">
        <v>13</v>
      </c>
      <c r="H1844" s="9" t="s">
        <v>12510</v>
      </c>
    </row>
    <row r="1845" customFormat="false" ht="15.75" hidden="false" customHeight="false" outlineLevel="0" collapsed="false">
      <c r="B1845" s="7" t="n">
        <v>46222</v>
      </c>
      <c r="C1845" s="3" t="s">
        <v>12511</v>
      </c>
      <c r="D1845" s="3" t="s">
        <v>12445</v>
      </c>
      <c r="E1845" s="3" t="s">
        <v>12512</v>
      </c>
      <c r="F1845" s="10" t="str">
        <f aca="false">HYPERLINK("https://www.inaturalist.org/people/reid_mcfadden","reid_mcfadden")</f>
        <v>reid_mcfadden</v>
      </c>
      <c r="G1845" s="9" t="s">
        <v>13</v>
      </c>
      <c r="H1845" s="9" t="s">
        <v>12513</v>
      </c>
    </row>
    <row r="1846" customFormat="false" ht="15.75" hidden="false" customHeight="false" outlineLevel="0" collapsed="false">
      <c r="B1846" s="7" t="n">
        <v>46222</v>
      </c>
      <c r="C1846" s="3" t="s">
        <v>12514</v>
      </c>
      <c r="D1846" s="3" t="s">
        <v>12445</v>
      </c>
      <c r="E1846" s="3" t="s">
        <v>12515</v>
      </c>
      <c r="F1846" s="10" t="str">
        <f aca="false">HYPERLINK("https://www.inaturalist.org/people/lilplantpal","lilplantpal")</f>
        <v>lilplantpal</v>
      </c>
      <c r="G1846" s="9" t="s">
        <v>13</v>
      </c>
      <c r="H1846" s="9" t="s">
        <v>12516</v>
      </c>
    </row>
    <row r="1847" customFormat="false" ht="15.75" hidden="false" customHeight="false" outlineLevel="0" collapsed="false">
      <c r="B1847" s="7" t="n">
        <v>46222</v>
      </c>
      <c r="C1847" s="3" t="s">
        <v>12517</v>
      </c>
      <c r="D1847" s="3" t="s">
        <v>12445</v>
      </c>
      <c r="E1847" s="3" t="s">
        <v>12518</v>
      </c>
      <c r="F1847" s="10" t="str">
        <f aca="false">HYPERLINK("https://www.inaturalist.org/people/sjw30211","sjw30211")</f>
        <v>sjw30211</v>
      </c>
      <c r="G1847" s="9" t="s">
        <v>13</v>
      </c>
      <c r="H1847" s="9" t="s">
        <v>12519</v>
      </c>
    </row>
    <row r="1848" customFormat="false" ht="15.75" hidden="false" customHeight="false" outlineLevel="0" collapsed="false">
      <c r="B1848" s="7" t="n">
        <v>46222</v>
      </c>
      <c r="C1848" s="3" t="s">
        <v>12520</v>
      </c>
      <c r="D1848" s="3" t="s">
        <v>12445</v>
      </c>
      <c r="E1848" s="3" t="s">
        <v>12521</v>
      </c>
      <c r="F1848" s="10" t="str">
        <f aca="false">HYPERLINK("https://www.inaturalist.org/people/alexbibe","alexbibe")</f>
        <v>alexbibe</v>
      </c>
      <c r="G1848" s="9" t="s">
        <v>13</v>
      </c>
      <c r="H1848" s="9" t="s">
        <v>12522</v>
      </c>
    </row>
    <row r="1849" customFormat="false" ht="15.75" hidden="false" customHeight="false" outlineLevel="0" collapsed="false">
      <c r="B1849" s="7" t="n">
        <v>46222</v>
      </c>
      <c r="C1849" s="3" t="s">
        <v>12523</v>
      </c>
      <c r="D1849" s="3" t="s">
        <v>12445</v>
      </c>
      <c r="E1849" s="3" t="s">
        <v>12524</v>
      </c>
      <c r="F1849" s="10" t="str">
        <f aca="false">HYPERLINK("https://www.inaturalist.org/people/lilplantpal","lilplantpal")</f>
        <v>lilplantpal</v>
      </c>
      <c r="G1849" s="9" t="s">
        <v>13</v>
      </c>
      <c r="H1849" s="9" t="s">
        <v>12525</v>
      </c>
    </row>
    <row r="1850" customFormat="false" ht="15.75" hidden="false" customHeight="false" outlineLevel="0" collapsed="false">
      <c r="B1850" s="7" t="n">
        <v>46222</v>
      </c>
      <c r="C1850" s="3" t="s">
        <v>12526</v>
      </c>
      <c r="D1850" s="3" t="s">
        <v>12445</v>
      </c>
      <c r="E1850" s="3" t="s">
        <v>12527</v>
      </c>
      <c r="F1850" s="10" t="str">
        <f aca="false">HYPERLINK("https://www.inaturalist.org/people/swabbie","swabbie")</f>
        <v>swabbie</v>
      </c>
      <c r="G1850" s="9" t="s">
        <v>13</v>
      </c>
      <c r="H1850" s="9" t="s">
        <v>12528</v>
      </c>
    </row>
    <row r="1851" customFormat="false" ht="15.75" hidden="false" customHeight="false" outlineLevel="0" collapsed="false">
      <c r="B1851" s="7" t="n">
        <v>46222</v>
      </c>
      <c r="C1851" s="3" t="s">
        <v>12529</v>
      </c>
      <c r="D1851" s="3" t="s">
        <v>12445</v>
      </c>
      <c r="E1851" s="3" t="s">
        <v>12530</v>
      </c>
      <c r="F1851" s="10" t="str">
        <f aca="false">HYPERLINK("https://www.inaturalist.org/people/yerpez","yerpez")</f>
        <v>yerpez</v>
      </c>
      <c r="G1851" s="9" t="s">
        <v>13</v>
      </c>
      <c r="H1851" s="9" t="s">
        <v>12531</v>
      </c>
    </row>
    <row r="1852" customFormat="false" ht="15.75" hidden="false" customHeight="false" outlineLevel="0" collapsed="false">
      <c r="B1852" s="7" t="n">
        <v>46222</v>
      </c>
      <c r="C1852" s="3" t="s">
        <v>12532</v>
      </c>
      <c r="D1852" s="3" t="s">
        <v>12445</v>
      </c>
      <c r="E1852" s="3" t="s">
        <v>12533</v>
      </c>
      <c r="F1852" s="10" t="str">
        <f aca="false">HYPERLINK("https://www.inaturalist.org/people/alidamaderofarias","alidamaderofarias")</f>
        <v>alidamaderofarias</v>
      </c>
      <c r="G1852" s="9" t="s">
        <v>13</v>
      </c>
      <c r="H1852" s="9" t="s">
        <v>12534</v>
      </c>
    </row>
    <row r="1853" customFormat="false" ht="15.75" hidden="false" customHeight="false" outlineLevel="0" collapsed="false">
      <c r="B1853" s="7" t="n">
        <v>46222</v>
      </c>
      <c r="C1853" s="3" t="s">
        <v>12535</v>
      </c>
      <c r="D1853" s="3" t="s">
        <v>12445</v>
      </c>
      <c r="E1853" s="3" t="s">
        <v>12536</v>
      </c>
      <c r="F1853" s="10" t="str">
        <f aca="false">HYPERLINK("https://www.inaturalist.org/people/wild_nettle","wild_nettle")</f>
        <v>wild_nettle</v>
      </c>
      <c r="G1853" s="9" t="s">
        <v>13</v>
      </c>
      <c r="H1853" s="9" t="s">
        <v>12537</v>
      </c>
    </row>
    <row r="1854" customFormat="false" ht="15.75" hidden="false" customHeight="false" outlineLevel="0" collapsed="false">
      <c r="B1854" s="7" t="n">
        <v>46222</v>
      </c>
      <c r="C1854" s="3" t="s">
        <v>12538</v>
      </c>
      <c r="D1854" s="3" t="s">
        <v>12445</v>
      </c>
      <c r="E1854" s="3" t="s">
        <v>12539</v>
      </c>
      <c r="F1854" s="10" t="str">
        <f aca="false">HYPERLINK("https://www.inaturalist.org/people/arthropodiyum","arthropodiyum")</f>
        <v>arthropodiyum</v>
      </c>
      <c r="G1854" s="9" t="s">
        <v>13</v>
      </c>
      <c r="H1854" s="9" t="s">
        <v>12540</v>
      </c>
    </row>
    <row r="1855" customFormat="false" ht="15.75" hidden="false" customHeight="false" outlineLevel="0" collapsed="false">
      <c r="B1855" s="7" t="n">
        <v>46222</v>
      </c>
      <c r="C1855" s="3" t="s">
        <v>12541</v>
      </c>
      <c r="D1855" s="3" t="s">
        <v>12445</v>
      </c>
      <c r="E1855" s="3" t="s">
        <v>12542</v>
      </c>
      <c r="F1855" s="10" t="str">
        <f aca="false">HYPERLINK("https://www.inaturalist.org/people/rmburke","rmburke")</f>
        <v>rmburke</v>
      </c>
      <c r="G1855" s="9" t="s">
        <v>13</v>
      </c>
      <c r="H1855" s="9" t="s">
        <v>12543</v>
      </c>
    </row>
    <row r="1856" customFormat="false" ht="15.75" hidden="false" customHeight="false" outlineLevel="0" collapsed="false">
      <c r="B1856" s="7" t="n">
        <v>46222</v>
      </c>
      <c r="C1856" s="3" t="s">
        <v>12544</v>
      </c>
      <c r="D1856" s="3" t="s">
        <v>12445</v>
      </c>
      <c r="E1856" s="3" t="s">
        <v>12545</v>
      </c>
      <c r="F1856" s="10" t="str">
        <f aca="false">HYPERLINK("https://www.inaturalist.org/people/crontl72","crontl72")</f>
        <v>crontl72</v>
      </c>
      <c r="G1856" s="9" t="s">
        <v>13</v>
      </c>
      <c r="H1856" s="9" t="s">
        <v>12546</v>
      </c>
    </row>
    <row r="1857" customFormat="false" ht="15.75" hidden="false" customHeight="false" outlineLevel="0" collapsed="false">
      <c r="B1857" s="7" t="n">
        <v>46222</v>
      </c>
      <c r="C1857" s="3" t="s">
        <v>12547</v>
      </c>
      <c r="D1857" s="3" t="s">
        <v>12445</v>
      </c>
      <c r="E1857" s="3" t="s">
        <v>12548</v>
      </c>
      <c r="F1857" s="10" t="str">
        <f aca="false">HYPERLINK("https://www.inaturalist.org/people/jimbrighton","jimbrighton")</f>
        <v>jimbrighton</v>
      </c>
      <c r="G1857" s="9" t="s">
        <v>13</v>
      </c>
      <c r="H1857" s="9" t="s">
        <v>12549</v>
      </c>
    </row>
    <row r="1858" customFormat="false" ht="15.75" hidden="false" customHeight="false" outlineLevel="0" collapsed="false">
      <c r="B1858" s="7" t="n">
        <v>46222</v>
      </c>
      <c r="C1858" s="3" t="s">
        <v>12550</v>
      </c>
      <c r="D1858" s="3" t="s">
        <v>12445</v>
      </c>
      <c r="E1858" s="3" t="s">
        <v>12551</v>
      </c>
      <c r="F1858" s="10" t="str">
        <f aca="false">HYPERLINK("https://www.inaturalist.org/people/harpo","harpo")</f>
        <v>harpo</v>
      </c>
      <c r="G1858" s="9" t="s">
        <v>13</v>
      </c>
      <c r="H1858" s="9" t="s">
        <v>12552</v>
      </c>
    </row>
    <row r="1859" customFormat="false" ht="15.75" hidden="false" customHeight="false" outlineLevel="0" collapsed="false">
      <c r="B1859" s="7" t="n">
        <v>46222</v>
      </c>
      <c r="C1859" s="3" t="s">
        <v>12553</v>
      </c>
      <c r="D1859" s="3" t="s">
        <v>12445</v>
      </c>
      <c r="E1859" s="3" t="s">
        <v>12554</v>
      </c>
      <c r="F1859" s="10" t="str">
        <f aca="false">HYPERLINK("https://www.inaturalist.org/people/mjalbert","mjalbert")</f>
        <v>mjalbert</v>
      </c>
      <c r="G1859" s="9" t="s">
        <v>13</v>
      </c>
      <c r="H1859" s="9" t="s">
        <v>12555</v>
      </c>
    </row>
    <row r="1860" customFormat="false" ht="15.75" hidden="false" customHeight="false" outlineLevel="0" collapsed="false">
      <c r="B1860" s="7" t="n">
        <v>46222</v>
      </c>
      <c r="C1860" s="3" t="s">
        <v>12556</v>
      </c>
      <c r="D1860" s="3" t="s">
        <v>12445</v>
      </c>
      <c r="E1860" s="3" t="s">
        <v>12557</v>
      </c>
      <c r="F1860" s="10" t="str">
        <f aca="false">HYPERLINK("https://www.inaturalist.org/people/herminiardz","herminiardz")</f>
        <v>herminiardz</v>
      </c>
      <c r="G1860" s="9" t="s">
        <v>13</v>
      </c>
      <c r="H1860" s="9" t="s">
        <v>12558</v>
      </c>
    </row>
    <row r="1861" customFormat="false" ht="15.75" hidden="false" customHeight="false" outlineLevel="0" collapsed="false">
      <c r="B1861" s="7" t="n">
        <v>46222</v>
      </c>
      <c r="C1861" s="3" t="s">
        <v>12559</v>
      </c>
      <c r="D1861" s="3" t="s">
        <v>12445</v>
      </c>
      <c r="E1861" s="3" t="s">
        <v>12560</v>
      </c>
      <c r="F1861" s="10" t="str">
        <f aca="false">HYPERLINK("https://www.inaturalist.org/people/lily226","lily226")</f>
        <v>lily226</v>
      </c>
      <c r="G1861" s="9" t="s">
        <v>13</v>
      </c>
      <c r="H1861" s="9" t="s">
        <v>12561</v>
      </c>
    </row>
    <row r="1862" customFormat="false" ht="15.75" hidden="false" customHeight="false" outlineLevel="0" collapsed="false">
      <c r="B1862" s="7" t="n">
        <v>46222</v>
      </c>
      <c r="C1862" s="3" t="s">
        <v>12562</v>
      </c>
      <c r="D1862" s="3" t="s">
        <v>12445</v>
      </c>
      <c r="E1862" s="3" t="s">
        <v>12563</v>
      </c>
      <c r="F1862" s="10" t="str">
        <f aca="false">HYPERLINK("https://www.inaturalist.org/people/tonytu","tonytu")</f>
        <v>tonytu</v>
      </c>
      <c r="G1862" s="9" t="s">
        <v>13</v>
      </c>
      <c r="H1862" s="9" t="s">
        <v>12564</v>
      </c>
    </row>
    <row r="1863" customFormat="false" ht="15.75" hidden="false" customHeight="false" outlineLevel="0" collapsed="false">
      <c r="B1863" s="7" t="n">
        <v>46222</v>
      </c>
      <c r="C1863" s="3" t="s">
        <v>12565</v>
      </c>
      <c r="D1863" s="3" t="s">
        <v>12445</v>
      </c>
      <c r="E1863" s="3" t="s">
        <v>12566</v>
      </c>
      <c r="F1863" s="10" t="str">
        <f aca="false">HYPERLINK("https://www.inaturalist.org/people/lrmccoy","lrmccoy")</f>
        <v>lrmccoy</v>
      </c>
      <c r="G1863" s="9" t="s">
        <v>13</v>
      </c>
      <c r="H1863" s="9" t="s">
        <v>12567</v>
      </c>
    </row>
    <row r="1864" customFormat="false" ht="15.75" hidden="false" customHeight="false" outlineLevel="0" collapsed="false">
      <c r="B1864" s="7" t="n">
        <v>46222</v>
      </c>
      <c r="C1864" s="3" t="s">
        <v>12568</v>
      </c>
      <c r="D1864" s="3" t="s">
        <v>12445</v>
      </c>
      <c r="E1864" s="3" t="s">
        <v>12569</v>
      </c>
      <c r="F1864" s="10" t="str">
        <f aca="false">HYPERLINK("https://www.inaturalist.org/people/kdenice","kdenice")</f>
        <v>kdenice</v>
      </c>
      <c r="G1864" s="9" t="s">
        <v>13</v>
      </c>
      <c r="H1864" s="9" t="s">
        <v>12570</v>
      </c>
    </row>
    <row r="1865" customFormat="false" ht="15.75" hidden="false" customHeight="false" outlineLevel="0" collapsed="false">
      <c r="B1865" s="7" t="n">
        <v>46222</v>
      </c>
      <c r="C1865" s="3" t="s">
        <v>12571</v>
      </c>
      <c r="D1865" s="3" t="s">
        <v>12445</v>
      </c>
      <c r="E1865" s="3" t="s">
        <v>12572</v>
      </c>
      <c r="F1865" s="10" t="str">
        <f aca="false">HYPERLINK("https://www.inaturalist.org/people/javisalazarf","javisalazarf")</f>
        <v>javisalazarf</v>
      </c>
      <c r="G1865" s="9" t="s">
        <v>13</v>
      </c>
      <c r="H1865" s="9" t="s">
        <v>12573</v>
      </c>
    </row>
    <row r="1866" customFormat="false" ht="15.75" hidden="false" customHeight="false" outlineLevel="0" collapsed="false">
      <c r="B1866" s="7" t="n">
        <v>46222</v>
      </c>
      <c r="C1866" s="3" t="s">
        <v>12574</v>
      </c>
      <c r="D1866" s="3" t="s">
        <v>12445</v>
      </c>
      <c r="E1866" s="3" t="s">
        <v>12575</v>
      </c>
      <c r="F1866" s="10" t="str">
        <f aca="false">HYPERLINK("https://www.inaturalist.org/people/sierra_farrington","sierra_farrington")</f>
        <v>sierra_farrington</v>
      </c>
      <c r="G1866" s="9" t="s">
        <v>13</v>
      </c>
      <c r="H1866" s="9" t="s">
        <v>12576</v>
      </c>
    </row>
    <row r="1867" customFormat="false" ht="15.75" hidden="false" customHeight="false" outlineLevel="0" collapsed="false">
      <c r="B1867" s="7" t="n">
        <v>46222</v>
      </c>
      <c r="C1867" s="3" t="s">
        <v>12577</v>
      </c>
      <c r="D1867" s="3" t="s">
        <v>12445</v>
      </c>
      <c r="E1867" s="3" t="s">
        <v>12578</v>
      </c>
      <c r="F1867" s="10" t="str">
        <f aca="false">HYPERLINK("https://www.inaturalist.org/people/northshore","northshore")</f>
        <v>northshore</v>
      </c>
      <c r="G1867" s="9" t="s">
        <v>13</v>
      </c>
      <c r="H1867" s="9" t="s">
        <v>12579</v>
      </c>
    </row>
    <row r="1868" customFormat="false" ht="15.75" hidden="false" customHeight="false" outlineLevel="0" collapsed="false">
      <c r="B1868" s="7" t="n">
        <v>46222</v>
      </c>
      <c r="C1868" s="3" t="s">
        <v>12580</v>
      </c>
      <c r="D1868" s="3" t="s">
        <v>12445</v>
      </c>
      <c r="E1868" s="3" t="s">
        <v>12581</v>
      </c>
      <c r="F1868" s="10" t="str">
        <f aca="false">HYPERLINK("https://www.inaturalist.org/people/drchartier","drchartier")</f>
        <v>drchartier</v>
      </c>
      <c r="G1868" s="9" t="s">
        <v>13</v>
      </c>
      <c r="H1868" s="9" t="s">
        <v>12582</v>
      </c>
    </row>
    <row r="1869" customFormat="false" ht="15.75" hidden="false" customHeight="false" outlineLevel="0" collapsed="false">
      <c r="B1869" s="7" t="n">
        <v>46222</v>
      </c>
      <c r="C1869" s="3" t="s">
        <v>12583</v>
      </c>
      <c r="D1869" s="3" t="s">
        <v>12445</v>
      </c>
      <c r="E1869" s="3" t="s">
        <v>12584</v>
      </c>
      <c r="F1869" s="10" t="str">
        <f aca="false">HYPERLINK("https://www.inaturalist.org/people/bmoerdyk","bmoerdyk")</f>
        <v>bmoerdyk</v>
      </c>
      <c r="G1869" s="9" t="s">
        <v>13</v>
      </c>
      <c r="H1869" s="9" t="s">
        <v>12585</v>
      </c>
    </row>
    <row r="1870" customFormat="false" ht="15.75" hidden="false" customHeight="false" outlineLevel="0" collapsed="false">
      <c r="B1870" s="7" t="n">
        <v>46222</v>
      </c>
      <c r="C1870" s="3" t="s">
        <v>12586</v>
      </c>
      <c r="D1870" s="3" t="s">
        <v>12445</v>
      </c>
      <c r="E1870" s="3" t="s">
        <v>12587</v>
      </c>
      <c r="F1870" s="10" t="str">
        <f aca="false">HYPERLINK("https://www.inaturalist.org/people/lily226","lily226")</f>
        <v>lily226</v>
      </c>
      <c r="G1870" s="9" t="s">
        <v>13</v>
      </c>
      <c r="H1870" s="9" t="s">
        <v>12588</v>
      </c>
    </row>
    <row r="1871" customFormat="false" ht="15.75" hidden="false" customHeight="false" outlineLevel="0" collapsed="false">
      <c r="B1871" s="7" t="n">
        <v>46222</v>
      </c>
      <c r="C1871" s="3" t="s">
        <v>12589</v>
      </c>
      <c r="D1871" s="3" t="s">
        <v>12445</v>
      </c>
      <c r="E1871" s="3" t="s">
        <v>12590</v>
      </c>
      <c r="F1871" s="10" t="str">
        <f aca="false">HYPERLINK("https://www.inaturalist.org/people/kdenice","kdenice")</f>
        <v>kdenice</v>
      </c>
      <c r="G1871" s="9" t="s">
        <v>13</v>
      </c>
      <c r="H1871" s="9" t="s">
        <v>12591</v>
      </c>
    </row>
    <row r="1872" customFormat="false" ht="15.75" hidden="false" customHeight="false" outlineLevel="0" collapsed="false">
      <c r="B1872" s="7" t="n">
        <v>46222</v>
      </c>
      <c r="C1872" s="3" t="s">
        <v>12592</v>
      </c>
      <c r="D1872" s="3" t="s">
        <v>12445</v>
      </c>
      <c r="E1872" s="3" t="s">
        <v>12593</v>
      </c>
      <c r="F1872" s="10" t="str">
        <f aca="false">HYPERLINK("https://www.inaturalist.org/people/craigacsymonds","craigacsymonds")</f>
        <v>craigacsymonds</v>
      </c>
      <c r="G1872" s="9" t="s">
        <v>13</v>
      </c>
      <c r="H1872" s="9" t="s">
        <v>12594</v>
      </c>
    </row>
    <row r="1873" customFormat="false" ht="15.75" hidden="false" customHeight="false" outlineLevel="0" collapsed="false">
      <c r="B1873" s="7" t="n">
        <v>46222</v>
      </c>
      <c r="C1873" s="3" t="s">
        <v>12595</v>
      </c>
      <c r="D1873" s="3" t="s">
        <v>12445</v>
      </c>
      <c r="E1873" s="3" t="s">
        <v>12596</v>
      </c>
      <c r="F1873" s="10" t="str">
        <f aca="false">HYPERLINK("https://www.inaturalist.org/people/photolith","photolith")</f>
        <v>photolith</v>
      </c>
      <c r="G1873" s="9" t="s">
        <v>13</v>
      </c>
      <c r="H1873" s="9" t="s">
        <v>12597</v>
      </c>
    </row>
    <row r="1874" customFormat="false" ht="15.75" hidden="false" customHeight="false" outlineLevel="0" collapsed="false">
      <c r="B1874" s="7" t="n">
        <v>46222</v>
      </c>
      <c r="C1874" s="3" t="s">
        <v>12598</v>
      </c>
      <c r="D1874" s="3" t="s">
        <v>12445</v>
      </c>
      <c r="E1874" s="3" t="s">
        <v>12599</v>
      </c>
      <c r="F1874" s="10" t="str">
        <f aca="false">HYPERLINK("https://www.inaturalist.org/people/johngarrett","johngarrett")</f>
        <v>johngarrett</v>
      </c>
      <c r="G1874" s="9" t="s">
        <v>13</v>
      </c>
      <c r="H1874" s="9" t="s">
        <v>12600</v>
      </c>
    </row>
    <row r="1875" customFormat="false" ht="15.75" hidden="false" customHeight="false" outlineLevel="0" collapsed="false">
      <c r="B1875" s="7" t="n">
        <v>46222</v>
      </c>
      <c r="C1875" s="3" t="s">
        <v>12601</v>
      </c>
      <c r="D1875" s="3" t="s">
        <v>12445</v>
      </c>
      <c r="E1875" s="3" t="s">
        <v>12602</v>
      </c>
      <c r="F1875" s="10" t="str">
        <f aca="false">HYPERLINK("https://www.inaturalist.org/people/kheperer","kheperer")</f>
        <v>kheperer</v>
      </c>
      <c r="G1875" s="9" t="s">
        <v>13</v>
      </c>
      <c r="H1875" s="9" t="s">
        <v>12603</v>
      </c>
    </row>
    <row r="1876" customFormat="false" ht="15.75" hidden="false" customHeight="false" outlineLevel="0" collapsed="false">
      <c r="B1876" s="7" t="n">
        <v>46222</v>
      </c>
      <c r="C1876" s="3" t="s">
        <v>12604</v>
      </c>
      <c r="D1876" s="3" t="s">
        <v>12445</v>
      </c>
      <c r="E1876" s="3" t="s">
        <v>12605</v>
      </c>
      <c r="F1876" s="10" t="str">
        <f aca="false">HYPERLINK("https://www.inaturalist.org/people/catrijn","catrijn")</f>
        <v>catrijn</v>
      </c>
      <c r="G1876" s="9" t="s">
        <v>13</v>
      </c>
      <c r="H1876" s="9" t="s">
        <v>12606</v>
      </c>
    </row>
    <row r="1877" customFormat="false" ht="15.75" hidden="false" customHeight="false" outlineLevel="0" collapsed="false">
      <c r="B1877" s="7" t="n">
        <v>46222</v>
      </c>
      <c r="C1877" s="3" t="s">
        <v>12607</v>
      </c>
      <c r="D1877" s="3" t="s">
        <v>12445</v>
      </c>
      <c r="E1877" s="3" t="s">
        <v>12608</v>
      </c>
      <c r="F1877" s="10" t="str">
        <f aca="false">HYPERLINK("https://www.inaturalist.org/people/takuyatamura","takuyatamura")</f>
        <v>takuyatamura</v>
      </c>
      <c r="G1877" s="9" t="s">
        <v>13</v>
      </c>
      <c r="H1877" s="9" t="s">
        <v>12609</v>
      </c>
    </row>
    <row r="1878" customFormat="false" ht="15.75" hidden="false" customHeight="false" outlineLevel="0" collapsed="false">
      <c r="B1878" s="7" t="n">
        <v>46222</v>
      </c>
      <c r="C1878" s="3" t="s">
        <v>12610</v>
      </c>
      <c r="D1878" s="3" t="s">
        <v>12445</v>
      </c>
      <c r="E1878" s="3" t="s">
        <v>12611</v>
      </c>
      <c r="F1878" s="10" t="str">
        <f aca="false">HYPERLINK("https://www.inaturalist.org/people/bmoerdyk","bmoerdyk")</f>
        <v>bmoerdyk</v>
      </c>
      <c r="G1878" s="9" t="s">
        <v>13</v>
      </c>
      <c r="H1878" s="9" t="s">
        <v>12612</v>
      </c>
    </row>
    <row r="1879" customFormat="false" ht="15.75" hidden="false" customHeight="false" outlineLevel="0" collapsed="false">
      <c r="B1879" s="7" t="n">
        <v>46222</v>
      </c>
      <c r="C1879" s="3" t="s">
        <v>12613</v>
      </c>
      <c r="D1879" s="3" t="s">
        <v>12445</v>
      </c>
      <c r="E1879" s="3" t="s">
        <v>12614</v>
      </c>
      <c r="F1879" s="10" t="str">
        <f aca="false">HYPERLINK("https://www.inaturalist.org/people/marielacm27","marielacm27")</f>
        <v>marielacm27</v>
      </c>
      <c r="G1879" s="9" t="s">
        <v>13</v>
      </c>
      <c r="H1879" s="9" t="s">
        <v>12615</v>
      </c>
    </row>
    <row r="1880" customFormat="false" ht="15.75" hidden="false" customHeight="false" outlineLevel="0" collapsed="false">
      <c r="B1880" s="7" t="n">
        <v>46222</v>
      </c>
      <c r="C1880" s="3" t="s">
        <v>12616</v>
      </c>
      <c r="D1880" s="3" t="s">
        <v>12445</v>
      </c>
      <c r="E1880" s="3" t="s">
        <v>12617</v>
      </c>
      <c r="F1880" s="10" t="str">
        <f aca="false">HYPERLINK("https://www.inaturalist.org/people/takuyatamura","takuyatamura")</f>
        <v>takuyatamura</v>
      </c>
      <c r="G1880" s="9" t="s">
        <v>13</v>
      </c>
      <c r="H1880" s="9" t="s">
        <v>12618</v>
      </c>
    </row>
    <row r="1881" customFormat="false" ht="15.75" hidden="false" customHeight="false" outlineLevel="0" collapsed="false">
      <c r="B1881" s="7" t="n">
        <v>46222</v>
      </c>
      <c r="C1881" s="3" t="s">
        <v>12619</v>
      </c>
      <c r="D1881" s="3" t="s">
        <v>12445</v>
      </c>
      <c r="E1881" s="3" t="s">
        <v>12620</v>
      </c>
      <c r="F1881" s="10" t="str">
        <f aca="false">HYPERLINK("https://www.inaturalist.org/people/kheperer","kheperer")</f>
        <v>kheperer</v>
      </c>
      <c r="G1881" s="9" t="s">
        <v>13</v>
      </c>
      <c r="H1881" s="9" t="s">
        <v>12621</v>
      </c>
    </row>
    <row r="1882" customFormat="false" ht="15.75" hidden="false" customHeight="false" outlineLevel="0" collapsed="false">
      <c r="B1882" s="7" t="n">
        <v>46222</v>
      </c>
      <c r="C1882" s="3" t="s">
        <v>12622</v>
      </c>
      <c r="D1882" s="3" t="s">
        <v>12445</v>
      </c>
      <c r="E1882" s="3" t="s">
        <v>12623</v>
      </c>
      <c r="F1882" s="10" t="str">
        <f aca="false">HYPERLINK("https://www.inaturalist.org/people/gardenbehindtheworld","gardenbehindtheworld")</f>
        <v>gardenbehindtheworld</v>
      </c>
      <c r="G1882" s="9" t="s">
        <v>13</v>
      </c>
      <c r="H1882" s="9" t="s">
        <v>12624</v>
      </c>
    </row>
    <row r="1883" customFormat="false" ht="15.75" hidden="false" customHeight="false" outlineLevel="0" collapsed="false">
      <c r="B1883" s="7" t="n">
        <v>46222</v>
      </c>
      <c r="C1883" s="3" t="s">
        <v>12625</v>
      </c>
      <c r="D1883" s="3" t="s">
        <v>12445</v>
      </c>
      <c r="E1883" s="3" t="s">
        <v>12626</v>
      </c>
      <c r="F1883" s="10" t="str">
        <f aca="false">HYPERLINK("https://www.inaturalist.org/people/murphy95","murphy95")</f>
        <v>murphy95</v>
      </c>
      <c r="G1883" s="9" t="s">
        <v>13</v>
      </c>
      <c r="H1883" s="9" t="s">
        <v>12627</v>
      </c>
    </row>
    <row r="1884" customFormat="false" ht="15.75" hidden="false" customHeight="false" outlineLevel="0" collapsed="false">
      <c r="B1884" s="7" t="n">
        <v>46222</v>
      </c>
      <c r="C1884" s="3" t="s">
        <v>12628</v>
      </c>
      <c r="D1884" s="3" t="s">
        <v>12445</v>
      </c>
      <c r="E1884" s="3" t="s">
        <v>12629</v>
      </c>
      <c r="F1884" s="10" t="str">
        <f aca="false">HYPERLINK("https://www.inaturalist.org/people/bborgmannwinter","bborgmannwinter")</f>
        <v>bborgmannwinter</v>
      </c>
      <c r="G1884" s="9" t="s">
        <v>13</v>
      </c>
      <c r="H1884" s="9" t="s">
        <v>12630</v>
      </c>
    </row>
    <row r="1885" customFormat="false" ht="15.75" hidden="false" customHeight="false" outlineLevel="0" collapsed="false">
      <c r="B1885" s="7" t="n">
        <v>46222</v>
      </c>
      <c r="C1885" s="3" t="s">
        <v>12631</v>
      </c>
      <c r="D1885" s="3" t="s">
        <v>12445</v>
      </c>
      <c r="E1885" s="3" t="s">
        <v>12632</v>
      </c>
      <c r="F1885" s="10" t="str">
        <f aca="false">HYPERLINK("https://www.inaturalist.org/people/emelinef","emelinef")</f>
        <v>emelinef</v>
      </c>
      <c r="G1885" s="9" t="s">
        <v>13</v>
      </c>
      <c r="H1885" s="9" t="s">
        <v>12633</v>
      </c>
    </row>
    <row r="1886" customFormat="false" ht="15.75" hidden="false" customHeight="false" outlineLevel="0" collapsed="false">
      <c r="B1886" s="7" t="n">
        <v>46222</v>
      </c>
      <c r="C1886" s="3" t="s">
        <v>12634</v>
      </c>
      <c r="D1886" s="3" t="s">
        <v>12445</v>
      </c>
      <c r="E1886" s="3" t="s">
        <v>12635</v>
      </c>
      <c r="F1886" s="10" t="str">
        <f aca="false">HYPERLINK("https://www.inaturalist.org/people/takuyatamura","takuyatamura")</f>
        <v>takuyatamura</v>
      </c>
      <c r="G1886" s="9" t="s">
        <v>13</v>
      </c>
      <c r="H1886" s="9" t="s">
        <v>12636</v>
      </c>
    </row>
    <row r="1887" customFormat="false" ht="15.75" hidden="false" customHeight="false" outlineLevel="0" collapsed="false">
      <c r="B1887" s="7" t="n">
        <v>46222</v>
      </c>
      <c r="C1887" s="3" t="s">
        <v>12637</v>
      </c>
      <c r="D1887" s="3" t="s">
        <v>12445</v>
      </c>
      <c r="E1887" s="3" t="s">
        <v>12638</v>
      </c>
      <c r="F1887" s="10" t="str">
        <f aca="false">HYPERLINK("https://www.inaturalist.org/people/kheperer","kheperer")</f>
        <v>kheperer</v>
      </c>
      <c r="G1887" s="9" t="s">
        <v>13</v>
      </c>
      <c r="H1887" s="9" t="s">
        <v>12639</v>
      </c>
    </row>
    <row r="1888" customFormat="false" ht="15.75" hidden="false" customHeight="false" outlineLevel="0" collapsed="false">
      <c r="B1888" s="7" t="n">
        <v>46222</v>
      </c>
      <c r="C1888" s="3" t="s">
        <v>12640</v>
      </c>
      <c r="D1888" s="3" t="s">
        <v>12445</v>
      </c>
      <c r="E1888" s="3" t="s">
        <v>12641</v>
      </c>
      <c r="F1888" s="10" t="str">
        <f aca="false">HYPERLINK("https://www.inaturalist.org/people/murrdogg","murrdogg")</f>
        <v>murrdogg</v>
      </c>
      <c r="G1888" s="9" t="s">
        <v>13</v>
      </c>
      <c r="H1888" s="9" t="s">
        <v>12642</v>
      </c>
    </row>
    <row r="1889" customFormat="false" ht="15.75" hidden="false" customHeight="false" outlineLevel="0" collapsed="false">
      <c r="B1889" s="7" t="n">
        <v>46222</v>
      </c>
      <c r="C1889" s="3" t="s">
        <v>12643</v>
      </c>
      <c r="D1889" s="3" t="s">
        <v>12445</v>
      </c>
      <c r="E1889" s="3" t="s">
        <v>12644</v>
      </c>
      <c r="F1889" s="10" t="str">
        <f aca="false">HYPERLINK("https://www.inaturalist.org/people/lily226","lily226")</f>
        <v>lily226</v>
      </c>
      <c r="G1889" s="9" t="s">
        <v>13</v>
      </c>
      <c r="H1889" s="9" t="s">
        <v>12645</v>
      </c>
    </row>
    <row r="1890" customFormat="false" ht="15.75" hidden="false" customHeight="false" outlineLevel="0" collapsed="false">
      <c r="B1890" s="7" t="n">
        <v>46222</v>
      </c>
      <c r="C1890" s="3" t="s">
        <v>12646</v>
      </c>
      <c r="D1890" s="3" t="s">
        <v>12445</v>
      </c>
      <c r="E1890" s="3" t="s">
        <v>12647</v>
      </c>
      <c r="F1890" s="10" t="str">
        <f aca="false">HYPERLINK("https://www.inaturalist.org/people/xxsuboptimalxx","xxsuboptimalxx")</f>
        <v>xxsuboptimalxx</v>
      </c>
      <c r="G1890" s="9" t="s">
        <v>13</v>
      </c>
      <c r="H1890" s="9" t="s">
        <v>12648</v>
      </c>
    </row>
    <row r="1891" customFormat="false" ht="15.75" hidden="false" customHeight="false" outlineLevel="0" collapsed="false">
      <c r="B1891" s="7" t="n">
        <v>46222</v>
      </c>
      <c r="C1891" s="3" t="s">
        <v>12649</v>
      </c>
      <c r="D1891" s="3" t="s">
        <v>12445</v>
      </c>
      <c r="E1891" s="3" t="s">
        <v>12650</v>
      </c>
      <c r="F1891" s="10" t="str">
        <f aca="false">HYPERLINK("https://www.inaturalist.org/people/xxsuboptimalxx","xxsuboptimalxx")</f>
        <v>xxsuboptimalxx</v>
      </c>
      <c r="G1891" s="9" t="s">
        <v>13</v>
      </c>
      <c r="H1891" s="9" t="s">
        <v>12651</v>
      </c>
    </row>
    <row r="1892" customFormat="false" ht="15.75" hidden="false" customHeight="false" outlineLevel="0" collapsed="false">
      <c r="B1892" s="7" t="n">
        <v>46222</v>
      </c>
      <c r="C1892" s="3" t="s">
        <v>12652</v>
      </c>
      <c r="D1892" s="3" t="s">
        <v>12445</v>
      </c>
      <c r="E1892" s="3" t="s">
        <v>12653</v>
      </c>
      <c r="F1892" s="10" t="str">
        <f aca="false">HYPERLINK("https://www.inaturalist.org/people/rmboys","rmboys")</f>
        <v>rmboys</v>
      </c>
      <c r="G1892" s="9" t="s">
        <v>13</v>
      </c>
      <c r="H1892" s="9" t="s">
        <v>12654</v>
      </c>
    </row>
    <row r="1893" customFormat="false" ht="15.75" hidden="false" customHeight="false" outlineLevel="0" collapsed="false">
      <c r="B1893" s="7" t="n">
        <v>46222</v>
      </c>
      <c r="C1893" s="3" t="s">
        <v>12655</v>
      </c>
      <c r="D1893" s="3" t="s">
        <v>12445</v>
      </c>
      <c r="E1893" s="3" t="s">
        <v>12656</v>
      </c>
      <c r="F1893" s="10" t="str">
        <f aca="false">HYPERLINK("https://www.inaturalist.org/people/takuyatamura","takuyatamura")</f>
        <v>takuyatamura</v>
      </c>
      <c r="G1893" s="9" t="s">
        <v>13</v>
      </c>
      <c r="H1893" s="9" t="s">
        <v>12657</v>
      </c>
    </row>
    <row r="1894" customFormat="false" ht="15.75" hidden="false" customHeight="false" outlineLevel="0" collapsed="false">
      <c r="B1894" s="7" t="n">
        <v>46222</v>
      </c>
      <c r="C1894" s="3" t="s">
        <v>12658</v>
      </c>
      <c r="D1894" s="3" t="s">
        <v>12445</v>
      </c>
      <c r="E1894" s="3" t="s">
        <v>12659</v>
      </c>
      <c r="F1894" s="10" t="str">
        <f aca="false">HYPERLINK("https://www.inaturalist.org/people/deanwalton","deanwalton")</f>
        <v>deanwalton</v>
      </c>
      <c r="G1894" s="9" t="s">
        <v>13</v>
      </c>
      <c r="H1894" s="9" t="s">
        <v>12660</v>
      </c>
    </row>
    <row r="1895" customFormat="false" ht="15.75" hidden="false" customHeight="false" outlineLevel="0" collapsed="false">
      <c r="B1895" s="7" t="n">
        <v>46222</v>
      </c>
      <c r="C1895" s="3" t="s">
        <v>12661</v>
      </c>
      <c r="D1895" s="3" t="s">
        <v>12445</v>
      </c>
      <c r="E1895" s="3" t="s">
        <v>12662</v>
      </c>
      <c r="F1895" s="10" t="str">
        <f aca="false">HYPERLINK("https://www.inaturalist.org/people/heyjohnryan","heyjohnryan")</f>
        <v>heyjohnryan</v>
      </c>
      <c r="G1895" s="9" t="s">
        <v>13</v>
      </c>
      <c r="H1895" s="9" t="s">
        <v>12663</v>
      </c>
    </row>
    <row r="1896" customFormat="false" ht="15.75" hidden="false" customHeight="false" outlineLevel="0" collapsed="false">
      <c r="B1896" s="7" t="n">
        <v>46222</v>
      </c>
      <c r="C1896" s="3" t="s">
        <v>12664</v>
      </c>
      <c r="D1896" s="3" t="s">
        <v>12445</v>
      </c>
      <c r="E1896" s="3" t="s">
        <v>12665</v>
      </c>
      <c r="F1896" s="10" t="str">
        <f aca="false">HYPERLINK("https://www.inaturalist.org/people/smwhite","smwhite")</f>
        <v>smwhite</v>
      </c>
      <c r="G1896" s="9" t="s">
        <v>13</v>
      </c>
      <c r="H1896" s="9" t="s">
        <v>12666</v>
      </c>
    </row>
    <row r="1897" customFormat="false" ht="15.75" hidden="false" customHeight="false" outlineLevel="0" collapsed="false">
      <c r="B1897" s="7" t="n">
        <v>46222</v>
      </c>
      <c r="C1897" s="3" t="s">
        <v>12667</v>
      </c>
      <c r="D1897" s="3" t="s">
        <v>12445</v>
      </c>
      <c r="E1897" s="3" t="s">
        <v>12668</v>
      </c>
      <c r="F1897" s="10" t="str">
        <f aca="false">HYPERLINK("https://www.inaturalist.org/people/jacob_wildlife","jacob_wildlife")</f>
        <v>jacob_wildlife</v>
      </c>
      <c r="G1897" s="9" t="s">
        <v>13</v>
      </c>
      <c r="H1897" s="9" t="s">
        <v>12669</v>
      </c>
    </row>
    <row r="1898" customFormat="false" ht="15.75" hidden="false" customHeight="false" outlineLevel="0" collapsed="false">
      <c r="B1898" s="7" t="n">
        <v>46222</v>
      </c>
      <c r="C1898" s="3" t="s">
        <v>12670</v>
      </c>
      <c r="D1898" s="3" t="s">
        <v>12445</v>
      </c>
      <c r="E1898" s="3" t="s">
        <v>12671</v>
      </c>
      <c r="F1898" s="10" t="str">
        <f aca="false">HYPERLINK("https://www.inaturalist.org/people/pgkaestner","pgkaestner")</f>
        <v>pgkaestner</v>
      </c>
      <c r="G1898" s="9" t="s">
        <v>13</v>
      </c>
      <c r="H1898" s="9" t="s">
        <v>12672</v>
      </c>
    </row>
    <row r="1899" customFormat="false" ht="15.75" hidden="false" customHeight="false" outlineLevel="0" collapsed="false">
      <c r="B1899" s="7" t="n">
        <v>46222</v>
      </c>
      <c r="C1899" s="3" t="s">
        <v>12673</v>
      </c>
      <c r="D1899" s="3" t="s">
        <v>12445</v>
      </c>
      <c r="E1899" s="3" t="s">
        <v>12674</v>
      </c>
      <c r="F1899" s="10" t="str">
        <f aca="false">HYPERLINK("https://www.inaturalist.org/people/puffin21","puffin21")</f>
        <v>puffin21</v>
      </c>
      <c r="G1899" s="9" t="s">
        <v>13</v>
      </c>
      <c r="H1899" s="9" t="s">
        <v>12675</v>
      </c>
    </row>
    <row r="1900" customFormat="false" ht="15.75" hidden="false" customHeight="false" outlineLevel="0" collapsed="false">
      <c r="B1900" s="7" t="n">
        <v>46222</v>
      </c>
      <c r="C1900" s="3" t="s">
        <v>12676</v>
      </c>
      <c r="D1900" s="3" t="s">
        <v>12445</v>
      </c>
      <c r="E1900" s="3" t="s">
        <v>12677</v>
      </c>
      <c r="F1900" s="10" t="str">
        <f aca="false">HYPERLINK("https://www.inaturalist.org/people/puffin21","puffin21")</f>
        <v>puffin21</v>
      </c>
      <c r="G1900" s="9" t="s">
        <v>13</v>
      </c>
      <c r="H1900" s="9" t="s">
        <v>12678</v>
      </c>
    </row>
    <row r="1901" customFormat="false" ht="15.75" hidden="false" customHeight="false" outlineLevel="0" collapsed="false">
      <c r="B1901" s="7" t="n">
        <v>46222</v>
      </c>
      <c r="C1901" s="3" t="s">
        <v>12679</v>
      </c>
      <c r="D1901" s="3" t="s">
        <v>12445</v>
      </c>
      <c r="E1901" s="3" t="s">
        <v>12680</v>
      </c>
      <c r="F1901" s="10" t="str">
        <f aca="false">HYPERLINK("https://www.inaturalist.org/people/skynosaur","skynosaur")</f>
        <v>skynosaur</v>
      </c>
      <c r="G1901" s="9" t="s">
        <v>13</v>
      </c>
      <c r="H1901" s="9" t="s">
        <v>12681</v>
      </c>
    </row>
    <row r="1902" customFormat="false" ht="15.75" hidden="false" customHeight="false" outlineLevel="0" collapsed="false">
      <c r="B1902" s="7" t="n">
        <v>46222</v>
      </c>
      <c r="C1902" s="3" t="s">
        <v>12682</v>
      </c>
      <c r="D1902" s="3" t="s">
        <v>12445</v>
      </c>
      <c r="E1902" s="3" t="s">
        <v>12683</v>
      </c>
      <c r="F1902" s="10" t="str">
        <f aca="false">HYPERLINK("https://www.inaturalist.org/people/aguilita","aguilita")</f>
        <v>aguilita</v>
      </c>
      <c r="G1902" s="9" t="s">
        <v>13</v>
      </c>
      <c r="H1902" s="9" t="s">
        <v>12684</v>
      </c>
    </row>
    <row r="1903" customFormat="false" ht="15.75" hidden="false" customHeight="false" outlineLevel="0" collapsed="false">
      <c r="B1903" s="7" t="n">
        <v>46222</v>
      </c>
      <c r="C1903" s="3" t="s">
        <v>12685</v>
      </c>
      <c r="D1903" s="3" t="s">
        <v>12445</v>
      </c>
      <c r="E1903" s="3" t="s">
        <v>12686</v>
      </c>
      <c r="F1903" s="10" t="str">
        <f aca="false">HYPERLINK("https://www.inaturalist.org/people/lmccuist","lmccuist")</f>
        <v>lmccuist</v>
      </c>
      <c r="G1903" s="9" t="s">
        <v>13</v>
      </c>
      <c r="H1903" s="9" t="s">
        <v>12687</v>
      </c>
    </row>
    <row r="1904" customFormat="false" ht="15.75" hidden="false" customHeight="false" outlineLevel="0" collapsed="false">
      <c r="B1904" s="7" t="n">
        <v>46222</v>
      </c>
      <c r="C1904" s="3" t="s">
        <v>12688</v>
      </c>
      <c r="D1904" s="3" t="s">
        <v>12445</v>
      </c>
      <c r="E1904" s="3" t="s">
        <v>12689</v>
      </c>
      <c r="F1904" s="10" t="str">
        <f aca="false">HYPERLINK("https://www.inaturalist.org/people/kheperer","kheperer")</f>
        <v>kheperer</v>
      </c>
      <c r="G1904" s="9" t="s">
        <v>13</v>
      </c>
      <c r="H1904" s="9" t="s">
        <v>12690</v>
      </c>
    </row>
    <row r="1905" customFormat="false" ht="15.75" hidden="false" customHeight="false" outlineLevel="0" collapsed="false">
      <c r="B1905" s="7" t="n">
        <v>46222</v>
      </c>
      <c r="C1905" s="3" t="s">
        <v>12691</v>
      </c>
      <c r="D1905" s="3" t="s">
        <v>12445</v>
      </c>
      <c r="E1905" s="3" t="s">
        <v>12692</v>
      </c>
      <c r="F1905" s="10" t="str">
        <f aca="false">HYPERLINK("https://www.inaturalist.org/people/drclements","drclements")</f>
        <v>drclements</v>
      </c>
      <c r="G1905" s="9" t="s">
        <v>13</v>
      </c>
      <c r="H1905" s="9" t="s">
        <v>12693</v>
      </c>
    </row>
    <row r="1906" customFormat="false" ht="15.75" hidden="false" customHeight="false" outlineLevel="0" collapsed="false">
      <c r="B1906" s="7" t="n">
        <v>46222</v>
      </c>
      <c r="C1906" s="3" t="s">
        <v>12694</v>
      </c>
      <c r="D1906" s="3" t="s">
        <v>12445</v>
      </c>
      <c r="E1906" s="3" t="s">
        <v>12695</v>
      </c>
      <c r="F1906" s="10" t="str">
        <f aca="false">HYPERLINK("https://www.inaturalist.org/people/tosaredbear","tosaredbear")</f>
        <v>tosaredbear</v>
      </c>
      <c r="G1906" s="9" t="s">
        <v>13</v>
      </c>
      <c r="H1906" s="9" t="s">
        <v>12696</v>
      </c>
    </row>
    <row r="1907" customFormat="false" ht="15.75" hidden="false" customHeight="false" outlineLevel="0" collapsed="false">
      <c r="B1907" s="7" t="n">
        <v>46222</v>
      </c>
      <c r="C1907" s="3" t="s">
        <v>12697</v>
      </c>
      <c r="D1907" s="3" t="s">
        <v>12445</v>
      </c>
      <c r="E1907" s="3" t="s">
        <v>12698</v>
      </c>
      <c r="F1907" s="10" t="str">
        <f aca="false">HYPERLINK("https://www.inaturalist.org/people/samstorey","samstorey")</f>
        <v>samstorey</v>
      </c>
      <c r="G1907" s="9" t="s">
        <v>13</v>
      </c>
      <c r="H1907" s="9" t="s">
        <v>12699</v>
      </c>
    </row>
    <row r="1908" customFormat="false" ht="15.75" hidden="false" customHeight="false" outlineLevel="0" collapsed="false">
      <c r="B1908" s="7" t="n">
        <v>46222</v>
      </c>
      <c r="C1908" s="3" t="s">
        <v>12700</v>
      </c>
      <c r="D1908" s="3" t="s">
        <v>12445</v>
      </c>
      <c r="E1908" s="3" t="s">
        <v>12701</v>
      </c>
      <c r="F1908" s="10" t="str">
        <f aca="false">HYPERLINK("https://www.inaturalist.org/people/gabg0lab","gabg0lab")</f>
        <v>gabg0lab</v>
      </c>
      <c r="G1908" s="9" t="s">
        <v>13</v>
      </c>
      <c r="H1908" s="9" t="s">
        <v>12702</v>
      </c>
    </row>
    <row r="1909" customFormat="false" ht="15.75" hidden="false" customHeight="false" outlineLevel="0" collapsed="false">
      <c r="B1909" s="7" t="n">
        <v>46222</v>
      </c>
      <c r="C1909" s="3" t="s">
        <v>12703</v>
      </c>
      <c r="D1909" s="3" t="s">
        <v>12445</v>
      </c>
      <c r="E1909" s="3" t="s">
        <v>12704</v>
      </c>
      <c r="F1909" s="10" t="str">
        <f aca="false">HYPERLINK("https://www.inaturalist.org/people/crysz","crysz")</f>
        <v>crysz</v>
      </c>
      <c r="G1909" s="9" t="s">
        <v>13</v>
      </c>
      <c r="H1909" s="9" t="s">
        <v>12705</v>
      </c>
    </row>
    <row r="1910" customFormat="false" ht="15.75" hidden="false" customHeight="false" outlineLevel="0" collapsed="false">
      <c r="B1910" s="7" t="n">
        <v>46222</v>
      </c>
      <c r="C1910" s="3" t="s">
        <v>12706</v>
      </c>
      <c r="D1910" s="3" t="s">
        <v>12445</v>
      </c>
      <c r="E1910" s="3" t="s">
        <v>12707</v>
      </c>
      <c r="F1910" s="10" t="str">
        <f aca="false">HYPERLINK("https://www.inaturalist.org/people/christinaparkin","christinaparkin")</f>
        <v>christinaparkin</v>
      </c>
      <c r="G1910" s="9" t="s">
        <v>13</v>
      </c>
      <c r="H1910" s="9" t="s">
        <v>12708</v>
      </c>
    </row>
    <row r="1911" customFormat="false" ht="15.75" hidden="false" customHeight="false" outlineLevel="0" collapsed="false">
      <c r="B1911" s="7" t="n">
        <v>46222</v>
      </c>
      <c r="C1911" s="3" t="s">
        <v>12709</v>
      </c>
      <c r="D1911" s="3" t="s">
        <v>12445</v>
      </c>
      <c r="E1911" s="3" t="s">
        <v>12710</v>
      </c>
      <c r="F1911" s="10" t="str">
        <f aca="false">HYPERLINK("https://www.inaturalist.org/people/osablanca","osablanca")</f>
        <v>osablanca</v>
      </c>
      <c r="G1911" s="9" t="s">
        <v>13</v>
      </c>
      <c r="H1911" s="9" t="s">
        <v>12711</v>
      </c>
    </row>
    <row r="1912" customFormat="false" ht="15.75" hidden="false" customHeight="false" outlineLevel="0" collapsed="false">
      <c r="B1912" s="7" t="n">
        <v>46222</v>
      </c>
      <c r="C1912" s="3" t="s">
        <v>12712</v>
      </c>
      <c r="D1912" s="3" t="s">
        <v>12445</v>
      </c>
      <c r="E1912" s="3" t="s">
        <v>12713</v>
      </c>
      <c r="F1912" s="10" t="str">
        <f aca="false">HYPERLINK("https://www.inaturalist.org/people/melissa_duron","melissa_duron")</f>
        <v>melissa_duron</v>
      </c>
      <c r="G1912" s="9" t="s">
        <v>13</v>
      </c>
      <c r="H1912" s="9" t="s">
        <v>12714</v>
      </c>
    </row>
    <row r="1913" customFormat="false" ht="15.75" hidden="false" customHeight="false" outlineLevel="0" collapsed="false">
      <c r="B1913" s="7" t="n">
        <v>46222</v>
      </c>
      <c r="C1913" s="3" t="s">
        <v>12715</v>
      </c>
      <c r="D1913" s="3" t="s">
        <v>12445</v>
      </c>
      <c r="E1913" s="3" t="s">
        <v>12716</v>
      </c>
      <c r="F1913" s="10" t="str">
        <f aca="false">HYPERLINK("https://www.inaturalist.org/people/smwhite","smwhite")</f>
        <v>smwhite</v>
      </c>
      <c r="G1913" s="9" t="s">
        <v>13</v>
      </c>
      <c r="H1913" s="9" t="s">
        <v>12717</v>
      </c>
    </row>
    <row r="1914" customFormat="false" ht="15.75" hidden="false" customHeight="false" outlineLevel="0" collapsed="false">
      <c r="B1914" s="7" t="n">
        <v>46222</v>
      </c>
      <c r="C1914" s="3" t="s">
        <v>12718</v>
      </c>
      <c r="D1914" s="3" t="s">
        <v>12445</v>
      </c>
      <c r="E1914" s="3" t="s">
        <v>12719</v>
      </c>
      <c r="F1914" s="10" t="str">
        <f aca="false">HYPERLINK("https://www.inaturalist.org/people/smwhite","smwhite")</f>
        <v>smwhite</v>
      </c>
      <c r="G1914" s="9" t="s">
        <v>13</v>
      </c>
      <c r="H1914" s="9" t="s">
        <v>12720</v>
      </c>
    </row>
    <row r="1915" customFormat="false" ht="15.75" hidden="false" customHeight="false" outlineLevel="0" collapsed="false">
      <c r="B1915" s="7" t="n">
        <v>46222</v>
      </c>
      <c r="C1915" s="3" t="s">
        <v>12721</v>
      </c>
      <c r="D1915" s="3" t="s">
        <v>12445</v>
      </c>
      <c r="E1915" s="3" t="s">
        <v>12722</v>
      </c>
      <c r="F1915" s="10" t="str">
        <f aca="false">HYPERLINK("https://www.inaturalist.org/people/smwhite","smwhite")</f>
        <v>smwhite</v>
      </c>
      <c r="G1915" s="9" t="s">
        <v>13</v>
      </c>
      <c r="H1915" s="9" t="s">
        <v>12723</v>
      </c>
    </row>
    <row r="1916" customFormat="false" ht="15.75" hidden="false" customHeight="false" outlineLevel="0" collapsed="false">
      <c r="B1916" s="7" t="n">
        <v>46222</v>
      </c>
      <c r="C1916" s="3" t="s">
        <v>12724</v>
      </c>
      <c r="D1916" s="3" t="s">
        <v>12445</v>
      </c>
      <c r="E1916" s="3" t="s">
        <v>12725</v>
      </c>
      <c r="F1916" s="10" t="str">
        <f aca="false">HYPERLINK("https://www.inaturalist.org/people/rinnyvanvan","rinnyvanvan")</f>
        <v>rinnyvanvan</v>
      </c>
      <c r="G1916" s="9" t="s">
        <v>13</v>
      </c>
      <c r="H1916" s="9" t="s">
        <v>12726</v>
      </c>
    </row>
    <row r="1917" customFormat="false" ht="15.75" hidden="false" customHeight="false" outlineLevel="0" collapsed="false">
      <c r="B1917" s="7" t="n">
        <v>46222</v>
      </c>
      <c r="C1917" s="3" t="s">
        <v>12727</v>
      </c>
      <c r="D1917" s="3" t="s">
        <v>12445</v>
      </c>
      <c r="E1917" s="3" t="s">
        <v>12728</v>
      </c>
      <c r="F1917" s="10" t="str">
        <f aca="false">HYPERLINK("https://www.inaturalist.org/people/tmn-rita","tmn-rita")</f>
        <v>tmn-rita</v>
      </c>
      <c r="G1917" s="9" t="s">
        <v>13</v>
      </c>
      <c r="H1917" s="9" t="s">
        <v>12729</v>
      </c>
    </row>
    <row r="1918" customFormat="false" ht="15.75" hidden="false" customHeight="false" outlineLevel="0" collapsed="false">
      <c r="B1918" s="7" t="n">
        <v>46222</v>
      </c>
      <c r="C1918" s="3" t="s">
        <v>12730</v>
      </c>
      <c r="D1918" s="3" t="s">
        <v>12445</v>
      </c>
      <c r="E1918" s="3" t="s">
        <v>12731</v>
      </c>
      <c r="F1918" s="10" t="str">
        <f aca="false">HYPERLINK("https://www.inaturalist.org/people/stuartpotts","stuartpotts")</f>
        <v>stuartpotts</v>
      </c>
      <c r="G1918" s="9" t="s">
        <v>13</v>
      </c>
      <c r="H1918" s="9" t="s">
        <v>12732</v>
      </c>
    </row>
    <row r="1919" customFormat="false" ht="15.75" hidden="false" customHeight="false" outlineLevel="0" collapsed="false">
      <c r="B1919" s="7" t="n">
        <v>46222</v>
      </c>
      <c r="C1919" s="3" t="s">
        <v>12733</v>
      </c>
      <c r="D1919" s="3" t="s">
        <v>12445</v>
      </c>
      <c r="E1919" s="3" t="s">
        <v>12734</v>
      </c>
      <c r="F1919" s="10" t="str">
        <f aca="false">HYPERLINK("https://www.inaturalist.org/people/josh_rudder","josh_rudder")</f>
        <v>josh_rudder</v>
      </c>
      <c r="G1919" s="9" t="s">
        <v>13</v>
      </c>
      <c r="H1919" s="9" t="s">
        <v>12735</v>
      </c>
    </row>
    <row r="1920" customFormat="false" ht="15.75" hidden="false" customHeight="false" outlineLevel="0" collapsed="false">
      <c r="B1920" s="7" t="n">
        <v>46222</v>
      </c>
      <c r="C1920" s="3" t="s">
        <v>12736</v>
      </c>
      <c r="D1920" s="3" t="s">
        <v>12445</v>
      </c>
      <c r="E1920" s="3" t="s">
        <v>12737</v>
      </c>
      <c r="F1920" s="10" t="str">
        <f aca="false">HYPERLINK("https://www.inaturalist.org/people/keentied","keentied")</f>
        <v>keentied</v>
      </c>
      <c r="G1920" s="9" t="s">
        <v>13</v>
      </c>
      <c r="H1920" s="9" t="s">
        <v>12738</v>
      </c>
    </row>
    <row r="1921" customFormat="false" ht="15.75" hidden="false" customHeight="false" outlineLevel="0" collapsed="false">
      <c r="B1921" s="7" t="n">
        <v>46222</v>
      </c>
      <c r="C1921" s="3" t="s">
        <v>12739</v>
      </c>
      <c r="D1921" s="3" t="s">
        <v>12445</v>
      </c>
      <c r="E1921" s="3" t="s">
        <v>12740</v>
      </c>
      <c r="F1921" s="10" t="str">
        <f aca="false">HYPERLINK("https://www.inaturalist.org/people/bob_p","bob_p")</f>
        <v>bob_p</v>
      </c>
      <c r="G1921" s="9" t="s">
        <v>13</v>
      </c>
      <c r="H1921" s="9" t="s">
        <v>12741</v>
      </c>
    </row>
    <row r="1922" customFormat="false" ht="15.75" hidden="false" customHeight="false" outlineLevel="0" collapsed="false">
      <c r="B1922" s="7" t="n">
        <v>46222</v>
      </c>
      <c r="C1922" s="3" t="s">
        <v>12742</v>
      </c>
      <c r="D1922" s="3" t="s">
        <v>12445</v>
      </c>
      <c r="E1922" s="3" t="s">
        <v>12743</v>
      </c>
      <c r="F1922" s="10" t="str">
        <f aca="false">HYPERLINK("https://www.inaturalist.org/people/dimetrodon_deuteron","dimetrodon_deuteron")</f>
        <v>dimetrodon_deuteron</v>
      </c>
      <c r="G1922" s="9" t="s">
        <v>13</v>
      </c>
      <c r="H1922" s="9" t="s">
        <v>12744</v>
      </c>
    </row>
    <row r="1923" customFormat="false" ht="15.75" hidden="false" customHeight="false" outlineLevel="0" collapsed="false">
      <c r="B1923" s="7" t="n">
        <v>46222</v>
      </c>
      <c r="C1923" s="3" t="s">
        <v>12745</v>
      </c>
      <c r="D1923" s="3" t="s">
        <v>12445</v>
      </c>
      <c r="E1923" s="3" t="s">
        <v>12746</v>
      </c>
      <c r="F1923" s="10" t="str">
        <f aca="false">HYPERLINK("https://www.inaturalist.org/people/filee14","filee14")</f>
        <v>filee14</v>
      </c>
      <c r="G1923" s="9" t="s">
        <v>13</v>
      </c>
      <c r="H1923" s="9" t="s">
        <v>12747</v>
      </c>
    </row>
    <row r="1924" customFormat="false" ht="15.75" hidden="false" customHeight="false" outlineLevel="0" collapsed="false">
      <c r="B1924" s="7" t="n">
        <v>46222</v>
      </c>
      <c r="C1924" s="3" t="s">
        <v>12748</v>
      </c>
      <c r="D1924" s="3" t="s">
        <v>12445</v>
      </c>
      <c r="E1924" s="3" t="s">
        <v>12749</v>
      </c>
      <c r="F1924" s="10" t="str">
        <f aca="false">HYPERLINK("https://www.inaturalist.org/people/felinefieldguide","felinefieldguide")</f>
        <v>felinefieldguide</v>
      </c>
      <c r="G1924" s="9" t="s">
        <v>13</v>
      </c>
      <c r="H1924" s="9" t="s">
        <v>12750</v>
      </c>
    </row>
    <row r="1925" customFormat="false" ht="15.75" hidden="false" customHeight="false" outlineLevel="0" collapsed="false">
      <c r="B1925" s="7" t="n">
        <v>46222</v>
      </c>
      <c r="C1925" s="3" t="s">
        <v>12751</v>
      </c>
      <c r="D1925" s="3" t="s">
        <v>12445</v>
      </c>
      <c r="E1925" s="3" t="s">
        <v>12752</v>
      </c>
      <c r="F1925" s="10" t="str">
        <f aca="false">HYPERLINK("https://www.inaturalist.org/people/kheperer","kheperer")</f>
        <v>kheperer</v>
      </c>
      <c r="G1925" s="9" t="s">
        <v>13</v>
      </c>
      <c r="H1925" s="9" t="s">
        <v>12753</v>
      </c>
    </row>
    <row r="1926" customFormat="false" ht="15.75" hidden="false" customHeight="false" outlineLevel="0" collapsed="false">
      <c r="B1926" s="7" t="n">
        <v>46222</v>
      </c>
      <c r="C1926" s="3" t="s">
        <v>12754</v>
      </c>
      <c r="D1926" s="3" t="s">
        <v>12445</v>
      </c>
      <c r="E1926" s="3" t="s">
        <v>12755</v>
      </c>
      <c r="F1926" s="10" t="str">
        <f aca="false">HYPERLINK("https://www.inaturalist.org/people/jaybird13","jaybird13")</f>
        <v>jaybird13</v>
      </c>
      <c r="G1926" s="9" t="s">
        <v>13</v>
      </c>
      <c r="H1926" s="9" t="s">
        <v>12756</v>
      </c>
    </row>
    <row r="1927" customFormat="false" ht="15.75" hidden="false" customHeight="false" outlineLevel="0" collapsed="false">
      <c r="B1927" s="7" t="n">
        <v>46222</v>
      </c>
      <c r="C1927" s="3" t="s">
        <v>12757</v>
      </c>
      <c r="D1927" s="3" t="s">
        <v>12445</v>
      </c>
      <c r="E1927" s="3" t="s">
        <v>12758</v>
      </c>
      <c r="F1927" s="10" t="str">
        <f aca="false">HYPERLINK("https://www.inaturalist.org/people/damoosie","damoosie")</f>
        <v>damoosie</v>
      </c>
      <c r="G1927" s="9" t="s">
        <v>13</v>
      </c>
      <c r="H1927" s="9" t="s">
        <v>12759</v>
      </c>
    </row>
    <row r="1928" customFormat="false" ht="15.75" hidden="false" customHeight="false" outlineLevel="0" collapsed="false">
      <c r="B1928" s="7" t="n">
        <v>46222</v>
      </c>
      <c r="C1928" s="3" t="s">
        <v>12760</v>
      </c>
      <c r="D1928" s="3" t="s">
        <v>12445</v>
      </c>
      <c r="E1928" s="3" t="s">
        <v>12761</v>
      </c>
      <c r="F1928" s="10" t="str">
        <f aca="false">HYPERLINK("https://www.inaturalist.org/people/damoosie","damoosie")</f>
        <v>damoosie</v>
      </c>
      <c r="G1928" s="9" t="s">
        <v>13</v>
      </c>
      <c r="H1928" s="9" t="s">
        <v>12762</v>
      </c>
    </row>
    <row r="1929" customFormat="false" ht="15.75" hidden="false" customHeight="false" outlineLevel="0" collapsed="false">
      <c r="B1929" s="7" t="n">
        <v>46222</v>
      </c>
      <c r="C1929" s="3" t="s">
        <v>12763</v>
      </c>
      <c r="D1929" s="3" t="s">
        <v>12445</v>
      </c>
      <c r="E1929" s="3" t="s">
        <v>12764</v>
      </c>
      <c r="F1929" s="10" t="str">
        <f aca="false">HYPERLINK("https://www.inaturalist.org/people/opossumprincess","opossumprincess")</f>
        <v>opossumprincess</v>
      </c>
      <c r="G1929" s="9" t="s">
        <v>13</v>
      </c>
      <c r="H1929" s="9" t="s">
        <v>12765</v>
      </c>
    </row>
    <row r="1930" customFormat="false" ht="15.75" hidden="false" customHeight="false" outlineLevel="0" collapsed="false">
      <c r="B1930" s="7" t="n">
        <v>46222</v>
      </c>
      <c r="C1930" s="3" t="s">
        <v>12766</v>
      </c>
      <c r="D1930" s="3" t="s">
        <v>12445</v>
      </c>
      <c r="E1930" s="3" t="s">
        <v>12767</v>
      </c>
      <c r="F1930" s="10" t="str">
        <f aca="false">HYPERLINK("https://www.inaturalist.org/people/jtisarunner","jtisarunner")</f>
        <v>jtisarunner</v>
      </c>
      <c r="G1930" s="9" t="s">
        <v>13</v>
      </c>
      <c r="H1930" s="9" t="s">
        <v>12768</v>
      </c>
    </row>
    <row r="1931" customFormat="false" ht="15.75" hidden="false" customHeight="false" outlineLevel="0" collapsed="false">
      <c r="B1931" s="7" t="n">
        <v>46222</v>
      </c>
      <c r="C1931" s="3" t="s">
        <v>12769</v>
      </c>
      <c r="D1931" s="3" t="s">
        <v>12445</v>
      </c>
      <c r="E1931" s="3" t="s">
        <v>12770</v>
      </c>
      <c r="F1931" s="10" t="str">
        <f aca="false">HYPERLINK("https://www.inaturalist.org/people/lunarbug","lunarbug")</f>
        <v>lunarbug</v>
      </c>
      <c r="G1931" s="9" t="s">
        <v>13</v>
      </c>
      <c r="H1931" s="9" t="s">
        <v>12771</v>
      </c>
    </row>
    <row r="1932" customFormat="false" ht="15.75" hidden="false" customHeight="false" outlineLevel="0" collapsed="false">
      <c r="B1932" s="7" t="n">
        <v>46222</v>
      </c>
      <c r="C1932" s="3" t="s">
        <v>12772</v>
      </c>
      <c r="D1932" s="3" t="s">
        <v>12445</v>
      </c>
      <c r="E1932" s="3" t="s">
        <v>12773</v>
      </c>
      <c r="F1932" s="10" t="str">
        <f aca="false">HYPERLINK("https://www.inaturalist.org/people/kheperer","kheperer")</f>
        <v>kheperer</v>
      </c>
      <c r="G1932" s="9" t="s">
        <v>13</v>
      </c>
      <c r="H1932" s="9" t="s">
        <v>12774</v>
      </c>
    </row>
    <row r="1933" customFormat="false" ht="15.75" hidden="false" customHeight="false" outlineLevel="0" collapsed="false">
      <c r="B1933" s="7" t="n">
        <v>46222</v>
      </c>
      <c r="C1933" s="3" t="s">
        <v>12775</v>
      </c>
      <c r="D1933" s="3" t="s">
        <v>12445</v>
      </c>
      <c r="E1933" s="3" t="s">
        <v>12776</v>
      </c>
      <c r="F1933" s="10" t="str">
        <f aca="false">HYPERLINK("https://www.inaturalist.org/people/kheperer","kheperer")</f>
        <v>kheperer</v>
      </c>
      <c r="G1933" s="9" t="s">
        <v>13</v>
      </c>
      <c r="H1933" s="9" t="s">
        <v>12777</v>
      </c>
    </row>
    <row r="1934" customFormat="false" ht="15.75" hidden="false" customHeight="false" outlineLevel="0" collapsed="false">
      <c r="B1934" s="7" t="n">
        <v>46222</v>
      </c>
      <c r="C1934" s="3" t="s">
        <v>12778</v>
      </c>
      <c r="D1934" s="3" t="s">
        <v>12445</v>
      </c>
      <c r="E1934" s="3" t="s">
        <v>12779</v>
      </c>
      <c r="F1934" s="10" t="str">
        <f aca="false">HYPERLINK("https://www.inaturalist.org/people/spir4l","spir4l")</f>
        <v>spir4l</v>
      </c>
      <c r="G1934" s="9" t="s">
        <v>13</v>
      </c>
      <c r="H1934" s="9" t="s">
        <v>12780</v>
      </c>
    </row>
    <row r="1935" customFormat="false" ht="15.75" hidden="false" customHeight="false" outlineLevel="0" collapsed="false">
      <c r="B1935" s="7" t="n">
        <v>46222</v>
      </c>
      <c r="C1935" s="3" t="s">
        <v>12781</v>
      </c>
      <c r="D1935" s="3" t="s">
        <v>12445</v>
      </c>
      <c r="E1935" s="3" t="s">
        <v>12782</v>
      </c>
      <c r="F1935" s="10" t="str">
        <f aca="false">HYPERLINK("https://www.inaturalist.org/people/sschiereck","sschiereck")</f>
        <v>sschiereck</v>
      </c>
      <c r="G1935" s="9" t="s">
        <v>13</v>
      </c>
      <c r="H1935" s="9" t="s">
        <v>12783</v>
      </c>
    </row>
    <row r="1936" customFormat="false" ht="15.75" hidden="false" customHeight="false" outlineLevel="0" collapsed="false">
      <c r="B1936" s="7" t="n">
        <v>46222</v>
      </c>
      <c r="C1936" s="3" t="s">
        <v>12784</v>
      </c>
      <c r="D1936" s="3" t="s">
        <v>12445</v>
      </c>
      <c r="E1936" s="3" t="s">
        <v>12785</v>
      </c>
      <c r="F1936" s="10" t="str">
        <f aca="false">HYPERLINK("https://www.inaturalist.org/people/yaygina","yaygina")</f>
        <v>yaygina</v>
      </c>
      <c r="G1936" s="9" t="s">
        <v>13</v>
      </c>
      <c r="H1936" s="9" t="s">
        <v>12786</v>
      </c>
    </row>
    <row r="1937" customFormat="false" ht="15.75" hidden="false" customHeight="false" outlineLevel="0" collapsed="false">
      <c r="B1937" s="7" t="n">
        <v>46222</v>
      </c>
      <c r="C1937" s="3" t="s">
        <v>12787</v>
      </c>
      <c r="D1937" s="3" t="s">
        <v>12445</v>
      </c>
      <c r="E1937" s="3" t="s">
        <v>12788</v>
      </c>
      <c r="F1937" s="10" t="str">
        <f aca="false">HYPERLINK("https://www.inaturalist.org/people/levsewkin","levsewkin")</f>
        <v>levsewkin</v>
      </c>
      <c r="G1937" s="9" t="s">
        <v>13</v>
      </c>
      <c r="H1937" s="9" t="s">
        <v>12789</v>
      </c>
    </row>
    <row r="1938" customFormat="false" ht="15.75" hidden="false" customHeight="false" outlineLevel="0" collapsed="false">
      <c r="B1938" s="7" t="n">
        <v>46222</v>
      </c>
      <c r="C1938" s="3" t="s">
        <v>12790</v>
      </c>
      <c r="D1938" s="3" t="s">
        <v>12445</v>
      </c>
      <c r="E1938" s="3" t="s">
        <v>12791</v>
      </c>
      <c r="F1938" s="10" t="str">
        <f aca="false">HYPERLINK("https://www.inaturalist.org/people/sajohouse","sajohouse")</f>
        <v>sajohouse</v>
      </c>
      <c r="G1938" s="9" t="s">
        <v>13</v>
      </c>
      <c r="H1938" s="9" t="s">
        <v>12792</v>
      </c>
    </row>
    <row r="1939" customFormat="false" ht="15.75" hidden="false" customHeight="false" outlineLevel="0" collapsed="false">
      <c r="B1939" s="7" t="n">
        <v>46222</v>
      </c>
      <c r="C1939" s="3" t="s">
        <v>12793</v>
      </c>
      <c r="D1939" s="3" t="s">
        <v>12445</v>
      </c>
      <c r="E1939" s="3" t="s">
        <v>12794</v>
      </c>
      <c r="F1939" s="10" t="str">
        <f aca="false">HYPERLINK("https://www.inaturalist.org/people/caoraesque","caoraesque")</f>
        <v>caoraesque</v>
      </c>
      <c r="G1939" s="9" t="s">
        <v>13</v>
      </c>
      <c r="H1939" s="9" t="s">
        <v>12795</v>
      </c>
    </row>
    <row r="1940" customFormat="false" ht="15.75" hidden="false" customHeight="false" outlineLevel="0" collapsed="false">
      <c r="B1940" s="7" t="n">
        <v>46222</v>
      </c>
      <c r="C1940" s="3" t="s">
        <v>12796</v>
      </c>
      <c r="D1940" s="3" t="s">
        <v>12445</v>
      </c>
      <c r="E1940" s="3" t="s">
        <v>12797</v>
      </c>
      <c r="F1940" s="10" t="str">
        <f aca="false">HYPERLINK("https://www.inaturalist.org/people/kheperer","kheperer")</f>
        <v>kheperer</v>
      </c>
      <c r="G1940" s="9" t="s">
        <v>13</v>
      </c>
      <c r="H1940" s="9" t="s">
        <v>12798</v>
      </c>
    </row>
    <row r="1941" customFormat="false" ht="15.75" hidden="false" customHeight="false" outlineLevel="0" collapsed="false">
      <c r="B1941" s="7" t="n">
        <v>46222</v>
      </c>
      <c r="C1941" s="3" t="s">
        <v>12799</v>
      </c>
      <c r="D1941" s="3" t="s">
        <v>12445</v>
      </c>
      <c r="E1941" s="3" t="s">
        <v>12800</v>
      </c>
      <c r="F1941" s="10" t="str">
        <f aca="false">HYPERLINK("https://www.inaturalist.org/people/hermissenda","hermissenda")</f>
        <v>hermissenda</v>
      </c>
      <c r="G1941" s="9" t="s">
        <v>13</v>
      </c>
      <c r="H1941" s="9" t="s">
        <v>12801</v>
      </c>
    </row>
    <row r="1942" customFormat="false" ht="15.75" hidden="false" customHeight="false" outlineLevel="0" collapsed="false">
      <c r="B1942" s="7" t="n">
        <v>46222</v>
      </c>
      <c r="C1942" s="3" t="s">
        <v>12802</v>
      </c>
      <c r="D1942" s="3" t="s">
        <v>12445</v>
      </c>
      <c r="E1942" s="3" t="s">
        <v>12803</v>
      </c>
      <c r="F1942" s="10" t="str">
        <f aca="false">HYPERLINK("https://www.inaturalist.org/people/sajohouse","sajohouse")</f>
        <v>sajohouse</v>
      </c>
      <c r="G1942" s="9" t="s">
        <v>13</v>
      </c>
      <c r="H1942" s="9" t="s">
        <v>12804</v>
      </c>
    </row>
    <row r="1943" customFormat="false" ht="15.75" hidden="false" customHeight="false" outlineLevel="0" collapsed="false">
      <c r="B1943" s="7" t="n">
        <v>46222</v>
      </c>
      <c r="C1943" s="3" t="s">
        <v>12805</v>
      </c>
      <c r="D1943" s="3" t="s">
        <v>12445</v>
      </c>
      <c r="E1943" s="3" t="s">
        <v>12806</v>
      </c>
      <c r="F1943" s="10" t="str">
        <f aca="false">HYPERLINK("https://www.inaturalist.org/people/hermissenda","hermissenda")</f>
        <v>hermissenda</v>
      </c>
      <c r="G1943" s="9" t="s">
        <v>13</v>
      </c>
      <c r="H1943" s="9" t="s">
        <v>12807</v>
      </c>
    </row>
    <row r="1944" customFormat="false" ht="15.75" hidden="false" customHeight="false" outlineLevel="0" collapsed="false">
      <c r="B1944" s="7" t="n">
        <v>46222</v>
      </c>
      <c r="C1944" s="3" t="s">
        <v>12808</v>
      </c>
      <c r="D1944" s="3" t="s">
        <v>12445</v>
      </c>
      <c r="E1944" s="3" t="s">
        <v>12809</v>
      </c>
      <c r="F1944" s="10" t="str">
        <f aca="false">HYPERLINK("https://www.inaturalist.org/people/kheperer","kheperer")</f>
        <v>kheperer</v>
      </c>
      <c r="G1944" s="9" t="s">
        <v>13</v>
      </c>
      <c r="H1944" s="9" t="s">
        <v>12810</v>
      </c>
    </row>
    <row r="1945" customFormat="false" ht="15.75" hidden="false" customHeight="false" outlineLevel="0" collapsed="false">
      <c r="B1945" s="7" t="n">
        <v>46222</v>
      </c>
      <c r="C1945" s="3" t="s">
        <v>12811</v>
      </c>
      <c r="D1945" s="3" t="s">
        <v>12445</v>
      </c>
      <c r="E1945" s="3" t="s">
        <v>12812</v>
      </c>
      <c r="F1945" s="10" t="str">
        <f aca="false">HYPERLINK("https://www.inaturalist.org/people/smwhite","smwhite")</f>
        <v>smwhite</v>
      </c>
      <c r="G1945" s="9" t="s">
        <v>13</v>
      </c>
      <c r="H1945" s="9" t="s">
        <v>12813</v>
      </c>
    </row>
    <row r="1946" customFormat="false" ht="15.75" hidden="false" customHeight="false" outlineLevel="0" collapsed="false">
      <c r="B1946" s="7" t="n">
        <v>46222</v>
      </c>
      <c r="C1946" s="3" t="s">
        <v>12814</v>
      </c>
      <c r="D1946" s="3" t="s">
        <v>12445</v>
      </c>
      <c r="E1946" s="3" t="s">
        <v>12815</v>
      </c>
      <c r="F1946" s="10" t="str">
        <f aca="false">HYPERLINK("https://www.inaturalist.org/people/smwhite","smwhite")</f>
        <v>smwhite</v>
      </c>
      <c r="G1946" s="9" t="s">
        <v>13</v>
      </c>
      <c r="H1946" s="9" t="s">
        <v>12816</v>
      </c>
    </row>
    <row r="1947" customFormat="false" ht="15.75" hidden="false" customHeight="false" outlineLevel="0" collapsed="false">
      <c r="B1947" s="7" t="n">
        <v>46222</v>
      </c>
      <c r="C1947" s="3" t="s">
        <v>12817</v>
      </c>
      <c r="D1947" s="3" t="s">
        <v>12445</v>
      </c>
      <c r="E1947" s="3" t="s">
        <v>12818</v>
      </c>
      <c r="F1947" s="10" t="str">
        <f aca="false">HYPERLINK("https://www.inaturalist.org/people/tugalooview","tugalooview")</f>
        <v>tugalooview</v>
      </c>
      <c r="G1947" s="9" t="s">
        <v>13</v>
      </c>
      <c r="H1947" s="9" t="s">
        <v>12819</v>
      </c>
    </row>
    <row r="1948" customFormat="false" ht="15.75" hidden="false" customHeight="false" outlineLevel="0" collapsed="false">
      <c r="B1948" s="7" t="n">
        <v>46222</v>
      </c>
      <c r="C1948" s="3" t="s">
        <v>12820</v>
      </c>
      <c r="D1948" s="3" t="s">
        <v>12445</v>
      </c>
      <c r="E1948" s="3" t="s">
        <v>12821</v>
      </c>
      <c r="F1948" s="10" t="str">
        <f aca="false">HYPERLINK("https://www.inaturalist.org/people/terrose","terrose")</f>
        <v>terrose</v>
      </c>
      <c r="G1948" s="9" t="s">
        <v>13</v>
      </c>
      <c r="H1948" s="9" t="s">
        <v>12822</v>
      </c>
    </row>
    <row r="1949" customFormat="false" ht="15.75" hidden="false" customHeight="false" outlineLevel="0" collapsed="false">
      <c r="B1949" s="7" t="n">
        <v>46222</v>
      </c>
      <c r="C1949" s="3" t="s">
        <v>12823</v>
      </c>
      <c r="D1949" s="3" t="s">
        <v>12445</v>
      </c>
      <c r="E1949" s="3" t="s">
        <v>12824</v>
      </c>
      <c r="F1949" s="10" t="str">
        <f aca="false">HYPERLINK("https://www.inaturalist.org/people/sschiereck","sschiereck")</f>
        <v>sschiereck</v>
      </c>
      <c r="G1949" s="9" t="s">
        <v>13</v>
      </c>
      <c r="H1949" s="9" t="s">
        <v>12825</v>
      </c>
    </row>
    <row r="1950" customFormat="false" ht="15.75" hidden="false" customHeight="false" outlineLevel="0" collapsed="false">
      <c r="B1950" s="7" t="n">
        <v>46222</v>
      </c>
      <c r="C1950" s="3" t="s">
        <v>12826</v>
      </c>
      <c r="D1950" s="3" t="s">
        <v>12445</v>
      </c>
      <c r="E1950" s="3" t="s">
        <v>12827</v>
      </c>
      <c r="F1950" s="10" t="str">
        <f aca="false">HYPERLINK("https://www.inaturalist.org/people/mollyric","mollyric")</f>
        <v>mollyric</v>
      </c>
      <c r="G1950" s="9" t="s">
        <v>13</v>
      </c>
      <c r="H1950" s="9" t="s">
        <v>12828</v>
      </c>
    </row>
    <row r="1951" customFormat="false" ht="15.75" hidden="false" customHeight="false" outlineLevel="0" collapsed="false">
      <c r="B1951" s="7" t="n">
        <v>46222</v>
      </c>
      <c r="C1951" s="3" t="s">
        <v>12829</v>
      </c>
      <c r="D1951" s="3" t="s">
        <v>12445</v>
      </c>
      <c r="E1951" s="3" t="s">
        <v>12830</v>
      </c>
      <c r="F1951" s="10" t="str">
        <f aca="false">HYPERLINK("https://www.inaturalist.org/people/breadcoot","breadcoot")</f>
        <v>breadcoot</v>
      </c>
      <c r="G1951" s="9" t="s">
        <v>13</v>
      </c>
      <c r="H1951" s="9" t="s">
        <v>12831</v>
      </c>
    </row>
    <row r="1952" customFormat="false" ht="15.75" hidden="false" customHeight="false" outlineLevel="0" collapsed="false">
      <c r="B1952" s="7" t="n">
        <v>46222</v>
      </c>
      <c r="C1952" s="3" t="s">
        <v>12832</v>
      </c>
      <c r="D1952" s="3" t="s">
        <v>12445</v>
      </c>
      <c r="E1952" s="3" t="s">
        <v>12833</v>
      </c>
      <c r="F1952" s="10" t="str">
        <f aca="false">HYPERLINK("https://www.inaturalist.org/people/jgoos","jgoos")</f>
        <v>jgoos</v>
      </c>
      <c r="G1952" s="9" t="s">
        <v>13</v>
      </c>
      <c r="H1952" s="9" t="s">
        <v>12834</v>
      </c>
    </row>
    <row r="1953" customFormat="false" ht="15.75" hidden="false" customHeight="false" outlineLevel="0" collapsed="false">
      <c r="B1953" s="7" t="n">
        <v>46222</v>
      </c>
      <c r="C1953" s="3" t="s">
        <v>12835</v>
      </c>
      <c r="D1953" s="3" t="s">
        <v>12445</v>
      </c>
      <c r="E1953" s="3" t="s">
        <v>12836</v>
      </c>
      <c r="F1953" s="10" t="str">
        <f aca="false">HYPERLINK("https://www.inaturalist.org/people/bobreed","bobreed")</f>
        <v>bobreed</v>
      </c>
      <c r="G1953" s="9" t="s">
        <v>13</v>
      </c>
      <c r="H1953" s="9" t="s">
        <v>12837</v>
      </c>
    </row>
    <row r="1954" customFormat="false" ht="15.75" hidden="false" customHeight="false" outlineLevel="0" collapsed="false">
      <c r="B1954" s="7" t="n">
        <v>46222</v>
      </c>
      <c r="C1954" s="3" t="s">
        <v>12838</v>
      </c>
      <c r="D1954" s="3" t="s">
        <v>12445</v>
      </c>
      <c r="E1954" s="3" t="s">
        <v>12839</v>
      </c>
      <c r="F1954" s="10" t="str">
        <f aca="false">HYPERLINK("https://www.inaturalist.org/people/anotherbirdguy","anotherbirdguy")</f>
        <v>anotherbirdguy</v>
      </c>
      <c r="G1954" s="9" t="s">
        <v>13</v>
      </c>
      <c r="H1954" s="9" t="s">
        <v>12840</v>
      </c>
    </row>
    <row r="1955" customFormat="false" ht="15.75" hidden="false" customHeight="false" outlineLevel="0" collapsed="false">
      <c r="B1955" s="7" t="n">
        <v>46222</v>
      </c>
      <c r="C1955" s="3" t="s">
        <v>12841</v>
      </c>
      <c r="D1955" s="3" t="s">
        <v>12445</v>
      </c>
      <c r="E1955" s="3" t="s">
        <v>12842</v>
      </c>
      <c r="F1955" s="10" t="str">
        <f aca="false">HYPERLINK("https://www.inaturalist.org/people/photolith","photolith")</f>
        <v>photolith</v>
      </c>
      <c r="G1955" s="9" t="s">
        <v>13</v>
      </c>
      <c r="H1955" s="9" t="s">
        <v>12843</v>
      </c>
    </row>
    <row r="1956" customFormat="false" ht="15.75" hidden="false" customHeight="false" outlineLevel="0" collapsed="false">
      <c r="B1956" s="7" t="n">
        <v>46222</v>
      </c>
      <c r="C1956" s="3" t="s">
        <v>12844</v>
      </c>
      <c r="D1956" s="3" t="s">
        <v>12445</v>
      </c>
      <c r="E1956" s="3" t="s">
        <v>12845</v>
      </c>
      <c r="F1956" s="10" t="str">
        <f aca="false">HYPERLINK("https://www.inaturalist.org/people/steph_thecnidarian","steph_thecnidarian")</f>
        <v>steph_thecnidarian</v>
      </c>
      <c r="G1956" s="9" t="s">
        <v>13</v>
      </c>
      <c r="H1956" s="9" t="s">
        <v>12846</v>
      </c>
    </row>
    <row r="1957" customFormat="false" ht="15.75" hidden="false" customHeight="false" outlineLevel="0" collapsed="false">
      <c r="B1957" s="7" t="n">
        <v>46222</v>
      </c>
      <c r="C1957" s="3" t="s">
        <v>12847</v>
      </c>
      <c r="D1957" s="3" t="s">
        <v>12445</v>
      </c>
      <c r="E1957" s="3" t="s">
        <v>12848</v>
      </c>
      <c r="F1957" s="10" t="str">
        <f aca="false">HYPERLINK("https://www.inaturalist.org/people/jryleyb","jryleyb")</f>
        <v>jryleyb</v>
      </c>
      <c r="G1957" s="9" t="s">
        <v>13</v>
      </c>
      <c r="H1957" s="9" t="s">
        <v>12849</v>
      </c>
    </row>
    <row r="1958" customFormat="false" ht="15.75" hidden="false" customHeight="false" outlineLevel="0" collapsed="false">
      <c r="B1958" s="7" t="n">
        <v>46222</v>
      </c>
      <c r="C1958" s="3" t="s">
        <v>12850</v>
      </c>
      <c r="D1958" s="3" t="s">
        <v>12445</v>
      </c>
      <c r="E1958" s="3" t="s">
        <v>12851</v>
      </c>
      <c r="F1958" s="10" t="str">
        <f aca="false">HYPERLINK("https://www.inaturalist.org/people/damoosie","damoosie")</f>
        <v>damoosie</v>
      </c>
      <c r="G1958" s="9" t="s">
        <v>13</v>
      </c>
      <c r="H1958" s="9" t="s">
        <v>12852</v>
      </c>
    </row>
    <row r="1959" customFormat="false" ht="15.75" hidden="false" customHeight="false" outlineLevel="0" collapsed="false">
      <c r="B1959" s="7" t="n">
        <v>46222</v>
      </c>
      <c r="C1959" s="3" t="s">
        <v>12853</v>
      </c>
      <c r="D1959" s="3" t="s">
        <v>12445</v>
      </c>
      <c r="E1959" s="3" t="s">
        <v>12854</v>
      </c>
      <c r="F1959" s="10" t="str">
        <f aca="false">HYPERLINK("https://www.inaturalist.org/people/vikings1044","vikings1044")</f>
        <v>vikings1044</v>
      </c>
      <c r="G1959" s="9" t="s">
        <v>13</v>
      </c>
      <c r="H1959" s="9" t="s">
        <v>12855</v>
      </c>
    </row>
    <row r="1960" customFormat="false" ht="15.75" hidden="false" customHeight="false" outlineLevel="0" collapsed="false">
      <c r="B1960" s="7" t="n">
        <v>46222</v>
      </c>
      <c r="C1960" s="3" t="s">
        <v>12856</v>
      </c>
      <c r="D1960" s="3" t="s">
        <v>12445</v>
      </c>
      <c r="E1960" s="3" t="s">
        <v>12857</v>
      </c>
      <c r="F1960" s="10" t="str">
        <f aca="false">HYPERLINK("https://www.inaturalist.org/people/smwhite","smwhite")</f>
        <v>smwhite</v>
      </c>
      <c r="G1960" s="9" t="s">
        <v>13</v>
      </c>
      <c r="H1960" s="9" t="s">
        <v>12858</v>
      </c>
    </row>
    <row r="1961" customFormat="false" ht="15.75" hidden="false" customHeight="false" outlineLevel="0" collapsed="false">
      <c r="B1961" s="7" t="n">
        <v>46222</v>
      </c>
      <c r="C1961" s="3" t="s">
        <v>12859</v>
      </c>
      <c r="D1961" s="3" t="s">
        <v>12445</v>
      </c>
      <c r="E1961" s="3" t="s">
        <v>12860</v>
      </c>
      <c r="F1961" s="10" t="str">
        <f aca="false">HYPERLINK("https://www.inaturalist.org/people/jctuli","jctuli")</f>
        <v>jctuli</v>
      </c>
      <c r="G1961" s="9" t="s">
        <v>13</v>
      </c>
      <c r="H1961" s="9" t="s">
        <v>12861</v>
      </c>
    </row>
    <row r="1962" customFormat="false" ht="15.75" hidden="false" customHeight="false" outlineLevel="0" collapsed="false">
      <c r="B1962" s="7" t="n">
        <v>46222</v>
      </c>
      <c r="C1962" s="3" t="s">
        <v>12862</v>
      </c>
      <c r="D1962" s="3" t="s">
        <v>12445</v>
      </c>
      <c r="E1962" s="3" t="s">
        <v>12863</v>
      </c>
      <c r="F1962" s="10" t="str">
        <f aca="false">HYPERLINK("https://www.inaturalist.org/people/smwhite","smwhite")</f>
        <v>smwhite</v>
      </c>
      <c r="G1962" s="9" t="s">
        <v>13</v>
      </c>
      <c r="H1962" s="9" t="s">
        <v>12864</v>
      </c>
    </row>
    <row r="1963" customFormat="false" ht="15.75" hidden="false" customHeight="false" outlineLevel="0" collapsed="false">
      <c r="B1963" s="7" t="n">
        <v>46222</v>
      </c>
      <c r="C1963" s="3" t="s">
        <v>12865</v>
      </c>
      <c r="D1963" s="3" t="s">
        <v>12445</v>
      </c>
      <c r="E1963" s="3" t="s">
        <v>12866</v>
      </c>
      <c r="F1963" s="10" t="str">
        <f aca="false">HYPERLINK("https://www.inaturalist.org/people/smwhite","smwhite")</f>
        <v>smwhite</v>
      </c>
      <c r="G1963" s="9" t="s">
        <v>13</v>
      </c>
      <c r="H1963" s="9" t="s">
        <v>12867</v>
      </c>
    </row>
    <row r="1964" customFormat="false" ht="15.75" hidden="false" customHeight="false" outlineLevel="0" collapsed="false">
      <c r="B1964" s="7" t="n">
        <v>46222</v>
      </c>
      <c r="C1964" s="3" t="s">
        <v>12868</v>
      </c>
      <c r="D1964" s="3" t="s">
        <v>12445</v>
      </c>
      <c r="E1964" s="3" t="s">
        <v>12869</v>
      </c>
      <c r="F1964" s="10" t="str">
        <f aca="false">HYPERLINK("https://www.inaturalist.org/people/treefrogjodi","treefrogjodi")</f>
        <v>treefrogjodi</v>
      </c>
      <c r="G1964" s="9" t="s">
        <v>13</v>
      </c>
      <c r="H1964" s="9" t="s">
        <v>12870</v>
      </c>
    </row>
    <row r="1965" customFormat="false" ht="15.75" hidden="false" customHeight="false" outlineLevel="0" collapsed="false">
      <c r="B1965" s="7" t="n">
        <v>46222</v>
      </c>
      <c r="C1965" s="3" t="s">
        <v>12871</v>
      </c>
      <c r="D1965" s="3" t="s">
        <v>12445</v>
      </c>
      <c r="E1965" s="3" t="s">
        <v>12872</v>
      </c>
      <c r="F1965" s="10" t="str">
        <f aca="false">HYPERLINK("https://www.inaturalist.org/people/bobharding","bobharding")</f>
        <v>bobharding</v>
      </c>
      <c r="G1965" s="9" t="s">
        <v>13</v>
      </c>
      <c r="H1965" s="9" t="s">
        <v>12873</v>
      </c>
    </row>
    <row r="1966" customFormat="false" ht="15.75" hidden="false" customHeight="false" outlineLevel="0" collapsed="false">
      <c r="B1966" s="7" t="n">
        <v>46222</v>
      </c>
      <c r="C1966" s="3" t="s">
        <v>12874</v>
      </c>
      <c r="D1966" s="3" t="s">
        <v>12445</v>
      </c>
      <c r="E1966" s="3" t="s">
        <v>12875</v>
      </c>
      <c r="F1966" s="10" t="str">
        <f aca="false">HYPERLINK("https://www.inaturalist.org/people/cateocollins","cateocollins")</f>
        <v>cateocollins</v>
      </c>
      <c r="G1966" s="9" t="s">
        <v>13</v>
      </c>
      <c r="H1966" s="9" t="s">
        <v>12876</v>
      </c>
    </row>
    <row r="1967" customFormat="false" ht="15.75" hidden="false" customHeight="false" outlineLevel="0" collapsed="false">
      <c r="B1967" s="7" t="n">
        <v>46222</v>
      </c>
      <c r="C1967" s="3" t="s">
        <v>12877</v>
      </c>
      <c r="D1967" s="3" t="s">
        <v>12445</v>
      </c>
      <c r="E1967" s="3" t="s">
        <v>12878</v>
      </c>
      <c r="F1967" s="10" t="str">
        <f aca="false">HYPERLINK("https://www.inaturalist.org/people/sschiereck","sschiereck")</f>
        <v>sschiereck</v>
      </c>
      <c r="G1967" s="9" t="s">
        <v>13</v>
      </c>
      <c r="H1967" s="9" t="s">
        <v>12879</v>
      </c>
    </row>
    <row r="1968" customFormat="false" ht="15.75" hidden="false" customHeight="false" outlineLevel="0" collapsed="false">
      <c r="B1968" s="7" t="n">
        <v>46222</v>
      </c>
      <c r="C1968" s="3" t="s">
        <v>12880</v>
      </c>
      <c r="D1968" s="3" t="s">
        <v>12445</v>
      </c>
      <c r="E1968" s="3" t="s">
        <v>12881</v>
      </c>
      <c r="F1968" s="10" t="str">
        <f aca="false">HYPERLINK("https://www.inaturalist.org/people/helmwige","helmwige")</f>
        <v>helmwige</v>
      </c>
      <c r="G1968" s="9" t="s">
        <v>13</v>
      </c>
      <c r="H1968" s="9" t="s">
        <v>12882</v>
      </c>
    </row>
    <row r="1969" customFormat="false" ht="15.75" hidden="false" customHeight="false" outlineLevel="0" collapsed="false">
      <c r="B1969" s="7" t="n">
        <v>46222</v>
      </c>
      <c r="C1969" s="3" t="s">
        <v>12883</v>
      </c>
      <c r="D1969" s="3" t="s">
        <v>12445</v>
      </c>
      <c r="E1969" s="3" t="s">
        <v>12884</v>
      </c>
      <c r="F1969" s="10" t="str">
        <f aca="false">HYPERLINK("https://www.inaturalist.org/people/jryleyb","jryleyb")</f>
        <v>jryleyb</v>
      </c>
      <c r="G1969" s="9" t="s">
        <v>13</v>
      </c>
      <c r="H1969" s="9" t="s">
        <v>12885</v>
      </c>
    </row>
    <row r="1970" customFormat="false" ht="15.75" hidden="false" customHeight="false" outlineLevel="0" collapsed="false">
      <c r="B1970" s="7" t="n">
        <v>46222</v>
      </c>
      <c r="C1970" s="3" t="s">
        <v>12886</v>
      </c>
      <c r="D1970" s="3" t="s">
        <v>12445</v>
      </c>
      <c r="E1970" s="3" t="s">
        <v>12887</v>
      </c>
      <c r="F1970" s="10" t="str">
        <f aca="false">HYPERLINK("https://www.inaturalist.org/people/hoshi-mokyu","hoshi-mokyu")</f>
        <v>hoshi-mokyu</v>
      </c>
      <c r="G1970" s="9" t="s">
        <v>13</v>
      </c>
      <c r="H1970" s="9" t="s">
        <v>12888</v>
      </c>
    </row>
    <row r="1971" customFormat="false" ht="15.75" hidden="false" customHeight="false" outlineLevel="0" collapsed="false">
      <c r="B1971" s="7" t="n">
        <v>46222</v>
      </c>
      <c r="C1971" s="3" t="s">
        <v>12889</v>
      </c>
      <c r="D1971" s="3" t="s">
        <v>12445</v>
      </c>
      <c r="E1971" s="3" t="s">
        <v>12890</v>
      </c>
      <c r="F1971" s="10" t="str">
        <f aca="false">HYPERLINK("https://www.inaturalist.org/people/luzluz","luzluz")</f>
        <v>luzluz</v>
      </c>
      <c r="G1971" s="9" t="s">
        <v>13</v>
      </c>
      <c r="H1971" s="9" t="s">
        <v>12891</v>
      </c>
    </row>
    <row r="1972" customFormat="false" ht="15.75" hidden="false" customHeight="false" outlineLevel="0" collapsed="false">
      <c r="B1972" s="7" t="n">
        <v>46222</v>
      </c>
      <c r="C1972" s="3" t="s">
        <v>12892</v>
      </c>
      <c r="D1972" s="3" t="s">
        <v>12445</v>
      </c>
      <c r="E1972" s="3" t="s">
        <v>12893</v>
      </c>
      <c r="F1972" s="10" t="str">
        <f aca="false">HYPERLINK("https://www.inaturalist.org/people/hoshi-mokyu","hoshi-mokyu")</f>
        <v>hoshi-mokyu</v>
      </c>
      <c r="G1972" s="9" t="s">
        <v>13</v>
      </c>
      <c r="H1972" s="9" t="s">
        <v>12894</v>
      </c>
    </row>
    <row r="1973" customFormat="false" ht="15.75" hidden="false" customHeight="false" outlineLevel="0" collapsed="false">
      <c r="B1973" s="7" t="n">
        <v>46222</v>
      </c>
      <c r="C1973" s="3" t="s">
        <v>12895</v>
      </c>
      <c r="D1973" s="3" t="s">
        <v>12445</v>
      </c>
      <c r="E1973" s="3" t="s">
        <v>12896</v>
      </c>
      <c r="F1973" s="10" t="str">
        <f aca="false">HYPERLINK("https://www.inaturalist.org/people/sschiereck","sschiereck")</f>
        <v>sschiereck</v>
      </c>
      <c r="G1973" s="9" t="s">
        <v>13</v>
      </c>
      <c r="H1973" s="9" t="s">
        <v>12897</v>
      </c>
    </row>
    <row r="1974" customFormat="false" ht="15.75" hidden="false" customHeight="false" outlineLevel="0" collapsed="false">
      <c r="B1974" s="7" t="n">
        <v>46222</v>
      </c>
      <c r="C1974" s="3" t="s">
        <v>12898</v>
      </c>
      <c r="D1974" s="3" t="s">
        <v>12445</v>
      </c>
      <c r="E1974" s="3" t="s">
        <v>12899</v>
      </c>
      <c r="F1974" s="10" t="str">
        <f aca="false">HYPERLINK("https://www.inaturalist.org/people/meechies","meechies")</f>
        <v>meechies</v>
      </c>
      <c r="G1974" s="9" t="s">
        <v>13</v>
      </c>
      <c r="H1974" s="9" t="s">
        <v>12900</v>
      </c>
    </row>
    <row r="1975" customFormat="false" ht="15.75" hidden="false" customHeight="false" outlineLevel="0" collapsed="false">
      <c r="B1975" s="7" t="n">
        <v>46222</v>
      </c>
      <c r="C1975" s="3" t="s">
        <v>12901</v>
      </c>
      <c r="D1975" s="3" t="s">
        <v>12445</v>
      </c>
      <c r="E1975" s="3" t="s">
        <v>12902</v>
      </c>
      <c r="F1975" s="10" t="str">
        <f aca="false">HYPERLINK("https://www.inaturalist.org/people/crlsvqz89","crlsvqz89")</f>
        <v>crlsvqz89</v>
      </c>
      <c r="G1975" s="9" t="s">
        <v>13</v>
      </c>
      <c r="H1975" s="9" t="s">
        <v>12903</v>
      </c>
    </row>
    <row r="1976" customFormat="false" ht="15.75" hidden="false" customHeight="false" outlineLevel="0" collapsed="false">
      <c r="B1976" s="7" t="n">
        <v>46222</v>
      </c>
      <c r="C1976" s="3" t="s">
        <v>12904</v>
      </c>
      <c r="D1976" s="3" t="s">
        <v>12445</v>
      </c>
      <c r="E1976" s="3" t="s">
        <v>12905</v>
      </c>
      <c r="F1976" s="10" t="str">
        <f aca="false">HYPERLINK("https://www.inaturalist.org/people/karen33317","karen33317")</f>
        <v>karen33317</v>
      </c>
      <c r="G1976" s="9" t="s">
        <v>13</v>
      </c>
      <c r="H1976" s="9" t="s">
        <v>12906</v>
      </c>
    </row>
    <row r="1977" customFormat="false" ht="15.75" hidden="false" customHeight="false" outlineLevel="0" collapsed="false">
      <c r="B1977" s="7" t="n">
        <v>46222</v>
      </c>
      <c r="C1977" s="3" t="s">
        <v>12907</v>
      </c>
      <c r="D1977" s="3" t="s">
        <v>12445</v>
      </c>
      <c r="E1977" s="3" t="s">
        <v>12908</v>
      </c>
      <c r="F1977" s="10" t="str">
        <f aca="false">HYPERLINK("https://www.inaturalist.org/people/kavinthefield","kavinthefield")</f>
        <v>kavinthefield</v>
      </c>
      <c r="G1977" s="9" t="s">
        <v>13</v>
      </c>
      <c r="H1977" s="9" t="s">
        <v>12909</v>
      </c>
    </row>
    <row r="1978" customFormat="false" ht="15.75" hidden="false" customHeight="false" outlineLevel="0" collapsed="false">
      <c r="B1978" s="7" t="n">
        <v>46222</v>
      </c>
      <c r="C1978" s="3" t="s">
        <v>12910</v>
      </c>
      <c r="D1978" s="3" t="s">
        <v>12445</v>
      </c>
      <c r="E1978" s="3" t="s">
        <v>12911</v>
      </c>
      <c r="F1978" s="10" t="str">
        <f aca="false">HYPERLINK("https://www.inaturalist.org/people/idabrutalle","idabrutalle")</f>
        <v>idabrutalle</v>
      </c>
      <c r="G1978" s="9" t="s">
        <v>13</v>
      </c>
      <c r="H1978" s="9" t="s">
        <v>12912</v>
      </c>
    </row>
    <row r="1979" customFormat="false" ht="15.75" hidden="false" customHeight="false" outlineLevel="0" collapsed="false">
      <c r="B1979" s="7" t="n">
        <v>46222</v>
      </c>
      <c r="C1979" s="3" t="s">
        <v>12913</v>
      </c>
      <c r="D1979" s="3" t="s">
        <v>12445</v>
      </c>
      <c r="E1979" s="3" t="s">
        <v>12914</v>
      </c>
      <c r="F1979" s="10" t="str">
        <f aca="false">HYPERLINK("https://www.inaturalist.org/people/mwietek","mwietek")</f>
        <v>mwietek</v>
      </c>
      <c r="G1979" s="9" t="s">
        <v>13</v>
      </c>
      <c r="H1979" s="9" t="s">
        <v>12915</v>
      </c>
    </row>
    <row r="1980" customFormat="false" ht="15.75" hidden="false" customHeight="false" outlineLevel="0" collapsed="false">
      <c r="B1980" s="7" t="n">
        <v>46222</v>
      </c>
      <c r="C1980" s="3" t="s">
        <v>12916</v>
      </c>
      <c r="D1980" s="3" t="s">
        <v>12445</v>
      </c>
      <c r="E1980" s="3" t="s">
        <v>12917</v>
      </c>
      <c r="F1980" s="10" t="str">
        <f aca="false">HYPERLINK("https://www.inaturalist.org/people/bobreed","bobreed")</f>
        <v>bobreed</v>
      </c>
      <c r="G1980" s="9" t="s">
        <v>13</v>
      </c>
      <c r="H1980" s="9" t="s">
        <v>12918</v>
      </c>
    </row>
    <row r="1981" customFormat="false" ht="15.75" hidden="false" customHeight="false" outlineLevel="0" collapsed="false">
      <c r="B1981" s="7" t="n">
        <v>46222</v>
      </c>
      <c r="C1981" s="3" t="s">
        <v>12919</v>
      </c>
      <c r="D1981" s="3" t="s">
        <v>12445</v>
      </c>
      <c r="E1981" s="3" t="s">
        <v>12920</v>
      </c>
      <c r="F1981" s="10" t="str">
        <f aca="false">HYPERLINK("https://www.inaturalist.org/people/bttmft","bttmft")</f>
        <v>bttmft</v>
      </c>
      <c r="G1981" s="9" t="s">
        <v>13</v>
      </c>
      <c r="H1981" s="9" t="s">
        <v>12921</v>
      </c>
    </row>
    <row r="1982" customFormat="false" ht="15.75" hidden="false" customHeight="false" outlineLevel="0" collapsed="false">
      <c r="B1982" s="7" t="n">
        <v>46222</v>
      </c>
      <c r="C1982" s="3" t="s">
        <v>12922</v>
      </c>
      <c r="D1982" s="3" t="s">
        <v>12445</v>
      </c>
      <c r="E1982" s="3" t="s">
        <v>12923</v>
      </c>
      <c r="F1982" s="10" t="str">
        <f aca="false">HYPERLINK("https://www.inaturalist.org/people/yusl","yusl")</f>
        <v>yusl</v>
      </c>
      <c r="G1982" s="9" t="s">
        <v>13</v>
      </c>
      <c r="H1982" s="9" t="s">
        <v>12924</v>
      </c>
    </row>
    <row r="1983" customFormat="false" ht="15.75" hidden="false" customHeight="false" outlineLevel="0" collapsed="false">
      <c r="B1983" s="7" t="n">
        <v>46222</v>
      </c>
      <c r="C1983" s="3" t="s">
        <v>12925</v>
      </c>
      <c r="D1983" s="3" t="s">
        <v>12445</v>
      </c>
      <c r="E1983" s="3" t="s">
        <v>12926</v>
      </c>
      <c r="F1983" s="10" t="str">
        <f aca="false">HYPERLINK("https://www.inaturalist.org/people/paulrfoth","paulrfoth")</f>
        <v>paulrfoth</v>
      </c>
      <c r="G1983" s="9" t="s">
        <v>13</v>
      </c>
      <c r="H1983" s="9" t="s">
        <v>12927</v>
      </c>
    </row>
    <row r="1984" customFormat="false" ht="15.75" hidden="false" customHeight="false" outlineLevel="0" collapsed="false">
      <c r="B1984" s="7" t="n">
        <v>46222</v>
      </c>
      <c r="C1984" s="3" t="s">
        <v>12928</v>
      </c>
      <c r="D1984" s="3" t="s">
        <v>12445</v>
      </c>
      <c r="E1984" s="3" t="s">
        <v>12929</v>
      </c>
      <c r="F1984" s="10" t="str">
        <f aca="false">HYPERLINK("https://www.inaturalist.org/people/mmccarthy15","mmccarthy15")</f>
        <v>mmccarthy15</v>
      </c>
      <c r="G1984" s="9" t="s">
        <v>13</v>
      </c>
      <c r="H1984" s="9" t="s">
        <v>12930</v>
      </c>
    </row>
    <row r="1985" customFormat="false" ht="15.75" hidden="false" customHeight="false" outlineLevel="0" collapsed="false">
      <c r="B1985" s="7" t="n">
        <v>46222</v>
      </c>
      <c r="C1985" s="3" t="s">
        <v>12931</v>
      </c>
      <c r="D1985" s="3" t="s">
        <v>12445</v>
      </c>
      <c r="E1985" s="3" t="s">
        <v>12932</v>
      </c>
      <c r="F1985" s="10" t="str">
        <f aca="false">HYPERLINK("https://www.inaturalist.org/people/smwhite","smwhite")</f>
        <v>smwhite</v>
      </c>
      <c r="G1985" s="9" t="s">
        <v>13</v>
      </c>
      <c r="H1985" s="9" t="s">
        <v>12933</v>
      </c>
    </row>
    <row r="1986" customFormat="false" ht="15.75" hidden="false" customHeight="false" outlineLevel="0" collapsed="false">
      <c r="B1986" s="7" t="n">
        <v>46222</v>
      </c>
      <c r="C1986" s="3" t="s">
        <v>12934</v>
      </c>
      <c r="D1986" s="3" t="s">
        <v>12445</v>
      </c>
      <c r="E1986" s="3" t="s">
        <v>12935</v>
      </c>
      <c r="F1986" s="10" t="str">
        <f aca="false">HYPERLINK("https://www.inaturalist.org/people/araneaes","araneaes")</f>
        <v>araneaes</v>
      </c>
      <c r="G1986" s="9" t="s">
        <v>13</v>
      </c>
      <c r="H1986" s="9" t="s">
        <v>12936</v>
      </c>
    </row>
    <row r="1987" customFormat="false" ht="15.75" hidden="false" customHeight="false" outlineLevel="0" collapsed="false">
      <c r="B1987" s="7" t="n">
        <v>46222</v>
      </c>
      <c r="C1987" s="3" t="s">
        <v>12937</v>
      </c>
      <c r="D1987" s="3" t="s">
        <v>12445</v>
      </c>
      <c r="E1987" s="3" t="s">
        <v>12938</v>
      </c>
      <c r="F1987" s="10" t="str">
        <f aca="false">HYPERLINK("https://www.inaturalist.org/people/lostara","lostara")</f>
        <v>lostara</v>
      </c>
      <c r="G1987" s="9" t="s">
        <v>13</v>
      </c>
      <c r="H1987" s="9" t="s">
        <v>12939</v>
      </c>
    </row>
    <row r="1988" customFormat="false" ht="15.75" hidden="false" customHeight="false" outlineLevel="0" collapsed="false">
      <c r="B1988" s="7" t="n">
        <v>46222</v>
      </c>
      <c r="C1988" s="3" t="s">
        <v>12940</v>
      </c>
      <c r="D1988" s="3" t="s">
        <v>12445</v>
      </c>
      <c r="E1988" s="3" t="s">
        <v>12941</v>
      </c>
      <c r="F1988" s="10" t="str">
        <f aca="false">HYPERLINK("https://www.inaturalist.org/people/yukioz","yukioz")</f>
        <v>yukioz</v>
      </c>
      <c r="G1988" s="9" t="s">
        <v>13</v>
      </c>
      <c r="H1988" s="9" t="s">
        <v>12942</v>
      </c>
    </row>
    <row r="1989" customFormat="false" ht="15.75" hidden="false" customHeight="false" outlineLevel="0" collapsed="false">
      <c r="B1989" s="7" t="n">
        <v>46222</v>
      </c>
      <c r="C1989" s="3" t="s">
        <v>12943</v>
      </c>
      <c r="D1989" s="3" t="s">
        <v>12445</v>
      </c>
      <c r="E1989" s="3" t="s">
        <v>12944</v>
      </c>
      <c r="F1989" s="10" t="str">
        <f aca="false">HYPERLINK("https://www.inaturalist.org/people/yukioz","yukioz")</f>
        <v>yukioz</v>
      </c>
      <c r="G1989" s="9" t="s">
        <v>13</v>
      </c>
      <c r="H1989" s="9" t="s">
        <v>12945</v>
      </c>
    </row>
    <row r="1990" customFormat="false" ht="15.75" hidden="false" customHeight="false" outlineLevel="0" collapsed="false">
      <c r="B1990" s="7" t="n">
        <v>46222</v>
      </c>
      <c r="C1990" s="3" t="s">
        <v>12946</v>
      </c>
      <c r="D1990" s="3" t="s">
        <v>12445</v>
      </c>
      <c r="E1990" s="3" t="s">
        <v>12947</v>
      </c>
      <c r="F1990" s="10" t="str">
        <f aca="false">HYPERLINK("https://www.inaturalist.org/people/bobreed","bobreed")</f>
        <v>bobreed</v>
      </c>
      <c r="G1990" s="9" t="s">
        <v>13</v>
      </c>
      <c r="H1990" s="9" t="s">
        <v>12948</v>
      </c>
    </row>
    <row r="1991" customFormat="false" ht="15.75" hidden="false" customHeight="false" outlineLevel="0" collapsed="false">
      <c r="B1991" s="7" t="n">
        <v>46222</v>
      </c>
      <c r="C1991" s="3" t="s">
        <v>12949</v>
      </c>
      <c r="D1991" s="3" t="s">
        <v>12445</v>
      </c>
      <c r="E1991" s="3" t="s">
        <v>12950</v>
      </c>
      <c r="F1991" s="10" t="str">
        <f aca="false">HYPERLINK("https://www.inaturalist.org/people/laureldoc","laureldoc")</f>
        <v>laureldoc</v>
      </c>
      <c r="G1991" s="9" t="s">
        <v>13</v>
      </c>
      <c r="H1991" s="9" t="s">
        <v>12951</v>
      </c>
    </row>
    <row r="1992" customFormat="false" ht="15.75" hidden="false" customHeight="false" outlineLevel="0" collapsed="false">
      <c r="B1992" s="7" t="n">
        <v>46222</v>
      </c>
      <c r="C1992" s="3" t="s">
        <v>12952</v>
      </c>
      <c r="D1992" s="3" t="s">
        <v>12445</v>
      </c>
      <c r="E1992" s="3" t="s">
        <v>12953</v>
      </c>
      <c r="F1992" s="10" t="str">
        <f aca="false">HYPERLINK("https://www.inaturalist.org/people/oscarencisoa","oscarencisoa")</f>
        <v>oscarencisoa</v>
      </c>
      <c r="G1992" s="9" t="s">
        <v>13</v>
      </c>
      <c r="H1992" s="9" t="s">
        <v>12954</v>
      </c>
    </row>
    <row r="1993" customFormat="false" ht="15.75" hidden="false" customHeight="false" outlineLevel="0" collapsed="false">
      <c r="B1993" s="7" t="n">
        <v>46222</v>
      </c>
      <c r="C1993" s="3" t="s">
        <v>12955</v>
      </c>
      <c r="D1993" s="3" t="s">
        <v>12445</v>
      </c>
      <c r="E1993" s="3" t="s">
        <v>12956</v>
      </c>
      <c r="F1993" s="10" t="str">
        <f aca="false">HYPERLINK("https://www.inaturalist.org/people/dmwnc","dmwnc")</f>
        <v>dmwnc</v>
      </c>
      <c r="G1993" s="9" t="s">
        <v>13</v>
      </c>
      <c r="H1993" s="9" t="s">
        <v>12957</v>
      </c>
    </row>
    <row r="1994" customFormat="false" ht="15.75" hidden="false" customHeight="false" outlineLevel="0" collapsed="false">
      <c r="B1994" s="7" t="n">
        <v>46222</v>
      </c>
      <c r="C1994" s="3" t="s">
        <v>12958</v>
      </c>
      <c r="D1994" s="3" t="s">
        <v>12445</v>
      </c>
      <c r="E1994" s="3" t="s">
        <v>12959</v>
      </c>
      <c r="F1994" s="10" t="str">
        <f aca="false">HYPERLINK("https://www.inaturalist.org/people/paulswitzer","paulswitzer")</f>
        <v>paulswitzer</v>
      </c>
      <c r="G1994" s="9" t="s">
        <v>13</v>
      </c>
      <c r="H1994" s="9" t="s">
        <v>12960</v>
      </c>
    </row>
    <row r="1995" customFormat="false" ht="15.75" hidden="false" customHeight="false" outlineLevel="0" collapsed="false">
      <c r="B1995" s="7" t="n">
        <v>46222</v>
      </c>
      <c r="C1995" s="3" t="s">
        <v>12961</v>
      </c>
      <c r="D1995" s="3" t="s">
        <v>12445</v>
      </c>
      <c r="E1995" s="3" t="s">
        <v>12962</v>
      </c>
      <c r="F1995" s="10" t="str">
        <f aca="false">HYPERLINK("https://www.inaturalist.org/people/lj355","lj355")</f>
        <v>lj355</v>
      </c>
      <c r="G1995" s="9" t="s">
        <v>13</v>
      </c>
      <c r="H1995" s="9" t="s">
        <v>12963</v>
      </c>
    </row>
    <row r="1996" customFormat="false" ht="15.75" hidden="false" customHeight="false" outlineLevel="0" collapsed="false">
      <c r="B1996" s="7" t="n">
        <v>46222</v>
      </c>
      <c r="C1996" s="3" t="s">
        <v>12964</v>
      </c>
      <c r="D1996" s="3" t="s">
        <v>12445</v>
      </c>
      <c r="E1996" s="3" t="s">
        <v>12965</v>
      </c>
      <c r="F1996" s="10" t="str">
        <f aca="false">HYPERLINK("https://www.inaturalist.org/people/wildnatureman","wildnatureman")</f>
        <v>wildnatureman</v>
      </c>
      <c r="G1996" s="9" t="s">
        <v>13</v>
      </c>
      <c r="H1996" s="9" t="s">
        <v>12966</v>
      </c>
    </row>
    <row r="1997" customFormat="false" ht="15.75" hidden="false" customHeight="false" outlineLevel="0" collapsed="false">
      <c r="B1997" s="7" t="n">
        <v>46222</v>
      </c>
      <c r="C1997" s="3" t="s">
        <v>12967</v>
      </c>
      <c r="D1997" s="3" t="s">
        <v>12445</v>
      </c>
      <c r="E1997" s="3" t="s">
        <v>12968</v>
      </c>
      <c r="F1997" s="10" t="str">
        <f aca="false">HYPERLINK("https://www.inaturalist.org/people/jasonpike1980","jasonpike1980")</f>
        <v>jasonpike1980</v>
      </c>
      <c r="G1997" s="9" t="s">
        <v>13</v>
      </c>
      <c r="H1997" s="9" t="s">
        <v>12969</v>
      </c>
    </row>
    <row r="1998" customFormat="false" ht="15.75" hidden="false" customHeight="false" outlineLevel="0" collapsed="false">
      <c r="B1998" s="7" t="n">
        <v>46222</v>
      </c>
      <c r="C1998" s="3" t="s">
        <v>12970</v>
      </c>
      <c r="D1998" s="3" t="s">
        <v>12445</v>
      </c>
      <c r="E1998" s="3" t="s">
        <v>12971</v>
      </c>
      <c r="F1998" s="10" t="str">
        <f aca="false">HYPERLINK("https://www.inaturalist.org/people/countdownbuggin","countdownbuggin")</f>
        <v>countdownbuggin</v>
      </c>
      <c r="G1998" s="9" t="s">
        <v>13</v>
      </c>
      <c r="H1998" s="9" t="s">
        <v>12972</v>
      </c>
    </row>
    <row r="1999" customFormat="false" ht="15.75" hidden="false" customHeight="false" outlineLevel="0" collapsed="false">
      <c r="B1999" s="7" t="n">
        <v>46222</v>
      </c>
      <c r="C1999" s="3" t="s">
        <v>12973</v>
      </c>
      <c r="D1999" s="3" t="s">
        <v>12445</v>
      </c>
      <c r="E1999" s="3" t="s">
        <v>12974</v>
      </c>
      <c r="F1999" s="10" t="str">
        <f aca="false">HYPERLINK("https://www.inaturalist.org/people/lostara","lostara")</f>
        <v>lostara</v>
      </c>
      <c r="G1999" s="9" t="s">
        <v>13</v>
      </c>
      <c r="H1999" s="9" t="s">
        <v>12975</v>
      </c>
    </row>
    <row r="2000" customFormat="false" ht="15.75" hidden="false" customHeight="false" outlineLevel="0" collapsed="false">
      <c r="B2000" s="7" t="n">
        <v>46222</v>
      </c>
      <c r="C2000" s="3" t="s">
        <v>12976</v>
      </c>
      <c r="D2000" s="3" t="s">
        <v>12445</v>
      </c>
      <c r="E2000" s="3" t="s">
        <v>12977</v>
      </c>
      <c r="F2000" s="10" t="str">
        <f aca="false">HYPERLINK("https://www.inaturalist.org/people/lifeinthemoss","lifeinthemoss")</f>
        <v>lifeinthemoss</v>
      </c>
      <c r="G2000" s="9" t="s">
        <v>13</v>
      </c>
      <c r="H2000" s="9" t="s">
        <v>12978</v>
      </c>
    </row>
    <row r="2001" customFormat="false" ht="15.75" hidden="false" customHeight="false" outlineLevel="0" collapsed="false">
      <c r="B2001" s="7" t="n">
        <v>46222</v>
      </c>
      <c r="C2001" s="3" t="s">
        <v>12979</v>
      </c>
      <c r="D2001" s="3" t="s">
        <v>12445</v>
      </c>
      <c r="E2001" s="3" t="s">
        <v>12980</v>
      </c>
      <c r="F2001" s="10" t="str">
        <f aca="false">HYPERLINK("https://www.inaturalist.org/people/lockebeulve","lockebeulve")</f>
        <v>lockebeulve</v>
      </c>
      <c r="G2001" s="9" t="s">
        <v>13</v>
      </c>
      <c r="H2001" s="9" t="s">
        <v>12981</v>
      </c>
    </row>
    <row r="2002" customFormat="false" ht="15.75" hidden="false" customHeight="false" outlineLevel="0" collapsed="false">
      <c r="B2002" s="7" t="n">
        <v>46222</v>
      </c>
      <c r="C2002" s="3" t="s">
        <v>12982</v>
      </c>
      <c r="D2002" s="3" t="s">
        <v>12445</v>
      </c>
      <c r="E2002" s="3" t="s">
        <v>12983</v>
      </c>
      <c r="F2002" s="10" t="str">
        <f aca="false">HYPERLINK("https://www.inaturalist.org/people/lockebeulve","lockebeulve")</f>
        <v>lockebeulve</v>
      </c>
      <c r="G2002" s="9" t="s">
        <v>13</v>
      </c>
      <c r="H2002" s="9" t="s">
        <v>12984</v>
      </c>
    </row>
    <row r="2003" customFormat="false" ht="15.75" hidden="false" customHeight="false" outlineLevel="0" collapsed="false">
      <c r="B2003" s="7" t="n">
        <v>46222</v>
      </c>
      <c r="C2003" s="3" t="s">
        <v>12985</v>
      </c>
      <c r="D2003" s="3" t="s">
        <v>12445</v>
      </c>
      <c r="E2003" s="3" t="s">
        <v>12986</v>
      </c>
      <c r="F2003" s="10" t="str">
        <f aca="false">HYPERLINK("https://www.inaturalist.org/people/jeremynduval","jeremynduval")</f>
        <v>jeremynduval</v>
      </c>
      <c r="G2003" s="9" t="s">
        <v>13</v>
      </c>
      <c r="H2003" s="9" t="s">
        <v>12987</v>
      </c>
    </row>
    <row r="2004" customFormat="false" ht="15.75" hidden="false" customHeight="false" outlineLevel="0" collapsed="false">
      <c r="B2004" s="7" t="n">
        <v>46222</v>
      </c>
      <c r="C2004" s="3" t="s">
        <v>12988</v>
      </c>
      <c r="D2004" s="3" t="s">
        <v>12445</v>
      </c>
      <c r="E2004" s="3" t="s">
        <v>12989</v>
      </c>
      <c r="F2004" s="10" t="str">
        <f aca="false">HYPERLINK("https://www.inaturalist.org/people/esoehren","esoehren")</f>
        <v>esoehren</v>
      </c>
      <c r="G2004" s="9" t="s">
        <v>13</v>
      </c>
      <c r="H2004" s="9" t="s">
        <v>12990</v>
      </c>
    </row>
    <row r="2005" customFormat="false" ht="15.75" hidden="false" customHeight="false" outlineLevel="0" collapsed="false">
      <c r="B2005" s="7" t="n">
        <v>46222</v>
      </c>
      <c r="C2005" s="3" t="s">
        <v>12991</v>
      </c>
      <c r="D2005" s="3" t="s">
        <v>12445</v>
      </c>
      <c r="E2005" s="3" t="s">
        <v>12992</v>
      </c>
      <c r="F2005" s="10" t="str">
        <f aca="false">HYPERLINK("https://www.inaturalist.org/people/dhcox57","dhcox57")</f>
        <v>dhcox57</v>
      </c>
      <c r="G2005" s="9" t="s">
        <v>13</v>
      </c>
      <c r="H2005" s="9" t="s">
        <v>12993</v>
      </c>
    </row>
    <row r="2006" customFormat="false" ht="15.75" hidden="false" customHeight="false" outlineLevel="0" collapsed="false">
      <c r="B2006" s="7" t="n">
        <v>46222</v>
      </c>
      <c r="C2006" s="3" t="s">
        <v>12994</v>
      </c>
      <c r="D2006" s="3" t="s">
        <v>12445</v>
      </c>
      <c r="E2006" s="3" t="s">
        <v>12995</v>
      </c>
      <c r="F2006" s="10" t="str">
        <f aca="false">HYPERLINK("https://www.inaturalist.org/people/lockebeulve","lockebeulve")</f>
        <v>lockebeulve</v>
      </c>
      <c r="G2006" s="9" t="s">
        <v>13</v>
      </c>
      <c r="H2006" s="9" t="s">
        <v>12996</v>
      </c>
    </row>
    <row r="2007" customFormat="false" ht="15.75" hidden="false" customHeight="false" outlineLevel="0" collapsed="false">
      <c r="B2007" s="7" t="n">
        <v>46222</v>
      </c>
      <c r="C2007" s="3" t="s">
        <v>12997</v>
      </c>
      <c r="D2007" s="3" t="s">
        <v>12445</v>
      </c>
      <c r="E2007" s="3" t="s">
        <v>12998</v>
      </c>
      <c r="F2007" s="10" t="str">
        <f aca="false">HYPERLINK("https://www.inaturalist.org/people/lockebeulve","lockebeulve")</f>
        <v>lockebeulve</v>
      </c>
      <c r="G2007" s="9" t="s">
        <v>13</v>
      </c>
      <c r="H2007" s="9" t="s">
        <v>12999</v>
      </c>
    </row>
    <row r="2008" customFormat="false" ht="15.75" hidden="false" customHeight="false" outlineLevel="0" collapsed="false">
      <c r="B2008" s="7" t="n">
        <v>46222</v>
      </c>
      <c r="C2008" s="3" t="s">
        <v>13000</v>
      </c>
      <c r="D2008" s="3" t="s">
        <v>12445</v>
      </c>
      <c r="E2008" s="3" t="s">
        <v>13001</v>
      </c>
      <c r="F2008" s="10" t="str">
        <f aca="false">HYPERLINK("https://www.inaturalist.org/people/lockebeulve","lockebeulve")</f>
        <v>lockebeulve</v>
      </c>
      <c r="G2008" s="9" t="s">
        <v>13</v>
      </c>
      <c r="H2008" s="9" t="s">
        <v>13002</v>
      </c>
    </row>
    <row r="2009" customFormat="false" ht="15.75" hidden="false" customHeight="false" outlineLevel="0" collapsed="false">
      <c r="B2009" s="7" t="n">
        <v>46222</v>
      </c>
      <c r="C2009" s="3" t="s">
        <v>13003</v>
      </c>
      <c r="D2009" s="3" t="s">
        <v>12445</v>
      </c>
      <c r="E2009" s="3" t="s">
        <v>13004</v>
      </c>
      <c r="F2009" s="10" t="str">
        <f aca="false">HYPERLINK("https://www.inaturalist.org/people/rhumphriesdc","rhumphriesdc")</f>
        <v>rhumphriesdc</v>
      </c>
      <c r="G2009" s="9" t="s">
        <v>13</v>
      </c>
      <c r="H2009" s="9" t="s">
        <v>13005</v>
      </c>
    </row>
    <row r="2010" customFormat="false" ht="15.75" hidden="false" customHeight="false" outlineLevel="0" collapsed="false">
      <c r="B2010" s="7" t="n">
        <v>46222</v>
      </c>
      <c r="C2010" s="3" t="s">
        <v>13006</v>
      </c>
      <c r="D2010" s="3" t="s">
        <v>12445</v>
      </c>
      <c r="E2010" s="3" t="s">
        <v>13007</v>
      </c>
      <c r="F2010" s="10" t="str">
        <f aca="false">HYPERLINK("https://www.inaturalist.org/people/lockebeulve","lockebeulve")</f>
        <v>lockebeulve</v>
      </c>
      <c r="G2010" s="9" t="s">
        <v>13</v>
      </c>
      <c r="H2010" s="9" t="s">
        <v>13008</v>
      </c>
    </row>
    <row r="2011" customFormat="false" ht="15.75" hidden="false" customHeight="false" outlineLevel="0" collapsed="false">
      <c r="B2011" s="7" t="n">
        <v>46222</v>
      </c>
      <c r="C2011" s="3" t="s">
        <v>13009</v>
      </c>
      <c r="D2011" s="3" t="s">
        <v>12445</v>
      </c>
      <c r="E2011" s="3" t="s">
        <v>13010</v>
      </c>
      <c r="F2011" s="10" t="str">
        <f aca="false">HYPERLINK("https://www.inaturalist.org/people/lockebeulve","lockebeulve")</f>
        <v>lockebeulve</v>
      </c>
      <c r="G2011" s="9" t="s">
        <v>13</v>
      </c>
      <c r="H2011" s="9" t="s">
        <v>13011</v>
      </c>
    </row>
    <row r="2012" customFormat="false" ht="15.75" hidden="false" customHeight="false" outlineLevel="0" collapsed="false">
      <c r="B2012" s="7" t="n">
        <v>46222</v>
      </c>
      <c r="C2012" s="3" t="s">
        <v>13012</v>
      </c>
      <c r="D2012" s="3" t="s">
        <v>12445</v>
      </c>
      <c r="E2012" s="3" t="s">
        <v>13013</v>
      </c>
      <c r="F2012" s="10" t="str">
        <f aca="false">HYPERLINK("https://www.inaturalist.org/people/mikefalleguy","mikefalleguy")</f>
        <v>mikefalleguy</v>
      </c>
      <c r="G2012" s="9" t="s">
        <v>13</v>
      </c>
      <c r="H2012" s="9" t="s">
        <v>13014</v>
      </c>
    </row>
    <row r="2013" customFormat="false" ht="15.75" hidden="false" customHeight="false" outlineLevel="0" collapsed="false">
      <c r="B2013" s="7" t="n">
        <v>46222</v>
      </c>
      <c r="C2013" s="3" t="s">
        <v>13015</v>
      </c>
      <c r="D2013" s="3" t="s">
        <v>12445</v>
      </c>
      <c r="E2013" s="3" t="s">
        <v>13016</v>
      </c>
      <c r="F2013" s="10" t="str">
        <f aca="false">HYPERLINK("https://www.inaturalist.org/people/laureldoc","laureldoc")</f>
        <v>laureldoc</v>
      </c>
      <c r="G2013" s="9" t="s">
        <v>13</v>
      </c>
      <c r="H2013" s="9" t="s">
        <v>13017</v>
      </c>
    </row>
    <row r="2014" customFormat="false" ht="15.75" hidden="false" customHeight="false" outlineLevel="0" collapsed="false">
      <c r="B2014" s="7" t="n">
        <v>46222</v>
      </c>
      <c r="C2014" s="3" t="s">
        <v>13018</v>
      </c>
      <c r="D2014" s="3" t="s">
        <v>12445</v>
      </c>
      <c r="E2014" s="3" t="s">
        <v>13019</v>
      </c>
      <c r="F2014" s="10" t="str">
        <f aca="false">HYPERLINK("https://www.inaturalist.org/people/fsmith03","fsmith03")</f>
        <v>fsmith03</v>
      </c>
      <c r="G2014" s="9" t="s">
        <v>13</v>
      </c>
      <c r="H2014" s="9" t="s">
        <v>13020</v>
      </c>
    </row>
    <row r="2015" customFormat="false" ht="15.75" hidden="false" customHeight="false" outlineLevel="0" collapsed="false">
      <c r="B2015" s="7" t="n">
        <v>46222</v>
      </c>
      <c r="C2015" s="3" t="s">
        <v>13021</v>
      </c>
      <c r="D2015" s="3" t="s">
        <v>12445</v>
      </c>
      <c r="E2015" s="3" t="s">
        <v>13022</v>
      </c>
      <c r="F2015" s="10" t="str">
        <f aca="false">HYPERLINK("https://www.inaturalist.org/people/jess-skene","jess-skene")</f>
        <v>jess-skene</v>
      </c>
      <c r="G2015" s="9" t="s">
        <v>13</v>
      </c>
      <c r="H2015" s="9" t="s">
        <v>13023</v>
      </c>
    </row>
    <row r="2016" customFormat="false" ht="15.75" hidden="false" customHeight="false" outlineLevel="0" collapsed="false">
      <c r="B2016" s="7" t="n">
        <v>46222</v>
      </c>
      <c r="C2016" s="3" t="s">
        <v>13024</v>
      </c>
      <c r="D2016" s="3" t="s">
        <v>12445</v>
      </c>
      <c r="E2016" s="3" t="s">
        <v>13025</v>
      </c>
      <c r="F2016" s="10" t="str">
        <f aca="false">HYPERLINK("https://www.inaturalist.org/people/eliezer","eliezer")</f>
        <v>eliezer</v>
      </c>
      <c r="G2016" s="9" t="s">
        <v>13</v>
      </c>
      <c r="H2016" s="9" t="s">
        <v>13026</v>
      </c>
    </row>
    <row r="2017" customFormat="false" ht="15.75" hidden="false" customHeight="false" outlineLevel="0" collapsed="false">
      <c r="B2017" s="7" t="n">
        <v>46222</v>
      </c>
      <c r="C2017" s="3" t="s">
        <v>13027</v>
      </c>
      <c r="D2017" s="3" t="s">
        <v>12445</v>
      </c>
      <c r="E2017" s="3" t="s">
        <v>13028</v>
      </c>
      <c r="F2017" s="10" t="str">
        <f aca="false">HYPERLINK("https://www.inaturalist.org/people/lockebeulve","lockebeulve")</f>
        <v>lockebeulve</v>
      </c>
      <c r="G2017" s="9" t="s">
        <v>13</v>
      </c>
      <c r="H2017" s="9" t="s">
        <v>13029</v>
      </c>
    </row>
    <row r="2018" customFormat="false" ht="15.75" hidden="false" customHeight="false" outlineLevel="0" collapsed="false">
      <c r="B2018" s="7" t="n">
        <v>46222</v>
      </c>
      <c r="C2018" s="3" t="s">
        <v>13030</v>
      </c>
      <c r="D2018" s="3" t="s">
        <v>12445</v>
      </c>
      <c r="E2018" s="3" t="s">
        <v>13031</v>
      </c>
      <c r="F2018" s="10" t="str">
        <f aca="false">HYPERLINK("https://www.inaturalist.org/people/justinhofman13","justinhofman13")</f>
        <v>justinhofman13</v>
      </c>
      <c r="G2018" s="9" t="s">
        <v>13</v>
      </c>
      <c r="H2018" s="9" t="s">
        <v>13032</v>
      </c>
    </row>
    <row r="2019" customFormat="false" ht="15.75" hidden="false" customHeight="false" outlineLevel="0" collapsed="false">
      <c r="B2019" s="7" t="n">
        <v>46222</v>
      </c>
      <c r="C2019" s="3" t="s">
        <v>13033</v>
      </c>
      <c r="D2019" s="3" t="s">
        <v>12445</v>
      </c>
      <c r="E2019" s="3" t="s">
        <v>13034</v>
      </c>
      <c r="F2019" s="10" t="str">
        <f aca="false">HYPERLINK("https://www.inaturalist.org/people/alexpat05","alexpat05")</f>
        <v>alexpat05</v>
      </c>
      <c r="G2019" s="9" t="s">
        <v>13</v>
      </c>
      <c r="H2019" s="9" t="s">
        <v>13035</v>
      </c>
    </row>
    <row r="2020" customFormat="false" ht="15.75" hidden="false" customHeight="false" outlineLevel="0" collapsed="false">
      <c r="B2020" s="7" t="n">
        <v>46222</v>
      </c>
      <c r="C2020" s="3" t="s">
        <v>13036</v>
      </c>
      <c r="D2020" s="3" t="s">
        <v>12445</v>
      </c>
      <c r="E2020" s="3" t="s">
        <v>13037</v>
      </c>
      <c r="F2020" s="10" t="str">
        <f aca="false">HYPERLINK("https://www.inaturalist.org/people/lockebeulve","lockebeulve")</f>
        <v>lockebeulve</v>
      </c>
      <c r="G2020" s="9" t="s">
        <v>13</v>
      </c>
      <c r="H2020" s="9" t="s">
        <v>13038</v>
      </c>
    </row>
    <row r="2021" customFormat="false" ht="15.75" hidden="false" customHeight="false" outlineLevel="0" collapsed="false">
      <c r="B2021" s="7" t="n">
        <v>46222</v>
      </c>
      <c r="C2021" s="3" t="s">
        <v>13039</v>
      </c>
      <c r="D2021" s="3" t="s">
        <v>12445</v>
      </c>
      <c r="E2021" s="3" t="s">
        <v>13040</v>
      </c>
      <c r="F2021" s="10" t="str">
        <f aca="false">HYPERLINK("https://www.inaturalist.org/people/odd_tree","odd_tree")</f>
        <v>odd_tree</v>
      </c>
      <c r="G2021" s="9" t="s">
        <v>13</v>
      </c>
      <c r="H2021" s="9" t="s">
        <v>13041</v>
      </c>
    </row>
    <row r="2022" customFormat="false" ht="15.75" hidden="false" customHeight="false" outlineLevel="0" collapsed="false">
      <c r="B2022" s="7" t="n">
        <v>46222</v>
      </c>
      <c r="C2022" s="3" t="s">
        <v>13042</v>
      </c>
      <c r="D2022" s="3" t="s">
        <v>12445</v>
      </c>
      <c r="E2022" s="3" t="s">
        <v>13043</v>
      </c>
      <c r="F2022" s="10" t="str">
        <f aca="false">HYPERLINK("https://www.inaturalist.org/people/ajsherman","ajsherman")</f>
        <v>ajsherman</v>
      </c>
      <c r="G2022" s="9" t="s">
        <v>13</v>
      </c>
      <c r="H2022" s="9" t="s">
        <v>13044</v>
      </c>
    </row>
    <row r="2023" customFormat="false" ht="15.75" hidden="false" customHeight="false" outlineLevel="0" collapsed="false">
      <c r="B2023" s="7" t="n">
        <v>46222</v>
      </c>
      <c r="C2023" s="3" t="s">
        <v>13045</v>
      </c>
      <c r="D2023" s="3" t="s">
        <v>12445</v>
      </c>
      <c r="E2023" s="3" t="s">
        <v>13046</v>
      </c>
      <c r="F2023" s="10" t="str">
        <f aca="false">HYPERLINK("https://www.inaturalist.org/people/lockebeulve","lockebeulve")</f>
        <v>lockebeulve</v>
      </c>
      <c r="G2023" s="9" t="s">
        <v>13</v>
      </c>
      <c r="H2023" s="9" t="s">
        <v>13047</v>
      </c>
    </row>
    <row r="2024" customFormat="false" ht="15.75" hidden="false" customHeight="false" outlineLevel="0" collapsed="false">
      <c r="B2024" s="7" t="n">
        <v>46222</v>
      </c>
      <c r="C2024" s="3" t="s">
        <v>13048</v>
      </c>
      <c r="D2024" s="3" t="s">
        <v>12445</v>
      </c>
      <c r="E2024" s="3" t="s">
        <v>13049</v>
      </c>
      <c r="F2024" s="10" t="str">
        <f aca="false">HYPERLINK("https://www.inaturalist.org/people/panza_rayada","panza_rayada")</f>
        <v>panza_rayada</v>
      </c>
      <c r="G2024" s="9" t="s">
        <v>13</v>
      </c>
      <c r="H2024" s="9" t="s">
        <v>13050</v>
      </c>
    </row>
    <row r="2025" customFormat="false" ht="15.75" hidden="false" customHeight="false" outlineLevel="0" collapsed="false">
      <c r="B2025" s="7" t="n">
        <v>46222</v>
      </c>
      <c r="C2025" s="3" t="s">
        <v>13051</v>
      </c>
      <c r="D2025" s="3" t="s">
        <v>12445</v>
      </c>
      <c r="E2025" s="3" t="s">
        <v>13052</v>
      </c>
      <c r="F2025" s="10" t="str">
        <f aca="false">HYPERLINK("https://www.inaturalist.org/people/oliviamayy8","oliviamayy8")</f>
        <v>oliviamayy8</v>
      </c>
      <c r="G2025" s="9" t="s">
        <v>13</v>
      </c>
      <c r="H2025" s="9" t="s">
        <v>13053</v>
      </c>
    </row>
    <row r="2026" customFormat="false" ht="15.75" hidden="false" customHeight="false" outlineLevel="0" collapsed="false">
      <c r="B2026" s="7" t="n">
        <v>46222</v>
      </c>
      <c r="C2026" s="3" t="s">
        <v>13054</v>
      </c>
      <c r="D2026" s="3" t="s">
        <v>12445</v>
      </c>
      <c r="E2026" s="3" t="s">
        <v>13055</v>
      </c>
      <c r="F2026" s="10" t="str">
        <f aca="false">HYPERLINK("https://www.inaturalist.org/people/lockebeulve","lockebeulve")</f>
        <v>lockebeulve</v>
      </c>
      <c r="G2026" s="9" t="s">
        <v>13</v>
      </c>
      <c r="H2026" s="9" t="s">
        <v>13056</v>
      </c>
    </row>
    <row r="2027" customFormat="false" ht="15.75" hidden="false" customHeight="false" outlineLevel="0" collapsed="false">
      <c r="B2027" s="7" t="n">
        <v>46222</v>
      </c>
      <c r="C2027" s="3" t="s">
        <v>13057</v>
      </c>
      <c r="D2027" s="3" t="s">
        <v>12445</v>
      </c>
      <c r="E2027" s="3" t="s">
        <v>13058</v>
      </c>
      <c r="F2027" s="10" t="str">
        <f aca="false">HYPERLINK("https://www.inaturalist.org/people/lockebeulve","lockebeulve")</f>
        <v>lockebeulve</v>
      </c>
      <c r="G2027" s="9" t="s">
        <v>13</v>
      </c>
      <c r="H2027" s="9" t="s">
        <v>13059</v>
      </c>
    </row>
    <row r="2028" customFormat="false" ht="15.75" hidden="false" customHeight="false" outlineLevel="0" collapsed="false">
      <c r="B2028" s="7" t="n">
        <v>46222</v>
      </c>
      <c r="C2028" s="3" t="s">
        <v>13060</v>
      </c>
      <c r="D2028" s="3" t="s">
        <v>12445</v>
      </c>
      <c r="E2028" s="3" t="s">
        <v>13061</v>
      </c>
      <c r="F2028" s="10" t="str">
        <f aca="false">HYPERLINK("https://www.inaturalist.org/people/codarabbit","codarabbit")</f>
        <v>codarabbit</v>
      </c>
      <c r="G2028" s="9" t="s">
        <v>13</v>
      </c>
      <c r="H2028" s="9" t="s">
        <v>13062</v>
      </c>
    </row>
    <row r="2029" customFormat="false" ht="15.75" hidden="false" customHeight="false" outlineLevel="0" collapsed="false">
      <c r="B2029" s="7" t="n">
        <v>46222</v>
      </c>
      <c r="C2029" s="3" t="s">
        <v>13063</v>
      </c>
      <c r="D2029" s="3" t="s">
        <v>12445</v>
      </c>
      <c r="E2029" s="3" t="s">
        <v>13064</v>
      </c>
      <c r="F2029" s="10" t="str">
        <f aca="false">HYPERLINK("https://www.inaturalist.org/people/pwilson96","pwilson96")</f>
        <v>pwilson96</v>
      </c>
      <c r="G2029" s="9" t="s">
        <v>13</v>
      </c>
      <c r="H2029" s="9" t="s">
        <v>13065</v>
      </c>
    </row>
    <row r="2030" customFormat="false" ht="15.75" hidden="false" customHeight="false" outlineLevel="0" collapsed="false">
      <c r="B2030" s="7" t="n">
        <v>46222</v>
      </c>
      <c r="C2030" s="3" t="s">
        <v>13066</v>
      </c>
      <c r="D2030" s="3" t="s">
        <v>12445</v>
      </c>
      <c r="E2030" s="3" t="s">
        <v>13067</v>
      </c>
      <c r="F2030" s="10" t="str">
        <f aca="false">HYPERLINK("https://www.inaturalist.org/people/lockebeulve","lockebeulve")</f>
        <v>lockebeulve</v>
      </c>
      <c r="G2030" s="9" t="s">
        <v>13</v>
      </c>
      <c r="H2030" s="9" t="s">
        <v>13068</v>
      </c>
    </row>
    <row r="2031" customFormat="false" ht="15.75" hidden="false" customHeight="false" outlineLevel="0" collapsed="false">
      <c r="B2031" s="7" t="n">
        <v>46222</v>
      </c>
      <c r="C2031" s="3" t="s">
        <v>13069</v>
      </c>
      <c r="D2031" s="3" t="s">
        <v>12445</v>
      </c>
      <c r="E2031" s="3" t="s">
        <v>13070</v>
      </c>
      <c r="F2031" s="10" t="str">
        <f aca="false">HYPERLINK("https://www.inaturalist.org/people/hellbenderman","hellbenderman")</f>
        <v>hellbenderman</v>
      </c>
      <c r="G2031" s="9" t="s">
        <v>13</v>
      </c>
      <c r="H2031" s="9" t="s">
        <v>13071</v>
      </c>
    </row>
    <row r="2032" customFormat="false" ht="15.75" hidden="false" customHeight="false" outlineLevel="0" collapsed="false">
      <c r="B2032" s="7" t="n">
        <v>46222</v>
      </c>
      <c r="C2032" s="3" t="s">
        <v>13072</v>
      </c>
      <c r="D2032" s="3" t="s">
        <v>12445</v>
      </c>
      <c r="E2032" s="3" t="s">
        <v>13073</v>
      </c>
      <c r="F2032" s="10" t="str">
        <f aca="false">HYPERLINK("https://www.inaturalist.org/people/hellbenderman","hellbenderman")</f>
        <v>hellbenderman</v>
      </c>
      <c r="G2032" s="9" t="s">
        <v>13</v>
      </c>
      <c r="H2032" s="9" t="s">
        <v>13074</v>
      </c>
    </row>
    <row r="2033" customFormat="false" ht="15.75" hidden="false" customHeight="false" outlineLevel="0" collapsed="false">
      <c r="B2033" s="7" t="n">
        <v>46222</v>
      </c>
      <c r="C2033" s="3" t="s">
        <v>13075</v>
      </c>
      <c r="D2033" s="3" t="s">
        <v>12445</v>
      </c>
      <c r="E2033" s="3" t="s">
        <v>13076</v>
      </c>
      <c r="F2033" s="10" t="str">
        <f aca="false">HYPERLINK("https://www.inaturalist.org/people/lockebeulve","lockebeulve")</f>
        <v>lockebeulve</v>
      </c>
      <c r="G2033" s="9" t="s">
        <v>13</v>
      </c>
      <c r="H2033" s="9" t="s">
        <v>13077</v>
      </c>
    </row>
    <row r="2034" customFormat="false" ht="15.75" hidden="false" customHeight="false" outlineLevel="0" collapsed="false">
      <c r="B2034" s="7" t="n">
        <v>46222</v>
      </c>
      <c r="C2034" s="3" t="s">
        <v>13078</v>
      </c>
      <c r="D2034" s="3" t="s">
        <v>12445</v>
      </c>
      <c r="E2034" s="3" t="s">
        <v>13079</v>
      </c>
      <c r="F2034" s="10" t="str">
        <f aca="false">HYPERLINK("https://www.inaturalist.org/people/snattinger","snattinger")</f>
        <v>snattinger</v>
      </c>
      <c r="G2034" s="9" t="s">
        <v>13</v>
      </c>
      <c r="H2034" s="9" t="s">
        <v>13080</v>
      </c>
    </row>
    <row r="2035" customFormat="false" ht="15.75" hidden="false" customHeight="false" outlineLevel="0" collapsed="false">
      <c r="B2035" s="7" t="n">
        <v>46222</v>
      </c>
      <c r="C2035" s="3" t="s">
        <v>13081</v>
      </c>
      <c r="D2035" s="3" t="s">
        <v>12445</v>
      </c>
      <c r="E2035" s="3" t="s">
        <v>13082</v>
      </c>
      <c r="F2035" s="10" t="str">
        <f aca="false">HYPERLINK("https://www.inaturalist.org/people/janicefarral","janicefarral")</f>
        <v>janicefarral</v>
      </c>
      <c r="G2035" s="9" t="s">
        <v>13</v>
      </c>
      <c r="H2035" s="9" t="s">
        <v>13083</v>
      </c>
    </row>
    <row r="2036" customFormat="false" ht="15.75" hidden="false" customHeight="false" outlineLevel="0" collapsed="false">
      <c r="B2036" s="7" t="n">
        <v>46222</v>
      </c>
      <c r="C2036" s="3" t="s">
        <v>13084</v>
      </c>
      <c r="D2036" s="3" t="s">
        <v>12445</v>
      </c>
      <c r="E2036" s="3" t="s">
        <v>13085</v>
      </c>
      <c r="F2036" s="10" t="str">
        <f aca="false">HYPERLINK("https://www.inaturalist.org/people/eeriefrog","eeriefrog")</f>
        <v>eeriefrog</v>
      </c>
      <c r="G2036" s="9" t="s">
        <v>13</v>
      </c>
      <c r="H2036" s="9" t="s">
        <v>13086</v>
      </c>
    </row>
    <row r="2037" customFormat="false" ht="15.75" hidden="false" customHeight="false" outlineLevel="0" collapsed="false">
      <c r="B2037" s="7" t="n">
        <v>46222</v>
      </c>
      <c r="C2037" s="3" t="s">
        <v>13087</v>
      </c>
      <c r="D2037" s="3" t="s">
        <v>12445</v>
      </c>
      <c r="E2037" s="3" t="s">
        <v>13088</v>
      </c>
      <c r="F2037" s="10" t="str">
        <f aca="false">HYPERLINK("https://www.inaturalist.org/people/boingohamster","boingohamster")</f>
        <v>boingohamster</v>
      </c>
      <c r="G2037" s="9" t="s">
        <v>13</v>
      </c>
      <c r="H2037" s="9" t="s">
        <v>13089</v>
      </c>
    </row>
    <row r="2038" customFormat="false" ht="15.75" hidden="false" customHeight="false" outlineLevel="0" collapsed="false">
      <c r="B2038" s="7" t="n">
        <v>46222</v>
      </c>
      <c r="C2038" s="3" t="s">
        <v>13090</v>
      </c>
      <c r="D2038" s="3" t="s">
        <v>12445</v>
      </c>
      <c r="E2038" s="3" t="s">
        <v>13091</v>
      </c>
      <c r="F2038" s="10" t="str">
        <f aca="false">HYPERLINK("https://www.inaturalist.org/people/tyler_nelz","tyler_nelz")</f>
        <v>tyler_nelz</v>
      </c>
      <c r="G2038" s="9" t="s">
        <v>13</v>
      </c>
      <c r="H2038" s="9" t="s">
        <v>13092</v>
      </c>
    </row>
    <row r="2039" customFormat="false" ht="15.75" hidden="false" customHeight="false" outlineLevel="0" collapsed="false">
      <c r="B2039" s="7" t="n">
        <v>46222</v>
      </c>
      <c r="C2039" s="3" t="s">
        <v>13093</v>
      </c>
      <c r="D2039" s="3" t="s">
        <v>12445</v>
      </c>
      <c r="E2039" s="3" t="s">
        <v>13094</v>
      </c>
      <c r="F2039" s="10" t="str">
        <f aca="false">HYPERLINK("https://www.inaturalist.org/people/pgkaestner","pgkaestner")</f>
        <v>pgkaestner</v>
      </c>
      <c r="G2039" s="9" t="s">
        <v>13</v>
      </c>
      <c r="H2039" s="9" t="s">
        <v>13095</v>
      </c>
    </row>
    <row r="2040" customFormat="false" ht="15.75" hidden="false" customHeight="false" outlineLevel="0" collapsed="false">
      <c r="B2040" s="7" t="n">
        <v>46222</v>
      </c>
      <c r="C2040" s="3" t="s">
        <v>13096</v>
      </c>
      <c r="D2040" s="3" t="s">
        <v>12445</v>
      </c>
      <c r="E2040" s="3" t="s">
        <v>13097</v>
      </c>
      <c r="F2040" s="10" t="str">
        <f aca="false">HYPERLINK("https://www.inaturalist.org/people/eliezer","eliezer")</f>
        <v>eliezer</v>
      </c>
      <c r="G2040" s="9" t="s">
        <v>13</v>
      </c>
      <c r="H2040" s="9" t="s">
        <v>13098</v>
      </c>
    </row>
    <row r="2041" customFormat="false" ht="15.75" hidden="false" customHeight="false" outlineLevel="0" collapsed="false">
      <c r="B2041" s="7" t="n">
        <v>46222</v>
      </c>
      <c r="C2041" s="3" t="s">
        <v>13099</v>
      </c>
      <c r="D2041" s="3" t="s">
        <v>12445</v>
      </c>
      <c r="E2041" s="3" t="s">
        <v>13100</v>
      </c>
      <c r="F2041" s="10" t="str">
        <f aca="false">HYPERLINK("https://www.inaturalist.org/people/ben-phillips","ben-phillips")</f>
        <v>ben-phillips</v>
      </c>
      <c r="G2041" s="9" t="s">
        <v>13</v>
      </c>
      <c r="H2041" s="9" t="s">
        <v>13101</v>
      </c>
    </row>
    <row r="2042" customFormat="false" ht="15.75" hidden="false" customHeight="false" outlineLevel="0" collapsed="false">
      <c r="B2042" s="7" t="n">
        <v>46222</v>
      </c>
      <c r="C2042" s="3" t="s">
        <v>13102</v>
      </c>
      <c r="D2042" s="3" t="s">
        <v>12445</v>
      </c>
      <c r="E2042" s="3" t="s">
        <v>13103</v>
      </c>
      <c r="F2042" s="10" t="str">
        <f aca="false">HYPERLINK("https://www.inaturalist.org/people/eeriefrog","eeriefrog")</f>
        <v>eeriefrog</v>
      </c>
      <c r="G2042" s="9" t="s">
        <v>13</v>
      </c>
      <c r="H2042" s="9" t="s">
        <v>13104</v>
      </c>
    </row>
    <row r="2043" customFormat="false" ht="15.75" hidden="false" customHeight="false" outlineLevel="0" collapsed="false">
      <c r="B2043" s="7" t="n">
        <v>46222</v>
      </c>
      <c r="C2043" s="3" t="s">
        <v>13105</v>
      </c>
      <c r="D2043" s="3" t="s">
        <v>12445</v>
      </c>
      <c r="E2043" s="3" t="s">
        <v>13106</v>
      </c>
      <c r="F2043" s="10" t="str">
        <f aca="false">HYPERLINK("https://www.inaturalist.org/people/albaker39","albaker39")</f>
        <v>albaker39</v>
      </c>
      <c r="G2043" s="9" t="s">
        <v>13</v>
      </c>
      <c r="H2043" s="9" t="s">
        <v>13107</v>
      </c>
    </row>
    <row r="2044" customFormat="false" ht="15.75" hidden="false" customHeight="false" outlineLevel="0" collapsed="false">
      <c r="B2044" s="7" t="n">
        <v>46222</v>
      </c>
      <c r="C2044" s="3" t="s">
        <v>13108</v>
      </c>
      <c r="D2044" s="3" t="s">
        <v>12445</v>
      </c>
      <c r="E2044" s="3" t="s">
        <v>13109</v>
      </c>
      <c r="F2044" s="10" t="str">
        <f aca="false">HYPERLINK("https://www.inaturalist.org/people/janicefarral","janicefarral")</f>
        <v>janicefarral</v>
      </c>
      <c r="G2044" s="9" t="s">
        <v>13</v>
      </c>
      <c r="H2044" s="9" t="s">
        <v>13110</v>
      </c>
    </row>
    <row r="2045" customFormat="false" ht="15.75" hidden="false" customHeight="false" outlineLevel="0" collapsed="false">
      <c r="B2045" s="7" t="n">
        <v>46222</v>
      </c>
      <c r="C2045" s="3" t="s">
        <v>13111</v>
      </c>
      <c r="D2045" s="3" t="s">
        <v>12445</v>
      </c>
      <c r="E2045" s="3" t="s">
        <v>13112</v>
      </c>
      <c r="F2045" s="10" t="str">
        <f aca="false">HYPERLINK("https://www.inaturalist.org/people/lily226","lily226")</f>
        <v>lily226</v>
      </c>
      <c r="G2045" s="9" t="s">
        <v>13</v>
      </c>
      <c r="H2045" s="9" t="s">
        <v>13113</v>
      </c>
    </row>
    <row r="2046" customFormat="false" ht="15.75" hidden="false" customHeight="false" outlineLevel="0" collapsed="false">
      <c r="B2046" s="7" t="n">
        <v>46222</v>
      </c>
      <c r="C2046" s="3" t="s">
        <v>13114</v>
      </c>
      <c r="D2046" s="3" t="s">
        <v>12445</v>
      </c>
      <c r="E2046" s="3" t="s">
        <v>13115</v>
      </c>
      <c r="F2046" s="10" t="str">
        <f aca="false">HYPERLINK("https://www.inaturalist.org/people/luzluz","luzluz")</f>
        <v>luzluz</v>
      </c>
      <c r="G2046" s="9" t="s">
        <v>13</v>
      </c>
      <c r="H2046" s="9" t="s">
        <v>13116</v>
      </c>
    </row>
    <row r="2047" customFormat="false" ht="15.75" hidden="false" customHeight="false" outlineLevel="0" collapsed="false">
      <c r="B2047" s="7" t="n">
        <v>46222</v>
      </c>
      <c r="C2047" s="3" t="s">
        <v>13117</v>
      </c>
      <c r="D2047" s="3" t="s">
        <v>12445</v>
      </c>
      <c r="E2047" s="3" t="s">
        <v>13118</v>
      </c>
      <c r="F2047" s="10" t="str">
        <f aca="false">HYPERLINK("https://www.inaturalist.org/people/janicefarral","janicefarral")</f>
        <v>janicefarral</v>
      </c>
      <c r="G2047" s="9" t="s">
        <v>13</v>
      </c>
      <c r="H2047" s="9" t="s">
        <v>13119</v>
      </c>
    </row>
    <row r="2048" customFormat="false" ht="15.75" hidden="false" customHeight="false" outlineLevel="0" collapsed="false">
      <c r="B2048" s="7" t="n">
        <v>46222</v>
      </c>
      <c r="C2048" s="3" t="s">
        <v>13120</v>
      </c>
      <c r="D2048" s="3" t="s">
        <v>12445</v>
      </c>
      <c r="E2048" s="3" t="s">
        <v>13121</v>
      </c>
      <c r="F2048" s="10" t="str">
        <f aca="false">HYPERLINK("https://www.inaturalist.org/people/bosquenublado","bosquenublado")</f>
        <v>bosquenublado</v>
      </c>
      <c r="G2048" s="9" t="s">
        <v>13</v>
      </c>
      <c r="H2048" s="9" t="s">
        <v>13122</v>
      </c>
    </row>
    <row r="2049" customFormat="false" ht="15.75" hidden="false" customHeight="false" outlineLevel="0" collapsed="false">
      <c r="B2049" s="7" t="n">
        <v>46222</v>
      </c>
      <c r="C2049" s="3" t="s">
        <v>13123</v>
      </c>
      <c r="D2049" s="3" t="s">
        <v>12445</v>
      </c>
      <c r="E2049" s="3" t="s">
        <v>13124</v>
      </c>
      <c r="F2049" s="10" t="str">
        <f aca="false">HYPERLINK("https://www.inaturalist.org/people/torijanese15","torijanese15")</f>
        <v>torijanese15</v>
      </c>
      <c r="G2049" s="9" t="s">
        <v>13</v>
      </c>
      <c r="H2049" s="9" t="s">
        <v>13125</v>
      </c>
    </row>
    <row r="2050" customFormat="false" ht="15.75" hidden="false" customHeight="false" outlineLevel="0" collapsed="false">
      <c r="B2050" s="7" t="n">
        <v>46222</v>
      </c>
      <c r="C2050" s="3" t="s">
        <v>13126</v>
      </c>
      <c r="D2050" s="3" t="s">
        <v>12445</v>
      </c>
      <c r="E2050" s="3" t="s">
        <v>13127</v>
      </c>
      <c r="F2050" s="10" t="str">
        <f aca="false">HYPERLINK("https://www.inaturalist.org/people/takeahike","takeahike")</f>
        <v>takeahike</v>
      </c>
      <c r="G2050" s="9" t="s">
        <v>13</v>
      </c>
      <c r="H2050" s="9" t="s">
        <v>13128</v>
      </c>
    </row>
    <row r="2051" customFormat="false" ht="15.75" hidden="false" customHeight="false" outlineLevel="0" collapsed="false">
      <c r="B2051" s="7" t="n">
        <v>46222</v>
      </c>
      <c r="C2051" s="3" t="s">
        <v>13129</v>
      </c>
      <c r="D2051" s="3" t="s">
        <v>12445</v>
      </c>
      <c r="E2051" s="3" t="s">
        <v>13130</v>
      </c>
      <c r="F2051" s="10" t="str">
        <f aca="false">HYPERLINK("https://www.inaturalist.org/people/albaker39","albaker39")</f>
        <v>albaker39</v>
      </c>
      <c r="G2051" s="9" t="s">
        <v>13</v>
      </c>
      <c r="H2051" s="9" t="s">
        <v>13131</v>
      </c>
    </row>
    <row r="2052" customFormat="false" ht="15.75" hidden="false" customHeight="false" outlineLevel="0" collapsed="false">
      <c r="B2052" s="7" t="n">
        <v>46222</v>
      </c>
      <c r="C2052" s="3" t="s">
        <v>13132</v>
      </c>
      <c r="D2052" s="3" t="s">
        <v>12445</v>
      </c>
      <c r="E2052" s="3" t="s">
        <v>13133</v>
      </c>
      <c r="F2052" s="10" t="str">
        <f aca="false">HYPERLINK("https://www.inaturalist.org/people/big-simonchan","big-simonchan")</f>
        <v>big-simonchan</v>
      </c>
      <c r="G2052" s="9" t="s">
        <v>13</v>
      </c>
      <c r="H2052" s="9" t="s">
        <v>13134</v>
      </c>
    </row>
    <row r="2053" customFormat="false" ht="15.75" hidden="false" customHeight="false" outlineLevel="0" collapsed="false">
      <c r="B2053" s="7" t="n">
        <v>46222</v>
      </c>
      <c r="C2053" s="3" t="s">
        <v>13135</v>
      </c>
      <c r="D2053" s="3" t="s">
        <v>12445</v>
      </c>
      <c r="E2053" s="3" t="s">
        <v>13136</v>
      </c>
      <c r="F2053" s="10" t="str">
        <f aca="false">HYPERLINK("https://www.inaturalist.org/people/mia_levy","mia_levy")</f>
        <v>mia_levy</v>
      </c>
      <c r="G2053" s="9" t="s">
        <v>13</v>
      </c>
      <c r="H2053" s="9" t="s">
        <v>13137</v>
      </c>
    </row>
    <row r="2054" customFormat="false" ht="15.75" hidden="false" customHeight="false" outlineLevel="0" collapsed="false">
      <c r="B2054" s="7" t="n">
        <v>46222</v>
      </c>
      <c r="C2054" s="3" t="s">
        <v>13138</v>
      </c>
      <c r="D2054" s="3" t="s">
        <v>12445</v>
      </c>
      <c r="E2054" s="3" t="s">
        <v>13139</v>
      </c>
      <c r="F2054" s="10" t="str">
        <f aca="false">HYPERLINK("https://www.inaturalist.org/people/erica83141","erica83141")</f>
        <v>erica83141</v>
      </c>
      <c r="G2054" s="9" t="s">
        <v>13</v>
      </c>
      <c r="H2054" s="9" t="s">
        <v>13140</v>
      </c>
    </row>
    <row r="2055" customFormat="false" ht="15.75" hidden="false" customHeight="false" outlineLevel="0" collapsed="false">
      <c r="B2055" s="7" t="n">
        <v>46222</v>
      </c>
      <c r="C2055" s="3" t="s">
        <v>13141</v>
      </c>
      <c r="D2055" s="3" t="s">
        <v>12445</v>
      </c>
      <c r="E2055" s="3" t="s">
        <v>13142</v>
      </c>
      <c r="F2055" s="10" t="str">
        <f aca="false">HYPERLINK("https://www.inaturalist.org/people/oliviamayy8","oliviamayy8")</f>
        <v>oliviamayy8</v>
      </c>
      <c r="G2055" s="9" t="s">
        <v>13</v>
      </c>
      <c r="H2055" s="9" t="s">
        <v>13143</v>
      </c>
    </row>
    <row r="2056" customFormat="false" ht="15.75" hidden="false" customHeight="false" outlineLevel="0" collapsed="false">
      <c r="B2056" s="7" t="n">
        <v>46222</v>
      </c>
      <c r="C2056" s="3" t="s">
        <v>13144</v>
      </c>
      <c r="D2056" s="3" t="s">
        <v>12445</v>
      </c>
      <c r="E2056" s="3" t="s">
        <v>13145</v>
      </c>
      <c r="F2056" s="10" t="str">
        <f aca="false">HYPERLINK("https://www.inaturalist.org/people/giffbeaton","giffbeaton")</f>
        <v>giffbeaton</v>
      </c>
      <c r="G2056" s="9" t="s">
        <v>13</v>
      </c>
      <c r="H2056" s="9" t="s">
        <v>13146</v>
      </c>
    </row>
    <row r="2057" customFormat="false" ht="15.75" hidden="false" customHeight="false" outlineLevel="0" collapsed="false">
      <c r="B2057" s="7" t="n">
        <v>46222</v>
      </c>
      <c r="C2057" s="3" t="s">
        <v>13147</v>
      </c>
      <c r="D2057" s="3" t="s">
        <v>12445</v>
      </c>
      <c r="E2057" s="3" t="s">
        <v>13148</v>
      </c>
      <c r="F2057" s="10" t="str">
        <f aca="false">HYPERLINK("https://www.inaturalist.org/people/albaker39","albaker39")</f>
        <v>albaker39</v>
      </c>
      <c r="G2057" s="9" t="s">
        <v>13</v>
      </c>
      <c r="H2057" s="9" t="s">
        <v>13149</v>
      </c>
    </row>
    <row r="2058" customFormat="false" ht="15.75" hidden="false" customHeight="false" outlineLevel="0" collapsed="false">
      <c r="B2058" s="7" t="n">
        <v>46222</v>
      </c>
      <c r="C2058" s="3" t="s">
        <v>13150</v>
      </c>
      <c r="D2058" s="3" t="s">
        <v>12445</v>
      </c>
      <c r="E2058" s="3" t="s">
        <v>13151</v>
      </c>
      <c r="F2058" s="10" t="str">
        <f aca="false">HYPERLINK("https://www.inaturalist.org/people/giffbeaton","giffbeaton")</f>
        <v>giffbeaton</v>
      </c>
      <c r="G2058" s="9" t="s">
        <v>13</v>
      </c>
      <c r="H2058" s="9" t="s">
        <v>13152</v>
      </c>
    </row>
    <row r="2059" customFormat="false" ht="15.75" hidden="false" customHeight="false" outlineLevel="0" collapsed="false">
      <c r="B2059" s="7" t="n">
        <v>46222</v>
      </c>
      <c r="C2059" s="3" t="s">
        <v>13153</v>
      </c>
      <c r="D2059" s="3" t="s">
        <v>12445</v>
      </c>
      <c r="E2059" s="3" t="s">
        <v>13154</v>
      </c>
      <c r="F2059" s="10" t="str">
        <f aca="false">HYPERLINK("https://www.inaturalist.org/people/big-simonchan","big-simonchan")</f>
        <v>big-simonchan</v>
      </c>
      <c r="G2059" s="9" t="s">
        <v>13</v>
      </c>
      <c r="H2059" s="9" t="s">
        <v>13155</v>
      </c>
    </row>
    <row r="2060" customFormat="false" ht="15.75" hidden="false" customHeight="false" outlineLevel="0" collapsed="false">
      <c r="B2060" s="7" t="n">
        <v>46222</v>
      </c>
      <c r="C2060" s="3" t="s">
        <v>13156</v>
      </c>
      <c r="D2060" s="3" t="s">
        <v>12445</v>
      </c>
      <c r="E2060" s="3" t="s">
        <v>13157</v>
      </c>
      <c r="F2060" s="10" t="str">
        <f aca="false">HYPERLINK("https://www.inaturalist.org/people/giffbeaton","giffbeaton")</f>
        <v>giffbeaton</v>
      </c>
      <c r="G2060" s="9" t="s">
        <v>13</v>
      </c>
      <c r="H2060" s="9" t="s">
        <v>13158</v>
      </c>
    </row>
    <row r="2061" customFormat="false" ht="15.75" hidden="false" customHeight="false" outlineLevel="0" collapsed="false">
      <c r="B2061" s="7" t="n">
        <v>46222</v>
      </c>
      <c r="C2061" s="3" t="s">
        <v>13159</v>
      </c>
      <c r="D2061" s="3" t="s">
        <v>12445</v>
      </c>
      <c r="E2061" s="3" t="s">
        <v>13160</v>
      </c>
      <c r="F2061" s="10" t="str">
        <f aca="false">HYPERLINK("https://www.inaturalist.org/people/giffbeaton","giffbeaton")</f>
        <v>giffbeaton</v>
      </c>
      <c r="G2061" s="9" t="s">
        <v>13</v>
      </c>
      <c r="H2061" s="9" t="s">
        <v>13161</v>
      </c>
    </row>
    <row r="2062" customFormat="false" ht="15.75" hidden="false" customHeight="false" outlineLevel="0" collapsed="false">
      <c r="B2062" s="7" t="n">
        <v>46222</v>
      </c>
      <c r="C2062" s="3" t="s">
        <v>13162</v>
      </c>
      <c r="D2062" s="3" t="s">
        <v>12445</v>
      </c>
      <c r="E2062" s="3" t="s">
        <v>13163</v>
      </c>
      <c r="F2062" s="10" t="str">
        <f aca="false">HYPERLINK("https://www.inaturalist.org/people/giffbeaton","giffbeaton")</f>
        <v>giffbeaton</v>
      </c>
      <c r="G2062" s="9" t="s">
        <v>13</v>
      </c>
      <c r="H2062" s="9" t="s">
        <v>13164</v>
      </c>
    </row>
    <row r="2063" customFormat="false" ht="15.75" hidden="false" customHeight="false" outlineLevel="0" collapsed="false">
      <c r="B2063" s="7" t="n">
        <v>46222</v>
      </c>
      <c r="C2063" s="3" t="s">
        <v>13165</v>
      </c>
      <c r="D2063" s="3" t="s">
        <v>12445</v>
      </c>
      <c r="E2063" s="3" t="s">
        <v>13166</v>
      </c>
      <c r="F2063" s="10" t="str">
        <f aca="false">HYPERLINK("https://www.inaturalist.org/people/a_pearce07","a_pearce07")</f>
        <v>a_pearce07</v>
      </c>
      <c r="G2063" s="9" t="s">
        <v>13</v>
      </c>
      <c r="H2063" s="9" t="s">
        <v>13167</v>
      </c>
    </row>
    <row r="2064" customFormat="false" ht="15.75" hidden="false" customHeight="false" outlineLevel="0" collapsed="false">
      <c r="B2064" s="7" t="n">
        <v>46222</v>
      </c>
      <c r="C2064" s="3" t="s">
        <v>13168</v>
      </c>
      <c r="D2064" s="3" t="s">
        <v>12445</v>
      </c>
      <c r="E2064" s="3" t="s">
        <v>13169</v>
      </c>
      <c r="F2064" s="10" t="str">
        <f aca="false">HYPERLINK("https://www.inaturalist.org/people/laureldoc","laureldoc")</f>
        <v>laureldoc</v>
      </c>
      <c r="G2064" s="9" t="s">
        <v>13</v>
      </c>
      <c r="H2064" s="9" t="s">
        <v>13170</v>
      </c>
    </row>
    <row r="2065" customFormat="false" ht="15.75" hidden="false" customHeight="false" outlineLevel="0" collapsed="false">
      <c r="B2065" s="7" t="n">
        <v>46222</v>
      </c>
      <c r="C2065" s="3" t="s">
        <v>13171</v>
      </c>
      <c r="D2065" s="3" t="s">
        <v>12445</v>
      </c>
      <c r="E2065" s="3" t="s">
        <v>13172</v>
      </c>
      <c r="F2065" s="10" t="str">
        <f aca="false">HYPERLINK("https://www.inaturalist.org/people/big-simonchan","big-simonchan")</f>
        <v>big-simonchan</v>
      </c>
      <c r="G2065" s="9" t="s">
        <v>13</v>
      </c>
      <c r="H2065" s="9" t="s">
        <v>13173</v>
      </c>
    </row>
    <row r="2066" customFormat="false" ht="15.75" hidden="false" customHeight="false" outlineLevel="0" collapsed="false">
      <c r="B2066" s="7" t="n">
        <v>46222</v>
      </c>
      <c r="C2066" s="3" t="s">
        <v>13174</v>
      </c>
      <c r="D2066" s="3" t="s">
        <v>12445</v>
      </c>
      <c r="E2066" s="3" t="s">
        <v>13175</v>
      </c>
      <c r="F2066" s="10" t="str">
        <f aca="false">HYPERLINK("https://www.inaturalist.org/people/ivan-theaged","ivan-theaged")</f>
        <v>ivan-theaged</v>
      </c>
      <c r="G2066" s="9" t="s">
        <v>13</v>
      </c>
      <c r="H2066" s="9" t="s">
        <v>13176</v>
      </c>
    </row>
    <row r="2067" customFormat="false" ht="15.75" hidden="false" customHeight="false" outlineLevel="0" collapsed="false">
      <c r="B2067" s="7" t="n">
        <v>46222</v>
      </c>
      <c r="C2067" s="3" t="s">
        <v>13177</v>
      </c>
      <c r="D2067" s="3" t="s">
        <v>12445</v>
      </c>
      <c r="E2067" s="3" t="s">
        <v>13178</v>
      </c>
      <c r="F2067" s="10" t="str">
        <f aca="false">HYPERLINK("https://www.inaturalist.org/people/holystump","holystump")</f>
        <v>holystump</v>
      </c>
      <c r="G2067" s="9" t="s">
        <v>13</v>
      </c>
      <c r="H2067" s="9" t="s">
        <v>13179</v>
      </c>
    </row>
    <row r="2068" customFormat="false" ht="15.75" hidden="false" customHeight="false" outlineLevel="0" collapsed="false">
      <c r="B2068" s="7" t="n">
        <v>46222</v>
      </c>
      <c r="C2068" s="3" t="s">
        <v>13180</v>
      </c>
      <c r="D2068" s="3" t="s">
        <v>12445</v>
      </c>
      <c r="E2068" s="3" t="s">
        <v>13181</v>
      </c>
      <c r="F2068" s="10" t="str">
        <f aca="false">HYPERLINK("https://www.inaturalist.org/people/eliezer","eliezer")</f>
        <v>eliezer</v>
      </c>
      <c r="G2068" s="9" t="s">
        <v>13</v>
      </c>
      <c r="H2068" s="9" t="s">
        <v>13182</v>
      </c>
    </row>
    <row r="2069" customFormat="false" ht="15.75" hidden="false" customHeight="false" outlineLevel="0" collapsed="false">
      <c r="B2069" s="7" t="n">
        <v>46222</v>
      </c>
      <c r="C2069" s="3" t="s">
        <v>13183</v>
      </c>
      <c r="D2069" s="3" t="s">
        <v>12445</v>
      </c>
      <c r="E2069" s="3" t="s">
        <v>13184</v>
      </c>
      <c r="F2069" s="10" t="str">
        <f aca="false">HYPERLINK("https://www.inaturalist.org/people/albaker39","albaker39")</f>
        <v>albaker39</v>
      </c>
      <c r="G2069" s="9" t="s">
        <v>13</v>
      </c>
      <c r="H2069" s="9" t="s">
        <v>13185</v>
      </c>
    </row>
    <row r="2070" customFormat="false" ht="15.75" hidden="false" customHeight="false" outlineLevel="0" collapsed="false">
      <c r="B2070" s="7" t="n">
        <v>46222</v>
      </c>
      <c r="C2070" s="3" t="s">
        <v>13186</v>
      </c>
      <c r="D2070" s="3" t="s">
        <v>12445</v>
      </c>
      <c r="E2070" s="3" t="s">
        <v>13187</v>
      </c>
      <c r="F2070" s="10" t="str">
        <f aca="false">HYPERLINK("https://www.inaturalist.org/people/matis418","matis418")</f>
        <v>matis418</v>
      </c>
      <c r="G2070" s="9" t="s">
        <v>13</v>
      </c>
      <c r="H2070" s="9" t="s">
        <v>13188</v>
      </c>
    </row>
    <row r="2071" customFormat="false" ht="15.75" hidden="false" customHeight="false" outlineLevel="0" collapsed="false">
      <c r="B2071" s="7" t="n">
        <v>46222</v>
      </c>
      <c r="C2071" s="3" t="s">
        <v>13189</v>
      </c>
      <c r="D2071" s="3" t="s">
        <v>12445</v>
      </c>
      <c r="E2071" s="3" t="s">
        <v>13190</v>
      </c>
      <c r="F2071" s="10" t="str">
        <f aca="false">HYPERLINK("https://www.inaturalist.org/people/ricknirschl","ricknirschl")</f>
        <v>ricknirschl</v>
      </c>
      <c r="G2071" s="9" t="s">
        <v>13</v>
      </c>
      <c r="H2071" s="9" t="s">
        <v>13191</v>
      </c>
    </row>
    <row r="2072" customFormat="false" ht="15.75" hidden="false" customHeight="false" outlineLevel="0" collapsed="false">
      <c r="B2072" s="7" t="n">
        <v>46222</v>
      </c>
      <c r="C2072" s="3" t="s">
        <v>13192</v>
      </c>
      <c r="D2072" s="3" t="s">
        <v>12445</v>
      </c>
      <c r="E2072" s="3" t="s">
        <v>13193</v>
      </c>
      <c r="F2072" s="10" t="str">
        <f aca="false">HYPERLINK("https://www.inaturalist.org/people/thomasrc","thomasrc")</f>
        <v>thomasrc</v>
      </c>
      <c r="G2072" s="9" t="s">
        <v>13</v>
      </c>
      <c r="H2072" s="9" t="s">
        <v>13194</v>
      </c>
    </row>
    <row r="2073" customFormat="false" ht="15.75" hidden="false" customHeight="false" outlineLevel="0" collapsed="false">
      <c r="B2073" s="7" t="n">
        <v>46222</v>
      </c>
      <c r="C2073" s="3" t="s">
        <v>13195</v>
      </c>
      <c r="D2073" s="3" t="s">
        <v>12445</v>
      </c>
      <c r="E2073" s="3" t="s">
        <v>13196</v>
      </c>
      <c r="F2073" s="10" t="str">
        <f aca="false">HYPERLINK("https://www.inaturalist.org/people/j-j","j-j")</f>
        <v>j-j</v>
      </c>
      <c r="G2073" s="9" t="s">
        <v>13</v>
      </c>
      <c r="H2073" s="9" t="s">
        <v>13197</v>
      </c>
    </row>
    <row r="2074" customFormat="false" ht="15.75" hidden="false" customHeight="false" outlineLevel="0" collapsed="false">
      <c r="B2074" s="7" t="n">
        <v>46222</v>
      </c>
      <c r="C2074" s="3" t="s">
        <v>13198</v>
      </c>
      <c r="D2074" s="3" t="s">
        <v>12445</v>
      </c>
      <c r="E2074" s="3" t="s">
        <v>13199</v>
      </c>
      <c r="F2074" s="10" t="str">
        <f aca="false">HYPERLINK("https://www.inaturalist.org/people/torijanese15","torijanese15")</f>
        <v>torijanese15</v>
      </c>
      <c r="G2074" s="9" t="s">
        <v>13</v>
      </c>
      <c r="H2074" s="9" t="s">
        <v>13200</v>
      </c>
    </row>
    <row r="2075" customFormat="false" ht="15.75" hidden="false" customHeight="false" outlineLevel="0" collapsed="false">
      <c r="B2075" s="7" t="n">
        <v>46222</v>
      </c>
      <c r="C2075" s="3" t="s">
        <v>13201</v>
      </c>
      <c r="D2075" s="3" t="s">
        <v>12445</v>
      </c>
      <c r="E2075" s="3" t="s">
        <v>13202</v>
      </c>
      <c r="F2075" s="10" t="str">
        <f aca="false">HYPERLINK("https://www.inaturalist.org/people/eliezer","eliezer")</f>
        <v>eliezer</v>
      </c>
      <c r="G2075" s="9" t="s">
        <v>13</v>
      </c>
      <c r="H2075" s="9" t="s">
        <v>13203</v>
      </c>
    </row>
    <row r="2076" customFormat="false" ht="15.75" hidden="false" customHeight="false" outlineLevel="0" collapsed="false">
      <c r="B2076" s="7" t="n">
        <v>46222</v>
      </c>
      <c r="C2076" s="3" t="s">
        <v>13204</v>
      </c>
      <c r="D2076" s="3" t="s">
        <v>12445</v>
      </c>
      <c r="E2076" s="3" t="s">
        <v>13205</v>
      </c>
      <c r="F2076" s="10" t="str">
        <f aca="false">HYPERLINK("https://www.inaturalist.org/people/wei_xz","wei_xz")</f>
        <v>wei_xz</v>
      </c>
      <c r="G2076" s="9" t="s">
        <v>13</v>
      </c>
      <c r="H2076" s="9" t="s">
        <v>13206</v>
      </c>
    </row>
    <row r="2077" customFormat="false" ht="15.75" hidden="false" customHeight="false" outlineLevel="0" collapsed="false">
      <c r="B2077" s="7" t="n">
        <v>46222</v>
      </c>
      <c r="C2077" s="3" t="s">
        <v>13207</v>
      </c>
      <c r="D2077" s="3" t="s">
        <v>12445</v>
      </c>
      <c r="E2077" s="3" t="s">
        <v>13208</v>
      </c>
      <c r="F2077" s="10" t="str">
        <f aca="false">HYPERLINK("https://www.inaturalist.org/people/wei_xz","wei_xz")</f>
        <v>wei_xz</v>
      </c>
      <c r="G2077" s="9" t="s">
        <v>13</v>
      </c>
      <c r="H2077" s="9" t="s">
        <v>13209</v>
      </c>
    </row>
    <row r="2078" customFormat="false" ht="15.75" hidden="false" customHeight="false" outlineLevel="0" collapsed="false">
      <c r="B2078" s="7" t="n">
        <v>46222</v>
      </c>
      <c r="C2078" s="3" t="s">
        <v>13210</v>
      </c>
      <c r="D2078" s="3" t="s">
        <v>12445</v>
      </c>
      <c r="E2078" s="3" t="s">
        <v>13211</v>
      </c>
      <c r="F2078" s="10" t="str">
        <f aca="false">HYPERLINK("https://www.inaturalist.org/people/bryce76860","bryce76860")</f>
        <v>bryce76860</v>
      </c>
      <c r="G2078" s="9" t="s">
        <v>13</v>
      </c>
      <c r="H2078" s="9" t="s">
        <v>13212</v>
      </c>
    </row>
    <row r="2079" customFormat="false" ht="15.75" hidden="false" customHeight="false" outlineLevel="0" collapsed="false">
      <c r="B2079" s="7" t="n">
        <v>46222</v>
      </c>
      <c r="C2079" s="3" t="s">
        <v>13213</v>
      </c>
      <c r="D2079" s="3" t="s">
        <v>12445</v>
      </c>
      <c r="E2079" s="3" t="s">
        <v>13214</v>
      </c>
      <c r="F2079" s="10" t="str">
        <f aca="false">HYPERLINK("https://www.inaturalist.org/people/laureldoc","laureldoc")</f>
        <v>laureldoc</v>
      </c>
      <c r="G2079" s="9" t="s">
        <v>13</v>
      </c>
      <c r="H2079" s="9" t="s">
        <v>13215</v>
      </c>
    </row>
    <row r="2080" customFormat="false" ht="15.75" hidden="false" customHeight="false" outlineLevel="0" collapsed="false">
      <c r="B2080" s="7" t="n">
        <v>46222</v>
      </c>
      <c r="C2080" s="3" t="s">
        <v>13216</v>
      </c>
      <c r="D2080" s="3" t="s">
        <v>12445</v>
      </c>
      <c r="E2080" s="3" t="s">
        <v>13217</v>
      </c>
      <c r="F2080" s="10" t="str">
        <f aca="false">HYPERLINK("https://www.inaturalist.org/people/oliviamayy8","oliviamayy8")</f>
        <v>oliviamayy8</v>
      </c>
      <c r="G2080" s="9" t="s">
        <v>13</v>
      </c>
      <c r="H2080" s="9" t="s">
        <v>13218</v>
      </c>
    </row>
    <row r="2081" customFormat="false" ht="15.75" hidden="false" customHeight="false" outlineLevel="0" collapsed="false">
      <c r="B2081" s="7" t="n">
        <v>46222</v>
      </c>
      <c r="C2081" s="3" t="s">
        <v>13219</v>
      </c>
      <c r="D2081" s="3" t="s">
        <v>12445</v>
      </c>
      <c r="E2081" s="3" t="s">
        <v>13220</v>
      </c>
      <c r="F2081" s="10" t="str">
        <f aca="false">HYPERLINK("https://www.inaturalist.org/people/aspenbraun","aspenbraun")</f>
        <v>aspenbraun</v>
      </c>
      <c r="G2081" s="9" t="s">
        <v>13</v>
      </c>
      <c r="H2081" s="9" t="s">
        <v>13221</v>
      </c>
    </row>
    <row r="2082" customFormat="false" ht="15.75" hidden="false" customHeight="false" outlineLevel="0" collapsed="false">
      <c r="B2082" s="7" t="n">
        <v>46222</v>
      </c>
      <c r="C2082" s="3" t="s">
        <v>13222</v>
      </c>
      <c r="D2082" s="3" t="s">
        <v>12445</v>
      </c>
      <c r="E2082" s="3" t="s">
        <v>13223</v>
      </c>
      <c r="F2082" s="10" t="str">
        <f aca="false">HYPERLINK("https://www.inaturalist.org/people/j-j","j-j")</f>
        <v>j-j</v>
      </c>
      <c r="G2082" s="9" t="s">
        <v>13</v>
      </c>
      <c r="H2082" s="9" t="s">
        <v>13224</v>
      </c>
    </row>
    <row r="2083" customFormat="false" ht="15.75" hidden="false" customHeight="false" outlineLevel="0" collapsed="false">
      <c r="B2083" s="7" t="n">
        <v>46222</v>
      </c>
      <c r="C2083" s="3" t="s">
        <v>13225</v>
      </c>
      <c r="D2083" s="3" t="s">
        <v>12445</v>
      </c>
      <c r="E2083" s="3" t="s">
        <v>13226</v>
      </c>
      <c r="F2083" s="10" t="str">
        <f aca="false">HYPERLINK("https://www.inaturalist.org/people/hollycybelle","hollycybelle")</f>
        <v>hollycybelle</v>
      </c>
      <c r="G2083" s="9" t="s">
        <v>13</v>
      </c>
      <c r="H2083" s="9" t="s">
        <v>13227</v>
      </c>
    </row>
    <row r="2084" customFormat="false" ht="15.75" hidden="false" customHeight="false" outlineLevel="0" collapsed="false">
      <c r="B2084" s="7" t="n">
        <v>46222</v>
      </c>
      <c r="C2084" s="3" t="s">
        <v>13228</v>
      </c>
      <c r="D2084" s="3" t="s">
        <v>12445</v>
      </c>
      <c r="E2084" s="3" t="s">
        <v>13229</v>
      </c>
      <c r="F2084" s="10" t="str">
        <f aca="false">HYPERLINK("https://www.inaturalist.org/people/savannah_2","savannah_2")</f>
        <v>savannah_2</v>
      </c>
      <c r="G2084" s="9" t="s">
        <v>13</v>
      </c>
      <c r="H2084" s="9" t="s">
        <v>13230</v>
      </c>
    </row>
    <row r="2085" customFormat="false" ht="15.75" hidden="false" customHeight="false" outlineLevel="0" collapsed="false">
      <c r="B2085" s="7" t="n">
        <v>46222</v>
      </c>
      <c r="C2085" s="3" t="s">
        <v>13231</v>
      </c>
      <c r="D2085" s="3" t="s">
        <v>12445</v>
      </c>
      <c r="E2085" s="3" t="s">
        <v>13232</v>
      </c>
      <c r="F2085" s="10" t="str">
        <f aca="false">HYPERLINK("https://www.inaturalist.org/people/sambuswell","sambuswell")</f>
        <v>sambuswell</v>
      </c>
      <c r="G2085" s="9" t="s">
        <v>13</v>
      </c>
      <c r="H2085" s="9" t="s">
        <v>13233</v>
      </c>
    </row>
    <row r="2086" customFormat="false" ht="15.75" hidden="false" customHeight="false" outlineLevel="0" collapsed="false">
      <c r="B2086" s="7" t="n">
        <v>46222</v>
      </c>
      <c r="C2086" s="3" t="s">
        <v>13234</v>
      </c>
      <c r="D2086" s="3" t="s">
        <v>12445</v>
      </c>
      <c r="E2086" s="3" t="s">
        <v>13235</v>
      </c>
      <c r="F2086" s="10" t="str">
        <f aca="false">HYPERLINK("https://www.inaturalist.org/people/ethanol_casas","ethanol_casas")</f>
        <v>ethanol_casas</v>
      </c>
      <c r="G2086" s="9" t="s">
        <v>13</v>
      </c>
      <c r="H2086" s="9" t="s">
        <v>13236</v>
      </c>
    </row>
    <row r="2087" customFormat="false" ht="15.75" hidden="false" customHeight="false" outlineLevel="0" collapsed="false">
      <c r="B2087" s="7" t="n">
        <v>46222</v>
      </c>
      <c r="C2087" s="3" t="s">
        <v>13237</v>
      </c>
      <c r="D2087" s="3" t="s">
        <v>12445</v>
      </c>
      <c r="E2087" s="3" t="s">
        <v>13238</v>
      </c>
      <c r="F2087" s="10" t="str">
        <f aca="false">HYPERLINK("https://www.inaturalist.org/people/robin_andresen","robin_andresen")</f>
        <v>robin_andresen</v>
      </c>
      <c r="G2087" s="9" t="s">
        <v>13</v>
      </c>
      <c r="H2087" s="9" t="s">
        <v>13239</v>
      </c>
    </row>
    <row r="2088" customFormat="false" ht="15.75" hidden="false" customHeight="false" outlineLevel="0" collapsed="false">
      <c r="B2088" s="7" t="n">
        <v>46222</v>
      </c>
      <c r="C2088" s="3" t="s">
        <v>13240</v>
      </c>
      <c r="D2088" s="3" t="s">
        <v>12445</v>
      </c>
      <c r="E2088" s="3" t="s">
        <v>13241</v>
      </c>
      <c r="F2088" s="10" t="str">
        <f aca="false">HYPERLINK("https://www.inaturalist.org/people/j-j","j-j")</f>
        <v>j-j</v>
      </c>
      <c r="G2088" s="9" t="s">
        <v>13</v>
      </c>
      <c r="H2088" s="9" t="s">
        <v>13242</v>
      </c>
    </row>
    <row r="2089" customFormat="false" ht="15.75" hidden="false" customHeight="false" outlineLevel="0" collapsed="false">
      <c r="B2089" s="7" t="n">
        <v>46222</v>
      </c>
      <c r="C2089" s="3" t="s">
        <v>13243</v>
      </c>
      <c r="D2089" s="3" t="s">
        <v>12445</v>
      </c>
      <c r="E2089" s="3" t="s">
        <v>13244</v>
      </c>
      <c r="F2089" s="10" t="str">
        <f aca="false">HYPERLINK("https://www.inaturalist.org/people/macklerath","macklerath")</f>
        <v>macklerath</v>
      </c>
      <c r="G2089" s="9" t="s">
        <v>13</v>
      </c>
      <c r="H2089" s="9" t="s">
        <v>13245</v>
      </c>
    </row>
    <row r="2090" customFormat="false" ht="15.75" hidden="false" customHeight="false" outlineLevel="0" collapsed="false">
      <c r="B2090" s="7" t="n">
        <v>46222</v>
      </c>
      <c r="C2090" s="3" t="s">
        <v>13246</v>
      </c>
      <c r="D2090" s="3" t="s">
        <v>12445</v>
      </c>
      <c r="E2090" s="3" t="s">
        <v>13247</v>
      </c>
      <c r="F2090" s="10" t="str">
        <f aca="false">HYPERLINK("https://www.inaturalist.org/people/elaina71738","elaina71738")</f>
        <v>elaina71738</v>
      </c>
      <c r="G2090" s="9" t="s">
        <v>13</v>
      </c>
      <c r="H2090" s="9" t="s">
        <v>13248</v>
      </c>
    </row>
    <row r="2091" customFormat="false" ht="15.75" hidden="false" customHeight="false" outlineLevel="0" collapsed="false">
      <c r="B2091" s="7" t="n">
        <v>46222</v>
      </c>
      <c r="C2091" s="3" t="s">
        <v>13249</v>
      </c>
      <c r="D2091" s="3" t="s">
        <v>12445</v>
      </c>
      <c r="E2091" s="3" t="s">
        <v>13250</v>
      </c>
      <c r="F2091" s="10" t="str">
        <f aca="false">HYPERLINK("https://www.inaturalist.org/people/benjesup","benjesup")</f>
        <v>benjesup</v>
      </c>
      <c r="G2091" s="9" t="s">
        <v>13</v>
      </c>
      <c r="H2091" s="9" t="s">
        <v>13251</v>
      </c>
    </row>
    <row r="2092" customFormat="false" ht="15.75" hidden="false" customHeight="false" outlineLevel="0" collapsed="false">
      <c r="B2092" s="7" t="n">
        <v>46222</v>
      </c>
      <c r="C2092" s="3" t="s">
        <v>13252</v>
      </c>
      <c r="D2092" s="3" t="s">
        <v>12445</v>
      </c>
      <c r="E2092" s="3" t="s">
        <v>13253</v>
      </c>
      <c r="F2092" s="10" t="str">
        <f aca="false">HYPERLINK("https://www.inaturalist.org/people/kuzma_parsons","kuzma_parsons")</f>
        <v>kuzma_parsons</v>
      </c>
      <c r="G2092" s="9" t="s">
        <v>13</v>
      </c>
      <c r="H2092" s="9" t="s">
        <v>13254</v>
      </c>
    </row>
    <row r="2093" customFormat="false" ht="15.75" hidden="false" customHeight="false" outlineLevel="0" collapsed="false">
      <c r="B2093" s="7" t="n">
        <v>46222</v>
      </c>
      <c r="C2093" s="3" t="s">
        <v>13255</v>
      </c>
      <c r="D2093" s="3" t="s">
        <v>12445</v>
      </c>
      <c r="E2093" s="3" t="s">
        <v>13256</v>
      </c>
      <c r="F2093" s="10" t="str">
        <f aca="false">HYPERLINK("https://www.inaturalist.org/people/kuzma_parsons","kuzma_parsons")</f>
        <v>kuzma_parsons</v>
      </c>
      <c r="G2093" s="9" t="s">
        <v>13</v>
      </c>
      <c r="H2093" s="9" t="s">
        <v>13257</v>
      </c>
    </row>
    <row r="2094" customFormat="false" ht="15.75" hidden="false" customHeight="false" outlineLevel="0" collapsed="false">
      <c r="B2094" s="7" t="n">
        <v>46222</v>
      </c>
      <c r="C2094" s="3" t="s">
        <v>13258</v>
      </c>
      <c r="D2094" s="3" t="s">
        <v>12445</v>
      </c>
      <c r="E2094" s="3" t="s">
        <v>13259</v>
      </c>
      <c r="F2094" s="10" t="str">
        <f aca="false">HYPERLINK("https://www.inaturalist.org/people/kuzma_parsons","kuzma_parsons")</f>
        <v>kuzma_parsons</v>
      </c>
      <c r="G2094" s="9" t="s">
        <v>13</v>
      </c>
      <c r="H2094" s="9" t="s">
        <v>13260</v>
      </c>
    </row>
    <row r="2095" customFormat="false" ht="15.75" hidden="false" customHeight="false" outlineLevel="0" collapsed="false">
      <c r="B2095" s="7" t="n">
        <v>46222</v>
      </c>
      <c r="C2095" s="3" t="s">
        <v>13261</v>
      </c>
      <c r="D2095" s="3" t="s">
        <v>12445</v>
      </c>
      <c r="E2095" s="3" t="s">
        <v>13262</v>
      </c>
      <c r="F2095" s="10" t="str">
        <f aca="false">HYPERLINK("https://www.inaturalist.org/people/kuzma_parsons","kuzma_parsons")</f>
        <v>kuzma_parsons</v>
      </c>
      <c r="G2095" s="9" t="s">
        <v>13</v>
      </c>
      <c r="H2095" s="9" t="s">
        <v>13263</v>
      </c>
    </row>
    <row r="2096" customFormat="false" ht="15.75" hidden="false" customHeight="false" outlineLevel="0" collapsed="false">
      <c r="B2096" s="7" t="n">
        <v>46222</v>
      </c>
      <c r="C2096" s="3" t="s">
        <v>13264</v>
      </c>
      <c r="D2096" s="3" t="s">
        <v>12445</v>
      </c>
      <c r="E2096" s="3" t="s">
        <v>13265</v>
      </c>
      <c r="F2096" s="10" t="str">
        <f aca="false">HYPERLINK("https://www.inaturalist.org/people/kuzma_parsons","kuzma_parsons")</f>
        <v>kuzma_parsons</v>
      </c>
      <c r="G2096" s="9" t="s">
        <v>13</v>
      </c>
      <c r="H2096" s="9" t="s">
        <v>13266</v>
      </c>
    </row>
    <row r="2097" customFormat="false" ht="15.75" hidden="false" customHeight="false" outlineLevel="0" collapsed="false">
      <c r="B2097" s="7" t="n">
        <v>46222</v>
      </c>
      <c r="C2097" s="3" t="s">
        <v>13267</v>
      </c>
      <c r="D2097" s="3" t="s">
        <v>12445</v>
      </c>
      <c r="E2097" s="3" t="s">
        <v>13268</v>
      </c>
      <c r="F2097" s="10" t="str">
        <f aca="false">HYPERLINK("https://www.inaturalist.org/people/jgibbs","jgibbs")</f>
        <v>jgibbs</v>
      </c>
      <c r="G2097" s="9" t="s">
        <v>13</v>
      </c>
      <c r="H2097" s="9" t="s">
        <v>13269</v>
      </c>
    </row>
    <row r="2098" customFormat="false" ht="15.75" hidden="false" customHeight="false" outlineLevel="0" collapsed="false">
      <c r="B2098" s="7" t="n">
        <v>46222</v>
      </c>
      <c r="C2098" s="3" t="s">
        <v>13270</v>
      </c>
      <c r="D2098" s="3" t="s">
        <v>12445</v>
      </c>
      <c r="E2098" s="3" t="s">
        <v>13271</v>
      </c>
      <c r="F2098" s="10" t="str">
        <f aca="false">HYPERLINK("https://www.inaturalist.org/people/j-j","j-j")</f>
        <v>j-j</v>
      </c>
      <c r="G2098" s="9" t="s">
        <v>13</v>
      </c>
      <c r="H2098" s="9" t="s">
        <v>13272</v>
      </c>
    </row>
    <row r="2099" customFormat="false" ht="15.75" hidden="false" customHeight="false" outlineLevel="0" collapsed="false">
      <c r="B2099" s="7" t="n">
        <v>46222</v>
      </c>
      <c r="C2099" s="3" t="s">
        <v>13273</v>
      </c>
      <c r="D2099" s="3" t="s">
        <v>12445</v>
      </c>
      <c r="E2099" s="3" t="s">
        <v>13274</v>
      </c>
      <c r="F2099" s="10" t="str">
        <f aca="false">HYPERLINK("https://www.inaturalist.org/people/mlodinow","mlodinow")</f>
        <v>mlodinow</v>
      </c>
      <c r="G2099" s="9" t="s">
        <v>13</v>
      </c>
      <c r="H2099" s="9" t="s">
        <v>13275</v>
      </c>
    </row>
    <row r="2100" customFormat="false" ht="15.75" hidden="false" customHeight="false" outlineLevel="0" collapsed="false">
      <c r="B2100" s="7" t="n">
        <v>46222</v>
      </c>
      <c r="C2100" s="3" t="s">
        <v>13276</v>
      </c>
      <c r="D2100" s="3" t="s">
        <v>12445</v>
      </c>
      <c r="E2100" s="3" t="s">
        <v>13277</v>
      </c>
      <c r="F2100" s="10" t="str">
        <f aca="false">HYPERLINK("https://www.inaturalist.org/people/scherbst","scherbst")</f>
        <v>scherbst</v>
      </c>
      <c r="G2100" s="9" t="s">
        <v>13</v>
      </c>
      <c r="H2100" s="9" t="s">
        <v>13278</v>
      </c>
    </row>
    <row r="2101" customFormat="false" ht="15.75" hidden="false" customHeight="false" outlineLevel="0" collapsed="false">
      <c r="B2101" s="7" t="n">
        <v>46222</v>
      </c>
      <c r="C2101" s="3" t="s">
        <v>13279</v>
      </c>
      <c r="D2101" s="3" t="s">
        <v>12445</v>
      </c>
      <c r="E2101" s="3" t="s">
        <v>13280</v>
      </c>
      <c r="F2101" s="10" t="str">
        <f aca="false">HYPERLINK("https://www.inaturalist.org/people/j-j","j-j")</f>
        <v>j-j</v>
      </c>
      <c r="G2101" s="9" t="s">
        <v>13</v>
      </c>
      <c r="H2101" s="9" t="s">
        <v>13281</v>
      </c>
    </row>
    <row r="2102" customFormat="false" ht="15.75" hidden="false" customHeight="false" outlineLevel="0" collapsed="false">
      <c r="B2102" s="7" t="n">
        <v>46222</v>
      </c>
      <c r="C2102" s="3" t="s">
        <v>13282</v>
      </c>
      <c r="D2102" s="3" t="s">
        <v>12445</v>
      </c>
      <c r="E2102" s="3" t="s">
        <v>13283</v>
      </c>
      <c r="F2102" s="10" t="str">
        <f aca="false">HYPERLINK("https://www.inaturalist.org/people/tylerolsonn05","tylerolsonn05")</f>
        <v>tylerolsonn05</v>
      </c>
      <c r="G2102" s="9" t="s">
        <v>13</v>
      </c>
      <c r="H2102" s="9" t="s">
        <v>13284</v>
      </c>
    </row>
    <row r="2103" customFormat="false" ht="15.75" hidden="false" customHeight="false" outlineLevel="0" collapsed="false">
      <c r="B2103" s="7" t="n">
        <v>46222</v>
      </c>
      <c r="C2103" s="3" t="s">
        <v>13285</v>
      </c>
      <c r="D2103" s="3" t="s">
        <v>12445</v>
      </c>
      <c r="E2103" s="3" t="s">
        <v>13286</v>
      </c>
      <c r="F2103" s="10" t="str">
        <f aca="false">HYPERLINK("https://www.inaturalist.org/people/kmoncure","kmoncure")</f>
        <v>kmoncure</v>
      </c>
      <c r="G2103" s="9" t="s">
        <v>13</v>
      </c>
      <c r="H2103" s="9" t="s">
        <v>13287</v>
      </c>
    </row>
    <row r="2104" customFormat="false" ht="15.75" hidden="false" customHeight="false" outlineLevel="0" collapsed="false">
      <c r="B2104" s="7" t="n">
        <v>46222</v>
      </c>
      <c r="C2104" s="3" t="s">
        <v>13288</v>
      </c>
      <c r="D2104" s="3" t="s">
        <v>12445</v>
      </c>
      <c r="E2104" s="3" t="s">
        <v>13289</v>
      </c>
      <c r="F2104" s="10" t="str">
        <f aca="false">HYPERLINK("https://www.inaturalist.org/people/lovett","lovett")</f>
        <v>lovett</v>
      </c>
      <c r="G2104" s="9" t="s">
        <v>13</v>
      </c>
      <c r="H2104" s="9" t="s">
        <v>13290</v>
      </c>
    </row>
    <row r="2105" customFormat="false" ht="15.75" hidden="false" customHeight="false" outlineLevel="0" collapsed="false">
      <c r="B2105" s="7" t="n">
        <v>46222</v>
      </c>
      <c r="C2105" s="3" t="s">
        <v>13291</v>
      </c>
      <c r="D2105" s="3" t="s">
        <v>12445</v>
      </c>
      <c r="E2105" s="3" t="s">
        <v>13292</v>
      </c>
      <c r="F2105" s="10" t="str">
        <f aca="false">HYPERLINK("https://www.inaturalist.org/people/lovett","lovett")</f>
        <v>lovett</v>
      </c>
      <c r="G2105" s="9" t="s">
        <v>13</v>
      </c>
      <c r="H2105" s="9" t="s">
        <v>13293</v>
      </c>
    </row>
    <row r="2106" customFormat="false" ht="15.75" hidden="false" customHeight="false" outlineLevel="0" collapsed="false">
      <c r="B2106" s="7" t="n">
        <v>46222</v>
      </c>
      <c r="C2106" s="3" t="s">
        <v>13294</v>
      </c>
      <c r="D2106" s="3" t="s">
        <v>12445</v>
      </c>
      <c r="E2106" s="3" t="s">
        <v>13295</v>
      </c>
      <c r="F2106" s="10" t="str">
        <f aca="false">HYPERLINK("https://www.inaturalist.org/people/saggital","saggital")</f>
        <v>saggital</v>
      </c>
      <c r="G2106" s="9" t="s">
        <v>13</v>
      </c>
      <c r="H2106" s="9" t="s">
        <v>13296</v>
      </c>
    </row>
    <row r="2107" customFormat="false" ht="15.75" hidden="false" customHeight="false" outlineLevel="0" collapsed="false">
      <c r="B2107" s="7" t="n">
        <v>46222</v>
      </c>
      <c r="C2107" s="3" t="s">
        <v>13297</v>
      </c>
      <c r="D2107" s="3" t="s">
        <v>12445</v>
      </c>
      <c r="E2107" s="3" t="s">
        <v>13298</v>
      </c>
      <c r="F2107" s="10" t="str">
        <f aca="false">HYPERLINK("https://www.inaturalist.org/people/saggital","saggital")</f>
        <v>saggital</v>
      </c>
      <c r="G2107" s="9" t="s">
        <v>13</v>
      </c>
      <c r="H2107" s="9" t="s">
        <v>13299</v>
      </c>
    </row>
    <row r="2108" customFormat="false" ht="15.75" hidden="false" customHeight="false" outlineLevel="0" collapsed="false">
      <c r="B2108" s="7" t="n">
        <v>46222</v>
      </c>
      <c r="C2108" s="3" t="s">
        <v>13300</v>
      </c>
      <c r="D2108" s="3" t="s">
        <v>12445</v>
      </c>
      <c r="E2108" s="3" t="s">
        <v>13301</v>
      </c>
      <c r="F2108" s="10" t="str">
        <f aca="false">HYPERLINK("https://www.inaturalist.org/people/vigolouie","vigolouie")</f>
        <v>vigolouie</v>
      </c>
      <c r="G2108" s="9" t="s">
        <v>13</v>
      </c>
      <c r="H2108" s="9" t="s">
        <v>13302</v>
      </c>
    </row>
    <row r="2109" customFormat="false" ht="15.75" hidden="false" customHeight="false" outlineLevel="0" collapsed="false">
      <c r="B2109" s="7" t="n">
        <v>46222</v>
      </c>
      <c r="C2109" s="3" t="s">
        <v>13303</v>
      </c>
      <c r="D2109" s="3" t="s">
        <v>12445</v>
      </c>
      <c r="E2109" s="3" t="s">
        <v>13304</v>
      </c>
      <c r="F2109" s="10" t="str">
        <f aca="false">HYPERLINK("https://www.inaturalist.org/people/susanm0","susanm0")</f>
        <v>susanm0</v>
      </c>
      <c r="G2109" s="9" t="s">
        <v>13</v>
      </c>
      <c r="H2109" s="9" t="s">
        <v>13305</v>
      </c>
    </row>
    <row r="2110" customFormat="false" ht="15.75" hidden="false" customHeight="false" outlineLevel="0" collapsed="false">
      <c r="B2110" s="7" t="n">
        <v>46222</v>
      </c>
      <c r="C2110" s="3" t="s">
        <v>13306</v>
      </c>
      <c r="D2110" s="3" t="s">
        <v>12445</v>
      </c>
      <c r="E2110" s="3" t="s">
        <v>13307</v>
      </c>
      <c r="F2110" s="10" t="str">
        <f aca="false">HYPERLINK("https://www.inaturalist.org/people/jen-gray","jen-gray")</f>
        <v>jen-gray</v>
      </c>
      <c r="G2110" s="9" t="s">
        <v>13</v>
      </c>
      <c r="H2110" s="9" t="s">
        <v>13308</v>
      </c>
    </row>
    <row r="2111" customFormat="false" ht="15.75" hidden="false" customHeight="false" outlineLevel="0" collapsed="false">
      <c r="B2111" s="7" t="n">
        <v>46222</v>
      </c>
      <c r="C2111" s="3" t="s">
        <v>13309</v>
      </c>
      <c r="D2111" s="3" t="s">
        <v>12445</v>
      </c>
      <c r="E2111" s="3" t="s">
        <v>13310</v>
      </c>
      <c r="F2111" s="10" t="str">
        <f aca="false">HYPERLINK("https://www.inaturalist.org/people/mia_levy","mia_levy")</f>
        <v>mia_levy</v>
      </c>
      <c r="G2111" s="9" t="s">
        <v>13</v>
      </c>
      <c r="H2111" s="9" t="s">
        <v>13311</v>
      </c>
    </row>
    <row r="2112" customFormat="false" ht="15.75" hidden="false" customHeight="false" outlineLevel="0" collapsed="false">
      <c r="B2112" s="7" t="n">
        <v>46222</v>
      </c>
      <c r="C2112" s="3" t="s">
        <v>13312</v>
      </c>
      <c r="D2112" s="3" t="s">
        <v>12445</v>
      </c>
      <c r="E2112" s="3" t="s">
        <v>13313</v>
      </c>
      <c r="F2112" s="10" t="str">
        <f aca="false">HYPERLINK("https://www.inaturalist.org/people/l1z4beth","l1z4beth")</f>
        <v>l1z4beth</v>
      </c>
      <c r="G2112" s="9" t="s">
        <v>13</v>
      </c>
      <c r="H2112" s="9" t="s">
        <v>13314</v>
      </c>
    </row>
    <row r="2113" customFormat="false" ht="15.75" hidden="false" customHeight="false" outlineLevel="0" collapsed="false">
      <c r="B2113" s="7" t="n">
        <v>46222</v>
      </c>
      <c r="C2113" s="3" t="s">
        <v>13315</v>
      </c>
      <c r="D2113" s="3" t="s">
        <v>12445</v>
      </c>
      <c r="E2113" s="3" t="s">
        <v>13316</v>
      </c>
      <c r="F2113" s="10" t="str">
        <f aca="false">HYPERLINK("https://www.inaturalist.org/people/kate1521","kate1521")</f>
        <v>kate1521</v>
      </c>
      <c r="G2113" s="9" t="s">
        <v>13</v>
      </c>
      <c r="H2113" s="9" t="s">
        <v>13317</v>
      </c>
    </row>
    <row r="2114" customFormat="false" ht="15.75" hidden="false" customHeight="false" outlineLevel="0" collapsed="false">
      <c r="B2114" s="7" t="n">
        <v>46222</v>
      </c>
      <c r="C2114" s="3" t="s">
        <v>13318</v>
      </c>
      <c r="D2114" s="3" t="s">
        <v>12445</v>
      </c>
      <c r="E2114" s="3" t="s">
        <v>13319</v>
      </c>
      <c r="F2114" s="10" t="str">
        <f aca="false">HYPERLINK("https://www.inaturalist.org/people/jayisafool","jayisafool")</f>
        <v>jayisafool</v>
      </c>
      <c r="G2114" s="9" t="s">
        <v>13</v>
      </c>
      <c r="H2114" s="9" t="s">
        <v>13320</v>
      </c>
    </row>
    <row r="2115" customFormat="false" ht="15.75" hidden="false" customHeight="false" outlineLevel="0" collapsed="false">
      <c r="B2115" s="7" t="n">
        <v>46222</v>
      </c>
      <c r="C2115" s="3" t="s">
        <v>13321</v>
      </c>
      <c r="D2115" s="3" t="s">
        <v>12445</v>
      </c>
      <c r="E2115" s="3" t="s">
        <v>13322</v>
      </c>
      <c r="F2115" s="10" t="str">
        <f aca="false">HYPERLINK("https://www.inaturalist.org/people/mrbirder98","mrbirder98")</f>
        <v>mrbirder98</v>
      </c>
      <c r="G2115" s="9" t="s">
        <v>13</v>
      </c>
      <c r="H2115" s="9" t="s">
        <v>13323</v>
      </c>
    </row>
    <row r="2116" customFormat="false" ht="15.75" hidden="false" customHeight="false" outlineLevel="0" collapsed="false">
      <c r="B2116" s="7" t="n">
        <v>46222</v>
      </c>
      <c r="C2116" s="3" t="s">
        <v>13324</v>
      </c>
      <c r="D2116" s="3" t="s">
        <v>12445</v>
      </c>
      <c r="E2116" s="3" t="s">
        <v>13325</v>
      </c>
      <c r="F2116" s="10" t="str">
        <f aca="false">HYPERLINK("https://www.inaturalist.org/people/cooperjohn","cooperjohn")</f>
        <v>cooperjohn</v>
      </c>
      <c r="G2116" s="9" t="s">
        <v>13</v>
      </c>
      <c r="H2116" s="9" t="s">
        <v>13326</v>
      </c>
    </row>
    <row r="2117" customFormat="false" ht="15.75" hidden="false" customHeight="false" outlineLevel="0" collapsed="false">
      <c r="B2117" s="7" t="n">
        <v>46222</v>
      </c>
      <c r="C2117" s="3" t="s">
        <v>13327</v>
      </c>
      <c r="D2117" s="3" t="s">
        <v>12445</v>
      </c>
      <c r="E2117" s="3" t="s">
        <v>13328</v>
      </c>
      <c r="F2117" s="10" t="str">
        <f aca="false">HYPERLINK("https://www.inaturalist.org/people/emfishcreek","emfishcreek")</f>
        <v>emfishcreek</v>
      </c>
      <c r="G2117" s="9" t="s">
        <v>13</v>
      </c>
      <c r="H2117" s="9" t="s">
        <v>13329</v>
      </c>
    </row>
    <row r="2118" customFormat="false" ht="15.75" hidden="false" customHeight="false" outlineLevel="0" collapsed="false">
      <c r="B2118" s="7" t="n">
        <v>46222</v>
      </c>
      <c r="C2118" s="3" t="s">
        <v>13330</v>
      </c>
      <c r="D2118" s="3" t="s">
        <v>12445</v>
      </c>
      <c r="E2118" s="3" t="s">
        <v>13331</v>
      </c>
      <c r="F2118" s="10" t="str">
        <f aca="false">HYPERLINK("https://www.inaturalist.org/people/psusinger","psusinger")</f>
        <v>psusinger</v>
      </c>
      <c r="G2118" s="9" t="s">
        <v>13</v>
      </c>
      <c r="H2118" s="9" t="s">
        <v>13332</v>
      </c>
    </row>
    <row r="2119" customFormat="false" ht="15.75" hidden="false" customHeight="false" outlineLevel="0" collapsed="false">
      <c r="B2119" s="7" t="n">
        <v>46222</v>
      </c>
      <c r="C2119" s="3" t="s">
        <v>13333</v>
      </c>
      <c r="D2119" s="3" t="s">
        <v>12445</v>
      </c>
      <c r="E2119" s="3" t="s">
        <v>13334</v>
      </c>
      <c r="F2119" s="10" t="str">
        <f aca="false">HYPERLINK("https://www.inaturalist.org/people/psusinger","psusinger")</f>
        <v>psusinger</v>
      </c>
      <c r="G2119" s="9" t="s">
        <v>13</v>
      </c>
      <c r="H2119" s="9" t="s">
        <v>13335</v>
      </c>
    </row>
    <row r="2120" customFormat="false" ht="15.75" hidden="false" customHeight="false" outlineLevel="0" collapsed="false">
      <c r="B2120" s="7" t="n">
        <v>46222</v>
      </c>
      <c r="C2120" s="3" t="s">
        <v>13336</v>
      </c>
      <c r="D2120" s="3" t="s">
        <v>12445</v>
      </c>
      <c r="E2120" s="3" t="s">
        <v>13337</v>
      </c>
      <c r="F2120" s="10" t="str">
        <f aca="false">HYPERLINK("https://www.inaturalist.org/people/leptim","leptim")</f>
        <v>leptim</v>
      </c>
      <c r="G2120" s="9" t="s">
        <v>13</v>
      </c>
      <c r="H2120" s="9" t="s">
        <v>13338</v>
      </c>
    </row>
    <row r="2121" customFormat="false" ht="15.75" hidden="false" customHeight="false" outlineLevel="0" collapsed="false">
      <c r="B2121" s="7" t="n">
        <v>46222</v>
      </c>
      <c r="C2121" s="3" t="s">
        <v>13339</v>
      </c>
      <c r="D2121" s="3" t="s">
        <v>12445</v>
      </c>
      <c r="E2121" s="3" t="s">
        <v>13340</v>
      </c>
      <c r="F2121" s="10" t="str">
        <f aca="false">HYPERLINK("https://www.inaturalist.org/people/tonytu","tonytu")</f>
        <v>tonytu</v>
      </c>
      <c r="G2121" s="9" t="s">
        <v>13</v>
      </c>
      <c r="H2121" s="9" t="s">
        <v>13341</v>
      </c>
    </row>
    <row r="2122" customFormat="false" ht="15.75" hidden="false" customHeight="false" outlineLevel="0" collapsed="false">
      <c r="B2122" s="7" t="n">
        <v>46222</v>
      </c>
      <c r="C2122" s="3" t="s">
        <v>13342</v>
      </c>
      <c r="D2122" s="3" t="s">
        <v>12445</v>
      </c>
      <c r="E2122" s="3" t="s">
        <v>13343</v>
      </c>
      <c r="F2122" s="10" t="str">
        <f aca="false">HYPERLINK("https://www.inaturalist.org/people/eliezer","eliezer")</f>
        <v>eliezer</v>
      </c>
      <c r="G2122" s="9" t="s">
        <v>13</v>
      </c>
      <c r="H2122" s="9" t="s">
        <v>13344</v>
      </c>
    </row>
    <row r="2123" customFormat="false" ht="15.75" hidden="false" customHeight="false" outlineLevel="0" collapsed="false">
      <c r="B2123" s="7" t="n">
        <v>46222</v>
      </c>
      <c r="C2123" s="3" t="s">
        <v>13345</v>
      </c>
      <c r="D2123" s="3" t="s">
        <v>13346</v>
      </c>
      <c r="E2123" s="3" t="s">
        <v>13347</v>
      </c>
      <c r="F2123" s="10" t="str">
        <f aca="false">HYPERLINK("https://www.inaturalist.org/people/synch_","synch_")</f>
        <v>synch_</v>
      </c>
      <c r="G2123" s="9" t="s">
        <v>13</v>
      </c>
      <c r="H2123" s="9" t="s">
        <v>13348</v>
      </c>
    </row>
    <row r="2124" customFormat="false" ht="15.75" hidden="false" customHeight="false" outlineLevel="0" collapsed="false">
      <c r="B2124" s="7" t="n">
        <v>46222</v>
      </c>
      <c r="C2124" s="3" t="s">
        <v>13349</v>
      </c>
      <c r="D2124" s="3" t="s">
        <v>13346</v>
      </c>
      <c r="E2124" s="3" t="s">
        <v>13350</v>
      </c>
      <c r="F2124" s="10" t="str">
        <f aca="false">HYPERLINK("https://www.inaturalist.org/people/rinnyvanvan","rinnyvanvan")</f>
        <v>rinnyvanvan</v>
      </c>
      <c r="G2124" s="9" t="s">
        <v>13</v>
      </c>
      <c r="H2124" s="9" t="s">
        <v>13351</v>
      </c>
    </row>
    <row r="2125" customFormat="false" ht="15.75" hidden="false" customHeight="false" outlineLevel="0" collapsed="false">
      <c r="B2125" s="7" t="n">
        <v>46222</v>
      </c>
      <c r="C2125" s="3" t="s">
        <v>13352</v>
      </c>
      <c r="D2125" s="3" t="s">
        <v>13346</v>
      </c>
      <c r="E2125" s="3" t="s">
        <v>13353</v>
      </c>
      <c r="F2125" s="10" t="str">
        <f aca="false">HYPERLINK("https://www.inaturalist.org/people/rinnyvanvan","rinnyvanvan")</f>
        <v>rinnyvanvan</v>
      </c>
      <c r="G2125" s="9" t="s">
        <v>13</v>
      </c>
      <c r="H2125" s="9" t="s">
        <v>13354</v>
      </c>
    </row>
    <row r="2126" customFormat="false" ht="15.75" hidden="false" customHeight="false" outlineLevel="0" collapsed="false">
      <c r="B2126" s="7" t="n">
        <v>46222</v>
      </c>
      <c r="C2126" s="3" t="s">
        <v>13355</v>
      </c>
      <c r="D2126" s="3" t="s">
        <v>13346</v>
      </c>
      <c r="E2126" s="3" t="s">
        <v>13356</v>
      </c>
      <c r="F2126" s="10" t="str">
        <f aca="false">HYPERLINK("https://www.inaturalist.org/people/drewdlestrudel","drewdlestrudel")</f>
        <v>drewdlestrudel</v>
      </c>
      <c r="G2126" s="9" t="s">
        <v>13</v>
      </c>
      <c r="H2126" s="9" t="s">
        <v>13357</v>
      </c>
    </row>
    <row r="2127" customFormat="false" ht="15.75" hidden="false" customHeight="false" outlineLevel="0" collapsed="false">
      <c r="B2127" s="7" t="n">
        <v>46222</v>
      </c>
      <c r="C2127" s="3" t="s">
        <v>13358</v>
      </c>
      <c r="D2127" s="3" t="s">
        <v>13346</v>
      </c>
      <c r="E2127" s="3" t="s">
        <v>13359</v>
      </c>
      <c r="F2127" s="10" t="str">
        <f aca="false">HYPERLINK("https://www.inaturalist.org/people/foxsparrow07","foxsparrow07")</f>
        <v>foxsparrow07</v>
      </c>
      <c r="G2127" s="9" t="s">
        <v>13</v>
      </c>
      <c r="H2127" s="9" t="s">
        <v>13360</v>
      </c>
    </row>
    <row r="2128" customFormat="false" ht="15.75" hidden="false" customHeight="false" outlineLevel="0" collapsed="false">
      <c r="B2128" s="7" t="n">
        <v>46222</v>
      </c>
      <c r="C2128" s="3" t="s">
        <v>13361</v>
      </c>
      <c r="D2128" s="3" t="s">
        <v>13346</v>
      </c>
      <c r="E2128" s="3" t="s">
        <v>13362</v>
      </c>
      <c r="F2128" s="10" t="str">
        <f aca="false">HYPERLINK("https://www.inaturalist.org/people/drewdlestrudel","drewdlestrudel")</f>
        <v>drewdlestrudel</v>
      </c>
      <c r="G2128" s="9" t="s">
        <v>13</v>
      </c>
      <c r="H2128" s="9" t="s">
        <v>13363</v>
      </c>
    </row>
    <row r="2129" customFormat="false" ht="15.75" hidden="false" customHeight="false" outlineLevel="0" collapsed="false">
      <c r="B2129" s="7" t="n">
        <v>46222</v>
      </c>
      <c r="C2129" s="3" t="s">
        <v>13364</v>
      </c>
      <c r="D2129" s="3" t="s">
        <v>13346</v>
      </c>
      <c r="E2129" s="3" t="s">
        <v>13365</v>
      </c>
      <c r="F2129" s="10" t="str">
        <f aca="false">HYPERLINK("https://www.inaturalist.org/people/heleneep","heleneep")</f>
        <v>heleneep</v>
      </c>
      <c r="G2129" s="9" t="s">
        <v>13</v>
      </c>
      <c r="H2129" s="9" t="s">
        <v>13366</v>
      </c>
    </row>
    <row r="2130" customFormat="false" ht="15.75" hidden="false" customHeight="false" outlineLevel="0" collapsed="false">
      <c r="B2130" s="7" t="n">
        <v>46222</v>
      </c>
      <c r="C2130" s="3" t="s">
        <v>13367</v>
      </c>
      <c r="D2130" s="3" t="s">
        <v>13346</v>
      </c>
      <c r="E2130" s="3" t="s">
        <v>13368</v>
      </c>
      <c r="F2130" s="10" t="str">
        <f aca="false">HYPERLINK("https://www.inaturalist.org/people/mwest","mwest")</f>
        <v>mwest</v>
      </c>
      <c r="G2130" s="9" t="s">
        <v>13</v>
      </c>
      <c r="H2130" s="9" t="s">
        <v>13369</v>
      </c>
    </row>
    <row r="2131" customFormat="false" ht="15.75" hidden="false" customHeight="false" outlineLevel="0" collapsed="false">
      <c r="B2131" s="7" t="n">
        <v>46222</v>
      </c>
      <c r="C2131" s="3" t="s">
        <v>13370</v>
      </c>
      <c r="D2131" s="3" t="s">
        <v>13346</v>
      </c>
      <c r="E2131" s="3" t="s">
        <v>13371</v>
      </c>
      <c r="F2131" s="10" t="str">
        <f aca="false">HYPERLINK("https://www.inaturalist.org/people/mwebb9612","mwebb9612")</f>
        <v>mwebb9612</v>
      </c>
      <c r="G2131" s="9" t="s">
        <v>13</v>
      </c>
      <c r="H2131" s="9" t="s">
        <v>13372</v>
      </c>
    </row>
    <row r="2132" customFormat="false" ht="15.75" hidden="false" customHeight="false" outlineLevel="0" collapsed="false">
      <c r="B2132" s="7" t="n">
        <v>46222</v>
      </c>
      <c r="C2132" s="3" t="s">
        <v>13373</v>
      </c>
      <c r="D2132" s="3" t="s">
        <v>13346</v>
      </c>
      <c r="E2132" s="3" t="s">
        <v>13374</v>
      </c>
      <c r="F2132" s="10" t="str">
        <f aca="false">HYPERLINK("https://www.inaturalist.org/people/sub_lemon_all","sub_lemon_all")</f>
        <v>sub_lemon_all</v>
      </c>
      <c r="G2132" s="9" t="s">
        <v>13</v>
      </c>
      <c r="H2132" s="9" t="s">
        <v>13375</v>
      </c>
    </row>
    <row r="2133" customFormat="false" ht="15.75" hidden="false" customHeight="false" outlineLevel="0" collapsed="false">
      <c r="B2133" s="7" t="n">
        <v>46222</v>
      </c>
      <c r="C2133" s="3" t="s">
        <v>13376</v>
      </c>
      <c r="D2133" s="3" t="s">
        <v>13346</v>
      </c>
      <c r="E2133" s="3" t="s">
        <v>13377</v>
      </c>
      <c r="F2133" s="10" t="str">
        <f aca="false">HYPERLINK("https://www.inaturalist.org/people/yaygina","yaygina")</f>
        <v>yaygina</v>
      </c>
      <c r="G2133" s="9" t="s">
        <v>13</v>
      </c>
      <c r="H2133" s="9" t="s">
        <v>13378</v>
      </c>
    </row>
    <row r="2134" customFormat="false" ht="15.75" hidden="false" customHeight="false" outlineLevel="0" collapsed="false">
      <c r="B2134" s="7" t="n">
        <v>46222</v>
      </c>
      <c r="C2134" s="3" t="s">
        <v>13379</v>
      </c>
      <c r="D2134" s="3" t="s">
        <v>13346</v>
      </c>
      <c r="E2134" s="3" t="s">
        <v>13380</v>
      </c>
      <c r="F2134" s="10" t="str">
        <f aca="false">HYPERLINK("https://www.inaturalist.org/people/benmorrissey","benmorrissey")</f>
        <v>benmorrissey</v>
      </c>
      <c r="G2134" s="9" t="s">
        <v>13</v>
      </c>
      <c r="H2134" s="9" t="s">
        <v>13381</v>
      </c>
    </row>
    <row r="2135" customFormat="false" ht="15.75" hidden="false" customHeight="false" outlineLevel="0" collapsed="false">
      <c r="B2135" s="7" t="n">
        <v>46222</v>
      </c>
      <c r="C2135" s="3" t="s">
        <v>13382</v>
      </c>
      <c r="D2135" s="3" t="s">
        <v>13346</v>
      </c>
      <c r="E2135" s="3" t="s">
        <v>13383</v>
      </c>
      <c r="F2135" s="10" t="str">
        <f aca="false">HYPERLINK("https://www.inaturalist.org/people/cmarti09","cmarti09")</f>
        <v>cmarti09</v>
      </c>
      <c r="G2135" s="9" t="s">
        <v>13</v>
      </c>
      <c r="H2135" s="9" t="s">
        <v>13384</v>
      </c>
    </row>
    <row r="2136" customFormat="false" ht="15.75" hidden="false" customHeight="false" outlineLevel="0" collapsed="false">
      <c r="B2136" s="7" t="n">
        <v>46222</v>
      </c>
      <c r="C2136" s="3" t="s">
        <v>13385</v>
      </c>
      <c r="D2136" s="3" t="s">
        <v>13346</v>
      </c>
      <c r="E2136" s="3" t="s">
        <v>13386</v>
      </c>
      <c r="F2136" s="10" t="str">
        <f aca="false">HYPERLINK("https://www.inaturalist.org/people/dinomama789","dinomama789")</f>
        <v>dinomama789</v>
      </c>
      <c r="G2136" s="9" t="s">
        <v>13</v>
      </c>
      <c r="H2136" s="9" t="s">
        <v>13387</v>
      </c>
    </row>
    <row r="2137" customFormat="false" ht="15.75" hidden="false" customHeight="false" outlineLevel="0" collapsed="false">
      <c r="B2137" s="7" t="n">
        <v>46222</v>
      </c>
      <c r="C2137" s="3" t="s">
        <v>13388</v>
      </c>
      <c r="D2137" s="3" t="s">
        <v>13346</v>
      </c>
      <c r="E2137" s="3" t="s">
        <v>13389</v>
      </c>
      <c r="F2137" s="10" t="str">
        <f aca="false">HYPERLINK("https://www.inaturalist.org/people/abi1248","abi1248")</f>
        <v>abi1248</v>
      </c>
      <c r="G2137" s="9" t="s">
        <v>13</v>
      </c>
      <c r="H2137" s="9" t="s">
        <v>13390</v>
      </c>
    </row>
    <row r="2138" customFormat="false" ht="15.75" hidden="false" customHeight="false" outlineLevel="0" collapsed="false">
      <c r="B2138" s="7" t="n">
        <v>46222</v>
      </c>
      <c r="C2138" s="3" t="s">
        <v>13391</v>
      </c>
      <c r="D2138" s="3" t="s">
        <v>13346</v>
      </c>
      <c r="E2138" s="3" t="s">
        <v>13392</v>
      </c>
      <c r="F2138" s="10" t="str">
        <f aca="false">HYPERLINK("https://www.inaturalist.org/people/sarac646","sarac646")</f>
        <v>sarac646</v>
      </c>
      <c r="G2138" s="9" t="s">
        <v>13</v>
      </c>
      <c r="H2138" s="9" t="s">
        <v>13393</v>
      </c>
    </row>
    <row r="2139" customFormat="false" ht="15.75" hidden="false" customHeight="false" outlineLevel="0" collapsed="false">
      <c r="B2139" s="7" t="n">
        <v>46222</v>
      </c>
      <c r="C2139" s="3" t="s">
        <v>13394</v>
      </c>
      <c r="D2139" s="3" t="s">
        <v>13346</v>
      </c>
      <c r="E2139" s="3" t="s">
        <v>13395</v>
      </c>
      <c r="F2139" s="10" t="str">
        <f aca="false">HYPERLINK("https://www.inaturalist.org/people/sarac646","sarac646")</f>
        <v>sarac646</v>
      </c>
      <c r="G2139" s="9" t="s">
        <v>13</v>
      </c>
      <c r="H2139" s="9" t="s">
        <v>13396</v>
      </c>
    </row>
    <row r="2140" customFormat="false" ht="15.75" hidden="false" customHeight="false" outlineLevel="0" collapsed="false">
      <c r="B2140" s="7" t="n">
        <v>46222</v>
      </c>
      <c r="C2140" s="3" t="s">
        <v>13397</v>
      </c>
      <c r="D2140" s="3" t="s">
        <v>13346</v>
      </c>
      <c r="E2140" s="3" t="s">
        <v>13398</v>
      </c>
      <c r="F2140" s="10" t="str">
        <f aca="false">HYPERLINK("https://www.inaturalist.org/people/sarac646","sarac646")</f>
        <v>sarac646</v>
      </c>
      <c r="G2140" s="9" t="s">
        <v>13</v>
      </c>
      <c r="H2140" s="9" t="s">
        <v>13399</v>
      </c>
    </row>
    <row r="2141" customFormat="false" ht="15.75" hidden="false" customHeight="false" outlineLevel="0" collapsed="false">
      <c r="B2141" s="7" t="n">
        <v>46222</v>
      </c>
      <c r="C2141" s="3" t="s">
        <v>13400</v>
      </c>
      <c r="D2141" s="3" t="s">
        <v>13346</v>
      </c>
      <c r="E2141" s="3" t="s">
        <v>13401</v>
      </c>
      <c r="F2141" s="10" t="str">
        <f aca="false">HYPERLINK("https://www.inaturalist.org/people/hannah15087","hannah15087")</f>
        <v>hannah15087</v>
      </c>
      <c r="G2141" s="9" t="s">
        <v>13</v>
      </c>
      <c r="H2141" s="9" t="s">
        <v>13402</v>
      </c>
    </row>
    <row r="2142" customFormat="false" ht="15.75" hidden="false" customHeight="false" outlineLevel="0" collapsed="false">
      <c r="B2142" s="7" t="n">
        <v>46222</v>
      </c>
      <c r="C2142" s="3" t="s">
        <v>13403</v>
      </c>
      <c r="D2142" s="3" t="s">
        <v>13346</v>
      </c>
      <c r="E2142" s="3" t="s">
        <v>13404</v>
      </c>
      <c r="F2142" s="10" t="str">
        <f aca="false">HYPERLINK("https://www.inaturalist.org/people/lynsh","lynsh")</f>
        <v>lynsh</v>
      </c>
      <c r="G2142" s="9" t="s">
        <v>13</v>
      </c>
      <c r="H2142" s="9" t="s">
        <v>13405</v>
      </c>
    </row>
    <row r="2143" customFormat="false" ht="15.75" hidden="false" customHeight="false" outlineLevel="0" collapsed="false">
      <c r="B2143" s="7" t="n">
        <v>46222</v>
      </c>
      <c r="C2143" s="3" t="s">
        <v>13406</v>
      </c>
      <c r="D2143" s="3" t="s">
        <v>13346</v>
      </c>
      <c r="E2143" s="3" t="s">
        <v>13407</v>
      </c>
      <c r="F2143" s="10" t="str">
        <f aca="false">HYPERLINK("https://www.inaturalist.org/people/jess-skene","jess-skene")</f>
        <v>jess-skene</v>
      </c>
      <c r="G2143" s="9" t="s">
        <v>13</v>
      </c>
      <c r="H2143" s="9" t="s">
        <v>13408</v>
      </c>
    </row>
    <row r="2144" customFormat="false" ht="15.75" hidden="false" customHeight="false" outlineLevel="0" collapsed="false">
      <c r="B2144" s="7" t="n">
        <v>46222</v>
      </c>
      <c r="C2144" s="3" t="s">
        <v>13409</v>
      </c>
      <c r="D2144" s="3" t="s">
        <v>13346</v>
      </c>
      <c r="E2144" s="3" t="s">
        <v>13410</v>
      </c>
      <c r="F2144" s="10" t="str">
        <f aca="false">HYPERLINK("https://www.inaturalist.org/people/sarac646","sarac646")</f>
        <v>sarac646</v>
      </c>
      <c r="G2144" s="9" t="s">
        <v>13</v>
      </c>
      <c r="H2144" s="9" t="s">
        <v>13411</v>
      </c>
    </row>
    <row r="2145" customFormat="false" ht="15.75" hidden="false" customHeight="false" outlineLevel="0" collapsed="false">
      <c r="B2145" s="7" t="n">
        <v>46222</v>
      </c>
      <c r="C2145" s="3" t="s">
        <v>13412</v>
      </c>
      <c r="D2145" s="3" t="s">
        <v>13346</v>
      </c>
      <c r="E2145" s="3" t="s">
        <v>13413</v>
      </c>
      <c r="F2145" s="10" t="str">
        <f aca="false">HYPERLINK("https://www.inaturalist.org/people/fsmith03","fsmith03")</f>
        <v>fsmith03</v>
      </c>
      <c r="G2145" s="9" t="s">
        <v>13</v>
      </c>
      <c r="H2145" s="9" t="s">
        <v>13414</v>
      </c>
    </row>
    <row r="2146" customFormat="false" ht="15.75" hidden="false" customHeight="false" outlineLevel="0" collapsed="false">
      <c r="B2146" s="7" t="n">
        <v>46222</v>
      </c>
      <c r="C2146" s="3" t="s">
        <v>13415</v>
      </c>
      <c r="D2146" s="3" t="s">
        <v>13346</v>
      </c>
      <c r="E2146" s="3" t="s">
        <v>13416</v>
      </c>
      <c r="F2146" s="10" t="str">
        <f aca="false">HYPERLINK("https://www.inaturalist.org/people/elisamariev","elisamariev")</f>
        <v>elisamariev</v>
      </c>
      <c r="G2146" s="9" t="s">
        <v>13</v>
      </c>
      <c r="H2146" s="9" t="s">
        <v>13417</v>
      </c>
    </row>
    <row r="2147" customFormat="false" ht="15.75" hidden="false" customHeight="false" outlineLevel="0" collapsed="false">
      <c r="B2147" s="7" t="n">
        <v>46222</v>
      </c>
      <c r="C2147" s="3" t="s">
        <v>13418</v>
      </c>
      <c r="D2147" s="3" t="s">
        <v>13346</v>
      </c>
      <c r="E2147" s="3" t="s">
        <v>13419</v>
      </c>
      <c r="F2147" s="10" t="str">
        <f aca="false">HYPERLINK("https://www.inaturalist.org/people/camgb","camgb")</f>
        <v>camgb</v>
      </c>
      <c r="G2147" s="9" t="s">
        <v>13</v>
      </c>
      <c r="H2147" s="9" t="s">
        <v>13420</v>
      </c>
    </row>
    <row r="2148" customFormat="false" ht="15.75" hidden="false" customHeight="false" outlineLevel="0" collapsed="false">
      <c r="B2148" s="7" t="n">
        <v>46222</v>
      </c>
      <c r="C2148" s="3" t="s">
        <v>13421</v>
      </c>
      <c r="D2148" s="3" t="s">
        <v>13346</v>
      </c>
      <c r="E2148" s="3" t="s">
        <v>13422</v>
      </c>
      <c r="F2148" s="10" t="str">
        <f aca="false">HYPERLINK("https://www.inaturalist.org/people/em_nature","em_nature")</f>
        <v>em_nature</v>
      </c>
      <c r="G2148" s="9" t="s">
        <v>13</v>
      </c>
      <c r="H2148" s="9" t="s">
        <v>13423</v>
      </c>
    </row>
    <row r="2149" customFormat="false" ht="15.75" hidden="false" customHeight="false" outlineLevel="0" collapsed="false">
      <c r="B2149" s="7" t="n">
        <v>46222</v>
      </c>
      <c r="C2149" s="3" t="s">
        <v>13424</v>
      </c>
      <c r="D2149" s="3" t="s">
        <v>13346</v>
      </c>
      <c r="E2149" s="3" t="s">
        <v>13425</v>
      </c>
      <c r="F2149" s="10" t="str">
        <f aca="false">HYPERLINK("https://www.inaturalist.org/people/matteuccia","matteuccia")</f>
        <v>matteuccia</v>
      </c>
      <c r="G2149" s="9" t="s">
        <v>13</v>
      </c>
      <c r="H2149" s="9" t="s">
        <v>13426</v>
      </c>
    </row>
    <row r="2150" customFormat="false" ht="15.75" hidden="false" customHeight="false" outlineLevel="0" collapsed="false">
      <c r="B2150" s="7" t="n">
        <v>46222</v>
      </c>
      <c r="C2150" s="3" t="s">
        <v>13427</v>
      </c>
      <c r="D2150" s="3" t="s">
        <v>13346</v>
      </c>
      <c r="E2150" s="3" t="s">
        <v>13428</v>
      </c>
      <c r="F2150" s="10" t="str">
        <f aca="false">HYPERLINK("https://www.inaturalist.org/people/matteuccia","matteuccia")</f>
        <v>matteuccia</v>
      </c>
      <c r="G2150" s="9" t="s">
        <v>13</v>
      </c>
      <c r="H2150" s="9" t="s">
        <v>13429</v>
      </c>
    </row>
    <row r="2151" customFormat="false" ht="15.75" hidden="false" customHeight="false" outlineLevel="0" collapsed="false">
      <c r="B2151" s="7" t="n">
        <v>46222</v>
      </c>
      <c r="C2151" s="3" t="s">
        <v>13430</v>
      </c>
      <c r="D2151" s="3" t="s">
        <v>13346</v>
      </c>
      <c r="E2151" s="3" t="s">
        <v>13431</v>
      </c>
      <c r="F2151" s="10" t="str">
        <f aca="false">HYPERLINK("https://www.inaturalist.org/people/alexandra_hunter1","alexandra_hunter1")</f>
        <v>alexandra_hunter1</v>
      </c>
      <c r="G2151" s="9" t="s">
        <v>13</v>
      </c>
      <c r="H2151" s="9" t="s">
        <v>13432</v>
      </c>
    </row>
    <row r="2152" customFormat="false" ht="15.75" hidden="false" customHeight="false" outlineLevel="0" collapsed="false">
      <c r="B2152" s="7" t="n">
        <v>46222</v>
      </c>
      <c r="C2152" s="3" t="s">
        <v>13433</v>
      </c>
      <c r="D2152" s="3" t="s">
        <v>13346</v>
      </c>
      <c r="E2152" s="3" t="s">
        <v>13434</v>
      </c>
      <c r="F2152" s="10" t="str">
        <f aca="false">HYPERLINK("https://www.inaturalist.org/people/sapphiretwirl","sapphiretwirl")</f>
        <v>sapphiretwirl</v>
      </c>
      <c r="G2152" s="9" t="s">
        <v>13</v>
      </c>
      <c r="H2152" s="9" t="s">
        <v>13435</v>
      </c>
    </row>
    <row r="2153" customFormat="false" ht="15.75" hidden="false" customHeight="false" outlineLevel="0" collapsed="false">
      <c r="B2153" s="7" t="n">
        <v>46222</v>
      </c>
      <c r="C2153" s="3" t="s">
        <v>13436</v>
      </c>
      <c r="D2153" s="3" t="s">
        <v>13346</v>
      </c>
      <c r="E2153" s="3" t="s">
        <v>13437</v>
      </c>
      <c r="F2153" s="10" t="str">
        <f aca="false">HYPERLINK("https://www.inaturalist.org/people/onlineisopod","onlineisopod")</f>
        <v>onlineisopod</v>
      </c>
      <c r="G2153" s="9" t="s">
        <v>13</v>
      </c>
      <c r="H2153" s="9" t="s">
        <v>13438</v>
      </c>
    </row>
    <row r="2154" customFormat="false" ht="15.75" hidden="false" customHeight="false" outlineLevel="0" collapsed="false">
      <c r="B2154" s="7" t="n">
        <v>46222</v>
      </c>
      <c r="C2154" s="3" t="s">
        <v>13439</v>
      </c>
      <c r="D2154" s="3" t="s">
        <v>13346</v>
      </c>
      <c r="E2154" s="3" t="s">
        <v>13440</v>
      </c>
      <c r="F2154" s="10" t="str">
        <f aca="false">HYPERLINK("https://www.inaturalist.org/people/radicus","radicus")</f>
        <v>radicus</v>
      </c>
      <c r="G2154" s="9" t="s">
        <v>13</v>
      </c>
      <c r="H2154" s="9" t="s">
        <v>13441</v>
      </c>
    </row>
    <row r="2155" customFormat="false" ht="15.75" hidden="false" customHeight="false" outlineLevel="0" collapsed="false">
      <c r="B2155" s="7" t="n">
        <v>46222</v>
      </c>
      <c r="C2155" s="3" t="s">
        <v>13442</v>
      </c>
      <c r="D2155" s="3" t="s">
        <v>13346</v>
      </c>
      <c r="E2155" s="3" t="s">
        <v>13443</v>
      </c>
      <c r="F2155" s="10" t="str">
        <f aca="false">HYPERLINK("https://www.inaturalist.org/people/prettylittleblackbird","prettylittleblackbird")</f>
        <v>prettylittleblackbird</v>
      </c>
      <c r="G2155" s="9" t="s">
        <v>13</v>
      </c>
      <c r="H2155" s="9" t="s">
        <v>13444</v>
      </c>
    </row>
    <row r="2156" customFormat="false" ht="15.75" hidden="false" customHeight="false" outlineLevel="0" collapsed="false">
      <c r="B2156" s="7" t="n">
        <v>46222</v>
      </c>
      <c r="C2156" s="3" t="s">
        <v>13445</v>
      </c>
      <c r="D2156" s="3" t="s">
        <v>13346</v>
      </c>
      <c r="E2156" s="3" t="s">
        <v>13446</v>
      </c>
      <c r="F2156" s="10" t="str">
        <f aca="false">HYPERLINK("https://www.inaturalist.org/people/mintslice","mintslice")</f>
        <v>mintslice</v>
      </c>
      <c r="G2156" s="9" t="s">
        <v>13</v>
      </c>
      <c r="H2156" s="9" t="s">
        <v>13447</v>
      </c>
    </row>
    <row r="2157" customFormat="false" ht="15.75" hidden="false" customHeight="false" outlineLevel="0" collapsed="false">
      <c r="B2157" s="7" t="n">
        <v>46222</v>
      </c>
      <c r="C2157" s="3" t="s">
        <v>13448</v>
      </c>
      <c r="D2157" s="3" t="s">
        <v>13346</v>
      </c>
      <c r="E2157" s="3" t="s">
        <v>13449</v>
      </c>
      <c r="F2157" s="10" t="str">
        <f aca="false">HYPERLINK("https://www.inaturalist.org/people/mintslice","mintslice")</f>
        <v>mintslice</v>
      </c>
      <c r="G2157" s="9" t="s">
        <v>13</v>
      </c>
      <c r="H2157" s="9" t="s">
        <v>13450</v>
      </c>
    </row>
    <row r="2158" customFormat="false" ht="15.75" hidden="false" customHeight="false" outlineLevel="0" collapsed="false">
      <c r="B2158" s="7" t="n">
        <v>46222</v>
      </c>
      <c r="C2158" s="3" t="s">
        <v>13451</v>
      </c>
      <c r="D2158" s="3" t="s">
        <v>13346</v>
      </c>
      <c r="E2158" s="3" t="s">
        <v>13452</v>
      </c>
      <c r="F2158" s="10" t="str">
        <f aca="false">HYPERLINK("https://www.inaturalist.org/people/aftonhelen","aftonhelen")</f>
        <v>aftonhelen</v>
      </c>
      <c r="G2158" s="9" t="s">
        <v>13</v>
      </c>
      <c r="H2158" s="9" t="s">
        <v>13453</v>
      </c>
    </row>
    <row r="2159" customFormat="false" ht="15.75" hidden="false" customHeight="false" outlineLevel="0" collapsed="false">
      <c r="B2159" s="7" t="n">
        <v>46222</v>
      </c>
      <c r="C2159" s="3" t="s">
        <v>13454</v>
      </c>
      <c r="D2159" s="3" t="s">
        <v>13346</v>
      </c>
      <c r="E2159" s="3" t="s">
        <v>13455</v>
      </c>
      <c r="F2159" s="10" t="str">
        <f aca="false">HYPERLINK("https://www.inaturalist.org/people/aruston07","aruston07")</f>
        <v>aruston07</v>
      </c>
      <c r="G2159" s="9" t="s">
        <v>13</v>
      </c>
      <c r="H2159" s="9" t="s">
        <v>13456</v>
      </c>
    </row>
    <row r="2160" customFormat="false" ht="15.75" hidden="false" customHeight="false" outlineLevel="0" collapsed="false">
      <c r="B2160" s="7" t="n">
        <v>46222</v>
      </c>
      <c r="C2160" s="3" t="s">
        <v>13457</v>
      </c>
      <c r="D2160" s="3" t="s">
        <v>13346</v>
      </c>
      <c r="E2160" s="3" t="s">
        <v>13458</v>
      </c>
      <c r="F2160" s="10" t="str">
        <f aca="false">HYPERLINK("https://www.inaturalist.org/people/aftonhelen","aftonhelen")</f>
        <v>aftonhelen</v>
      </c>
      <c r="G2160" s="9" t="s">
        <v>13</v>
      </c>
      <c r="H2160" s="9" t="s">
        <v>13459</v>
      </c>
    </row>
    <row r="2161" customFormat="false" ht="15.75" hidden="false" customHeight="false" outlineLevel="0" collapsed="false">
      <c r="B2161" s="7" t="n">
        <v>46222</v>
      </c>
      <c r="C2161" s="3" t="s">
        <v>13460</v>
      </c>
      <c r="D2161" s="3" t="s">
        <v>13346</v>
      </c>
      <c r="E2161" s="3" t="s">
        <v>13461</v>
      </c>
      <c r="F2161" s="10" t="str">
        <f aca="false">HYPERLINK("https://www.inaturalist.org/people/billmac","billmac")</f>
        <v>billmac</v>
      </c>
      <c r="G2161" s="9" t="s">
        <v>13</v>
      </c>
      <c r="H2161" s="9" t="s">
        <v>13462</v>
      </c>
    </row>
    <row r="2162" customFormat="false" ht="15.75" hidden="false" customHeight="false" outlineLevel="0" collapsed="false">
      <c r="B2162" s="7" t="n">
        <v>46222</v>
      </c>
      <c r="C2162" s="3" t="s">
        <v>13463</v>
      </c>
      <c r="D2162" s="3" t="s">
        <v>13346</v>
      </c>
      <c r="E2162" s="3" t="s">
        <v>13464</v>
      </c>
      <c r="F2162" s="10" t="str">
        <f aca="false">HYPERLINK("https://www.inaturalist.org/people/apcwalina","apcwalina")</f>
        <v>apcwalina</v>
      </c>
      <c r="G2162" s="9" t="s">
        <v>13</v>
      </c>
      <c r="H2162" s="9" t="s">
        <v>13465</v>
      </c>
    </row>
    <row r="2163" customFormat="false" ht="15.75" hidden="false" customHeight="false" outlineLevel="0" collapsed="false">
      <c r="B2163" s="7" t="n">
        <v>46222</v>
      </c>
      <c r="C2163" s="3" t="s">
        <v>13466</v>
      </c>
      <c r="D2163" s="3" t="s">
        <v>13346</v>
      </c>
      <c r="E2163" s="3" t="s">
        <v>13467</v>
      </c>
      <c r="F2163" s="10" t="str">
        <f aca="false">HYPERLINK("https://www.inaturalist.org/people/vcharny","vcharny")</f>
        <v>vcharny</v>
      </c>
      <c r="G2163" s="9" t="s">
        <v>13</v>
      </c>
      <c r="H2163" s="9" t="s">
        <v>13468</v>
      </c>
    </row>
    <row r="2164" customFormat="false" ht="15.75" hidden="false" customHeight="false" outlineLevel="0" collapsed="false">
      <c r="B2164" s="7" t="n">
        <v>46222</v>
      </c>
      <c r="C2164" s="3" t="s">
        <v>13469</v>
      </c>
      <c r="D2164" s="3" t="s">
        <v>13346</v>
      </c>
      <c r="E2164" s="3" t="s">
        <v>13470</v>
      </c>
      <c r="F2164" s="10" t="str">
        <f aca="false">HYPERLINK("https://www.inaturalist.org/people/vcharny","vcharny")</f>
        <v>vcharny</v>
      </c>
      <c r="G2164" s="9" t="s">
        <v>13</v>
      </c>
      <c r="H2164" s="9" t="s">
        <v>13471</v>
      </c>
    </row>
    <row r="2165" customFormat="false" ht="15.75" hidden="false" customHeight="false" outlineLevel="0" collapsed="false">
      <c r="B2165" s="7" t="n">
        <v>46222</v>
      </c>
      <c r="C2165" s="3" t="s">
        <v>13472</v>
      </c>
      <c r="D2165" s="3" t="s">
        <v>13346</v>
      </c>
      <c r="E2165" s="3" t="s">
        <v>13473</v>
      </c>
      <c r="F2165" s="10" t="str">
        <f aca="false">HYPERLINK("https://www.inaturalist.org/people/vcharny","vcharny")</f>
        <v>vcharny</v>
      </c>
      <c r="G2165" s="9" t="s">
        <v>13</v>
      </c>
      <c r="H2165" s="9" t="s">
        <v>13474</v>
      </c>
    </row>
    <row r="2166" customFormat="false" ht="15.75" hidden="false" customHeight="false" outlineLevel="0" collapsed="false">
      <c r="B2166" s="7" t="n">
        <v>46222</v>
      </c>
      <c r="C2166" s="3" t="s">
        <v>13475</v>
      </c>
      <c r="D2166" s="3" t="s">
        <v>13346</v>
      </c>
      <c r="E2166" s="3" t="s">
        <v>13476</v>
      </c>
      <c r="F2166" s="10" t="str">
        <f aca="false">HYPERLINK("https://www.inaturalist.org/people/vcharny","vcharny")</f>
        <v>vcharny</v>
      </c>
      <c r="G2166" s="9" t="s">
        <v>13</v>
      </c>
      <c r="H2166" s="9" t="s">
        <v>13477</v>
      </c>
    </row>
    <row r="2167" customFormat="false" ht="15.75" hidden="false" customHeight="false" outlineLevel="0" collapsed="false">
      <c r="B2167" s="7" t="n">
        <v>46222</v>
      </c>
      <c r="C2167" s="3" t="s">
        <v>13478</v>
      </c>
      <c r="D2167" s="3" t="s">
        <v>13346</v>
      </c>
      <c r="E2167" s="3" t="s">
        <v>13479</v>
      </c>
      <c r="F2167" s="10" t="str">
        <f aca="false">HYPERLINK("https://www.inaturalist.org/people/clairepronk","clairepronk")</f>
        <v>clairepronk</v>
      </c>
      <c r="G2167" s="9" t="s">
        <v>13</v>
      </c>
      <c r="H2167" s="9" t="s">
        <v>13480</v>
      </c>
    </row>
    <row r="2168" customFormat="false" ht="15.75" hidden="false" customHeight="false" outlineLevel="0" collapsed="false">
      <c r="B2168" s="7" t="n">
        <v>46222</v>
      </c>
      <c r="C2168" s="3" t="s">
        <v>13481</v>
      </c>
      <c r="D2168" s="3" t="s">
        <v>13346</v>
      </c>
      <c r="E2168" s="3" t="s">
        <v>13482</v>
      </c>
      <c r="F2168" s="10" t="str">
        <f aca="false">HYPERLINK("https://www.inaturalist.org/people/dea0","dea0")</f>
        <v>dea0</v>
      </c>
      <c r="G2168" s="9" t="s">
        <v>13</v>
      </c>
      <c r="H2168" s="9" t="s">
        <v>13483</v>
      </c>
    </row>
    <row r="2169" customFormat="false" ht="15.75" hidden="false" customHeight="false" outlineLevel="0" collapsed="false">
      <c r="B2169" s="7" t="n">
        <v>46222</v>
      </c>
      <c r="C2169" s="3" t="s">
        <v>13484</v>
      </c>
      <c r="D2169" s="3" t="s">
        <v>13346</v>
      </c>
      <c r="E2169" s="3" t="s">
        <v>13485</v>
      </c>
      <c r="F2169" s="10" t="str">
        <f aca="false">HYPERLINK("https://www.inaturalist.org/people/industryconifer","industryconifer")</f>
        <v>industryconifer</v>
      </c>
      <c r="G2169" s="9" t="s">
        <v>13</v>
      </c>
      <c r="H2169" s="9" t="s">
        <v>13486</v>
      </c>
    </row>
    <row r="2170" customFormat="false" ht="15.75" hidden="false" customHeight="false" outlineLevel="0" collapsed="false">
      <c r="B2170" s="7" t="n">
        <v>46222</v>
      </c>
      <c r="C2170" s="3" t="s">
        <v>13487</v>
      </c>
      <c r="D2170" s="3" t="s">
        <v>13346</v>
      </c>
      <c r="E2170" s="3" t="s">
        <v>13488</v>
      </c>
      <c r="F2170" s="10" t="str">
        <f aca="false">HYPERLINK("https://www.inaturalist.org/people/huafang","huafang")</f>
        <v>huafang</v>
      </c>
      <c r="G2170" s="9" t="s">
        <v>13</v>
      </c>
      <c r="H2170" s="9" t="s">
        <v>13489</v>
      </c>
    </row>
    <row r="2171" customFormat="false" ht="15.75" hidden="false" customHeight="false" outlineLevel="0" collapsed="false">
      <c r="B2171" s="7" t="n">
        <v>46222</v>
      </c>
      <c r="C2171" s="3" t="s">
        <v>13490</v>
      </c>
      <c r="D2171" s="3" t="s">
        <v>13346</v>
      </c>
      <c r="E2171" s="3" t="s">
        <v>13491</v>
      </c>
      <c r="F2171" s="10" t="str">
        <f aca="false">HYPERLINK("https://www.inaturalist.org/people/janetke","janetke")</f>
        <v>janetke</v>
      </c>
      <c r="G2171" s="9" t="s">
        <v>13</v>
      </c>
      <c r="H2171" s="9" t="s">
        <v>13492</v>
      </c>
    </row>
    <row r="2172" customFormat="false" ht="15.75" hidden="false" customHeight="false" outlineLevel="0" collapsed="false">
      <c r="B2172" s="7" t="n">
        <v>46222</v>
      </c>
      <c r="C2172" s="3" t="s">
        <v>13493</v>
      </c>
      <c r="D2172" s="3" t="s">
        <v>13346</v>
      </c>
      <c r="E2172" s="3" t="s">
        <v>13494</v>
      </c>
      <c r="F2172" s="10" t="str">
        <f aca="false">HYPERLINK("https://www.inaturalist.org/people/michaela50351","michaela50351")</f>
        <v>michaela50351</v>
      </c>
      <c r="G2172" s="9" t="s">
        <v>13</v>
      </c>
      <c r="H2172" s="9" t="s">
        <v>13495</v>
      </c>
    </row>
    <row r="2173" customFormat="false" ht="15.75" hidden="false" customHeight="false" outlineLevel="0" collapsed="false">
      <c r="B2173" s="7" t="n">
        <v>46222</v>
      </c>
      <c r="C2173" s="3" t="s">
        <v>13496</v>
      </c>
      <c r="D2173" s="3" t="s">
        <v>13346</v>
      </c>
      <c r="E2173" s="3" t="s">
        <v>13497</v>
      </c>
      <c r="F2173" s="10" t="str">
        <f aca="false">HYPERLINK("https://www.inaturalist.org/people/memebroom","memebroom")</f>
        <v>memebroom</v>
      </c>
      <c r="G2173" s="9" t="s">
        <v>13</v>
      </c>
      <c r="H2173" s="9" t="s">
        <v>13498</v>
      </c>
    </row>
    <row r="2174" customFormat="false" ht="15.75" hidden="false" customHeight="false" outlineLevel="0" collapsed="false">
      <c r="B2174" s="7" t="n">
        <v>46222</v>
      </c>
      <c r="C2174" s="3" t="s">
        <v>13499</v>
      </c>
      <c r="D2174" s="3" t="s">
        <v>13346</v>
      </c>
      <c r="E2174" s="3" t="s">
        <v>13500</v>
      </c>
      <c r="F2174" s="10" t="str">
        <f aca="false">HYPERLINK("https://www.inaturalist.org/people/lis_dale","lis_dale")</f>
        <v>lis_dale</v>
      </c>
      <c r="G2174" s="9" t="s">
        <v>13</v>
      </c>
      <c r="H2174" s="9" t="s">
        <v>13501</v>
      </c>
    </row>
    <row r="2175" customFormat="false" ht="15.75" hidden="false" customHeight="false" outlineLevel="0" collapsed="false">
      <c r="B2175" s="7" t="n">
        <v>46222</v>
      </c>
      <c r="C2175" s="3" t="s">
        <v>13502</v>
      </c>
      <c r="D2175" s="3" t="s">
        <v>13346</v>
      </c>
      <c r="E2175" s="3" t="s">
        <v>13503</v>
      </c>
      <c r="F2175" s="10" t="str">
        <f aca="false">HYPERLINK("https://www.inaturalist.org/people/isabella_b","isabella_b")</f>
        <v>isabella_b</v>
      </c>
      <c r="G2175" s="9" t="s">
        <v>13</v>
      </c>
      <c r="H2175" s="9" t="s">
        <v>13504</v>
      </c>
    </row>
    <row r="2176" customFormat="false" ht="15.75" hidden="false" customHeight="false" outlineLevel="0" collapsed="false">
      <c r="B2176" s="7" t="n">
        <v>46222</v>
      </c>
      <c r="C2176" s="3" t="s">
        <v>13505</v>
      </c>
      <c r="D2176" s="3" t="s">
        <v>13346</v>
      </c>
      <c r="E2176" s="3" t="s">
        <v>13506</v>
      </c>
      <c r="F2176" s="10" t="str">
        <f aca="false">HYPERLINK("https://www.inaturalist.org/people/northernspartan","northernspartan")</f>
        <v>northernspartan</v>
      </c>
      <c r="G2176" s="9" t="s">
        <v>13</v>
      </c>
      <c r="H2176" s="9" t="s">
        <v>13507</v>
      </c>
    </row>
    <row r="2177" customFormat="false" ht="15.75" hidden="false" customHeight="false" outlineLevel="0" collapsed="false">
      <c r="B2177" s="7" t="n">
        <v>46222</v>
      </c>
      <c r="C2177" s="3" t="s">
        <v>13508</v>
      </c>
      <c r="D2177" s="3" t="s">
        <v>13346</v>
      </c>
      <c r="E2177" s="3" t="s">
        <v>13509</v>
      </c>
      <c r="F2177" s="10" t="str">
        <f aca="false">HYPERLINK("https://www.inaturalist.org/people/avaladon","avaladon")</f>
        <v>avaladon</v>
      </c>
      <c r="G2177" s="9" t="s">
        <v>13</v>
      </c>
      <c r="H2177" s="9" t="s">
        <v>13510</v>
      </c>
    </row>
    <row r="2178" customFormat="false" ht="15.75" hidden="false" customHeight="false" outlineLevel="0" collapsed="false">
      <c r="B2178" s="7" t="n">
        <v>46222</v>
      </c>
      <c r="C2178" s="3" t="s">
        <v>13511</v>
      </c>
      <c r="D2178" s="3" t="s">
        <v>13346</v>
      </c>
      <c r="E2178" s="3" t="s">
        <v>13512</v>
      </c>
      <c r="F2178" s="10" t="str">
        <f aca="false">HYPERLINK("https://www.inaturalist.org/people/sethshively","sethshively")</f>
        <v>sethshively</v>
      </c>
      <c r="G2178" s="9" t="s">
        <v>13</v>
      </c>
      <c r="H2178" s="9" t="s">
        <v>13513</v>
      </c>
    </row>
    <row r="2179" customFormat="false" ht="15.75" hidden="false" customHeight="false" outlineLevel="0" collapsed="false">
      <c r="B2179" s="7" t="n">
        <v>46222</v>
      </c>
      <c r="C2179" s="3" t="s">
        <v>13514</v>
      </c>
      <c r="D2179" s="3" t="s">
        <v>13346</v>
      </c>
      <c r="E2179" s="3" t="s">
        <v>13515</v>
      </c>
      <c r="F2179" s="10" t="str">
        <f aca="false">HYPERLINK("https://www.inaturalist.org/people/sethshively","sethshively")</f>
        <v>sethshively</v>
      </c>
      <c r="G2179" s="9" t="s">
        <v>13</v>
      </c>
      <c r="H2179" s="9" t="s">
        <v>13516</v>
      </c>
    </row>
    <row r="2180" customFormat="false" ht="15.75" hidden="false" customHeight="false" outlineLevel="0" collapsed="false">
      <c r="B2180" s="7" t="n">
        <v>46222</v>
      </c>
      <c r="C2180" s="3" t="s">
        <v>13517</v>
      </c>
      <c r="D2180" s="3" t="s">
        <v>13346</v>
      </c>
      <c r="E2180" s="3" t="s">
        <v>13518</v>
      </c>
      <c r="F2180" s="10" t="str">
        <f aca="false">HYPERLINK("https://www.inaturalist.org/people/sethshively","sethshively")</f>
        <v>sethshively</v>
      </c>
      <c r="G2180" s="9" t="s">
        <v>13</v>
      </c>
      <c r="H2180" s="9" t="s">
        <v>13519</v>
      </c>
    </row>
    <row r="2181" customFormat="false" ht="15.75" hidden="false" customHeight="false" outlineLevel="0" collapsed="false">
      <c r="B2181" s="7" t="n">
        <v>46222</v>
      </c>
      <c r="C2181" s="3" t="s">
        <v>13520</v>
      </c>
      <c r="D2181" s="3" t="s">
        <v>13346</v>
      </c>
      <c r="E2181" s="3" t="s">
        <v>13521</v>
      </c>
      <c r="F2181" s="10" t="str">
        <f aca="false">HYPERLINK("https://www.inaturalist.org/people/sethshively","sethshively")</f>
        <v>sethshively</v>
      </c>
      <c r="G2181" s="9" t="s">
        <v>13</v>
      </c>
      <c r="H2181" s="9" t="s">
        <v>13522</v>
      </c>
    </row>
    <row r="2182" customFormat="false" ht="15.75" hidden="false" customHeight="false" outlineLevel="0" collapsed="false">
      <c r="B2182" s="7" t="n">
        <v>46222</v>
      </c>
      <c r="C2182" s="3" t="s">
        <v>13523</v>
      </c>
      <c r="D2182" s="3" t="s">
        <v>13346</v>
      </c>
      <c r="E2182" s="3" t="s">
        <v>13524</v>
      </c>
      <c r="F2182" s="10" t="str">
        <f aca="false">HYPERLINK("https://www.inaturalist.org/people/bexluff2000","bexluff2000")</f>
        <v>bexluff2000</v>
      </c>
      <c r="G2182" s="9" t="s">
        <v>13</v>
      </c>
      <c r="H2182" s="9" t="s">
        <v>13525</v>
      </c>
    </row>
    <row r="2183" customFormat="false" ht="15.75" hidden="false" customHeight="false" outlineLevel="0" collapsed="false">
      <c r="B2183" s="7" t="n">
        <v>46222</v>
      </c>
      <c r="C2183" s="3" t="s">
        <v>13526</v>
      </c>
      <c r="D2183" s="3" t="s">
        <v>13346</v>
      </c>
      <c r="E2183" s="3" t="s">
        <v>13527</v>
      </c>
      <c r="F2183" s="10" t="str">
        <f aca="false">HYPERLINK("https://www.inaturalist.org/people/karen64470","karen64470")</f>
        <v>karen64470</v>
      </c>
      <c r="G2183" s="9" t="s">
        <v>13</v>
      </c>
      <c r="H2183" s="9" t="s">
        <v>13528</v>
      </c>
    </row>
    <row r="2184" customFormat="false" ht="15.75" hidden="false" customHeight="false" outlineLevel="0" collapsed="false">
      <c r="B2184" s="7" t="n">
        <v>46222</v>
      </c>
      <c r="C2184" s="3" t="s">
        <v>13529</v>
      </c>
      <c r="D2184" s="3" t="s">
        <v>13346</v>
      </c>
      <c r="E2184" s="3" t="s">
        <v>13530</v>
      </c>
      <c r="F2184" s="10" t="str">
        <f aca="false">HYPERLINK("https://www.inaturalist.org/people/nicholassteed","nicholassteed")</f>
        <v>nicholassteed</v>
      </c>
      <c r="G2184" s="9" t="s">
        <v>13</v>
      </c>
      <c r="H2184" s="9" t="s">
        <v>13531</v>
      </c>
    </row>
    <row r="2185" customFormat="false" ht="15.75" hidden="false" customHeight="false" outlineLevel="0" collapsed="false">
      <c r="B2185" s="7" t="n">
        <v>46222</v>
      </c>
      <c r="C2185" s="3" t="s">
        <v>13532</v>
      </c>
      <c r="D2185" s="3" t="s">
        <v>13346</v>
      </c>
      <c r="E2185" s="3" t="s">
        <v>13533</v>
      </c>
      <c r="F2185" s="10" t="str">
        <f aca="false">HYPERLINK("https://www.inaturalist.org/people/mggraddy","mggraddy")</f>
        <v>mggraddy</v>
      </c>
      <c r="G2185" s="9" t="s">
        <v>13</v>
      </c>
      <c r="H2185" s="9" t="s">
        <v>13534</v>
      </c>
    </row>
    <row r="2186" customFormat="false" ht="15.75" hidden="false" customHeight="false" outlineLevel="0" collapsed="false">
      <c r="B2186" s="7" t="n">
        <v>46222</v>
      </c>
      <c r="C2186" s="3" t="s">
        <v>13535</v>
      </c>
      <c r="D2186" s="3" t="s">
        <v>13346</v>
      </c>
      <c r="E2186" s="3" t="s">
        <v>13536</v>
      </c>
      <c r="F2186" s="10" t="str">
        <f aca="false">HYPERLINK("https://www.inaturalist.org/people/agave6_tomwalker","agave6_tomwalker")</f>
        <v>agave6_tomwalker</v>
      </c>
      <c r="G2186" s="9" t="s">
        <v>13</v>
      </c>
      <c r="H2186" s="9" t="s">
        <v>13537</v>
      </c>
    </row>
    <row r="2187" customFormat="false" ht="15.75" hidden="false" customHeight="false" outlineLevel="0" collapsed="false">
      <c r="B2187" s="7" t="n">
        <v>46222</v>
      </c>
      <c r="C2187" s="3" t="s">
        <v>13538</v>
      </c>
      <c r="D2187" s="3" t="s">
        <v>13346</v>
      </c>
      <c r="E2187" s="3" t="s">
        <v>13539</v>
      </c>
      <c r="F2187" s="10" t="str">
        <f aca="false">HYPERLINK("https://www.inaturalist.org/people/rbmorris","rbmorris")</f>
        <v>rbmorris</v>
      </c>
      <c r="G2187" s="9" t="s">
        <v>13</v>
      </c>
      <c r="H2187" s="9" t="s">
        <v>13540</v>
      </c>
    </row>
    <row r="2188" customFormat="false" ht="15.75" hidden="false" customHeight="false" outlineLevel="0" collapsed="false">
      <c r="B2188" s="7" t="n">
        <v>46222</v>
      </c>
      <c r="C2188" s="3" t="s">
        <v>13541</v>
      </c>
      <c r="D2188" s="3" t="s">
        <v>13346</v>
      </c>
      <c r="E2188" s="3" t="s">
        <v>13542</v>
      </c>
      <c r="F2188" s="10" t="str">
        <f aca="false">HYPERLINK("https://www.inaturalist.org/people/zogador","zogador")</f>
        <v>zogador</v>
      </c>
      <c r="G2188" s="9" t="s">
        <v>13</v>
      </c>
      <c r="H2188" s="9" t="s">
        <v>13543</v>
      </c>
    </row>
    <row r="2189" customFormat="false" ht="15.75" hidden="false" customHeight="false" outlineLevel="0" collapsed="false">
      <c r="B2189" s="7" t="n">
        <v>46222</v>
      </c>
      <c r="C2189" s="3" t="s">
        <v>13544</v>
      </c>
      <c r="D2189" s="3" t="s">
        <v>13346</v>
      </c>
      <c r="E2189" s="3" t="s">
        <v>13545</v>
      </c>
      <c r="F2189" s="10" t="str">
        <f aca="false">HYPERLINK("https://www.inaturalist.org/people/ladyautumn","ladyautumn")</f>
        <v>ladyautumn</v>
      </c>
      <c r="G2189" s="9" t="s">
        <v>13</v>
      </c>
      <c r="H2189" s="9" t="s">
        <v>13546</v>
      </c>
    </row>
    <row r="2190" customFormat="false" ht="15.75" hidden="false" customHeight="false" outlineLevel="0" collapsed="false">
      <c r="B2190" s="7" t="n">
        <v>46222</v>
      </c>
      <c r="C2190" s="3" t="s">
        <v>13547</v>
      </c>
      <c r="D2190" s="3" t="s">
        <v>13346</v>
      </c>
      <c r="E2190" s="3" t="s">
        <v>13548</v>
      </c>
      <c r="F2190" s="10" t="str">
        <f aca="false">HYPERLINK("https://www.inaturalist.org/people/latalo","latalo")</f>
        <v>latalo</v>
      </c>
      <c r="G2190" s="9" t="s">
        <v>13</v>
      </c>
      <c r="H2190" s="9" t="s">
        <v>13549</v>
      </c>
    </row>
    <row r="2191" customFormat="false" ht="15.75" hidden="false" customHeight="false" outlineLevel="0" collapsed="false">
      <c r="B2191" s="7" t="n">
        <v>46222</v>
      </c>
      <c r="C2191" s="3" t="s">
        <v>13550</v>
      </c>
      <c r="D2191" s="3" t="s">
        <v>13346</v>
      </c>
      <c r="E2191" s="3" t="s">
        <v>13551</v>
      </c>
      <c r="F2191" s="10" t="str">
        <f aca="false">HYPERLINK("https://www.inaturalist.org/people/ladyautumn","ladyautumn")</f>
        <v>ladyautumn</v>
      </c>
      <c r="G2191" s="9" t="s">
        <v>13</v>
      </c>
      <c r="H2191" s="9" t="s">
        <v>13552</v>
      </c>
    </row>
    <row r="2192" customFormat="false" ht="15.75" hidden="false" customHeight="false" outlineLevel="0" collapsed="false">
      <c r="B2192" s="7" t="n">
        <v>46222</v>
      </c>
      <c r="C2192" s="3" t="s">
        <v>13553</v>
      </c>
      <c r="D2192" s="3" t="s">
        <v>13346</v>
      </c>
      <c r="E2192" s="3" t="s">
        <v>13554</v>
      </c>
      <c r="F2192" s="10" t="str">
        <f aca="false">HYPERLINK("https://www.inaturalist.org/people/ladyautumn","ladyautumn")</f>
        <v>ladyautumn</v>
      </c>
      <c r="G2192" s="9" t="s">
        <v>13</v>
      </c>
      <c r="H2192" s="9" t="s">
        <v>13555</v>
      </c>
    </row>
    <row r="2193" customFormat="false" ht="15.75" hidden="false" customHeight="false" outlineLevel="0" collapsed="false">
      <c r="B2193" s="7" t="n">
        <v>46222</v>
      </c>
      <c r="C2193" s="3" t="s">
        <v>13556</v>
      </c>
      <c r="D2193" s="3" t="s">
        <v>13346</v>
      </c>
      <c r="E2193" s="3" t="s">
        <v>13557</v>
      </c>
      <c r="F2193" s="10" t="str">
        <f aca="false">HYPERLINK("https://www.inaturalist.org/people/rotifern","rotifern")</f>
        <v>rotifern</v>
      </c>
      <c r="G2193" s="9" t="s">
        <v>13</v>
      </c>
      <c r="H2193" s="9" t="s">
        <v>13558</v>
      </c>
    </row>
    <row r="2194" customFormat="false" ht="15.75" hidden="false" customHeight="false" outlineLevel="0" collapsed="false">
      <c r="B2194" s="7" t="n">
        <v>46222</v>
      </c>
      <c r="C2194" s="3" t="s">
        <v>13559</v>
      </c>
      <c r="D2194" s="3" t="s">
        <v>13346</v>
      </c>
      <c r="E2194" s="3" t="s">
        <v>13560</v>
      </c>
      <c r="F2194" s="10" t="str">
        <f aca="false">HYPERLINK("https://www.inaturalist.org/people/gravekathryn","gravekathryn")</f>
        <v>gravekathryn</v>
      </c>
      <c r="G2194" s="9" t="s">
        <v>13</v>
      </c>
      <c r="H2194" s="9" t="s">
        <v>13561</v>
      </c>
    </row>
    <row r="2195" customFormat="false" ht="15.75" hidden="false" customHeight="false" outlineLevel="0" collapsed="false">
      <c r="B2195" s="7" t="n">
        <v>46222</v>
      </c>
      <c r="C2195" s="3" t="s">
        <v>13562</v>
      </c>
      <c r="D2195" s="3" t="s">
        <v>13346</v>
      </c>
      <c r="E2195" s="3" t="s">
        <v>13563</v>
      </c>
      <c r="F2195" s="10" t="str">
        <f aca="false">HYPERLINK("https://www.inaturalist.org/people/arvande","arvande")</f>
        <v>arvande</v>
      </c>
      <c r="G2195" s="9" t="s">
        <v>13</v>
      </c>
      <c r="H2195" s="9" t="s">
        <v>13564</v>
      </c>
    </row>
    <row r="2196" customFormat="false" ht="15.75" hidden="false" customHeight="false" outlineLevel="0" collapsed="false">
      <c r="B2196" s="7" t="n">
        <v>46222</v>
      </c>
      <c r="C2196" s="3" t="s">
        <v>13565</v>
      </c>
      <c r="D2196" s="3" t="s">
        <v>13346</v>
      </c>
      <c r="E2196" s="3" t="s">
        <v>13566</v>
      </c>
      <c r="F2196" s="10" t="str">
        <f aca="false">HYPERLINK("https://www.inaturalist.org/people/ladyautumn","ladyautumn")</f>
        <v>ladyautumn</v>
      </c>
      <c r="G2196" s="9" t="s">
        <v>13</v>
      </c>
      <c r="H2196" s="9" t="s">
        <v>13567</v>
      </c>
    </row>
    <row r="2197" customFormat="false" ht="15.75" hidden="false" customHeight="false" outlineLevel="0" collapsed="false">
      <c r="B2197" s="7" t="n">
        <v>46222</v>
      </c>
      <c r="C2197" s="3" t="s">
        <v>13568</v>
      </c>
      <c r="D2197" s="3" t="s">
        <v>13346</v>
      </c>
      <c r="E2197" s="3" t="s">
        <v>13569</v>
      </c>
      <c r="F2197" s="10" t="str">
        <f aca="false">HYPERLINK("https://www.inaturalist.org/people/pglaouto","pglaouto")</f>
        <v>pglaouto</v>
      </c>
      <c r="G2197" s="9" t="s">
        <v>13</v>
      </c>
      <c r="H2197" s="9" t="s">
        <v>13570</v>
      </c>
    </row>
    <row r="2198" customFormat="false" ht="15.75" hidden="false" customHeight="false" outlineLevel="0" collapsed="false">
      <c r="B2198" s="7" t="n">
        <v>46222</v>
      </c>
      <c r="C2198" s="3" t="s">
        <v>13571</v>
      </c>
      <c r="D2198" s="3" t="s">
        <v>13346</v>
      </c>
      <c r="E2198" s="3" t="s">
        <v>13572</v>
      </c>
      <c r="F2198" s="10" t="str">
        <f aca="false">HYPERLINK("https://www.inaturalist.org/people/lynneo","lynneo")</f>
        <v>lynneo</v>
      </c>
      <c r="G2198" s="9" t="s">
        <v>13</v>
      </c>
      <c r="H2198" s="9" t="s">
        <v>13573</v>
      </c>
    </row>
    <row r="2199" customFormat="false" ht="15.75" hidden="false" customHeight="false" outlineLevel="0" collapsed="false">
      <c r="B2199" s="7" t="n">
        <v>46222</v>
      </c>
      <c r="C2199" s="3" t="s">
        <v>13574</v>
      </c>
      <c r="D2199" s="3" t="s">
        <v>13346</v>
      </c>
      <c r="E2199" s="3" t="s">
        <v>13575</v>
      </c>
      <c r="F2199" s="10" t="str">
        <f aca="false">HYPERLINK("https://www.inaturalist.org/people/evoastro","evoastro")</f>
        <v>evoastro</v>
      </c>
      <c r="G2199" s="9" t="s">
        <v>13</v>
      </c>
      <c r="H2199" s="9" t="s">
        <v>13576</v>
      </c>
    </row>
    <row r="2200" customFormat="false" ht="15.75" hidden="false" customHeight="false" outlineLevel="0" collapsed="false">
      <c r="B2200" s="7" t="n">
        <v>46222</v>
      </c>
      <c r="C2200" s="3" t="s">
        <v>13577</v>
      </c>
      <c r="D2200" s="3" t="s">
        <v>13346</v>
      </c>
      <c r="E2200" s="3" t="s">
        <v>13578</v>
      </c>
      <c r="F2200" s="10" t="str">
        <f aca="false">HYPERLINK("https://www.inaturalist.org/people/morganwallace22","morganwallace22")</f>
        <v>morganwallace22</v>
      </c>
      <c r="G2200" s="9" t="s">
        <v>13</v>
      </c>
      <c r="H2200" s="9" t="s">
        <v>13579</v>
      </c>
    </row>
    <row r="2201" customFormat="false" ht="15.75" hidden="false" customHeight="false" outlineLevel="0" collapsed="false">
      <c r="B2201" s="7" t="n">
        <v>46222</v>
      </c>
      <c r="C2201" s="3" t="s">
        <v>13580</v>
      </c>
      <c r="D2201" s="3" t="s">
        <v>13346</v>
      </c>
      <c r="E2201" s="3" t="s">
        <v>13581</v>
      </c>
      <c r="F2201" s="10" t="str">
        <f aca="false">HYPERLINK("https://www.inaturalist.org/people/grumpydwarf","grumpydwarf")</f>
        <v>grumpydwarf</v>
      </c>
      <c r="G2201" s="9" t="s">
        <v>13</v>
      </c>
      <c r="H2201" s="9" t="s">
        <v>13582</v>
      </c>
    </row>
    <row r="2202" customFormat="false" ht="15.75" hidden="false" customHeight="false" outlineLevel="0" collapsed="false">
      <c r="B2202" s="7" t="n">
        <v>46222</v>
      </c>
      <c r="C2202" s="3" t="s">
        <v>13583</v>
      </c>
      <c r="D2202" s="3" t="s">
        <v>13346</v>
      </c>
      <c r="E2202" s="3" t="s">
        <v>13584</v>
      </c>
      <c r="F2202" s="10" t="str">
        <f aca="false">HYPERLINK("https://www.inaturalist.org/people/severalfoxes","severalfoxes")</f>
        <v>severalfoxes</v>
      </c>
      <c r="G2202" s="9" t="s">
        <v>13</v>
      </c>
      <c r="H2202" s="9" t="s">
        <v>13585</v>
      </c>
    </row>
    <row r="2203" customFormat="false" ht="15.75" hidden="false" customHeight="false" outlineLevel="0" collapsed="false">
      <c r="B2203" s="7" t="n">
        <v>46222</v>
      </c>
      <c r="C2203" s="3" t="s">
        <v>13586</v>
      </c>
      <c r="D2203" s="3" t="s">
        <v>13346</v>
      </c>
      <c r="E2203" s="3" t="s">
        <v>13587</v>
      </c>
      <c r="F2203" s="10" t="str">
        <f aca="false">HYPERLINK("https://www.inaturalist.org/people/helena_rodriguez","helena_rodriguez")</f>
        <v>helena_rodriguez</v>
      </c>
      <c r="G2203" s="9" t="s">
        <v>13</v>
      </c>
      <c r="H2203" s="9" t="s">
        <v>13588</v>
      </c>
    </row>
    <row r="2204" customFormat="false" ht="15.75" hidden="false" customHeight="false" outlineLevel="0" collapsed="false">
      <c r="B2204" s="7" t="n">
        <v>46222</v>
      </c>
      <c r="C2204" s="3" t="s">
        <v>13589</v>
      </c>
      <c r="D2204" s="3" t="s">
        <v>13346</v>
      </c>
      <c r="E2204" s="3" t="s">
        <v>13590</v>
      </c>
      <c r="F2204" s="10" t="str">
        <f aca="false">HYPERLINK("https://www.inaturalist.org/people/chich3221","chich3221")</f>
        <v>chich3221</v>
      </c>
      <c r="G2204" s="9" t="s">
        <v>13</v>
      </c>
      <c r="H2204" s="9" t="s">
        <v>13591</v>
      </c>
    </row>
    <row r="2205" customFormat="false" ht="15.75" hidden="false" customHeight="false" outlineLevel="0" collapsed="false">
      <c r="B2205" s="7" t="n">
        <v>46222</v>
      </c>
      <c r="C2205" s="3" t="s">
        <v>13592</v>
      </c>
      <c r="D2205" s="3" t="s">
        <v>13346</v>
      </c>
      <c r="E2205" s="3" t="s">
        <v>13593</v>
      </c>
      <c r="F2205" s="10" t="str">
        <f aca="false">HYPERLINK("https://www.inaturalist.org/people/chich3221","chich3221")</f>
        <v>chich3221</v>
      </c>
      <c r="G2205" s="9" t="s">
        <v>13</v>
      </c>
      <c r="H2205" s="9" t="s">
        <v>13594</v>
      </c>
    </row>
    <row r="2206" customFormat="false" ht="15.75" hidden="false" customHeight="false" outlineLevel="0" collapsed="false">
      <c r="B2206" s="7" t="n">
        <v>46222</v>
      </c>
      <c r="C2206" s="3" t="s">
        <v>13595</v>
      </c>
      <c r="D2206" s="3" t="s">
        <v>13346</v>
      </c>
      <c r="E2206" s="3" t="s">
        <v>13596</v>
      </c>
      <c r="F2206" s="10" t="str">
        <f aca="false">HYPERLINK("https://www.inaturalist.org/people/waynesweeds","waynesweeds")</f>
        <v>waynesweeds</v>
      </c>
      <c r="G2206" s="9" t="s">
        <v>13</v>
      </c>
      <c r="H2206" s="9" t="s">
        <v>13597</v>
      </c>
    </row>
    <row r="2207" customFormat="false" ht="15.75" hidden="false" customHeight="false" outlineLevel="0" collapsed="false">
      <c r="B2207" s="7" t="n">
        <v>46222</v>
      </c>
      <c r="C2207" s="3" t="s">
        <v>13598</v>
      </c>
      <c r="D2207" s="3" t="s">
        <v>13346</v>
      </c>
      <c r="E2207" s="3" t="s">
        <v>13599</v>
      </c>
      <c r="F2207" s="10" t="str">
        <f aca="false">HYPERLINK("https://www.inaturalist.org/people/chich3221","chich3221")</f>
        <v>chich3221</v>
      </c>
      <c r="G2207" s="9" t="s">
        <v>13</v>
      </c>
      <c r="H2207" s="9" t="s">
        <v>13600</v>
      </c>
    </row>
    <row r="2208" customFormat="false" ht="15.75" hidden="false" customHeight="false" outlineLevel="0" collapsed="false">
      <c r="B2208" s="7" t="n">
        <v>46222</v>
      </c>
      <c r="C2208" s="3" t="s">
        <v>13601</v>
      </c>
      <c r="D2208" s="3" t="s">
        <v>13346</v>
      </c>
      <c r="E2208" s="3" t="s">
        <v>13602</v>
      </c>
      <c r="F2208" s="10" t="str">
        <f aca="false">HYPERLINK("https://www.inaturalist.org/people/percy67735","percy67735")</f>
        <v>percy67735</v>
      </c>
      <c r="G2208" s="9" t="s">
        <v>13</v>
      </c>
      <c r="H2208" s="9" t="s">
        <v>13603</v>
      </c>
    </row>
    <row r="2209" customFormat="false" ht="15.75" hidden="false" customHeight="false" outlineLevel="0" collapsed="false">
      <c r="B2209" s="7" t="n">
        <v>46222</v>
      </c>
      <c r="C2209" s="3" t="s">
        <v>13604</v>
      </c>
      <c r="D2209" s="3" t="s">
        <v>13346</v>
      </c>
      <c r="E2209" s="3" t="s">
        <v>13605</v>
      </c>
      <c r="F2209" s="10" t="str">
        <f aca="false">HYPERLINK("https://www.inaturalist.org/people/aodon","aodon")</f>
        <v>aodon</v>
      </c>
      <c r="G2209" s="9" t="s">
        <v>13</v>
      </c>
      <c r="H2209" s="9" t="s">
        <v>13606</v>
      </c>
    </row>
    <row r="2210" customFormat="false" ht="15.75" hidden="false" customHeight="false" outlineLevel="0" collapsed="false">
      <c r="B2210" s="7" t="n">
        <v>46222</v>
      </c>
      <c r="C2210" s="3" t="s">
        <v>13607</v>
      </c>
      <c r="D2210" s="3" t="s">
        <v>13346</v>
      </c>
      <c r="E2210" s="3" t="s">
        <v>13608</v>
      </c>
      <c r="F2210" s="10" t="str">
        <f aca="false">HYPERLINK("https://www.inaturalist.org/people/craigwelden","craigwelden")</f>
        <v>craigwelden</v>
      </c>
      <c r="G2210" s="9" t="s">
        <v>13</v>
      </c>
      <c r="H2210" s="9" t="s">
        <v>13609</v>
      </c>
    </row>
    <row r="2211" customFormat="false" ht="15.75" hidden="false" customHeight="false" outlineLevel="0" collapsed="false">
      <c r="B2211" s="7" t="n">
        <v>46222</v>
      </c>
      <c r="C2211" s="3" t="s">
        <v>13610</v>
      </c>
      <c r="D2211" s="3" t="s">
        <v>13346</v>
      </c>
      <c r="E2211" s="3" t="s">
        <v>13611</v>
      </c>
      <c r="F2211" s="10" t="str">
        <f aca="false">HYPERLINK("https://www.inaturalist.org/people/natalia1990","natalia1990")</f>
        <v>natalia1990</v>
      </c>
      <c r="G2211" s="9" t="s">
        <v>13</v>
      </c>
      <c r="H2211" s="9" t="s">
        <v>13612</v>
      </c>
    </row>
    <row r="2212" customFormat="false" ht="15.75" hidden="false" customHeight="false" outlineLevel="0" collapsed="false">
      <c r="B2212" s="7" t="n">
        <v>46222</v>
      </c>
      <c r="C2212" s="3" t="s">
        <v>13613</v>
      </c>
      <c r="D2212" s="3" t="s">
        <v>13346</v>
      </c>
      <c r="E2212" s="3" t="s">
        <v>13614</v>
      </c>
      <c r="F2212" s="10" t="str">
        <f aca="false">HYPERLINK("https://www.inaturalist.org/people/monikastangel","monikastangel")</f>
        <v>monikastangel</v>
      </c>
      <c r="G2212" s="9" t="s">
        <v>13</v>
      </c>
      <c r="H2212" s="9" t="s">
        <v>13615</v>
      </c>
    </row>
    <row r="2213" customFormat="false" ht="15.75" hidden="false" customHeight="false" outlineLevel="0" collapsed="false">
      <c r="B2213" s="7" t="n">
        <v>46222</v>
      </c>
      <c r="C2213" s="3" t="s">
        <v>13616</v>
      </c>
      <c r="D2213" s="3" t="s">
        <v>13346</v>
      </c>
      <c r="E2213" s="3" t="s">
        <v>13617</v>
      </c>
      <c r="F2213" s="10" t="str">
        <f aca="false">HYPERLINK("https://www.inaturalist.org/people/monikastangel","monikastangel")</f>
        <v>monikastangel</v>
      </c>
      <c r="G2213" s="9" t="s">
        <v>13</v>
      </c>
      <c r="H2213" s="9" t="s">
        <v>13618</v>
      </c>
    </row>
    <row r="2214" customFormat="false" ht="15.75" hidden="false" customHeight="false" outlineLevel="0" collapsed="false">
      <c r="B2214" s="7" t="n">
        <v>46222</v>
      </c>
      <c r="C2214" s="3" t="s">
        <v>13619</v>
      </c>
      <c r="D2214" s="3" t="s">
        <v>13346</v>
      </c>
      <c r="E2214" s="3" t="s">
        <v>13620</v>
      </c>
      <c r="F2214" s="10" t="str">
        <f aca="false">HYPERLINK("https://www.inaturalist.org/people/sosa1998","sosa1998")</f>
        <v>sosa1998</v>
      </c>
      <c r="G2214" s="9" t="s">
        <v>13</v>
      </c>
      <c r="H2214" s="9" t="s">
        <v>13621</v>
      </c>
    </row>
    <row r="2215" customFormat="false" ht="15.75" hidden="false" customHeight="false" outlineLevel="0" collapsed="false">
      <c r="B2215" s="7" t="n">
        <v>46222</v>
      </c>
      <c r="C2215" s="3" t="s">
        <v>13622</v>
      </c>
      <c r="D2215" s="3" t="s">
        <v>13346</v>
      </c>
      <c r="E2215" s="3" t="s">
        <v>13623</v>
      </c>
      <c r="F2215" s="10" t="str">
        <f aca="false">HYPERLINK("https://www.inaturalist.org/people/severalfoxes","severalfoxes")</f>
        <v>severalfoxes</v>
      </c>
      <c r="G2215" s="9" t="s">
        <v>13</v>
      </c>
      <c r="H2215" s="9" t="s">
        <v>13624</v>
      </c>
    </row>
    <row r="2216" customFormat="false" ht="15.75" hidden="false" customHeight="false" outlineLevel="0" collapsed="false">
      <c r="B2216" s="7" t="n">
        <v>46222</v>
      </c>
      <c r="C2216" s="3" t="s">
        <v>13625</v>
      </c>
      <c r="D2216" s="3" t="s">
        <v>13346</v>
      </c>
      <c r="E2216" s="3" t="s">
        <v>13626</v>
      </c>
      <c r="F2216" s="10" t="str">
        <f aca="false">HYPERLINK("https://www.inaturalist.org/people/tanager5228","tanager5228")</f>
        <v>tanager5228</v>
      </c>
      <c r="G2216" s="9" t="s">
        <v>13</v>
      </c>
      <c r="H2216" s="9" t="s">
        <v>13627</v>
      </c>
    </row>
    <row r="2217" customFormat="false" ht="15.75" hidden="false" customHeight="false" outlineLevel="0" collapsed="false">
      <c r="B2217" s="7" t="n">
        <v>46222</v>
      </c>
      <c r="C2217" s="3" t="s">
        <v>13628</v>
      </c>
      <c r="D2217" s="3" t="s">
        <v>13346</v>
      </c>
      <c r="E2217" s="3" t="s">
        <v>13629</v>
      </c>
      <c r="F2217" s="10" t="str">
        <f aca="false">HYPERLINK("https://www.inaturalist.org/people/agave6_tomwalker","agave6_tomwalker")</f>
        <v>agave6_tomwalker</v>
      </c>
      <c r="G2217" s="9" t="s">
        <v>13</v>
      </c>
      <c r="H2217" s="9" t="s">
        <v>13630</v>
      </c>
    </row>
    <row r="2218" customFormat="false" ht="15.75" hidden="false" customHeight="false" outlineLevel="0" collapsed="false">
      <c r="B2218" s="7" t="n">
        <v>46222</v>
      </c>
      <c r="C2218" s="3" t="s">
        <v>13631</v>
      </c>
      <c r="D2218" s="3" t="s">
        <v>13346</v>
      </c>
      <c r="E2218" s="3" t="s">
        <v>13632</v>
      </c>
      <c r="F2218" s="10" t="str">
        <f aca="false">HYPERLINK("https://www.inaturalist.org/people/agave6_tomwalker","agave6_tomwalker")</f>
        <v>agave6_tomwalker</v>
      </c>
      <c r="G2218" s="9" t="s">
        <v>13</v>
      </c>
      <c r="H2218" s="9" t="s">
        <v>13633</v>
      </c>
    </row>
    <row r="2219" customFormat="false" ht="15.75" hidden="false" customHeight="false" outlineLevel="0" collapsed="false">
      <c r="B2219" s="7" t="n">
        <v>46222</v>
      </c>
      <c r="C2219" s="3" t="s">
        <v>13634</v>
      </c>
      <c r="D2219" s="3" t="s">
        <v>13346</v>
      </c>
      <c r="E2219" s="3" t="s">
        <v>13635</v>
      </c>
      <c r="F2219" s="10" t="str">
        <f aca="false">HYPERLINK("https://www.inaturalist.org/people/monikastangel","monikastangel")</f>
        <v>monikastangel</v>
      </c>
      <c r="G2219" s="9" t="s">
        <v>13</v>
      </c>
      <c r="H2219" s="9" t="s">
        <v>13636</v>
      </c>
    </row>
    <row r="2220" customFormat="false" ht="15.75" hidden="false" customHeight="false" outlineLevel="0" collapsed="false">
      <c r="B2220" s="7" t="n">
        <v>46222</v>
      </c>
      <c r="C2220" s="3" t="s">
        <v>13637</v>
      </c>
      <c r="D2220" s="3" t="s">
        <v>13346</v>
      </c>
      <c r="E2220" s="3" t="s">
        <v>13638</v>
      </c>
      <c r="F2220" s="10" t="str">
        <f aca="false">HYPERLINK("https://www.inaturalist.org/people/hwcrai01","hwcrai01")</f>
        <v>hwcrai01</v>
      </c>
      <c r="G2220" s="9" t="s">
        <v>13</v>
      </c>
      <c r="H2220" s="9" t="s">
        <v>13639</v>
      </c>
    </row>
    <row r="2221" customFormat="false" ht="15.75" hidden="false" customHeight="false" outlineLevel="0" collapsed="false">
      <c r="B2221" s="7" t="n">
        <v>46222</v>
      </c>
      <c r="C2221" s="3" t="s">
        <v>13640</v>
      </c>
      <c r="D2221" s="3" t="s">
        <v>13346</v>
      </c>
      <c r="E2221" s="3" t="s">
        <v>13641</v>
      </c>
      <c r="F2221" s="10" t="str">
        <f aca="false">HYPERLINK("https://www.inaturalist.org/people/monikastangel","monikastangel")</f>
        <v>monikastangel</v>
      </c>
      <c r="G2221" s="9" t="s">
        <v>13</v>
      </c>
      <c r="H2221" s="9" t="s">
        <v>13642</v>
      </c>
    </row>
    <row r="2222" customFormat="false" ht="15.75" hidden="false" customHeight="false" outlineLevel="0" collapsed="false">
      <c r="B2222" s="7" t="n">
        <v>46222</v>
      </c>
      <c r="C2222" s="3" t="s">
        <v>13643</v>
      </c>
      <c r="D2222" s="3" t="s">
        <v>13346</v>
      </c>
      <c r="E2222" s="3" t="s">
        <v>13644</v>
      </c>
      <c r="F2222" s="10" t="str">
        <f aca="false">HYPERLINK("https://www.inaturalist.org/people/cavernmushroom","cavernmushroom")</f>
        <v>cavernmushroom</v>
      </c>
      <c r="G2222" s="9" t="s">
        <v>13</v>
      </c>
      <c r="H2222" s="9" t="s">
        <v>13645</v>
      </c>
    </row>
    <row r="2223" customFormat="false" ht="15.75" hidden="false" customHeight="false" outlineLevel="0" collapsed="false">
      <c r="B2223" s="7" t="n">
        <v>46222</v>
      </c>
      <c r="C2223" s="3" t="s">
        <v>13646</v>
      </c>
      <c r="D2223" s="3" t="s">
        <v>13346</v>
      </c>
      <c r="E2223" s="3" t="s">
        <v>13647</v>
      </c>
      <c r="F2223" s="10" t="str">
        <f aca="false">HYPERLINK("https://www.inaturalist.org/people/cavernmushroom","cavernmushroom")</f>
        <v>cavernmushroom</v>
      </c>
      <c r="G2223" s="9" t="s">
        <v>13</v>
      </c>
      <c r="H2223" s="9" t="s">
        <v>13648</v>
      </c>
    </row>
    <row r="2224" customFormat="false" ht="15.75" hidden="false" customHeight="false" outlineLevel="0" collapsed="false">
      <c r="B2224" s="7" t="n">
        <v>46222</v>
      </c>
      <c r="C2224" s="3" t="s">
        <v>13649</v>
      </c>
      <c r="D2224" s="3" t="s">
        <v>13346</v>
      </c>
      <c r="E2224" s="3" t="s">
        <v>13650</v>
      </c>
      <c r="F2224" s="10" t="str">
        <f aca="false">HYPERLINK("https://www.inaturalist.org/people/zoealamillo","zoealamillo")</f>
        <v>zoealamillo</v>
      </c>
      <c r="G2224" s="9" t="s">
        <v>13</v>
      </c>
      <c r="H2224" s="9" t="s">
        <v>13651</v>
      </c>
    </row>
    <row r="2225" customFormat="false" ht="15.75" hidden="false" customHeight="false" outlineLevel="0" collapsed="false">
      <c r="B2225" s="7" t="n">
        <v>46222</v>
      </c>
      <c r="C2225" s="3" t="s">
        <v>13652</v>
      </c>
      <c r="D2225" s="3" t="s">
        <v>13346</v>
      </c>
      <c r="E2225" s="3" t="s">
        <v>13653</v>
      </c>
      <c r="F2225" s="10" t="str">
        <f aca="false">HYPERLINK("https://www.inaturalist.org/people/monikastangel","monikastangel")</f>
        <v>monikastangel</v>
      </c>
      <c r="G2225" s="9" t="s">
        <v>13</v>
      </c>
      <c r="H2225" s="9" t="s">
        <v>13654</v>
      </c>
    </row>
    <row r="2226" customFormat="false" ht="15.75" hidden="false" customHeight="false" outlineLevel="0" collapsed="false">
      <c r="B2226" s="7" t="n">
        <v>46222</v>
      </c>
      <c r="C2226" s="3" t="s">
        <v>13655</v>
      </c>
      <c r="D2226" s="3" t="s">
        <v>13346</v>
      </c>
      <c r="E2226" s="3" t="s">
        <v>13656</v>
      </c>
      <c r="F2226" s="10" t="str">
        <f aca="false">HYPERLINK("https://www.inaturalist.org/people/ev_rat","ev_rat")</f>
        <v>ev_rat</v>
      </c>
      <c r="G2226" s="9" t="s">
        <v>13</v>
      </c>
      <c r="H2226" s="9" t="s">
        <v>13657</v>
      </c>
    </row>
    <row r="2227" customFormat="false" ht="15.75" hidden="false" customHeight="false" outlineLevel="0" collapsed="false">
      <c r="B2227" s="7" t="n">
        <v>46222</v>
      </c>
      <c r="C2227" s="3" t="s">
        <v>13658</v>
      </c>
      <c r="D2227" s="3" t="s">
        <v>13346</v>
      </c>
      <c r="E2227" s="3" t="s">
        <v>13659</v>
      </c>
      <c r="F2227" s="10" t="str">
        <f aca="false">HYPERLINK("https://www.inaturalist.org/people/eaglesnest7","eaglesnest7")</f>
        <v>eaglesnest7</v>
      </c>
      <c r="G2227" s="9" t="s">
        <v>13</v>
      </c>
      <c r="H2227" s="9" t="s">
        <v>13660</v>
      </c>
    </row>
    <row r="2228" customFormat="false" ht="15.75" hidden="false" customHeight="false" outlineLevel="0" collapsed="false">
      <c r="B2228" s="7" t="n">
        <v>46222</v>
      </c>
      <c r="C2228" s="3" t="s">
        <v>13661</v>
      </c>
      <c r="D2228" s="3" t="s">
        <v>13346</v>
      </c>
      <c r="E2228" s="3" t="s">
        <v>13662</v>
      </c>
      <c r="F2228" s="10" t="str">
        <f aca="false">HYPERLINK("https://www.inaturalist.org/people/ev_rat","ev_rat")</f>
        <v>ev_rat</v>
      </c>
      <c r="G2228" s="9" t="s">
        <v>13</v>
      </c>
      <c r="H2228" s="9" t="s">
        <v>13663</v>
      </c>
    </row>
    <row r="2229" customFormat="false" ht="15.75" hidden="false" customHeight="false" outlineLevel="0" collapsed="false">
      <c r="B2229" s="7" t="n">
        <v>46222</v>
      </c>
      <c r="C2229" s="3" t="s">
        <v>13664</v>
      </c>
      <c r="D2229" s="3" t="s">
        <v>13346</v>
      </c>
      <c r="E2229" s="3" t="s">
        <v>13665</v>
      </c>
      <c r="F2229" s="10" t="str">
        <f aca="false">HYPERLINK("https://www.inaturalist.org/people/glenofthewoods","glenofthewoods")</f>
        <v>glenofthewoods</v>
      </c>
      <c r="G2229" s="9" t="s">
        <v>13</v>
      </c>
      <c r="H2229" s="9" t="s">
        <v>13666</v>
      </c>
    </row>
    <row r="2230" customFormat="false" ht="15.75" hidden="false" customHeight="false" outlineLevel="0" collapsed="false">
      <c r="B2230" s="7" t="n">
        <v>46222</v>
      </c>
      <c r="C2230" s="3" t="s">
        <v>13667</v>
      </c>
      <c r="D2230" s="3" t="s">
        <v>13346</v>
      </c>
      <c r="E2230" s="3" t="s">
        <v>13668</v>
      </c>
      <c r="F2230" s="10" t="str">
        <f aca="false">HYPERLINK("https://www.inaturalist.org/people/ev_rat","ev_rat")</f>
        <v>ev_rat</v>
      </c>
      <c r="G2230" s="9" t="s">
        <v>13</v>
      </c>
      <c r="H2230" s="9" t="s">
        <v>13669</v>
      </c>
    </row>
    <row r="2231" customFormat="false" ht="15.75" hidden="false" customHeight="false" outlineLevel="0" collapsed="false">
      <c r="B2231" s="7" t="n">
        <v>46222</v>
      </c>
      <c r="C2231" s="3" t="s">
        <v>13670</v>
      </c>
      <c r="D2231" s="3" t="s">
        <v>13346</v>
      </c>
      <c r="E2231" s="3" t="s">
        <v>13671</v>
      </c>
      <c r="F2231" s="10" t="str">
        <f aca="false">HYPERLINK("https://www.inaturalist.org/people/dgkplay","dgkplay")</f>
        <v>dgkplay</v>
      </c>
      <c r="G2231" s="9" t="s">
        <v>13</v>
      </c>
      <c r="H2231" s="9" t="s">
        <v>13672</v>
      </c>
    </row>
    <row r="2232" customFormat="false" ht="15.75" hidden="false" customHeight="false" outlineLevel="0" collapsed="false">
      <c r="B2232" s="7" t="n">
        <v>46222</v>
      </c>
      <c r="C2232" s="3" t="s">
        <v>13673</v>
      </c>
      <c r="D2232" s="3" t="s">
        <v>13346</v>
      </c>
      <c r="E2232" s="3" t="s">
        <v>13674</v>
      </c>
      <c r="F2232" s="10" t="str">
        <f aca="false">HYPERLINK("https://www.inaturalist.org/people/fungalfan","fungalfan")</f>
        <v>fungalfan</v>
      </c>
      <c r="G2232" s="9" t="s">
        <v>13</v>
      </c>
      <c r="H2232" s="9" t="s">
        <v>13675</v>
      </c>
    </row>
    <row r="2233" customFormat="false" ht="15.75" hidden="false" customHeight="false" outlineLevel="0" collapsed="false">
      <c r="B2233" s="7" t="n">
        <v>46222</v>
      </c>
      <c r="C2233" s="3" t="s">
        <v>13676</v>
      </c>
      <c r="D2233" s="3" t="s">
        <v>13346</v>
      </c>
      <c r="E2233" s="3" t="s">
        <v>13677</v>
      </c>
      <c r="F2233" s="10" t="str">
        <f aca="false">HYPERLINK("https://www.inaturalist.org/people/jenwinnell","jenwinnell")</f>
        <v>jenwinnell</v>
      </c>
      <c r="G2233" s="9" t="s">
        <v>13</v>
      </c>
      <c r="H2233" s="9" t="s">
        <v>13678</v>
      </c>
    </row>
    <row r="2234" customFormat="false" ht="15.75" hidden="false" customHeight="false" outlineLevel="0" collapsed="false">
      <c r="B2234" s="7" t="n">
        <v>46222</v>
      </c>
      <c r="C2234" s="3" t="s">
        <v>13679</v>
      </c>
      <c r="D2234" s="3" t="s">
        <v>13346</v>
      </c>
      <c r="E2234" s="3" t="s">
        <v>13680</v>
      </c>
      <c r="F2234" s="10" t="str">
        <f aca="false">HYPERLINK("https://www.inaturalist.org/people/antonio_26co","antonio_26co")</f>
        <v>antonio_26co</v>
      </c>
      <c r="G2234" s="9" t="s">
        <v>13</v>
      </c>
      <c r="H2234" s="9" t="s">
        <v>13681</v>
      </c>
    </row>
    <row r="2235" customFormat="false" ht="15.75" hidden="false" customHeight="false" outlineLevel="0" collapsed="false">
      <c r="B2235" s="7" t="n">
        <v>46222</v>
      </c>
      <c r="C2235" s="3" t="s">
        <v>13682</v>
      </c>
      <c r="D2235" s="3" t="s">
        <v>13346</v>
      </c>
      <c r="E2235" s="3" t="s">
        <v>13683</v>
      </c>
      <c r="F2235" s="10" t="str">
        <f aca="false">HYPERLINK("https://www.inaturalist.org/people/luchila","luchila")</f>
        <v>luchila</v>
      </c>
      <c r="G2235" s="9" t="s">
        <v>13</v>
      </c>
      <c r="H2235" s="9" t="s">
        <v>13684</v>
      </c>
    </row>
    <row r="2236" customFormat="false" ht="15.75" hidden="false" customHeight="false" outlineLevel="0" collapsed="false">
      <c r="B2236" s="7" t="n">
        <v>46222</v>
      </c>
      <c r="C2236" s="3" t="s">
        <v>13685</v>
      </c>
      <c r="D2236" s="3" t="s">
        <v>13346</v>
      </c>
      <c r="E2236" s="3" t="s">
        <v>13686</v>
      </c>
      <c r="F2236" s="10" t="str">
        <f aca="false">HYPERLINK("https://www.inaturalist.org/people/joana_marques","joana_marques")</f>
        <v>joana_marques</v>
      </c>
      <c r="G2236" s="9" t="s">
        <v>13</v>
      </c>
      <c r="H2236" s="9" t="s">
        <v>13687</v>
      </c>
    </row>
    <row r="2237" customFormat="false" ht="15.75" hidden="false" customHeight="false" outlineLevel="0" collapsed="false">
      <c r="B2237" s="7" t="n">
        <v>46222</v>
      </c>
      <c r="C2237" s="3" t="s">
        <v>13688</v>
      </c>
      <c r="D2237" s="3" t="s">
        <v>13346</v>
      </c>
      <c r="E2237" s="3" t="s">
        <v>13689</v>
      </c>
      <c r="F2237" s="10" t="str">
        <f aca="false">HYPERLINK("https://www.inaturalist.org/people/cjmcdermott","cjmcdermott")</f>
        <v>cjmcdermott</v>
      </c>
      <c r="G2237" s="9" t="s">
        <v>13</v>
      </c>
      <c r="H2237" s="9" t="s">
        <v>13690</v>
      </c>
    </row>
    <row r="2238" customFormat="false" ht="15.75" hidden="false" customHeight="false" outlineLevel="0" collapsed="false">
      <c r="B2238" s="7" t="n">
        <v>46222</v>
      </c>
      <c r="C2238" s="3" t="s">
        <v>13691</v>
      </c>
      <c r="D2238" s="3" t="s">
        <v>13346</v>
      </c>
      <c r="E2238" s="3" t="s">
        <v>13692</v>
      </c>
      <c r="F2238" s="10" t="str">
        <f aca="false">HYPERLINK("https://www.inaturalist.org/people/joana_marques","joana_marques")</f>
        <v>joana_marques</v>
      </c>
      <c r="G2238" s="9" t="s">
        <v>13</v>
      </c>
      <c r="H2238" s="9" t="s">
        <v>13693</v>
      </c>
    </row>
    <row r="2239" customFormat="false" ht="15.75" hidden="false" customHeight="false" outlineLevel="0" collapsed="false">
      <c r="B2239" s="7" t="n">
        <v>46222</v>
      </c>
      <c r="C2239" s="3" t="s">
        <v>13694</v>
      </c>
      <c r="D2239" s="3" t="s">
        <v>13346</v>
      </c>
      <c r="E2239" s="3" t="s">
        <v>13695</v>
      </c>
      <c r="F2239" s="10" t="str">
        <f aca="false">HYPERLINK("https://www.inaturalist.org/people/larsleempoels","larsleempoels")</f>
        <v>larsleempoels</v>
      </c>
      <c r="G2239" s="9" t="s">
        <v>13</v>
      </c>
      <c r="H2239" s="9" t="s">
        <v>13696</v>
      </c>
    </row>
    <row r="2240" customFormat="false" ht="15.75" hidden="false" customHeight="false" outlineLevel="0" collapsed="false">
      <c r="B2240" s="7" t="n">
        <v>46222</v>
      </c>
      <c r="C2240" s="3" t="s">
        <v>13697</v>
      </c>
      <c r="D2240" s="3" t="s">
        <v>13346</v>
      </c>
      <c r="E2240" s="3" t="s">
        <v>13698</v>
      </c>
      <c r="F2240" s="10" t="str">
        <f aca="false">HYPERLINK("https://www.inaturalist.org/people/ms-koch","ms-koch")</f>
        <v>ms-koch</v>
      </c>
      <c r="G2240" s="9" t="s">
        <v>13</v>
      </c>
      <c r="H2240" s="9" t="s">
        <v>13699</v>
      </c>
    </row>
    <row r="2241" customFormat="false" ht="15.75" hidden="false" customHeight="false" outlineLevel="0" collapsed="false">
      <c r="B2241" s="7" t="n">
        <v>46222</v>
      </c>
      <c r="C2241" s="3" t="s">
        <v>13700</v>
      </c>
      <c r="D2241" s="3" t="s">
        <v>13346</v>
      </c>
      <c r="E2241" s="3" t="s">
        <v>13701</v>
      </c>
      <c r="F2241" s="10" t="str">
        <f aca="false">HYPERLINK("https://www.inaturalist.org/people/plantmandrew","plantmandrew")</f>
        <v>plantmandrew</v>
      </c>
      <c r="G2241" s="9" t="s">
        <v>13</v>
      </c>
      <c r="H2241" s="9" t="s">
        <v>13702</v>
      </c>
    </row>
    <row r="2242" customFormat="false" ht="15.75" hidden="false" customHeight="false" outlineLevel="0" collapsed="false">
      <c r="B2242" s="7" t="n">
        <v>46222</v>
      </c>
      <c r="C2242" s="3" t="s">
        <v>13703</v>
      </c>
      <c r="D2242" s="3" t="s">
        <v>13346</v>
      </c>
      <c r="E2242" s="3" t="s">
        <v>13704</v>
      </c>
      <c r="F2242" s="10" t="str">
        <f aca="false">HYPERLINK("https://www.inaturalist.org/people/geometrieva","geometrieva")</f>
        <v>geometrieva</v>
      </c>
      <c r="G2242" s="9" t="s">
        <v>13</v>
      </c>
      <c r="H2242" s="9" t="s">
        <v>13705</v>
      </c>
    </row>
    <row r="2243" customFormat="false" ht="15.75" hidden="false" customHeight="false" outlineLevel="0" collapsed="false">
      <c r="B2243" s="7" t="n">
        <v>46222</v>
      </c>
      <c r="C2243" s="3" t="s">
        <v>13706</v>
      </c>
      <c r="D2243" s="3" t="s">
        <v>13346</v>
      </c>
      <c r="E2243" s="3" t="s">
        <v>13707</v>
      </c>
      <c r="F2243" s="10" t="str">
        <f aca="false">HYPERLINK("https://www.inaturalist.org/people/wanderingeden","wanderingeden")</f>
        <v>wanderingeden</v>
      </c>
      <c r="G2243" s="9" t="s">
        <v>13</v>
      </c>
      <c r="H2243" s="9" t="s">
        <v>13708</v>
      </c>
    </row>
    <row r="2244" customFormat="false" ht="15.75" hidden="false" customHeight="false" outlineLevel="0" collapsed="false">
      <c r="B2244" s="7" t="n">
        <v>46222</v>
      </c>
      <c r="C2244" s="3" t="s">
        <v>13709</v>
      </c>
      <c r="D2244" s="3" t="s">
        <v>13346</v>
      </c>
      <c r="E2244" s="3" t="s">
        <v>13710</v>
      </c>
      <c r="F2244" s="10" t="str">
        <f aca="false">HYPERLINK("https://www.inaturalist.org/people/lkeifer","lkeifer")</f>
        <v>lkeifer</v>
      </c>
      <c r="G2244" s="9" t="s">
        <v>13</v>
      </c>
      <c r="H2244" s="9" t="s">
        <v>13711</v>
      </c>
    </row>
    <row r="2245" customFormat="false" ht="15.75" hidden="false" customHeight="false" outlineLevel="0" collapsed="false">
      <c r="B2245" s="7" t="n">
        <v>46222</v>
      </c>
      <c r="C2245" s="3" t="s">
        <v>13712</v>
      </c>
      <c r="D2245" s="3" t="s">
        <v>13346</v>
      </c>
      <c r="E2245" s="3" t="s">
        <v>13713</v>
      </c>
      <c r="F2245" s="10" t="str">
        <f aca="false">HYPERLINK("https://www.inaturalist.org/people/lkeifer","lkeifer")</f>
        <v>lkeifer</v>
      </c>
      <c r="G2245" s="9" t="s">
        <v>13</v>
      </c>
      <c r="H2245" s="9" t="s">
        <v>13714</v>
      </c>
    </row>
    <row r="2246" customFormat="false" ht="15.75" hidden="false" customHeight="false" outlineLevel="0" collapsed="false">
      <c r="B2246" s="7" t="n">
        <v>46222</v>
      </c>
      <c r="C2246" s="3" t="s">
        <v>13715</v>
      </c>
      <c r="D2246" s="3" t="s">
        <v>13346</v>
      </c>
      <c r="E2246" s="3" t="s">
        <v>13716</v>
      </c>
      <c r="F2246" s="10" t="str">
        <f aca="false">HYPERLINK("https://www.inaturalist.org/people/lauraharvey","lauraharvey")</f>
        <v>lauraharvey</v>
      </c>
      <c r="G2246" s="9" t="s">
        <v>13</v>
      </c>
      <c r="H2246" s="9" t="s">
        <v>13717</v>
      </c>
    </row>
    <row r="2247" customFormat="false" ht="15.75" hidden="false" customHeight="false" outlineLevel="0" collapsed="false">
      <c r="B2247" s="7" t="n">
        <v>46222</v>
      </c>
      <c r="C2247" s="3" t="s">
        <v>13718</v>
      </c>
      <c r="D2247" s="3" t="s">
        <v>13346</v>
      </c>
      <c r="E2247" s="3" t="s">
        <v>13719</v>
      </c>
      <c r="F2247" s="10" t="str">
        <f aca="false">HYPERLINK("https://www.inaturalist.org/people/jerrychorizo","jerrychorizo")</f>
        <v>jerrychorizo</v>
      </c>
      <c r="G2247" s="9" t="s">
        <v>13</v>
      </c>
      <c r="H2247" s="9" t="s">
        <v>13720</v>
      </c>
    </row>
    <row r="2248" customFormat="false" ht="15.75" hidden="false" customHeight="false" outlineLevel="0" collapsed="false">
      <c r="B2248" s="7" t="n">
        <v>46222</v>
      </c>
      <c r="C2248" s="3" t="s">
        <v>13721</v>
      </c>
      <c r="D2248" s="3" t="s">
        <v>13346</v>
      </c>
      <c r="E2248" s="3" t="s">
        <v>13722</v>
      </c>
      <c r="F2248" s="10" t="str">
        <f aca="false">HYPERLINK("https://www.inaturalist.org/people/jerrychorizo","jerrychorizo")</f>
        <v>jerrychorizo</v>
      </c>
      <c r="G2248" s="9" t="s">
        <v>13</v>
      </c>
      <c r="H2248" s="9" t="s">
        <v>13723</v>
      </c>
    </row>
    <row r="2249" customFormat="false" ht="15.75" hidden="false" customHeight="false" outlineLevel="0" collapsed="false">
      <c r="B2249" s="7" t="n">
        <v>46222</v>
      </c>
      <c r="C2249" s="3" t="s">
        <v>13724</v>
      </c>
      <c r="D2249" s="3" t="s">
        <v>13346</v>
      </c>
      <c r="E2249" s="3" t="s">
        <v>13725</v>
      </c>
      <c r="F2249" s="10" t="str">
        <f aca="false">HYPERLINK("https://www.inaturalist.org/people/mary_anne_bixby","mary_anne_bixby")</f>
        <v>mary_anne_bixby</v>
      </c>
      <c r="G2249" s="9" t="s">
        <v>13</v>
      </c>
      <c r="H2249" s="9" t="s">
        <v>13726</v>
      </c>
    </row>
    <row r="2250" customFormat="false" ht="15.75" hidden="false" customHeight="false" outlineLevel="0" collapsed="false">
      <c r="B2250" s="7" t="n">
        <v>46222</v>
      </c>
      <c r="C2250" s="3" t="s">
        <v>13727</v>
      </c>
      <c r="D2250" s="3" t="s">
        <v>13346</v>
      </c>
      <c r="E2250" s="3" t="s">
        <v>13728</v>
      </c>
      <c r="F2250" s="10" t="str">
        <f aca="false">HYPERLINK("https://www.inaturalist.org/people/freyalikesfauna","freyalikesfauna")</f>
        <v>freyalikesfauna</v>
      </c>
      <c r="G2250" s="9" t="s">
        <v>13</v>
      </c>
      <c r="H2250" s="9" t="s">
        <v>13729</v>
      </c>
    </row>
    <row r="2251" customFormat="false" ht="15.75" hidden="false" customHeight="false" outlineLevel="0" collapsed="false">
      <c r="B2251" s="7" t="n">
        <v>46222</v>
      </c>
      <c r="C2251" s="3" t="s">
        <v>13730</v>
      </c>
      <c r="D2251" s="3" t="s">
        <v>13346</v>
      </c>
      <c r="E2251" s="3" t="s">
        <v>13731</v>
      </c>
      <c r="F2251" s="10" t="str">
        <f aca="false">HYPERLINK("https://www.inaturalist.org/people/plantmandrew","plantmandrew")</f>
        <v>plantmandrew</v>
      </c>
      <c r="G2251" s="9" t="s">
        <v>13</v>
      </c>
      <c r="H2251" s="9" t="s">
        <v>13732</v>
      </c>
    </row>
    <row r="2252" customFormat="false" ht="15.75" hidden="false" customHeight="false" outlineLevel="0" collapsed="false">
      <c r="B2252" s="7" t="n">
        <v>46222</v>
      </c>
      <c r="C2252" s="3" t="s">
        <v>13733</v>
      </c>
      <c r="D2252" s="3" t="s">
        <v>13346</v>
      </c>
      <c r="E2252" s="3" t="s">
        <v>13734</v>
      </c>
      <c r="F2252" s="10" t="str">
        <f aca="false">HYPERLINK("https://www.inaturalist.org/people/plantmandrew","plantmandrew")</f>
        <v>plantmandrew</v>
      </c>
      <c r="G2252" s="9" t="s">
        <v>13</v>
      </c>
      <c r="H2252" s="9" t="s">
        <v>13735</v>
      </c>
    </row>
    <row r="2253" customFormat="false" ht="15.75" hidden="false" customHeight="false" outlineLevel="0" collapsed="false">
      <c r="B2253" s="7" t="n">
        <v>46222</v>
      </c>
      <c r="C2253" s="3" t="s">
        <v>13736</v>
      </c>
      <c r="D2253" s="3" t="s">
        <v>13346</v>
      </c>
      <c r="E2253" s="3" t="s">
        <v>13737</v>
      </c>
      <c r="F2253" s="10" t="str">
        <f aca="false">HYPERLINK("https://www.inaturalist.org/people/sarrr","sarrr")</f>
        <v>sarrr</v>
      </c>
      <c r="G2253" s="9" t="s">
        <v>13</v>
      </c>
      <c r="H2253" s="9" t="s">
        <v>13738</v>
      </c>
    </row>
    <row r="2254" customFormat="false" ht="15.75" hidden="false" customHeight="false" outlineLevel="0" collapsed="false">
      <c r="B2254" s="7" t="n">
        <v>46222</v>
      </c>
      <c r="C2254" s="3" t="s">
        <v>13739</v>
      </c>
      <c r="D2254" s="3" t="s">
        <v>13346</v>
      </c>
      <c r="E2254" s="3" t="s">
        <v>13740</v>
      </c>
      <c r="F2254" s="10" t="str">
        <f aca="false">HYPERLINK("https://www.inaturalist.org/people/tomashovorka","tomashovorka")</f>
        <v>tomashovorka</v>
      </c>
      <c r="G2254" s="9" t="s">
        <v>13</v>
      </c>
      <c r="H2254" s="9" t="s">
        <v>13741</v>
      </c>
    </row>
    <row r="2255" customFormat="false" ht="15.75" hidden="false" customHeight="false" outlineLevel="0" collapsed="false">
      <c r="B2255" s="7" t="n">
        <v>46222</v>
      </c>
      <c r="C2255" s="3" t="s">
        <v>13742</v>
      </c>
      <c r="D2255" s="3" t="s">
        <v>13346</v>
      </c>
      <c r="E2255" s="3" t="s">
        <v>13743</v>
      </c>
      <c r="F2255" s="10" t="str">
        <f aca="false">HYPERLINK("https://www.inaturalist.org/people/ilookaftertherain","ilookaftertherain")</f>
        <v>ilookaftertherain</v>
      </c>
      <c r="G2255" s="9" t="s">
        <v>13</v>
      </c>
      <c r="H2255" s="9" t="s">
        <v>13744</v>
      </c>
    </row>
    <row r="2256" customFormat="false" ht="15.75" hidden="false" customHeight="false" outlineLevel="0" collapsed="false">
      <c r="B2256" s="7" t="n">
        <v>46222</v>
      </c>
      <c r="C2256" s="3" t="s">
        <v>13745</v>
      </c>
      <c r="D2256" s="3" t="s">
        <v>13346</v>
      </c>
      <c r="E2256" s="3" t="s">
        <v>13746</v>
      </c>
      <c r="F2256" s="10" t="str">
        <f aca="false">HYPERLINK("https://www.inaturalist.org/people/samanthaeff","samanthaeff")</f>
        <v>samanthaeff</v>
      </c>
      <c r="G2256" s="9" t="s">
        <v>13</v>
      </c>
      <c r="H2256" s="9" t="s">
        <v>13747</v>
      </c>
    </row>
    <row r="2257" customFormat="false" ht="15.75" hidden="false" customHeight="false" outlineLevel="0" collapsed="false">
      <c r="B2257" s="7" t="n">
        <v>46222</v>
      </c>
      <c r="C2257" s="3" t="s">
        <v>13748</v>
      </c>
      <c r="D2257" s="3" t="s">
        <v>13346</v>
      </c>
      <c r="E2257" s="3" t="s">
        <v>13749</v>
      </c>
      <c r="F2257" s="10" t="str">
        <f aca="false">HYPERLINK("https://www.inaturalist.org/people/ed-in-sidmouth","ed-in-sidmouth")</f>
        <v>ed-in-sidmouth</v>
      </c>
      <c r="G2257" s="9" t="s">
        <v>13</v>
      </c>
      <c r="H2257" s="9" t="s">
        <v>13750</v>
      </c>
    </row>
    <row r="2258" customFormat="false" ht="15.75" hidden="false" customHeight="false" outlineLevel="0" collapsed="false">
      <c r="B2258" s="7" t="n">
        <v>46222</v>
      </c>
      <c r="C2258" s="3" t="s">
        <v>13751</v>
      </c>
      <c r="D2258" s="3" t="s">
        <v>13346</v>
      </c>
      <c r="E2258" s="3" t="s">
        <v>13752</v>
      </c>
      <c r="F2258" s="10" t="str">
        <f aca="false">HYPERLINK("https://www.inaturalist.org/people/janinab","janinab")</f>
        <v>janinab</v>
      </c>
      <c r="G2258" s="9" t="s">
        <v>13</v>
      </c>
      <c r="H2258" s="9" t="s">
        <v>13753</v>
      </c>
    </row>
    <row r="2259" customFormat="false" ht="15.75" hidden="false" customHeight="false" outlineLevel="0" collapsed="false">
      <c r="B2259" s="7" t="n">
        <v>46222</v>
      </c>
      <c r="C2259" s="3" t="s">
        <v>13754</v>
      </c>
      <c r="D2259" s="3" t="s">
        <v>13346</v>
      </c>
      <c r="E2259" s="3" t="s">
        <v>13755</v>
      </c>
      <c r="F2259" s="10" t="str">
        <f aca="false">HYPERLINK("https://www.inaturalist.org/people/ilookaftertherain","ilookaftertherain")</f>
        <v>ilookaftertherain</v>
      </c>
      <c r="G2259" s="9" t="s">
        <v>13</v>
      </c>
      <c r="H2259" s="9" t="s">
        <v>13756</v>
      </c>
    </row>
    <row r="2260" customFormat="false" ht="15.75" hidden="false" customHeight="false" outlineLevel="0" collapsed="false">
      <c r="B2260" s="7" t="n">
        <v>46222</v>
      </c>
      <c r="C2260" s="3" t="s">
        <v>13757</v>
      </c>
      <c r="D2260" s="3" t="s">
        <v>13346</v>
      </c>
      <c r="E2260" s="3" t="s">
        <v>13758</v>
      </c>
      <c r="F2260" s="10" t="str">
        <f aca="false">HYPERLINK("https://www.inaturalist.org/people/corktree","corktree")</f>
        <v>corktree</v>
      </c>
      <c r="G2260" s="9" t="s">
        <v>13</v>
      </c>
      <c r="H2260" s="9" t="s">
        <v>13759</v>
      </c>
    </row>
    <row r="2261" customFormat="false" ht="15.75" hidden="false" customHeight="false" outlineLevel="0" collapsed="false">
      <c r="B2261" s="7" t="n">
        <v>46222</v>
      </c>
      <c r="C2261" s="3" t="s">
        <v>13760</v>
      </c>
      <c r="D2261" s="3" t="s">
        <v>13346</v>
      </c>
      <c r="E2261" s="3" t="s">
        <v>13761</v>
      </c>
      <c r="F2261" s="10" t="str">
        <f aca="false">HYPERLINK("https://www.inaturalist.org/people/pattilou","pattilou")</f>
        <v>pattilou</v>
      </c>
      <c r="G2261" s="9" t="s">
        <v>13</v>
      </c>
      <c r="H2261" s="9" t="s">
        <v>13762</v>
      </c>
    </row>
    <row r="2262" customFormat="false" ht="15.75" hidden="false" customHeight="false" outlineLevel="0" collapsed="false">
      <c r="B2262" s="7" t="n">
        <v>46222</v>
      </c>
      <c r="C2262" s="3" t="s">
        <v>13763</v>
      </c>
      <c r="D2262" s="3" t="s">
        <v>13346</v>
      </c>
      <c r="E2262" s="3" t="s">
        <v>13764</v>
      </c>
      <c r="F2262" s="10" t="str">
        <f aca="false">HYPERLINK("https://www.inaturalist.org/people/ikhom","ikhom")</f>
        <v>ikhom</v>
      </c>
      <c r="G2262" s="9" t="s">
        <v>13</v>
      </c>
      <c r="H2262" s="9" t="s">
        <v>13765</v>
      </c>
    </row>
    <row r="2263" customFormat="false" ht="15.75" hidden="false" customHeight="false" outlineLevel="0" collapsed="false">
      <c r="B2263" s="7" t="n">
        <v>46222</v>
      </c>
      <c r="C2263" s="3" t="s">
        <v>13766</v>
      </c>
      <c r="D2263" s="3" t="s">
        <v>13346</v>
      </c>
      <c r="E2263" s="3" t="s">
        <v>13767</v>
      </c>
      <c r="F2263" s="10" t="str">
        <f aca="false">HYPERLINK("https://www.inaturalist.org/people/ikhom","ikhom")</f>
        <v>ikhom</v>
      </c>
      <c r="G2263" s="9" t="s">
        <v>13</v>
      </c>
      <c r="H2263" s="9" t="s">
        <v>13768</v>
      </c>
    </row>
    <row r="2264" customFormat="false" ht="15.75" hidden="false" customHeight="false" outlineLevel="0" collapsed="false">
      <c r="B2264" s="7" t="n">
        <v>46222</v>
      </c>
      <c r="C2264" s="3" t="s">
        <v>13769</v>
      </c>
      <c r="D2264" s="3" t="s">
        <v>13346</v>
      </c>
      <c r="E2264" s="3" t="s">
        <v>13770</v>
      </c>
      <c r="F2264" s="10" t="str">
        <f aca="false">HYPERLINK("https://www.inaturalist.org/people/oldoakes","oldoakes")</f>
        <v>oldoakes</v>
      </c>
      <c r="G2264" s="9" t="s">
        <v>13</v>
      </c>
      <c r="H2264" s="9" t="s">
        <v>13771</v>
      </c>
    </row>
    <row r="2265" customFormat="false" ht="15.75" hidden="false" customHeight="false" outlineLevel="0" collapsed="false">
      <c r="B2265" s="7" t="n">
        <v>46222</v>
      </c>
      <c r="C2265" s="3" t="s">
        <v>13772</v>
      </c>
      <c r="D2265" s="3" t="s">
        <v>13346</v>
      </c>
      <c r="E2265" s="3" t="s">
        <v>13773</v>
      </c>
      <c r="F2265" s="10" t="str">
        <f aca="false">HYPERLINK("https://www.inaturalist.org/people/oldoakes","oldoakes")</f>
        <v>oldoakes</v>
      </c>
      <c r="G2265" s="9" t="s">
        <v>13</v>
      </c>
      <c r="H2265" s="9" t="s">
        <v>13774</v>
      </c>
    </row>
    <row r="2266" customFormat="false" ht="15.75" hidden="false" customHeight="false" outlineLevel="0" collapsed="false">
      <c r="B2266" s="7" t="n">
        <v>46222</v>
      </c>
      <c r="C2266" s="3" t="s">
        <v>13775</v>
      </c>
      <c r="D2266" s="3" t="s">
        <v>13346</v>
      </c>
      <c r="E2266" s="3" t="s">
        <v>13776</v>
      </c>
      <c r="F2266" s="10" t="str">
        <f aca="false">HYPERLINK("https://www.inaturalist.org/people/oldoakes","oldoakes")</f>
        <v>oldoakes</v>
      </c>
      <c r="G2266" s="9" t="s">
        <v>13</v>
      </c>
      <c r="H2266" s="9" t="s">
        <v>13777</v>
      </c>
    </row>
    <row r="2267" customFormat="false" ht="15.75" hidden="false" customHeight="false" outlineLevel="0" collapsed="false">
      <c r="B2267" s="7" t="n">
        <v>46222</v>
      </c>
      <c r="C2267" s="3" t="s">
        <v>13778</v>
      </c>
      <c r="D2267" s="3" t="s">
        <v>13346</v>
      </c>
      <c r="E2267" s="3" t="s">
        <v>13779</v>
      </c>
      <c r="F2267" s="10" t="str">
        <f aca="false">HYPERLINK("https://www.inaturalist.org/people/oldoakes","oldoakes")</f>
        <v>oldoakes</v>
      </c>
      <c r="G2267" s="9" t="s">
        <v>13</v>
      </c>
      <c r="H2267" s="9" t="s">
        <v>13780</v>
      </c>
    </row>
    <row r="2268" customFormat="false" ht="15.75" hidden="false" customHeight="false" outlineLevel="0" collapsed="false">
      <c r="B2268" s="7" t="n">
        <v>46222</v>
      </c>
      <c r="C2268" s="3" t="s">
        <v>13781</v>
      </c>
      <c r="D2268" s="3" t="s">
        <v>13346</v>
      </c>
      <c r="E2268" s="3" t="s">
        <v>13782</v>
      </c>
      <c r="F2268" s="10" t="str">
        <f aca="false">HYPERLINK("https://www.inaturalist.org/people/oldoakes","oldoakes")</f>
        <v>oldoakes</v>
      </c>
      <c r="G2268" s="9" t="s">
        <v>13</v>
      </c>
      <c r="H2268" s="9" t="s">
        <v>13783</v>
      </c>
    </row>
    <row r="2269" customFormat="false" ht="15.75" hidden="false" customHeight="false" outlineLevel="0" collapsed="false">
      <c r="B2269" s="7" t="n">
        <v>46222</v>
      </c>
      <c r="C2269" s="3" t="s">
        <v>13784</v>
      </c>
      <c r="D2269" s="3" t="s">
        <v>13346</v>
      </c>
      <c r="E2269" s="3" t="s">
        <v>13785</v>
      </c>
      <c r="F2269" s="10" t="str">
        <f aca="false">HYPERLINK("https://www.inaturalist.org/people/skatri","skatri")</f>
        <v>skatri</v>
      </c>
      <c r="G2269" s="9" t="s">
        <v>13</v>
      </c>
      <c r="H2269" s="9" t="s">
        <v>13786</v>
      </c>
    </row>
    <row r="2270" customFormat="false" ht="15.75" hidden="false" customHeight="false" outlineLevel="0" collapsed="false">
      <c r="B2270" s="7" t="n">
        <v>46222</v>
      </c>
      <c r="C2270" s="3" t="s">
        <v>13787</v>
      </c>
      <c r="D2270" s="3" t="s">
        <v>13346</v>
      </c>
      <c r="E2270" s="3" t="s">
        <v>13788</v>
      </c>
      <c r="F2270" s="10" t="str">
        <f aca="false">HYPERLINK("https://www.inaturalist.org/people/oldoakes","oldoakes")</f>
        <v>oldoakes</v>
      </c>
      <c r="G2270" s="9" t="s">
        <v>13</v>
      </c>
      <c r="H2270" s="9" t="s">
        <v>13789</v>
      </c>
    </row>
    <row r="2271" customFormat="false" ht="15.75" hidden="false" customHeight="false" outlineLevel="0" collapsed="false">
      <c r="B2271" s="7" t="n">
        <v>46222</v>
      </c>
      <c r="C2271" s="3" t="s">
        <v>13790</v>
      </c>
      <c r="D2271" s="3" t="s">
        <v>13346</v>
      </c>
      <c r="E2271" s="3" t="s">
        <v>13791</v>
      </c>
      <c r="F2271" s="10" t="str">
        <f aca="false">HYPERLINK("https://www.inaturalist.org/people/skatri","skatri")</f>
        <v>skatri</v>
      </c>
      <c r="G2271" s="9" t="s">
        <v>13</v>
      </c>
      <c r="H2271" s="9" t="s">
        <v>13792</v>
      </c>
    </row>
    <row r="2272" customFormat="false" ht="15.75" hidden="false" customHeight="false" outlineLevel="0" collapsed="false">
      <c r="B2272" s="7" t="n">
        <v>46222</v>
      </c>
      <c r="C2272" s="3" t="s">
        <v>13793</v>
      </c>
      <c r="D2272" s="3" t="s">
        <v>13346</v>
      </c>
      <c r="E2272" s="3" t="s">
        <v>13794</v>
      </c>
      <c r="F2272" s="10" t="str">
        <f aca="false">HYPERLINK("https://www.inaturalist.org/people/toast_enthusiast","toast_enthusiast")</f>
        <v>toast_enthusiast</v>
      </c>
      <c r="G2272" s="9" t="s">
        <v>13</v>
      </c>
      <c r="H2272" s="9" t="s">
        <v>13795</v>
      </c>
    </row>
    <row r="2273" customFormat="false" ht="15.75" hidden="false" customHeight="false" outlineLevel="0" collapsed="false">
      <c r="B2273" s="7" t="n">
        <v>46222</v>
      </c>
      <c r="C2273" s="3" t="s">
        <v>13796</v>
      </c>
      <c r="D2273" s="3" t="s">
        <v>13346</v>
      </c>
      <c r="E2273" s="3" t="s">
        <v>13797</v>
      </c>
      <c r="F2273" s="10" t="str">
        <f aca="false">HYPERLINK("https://www.inaturalist.org/people/toast_enthusiast","toast_enthusiast")</f>
        <v>toast_enthusiast</v>
      </c>
      <c r="G2273" s="9" t="s">
        <v>13</v>
      </c>
      <c r="H2273" s="9" t="s">
        <v>13798</v>
      </c>
    </row>
    <row r="2274" customFormat="false" ht="15.75" hidden="false" customHeight="false" outlineLevel="0" collapsed="false">
      <c r="B2274" s="7" t="n">
        <v>46222</v>
      </c>
      <c r="C2274" s="3" t="s">
        <v>13799</v>
      </c>
      <c r="D2274" s="3" t="s">
        <v>13346</v>
      </c>
      <c r="E2274" s="3" t="s">
        <v>13800</v>
      </c>
      <c r="F2274" s="10" t="str">
        <f aca="false">HYPERLINK("https://www.inaturalist.org/people/davidr","davidr")</f>
        <v>davidr</v>
      </c>
      <c r="G2274" s="9" t="s">
        <v>13</v>
      </c>
      <c r="H2274" s="9" t="s">
        <v>13801</v>
      </c>
    </row>
    <row r="2275" customFormat="false" ht="15.75" hidden="false" customHeight="false" outlineLevel="0" collapsed="false">
      <c r="B2275" s="7" t="n">
        <v>46222</v>
      </c>
      <c r="C2275" s="3" t="s">
        <v>13802</v>
      </c>
      <c r="D2275" s="3" t="s">
        <v>13346</v>
      </c>
      <c r="E2275" s="3" t="s">
        <v>13803</v>
      </c>
      <c r="F2275" s="10" t="str">
        <f aca="false">HYPERLINK("https://www.inaturalist.org/people/ecologyrockstar","ecologyrockstar")</f>
        <v>ecologyrockstar</v>
      </c>
      <c r="G2275" s="9" t="s">
        <v>13</v>
      </c>
      <c r="H2275" s="9" t="s">
        <v>13804</v>
      </c>
    </row>
    <row r="2276" customFormat="false" ht="15.75" hidden="false" customHeight="false" outlineLevel="0" collapsed="false">
      <c r="B2276" s="7" t="n">
        <v>46222</v>
      </c>
      <c r="C2276" s="3" t="s">
        <v>13805</v>
      </c>
      <c r="D2276" s="3" t="s">
        <v>13346</v>
      </c>
      <c r="E2276" s="3" t="s">
        <v>13806</v>
      </c>
      <c r="F2276" s="10" t="str">
        <f aca="false">HYPERLINK("https://www.inaturalist.org/people/skatri","skatri")</f>
        <v>skatri</v>
      </c>
      <c r="G2276" s="9" t="s">
        <v>13</v>
      </c>
      <c r="H2276" s="9" t="s">
        <v>13807</v>
      </c>
    </row>
    <row r="2277" customFormat="false" ht="15.75" hidden="false" customHeight="false" outlineLevel="0" collapsed="false">
      <c r="B2277" s="7" t="n">
        <v>46222</v>
      </c>
      <c r="C2277" s="3" t="s">
        <v>13808</v>
      </c>
      <c r="D2277" s="3" t="s">
        <v>13346</v>
      </c>
      <c r="E2277" s="3" t="s">
        <v>13809</v>
      </c>
      <c r="F2277" s="10" t="str">
        <f aca="false">HYPERLINK("https://www.inaturalist.org/people/birchlady","birchlady")</f>
        <v>birchlady</v>
      </c>
      <c r="G2277" s="9" t="s">
        <v>13</v>
      </c>
      <c r="H2277" s="9" t="s">
        <v>13810</v>
      </c>
    </row>
    <row r="2278" customFormat="false" ht="15.75" hidden="false" customHeight="false" outlineLevel="0" collapsed="false">
      <c r="B2278" s="7" t="n">
        <v>46222</v>
      </c>
      <c r="C2278" s="3" t="s">
        <v>13811</v>
      </c>
      <c r="D2278" s="3" t="s">
        <v>13346</v>
      </c>
      <c r="E2278" s="3" t="s">
        <v>13812</v>
      </c>
      <c r="F2278" s="10" t="str">
        <f aca="false">HYPERLINK("https://www.inaturalist.org/people/raduluchian","raduluchian")</f>
        <v>raduluchian</v>
      </c>
      <c r="G2278" s="9" t="s">
        <v>13</v>
      </c>
      <c r="H2278" s="9" t="s">
        <v>13813</v>
      </c>
    </row>
    <row r="2279" customFormat="false" ht="15.75" hidden="false" customHeight="false" outlineLevel="0" collapsed="false">
      <c r="B2279" s="7" t="n">
        <v>46222</v>
      </c>
      <c r="C2279" s="3" t="s">
        <v>13814</v>
      </c>
      <c r="D2279" s="3" t="s">
        <v>13346</v>
      </c>
      <c r="E2279" s="3" t="s">
        <v>13815</v>
      </c>
      <c r="F2279" s="10" t="str">
        <f aca="false">HYPERLINK("https://www.inaturalist.org/people/lovesrocks","lovesrocks")</f>
        <v>lovesrocks</v>
      </c>
      <c r="G2279" s="9" t="s">
        <v>13</v>
      </c>
      <c r="H2279" s="9" t="s">
        <v>13816</v>
      </c>
    </row>
    <row r="2280" customFormat="false" ht="15.75" hidden="false" customHeight="false" outlineLevel="0" collapsed="false">
      <c r="B2280" s="7" t="n">
        <v>46222</v>
      </c>
      <c r="C2280" s="3" t="s">
        <v>13817</v>
      </c>
      <c r="D2280" s="3" t="s">
        <v>13346</v>
      </c>
      <c r="E2280" s="3" t="s">
        <v>13818</v>
      </c>
      <c r="F2280" s="10" t="str">
        <f aca="false">HYPERLINK("https://www.inaturalist.org/people/skatri","skatri")</f>
        <v>skatri</v>
      </c>
      <c r="G2280" s="9" t="s">
        <v>13</v>
      </c>
      <c r="H2280" s="9" t="s">
        <v>13819</v>
      </c>
    </row>
    <row r="2281" customFormat="false" ht="15.75" hidden="false" customHeight="false" outlineLevel="0" collapsed="false">
      <c r="B2281" s="7" t="n">
        <v>46222</v>
      </c>
      <c r="C2281" s="3" t="s">
        <v>13820</v>
      </c>
      <c r="D2281" s="3" t="s">
        <v>13346</v>
      </c>
      <c r="E2281" s="3" t="s">
        <v>13821</v>
      </c>
      <c r="F2281" s="10" t="str">
        <f aca="false">HYPERLINK("https://www.inaturalist.org/people/ikhom","ikhom")</f>
        <v>ikhom</v>
      </c>
      <c r="G2281" s="9" t="s">
        <v>13</v>
      </c>
      <c r="H2281" s="9" t="s">
        <v>13822</v>
      </c>
    </row>
    <row r="2282" customFormat="false" ht="15.75" hidden="false" customHeight="false" outlineLevel="0" collapsed="false">
      <c r="B2282" s="7" t="n">
        <v>46222</v>
      </c>
      <c r="C2282" s="3" t="s">
        <v>13823</v>
      </c>
      <c r="D2282" s="3" t="s">
        <v>13346</v>
      </c>
      <c r="E2282" s="3" t="s">
        <v>13824</v>
      </c>
      <c r="F2282" s="10" t="str">
        <f aca="false">HYPERLINK("https://www.inaturalist.org/people/makaelaoutside","makaelaoutside")</f>
        <v>makaelaoutside</v>
      </c>
      <c r="G2282" s="9" t="s">
        <v>13</v>
      </c>
      <c r="H2282" s="9" t="s">
        <v>13825</v>
      </c>
    </row>
    <row r="2283" customFormat="false" ht="15.75" hidden="false" customHeight="false" outlineLevel="0" collapsed="false">
      <c r="B2283" s="7" t="n">
        <v>46222</v>
      </c>
      <c r="C2283" s="3" t="s">
        <v>13826</v>
      </c>
      <c r="D2283" s="3" t="s">
        <v>13346</v>
      </c>
      <c r="E2283" s="3" t="s">
        <v>13827</v>
      </c>
      <c r="F2283" s="10" t="str">
        <f aca="false">HYPERLINK("https://www.inaturalist.org/people/neuronomad","neuronomad")</f>
        <v>neuronomad</v>
      </c>
      <c r="G2283" s="9" t="s">
        <v>13</v>
      </c>
      <c r="H2283" s="9" t="s">
        <v>13828</v>
      </c>
    </row>
    <row r="2284" customFormat="false" ht="15.75" hidden="false" customHeight="false" outlineLevel="0" collapsed="false">
      <c r="B2284" s="7" t="n">
        <v>46222</v>
      </c>
      <c r="C2284" s="3" t="s">
        <v>13829</v>
      </c>
      <c r="D2284" s="3" t="s">
        <v>13346</v>
      </c>
      <c r="E2284" s="3" t="s">
        <v>13830</v>
      </c>
      <c r="F2284" s="10" t="str">
        <f aca="false">HYPERLINK("https://www.inaturalist.org/people/akb1005","akb1005")</f>
        <v>akb1005</v>
      </c>
      <c r="G2284" s="9" t="s">
        <v>13</v>
      </c>
      <c r="H2284" s="9" t="s">
        <v>13831</v>
      </c>
    </row>
    <row r="2285" customFormat="false" ht="15.75" hidden="false" customHeight="false" outlineLevel="0" collapsed="false">
      <c r="B2285" s="7" t="n">
        <v>46222</v>
      </c>
      <c r="C2285" s="3" t="s">
        <v>13832</v>
      </c>
      <c r="D2285" s="3" t="s">
        <v>13346</v>
      </c>
      <c r="E2285" s="3" t="s">
        <v>13833</v>
      </c>
      <c r="F2285" s="10" t="str">
        <f aca="false">HYPERLINK("https://www.inaturalist.org/people/jlukkonen","jlukkonen")</f>
        <v>jlukkonen</v>
      </c>
      <c r="G2285" s="9" t="s">
        <v>13</v>
      </c>
      <c r="H2285" s="9" t="s">
        <v>13834</v>
      </c>
    </row>
    <row r="2286" customFormat="false" ht="15.75" hidden="false" customHeight="false" outlineLevel="0" collapsed="false">
      <c r="B2286" s="7" t="n">
        <v>46222</v>
      </c>
      <c r="C2286" s="3" t="s">
        <v>13835</v>
      </c>
      <c r="D2286" s="3" t="s">
        <v>13346</v>
      </c>
      <c r="E2286" s="3" t="s">
        <v>13836</v>
      </c>
      <c r="F2286" s="10" t="str">
        <f aca="false">HYPERLINK("https://www.inaturalist.org/people/szb378","szb378")</f>
        <v>szb378</v>
      </c>
      <c r="G2286" s="9" t="s">
        <v>13</v>
      </c>
      <c r="H2286" s="9" t="s">
        <v>13837</v>
      </c>
    </row>
    <row r="2287" customFormat="false" ht="15.75" hidden="false" customHeight="false" outlineLevel="0" collapsed="false">
      <c r="B2287" s="7" t="n">
        <v>46222</v>
      </c>
      <c r="C2287" s="3" t="s">
        <v>13838</v>
      </c>
      <c r="D2287" s="3" t="s">
        <v>13346</v>
      </c>
      <c r="E2287" s="3" t="s">
        <v>13839</v>
      </c>
      <c r="F2287" s="10" t="str">
        <f aca="false">HYPERLINK("https://www.inaturalist.org/people/szb378","szb378")</f>
        <v>szb378</v>
      </c>
      <c r="G2287" s="9" t="s">
        <v>13</v>
      </c>
      <c r="H2287" s="9" t="s">
        <v>13840</v>
      </c>
    </row>
    <row r="2288" customFormat="false" ht="15.75" hidden="false" customHeight="false" outlineLevel="0" collapsed="false">
      <c r="B2288" s="7" t="n">
        <v>46222</v>
      </c>
      <c r="C2288" s="3" t="s">
        <v>13841</v>
      </c>
      <c r="D2288" s="3" t="s">
        <v>13346</v>
      </c>
      <c r="E2288" s="3" t="s">
        <v>13842</v>
      </c>
      <c r="F2288" s="10" t="str">
        <f aca="false">HYPERLINK("https://www.inaturalist.org/people/polytropic","polytropic")</f>
        <v>polytropic</v>
      </c>
      <c r="G2288" s="9" t="s">
        <v>13</v>
      </c>
      <c r="H2288" s="9" t="s">
        <v>13843</v>
      </c>
    </row>
    <row r="2289" customFormat="false" ht="15.75" hidden="false" customHeight="false" outlineLevel="0" collapsed="false">
      <c r="B2289" s="7" t="n">
        <v>46222</v>
      </c>
      <c r="C2289" s="3" t="s">
        <v>13844</v>
      </c>
      <c r="D2289" s="3" t="s">
        <v>13346</v>
      </c>
      <c r="E2289" s="3" t="s">
        <v>13845</v>
      </c>
      <c r="F2289" s="10" t="str">
        <f aca="false">HYPERLINK("https://www.inaturalist.org/people/blue-dasher","blue-dasher")</f>
        <v>blue-dasher</v>
      </c>
      <c r="G2289" s="9" t="s">
        <v>13</v>
      </c>
      <c r="H2289" s="9" t="s">
        <v>13846</v>
      </c>
    </row>
    <row r="2290" customFormat="false" ht="15.75" hidden="false" customHeight="false" outlineLevel="0" collapsed="false">
      <c r="B2290" s="7" t="n">
        <v>46222</v>
      </c>
      <c r="C2290" s="3" t="s">
        <v>13847</v>
      </c>
      <c r="D2290" s="3" t="s">
        <v>13346</v>
      </c>
      <c r="E2290" s="3" t="s">
        <v>13848</v>
      </c>
      <c r="F2290" s="10" t="str">
        <f aca="false">HYPERLINK("https://www.inaturalist.org/people/lunaofthewoods","lunaofthewoods")</f>
        <v>lunaofthewoods</v>
      </c>
      <c r="G2290" s="9" t="s">
        <v>13</v>
      </c>
      <c r="H2290" s="9" t="s">
        <v>13849</v>
      </c>
    </row>
    <row r="2291" customFormat="false" ht="15.75" hidden="false" customHeight="false" outlineLevel="0" collapsed="false">
      <c r="B2291" s="7" t="n">
        <v>46222</v>
      </c>
      <c r="C2291" s="3" t="s">
        <v>13850</v>
      </c>
      <c r="D2291" s="3" t="s">
        <v>13346</v>
      </c>
      <c r="E2291" s="3" t="s">
        <v>13851</v>
      </c>
      <c r="F2291" s="10" t="str">
        <f aca="false">HYPERLINK("https://www.inaturalist.org/people/lwridge","lwridge")</f>
        <v>lwridge</v>
      </c>
      <c r="G2291" s="9" t="s">
        <v>13</v>
      </c>
      <c r="H2291" s="9" t="s">
        <v>13852</v>
      </c>
    </row>
    <row r="2292" customFormat="false" ht="15.75" hidden="false" customHeight="false" outlineLevel="0" collapsed="false">
      <c r="B2292" s="7" t="n">
        <v>46222</v>
      </c>
      <c r="C2292" s="3" t="s">
        <v>13853</v>
      </c>
      <c r="D2292" s="3" t="s">
        <v>13346</v>
      </c>
      <c r="E2292" s="3" t="s">
        <v>13854</v>
      </c>
      <c r="F2292" s="10" t="str">
        <f aca="false">HYPERLINK("https://www.inaturalist.org/people/lwridge","lwridge")</f>
        <v>lwridge</v>
      </c>
      <c r="G2292" s="9" t="s">
        <v>13</v>
      </c>
      <c r="H2292" s="9" t="s">
        <v>13855</v>
      </c>
    </row>
    <row r="2293" customFormat="false" ht="15.75" hidden="false" customHeight="false" outlineLevel="0" collapsed="false">
      <c r="B2293" s="7" t="n">
        <v>46222</v>
      </c>
      <c r="C2293" s="3" t="s">
        <v>13856</v>
      </c>
      <c r="D2293" s="3" t="s">
        <v>13346</v>
      </c>
      <c r="E2293" s="3" t="s">
        <v>13857</v>
      </c>
      <c r="F2293" s="10" t="str">
        <f aca="false">HYPERLINK("https://www.inaturalist.org/people/akilee","akilee")</f>
        <v>akilee</v>
      </c>
      <c r="G2293" s="9" t="s">
        <v>13</v>
      </c>
      <c r="H2293" s="9" t="s">
        <v>13858</v>
      </c>
    </row>
    <row r="2294" customFormat="false" ht="15.75" hidden="false" customHeight="false" outlineLevel="0" collapsed="false">
      <c r="B2294" s="7" t="n">
        <v>46222</v>
      </c>
      <c r="C2294" s="3" t="s">
        <v>13859</v>
      </c>
      <c r="D2294" s="3" t="s">
        <v>13346</v>
      </c>
      <c r="E2294" s="3" t="s">
        <v>13860</v>
      </c>
      <c r="F2294" s="10" t="str">
        <f aca="false">HYPERLINK("https://www.inaturalist.org/people/jayhart99","jayhart99")</f>
        <v>jayhart99</v>
      </c>
      <c r="G2294" s="9" t="s">
        <v>13</v>
      </c>
      <c r="H2294" s="9" t="s">
        <v>13861</v>
      </c>
    </row>
    <row r="2295" customFormat="false" ht="15.75" hidden="false" customHeight="false" outlineLevel="0" collapsed="false">
      <c r="B2295" s="7" t="n">
        <v>46222</v>
      </c>
      <c r="C2295" s="3" t="s">
        <v>13862</v>
      </c>
      <c r="D2295" s="3" t="s">
        <v>13346</v>
      </c>
      <c r="E2295" s="3" t="s">
        <v>13863</v>
      </c>
      <c r="F2295" s="10" t="str">
        <f aca="false">HYPERLINK("https://www.inaturalist.org/people/jayhart99","jayhart99")</f>
        <v>jayhart99</v>
      </c>
      <c r="G2295" s="9" t="s">
        <v>13</v>
      </c>
      <c r="H2295" s="9" t="s">
        <v>13864</v>
      </c>
    </row>
    <row r="2296" customFormat="false" ht="15.75" hidden="false" customHeight="false" outlineLevel="0" collapsed="false">
      <c r="B2296" s="7" t="n">
        <v>46222</v>
      </c>
      <c r="C2296" s="3" t="s">
        <v>13865</v>
      </c>
      <c r="D2296" s="3" t="s">
        <v>13346</v>
      </c>
      <c r="E2296" s="3" t="s">
        <v>13866</v>
      </c>
      <c r="F2296" s="10" t="str">
        <f aca="false">HYPERLINK("https://www.inaturalist.org/people/paulagiorgio","paulagiorgio")</f>
        <v>paulagiorgio</v>
      </c>
      <c r="G2296" s="9" t="s">
        <v>13</v>
      </c>
      <c r="H2296" s="9" t="s">
        <v>13867</v>
      </c>
    </row>
    <row r="2297" customFormat="false" ht="15.75" hidden="false" customHeight="false" outlineLevel="0" collapsed="false">
      <c r="B2297" s="7" t="n">
        <v>46222</v>
      </c>
      <c r="C2297" s="3" t="s">
        <v>13868</v>
      </c>
      <c r="D2297" s="3" t="s">
        <v>13346</v>
      </c>
      <c r="E2297" s="3" t="s">
        <v>13869</v>
      </c>
      <c r="F2297" s="10" t="str">
        <f aca="false">HYPERLINK("https://www.inaturalist.org/people/brianhof","brianhof")</f>
        <v>brianhof</v>
      </c>
      <c r="G2297" s="9" t="s">
        <v>13</v>
      </c>
      <c r="H2297" s="9" t="s">
        <v>13870</v>
      </c>
    </row>
    <row r="2298" customFormat="false" ht="15.75" hidden="false" customHeight="false" outlineLevel="0" collapsed="false">
      <c r="B2298" s="7" t="n">
        <v>46222</v>
      </c>
      <c r="C2298" s="3" t="s">
        <v>13871</v>
      </c>
      <c r="D2298" s="3" t="s">
        <v>13346</v>
      </c>
      <c r="E2298" s="3" t="s">
        <v>13872</v>
      </c>
      <c r="F2298" s="10" t="str">
        <f aca="false">HYPERLINK("https://www.inaturalist.org/people/jayhart99","jayhart99")</f>
        <v>jayhart99</v>
      </c>
      <c r="G2298" s="9" t="s">
        <v>13</v>
      </c>
      <c r="H2298" s="9" t="s">
        <v>13873</v>
      </c>
    </row>
    <row r="2299" customFormat="false" ht="15.75" hidden="false" customHeight="false" outlineLevel="0" collapsed="false">
      <c r="B2299" s="7" t="n">
        <v>46222</v>
      </c>
      <c r="C2299" s="3" t="s">
        <v>13874</v>
      </c>
      <c r="D2299" s="3" t="s">
        <v>13346</v>
      </c>
      <c r="E2299" s="3" t="s">
        <v>13875</v>
      </c>
      <c r="F2299" s="10" t="str">
        <f aca="false">HYPERLINK("https://www.inaturalist.org/people/kianersss","kianersss")</f>
        <v>kianersss</v>
      </c>
      <c r="G2299" s="9" t="s">
        <v>13</v>
      </c>
      <c r="H2299" s="9" t="s">
        <v>13876</v>
      </c>
    </row>
    <row r="2300" customFormat="false" ht="15.75" hidden="false" customHeight="false" outlineLevel="0" collapsed="false">
      <c r="B2300" s="7" t="n">
        <v>46222</v>
      </c>
      <c r="C2300" s="3" t="s">
        <v>13877</v>
      </c>
      <c r="D2300" s="3" t="s">
        <v>13346</v>
      </c>
      <c r="E2300" s="3" t="s">
        <v>13878</v>
      </c>
      <c r="F2300" s="10" t="str">
        <f aca="false">HYPERLINK("https://www.inaturalist.org/people/martawrzosek","martawrzosek")</f>
        <v>martawrzosek</v>
      </c>
      <c r="G2300" s="9" t="s">
        <v>13</v>
      </c>
      <c r="H2300" s="9" t="s">
        <v>13879</v>
      </c>
    </row>
    <row r="2301" customFormat="false" ht="15.75" hidden="false" customHeight="false" outlineLevel="0" collapsed="false">
      <c r="B2301" s="7" t="n">
        <v>46222</v>
      </c>
      <c r="C2301" s="3" t="s">
        <v>13880</v>
      </c>
      <c r="D2301" s="3" t="s">
        <v>13346</v>
      </c>
      <c r="E2301" s="3" t="s">
        <v>13881</v>
      </c>
      <c r="F2301" s="10" t="str">
        <f aca="false">HYPERLINK("https://www.inaturalist.org/people/jangeerthiddink","jangeerthiddink")</f>
        <v>jangeerthiddink</v>
      </c>
      <c r="G2301" s="9" t="s">
        <v>13</v>
      </c>
      <c r="H2301" s="9" t="s">
        <v>13882</v>
      </c>
    </row>
    <row r="2302" customFormat="false" ht="15.75" hidden="false" customHeight="false" outlineLevel="0" collapsed="false">
      <c r="B2302" s="7" t="n">
        <v>46222</v>
      </c>
      <c r="C2302" s="3" t="s">
        <v>13883</v>
      </c>
      <c r="D2302" s="3" t="s">
        <v>13346</v>
      </c>
      <c r="E2302" s="3" t="s">
        <v>13884</v>
      </c>
      <c r="F2302" s="10" t="str">
        <f aca="false">HYPERLINK("https://www.inaturalist.org/people/birders130","birders130")</f>
        <v>birders130</v>
      </c>
      <c r="G2302" s="9" t="s">
        <v>13</v>
      </c>
      <c r="H2302" s="9" t="s">
        <v>13885</v>
      </c>
    </row>
    <row r="2303" customFormat="false" ht="15.75" hidden="false" customHeight="false" outlineLevel="0" collapsed="false">
      <c r="B2303" s="7" t="n">
        <v>46222</v>
      </c>
      <c r="C2303" s="3" t="s">
        <v>13886</v>
      </c>
      <c r="D2303" s="3" t="s">
        <v>13346</v>
      </c>
      <c r="E2303" s="3" t="s">
        <v>13887</v>
      </c>
      <c r="F2303" s="10" t="str">
        <f aca="false">HYPERLINK("https://www.inaturalist.org/people/rafael_marcondes","rafael_marcondes")</f>
        <v>rafael_marcondes</v>
      </c>
      <c r="G2303" s="9" t="s">
        <v>13</v>
      </c>
      <c r="H2303" s="9" t="s">
        <v>13888</v>
      </c>
    </row>
    <row r="2304" customFormat="false" ht="15.75" hidden="false" customHeight="false" outlineLevel="0" collapsed="false">
      <c r="B2304" s="7" t="n">
        <v>46222</v>
      </c>
      <c r="C2304" s="3" t="s">
        <v>13889</v>
      </c>
      <c r="D2304" s="3" t="s">
        <v>13346</v>
      </c>
      <c r="E2304" s="3" t="s">
        <v>13890</v>
      </c>
      <c r="F2304" s="10" t="str">
        <f aca="false">HYPERLINK("https://www.inaturalist.org/people/jirikocian","jirikocian")</f>
        <v>jirikocian</v>
      </c>
      <c r="G2304" s="9" t="s">
        <v>13</v>
      </c>
      <c r="H2304" s="9" t="s">
        <v>13891</v>
      </c>
    </row>
    <row r="2305" customFormat="false" ht="15.75" hidden="false" customHeight="false" outlineLevel="0" collapsed="false">
      <c r="B2305" s="7" t="n">
        <v>46222</v>
      </c>
      <c r="C2305" s="3" t="s">
        <v>13892</v>
      </c>
      <c r="D2305" s="3" t="s">
        <v>13346</v>
      </c>
      <c r="E2305" s="3" t="s">
        <v>13893</v>
      </c>
      <c r="F2305" s="10" t="str">
        <f aca="false">HYPERLINK("https://www.inaturalist.org/people/hwcrai01","hwcrai01")</f>
        <v>hwcrai01</v>
      </c>
      <c r="G2305" s="9" t="s">
        <v>13</v>
      </c>
      <c r="H2305" s="9" t="s">
        <v>13894</v>
      </c>
    </row>
    <row r="2306" customFormat="false" ht="15.75" hidden="false" customHeight="false" outlineLevel="0" collapsed="false">
      <c r="B2306" s="7" t="n">
        <v>46222</v>
      </c>
      <c r="C2306" s="3" t="s">
        <v>13895</v>
      </c>
      <c r="D2306" s="3" t="s">
        <v>13346</v>
      </c>
      <c r="E2306" s="3" t="s">
        <v>13896</v>
      </c>
      <c r="F2306" s="10" t="str">
        <f aca="false">HYPERLINK("https://www.inaturalist.org/people/merjem11","merjem11")</f>
        <v>merjem11</v>
      </c>
      <c r="G2306" s="9" t="s">
        <v>13</v>
      </c>
      <c r="H2306" s="9" t="s">
        <v>13897</v>
      </c>
    </row>
    <row r="2307" customFormat="false" ht="15.75" hidden="false" customHeight="false" outlineLevel="0" collapsed="false">
      <c r="B2307" s="7" t="n">
        <v>46222</v>
      </c>
      <c r="C2307" s="3" t="s">
        <v>13898</v>
      </c>
      <c r="D2307" s="3" t="s">
        <v>13346</v>
      </c>
      <c r="E2307" s="3" t="s">
        <v>13899</v>
      </c>
      <c r="F2307" s="10" t="str">
        <f aca="false">HYPERLINK("https://www.inaturalist.org/people/martina43904","martina43904")</f>
        <v>martina43904</v>
      </c>
      <c r="G2307" s="9" t="s">
        <v>13</v>
      </c>
      <c r="H2307" s="9" t="s">
        <v>13900</v>
      </c>
    </row>
    <row r="2308" customFormat="false" ht="15.75" hidden="false" customHeight="false" outlineLevel="0" collapsed="false">
      <c r="B2308" s="7" t="n">
        <v>46222</v>
      </c>
      <c r="C2308" s="3" t="s">
        <v>13901</v>
      </c>
      <c r="D2308" s="3" t="s">
        <v>13346</v>
      </c>
      <c r="E2308" s="3" t="s">
        <v>13902</v>
      </c>
      <c r="F2308" s="10" t="str">
        <f aca="false">HYPERLINK("https://www.inaturalist.org/people/martina43904","martina43904")</f>
        <v>martina43904</v>
      </c>
      <c r="G2308" s="9" t="s">
        <v>13</v>
      </c>
      <c r="H2308" s="9" t="s">
        <v>13903</v>
      </c>
    </row>
    <row r="2309" customFormat="false" ht="15.75" hidden="false" customHeight="false" outlineLevel="0" collapsed="false">
      <c r="B2309" s="7" t="n">
        <v>46222</v>
      </c>
      <c r="C2309" s="3" t="s">
        <v>13904</v>
      </c>
      <c r="D2309" s="3" t="s">
        <v>13346</v>
      </c>
      <c r="E2309" s="3" t="s">
        <v>13905</v>
      </c>
      <c r="F2309" s="10" t="str">
        <f aca="false">HYPERLINK("https://www.inaturalist.org/people/martina43904","martina43904")</f>
        <v>martina43904</v>
      </c>
      <c r="G2309" s="9" t="s">
        <v>13</v>
      </c>
      <c r="H2309" s="9" t="s">
        <v>13906</v>
      </c>
    </row>
    <row r="2310" customFormat="false" ht="15.75" hidden="false" customHeight="false" outlineLevel="0" collapsed="false">
      <c r="B2310" s="7" t="n">
        <v>46222</v>
      </c>
      <c r="C2310" s="3" t="s">
        <v>13907</v>
      </c>
      <c r="D2310" s="3" t="s">
        <v>13346</v>
      </c>
      <c r="E2310" s="3" t="s">
        <v>13908</v>
      </c>
      <c r="F2310" s="10" t="str">
        <f aca="false">HYPERLINK("https://www.inaturalist.org/people/sarabarracuda","sarabarracuda")</f>
        <v>sarabarracuda</v>
      </c>
      <c r="G2310" s="9" t="s">
        <v>13</v>
      </c>
      <c r="H2310" s="9" t="s">
        <v>13909</v>
      </c>
    </row>
    <row r="2311" customFormat="false" ht="15.75" hidden="false" customHeight="false" outlineLevel="0" collapsed="false">
      <c r="B2311" s="7" t="n">
        <v>46222</v>
      </c>
      <c r="C2311" s="3" t="s">
        <v>13910</v>
      </c>
      <c r="D2311" s="3" t="s">
        <v>13346</v>
      </c>
      <c r="E2311" s="3" t="s">
        <v>13911</v>
      </c>
      <c r="F2311" s="10" t="str">
        <f aca="false">HYPERLINK("https://www.inaturalist.org/people/sarabarracuda","sarabarracuda")</f>
        <v>sarabarracuda</v>
      </c>
      <c r="G2311" s="9" t="s">
        <v>13</v>
      </c>
      <c r="H2311" s="9" t="s">
        <v>13912</v>
      </c>
    </row>
    <row r="2312" customFormat="false" ht="15.75" hidden="false" customHeight="false" outlineLevel="0" collapsed="false">
      <c r="B2312" s="7" t="n">
        <v>46222</v>
      </c>
      <c r="C2312" s="3" t="s">
        <v>13913</v>
      </c>
      <c r="D2312" s="3" t="s">
        <v>13346</v>
      </c>
      <c r="E2312" s="3" t="s">
        <v>13914</v>
      </c>
      <c r="F2312" s="10" t="str">
        <f aca="false">HYPERLINK("https://www.inaturalist.org/people/birder0288","birder0288")</f>
        <v>birder0288</v>
      </c>
      <c r="G2312" s="9" t="s">
        <v>13</v>
      </c>
      <c r="H2312" s="9" t="s">
        <v>13915</v>
      </c>
    </row>
    <row r="2313" customFormat="false" ht="15.75" hidden="false" customHeight="false" outlineLevel="0" collapsed="false">
      <c r="B2313" s="7" t="n">
        <v>46222</v>
      </c>
      <c r="C2313" s="3" t="s">
        <v>13916</v>
      </c>
      <c r="D2313" s="3" t="s">
        <v>13346</v>
      </c>
      <c r="E2313" s="3" t="s">
        <v>13917</v>
      </c>
      <c r="F2313" s="10" t="str">
        <f aca="false">HYPERLINK("https://www.inaturalist.org/people/johndreynolds","johndreynolds")</f>
        <v>johndreynolds</v>
      </c>
      <c r="G2313" s="9" t="s">
        <v>13</v>
      </c>
      <c r="H2313" s="9" t="s">
        <v>13918</v>
      </c>
    </row>
    <row r="2314" customFormat="false" ht="15.75" hidden="false" customHeight="false" outlineLevel="0" collapsed="false">
      <c r="B2314" s="7" t="n">
        <v>46222</v>
      </c>
      <c r="C2314" s="3" t="s">
        <v>13919</v>
      </c>
      <c r="D2314" s="3" t="s">
        <v>13346</v>
      </c>
      <c r="E2314" s="3" t="s">
        <v>13920</v>
      </c>
      <c r="F2314" s="10" t="str">
        <f aca="false">HYPERLINK("https://www.inaturalist.org/people/jonasbunte","jonasbunte")</f>
        <v>jonasbunte</v>
      </c>
      <c r="G2314" s="9" t="s">
        <v>13</v>
      </c>
      <c r="H2314" s="9" t="s">
        <v>13921</v>
      </c>
    </row>
    <row r="2315" customFormat="false" ht="15.75" hidden="false" customHeight="false" outlineLevel="0" collapsed="false">
      <c r="B2315" s="7" t="n">
        <v>46222</v>
      </c>
      <c r="C2315" s="3" t="s">
        <v>13922</v>
      </c>
      <c r="D2315" s="3" t="s">
        <v>13346</v>
      </c>
      <c r="E2315" s="3" t="s">
        <v>13923</v>
      </c>
      <c r="F2315" s="10" t="str">
        <f aca="false">HYPERLINK("https://www.inaturalist.org/people/jonasbunte","jonasbunte")</f>
        <v>jonasbunte</v>
      </c>
      <c r="G2315" s="9" t="s">
        <v>13</v>
      </c>
      <c r="H2315" s="9" t="s">
        <v>13924</v>
      </c>
    </row>
    <row r="2316" customFormat="false" ht="15.75" hidden="false" customHeight="false" outlineLevel="0" collapsed="false">
      <c r="B2316" s="7" t="n">
        <v>46222</v>
      </c>
      <c r="C2316" s="3" t="s">
        <v>13925</v>
      </c>
      <c r="D2316" s="3" t="s">
        <v>13346</v>
      </c>
      <c r="E2316" s="3" t="s">
        <v>13926</v>
      </c>
      <c r="F2316" s="10" t="str">
        <f aca="false">HYPERLINK("https://www.inaturalist.org/people/jonasbunte","jonasbunte")</f>
        <v>jonasbunte</v>
      </c>
      <c r="G2316" s="9" t="s">
        <v>13</v>
      </c>
      <c r="H2316" s="9" t="s">
        <v>13927</v>
      </c>
    </row>
    <row r="2317" customFormat="false" ht="15.75" hidden="false" customHeight="false" outlineLevel="0" collapsed="false">
      <c r="B2317" s="7" t="n">
        <v>46222</v>
      </c>
      <c r="C2317" s="3" t="s">
        <v>13928</v>
      </c>
      <c r="D2317" s="3" t="s">
        <v>13346</v>
      </c>
      <c r="E2317" s="3" t="s">
        <v>13929</v>
      </c>
      <c r="F2317" s="10" t="str">
        <f aca="false">HYPERLINK("https://www.inaturalist.org/people/fungi_fairy","fungi_fairy")</f>
        <v>fungi_fairy</v>
      </c>
      <c r="G2317" s="9" t="s">
        <v>13</v>
      </c>
      <c r="H2317" s="9" t="s">
        <v>13930</v>
      </c>
    </row>
    <row r="2318" customFormat="false" ht="15.75" hidden="false" customHeight="false" outlineLevel="0" collapsed="false">
      <c r="B2318" s="7" t="n">
        <v>46222</v>
      </c>
      <c r="C2318" s="3" t="s">
        <v>13931</v>
      </c>
      <c r="D2318" s="3" t="s">
        <v>13346</v>
      </c>
      <c r="E2318" s="3" t="s">
        <v>13932</v>
      </c>
      <c r="F2318" s="10" t="str">
        <f aca="false">HYPERLINK("https://www.inaturalist.org/people/the-outside-within","the-outside-within")</f>
        <v>the-outside-within</v>
      </c>
      <c r="G2318" s="9" t="s">
        <v>13</v>
      </c>
      <c r="H2318" s="9" t="s">
        <v>13933</v>
      </c>
    </row>
    <row r="2319" customFormat="false" ht="15.75" hidden="false" customHeight="false" outlineLevel="0" collapsed="false">
      <c r="B2319" s="7" t="n">
        <v>46222</v>
      </c>
      <c r="C2319" s="3" t="s">
        <v>13934</v>
      </c>
      <c r="D2319" s="3" t="s">
        <v>13346</v>
      </c>
      <c r="E2319" s="3" t="s">
        <v>13935</v>
      </c>
      <c r="F2319" s="10" t="str">
        <f aca="false">HYPERLINK("https://www.inaturalist.org/people/yourlocalpaleobiologist","yourlocalpaleobiologist")</f>
        <v>yourlocalpaleobiologist</v>
      </c>
      <c r="G2319" s="9" t="s">
        <v>13</v>
      </c>
      <c r="H2319" s="9" t="s">
        <v>13936</v>
      </c>
    </row>
    <row r="2320" customFormat="false" ht="15.75" hidden="false" customHeight="false" outlineLevel="0" collapsed="false">
      <c r="B2320" s="7" t="n">
        <v>46222</v>
      </c>
      <c r="C2320" s="3" t="s">
        <v>13937</v>
      </c>
      <c r="D2320" s="3" t="s">
        <v>13346</v>
      </c>
      <c r="E2320" s="3" t="s">
        <v>13938</v>
      </c>
      <c r="F2320" s="10" t="str">
        <f aca="false">HYPERLINK("https://www.inaturalist.org/people/nikiaben","nikiaben")</f>
        <v>nikiaben</v>
      </c>
      <c r="G2320" s="9" t="s">
        <v>13</v>
      </c>
      <c r="H2320" s="9" t="s">
        <v>13939</v>
      </c>
    </row>
    <row r="2321" customFormat="false" ht="15.75" hidden="false" customHeight="false" outlineLevel="0" collapsed="false">
      <c r="B2321" s="7" t="n">
        <v>46222</v>
      </c>
      <c r="C2321" s="3" t="s">
        <v>13940</v>
      </c>
      <c r="D2321" s="3" t="s">
        <v>13346</v>
      </c>
      <c r="E2321" s="3" t="s">
        <v>13941</v>
      </c>
      <c r="F2321" s="10" t="str">
        <f aca="false">HYPERLINK("https://www.inaturalist.org/people/kathmcc","kathmcc")</f>
        <v>kathmcc</v>
      </c>
      <c r="G2321" s="9" t="s">
        <v>13</v>
      </c>
      <c r="H2321" s="9" t="s">
        <v>13942</v>
      </c>
    </row>
    <row r="2322" customFormat="false" ht="15.75" hidden="false" customHeight="false" outlineLevel="0" collapsed="false">
      <c r="B2322" s="7" t="n">
        <v>46222</v>
      </c>
      <c r="C2322" s="3" t="s">
        <v>13943</v>
      </c>
      <c r="D2322" s="3" t="s">
        <v>13346</v>
      </c>
      <c r="E2322" s="3" t="s">
        <v>13944</v>
      </c>
      <c r="F2322" s="10" t="str">
        <f aca="false">HYPERLINK("https://www.inaturalist.org/people/irina42392","irina42392")</f>
        <v>irina42392</v>
      </c>
      <c r="G2322" s="9" t="s">
        <v>13</v>
      </c>
      <c r="H2322" s="9" t="s">
        <v>13945</v>
      </c>
    </row>
    <row r="2323" customFormat="false" ht="15.75" hidden="false" customHeight="false" outlineLevel="0" collapsed="false">
      <c r="B2323" s="7" t="n">
        <v>46222</v>
      </c>
      <c r="C2323" s="3" t="s">
        <v>13946</v>
      </c>
      <c r="D2323" s="3" t="s">
        <v>13346</v>
      </c>
      <c r="E2323" s="3" t="s">
        <v>13947</v>
      </c>
      <c r="F2323" s="10" t="str">
        <f aca="false">HYPERLINK("https://www.inaturalist.org/people/davisc1","davisc1")</f>
        <v>davisc1</v>
      </c>
      <c r="G2323" s="9" t="s">
        <v>13</v>
      </c>
      <c r="H2323" s="9" t="s">
        <v>13948</v>
      </c>
    </row>
    <row r="2324" customFormat="false" ht="15.75" hidden="false" customHeight="false" outlineLevel="0" collapsed="false">
      <c r="B2324" s="7" t="n">
        <v>46222</v>
      </c>
      <c r="C2324" s="3" t="s">
        <v>13949</v>
      </c>
      <c r="D2324" s="3" t="s">
        <v>13346</v>
      </c>
      <c r="E2324" s="3" t="s">
        <v>13950</v>
      </c>
      <c r="F2324" s="10" t="str">
        <f aca="false">HYPERLINK("https://www.inaturalist.org/people/curlyjackson","curlyjackson")</f>
        <v>curlyjackson</v>
      </c>
      <c r="G2324" s="9" t="s">
        <v>13</v>
      </c>
      <c r="H2324" s="9" t="s">
        <v>13951</v>
      </c>
    </row>
    <row r="2325" customFormat="false" ht="15.75" hidden="false" customHeight="false" outlineLevel="0" collapsed="false">
      <c r="B2325" s="7" t="n">
        <v>46222</v>
      </c>
      <c r="C2325" s="3" t="s">
        <v>13952</v>
      </c>
      <c r="D2325" s="3" t="s">
        <v>13346</v>
      </c>
      <c r="E2325" s="3" t="s">
        <v>13953</v>
      </c>
      <c r="F2325" s="10" t="str">
        <f aca="false">HYPERLINK("https://www.inaturalist.org/people/csaszarne_erdelyi_katalin","csaszarne_erdelyi_katalin")</f>
        <v>csaszarne_erdelyi_katalin</v>
      </c>
      <c r="G2325" s="9" t="s">
        <v>13</v>
      </c>
      <c r="H2325" s="9" t="s">
        <v>13954</v>
      </c>
    </row>
    <row r="2326" customFormat="false" ht="15.75" hidden="false" customHeight="false" outlineLevel="0" collapsed="false">
      <c r="B2326" s="7" t="n">
        <v>46222</v>
      </c>
      <c r="C2326" s="3" t="s">
        <v>13955</v>
      </c>
      <c r="D2326" s="3" t="s">
        <v>13346</v>
      </c>
      <c r="E2326" s="3" t="s">
        <v>13956</v>
      </c>
      <c r="F2326" s="10" t="str">
        <f aca="false">HYPERLINK("https://www.inaturalist.org/people/csaszarne_erdelyi_katalin","csaszarne_erdelyi_katalin")</f>
        <v>csaszarne_erdelyi_katalin</v>
      </c>
      <c r="G2326" s="9" t="s">
        <v>13</v>
      </c>
      <c r="H2326" s="9" t="s">
        <v>13957</v>
      </c>
    </row>
    <row r="2327" customFormat="false" ht="15.75" hidden="false" customHeight="false" outlineLevel="0" collapsed="false">
      <c r="B2327" s="7" t="n">
        <v>46222</v>
      </c>
      <c r="C2327" s="3" t="s">
        <v>13958</v>
      </c>
      <c r="D2327" s="3" t="s">
        <v>13346</v>
      </c>
      <c r="E2327" s="3" t="s">
        <v>13959</v>
      </c>
      <c r="F2327" s="10" t="str">
        <f aca="false">HYPERLINK("https://www.inaturalist.org/people/valou1546","valou1546")</f>
        <v>valou1546</v>
      </c>
      <c r="G2327" s="9" t="s">
        <v>13</v>
      </c>
      <c r="H2327" s="9" t="s">
        <v>13960</v>
      </c>
    </row>
    <row r="2328" customFormat="false" ht="15.75" hidden="false" customHeight="false" outlineLevel="0" collapsed="false">
      <c r="B2328" s="7" t="n">
        <v>46222</v>
      </c>
      <c r="C2328" s="3" t="s">
        <v>13961</v>
      </c>
      <c r="D2328" s="3" t="s">
        <v>13346</v>
      </c>
      <c r="E2328" s="3" t="s">
        <v>13962</v>
      </c>
      <c r="F2328" s="10" t="str">
        <f aca="false">HYPERLINK("https://www.inaturalist.org/people/pelayo5","pelayo5")</f>
        <v>pelayo5</v>
      </c>
      <c r="G2328" s="9" t="s">
        <v>13</v>
      </c>
      <c r="H2328" s="9" t="s">
        <v>13963</v>
      </c>
    </row>
    <row r="2329" customFormat="false" ht="15.75" hidden="false" customHeight="false" outlineLevel="0" collapsed="false">
      <c r="B2329" s="7" t="n">
        <v>46222</v>
      </c>
      <c r="C2329" s="3" t="s">
        <v>13964</v>
      </c>
      <c r="D2329" s="3" t="s">
        <v>13346</v>
      </c>
      <c r="E2329" s="3" t="s">
        <v>13965</v>
      </c>
      <c r="F2329" s="10" t="str">
        <f aca="false">HYPERLINK("https://www.inaturalist.org/people/dea0","dea0")</f>
        <v>dea0</v>
      </c>
      <c r="G2329" s="9" t="s">
        <v>13</v>
      </c>
      <c r="H2329" s="9" t="s">
        <v>13966</v>
      </c>
    </row>
    <row r="2330" customFormat="false" ht="15.75" hidden="false" customHeight="false" outlineLevel="0" collapsed="false">
      <c r="B2330" s="7" t="n">
        <v>46222</v>
      </c>
      <c r="C2330" s="3" t="s">
        <v>13967</v>
      </c>
      <c r="D2330" s="3" t="s">
        <v>13346</v>
      </c>
      <c r="E2330" s="3" t="s">
        <v>13968</v>
      </c>
      <c r="F2330" s="10" t="str">
        <f aca="false">HYPERLINK("https://www.inaturalist.org/people/steven_dm","steven_dm")</f>
        <v>steven_dm</v>
      </c>
      <c r="G2330" s="9" t="s">
        <v>13</v>
      </c>
      <c r="H2330" s="9" t="s">
        <v>13969</v>
      </c>
    </row>
    <row r="2331" customFormat="false" ht="15.75" hidden="false" customHeight="false" outlineLevel="0" collapsed="false">
      <c r="B2331" s="7" t="n">
        <v>46222</v>
      </c>
      <c r="C2331" s="3" t="s">
        <v>13970</v>
      </c>
      <c r="D2331" s="3" t="s">
        <v>13346</v>
      </c>
      <c r="E2331" s="3" t="s">
        <v>13971</v>
      </c>
      <c r="F2331" s="10" t="str">
        <f aca="false">HYPERLINK("https://www.inaturalist.org/people/claressa88","claressa88")</f>
        <v>claressa88</v>
      </c>
      <c r="G2331" s="9" t="s">
        <v>13</v>
      </c>
      <c r="H2331" s="9" t="s">
        <v>13972</v>
      </c>
    </row>
    <row r="2332" customFormat="false" ht="15.75" hidden="false" customHeight="false" outlineLevel="0" collapsed="false">
      <c r="B2332" s="7" t="n">
        <v>46222</v>
      </c>
      <c r="C2332" s="3" t="s">
        <v>13973</v>
      </c>
      <c r="D2332" s="3" t="s">
        <v>13346</v>
      </c>
      <c r="E2332" s="3" t="s">
        <v>13974</v>
      </c>
      <c r="F2332" s="10" t="str">
        <f aca="false">HYPERLINK("https://www.inaturalist.org/people/dawnborchardt","dawnborchardt")</f>
        <v>dawnborchardt</v>
      </c>
      <c r="G2332" s="9" t="s">
        <v>13</v>
      </c>
      <c r="H2332" s="9" t="s">
        <v>13975</v>
      </c>
    </row>
    <row r="2333" customFormat="false" ht="15.75" hidden="false" customHeight="false" outlineLevel="0" collapsed="false">
      <c r="B2333" s="7" t="n">
        <v>46222</v>
      </c>
      <c r="C2333" s="3" t="s">
        <v>13976</v>
      </c>
      <c r="D2333" s="3" t="s">
        <v>13346</v>
      </c>
      <c r="E2333" s="3" t="s">
        <v>13977</v>
      </c>
      <c r="F2333" s="10" t="str">
        <f aca="false">HYPERLINK("https://www.inaturalist.org/people/delicat","delicat")</f>
        <v>delicat</v>
      </c>
      <c r="G2333" s="9" t="s">
        <v>13</v>
      </c>
      <c r="H2333" s="9" t="s">
        <v>13978</v>
      </c>
    </row>
    <row r="2334" customFormat="false" ht="15.75" hidden="false" customHeight="false" outlineLevel="0" collapsed="false">
      <c r="B2334" s="7" t="n">
        <v>46222</v>
      </c>
      <c r="C2334" s="3" t="s">
        <v>13979</v>
      </c>
      <c r="D2334" s="3" t="s">
        <v>13346</v>
      </c>
      <c r="E2334" s="3" t="s">
        <v>13980</v>
      </c>
      <c r="F2334" s="10" t="str">
        <f aca="false">HYPERLINK("https://www.inaturalist.org/people/jesslrob","jesslrob")</f>
        <v>jesslrob</v>
      </c>
      <c r="G2334" s="9" t="s">
        <v>13</v>
      </c>
      <c r="H2334" s="9" t="s">
        <v>13981</v>
      </c>
    </row>
    <row r="2335" customFormat="false" ht="15.75" hidden="false" customHeight="false" outlineLevel="0" collapsed="false">
      <c r="B2335" s="7" t="n">
        <v>46222</v>
      </c>
      <c r="C2335" s="3" t="s">
        <v>13982</v>
      </c>
      <c r="D2335" s="3" t="s">
        <v>13346</v>
      </c>
      <c r="E2335" s="3" t="s">
        <v>13983</v>
      </c>
      <c r="F2335" s="10" t="str">
        <f aca="false">HYPERLINK("https://www.inaturalist.org/people/cndoull","cndoull")</f>
        <v>cndoull</v>
      </c>
      <c r="G2335" s="9" t="s">
        <v>13</v>
      </c>
      <c r="H2335" s="9" t="s">
        <v>13984</v>
      </c>
    </row>
    <row r="2336" customFormat="false" ht="15.75" hidden="false" customHeight="false" outlineLevel="0" collapsed="false">
      <c r="B2336" s="7" t="n">
        <v>46222</v>
      </c>
      <c r="C2336" s="3" t="s">
        <v>13985</v>
      </c>
      <c r="D2336" s="3" t="s">
        <v>13346</v>
      </c>
      <c r="E2336" s="3" t="s">
        <v>13986</v>
      </c>
      <c r="F2336" s="10" t="str">
        <f aca="false">HYPERLINK("https://www.inaturalist.org/people/jsimek","jsimek")</f>
        <v>jsimek</v>
      </c>
      <c r="G2336" s="9" t="s">
        <v>13</v>
      </c>
      <c r="H2336" s="9" t="s">
        <v>13987</v>
      </c>
    </row>
    <row r="2337" customFormat="false" ht="15.75" hidden="false" customHeight="false" outlineLevel="0" collapsed="false">
      <c r="B2337" s="7" t="n">
        <v>46222</v>
      </c>
      <c r="C2337" s="3" t="s">
        <v>13988</v>
      </c>
      <c r="D2337" s="3" t="s">
        <v>13346</v>
      </c>
      <c r="E2337" s="3" t="s">
        <v>13989</v>
      </c>
      <c r="F2337" s="10" t="str">
        <f aca="false">HYPERLINK("https://www.inaturalist.org/people/arg5025","arg5025")</f>
        <v>arg5025</v>
      </c>
      <c r="G2337" s="9" t="s">
        <v>13</v>
      </c>
      <c r="H2337" s="9" t="s">
        <v>13990</v>
      </c>
    </row>
    <row r="2338" customFormat="false" ht="15.75" hidden="false" customHeight="false" outlineLevel="0" collapsed="false">
      <c r="B2338" s="7" t="n">
        <v>46222</v>
      </c>
      <c r="C2338" s="3" t="s">
        <v>13991</v>
      </c>
      <c r="D2338" s="3" t="s">
        <v>13346</v>
      </c>
      <c r="E2338" s="3" t="s">
        <v>13992</v>
      </c>
      <c r="F2338" s="10" t="str">
        <f aca="false">HYPERLINK("https://www.inaturalist.org/people/curlyjackson","curlyjackson")</f>
        <v>curlyjackson</v>
      </c>
      <c r="G2338" s="9" t="s">
        <v>13</v>
      </c>
      <c r="H2338" s="9" t="s">
        <v>13993</v>
      </c>
    </row>
    <row r="2339" customFormat="false" ht="15.75" hidden="false" customHeight="false" outlineLevel="0" collapsed="false">
      <c r="B2339" s="7" t="n">
        <v>46222</v>
      </c>
      <c r="C2339" s="3" t="s">
        <v>13994</v>
      </c>
      <c r="D2339" s="3" t="s">
        <v>13346</v>
      </c>
      <c r="E2339" s="3" t="s">
        <v>13995</v>
      </c>
      <c r="F2339" s="10" t="str">
        <f aca="false">HYPERLINK("https://www.inaturalist.org/people/micronaturalist","micronaturalist")</f>
        <v>micronaturalist</v>
      </c>
      <c r="G2339" s="9" t="s">
        <v>13</v>
      </c>
      <c r="H2339" s="9" t="s">
        <v>13996</v>
      </c>
    </row>
    <row r="2340" customFormat="false" ht="15.75" hidden="false" customHeight="false" outlineLevel="0" collapsed="false">
      <c r="B2340" s="7" t="n">
        <v>46222</v>
      </c>
      <c r="C2340" s="3" t="s">
        <v>13997</v>
      </c>
      <c r="D2340" s="3" t="s">
        <v>13346</v>
      </c>
      <c r="E2340" s="3" t="s">
        <v>13998</v>
      </c>
      <c r="F2340" s="10" t="str">
        <f aca="false">HYPERLINK("https://www.inaturalist.org/people/organicgardner44","organicgardner44")</f>
        <v>organicgardner44</v>
      </c>
      <c r="G2340" s="9" t="s">
        <v>13</v>
      </c>
      <c r="H2340" s="9" t="s">
        <v>13999</v>
      </c>
    </row>
    <row r="2341" customFormat="false" ht="15.75" hidden="false" customHeight="false" outlineLevel="0" collapsed="false">
      <c r="B2341" s="7" t="n">
        <v>46222</v>
      </c>
      <c r="C2341" s="3" t="s">
        <v>14000</v>
      </c>
      <c r="D2341" s="3" t="s">
        <v>13346</v>
      </c>
      <c r="E2341" s="3" t="s">
        <v>14001</v>
      </c>
      <c r="F2341" s="10" t="str">
        <f aca="false">HYPERLINK("https://www.inaturalist.org/people/jshilko","jshilko")</f>
        <v>jshilko</v>
      </c>
      <c r="G2341" s="9" t="s">
        <v>13</v>
      </c>
      <c r="H2341" s="9" t="s">
        <v>14002</v>
      </c>
    </row>
    <row r="2342" customFormat="false" ht="15.75" hidden="false" customHeight="false" outlineLevel="0" collapsed="false">
      <c r="B2342" s="7" t="n">
        <v>46222</v>
      </c>
      <c r="C2342" s="3" t="s">
        <v>14003</v>
      </c>
      <c r="D2342" s="3" t="s">
        <v>13346</v>
      </c>
      <c r="E2342" s="3" t="s">
        <v>14004</v>
      </c>
      <c r="F2342" s="10" t="str">
        <f aca="false">HYPERLINK("https://www.inaturalist.org/people/maittelopez31","maittelopez31")</f>
        <v>maittelopez31</v>
      </c>
      <c r="G2342" s="9" t="s">
        <v>13</v>
      </c>
      <c r="H2342" s="9" t="s">
        <v>14005</v>
      </c>
    </row>
    <row r="2343" customFormat="false" ht="15.75" hidden="false" customHeight="false" outlineLevel="0" collapsed="false">
      <c r="B2343" s="7" t="n">
        <v>46222</v>
      </c>
      <c r="C2343" s="3" t="s">
        <v>14006</v>
      </c>
      <c r="D2343" s="3" t="s">
        <v>13346</v>
      </c>
      <c r="E2343" s="3" t="s">
        <v>14007</v>
      </c>
      <c r="F2343" s="10" t="str">
        <f aca="false">HYPERLINK("https://www.inaturalist.org/people/radwanalali","radwanalali")</f>
        <v>radwanalali</v>
      </c>
      <c r="G2343" s="9" t="s">
        <v>13</v>
      </c>
      <c r="H2343" s="9" t="s">
        <v>14008</v>
      </c>
    </row>
    <row r="2344" customFormat="false" ht="15.75" hidden="false" customHeight="false" outlineLevel="0" collapsed="false">
      <c r="B2344" s="7" t="n">
        <v>46222</v>
      </c>
      <c r="C2344" s="3" t="s">
        <v>14009</v>
      </c>
      <c r="D2344" s="3" t="s">
        <v>13346</v>
      </c>
      <c r="E2344" s="3" t="s">
        <v>14010</v>
      </c>
      <c r="F2344" s="10" t="str">
        <f aca="false">HYPERLINK("https://www.inaturalist.org/people/maittelopez31","maittelopez31")</f>
        <v>maittelopez31</v>
      </c>
      <c r="G2344" s="9" t="s">
        <v>13</v>
      </c>
      <c r="H2344" s="9" t="s">
        <v>14011</v>
      </c>
    </row>
    <row r="2345" customFormat="false" ht="15.75" hidden="false" customHeight="false" outlineLevel="0" collapsed="false">
      <c r="B2345" s="7" t="n">
        <v>46222</v>
      </c>
      <c r="C2345" s="3" t="s">
        <v>14012</v>
      </c>
      <c r="D2345" s="3" t="s">
        <v>13346</v>
      </c>
      <c r="E2345" s="3" t="s">
        <v>14013</v>
      </c>
      <c r="F2345" s="10" t="str">
        <f aca="false">HYPERLINK("https://www.inaturalist.org/people/csaszarne_erdelyi_katalin","csaszarne_erdelyi_katalin")</f>
        <v>csaszarne_erdelyi_katalin</v>
      </c>
      <c r="G2345" s="9" t="s">
        <v>13</v>
      </c>
      <c r="H2345" s="9" t="s">
        <v>14014</v>
      </c>
    </row>
    <row r="2346" customFormat="false" ht="15.75" hidden="false" customHeight="false" outlineLevel="0" collapsed="false">
      <c r="B2346" s="7" t="n">
        <v>46222</v>
      </c>
      <c r="C2346" s="3" t="s">
        <v>14015</v>
      </c>
      <c r="D2346" s="3" t="s">
        <v>13346</v>
      </c>
      <c r="E2346" s="3" t="s">
        <v>14016</v>
      </c>
      <c r="F2346" s="10" t="str">
        <f aca="false">HYPERLINK("https://www.inaturalist.org/people/csaszarne_erdelyi_katalin","csaszarne_erdelyi_katalin")</f>
        <v>csaszarne_erdelyi_katalin</v>
      </c>
      <c r="G2346" s="9" t="s">
        <v>13</v>
      </c>
      <c r="H2346" s="9" t="s">
        <v>14017</v>
      </c>
    </row>
    <row r="2347" customFormat="false" ht="15.75" hidden="false" customHeight="false" outlineLevel="0" collapsed="false">
      <c r="B2347" s="7" t="n">
        <v>46222</v>
      </c>
      <c r="C2347" s="3" t="s">
        <v>14018</v>
      </c>
      <c r="D2347" s="3" t="s">
        <v>13346</v>
      </c>
      <c r="E2347" s="3" t="s">
        <v>14019</v>
      </c>
      <c r="F2347" s="10" t="str">
        <f aca="false">HYPERLINK("https://www.inaturalist.org/people/csaszarne_erdelyi_katalin","csaszarne_erdelyi_katalin")</f>
        <v>csaszarne_erdelyi_katalin</v>
      </c>
      <c r="G2347" s="9" t="s">
        <v>13</v>
      </c>
      <c r="H2347" s="9" t="s">
        <v>14020</v>
      </c>
    </row>
    <row r="2348" customFormat="false" ht="15.75" hidden="false" customHeight="false" outlineLevel="0" collapsed="false">
      <c r="B2348" s="7" t="n">
        <v>46222</v>
      </c>
      <c r="C2348" s="3" t="s">
        <v>14021</v>
      </c>
      <c r="D2348" s="3" t="s">
        <v>13346</v>
      </c>
      <c r="E2348" s="3" t="s">
        <v>14022</v>
      </c>
      <c r="F2348" s="10" t="str">
        <f aca="false">HYPERLINK("https://www.inaturalist.org/people/csaszarne_erdelyi_katalin","csaszarne_erdelyi_katalin")</f>
        <v>csaszarne_erdelyi_katalin</v>
      </c>
      <c r="G2348" s="9" t="s">
        <v>13</v>
      </c>
      <c r="H2348" s="9" t="s">
        <v>14023</v>
      </c>
    </row>
    <row r="2349" customFormat="false" ht="15.75" hidden="false" customHeight="false" outlineLevel="0" collapsed="false">
      <c r="B2349" s="7" t="n">
        <v>46222</v>
      </c>
      <c r="C2349" s="3" t="s">
        <v>14024</v>
      </c>
      <c r="D2349" s="3" t="s">
        <v>13346</v>
      </c>
      <c r="E2349" s="3" t="s">
        <v>14025</v>
      </c>
      <c r="F2349" s="10" t="str">
        <f aca="false">HYPERLINK("https://www.inaturalist.org/people/csaszarne_erdelyi_katalin","csaszarne_erdelyi_katalin")</f>
        <v>csaszarne_erdelyi_katalin</v>
      </c>
      <c r="G2349" s="9" t="s">
        <v>13</v>
      </c>
      <c r="H2349" s="9" t="s">
        <v>14026</v>
      </c>
    </row>
    <row r="2350" customFormat="false" ht="15.75" hidden="false" customHeight="false" outlineLevel="0" collapsed="false">
      <c r="B2350" s="7" t="n">
        <v>46222</v>
      </c>
      <c r="C2350" s="3" t="s">
        <v>14027</v>
      </c>
      <c r="D2350" s="3" t="s">
        <v>13346</v>
      </c>
      <c r="E2350" s="3" t="s">
        <v>14028</v>
      </c>
      <c r="F2350" s="10" t="str">
        <f aca="false">HYPERLINK("https://www.inaturalist.org/people/sppiraea","sppiraea")</f>
        <v>sppiraea</v>
      </c>
      <c r="G2350" s="9" t="s">
        <v>13</v>
      </c>
      <c r="H2350" s="9" t="s">
        <v>14029</v>
      </c>
    </row>
    <row r="2351" customFormat="false" ht="15.75" hidden="false" customHeight="false" outlineLevel="0" collapsed="false">
      <c r="B2351" s="7" t="n">
        <v>46222</v>
      </c>
      <c r="C2351" s="3" t="s">
        <v>14030</v>
      </c>
      <c r="D2351" s="3" t="s">
        <v>13346</v>
      </c>
      <c r="E2351" s="3" t="s">
        <v>14031</v>
      </c>
      <c r="F2351" s="10" t="str">
        <f aca="false">HYPERLINK("https://www.inaturalist.org/people/gjlicence","gjlicence")</f>
        <v>gjlicence</v>
      </c>
      <c r="G2351" s="9" t="s">
        <v>13</v>
      </c>
      <c r="H2351" s="9" t="s">
        <v>14032</v>
      </c>
    </row>
    <row r="2352" customFormat="false" ht="15.75" hidden="false" customHeight="false" outlineLevel="0" collapsed="false">
      <c r="B2352" s="7" t="n">
        <v>46222</v>
      </c>
      <c r="C2352" s="3" t="s">
        <v>14033</v>
      </c>
      <c r="D2352" s="3" t="s">
        <v>13346</v>
      </c>
      <c r="E2352" s="3" t="s">
        <v>14034</v>
      </c>
      <c r="F2352" s="10" t="str">
        <f aca="false">HYPERLINK("https://www.inaturalist.org/people/maittelopez31","maittelopez31")</f>
        <v>maittelopez31</v>
      </c>
      <c r="G2352" s="9" t="s">
        <v>13</v>
      </c>
      <c r="H2352" s="9" t="s">
        <v>14035</v>
      </c>
    </row>
    <row r="2353" customFormat="false" ht="15.75" hidden="false" customHeight="false" outlineLevel="0" collapsed="false">
      <c r="B2353" s="7" t="n">
        <v>46222</v>
      </c>
      <c r="C2353" s="3" t="s">
        <v>14036</v>
      </c>
      <c r="D2353" s="3" t="s">
        <v>13346</v>
      </c>
      <c r="E2353" s="3" t="s">
        <v>14037</v>
      </c>
      <c r="F2353" s="10" t="str">
        <f aca="false">HYPERLINK("https://www.inaturalist.org/people/maittelopez31","maittelopez31")</f>
        <v>maittelopez31</v>
      </c>
      <c r="G2353" s="9" t="s">
        <v>13</v>
      </c>
      <c r="H2353" s="9" t="s">
        <v>14038</v>
      </c>
    </row>
    <row r="2354" customFormat="false" ht="15.75" hidden="false" customHeight="false" outlineLevel="0" collapsed="false">
      <c r="B2354" s="7" t="n">
        <v>46222</v>
      </c>
      <c r="C2354" s="3" t="s">
        <v>14039</v>
      </c>
      <c r="D2354" s="3" t="s">
        <v>13346</v>
      </c>
      <c r="E2354" s="3" t="s">
        <v>14040</v>
      </c>
      <c r="F2354" s="10" t="str">
        <f aca="false">HYPERLINK("https://www.inaturalist.org/people/davisc1","davisc1")</f>
        <v>davisc1</v>
      </c>
      <c r="G2354" s="9" t="s">
        <v>13</v>
      </c>
      <c r="H2354" s="9" t="s">
        <v>14041</v>
      </c>
    </row>
    <row r="2355" customFormat="false" ht="15.75" hidden="false" customHeight="false" outlineLevel="0" collapsed="false">
      <c r="B2355" s="7" t="n">
        <v>46222</v>
      </c>
      <c r="C2355" s="3" t="s">
        <v>14042</v>
      </c>
      <c r="D2355" s="3" t="s">
        <v>13346</v>
      </c>
      <c r="E2355" s="3" t="s">
        <v>14043</v>
      </c>
      <c r="F2355" s="10" t="str">
        <f aca="false">HYPERLINK("https://www.inaturalist.org/people/catharina_sbaraini","catharina_sbaraini")</f>
        <v>catharina_sbaraini</v>
      </c>
      <c r="G2355" s="9" t="s">
        <v>13</v>
      </c>
      <c r="H2355" s="9" t="s">
        <v>14044</v>
      </c>
    </row>
    <row r="2356" customFormat="false" ht="15.75" hidden="false" customHeight="false" outlineLevel="0" collapsed="false">
      <c r="B2356" s="7" t="n">
        <v>46222</v>
      </c>
      <c r="C2356" s="3" t="s">
        <v>14045</v>
      </c>
      <c r="D2356" s="3" t="s">
        <v>13346</v>
      </c>
      <c r="E2356" s="3" t="s">
        <v>14046</v>
      </c>
      <c r="F2356" s="10" t="str">
        <f aca="false">HYPERLINK("https://www.inaturalist.org/people/csaszarne_erdelyi_katalin","csaszarne_erdelyi_katalin")</f>
        <v>csaszarne_erdelyi_katalin</v>
      </c>
      <c r="G2356" s="9" t="s">
        <v>13</v>
      </c>
      <c r="H2356" s="9" t="s">
        <v>14047</v>
      </c>
    </row>
    <row r="2357" customFormat="false" ht="15.75" hidden="false" customHeight="false" outlineLevel="0" collapsed="false">
      <c r="B2357" s="7" t="n">
        <v>46222</v>
      </c>
      <c r="C2357" s="3" t="s">
        <v>14048</v>
      </c>
      <c r="D2357" s="3" t="s">
        <v>13346</v>
      </c>
      <c r="E2357" s="3" t="s">
        <v>14049</v>
      </c>
      <c r="F2357" s="10" t="str">
        <f aca="false">HYPERLINK("https://www.inaturalist.org/people/elizabethhatfield","elizabethhatfield")</f>
        <v>elizabethhatfield</v>
      </c>
      <c r="G2357" s="9" t="s">
        <v>13</v>
      </c>
      <c r="H2357" s="9" t="s">
        <v>14050</v>
      </c>
    </row>
    <row r="2358" customFormat="false" ht="15.75" hidden="false" customHeight="false" outlineLevel="0" collapsed="false">
      <c r="B2358" s="7" t="n">
        <v>46222</v>
      </c>
      <c r="C2358" s="3" t="s">
        <v>14051</v>
      </c>
      <c r="D2358" s="3" t="s">
        <v>13346</v>
      </c>
      <c r="E2358" s="3" t="s">
        <v>14052</v>
      </c>
      <c r="F2358" s="10" t="str">
        <f aca="false">HYPERLINK("https://www.inaturalist.org/people/csaszarne_erdelyi_katalin","csaszarne_erdelyi_katalin")</f>
        <v>csaszarne_erdelyi_katalin</v>
      </c>
      <c r="G2358" s="9" t="s">
        <v>13</v>
      </c>
      <c r="H2358" s="9" t="s">
        <v>14053</v>
      </c>
    </row>
    <row r="2359" customFormat="false" ht="15.75" hidden="false" customHeight="false" outlineLevel="0" collapsed="false">
      <c r="B2359" s="7" t="n">
        <v>46222</v>
      </c>
      <c r="C2359" s="3" t="s">
        <v>14054</v>
      </c>
      <c r="D2359" s="3" t="s">
        <v>13346</v>
      </c>
      <c r="E2359" s="3" t="s">
        <v>14055</v>
      </c>
      <c r="F2359" s="10" t="str">
        <f aca="false">HYPERLINK("https://www.inaturalist.org/people/csaszarne_erdelyi_katalin","csaszarne_erdelyi_katalin")</f>
        <v>csaszarne_erdelyi_katalin</v>
      </c>
      <c r="G2359" s="9" t="s">
        <v>13</v>
      </c>
      <c r="H2359" s="9" t="s">
        <v>14056</v>
      </c>
    </row>
    <row r="2360" customFormat="false" ht="15.75" hidden="false" customHeight="false" outlineLevel="0" collapsed="false">
      <c r="B2360" s="7" t="n">
        <v>46222</v>
      </c>
      <c r="C2360" s="3" t="s">
        <v>14057</v>
      </c>
      <c r="D2360" s="3" t="s">
        <v>13346</v>
      </c>
      <c r="E2360" s="3" t="s">
        <v>14058</v>
      </c>
      <c r="F2360" s="10" t="str">
        <f aca="false">HYPERLINK("https://www.inaturalist.org/people/csaszarne_erdelyi_katalin","csaszarne_erdelyi_katalin")</f>
        <v>csaszarne_erdelyi_katalin</v>
      </c>
      <c r="G2360" s="9" t="s">
        <v>13</v>
      </c>
      <c r="H2360" s="9" t="s">
        <v>14059</v>
      </c>
    </row>
    <row r="2361" customFormat="false" ht="15.75" hidden="false" customHeight="false" outlineLevel="0" collapsed="false">
      <c r="B2361" s="7" t="n">
        <v>46222</v>
      </c>
      <c r="C2361" s="3" t="s">
        <v>14060</v>
      </c>
      <c r="D2361" s="3" t="s">
        <v>13346</v>
      </c>
      <c r="E2361" s="3" t="s">
        <v>14061</v>
      </c>
      <c r="F2361" s="10" t="str">
        <f aca="false">HYPERLINK("https://www.inaturalist.org/people/csaszarne_erdelyi_katalin","csaszarne_erdelyi_katalin")</f>
        <v>csaszarne_erdelyi_katalin</v>
      </c>
      <c r="G2361" s="9" t="s">
        <v>13</v>
      </c>
      <c r="H2361" s="9" t="s">
        <v>14062</v>
      </c>
    </row>
    <row r="2362" customFormat="false" ht="15.75" hidden="false" customHeight="false" outlineLevel="0" collapsed="false">
      <c r="B2362" s="7" t="n">
        <v>46222</v>
      </c>
      <c r="C2362" s="3" t="s">
        <v>14063</v>
      </c>
      <c r="D2362" s="3" t="s">
        <v>13346</v>
      </c>
      <c r="E2362" s="3" t="s">
        <v>14064</v>
      </c>
      <c r="F2362" s="10" t="str">
        <f aca="false">HYPERLINK("https://www.inaturalist.org/people/csaszarne_erdelyi_katalin","csaszarne_erdelyi_katalin")</f>
        <v>csaszarne_erdelyi_katalin</v>
      </c>
      <c r="G2362" s="9" t="s">
        <v>13</v>
      </c>
      <c r="H2362" s="9" t="s">
        <v>14065</v>
      </c>
    </row>
    <row r="2363" customFormat="false" ht="15.75" hidden="false" customHeight="false" outlineLevel="0" collapsed="false">
      <c r="B2363" s="7" t="n">
        <v>46222</v>
      </c>
      <c r="C2363" s="3" t="s">
        <v>14066</v>
      </c>
      <c r="D2363" s="3" t="s">
        <v>13346</v>
      </c>
      <c r="E2363" s="3" t="s">
        <v>14067</v>
      </c>
      <c r="F2363" s="10" t="str">
        <f aca="false">HYPERLINK("https://www.inaturalist.org/people/csaszarne_erdelyi_katalin","csaszarne_erdelyi_katalin")</f>
        <v>csaszarne_erdelyi_katalin</v>
      </c>
      <c r="G2363" s="9" t="s">
        <v>13</v>
      </c>
      <c r="H2363" s="9" t="s">
        <v>14068</v>
      </c>
    </row>
    <row r="2364" customFormat="false" ht="15.75" hidden="false" customHeight="false" outlineLevel="0" collapsed="false">
      <c r="B2364" s="7" t="n">
        <v>46222</v>
      </c>
      <c r="C2364" s="3" t="s">
        <v>14069</v>
      </c>
      <c r="D2364" s="3" t="s">
        <v>13346</v>
      </c>
      <c r="E2364" s="3" t="s">
        <v>14070</v>
      </c>
      <c r="F2364" s="10" t="str">
        <f aca="false">HYPERLINK("https://www.inaturalist.org/people/csaszarne_erdelyi_katalin","csaszarne_erdelyi_katalin")</f>
        <v>csaszarne_erdelyi_katalin</v>
      </c>
      <c r="G2364" s="9" t="s">
        <v>13</v>
      </c>
      <c r="H2364" s="9" t="s">
        <v>14071</v>
      </c>
    </row>
    <row r="2365" customFormat="false" ht="15.75" hidden="false" customHeight="false" outlineLevel="0" collapsed="false">
      <c r="B2365" s="7" t="n">
        <v>46222</v>
      </c>
      <c r="C2365" s="3" t="s">
        <v>14072</v>
      </c>
      <c r="D2365" s="3" t="s">
        <v>13346</v>
      </c>
      <c r="E2365" s="3" t="s">
        <v>14073</v>
      </c>
      <c r="F2365" s="10" t="str">
        <f aca="false">HYPERLINK("https://www.inaturalist.org/people/csaszarne_erdelyi_katalin","csaszarne_erdelyi_katalin")</f>
        <v>csaszarne_erdelyi_katalin</v>
      </c>
      <c r="G2365" s="9" t="s">
        <v>13</v>
      </c>
      <c r="H2365" s="9" t="s">
        <v>14074</v>
      </c>
    </row>
    <row r="2366" customFormat="false" ht="15.75" hidden="false" customHeight="false" outlineLevel="0" collapsed="false">
      <c r="B2366" s="7" t="n">
        <v>46222</v>
      </c>
      <c r="C2366" s="3" t="s">
        <v>14075</v>
      </c>
      <c r="D2366" s="3" t="s">
        <v>13346</v>
      </c>
      <c r="E2366" s="3" t="s">
        <v>14076</v>
      </c>
      <c r="F2366" s="10" t="str">
        <f aca="false">HYPERLINK("https://www.inaturalist.org/people/elsiewoodlands","elsiewoodlands")</f>
        <v>elsiewoodlands</v>
      </c>
      <c r="G2366" s="9" t="s">
        <v>13</v>
      </c>
      <c r="H2366" s="9" t="s">
        <v>14077</v>
      </c>
    </row>
    <row r="2367" customFormat="false" ht="15.75" hidden="false" customHeight="false" outlineLevel="0" collapsed="false">
      <c r="B2367" s="7" t="n">
        <v>46222</v>
      </c>
      <c r="C2367" s="3" t="s">
        <v>14078</v>
      </c>
      <c r="D2367" s="3" t="s">
        <v>13346</v>
      </c>
      <c r="E2367" s="3" t="s">
        <v>14079</v>
      </c>
      <c r="F2367" s="10" t="str">
        <f aca="false">HYPERLINK("https://www.inaturalist.org/people/csaszarne_erdelyi_katalin","csaszarne_erdelyi_katalin")</f>
        <v>csaszarne_erdelyi_katalin</v>
      </c>
      <c r="G2367" s="9" t="s">
        <v>13</v>
      </c>
      <c r="H2367" s="9" t="s">
        <v>14080</v>
      </c>
    </row>
    <row r="2368" customFormat="false" ht="15.75" hidden="false" customHeight="false" outlineLevel="0" collapsed="false">
      <c r="B2368" s="7" t="n">
        <v>46222</v>
      </c>
      <c r="C2368" s="3" t="s">
        <v>14081</v>
      </c>
      <c r="D2368" s="3" t="s">
        <v>13346</v>
      </c>
      <c r="E2368" s="3" t="s">
        <v>14082</v>
      </c>
      <c r="F2368" s="10" t="str">
        <f aca="false">HYPERLINK("https://www.inaturalist.org/people/pattilou","pattilou")</f>
        <v>pattilou</v>
      </c>
      <c r="G2368" s="9" t="s">
        <v>13</v>
      </c>
      <c r="H2368" s="9" t="s">
        <v>14083</v>
      </c>
    </row>
    <row r="2369" customFormat="false" ht="15.75" hidden="false" customHeight="false" outlineLevel="0" collapsed="false">
      <c r="B2369" s="7" t="n">
        <v>46222</v>
      </c>
      <c r="C2369" s="3" t="s">
        <v>14084</v>
      </c>
      <c r="D2369" s="3" t="s">
        <v>13346</v>
      </c>
      <c r="E2369" s="3" t="s">
        <v>14085</v>
      </c>
      <c r="F2369" s="10" t="str">
        <f aca="false">HYPERLINK("https://www.inaturalist.org/people/warwick_nash","warwick_nash")</f>
        <v>warwick_nash</v>
      </c>
      <c r="G2369" s="9" t="s">
        <v>13</v>
      </c>
      <c r="H2369" s="9" t="s">
        <v>14086</v>
      </c>
    </row>
    <row r="2370" customFormat="false" ht="15.75" hidden="false" customHeight="false" outlineLevel="0" collapsed="false">
      <c r="B2370" s="7" t="n">
        <v>46222</v>
      </c>
      <c r="C2370" s="3" t="s">
        <v>14087</v>
      </c>
      <c r="D2370" s="3" t="s">
        <v>13346</v>
      </c>
      <c r="E2370" s="3" t="s">
        <v>14088</v>
      </c>
      <c r="F2370" s="10" t="str">
        <f aca="false">HYPERLINK("https://www.inaturalist.org/people/andydonegan","andydonegan")</f>
        <v>andydonegan</v>
      </c>
      <c r="G2370" s="9" t="s">
        <v>13</v>
      </c>
      <c r="H2370" s="9" t="s">
        <v>14089</v>
      </c>
    </row>
    <row r="2371" customFormat="false" ht="15.75" hidden="false" customHeight="false" outlineLevel="0" collapsed="false">
      <c r="B2371" s="7" t="n">
        <v>46222</v>
      </c>
      <c r="C2371" s="3" t="s">
        <v>14090</v>
      </c>
      <c r="D2371" s="3" t="s">
        <v>13346</v>
      </c>
      <c r="E2371" s="3" t="s">
        <v>14091</v>
      </c>
      <c r="F2371" s="10" t="str">
        <f aca="false">HYPERLINK("https://www.inaturalist.org/people/ahmedm","ahmedm")</f>
        <v>ahmedm</v>
      </c>
      <c r="G2371" s="9" t="s">
        <v>13</v>
      </c>
      <c r="H2371" s="9" t="s">
        <v>14092</v>
      </c>
    </row>
    <row r="2372" customFormat="false" ht="15.75" hidden="false" customHeight="false" outlineLevel="0" collapsed="false">
      <c r="B2372" s="7" t="n">
        <v>46222</v>
      </c>
      <c r="C2372" s="3" t="s">
        <v>14093</v>
      </c>
      <c r="D2372" s="3" t="s">
        <v>13346</v>
      </c>
      <c r="E2372" s="3" t="s">
        <v>14094</v>
      </c>
      <c r="F2372" s="10" t="str">
        <f aca="false">HYPERLINK("https://www.inaturalist.org/people/astrobirder","astrobirder")</f>
        <v>astrobirder</v>
      </c>
      <c r="G2372" s="9" t="s">
        <v>13</v>
      </c>
      <c r="H2372" s="9" t="s">
        <v>14095</v>
      </c>
    </row>
    <row r="2373" customFormat="false" ht="15.75" hidden="false" customHeight="false" outlineLevel="0" collapsed="false">
      <c r="B2373" s="7" t="n">
        <v>46222</v>
      </c>
      <c r="C2373" s="3" t="s">
        <v>14096</v>
      </c>
      <c r="D2373" s="3" t="s">
        <v>13346</v>
      </c>
      <c r="E2373" s="3" t="s">
        <v>14097</v>
      </c>
      <c r="F2373" s="10" t="str">
        <f aca="false">HYPERLINK("https://www.inaturalist.org/people/ilona_knollova","ilona_knollova")</f>
        <v>ilona_knollova</v>
      </c>
      <c r="G2373" s="9" t="s">
        <v>13</v>
      </c>
      <c r="H2373" s="9" t="s">
        <v>14098</v>
      </c>
    </row>
    <row r="2374" customFormat="false" ht="15.75" hidden="false" customHeight="false" outlineLevel="0" collapsed="false">
      <c r="B2374" s="7" t="n">
        <v>46222</v>
      </c>
      <c r="C2374" s="3" t="s">
        <v>14099</v>
      </c>
      <c r="D2374" s="3" t="s">
        <v>13346</v>
      </c>
      <c r="E2374" s="3" t="s">
        <v>14100</v>
      </c>
      <c r="F2374" s="10" t="str">
        <f aca="false">HYPERLINK("https://www.inaturalist.org/people/explorer72","explorer72")</f>
        <v>explorer72</v>
      </c>
      <c r="G2374" s="9" t="s">
        <v>13</v>
      </c>
      <c r="H2374" s="9" t="s">
        <v>14101</v>
      </c>
    </row>
    <row r="2375" customFormat="false" ht="15.75" hidden="false" customHeight="false" outlineLevel="0" collapsed="false">
      <c r="B2375" s="7" t="n">
        <v>46222</v>
      </c>
      <c r="C2375" s="3" t="s">
        <v>14102</v>
      </c>
      <c r="D2375" s="3" t="s">
        <v>13346</v>
      </c>
      <c r="E2375" s="3" t="s">
        <v>14103</v>
      </c>
      <c r="F2375" s="10" t="str">
        <f aca="false">HYPERLINK("https://www.inaturalist.org/people/aistespo","aistespo")</f>
        <v>aistespo</v>
      </c>
      <c r="G2375" s="9" t="s">
        <v>13</v>
      </c>
      <c r="H2375" s="9" t="s">
        <v>14104</v>
      </c>
    </row>
    <row r="2376" customFormat="false" ht="15.75" hidden="false" customHeight="false" outlineLevel="0" collapsed="false">
      <c r="B2376" s="7" t="n">
        <v>46222</v>
      </c>
      <c r="C2376" s="3" t="s">
        <v>14105</v>
      </c>
      <c r="D2376" s="3" t="s">
        <v>13346</v>
      </c>
      <c r="E2376" s="3" t="s">
        <v>14106</v>
      </c>
      <c r="F2376" s="10" t="str">
        <f aca="false">HYPERLINK("https://www.inaturalist.org/people/aistespo","aistespo")</f>
        <v>aistespo</v>
      </c>
      <c r="G2376" s="9" t="s">
        <v>13</v>
      </c>
      <c r="H2376" s="9" t="s">
        <v>14107</v>
      </c>
    </row>
    <row r="2377" customFormat="false" ht="15.75" hidden="false" customHeight="false" outlineLevel="0" collapsed="false">
      <c r="B2377" s="7" t="n">
        <v>46222</v>
      </c>
      <c r="C2377" s="3" t="s">
        <v>14108</v>
      </c>
      <c r="D2377" s="3" t="s">
        <v>13346</v>
      </c>
      <c r="E2377" s="3" t="s">
        <v>14109</v>
      </c>
      <c r="F2377" s="10" t="str">
        <f aca="false">HYPERLINK("https://www.inaturalist.org/people/eugenezakharov","eugenezakharov")</f>
        <v>eugenezakharov</v>
      </c>
      <c r="G2377" s="9" t="s">
        <v>13</v>
      </c>
      <c r="H2377" s="9" t="s">
        <v>14110</v>
      </c>
    </row>
    <row r="2378" customFormat="false" ht="15.75" hidden="false" customHeight="false" outlineLevel="0" collapsed="false">
      <c r="B2378" s="7" t="n">
        <v>46222</v>
      </c>
      <c r="C2378" s="3" t="s">
        <v>14111</v>
      </c>
      <c r="D2378" s="3" t="s">
        <v>13346</v>
      </c>
      <c r="E2378" s="3" t="s">
        <v>14112</v>
      </c>
      <c r="F2378" s="10" t="str">
        <f aca="false">HYPERLINK("https://www.inaturalist.org/people/richfriend63","richfriend63")</f>
        <v>richfriend63</v>
      </c>
      <c r="G2378" s="9" t="s">
        <v>13</v>
      </c>
      <c r="H2378" s="9" t="s">
        <v>14113</v>
      </c>
    </row>
    <row r="2379" customFormat="false" ht="15.75" hidden="false" customHeight="false" outlineLevel="0" collapsed="false">
      <c r="B2379" s="7" t="n">
        <v>46222</v>
      </c>
      <c r="C2379" s="3" t="s">
        <v>14114</v>
      </c>
      <c r="D2379" s="3" t="s">
        <v>13346</v>
      </c>
      <c r="E2379" s="3" t="s">
        <v>14115</v>
      </c>
      <c r="F2379" s="10" t="str">
        <f aca="false">HYPERLINK("https://www.inaturalist.org/people/drukru","drukru")</f>
        <v>drukru</v>
      </c>
      <c r="G2379" s="9" t="s">
        <v>13</v>
      </c>
      <c r="H2379" s="9" t="s">
        <v>14116</v>
      </c>
    </row>
    <row r="2380" customFormat="false" ht="15.75" hidden="false" customHeight="false" outlineLevel="0" collapsed="false">
      <c r="B2380" s="7" t="n">
        <v>46222</v>
      </c>
      <c r="C2380" s="3" t="s">
        <v>14117</v>
      </c>
      <c r="D2380" s="3" t="s">
        <v>13346</v>
      </c>
      <c r="E2380" s="3" t="s">
        <v>14118</v>
      </c>
      <c r="F2380" s="10" t="str">
        <f aca="false">HYPERLINK("https://www.inaturalist.org/people/csaszarne_erdelyi_katalin","csaszarne_erdelyi_katalin")</f>
        <v>csaszarne_erdelyi_katalin</v>
      </c>
      <c r="G2380" s="9" t="s">
        <v>13</v>
      </c>
      <c r="H2380" s="9" t="s">
        <v>14119</v>
      </c>
    </row>
    <row r="2381" customFormat="false" ht="15.75" hidden="false" customHeight="false" outlineLevel="0" collapsed="false">
      <c r="B2381" s="7" t="n">
        <v>46222</v>
      </c>
      <c r="C2381" s="3" t="s">
        <v>14120</v>
      </c>
      <c r="D2381" s="3" t="s">
        <v>13346</v>
      </c>
      <c r="E2381" s="3" t="s">
        <v>14121</v>
      </c>
      <c r="F2381" s="10" t="str">
        <f aca="false">HYPERLINK("https://www.inaturalist.org/people/csaszarne_erdelyi_katalin","csaszarne_erdelyi_katalin")</f>
        <v>csaszarne_erdelyi_katalin</v>
      </c>
      <c r="G2381" s="9" t="s">
        <v>13</v>
      </c>
      <c r="H2381" s="9" t="s">
        <v>14122</v>
      </c>
    </row>
    <row r="2382" customFormat="false" ht="15.75" hidden="false" customHeight="false" outlineLevel="0" collapsed="false">
      <c r="B2382" s="7" t="n">
        <v>46222</v>
      </c>
      <c r="C2382" s="3" t="s">
        <v>14123</v>
      </c>
      <c r="D2382" s="3" t="s">
        <v>13346</v>
      </c>
      <c r="E2382" s="3" t="s">
        <v>14124</v>
      </c>
      <c r="F2382" s="10" t="str">
        <f aca="false">HYPERLINK("https://www.inaturalist.org/people/csaszarne_erdelyi_katalin","csaszarne_erdelyi_katalin")</f>
        <v>csaszarne_erdelyi_katalin</v>
      </c>
      <c r="G2382" s="9" t="s">
        <v>13</v>
      </c>
      <c r="H2382" s="9" t="s">
        <v>14125</v>
      </c>
    </row>
    <row r="2383" customFormat="false" ht="15.75" hidden="false" customHeight="false" outlineLevel="0" collapsed="false">
      <c r="B2383" s="7" t="n">
        <v>46222</v>
      </c>
      <c r="C2383" s="3" t="s">
        <v>14126</v>
      </c>
      <c r="D2383" s="3" t="s">
        <v>13346</v>
      </c>
      <c r="E2383" s="3" t="s">
        <v>14127</v>
      </c>
      <c r="F2383" s="10" t="str">
        <f aca="false">HYPERLINK("https://www.inaturalist.org/people/csaszarne_erdelyi_katalin","csaszarne_erdelyi_katalin")</f>
        <v>csaszarne_erdelyi_katalin</v>
      </c>
      <c r="G2383" s="9" t="s">
        <v>13</v>
      </c>
      <c r="H2383" s="9" t="s">
        <v>14128</v>
      </c>
    </row>
    <row r="2384" customFormat="false" ht="15.75" hidden="false" customHeight="false" outlineLevel="0" collapsed="false">
      <c r="B2384" s="7" t="n">
        <v>46222</v>
      </c>
      <c r="C2384" s="3" t="s">
        <v>14129</v>
      </c>
      <c r="D2384" s="3" t="s">
        <v>13346</v>
      </c>
      <c r="E2384" s="3" t="s">
        <v>14130</v>
      </c>
      <c r="F2384" s="10" t="str">
        <f aca="false">HYPERLINK("https://www.inaturalist.org/people/csaszarne_erdelyi_katalin","csaszarne_erdelyi_katalin")</f>
        <v>csaszarne_erdelyi_katalin</v>
      </c>
      <c r="G2384" s="9" t="s">
        <v>13</v>
      </c>
      <c r="H2384" s="9" t="s">
        <v>14131</v>
      </c>
    </row>
    <row r="2385" customFormat="false" ht="15.75" hidden="false" customHeight="false" outlineLevel="0" collapsed="false">
      <c r="B2385" s="7" t="n">
        <v>46222</v>
      </c>
      <c r="C2385" s="3" t="s">
        <v>14132</v>
      </c>
      <c r="D2385" s="3" t="s">
        <v>13346</v>
      </c>
      <c r="E2385" s="3" t="s">
        <v>14133</v>
      </c>
      <c r="F2385" s="10" t="str">
        <f aca="false">HYPERLINK("https://www.inaturalist.org/people/csaszarne_erdelyi_katalin","csaszarne_erdelyi_katalin")</f>
        <v>csaszarne_erdelyi_katalin</v>
      </c>
      <c r="G2385" s="9" t="s">
        <v>13</v>
      </c>
      <c r="H2385" s="9" t="s">
        <v>14134</v>
      </c>
    </row>
    <row r="2386" customFormat="false" ht="15.75" hidden="false" customHeight="false" outlineLevel="0" collapsed="false">
      <c r="B2386" s="7" t="n">
        <v>46222</v>
      </c>
      <c r="C2386" s="3" t="s">
        <v>14135</v>
      </c>
      <c r="D2386" s="3" t="s">
        <v>13346</v>
      </c>
      <c r="E2386" s="3" t="s">
        <v>14136</v>
      </c>
      <c r="F2386" s="10" t="str">
        <f aca="false">HYPERLINK("https://www.inaturalist.org/people/csaszarne_erdelyi_katalin","csaszarne_erdelyi_katalin")</f>
        <v>csaszarne_erdelyi_katalin</v>
      </c>
      <c r="G2386" s="9" t="s">
        <v>13</v>
      </c>
      <c r="H2386" s="9" t="s">
        <v>14137</v>
      </c>
    </row>
    <row r="2387" customFormat="false" ht="15.75" hidden="false" customHeight="false" outlineLevel="0" collapsed="false">
      <c r="B2387" s="7" t="n">
        <v>46222</v>
      </c>
      <c r="C2387" s="3" t="s">
        <v>14138</v>
      </c>
      <c r="D2387" s="3" t="s">
        <v>13346</v>
      </c>
      <c r="E2387" s="3" t="s">
        <v>14139</v>
      </c>
      <c r="F2387" s="10" t="str">
        <f aca="false">HYPERLINK("https://www.inaturalist.org/people/csaszarne_erdelyi_katalin","csaszarne_erdelyi_katalin")</f>
        <v>csaszarne_erdelyi_katalin</v>
      </c>
      <c r="G2387" s="9" t="s">
        <v>13</v>
      </c>
      <c r="H2387" s="9" t="s">
        <v>14140</v>
      </c>
    </row>
    <row r="2388" customFormat="false" ht="15.75" hidden="false" customHeight="false" outlineLevel="0" collapsed="false">
      <c r="B2388" s="7" t="n">
        <v>46222</v>
      </c>
      <c r="C2388" s="3" t="s">
        <v>14141</v>
      </c>
      <c r="D2388" s="3" t="s">
        <v>13346</v>
      </c>
      <c r="E2388" s="3" t="s">
        <v>14142</v>
      </c>
      <c r="F2388" s="10" t="str">
        <f aca="false">HYPERLINK("https://www.inaturalist.org/people/naturdeer","naturdeer")</f>
        <v>naturdeer</v>
      </c>
      <c r="G2388" s="9" t="s">
        <v>13</v>
      </c>
      <c r="H2388" s="9" t="s">
        <v>14143</v>
      </c>
    </row>
    <row r="2389" customFormat="false" ht="15.75" hidden="false" customHeight="false" outlineLevel="0" collapsed="false">
      <c r="B2389" s="7" t="n">
        <v>46222</v>
      </c>
      <c r="C2389" s="3" t="s">
        <v>14144</v>
      </c>
      <c r="D2389" s="3" t="s">
        <v>13346</v>
      </c>
      <c r="E2389" s="3" t="s">
        <v>14145</v>
      </c>
      <c r="F2389" s="10" t="str">
        <f aca="false">HYPERLINK("https://www.inaturalist.org/people/csaszarne_erdelyi_katalin","csaszarne_erdelyi_katalin")</f>
        <v>csaszarne_erdelyi_katalin</v>
      </c>
      <c r="G2389" s="9" t="s">
        <v>13</v>
      </c>
      <c r="H2389" s="9" t="s">
        <v>14146</v>
      </c>
    </row>
    <row r="2390" customFormat="false" ht="15.75" hidden="false" customHeight="false" outlineLevel="0" collapsed="false">
      <c r="B2390" s="7" t="n">
        <v>46222</v>
      </c>
      <c r="C2390" s="3" t="s">
        <v>14147</v>
      </c>
      <c r="D2390" s="3" t="s">
        <v>13346</v>
      </c>
      <c r="E2390" s="3" t="s">
        <v>14148</v>
      </c>
      <c r="F2390" s="10" t="str">
        <f aca="false">HYPERLINK("https://www.inaturalist.org/people/plymouthgingirl","plymouthgingirl")</f>
        <v>plymouthgingirl</v>
      </c>
      <c r="G2390" s="9" t="s">
        <v>13</v>
      </c>
      <c r="H2390" s="9" t="s">
        <v>14149</v>
      </c>
    </row>
    <row r="2391" customFormat="false" ht="15.75" hidden="false" customHeight="false" outlineLevel="0" collapsed="false">
      <c r="B2391" s="7" t="n">
        <v>46222</v>
      </c>
      <c r="C2391" s="3" t="s">
        <v>14150</v>
      </c>
      <c r="D2391" s="3" t="s">
        <v>13346</v>
      </c>
      <c r="E2391" s="3" t="s">
        <v>14151</v>
      </c>
      <c r="F2391" s="10" t="str">
        <f aca="false">HYPERLINK("https://www.inaturalist.org/people/midsommarsoul","midsommarsoul")</f>
        <v>midsommarsoul</v>
      </c>
      <c r="G2391" s="9" t="s">
        <v>13</v>
      </c>
      <c r="H2391" s="9" t="s">
        <v>14152</v>
      </c>
    </row>
    <row r="2392" customFormat="false" ht="15.75" hidden="false" customHeight="false" outlineLevel="0" collapsed="false">
      <c r="B2392" s="7" t="n">
        <v>46222</v>
      </c>
      <c r="C2392" s="3" t="s">
        <v>14153</v>
      </c>
      <c r="D2392" s="3" t="s">
        <v>13346</v>
      </c>
      <c r="E2392" s="3" t="s">
        <v>14154</v>
      </c>
      <c r="F2392" s="10" t="str">
        <f aca="false">HYPERLINK("https://www.inaturalist.org/people/rebecagalicia","rebecagalicia")</f>
        <v>rebecagalicia</v>
      </c>
      <c r="G2392" s="9" t="s">
        <v>13</v>
      </c>
      <c r="H2392" s="9" t="s">
        <v>14155</v>
      </c>
    </row>
    <row r="2393" customFormat="false" ht="15.75" hidden="false" customHeight="false" outlineLevel="0" collapsed="false">
      <c r="B2393" s="7" t="n">
        <v>46222</v>
      </c>
      <c r="C2393" s="3" t="s">
        <v>14156</v>
      </c>
      <c r="D2393" s="3" t="s">
        <v>13346</v>
      </c>
      <c r="E2393" s="3" t="s">
        <v>14157</v>
      </c>
      <c r="F2393" s="10" t="str">
        <f aca="false">HYPERLINK("https://www.inaturalist.org/people/csaszarne_erdelyi_katalin","csaszarne_erdelyi_katalin")</f>
        <v>csaszarne_erdelyi_katalin</v>
      </c>
      <c r="G2393" s="9" t="s">
        <v>13</v>
      </c>
      <c r="H2393" s="9" t="s">
        <v>14158</v>
      </c>
    </row>
    <row r="2394" customFormat="false" ht="15.75" hidden="false" customHeight="false" outlineLevel="0" collapsed="false">
      <c r="B2394" s="7" t="n">
        <v>46222</v>
      </c>
      <c r="C2394" s="3" t="s">
        <v>14159</v>
      </c>
      <c r="D2394" s="3" t="s">
        <v>13346</v>
      </c>
      <c r="E2394" s="3" t="s">
        <v>14160</v>
      </c>
      <c r="F2394" s="10" t="str">
        <f aca="false">HYPERLINK("https://www.inaturalist.org/people/csaszarne_erdelyi_katalin","csaszarne_erdelyi_katalin")</f>
        <v>csaszarne_erdelyi_katalin</v>
      </c>
      <c r="G2394" s="9" t="s">
        <v>13</v>
      </c>
      <c r="H2394" s="9" t="s">
        <v>14161</v>
      </c>
    </row>
    <row r="2395" customFormat="false" ht="15.75" hidden="false" customHeight="false" outlineLevel="0" collapsed="false">
      <c r="B2395" s="7" t="n">
        <v>46222</v>
      </c>
      <c r="C2395" s="3" t="s">
        <v>14162</v>
      </c>
      <c r="D2395" s="3" t="s">
        <v>13346</v>
      </c>
      <c r="E2395" s="3" t="s">
        <v>14163</v>
      </c>
      <c r="F2395" s="10" t="str">
        <f aca="false">HYPERLINK("https://www.inaturalist.org/people/csaszarne_erdelyi_katalin","csaszarne_erdelyi_katalin")</f>
        <v>csaszarne_erdelyi_katalin</v>
      </c>
      <c r="G2395" s="9" t="s">
        <v>13</v>
      </c>
      <c r="H2395" s="9" t="s">
        <v>14164</v>
      </c>
    </row>
    <row r="2396" customFormat="false" ht="15.75" hidden="false" customHeight="false" outlineLevel="0" collapsed="false">
      <c r="B2396" s="7" t="n">
        <v>46222</v>
      </c>
      <c r="C2396" s="3" t="s">
        <v>14165</v>
      </c>
      <c r="D2396" s="3" t="s">
        <v>13346</v>
      </c>
      <c r="E2396" s="3" t="s">
        <v>14166</v>
      </c>
      <c r="F2396" s="10" t="str">
        <f aca="false">HYPERLINK("https://www.inaturalist.org/people/csaszarne_erdelyi_katalin","csaszarne_erdelyi_katalin")</f>
        <v>csaszarne_erdelyi_katalin</v>
      </c>
      <c r="G2396" s="9" t="s">
        <v>13</v>
      </c>
      <c r="H2396" s="9" t="s">
        <v>14167</v>
      </c>
    </row>
    <row r="2397" customFormat="false" ht="15.75" hidden="false" customHeight="false" outlineLevel="0" collapsed="false">
      <c r="B2397" s="7" t="n">
        <v>46222</v>
      </c>
      <c r="C2397" s="3" t="s">
        <v>14168</v>
      </c>
      <c r="D2397" s="3" t="s">
        <v>13346</v>
      </c>
      <c r="E2397" s="3" t="s">
        <v>14169</v>
      </c>
      <c r="F2397" s="10" t="str">
        <f aca="false">HYPERLINK("https://www.inaturalist.org/people/csaszarne_erdelyi_katalin","csaszarne_erdelyi_katalin")</f>
        <v>csaszarne_erdelyi_katalin</v>
      </c>
      <c r="G2397" s="9" t="s">
        <v>13</v>
      </c>
      <c r="H2397" s="9" t="s">
        <v>14170</v>
      </c>
    </row>
    <row r="2398" customFormat="false" ht="15.75" hidden="false" customHeight="false" outlineLevel="0" collapsed="false">
      <c r="B2398" s="7" t="n">
        <v>46222</v>
      </c>
      <c r="C2398" s="3" t="s">
        <v>14171</v>
      </c>
      <c r="D2398" s="3" t="s">
        <v>13346</v>
      </c>
      <c r="E2398" s="3" t="s">
        <v>14172</v>
      </c>
      <c r="F2398" s="10" t="str">
        <f aca="false">HYPERLINK("https://www.inaturalist.org/people/csaszarne_erdelyi_katalin","csaszarne_erdelyi_katalin")</f>
        <v>csaszarne_erdelyi_katalin</v>
      </c>
      <c r="G2398" s="9" t="s">
        <v>13</v>
      </c>
      <c r="H2398" s="9" t="s">
        <v>14173</v>
      </c>
    </row>
    <row r="2399" customFormat="false" ht="15.75" hidden="false" customHeight="false" outlineLevel="0" collapsed="false">
      <c r="B2399" s="7" t="n">
        <v>46222</v>
      </c>
      <c r="C2399" s="3" t="s">
        <v>14174</v>
      </c>
      <c r="D2399" s="3" t="s">
        <v>13346</v>
      </c>
      <c r="E2399" s="3" t="s">
        <v>14175</v>
      </c>
      <c r="F2399" s="10" t="str">
        <f aca="false">HYPERLINK("https://www.inaturalist.org/people/csaszarne_erdelyi_katalin","csaszarne_erdelyi_katalin")</f>
        <v>csaszarne_erdelyi_katalin</v>
      </c>
      <c r="G2399" s="9" t="s">
        <v>13</v>
      </c>
      <c r="H2399" s="9" t="s">
        <v>14176</v>
      </c>
    </row>
    <row r="2400" customFormat="false" ht="15.75" hidden="false" customHeight="false" outlineLevel="0" collapsed="false">
      <c r="B2400" s="7" t="n">
        <v>46222</v>
      </c>
      <c r="C2400" s="3" t="s">
        <v>14177</v>
      </c>
      <c r="D2400" s="3" t="s">
        <v>13346</v>
      </c>
      <c r="E2400" s="3" t="s">
        <v>14178</v>
      </c>
      <c r="F2400" s="10" t="str">
        <f aca="false">HYPERLINK("https://www.inaturalist.org/people/csaszarne_erdelyi_katalin","csaszarne_erdelyi_katalin")</f>
        <v>csaszarne_erdelyi_katalin</v>
      </c>
      <c r="G2400" s="9" t="s">
        <v>13</v>
      </c>
      <c r="H2400" s="9" t="s">
        <v>14179</v>
      </c>
    </row>
    <row r="2401" customFormat="false" ht="15.75" hidden="false" customHeight="false" outlineLevel="0" collapsed="false">
      <c r="B2401" s="7" t="n">
        <v>46222</v>
      </c>
      <c r="C2401" s="3" t="s">
        <v>14180</v>
      </c>
      <c r="D2401" s="3" t="s">
        <v>13346</v>
      </c>
      <c r="E2401" s="3" t="s">
        <v>14181</v>
      </c>
      <c r="F2401" s="10" t="str">
        <f aca="false">HYPERLINK("https://www.inaturalist.org/people/csaszarne_erdelyi_katalin","csaszarne_erdelyi_katalin")</f>
        <v>csaszarne_erdelyi_katalin</v>
      </c>
      <c r="G2401" s="9" t="s">
        <v>13</v>
      </c>
      <c r="H2401" s="9" t="s">
        <v>14182</v>
      </c>
    </row>
    <row r="2402" customFormat="false" ht="15.75" hidden="false" customHeight="false" outlineLevel="0" collapsed="false">
      <c r="B2402" s="7" t="n">
        <v>46222</v>
      </c>
      <c r="C2402" s="3" t="s">
        <v>14183</v>
      </c>
      <c r="D2402" s="3" t="s">
        <v>13346</v>
      </c>
      <c r="E2402" s="3" t="s">
        <v>14184</v>
      </c>
      <c r="F2402" s="10" t="str">
        <f aca="false">HYPERLINK("https://www.inaturalist.org/people/csaszarne_erdelyi_katalin","csaszarne_erdelyi_katalin")</f>
        <v>csaszarne_erdelyi_katalin</v>
      </c>
      <c r="G2402" s="9" t="s">
        <v>13</v>
      </c>
      <c r="H2402" s="9" t="s">
        <v>14185</v>
      </c>
    </row>
    <row r="2403" customFormat="false" ht="15.75" hidden="false" customHeight="false" outlineLevel="0" collapsed="false">
      <c r="B2403" s="7" t="n">
        <v>46222</v>
      </c>
      <c r="C2403" s="3" t="s">
        <v>14186</v>
      </c>
      <c r="D2403" s="3" t="s">
        <v>13346</v>
      </c>
      <c r="E2403" s="3" t="s">
        <v>14187</v>
      </c>
      <c r="F2403" s="10" t="str">
        <f aca="false">HYPERLINK("https://www.inaturalist.org/people/conceptlib","conceptlib")</f>
        <v>conceptlib</v>
      </c>
      <c r="G2403" s="9" t="s">
        <v>13</v>
      </c>
      <c r="H2403" s="9" t="s">
        <v>14188</v>
      </c>
    </row>
    <row r="2404" customFormat="false" ht="15.75" hidden="false" customHeight="false" outlineLevel="0" collapsed="false">
      <c r="B2404" s="7" t="n">
        <v>46222</v>
      </c>
      <c r="C2404" s="3" t="s">
        <v>14189</v>
      </c>
      <c r="D2404" s="3" t="s">
        <v>13346</v>
      </c>
      <c r="E2404" s="3" t="s">
        <v>14190</v>
      </c>
      <c r="F2404" s="10" t="str">
        <f aca="false">HYPERLINK("https://www.inaturalist.org/people/conceptlib","conceptlib")</f>
        <v>conceptlib</v>
      </c>
      <c r="G2404" s="9" t="s">
        <v>13</v>
      </c>
      <c r="H2404" s="9" t="s">
        <v>14191</v>
      </c>
    </row>
    <row r="2405" customFormat="false" ht="15.75" hidden="false" customHeight="false" outlineLevel="0" collapsed="false">
      <c r="B2405" s="7" t="n">
        <v>46222</v>
      </c>
      <c r="C2405" s="3" t="s">
        <v>14192</v>
      </c>
      <c r="D2405" s="3" t="s">
        <v>13346</v>
      </c>
      <c r="E2405" s="3" t="s">
        <v>14193</v>
      </c>
      <c r="F2405" s="10" t="str">
        <f aca="false">HYPERLINK("https://www.inaturalist.org/people/troncfr0","troncfr0")</f>
        <v>troncfr0</v>
      </c>
      <c r="G2405" s="9" t="s">
        <v>13</v>
      </c>
      <c r="H2405" s="9" t="s">
        <v>14194</v>
      </c>
    </row>
    <row r="2406" customFormat="false" ht="15.75" hidden="false" customHeight="false" outlineLevel="0" collapsed="false">
      <c r="B2406" s="7" t="n">
        <v>46222</v>
      </c>
      <c r="C2406" s="3" t="s">
        <v>14195</v>
      </c>
      <c r="D2406" s="3" t="s">
        <v>13346</v>
      </c>
      <c r="E2406" s="3" t="s">
        <v>14196</v>
      </c>
      <c r="F2406" s="10" t="str">
        <f aca="false">HYPERLINK("https://www.inaturalist.org/people/elizabethhatfield","elizabethhatfield")</f>
        <v>elizabethhatfield</v>
      </c>
      <c r="G2406" s="9" t="s">
        <v>13</v>
      </c>
      <c r="H2406" s="9" t="s">
        <v>14197</v>
      </c>
    </row>
    <row r="2407" customFormat="false" ht="15.75" hidden="false" customHeight="false" outlineLevel="0" collapsed="false">
      <c r="B2407" s="7" t="n">
        <v>46222</v>
      </c>
      <c r="C2407" s="3" t="s">
        <v>14198</v>
      </c>
      <c r="D2407" s="3" t="s">
        <v>13346</v>
      </c>
      <c r="E2407" s="3" t="s">
        <v>14199</v>
      </c>
      <c r="F2407" s="10" t="str">
        <f aca="false">HYPERLINK("https://www.inaturalist.org/people/wildlifein","wildlifein")</f>
        <v>wildlifein</v>
      </c>
      <c r="G2407" s="9" t="s">
        <v>13</v>
      </c>
      <c r="H2407" s="9" t="s">
        <v>14200</v>
      </c>
    </row>
    <row r="2408" customFormat="false" ht="15.75" hidden="false" customHeight="false" outlineLevel="0" collapsed="false">
      <c r="B2408" s="7" t="n">
        <v>46222</v>
      </c>
      <c r="C2408" s="3" t="s">
        <v>14201</v>
      </c>
      <c r="D2408" s="3" t="s">
        <v>13346</v>
      </c>
      <c r="E2408" s="3" t="s">
        <v>14202</v>
      </c>
      <c r="F2408" s="10" t="str">
        <f aca="false">HYPERLINK("https://www.inaturalist.org/people/joergfreyhof","joergfreyhof")</f>
        <v>joergfreyhof</v>
      </c>
      <c r="G2408" s="9" t="s">
        <v>13</v>
      </c>
      <c r="H2408" s="9" t="s">
        <v>14203</v>
      </c>
    </row>
    <row r="2409" customFormat="false" ht="15.75" hidden="false" customHeight="false" outlineLevel="0" collapsed="false">
      <c r="B2409" s="7" t="n">
        <v>46222</v>
      </c>
      <c r="C2409" s="3" t="s">
        <v>14204</v>
      </c>
      <c r="D2409" s="3" t="s">
        <v>13346</v>
      </c>
      <c r="E2409" s="3" t="s">
        <v>14205</v>
      </c>
      <c r="F2409" s="10" t="str">
        <f aca="false">HYPERLINK("https://www.inaturalist.org/people/joergfreyhof","joergfreyhof")</f>
        <v>joergfreyhof</v>
      </c>
      <c r="G2409" s="9" t="s">
        <v>13</v>
      </c>
      <c r="H2409" s="9" t="s">
        <v>14206</v>
      </c>
    </row>
    <row r="2410" customFormat="false" ht="15.75" hidden="false" customHeight="false" outlineLevel="0" collapsed="false">
      <c r="B2410" s="7" t="n">
        <v>46222</v>
      </c>
      <c r="C2410" s="3" t="s">
        <v>14207</v>
      </c>
      <c r="D2410" s="3" t="s">
        <v>13346</v>
      </c>
      <c r="E2410" s="3" t="s">
        <v>14208</v>
      </c>
      <c r="F2410" s="10" t="str">
        <f aca="false">HYPERLINK("https://www.inaturalist.org/people/joergfreyhof","joergfreyhof")</f>
        <v>joergfreyhof</v>
      </c>
      <c r="G2410" s="9" t="s">
        <v>13</v>
      </c>
      <c r="H2410" s="9" t="s">
        <v>14209</v>
      </c>
    </row>
    <row r="2411" customFormat="false" ht="15.75" hidden="false" customHeight="false" outlineLevel="0" collapsed="false">
      <c r="B2411" s="7" t="n">
        <v>46222</v>
      </c>
      <c r="C2411" s="3" t="s">
        <v>14210</v>
      </c>
      <c r="D2411" s="3" t="s">
        <v>13346</v>
      </c>
      <c r="E2411" s="3" t="s">
        <v>14211</v>
      </c>
      <c r="F2411" s="10" t="str">
        <f aca="false">HYPERLINK("https://www.inaturalist.org/people/joergfreyhof","joergfreyhof")</f>
        <v>joergfreyhof</v>
      </c>
      <c r="G2411" s="9" t="s">
        <v>13</v>
      </c>
      <c r="H2411" s="9" t="s">
        <v>14212</v>
      </c>
    </row>
    <row r="2412" customFormat="false" ht="15.75" hidden="false" customHeight="false" outlineLevel="0" collapsed="false">
      <c r="B2412" s="7" t="n">
        <v>46222</v>
      </c>
      <c r="C2412" s="3" t="s">
        <v>14213</v>
      </c>
      <c r="D2412" s="3" t="s">
        <v>13346</v>
      </c>
      <c r="E2412" s="3" t="s">
        <v>14214</v>
      </c>
      <c r="F2412" s="10" t="str">
        <f aca="false">HYPERLINK("https://www.inaturalist.org/people/joergfreyhof","joergfreyhof")</f>
        <v>joergfreyhof</v>
      </c>
      <c r="G2412" s="9" t="s">
        <v>13</v>
      </c>
      <c r="H2412" s="9" t="s">
        <v>14215</v>
      </c>
    </row>
    <row r="2413" customFormat="false" ht="15.75" hidden="false" customHeight="false" outlineLevel="0" collapsed="false">
      <c r="B2413" s="7" t="n">
        <v>46222</v>
      </c>
      <c r="C2413" s="3" t="s">
        <v>14216</v>
      </c>
      <c r="D2413" s="3" t="s">
        <v>13346</v>
      </c>
      <c r="E2413" s="3" t="s">
        <v>14217</v>
      </c>
      <c r="F2413" s="10" t="str">
        <f aca="false">HYPERLINK("https://www.inaturalist.org/people/joergfreyhof","joergfreyhof")</f>
        <v>joergfreyhof</v>
      </c>
      <c r="G2413" s="9" t="s">
        <v>13</v>
      </c>
      <c r="H2413" s="9" t="s">
        <v>14218</v>
      </c>
    </row>
    <row r="2414" customFormat="false" ht="15.75" hidden="false" customHeight="false" outlineLevel="0" collapsed="false">
      <c r="B2414" s="7" t="n">
        <v>46222</v>
      </c>
      <c r="C2414" s="3" t="s">
        <v>14219</v>
      </c>
      <c r="D2414" s="3" t="s">
        <v>13346</v>
      </c>
      <c r="E2414" s="3" t="s">
        <v>14220</v>
      </c>
      <c r="F2414" s="10" t="str">
        <f aca="false">HYPERLINK("https://www.inaturalist.org/people/eman_resu","eman_resu")</f>
        <v>eman_resu</v>
      </c>
      <c r="G2414" s="9" t="s">
        <v>13</v>
      </c>
      <c r="H2414" s="9" t="s">
        <v>14221</v>
      </c>
    </row>
    <row r="2415" customFormat="false" ht="15.75" hidden="false" customHeight="false" outlineLevel="0" collapsed="false">
      <c r="B2415" s="7" t="n">
        <v>46222</v>
      </c>
      <c r="C2415" s="3" t="s">
        <v>14222</v>
      </c>
      <c r="D2415" s="3" t="s">
        <v>13346</v>
      </c>
      <c r="E2415" s="3" t="s">
        <v>14223</v>
      </c>
      <c r="F2415" s="10" t="str">
        <f aca="false">HYPERLINK("https://www.inaturalist.org/people/masser1113","masser1113")</f>
        <v>masser1113</v>
      </c>
      <c r="G2415" s="9" t="s">
        <v>13</v>
      </c>
      <c r="H2415" s="9" t="s">
        <v>14224</v>
      </c>
    </row>
    <row r="2416" customFormat="false" ht="15.75" hidden="false" customHeight="false" outlineLevel="0" collapsed="false">
      <c r="B2416" s="7" t="n">
        <v>46222</v>
      </c>
      <c r="C2416" s="3" t="s">
        <v>14225</v>
      </c>
      <c r="D2416" s="3" t="s">
        <v>13346</v>
      </c>
      <c r="E2416" s="3" t="s">
        <v>14226</v>
      </c>
      <c r="F2416" s="10" t="str">
        <f aca="false">HYPERLINK("https://www.inaturalist.org/people/sub_lemon_all","sub_lemon_all")</f>
        <v>sub_lemon_all</v>
      </c>
      <c r="G2416" s="9" t="s">
        <v>13</v>
      </c>
      <c r="H2416" s="9" t="s">
        <v>14227</v>
      </c>
    </row>
    <row r="2417" customFormat="false" ht="15.75" hidden="false" customHeight="false" outlineLevel="0" collapsed="false">
      <c r="B2417" s="7" t="n">
        <v>46222</v>
      </c>
      <c r="C2417" s="3" t="s">
        <v>14228</v>
      </c>
      <c r="D2417" s="3" t="s">
        <v>13346</v>
      </c>
      <c r="E2417" s="3" t="s">
        <v>14229</v>
      </c>
      <c r="F2417" s="10" t="str">
        <f aca="false">HYPERLINK("https://www.inaturalist.org/people/lynsh","lynsh")</f>
        <v>lynsh</v>
      </c>
      <c r="G2417" s="9" t="s">
        <v>13</v>
      </c>
      <c r="H2417" s="9" t="s">
        <v>14230</v>
      </c>
    </row>
    <row r="2418" customFormat="false" ht="15.75" hidden="false" customHeight="false" outlineLevel="0" collapsed="false">
      <c r="B2418" s="7" t="n">
        <v>46222</v>
      </c>
      <c r="C2418" s="3" t="s">
        <v>14231</v>
      </c>
      <c r="D2418" s="3" t="s">
        <v>13346</v>
      </c>
      <c r="E2418" s="3" t="s">
        <v>14232</v>
      </c>
      <c r="F2418" s="10" t="str">
        <f aca="false">HYPERLINK("https://www.inaturalist.org/people/lukemccauley","lukemccauley")</f>
        <v>lukemccauley</v>
      </c>
      <c r="G2418" s="9" t="s">
        <v>13</v>
      </c>
      <c r="H2418" s="9" t="s">
        <v>14233</v>
      </c>
    </row>
    <row r="2419" customFormat="false" ht="15.75" hidden="false" customHeight="false" outlineLevel="0" collapsed="false">
      <c r="B2419" s="7" t="n">
        <v>46222</v>
      </c>
      <c r="C2419" s="3" t="s">
        <v>14234</v>
      </c>
      <c r="D2419" s="3" t="s">
        <v>13346</v>
      </c>
      <c r="E2419" s="3" t="s">
        <v>14235</v>
      </c>
      <c r="F2419" s="10" t="str">
        <f aca="false">HYPERLINK("https://www.inaturalist.org/people/smhennessy","smhennessy")</f>
        <v>smhennessy</v>
      </c>
      <c r="G2419" s="9" t="s">
        <v>13</v>
      </c>
      <c r="H2419" s="9" t="s">
        <v>14236</v>
      </c>
    </row>
    <row r="2420" customFormat="false" ht="15.75" hidden="false" customHeight="false" outlineLevel="0" collapsed="false">
      <c r="B2420" s="7" t="n">
        <v>46222</v>
      </c>
      <c r="C2420" s="3" t="s">
        <v>14237</v>
      </c>
      <c r="D2420" s="3" t="s">
        <v>13346</v>
      </c>
      <c r="E2420" s="3" t="s">
        <v>14238</v>
      </c>
      <c r="F2420" s="10" t="str">
        <f aca="false">HYPERLINK("https://www.inaturalist.org/people/jimkarlstrom","jimkarlstrom")</f>
        <v>jimkarlstrom</v>
      </c>
      <c r="G2420" s="9" t="s">
        <v>13</v>
      </c>
      <c r="H2420" s="9" t="s">
        <v>14239</v>
      </c>
    </row>
    <row r="2421" customFormat="false" ht="15.75" hidden="false" customHeight="false" outlineLevel="0" collapsed="false">
      <c r="B2421" s="7" t="n">
        <v>46222</v>
      </c>
      <c r="C2421" s="3" t="s">
        <v>14240</v>
      </c>
      <c r="D2421" s="3" t="s">
        <v>13346</v>
      </c>
      <c r="E2421" s="3" t="s">
        <v>14241</v>
      </c>
      <c r="F2421" s="10" t="str">
        <f aca="false">HYPERLINK("https://www.inaturalist.org/people/nedj","nedj")</f>
        <v>nedj</v>
      </c>
      <c r="G2421" s="9" t="s">
        <v>13</v>
      </c>
      <c r="H2421" s="9" t="s">
        <v>14242</v>
      </c>
    </row>
    <row r="2422" customFormat="false" ht="15.75" hidden="false" customHeight="false" outlineLevel="0" collapsed="false">
      <c r="B2422" s="7" t="n">
        <v>46222</v>
      </c>
      <c r="C2422" s="3" t="s">
        <v>14243</v>
      </c>
      <c r="D2422" s="3" t="s">
        <v>13346</v>
      </c>
      <c r="E2422" s="3" t="s">
        <v>14244</v>
      </c>
      <c r="F2422" s="10" t="str">
        <f aca="false">HYPERLINK("https://www.inaturalist.org/people/kostiksima","kostiksima")</f>
        <v>kostiksima</v>
      </c>
      <c r="G2422" s="9" t="s">
        <v>13</v>
      </c>
      <c r="H2422" s="9" t="s">
        <v>14245</v>
      </c>
    </row>
    <row r="2423" customFormat="false" ht="15.75" hidden="false" customHeight="false" outlineLevel="0" collapsed="false">
      <c r="B2423" s="7" t="n">
        <v>46222</v>
      </c>
      <c r="C2423" s="3" t="s">
        <v>14246</v>
      </c>
      <c r="D2423" s="3" t="s">
        <v>14247</v>
      </c>
      <c r="E2423" s="3" t="s">
        <v>14248</v>
      </c>
      <c r="F2423" s="10" t="str">
        <f aca="false">HYPERLINK("https://www.inaturalist.org/people/jmjb","jmjb")</f>
        <v>jmjb</v>
      </c>
      <c r="G2423" s="9" t="s">
        <v>13</v>
      </c>
      <c r="H2423" s="9" t="s">
        <v>14249</v>
      </c>
    </row>
    <row r="2424" customFormat="false" ht="15.75" hidden="false" customHeight="false" outlineLevel="0" collapsed="false">
      <c r="B2424" s="7" t="n">
        <v>46222</v>
      </c>
      <c r="C2424" s="3" t="s">
        <v>14250</v>
      </c>
      <c r="D2424" s="3" t="s">
        <v>14247</v>
      </c>
      <c r="E2424" s="3" t="s">
        <v>14251</v>
      </c>
      <c r="F2424" s="10" t="str">
        <f aca="false">HYPERLINK("https://www.inaturalist.org/people/jmjb","jmjb")</f>
        <v>jmjb</v>
      </c>
      <c r="G2424" s="9" t="s">
        <v>13</v>
      </c>
      <c r="H2424" s="9" t="s">
        <v>14252</v>
      </c>
    </row>
    <row r="2425" customFormat="false" ht="15.75" hidden="false" customHeight="false" outlineLevel="0" collapsed="false">
      <c r="B2425" s="7" t="n">
        <v>46222</v>
      </c>
      <c r="C2425" s="3" t="s">
        <v>14253</v>
      </c>
      <c r="D2425" s="3" t="s">
        <v>14247</v>
      </c>
      <c r="E2425" s="3" t="s">
        <v>14254</v>
      </c>
      <c r="F2425" s="10" t="str">
        <f aca="false">HYPERLINK("https://www.inaturalist.org/people/aeithalis","aeithalis")</f>
        <v>aeithalis</v>
      </c>
      <c r="G2425" s="9" t="s">
        <v>13</v>
      </c>
      <c r="H2425" s="9" t="s">
        <v>14255</v>
      </c>
    </row>
    <row r="2426" customFormat="false" ht="15.75" hidden="false" customHeight="false" outlineLevel="0" collapsed="false">
      <c r="B2426" s="7" t="n">
        <v>46222</v>
      </c>
      <c r="C2426" s="3" t="s">
        <v>14256</v>
      </c>
      <c r="D2426" s="3" t="s">
        <v>14247</v>
      </c>
      <c r="E2426" s="3" t="s">
        <v>14257</v>
      </c>
      <c r="F2426" s="10" t="str">
        <f aca="false">HYPERLINK("https://www.inaturalist.org/people/kuzma_parsons","kuzma_parsons")</f>
        <v>kuzma_parsons</v>
      </c>
      <c r="G2426" s="9" t="s">
        <v>13</v>
      </c>
      <c r="H2426" s="9" t="s">
        <v>14258</v>
      </c>
    </row>
    <row r="2427" customFormat="false" ht="15.75" hidden="false" customHeight="false" outlineLevel="0" collapsed="false">
      <c r="B2427" s="7" t="n">
        <v>46222</v>
      </c>
      <c r="C2427" s="3" t="s">
        <v>14259</v>
      </c>
      <c r="D2427" s="3" t="s">
        <v>14247</v>
      </c>
      <c r="E2427" s="3" t="s">
        <v>14260</v>
      </c>
      <c r="F2427" s="10" t="str">
        <f aca="false">HYPERLINK("https://www.inaturalist.org/people/jmjb","jmjb")</f>
        <v>jmjb</v>
      </c>
      <c r="G2427" s="9" t="s">
        <v>13</v>
      </c>
      <c r="H2427" s="9" t="s">
        <v>14261</v>
      </c>
    </row>
    <row r="2428" customFormat="false" ht="15.75" hidden="false" customHeight="false" outlineLevel="0" collapsed="false">
      <c r="B2428" s="7" t="n">
        <v>46222</v>
      </c>
      <c r="C2428" s="3" t="s">
        <v>14262</v>
      </c>
      <c r="D2428" s="3" t="s">
        <v>14247</v>
      </c>
      <c r="E2428" s="3" t="s">
        <v>14263</v>
      </c>
      <c r="F2428" s="10" t="str">
        <f aca="false">HYPERLINK("https://www.inaturalist.org/people/animaldude4000","animaldude4000")</f>
        <v>animaldude4000</v>
      </c>
      <c r="G2428" s="9" t="s">
        <v>13</v>
      </c>
      <c r="H2428" s="9" t="s">
        <v>14264</v>
      </c>
    </row>
    <row r="2429" customFormat="false" ht="15.75" hidden="false" customHeight="false" outlineLevel="0" collapsed="false">
      <c r="B2429" s="7" t="n">
        <v>46222</v>
      </c>
      <c r="C2429" s="3" t="s">
        <v>14265</v>
      </c>
      <c r="D2429" s="3" t="s">
        <v>14247</v>
      </c>
      <c r="E2429" s="3" t="s">
        <v>14266</v>
      </c>
      <c r="F2429" s="10" t="str">
        <f aca="false">HYPERLINK("https://www.inaturalist.org/people/animaldude4000","animaldude4000")</f>
        <v>animaldude4000</v>
      </c>
      <c r="G2429" s="9" t="s">
        <v>13</v>
      </c>
      <c r="H2429" s="9" t="s">
        <v>14267</v>
      </c>
    </row>
    <row r="2430" customFormat="false" ht="15.75" hidden="false" customHeight="false" outlineLevel="0" collapsed="false">
      <c r="B2430" s="7" t="n">
        <v>46222</v>
      </c>
      <c r="C2430" s="3" t="s">
        <v>14268</v>
      </c>
      <c r="D2430" s="3" t="s">
        <v>14247</v>
      </c>
      <c r="E2430" s="3" t="s">
        <v>14269</v>
      </c>
      <c r="F2430" s="10" t="str">
        <f aca="false">HYPERLINK("https://www.inaturalist.org/people/jclark754","jclark754")</f>
        <v>jclark754</v>
      </c>
      <c r="G2430" s="9" t="s">
        <v>13</v>
      </c>
      <c r="H2430" s="9" t="s">
        <v>14270</v>
      </c>
    </row>
    <row r="2431" customFormat="false" ht="15.75" hidden="false" customHeight="false" outlineLevel="0" collapsed="false">
      <c r="B2431" s="7" t="n">
        <v>46222</v>
      </c>
      <c r="C2431" s="3" t="s">
        <v>14271</v>
      </c>
      <c r="D2431" s="3" t="s">
        <v>14247</v>
      </c>
      <c r="E2431" s="3" t="s">
        <v>14272</v>
      </c>
      <c r="F2431" s="10" t="str">
        <f aca="false">HYPERLINK("https://www.inaturalist.org/people/animaldude4000","animaldude4000")</f>
        <v>animaldude4000</v>
      </c>
      <c r="G2431" s="9" t="s">
        <v>13</v>
      </c>
      <c r="H2431" s="9" t="s">
        <v>14273</v>
      </c>
    </row>
    <row r="2432" customFormat="false" ht="15.75" hidden="false" customHeight="false" outlineLevel="0" collapsed="false">
      <c r="B2432" s="7" t="n">
        <v>46222</v>
      </c>
      <c r="C2432" s="3" t="s">
        <v>14274</v>
      </c>
      <c r="D2432" s="3" t="s">
        <v>14247</v>
      </c>
      <c r="E2432" s="3" t="s">
        <v>14275</v>
      </c>
      <c r="F2432" s="10" t="str">
        <f aca="false">HYPERLINK("https://www.inaturalist.org/people/animaldude4000","animaldude4000")</f>
        <v>animaldude4000</v>
      </c>
      <c r="G2432" s="9" t="s">
        <v>13</v>
      </c>
      <c r="H2432" s="9" t="s">
        <v>14276</v>
      </c>
    </row>
    <row r="2433" customFormat="false" ht="15.75" hidden="false" customHeight="false" outlineLevel="0" collapsed="false">
      <c r="B2433" s="7" t="n">
        <v>46222</v>
      </c>
      <c r="C2433" s="3" t="s">
        <v>14277</v>
      </c>
      <c r="D2433" s="3" t="s">
        <v>14247</v>
      </c>
      <c r="E2433" s="3" t="s">
        <v>14278</v>
      </c>
      <c r="F2433" s="10" t="str">
        <f aca="false">HYPERLINK("https://www.inaturalist.org/people/aeithalis","aeithalis")</f>
        <v>aeithalis</v>
      </c>
      <c r="G2433" s="9" t="s">
        <v>13</v>
      </c>
      <c r="H2433" s="9" t="s">
        <v>14279</v>
      </c>
    </row>
    <row r="2434" customFormat="false" ht="15.75" hidden="false" customHeight="false" outlineLevel="0" collapsed="false">
      <c r="B2434" s="7" t="n">
        <v>46222</v>
      </c>
      <c r="C2434" s="3" t="s">
        <v>14280</v>
      </c>
      <c r="D2434" s="3" t="s">
        <v>14247</v>
      </c>
      <c r="E2434" s="3" t="s">
        <v>14281</v>
      </c>
      <c r="F2434" s="10" t="str">
        <f aca="false">HYPERLINK("https://www.inaturalist.org/people/muckle","muckle")</f>
        <v>muckle</v>
      </c>
      <c r="G2434" s="9" t="s">
        <v>13</v>
      </c>
      <c r="H2434" s="9" t="s">
        <v>14282</v>
      </c>
    </row>
    <row r="2435" customFormat="false" ht="15.75" hidden="false" customHeight="false" outlineLevel="0" collapsed="false">
      <c r="B2435" s="7" t="n">
        <v>46222</v>
      </c>
      <c r="C2435" s="3" t="s">
        <v>14283</v>
      </c>
      <c r="D2435" s="3" t="s">
        <v>14247</v>
      </c>
      <c r="E2435" s="3" t="s">
        <v>14284</v>
      </c>
      <c r="F2435" s="10" t="str">
        <f aca="false">HYPERLINK("https://www.inaturalist.org/people/muckle","muckle")</f>
        <v>muckle</v>
      </c>
      <c r="G2435" s="9" t="s">
        <v>13</v>
      </c>
      <c r="H2435" s="9" t="s">
        <v>14285</v>
      </c>
    </row>
    <row r="2436" customFormat="false" ht="15.75" hidden="false" customHeight="false" outlineLevel="0" collapsed="false">
      <c r="B2436" s="7" t="n">
        <v>46222</v>
      </c>
      <c r="C2436" s="3" t="s">
        <v>14286</v>
      </c>
      <c r="D2436" s="3" t="s">
        <v>14247</v>
      </c>
      <c r="E2436" s="3" t="s">
        <v>14287</v>
      </c>
      <c r="F2436" s="10" t="str">
        <f aca="false">HYPERLINK("https://www.inaturalist.org/people/muckle","muckle")</f>
        <v>muckle</v>
      </c>
      <c r="G2436" s="9" t="s">
        <v>13</v>
      </c>
      <c r="H2436" s="9" t="s">
        <v>14288</v>
      </c>
    </row>
    <row r="2437" customFormat="false" ht="15.75" hidden="false" customHeight="false" outlineLevel="0" collapsed="false">
      <c r="B2437" s="7" t="n">
        <v>46222</v>
      </c>
      <c r="C2437" s="3" t="s">
        <v>14289</v>
      </c>
      <c r="D2437" s="3" t="s">
        <v>14247</v>
      </c>
      <c r="E2437" s="3" t="s">
        <v>14290</v>
      </c>
      <c r="F2437" s="10" t="str">
        <f aca="false">HYPERLINK("https://www.inaturalist.org/people/aneidesaeneus","aneidesaeneus")</f>
        <v>aneidesaeneus</v>
      </c>
      <c r="G2437" s="9" t="s">
        <v>13</v>
      </c>
      <c r="H2437" s="9" t="s">
        <v>14291</v>
      </c>
    </row>
    <row r="2438" customFormat="false" ht="15.75" hidden="false" customHeight="false" outlineLevel="0" collapsed="false">
      <c r="B2438" s="7" t="n">
        <v>46222</v>
      </c>
      <c r="C2438" s="3" t="s">
        <v>14292</v>
      </c>
      <c r="D2438" s="3" t="s">
        <v>14247</v>
      </c>
      <c r="E2438" s="3" t="s">
        <v>14293</v>
      </c>
      <c r="F2438" s="10" t="str">
        <f aca="false">HYPERLINK("https://www.inaturalist.org/people/aneidesaeneus","aneidesaeneus")</f>
        <v>aneidesaeneus</v>
      </c>
      <c r="G2438" s="9" t="s">
        <v>13</v>
      </c>
      <c r="H2438" s="9" t="s">
        <v>14294</v>
      </c>
    </row>
    <row r="2439" customFormat="false" ht="15.75" hidden="false" customHeight="false" outlineLevel="0" collapsed="false">
      <c r="B2439" s="7" t="n">
        <v>46222</v>
      </c>
      <c r="C2439" s="3" t="s">
        <v>14295</v>
      </c>
      <c r="D2439" s="3" t="s">
        <v>14247</v>
      </c>
      <c r="E2439" s="3" t="s">
        <v>14296</v>
      </c>
      <c r="F2439" s="10" t="str">
        <f aca="false">HYPERLINK("https://www.inaturalist.org/people/aneidesaeneus","aneidesaeneus")</f>
        <v>aneidesaeneus</v>
      </c>
      <c r="G2439" s="9" t="s">
        <v>13</v>
      </c>
      <c r="H2439" s="9" t="s">
        <v>14297</v>
      </c>
    </row>
    <row r="2440" customFormat="false" ht="15.75" hidden="false" customHeight="false" outlineLevel="0" collapsed="false">
      <c r="B2440" s="7" t="n">
        <v>46222</v>
      </c>
      <c r="C2440" s="3" t="s">
        <v>14298</v>
      </c>
      <c r="D2440" s="3" t="s">
        <v>14247</v>
      </c>
      <c r="E2440" s="3" t="s">
        <v>14299</v>
      </c>
      <c r="F2440" s="10" t="str">
        <f aca="false">HYPERLINK("https://www.inaturalist.org/people/aneidesaeneus","aneidesaeneus")</f>
        <v>aneidesaeneus</v>
      </c>
      <c r="G2440" s="9" t="s">
        <v>13</v>
      </c>
      <c r="H2440" s="9" t="s">
        <v>14300</v>
      </c>
    </row>
    <row r="2441" customFormat="false" ht="15.75" hidden="false" customHeight="false" outlineLevel="0" collapsed="false">
      <c r="B2441" s="7" t="n">
        <v>46222</v>
      </c>
      <c r="C2441" s="3" t="s">
        <v>14301</v>
      </c>
      <c r="D2441" s="3" t="s">
        <v>14247</v>
      </c>
      <c r="E2441" s="3" t="s">
        <v>14302</v>
      </c>
      <c r="F2441" s="10" t="str">
        <f aca="false">HYPERLINK("https://www.inaturalist.org/people/aneidesaeneus","aneidesaeneus")</f>
        <v>aneidesaeneus</v>
      </c>
      <c r="G2441" s="9" t="s">
        <v>13</v>
      </c>
      <c r="H2441" s="9" t="s">
        <v>14303</v>
      </c>
    </row>
    <row r="2442" customFormat="false" ht="15.75" hidden="false" customHeight="false" outlineLevel="0" collapsed="false">
      <c r="B2442" s="7" t="n">
        <v>46222</v>
      </c>
      <c r="C2442" s="3" t="s">
        <v>14304</v>
      </c>
      <c r="D2442" s="3" t="s">
        <v>14247</v>
      </c>
      <c r="E2442" s="3" t="s">
        <v>14305</v>
      </c>
      <c r="F2442" s="10" t="str">
        <f aca="false">HYPERLINK("https://www.inaturalist.org/people/aneidesaeneus","aneidesaeneus")</f>
        <v>aneidesaeneus</v>
      </c>
      <c r="G2442" s="9" t="s">
        <v>13</v>
      </c>
      <c r="H2442" s="9" t="s">
        <v>14306</v>
      </c>
    </row>
    <row r="2443" customFormat="false" ht="15.75" hidden="false" customHeight="false" outlineLevel="0" collapsed="false">
      <c r="B2443" s="7" t="n">
        <v>46222</v>
      </c>
      <c r="C2443" s="3" t="s">
        <v>14307</v>
      </c>
      <c r="D2443" s="3" t="s">
        <v>14247</v>
      </c>
      <c r="E2443" s="3" t="s">
        <v>14308</v>
      </c>
      <c r="F2443" s="10" t="str">
        <f aca="false">HYPERLINK("https://www.inaturalist.org/people/aneidesaeneus","aneidesaeneus")</f>
        <v>aneidesaeneus</v>
      </c>
      <c r="G2443" s="9" t="s">
        <v>13</v>
      </c>
      <c r="H2443" s="9" t="s">
        <v>14309</v>
      </c>
    </row>
    <row r="2444" customFormat="false" ht="15.75" hidden="false" customHeight="false" outlineLevel="0" collapsed="false">
      <c r="B2444" s="7" t="n">
        <v>46222</v>
      </c>
      <c r="C2444" s="3" t="s">
        <v>14310</v>
      </c>
      <c r="D2444" s="3" t="s">
        <v>14247</v>
      </c>
      <c r="E2444" s="3" t="s">
        <v>14311</v>
      </c>
      <c r="F2444" s="10" t="str">
        <f aca="false">HYPERLINK("https://www.inaturalist.org/people/aneidesaeneus","aneidesaeneus")</f>
        <v>aneidesaeneus</v>
      </c>
      <c r="G2444" s="9" t="s">
        <v>13</v>
      </c>
      <c r="H2444" s="9" t="s">
        <v>14312</v>
      </c>
    </row>
    <row r="2445" customFormat="false" ht="15.75" hidden="false" customHeight="false" outlineLevel="0" collapsed="false">
      <c r="B2445" s="7" t="n">
        <v>46222</v>
      </c>
      <c r="C2445" s="3" t="s">
        <v>14313</v>
      </c>
      <c r="D2445" s="3" t="s">
        <v>14247</v>
      </c>
      <c r="E2445" s="3" t="s">
        <v>14314</v>
      </c>
      <c r="F2445" s="10" t="str">
        <f aca="false">HYPERLINK("https://www.inaturalist.org/people/aneidesaeneus","aneidesaeneus")</f>
        <v>aneidesaeneus</v>
      </c>
      <c r="G2445" s="9" t="s">
        <v>13</v>
      </c>
      <c r="H2445" s="9" t="s">
        <v>14315</v>
      </c>
    </row>
    <row r="2446" customFormat="false" ht="15.75" hidden="false" customHeight="false" outlineLevel="0" collapsed="false">
      <c r="B2446" s="7" t="n">
        <v>46222</v>
      </c>
      <c r="C2446" s="3" t="s">
        <v>14316</v>
      </c>
      <c r="D2446" s="3" t="s">
        <v>14247</v>
      </c>
      <c r="E2446" s="3" t="s">
        <v>14317</v>
      </c>
      <c r="F2446" s="10" t="str">
        <f aca="false">HYPERLINK("https://www.inaturalist.org/people/heyjohnryan","heyjohnryan")</f>
        <v>heyjohnryan</v>
      </c>
      <c r="G2446" s="9" t="s">
        <v>13</v>
      </c>
      <c r="H2446" s="9" t="s">
        <v>14318</v>
      </c>
    </row>
    <row r="2447" customFormat="false" ht="15.75" hidden="false" customHeight="false" outlineLevel="0" collapsed="false">
      <c r="B2447" s="7" t="n">
        <v>46222</v>
      </c>
      <c r="C2447" s="3" t="s">
        <v>14319</v>
      </c>
      <c r="D2447" s="3" t="s">
        <v>14247</v>
      </c>
      <c r="E2447" s="3" t="s">
        <v>14320</v>
      </c>
      <c r="F2447" s="10" t="str">
        <f aca="false">HYPERLINK("https://www.inaturalist.org/people/pisum","pisum")</f>
        <v>pisum</v>
      </c>
      <c r="G2447" s="9" t="s">
        <v>13</v>
      </c>
      <c r="H2447" s="9" t="s">
        <v>14321</v>
      </c>
    </row>
    <row r="2448" customFormat="false" ht="15.75" hidden="false" customHeight="false" outlineLevel="0" collapsed="false">
      <c r="B2448" s="7" t="n">
        <v>46222</v>
      </c>
      <c r="C2448" s="3" t="s">
        <v>14322</v>
      </c>
      <c r="D2448" s="3" t="s">
        <v>14247</v>
      </c>
      <c r="E2448" s="3" t="s">
        <v>14323</v>
      </c>
      <c r="F2448" s="10" t="str">
        <f aca="false">HYPERLINK("https://www.inaturalist.org/people/clifechris","clifechris")</f>
        <v>clifechris</v>
      </c>
      <c r="G2448" s="9" t="s">
        <v>13</v>
      </c>
      <c r="H2448" s="9" t="s">
        <v>14324</v>
      </c>
    </row>
    <row r="2449" customFormat="false" ht="15.75" hidden="false" customHeight="false" outlineLevel="0" collapsed="false">
      <c r="B2449" s="7" t="n">
        <v>46222</v>
      </c>
      <c r="C2449" s="3" t="s">
        <v>14325</v>
      </c>
      <c r="D2449" s="3" t="s">
        <v>14247</v>
      </c>
      <c r="E2449" s="3" t="s">
        <v>14326</v>
      </c>
      <c r="F2449" s="10" t="str">
        <f aca="false">HYPERLINK("https://www.inaturalist.org/people/jonson1314-","jonson1314-")</f>
        <v>jonson1314-</v>
      </c>
      <c r="G2449" s="9" t="s">
        <v>13</v>
      </c>
      <c r="H2449" s="9" t="s">
        <v>14327</v>
      </c>
    </row>
    <row r="2450" customFormat="false" ht="15.75" hidden="false" customHeight="false" outlineLevel="0" collapsed="false">
      <c r="B2450" s="7" t="n">
        <v>46222</v>
      </c>
      <c r="C2450" s="3" t="s">
        <v>14328</v>
      </c>
      <c r="D2450" s="3" t="s">
        <v>14247</v>
      </c>
      <c r="E2450" s="3" t="s">
        <v>14329</v>
      </c>
      <c r="F2450" s="10" t="str">
        <f aca="false">HYPERLINK("https://www.inaturalist.org/people/kheperer","kheperer")</f>
        <v>kheperer</v>
      </c>
      <c r="G2450" s="9" t="s">
        <v>13</v>
      </c>
      <c r="H2450" s="9" t="s">
        <v>14330</v>
      </c>
    </row>
    <row r="2451" customFormat="false" ht="15.75" hidden="false" customHeight="false" outlineLevel="0" collapsed="false">
      <c r="B2451" s="7" t="n">
        <v>46222</v>
      </c>
      <c r="C2451" s="3" t="s">
        <v>14331</v>
      </c>
      <c r="D2451" s="3" t="s">
        <v>14247</v>
      </c>
      <c r="E2451" s="3" t="s">
        <v>14332</v>
      </c>
      <c r="F2451" s="10" t="str">
        <f aca="false">HYPERLINK("https://www.inaturalist.org/people/jfearns","jfearns")</f>
        <v>jfearns</v>
      </c>
      <c r="G2451" s="9" t="s">
        <v>13</v>
      </c>
      <c r="H2451" s="9" t="s">
        <v>14333</v>
      </c>
    </row>
    <row r="2452" customFormat="false" ht="15.75" hidden="false" customHeight="false" outlineLevel="0" collapsed="false">
      <c r="B2452" s="7" t="n">
        <v>46222</v>
      </c>
      <c r="C2452" s="3" t="s">
        <v>14334</v>
      </c>
      <c r="D2452" s="3" t="s">
        <v>14247</v>
      </c>
      <c r="E2452" s="3" t="s">
        <v>14335</v>
      </c>
      <c r="F2452" s="10" t="str">
        <f aca="false">HYPERLINK("https://www.inaturalist.org/people/aneidesaeneus","aneidesaeneus")</f>
        <v>aneidesaeneus</v>
      </c>
      <c r="G2452" s="9" t="s">
        <v>13</v>
      </c>
      <c r="H2452" s="9" t="s">
        <v>14336</v>
      </c>
    </row>
    <row r="2453" customFormat="false" ht="15.75" hidden="false" customHeight="false" outlineLevel="0" collapsed="false">
      <c r="B2453" s="7" t="n">
        <v>46222</v>
      </c>
      <c r="C2453" s="3" t="s">
        <v>14337</v>
      </c>
      <c r="D2453" s="3" t="s">
        <v>14247</v>
      </c>
      <c r="E2453" s="3" t="s">
        <v>14338</v>
      </c>
      <c r="F2453" s="10" t="str">
        <f aca="false">HYPERLINK("https://www.inaturalist.org/people/aneidesaeneus","aneidesaeneus")</f>
        <v>aneidesaeneus</v>
      </c>
      <c r="G2453" s="9" t="s">
        <v>13</v>
      </c>
      <c r="H2453" s="9" t="s">
        <v>14339</v>
      </c>
    </row>
    <row r="2454" customFormat="false" ht="15.75" hidden="false" customHeight="false" outlineLevel="0" collapsed="false">
      <c r="B2454" s="7" t="n">
        <v>46222</v>
      </c>
      <c r="C2454" s="3" t="s">
        <v>14340</v>
      </c>
      <c r="D2454" s="3" t="s">
        <v>14247</v>
      </c>
      <c r="E2454" s="3" t="s">
        <v>14341</v>
      </c>
      <c r="F2454" s="10" t="str">
        <f aca="false">HYPERLINK("https://www.inaturalist.org/people/aneidesaeneus","aneidesaeneus")</f>
        <v>aneidesaeneus</v>
      </c>
      <c r="G2454" s="9" t="s">
        <v>13</v>
      </c>
      <c r="H2454" s="9" t="s">
        <v>14342</v>
      </c>
    </row>
    <row r="2455" customFormat="false" ht="15.75" hidden="false" customHeight="false" outlineLevel="0" collapsed="false">
      <c r="B2455" s="7" t="n">
        <v>46222</v>
      </c>
      <c r="C2455" s="3" t="s">
        <v>14343</v>
      </c>
      <c r="D2455" s="3" t="s">
        <v>14247</v>
      </c>
      <c r="E2455" s="3" t="s">
        <v>14344</v>
      </c>
      <c r="F2455" s="10" t="str">
        <f aca="false">HYPERLINK("https://www.inaturalist.org/people/jfearns","jfearns")</f>
        <v>jfearns</v>
      </c>
      <c r="G2455" s="9" t="s">
        <v>13</v>
      </c>
      <c r="H2455" s="9" t="s">
        <v>14345</v>
      </c>
    </row>
    <row r="2456" customFormat="false" ht="15.75" hidden="false" customHeight="false" outlineLevel="0" collapsed="false">
      <c r="B2456" s="7" t="n">
        <v>46222</v>
      </c>
      <c r="C2456" s="3" t="s">
        <v>14346</v>
      </c>
      <c r="D2456" s="3" t="s">
        <v>14247</v>
      </c>
      <c r="E2456" s="3" t="s">
        <v>14347</v>
      </c>
      <c r="F2456" s="10" t="str">
        <f aca="false">HYPERLINK("https://www.inaturalist.org/people/mtsct","mtsct")</f>
        <v>mtsct</v>
      </c>
      <c r="G2456" s="9" t="s">
        <v>13</v>
      </c>
      <c r="H2456" s="9" t="s">
        <v>14348</v>
      </c>
    </row>
    <row r="2457" customFormat="false" ht="15.75" hidden="false" customHeight="false" outlineLevel="0" collapsed="false">
      <c r="B2457" s="7" t="n">
        <v>46222</v>
      </c>
      <c r="C2457" s="3" t="s">
        <v>14349</v>
      </c>
      <c r="D2457" s="3" t="s">
        <v>14247</v>
      </c>
      <c r="E2457" s="3" t="s">
        <v>14350</v>
      </c>
      <c r="F2457" s="10" t="str">
        <f aca="false">HYPERLINK("https://www.inaturalist.org/people/mtsct","mtsct")</f>
        <v>mtsct</v>
      </c>
      <c r="G2457" s="9" t="s">
        <v>13</v>
      </c>
      <c r="H2457" s="9" t="s">
        <v>14351</v>
      </c>
    </row>
    <row r="2458" customFormat="false" ht="15.75" hidden="false" customHeight="false" outlineLevel="0" collapsed="false">
      <c r="B2458" s="7" t="n">
        <v>46222</v>
      </c>
      <c r="C2458" s="3" t="s">
        <v>14352</v>
      </c>
      <c r="D2458" s="3" t="s">
        <v>14247</v>
      </c>
      <c r="E2458" s="3" t="s">
        <v>14353</v>
      </c>
      <c r="F2458" s="10" t="str">
        <f aca="false">HYPERLINK("https://www.inaturalist.org/people/mikefalleguy","mikefalleguy")</f>
        <v>mikefalleguy</v>
      </c>
      <c r="G2458" s="9" t="s">
        <v>13</v>
      </c>
      <c r="H2458" s="9" t="s">
        <v>14354</v>
      </c>
    </row>
    <row r="2459" customFormat="false" ht="15.75" hidden="false" customHeight="false" outlineLevel="0" collapsed="false">
      <c r="B2459" s="7" t="n">
        <v>46222</v>
      </c>
      <c r="C2459" s="3" t="s">
        <v>14355</v>
      </c>
      <c r="D2459" s="3" t="s">
        <v>14247</v>
      </c>
      <c r="E2459" s="3" t="s">
        <v>14356</v>
      </c>
      <c r="F2459" s="10" t="str">
        <f aca="false">HYPERLINK("https://www.inaturalist.org/people/sophie_schachter","sophie_schachter")</f>
        <v>sophie_schachter</v>
      </c>
      <c r="G2459" s="9" t="s">
        <v>13</v>
      </c>
      <c r="H2459" s="9" t="s">
        <v>14357</v>
      </c>
    </row>
    <row r="2460" customFormat="false" ht="15.75" hidden="false" customHeight="false" outlineLevel="0" collapsed="false">
      <c r="B2460" s="7" t="n">
        <v>46222</v>
      </c>
      <c r="C2460" s="3" t="s">
        <v>14358</v>
      </c>
      <c r="D2460" s="3" t="s">
        <v>14247</v>
      </c>
      <c r="E2460" s="3" t="s">
        <v>14359</v>
      </c>
      <c r="F2460" s="10" t="str">
        <f aca="false">HYPERLINK("https://www.inaturalist.org/people/jacksonpipes","jacksonpipes")</f>
        <v>jacksonpipes</v>
      </c>
      <c r="G2460" s="9" t="s">
        <v>13</v>
      </c>
      <c r="H2460" s="9" t="s">
        <v>14360</v>
      </c>
    </row>
    <row r="2461" customFormat="false" ht="15.75" hidden="false" customHeight="false" outlineLevel="0" collapsed="false">
      <c r="B2461" s="7" t="n">
        <v>46222</v>
      </c>
      <c r="C2461" s="3" t="s">
        <v>14361</v>
      </c>
      <c r="D2461" s="3" t="s">
        <v>14247</v>
      </c>
      <c r="E2461" s="3" t="s">
        <v>14362</v>
      </c>
      <c r="F2461" s="10" t="str">
        <f aca="false">HYPERLINK("https://www.inaturalist.org/people/jacksonpipes","jacksonpipes")</f>
        <v>jacksonpipes</v>
      </c>
      <c r="G2461" s="9" t="s">
        <v>13</v>
      </c>
      <c r="H2461" s="9" t="s">
        <v>14363</v>
      </c>
    </row>
    <row r="2462" customFormat="false" ht="15.75" hidden="false" customHeight="false" outlineLevel="0" collapsed="false">
      <c r="B2462" s="7" t="n">
        <v>46222</v>
      </c>
      <c r="C2462" s="3" t="s">
        <v>14364</v>
      </c>
      <c r="D2462" s="3" t="s">
        <v>14247</v>
      </c>
      <c r="E2462" s="3" t="s">
        <v>14365</v>
      </c>
      <c r="F2462" s="10" t="str">
        <f aca="false">HYPERLINK("https://www.inaturalist.org/people/zlang8","zlang8")</f>
        <v>zlang8</v>
      </c>
      <c r="G2462" s="9" t="s">
        <v>13</v>
      </c>
      <c r="H2462" s="9" t="s">
        <v>14366</v>
      </c>
    </row>
    <row r="2463" customFormat="false" ht="15.75" hidden="false" customHeight="false" outlineLevel="0" collapsed="false">
      <c r="B2463" s="7" t="n">
        <v>46222</v>
      </c>
      <c r="C2463" s="3" t="s">
        <v>14367</v>
      </c>
      <c r="D2463" s="3" t="s">
        <v>14247</v>
      </c>
      <c r="E2463" s="3" t="s">
        <v>14368</v>
      </c>
      <c r="F2463" s="10" t="str">
        <f aca="false">HYPERLINK("https://www.inaturalist.org/people/zlang8","zlang8")</f>
        <v>zlang8</v>
      </c>
      <c r="G2463" s="9" t="s">
        <v>13</v>
      </c>
      <c r="H2463" s="9" t="s">
        <v>14369</v>
      </c>
    </row>
    <row r="2464" customFormat="false" ht="15.75" hidden="false" customHeight="false" outlineLevel="0" collapsed="false">
      <c r="B2464" s="7" t="n">
        <v>46222</v>
      </c>
      <c r="C2464" s="3" t="s">
        <v>14370</v>
      </c>
      <c r="D2464" s="3" t="s">
        <v>14247</v>
      </c>
      <c r="E2464" s="3" t="s">
        <v>14371</v>
      </c>
      <c r="F2464" s="10" t="str">
        <f aca="false">HYPERLINK("https://www.inaturalist.org/people/birdwatcher312","birdwatcher312")</f>
        <v>birdwatcher312</v>
      </c>
      <c r="G2464" s="9" t="s">
        <v>13</v>
      </c>
      <c r="H2464" s="9" t="s">
        <v>14372</v>
      </c>
    </row>
    <row r="2465" customFormat="false" ht="15.75" hidden="false" customHeight="false" outlineLevel="0" collapsed="false">
      <c r="B2465" s="7" t="n">
        <v>46222</v>
      </c>
      <c r="C2465" s="3" t="s">
        <v>14373</v>
      </c>
      <c r="D2465" s="3" t="s">
        <v>14247</v>
      </c>
      <c r="E2465" s="3" t="s">
        <v>14374</v>
      </c>
      <c r="F2465" s="10" t="str">
        <f aca="false">HYPERLINK("https://www.inaturalist.org/people/amiladg","amiladg")</f>
        <v>amiladg</v>
      </c>
      <c r="G2465" s="9" t="s">
        <v>13</v>
      </c>
      <c r="H2465" s="9" t="s">
        <v>14375</v>
      </c>
    </row>
    <row r="2466" customFormat="false" ht="15.75" hidden="false" customHeight="false" outlineLevel="0" collapsed="false">
      <c r="B2466" s="7" t="n">
        <v>46222</v>
      </c>
      <c r="C2466" s="3" t="s">
        <v>14376</v>
      </c>
      <c r="D2466" s="3" t="s">
        <v>14247</v>
      </c>
      <c r="E2466" s="3" t="s">
        <v>14377</v>
      </c>
      <c r="F2466" s="10" t="str">
        <f aca="false">HYPERLINK("https://www.inaturalist.org/people/amiladg","amiladg")</f>
        <v>amiladg</v>
      </c>
      <c r="G2466" s="9" t="s">
        <v>13</v>
      </c>
      <c r="H2466" s="9" t="s">
        <v>14378</v>
      </c>
    </row>
    <row r="2467" customFormat="false" ht="15.75" hidden="false" customHeight="false" outlineLevel="0" collapsed="false">
      <c r="B2467" s="7" t="n">
        <v>46222</v>
      </c>
      <c r="C2467" s="3" t="s">
        <v>14379</v>
      </c>
      <c r="D2467" s="3" t="s">
        <v>14247</v>
      </c>
      <c r="E2467" s="3" t="s">
        <v>14380</v>
      </c>
      <c r="F2467" s="10" t="str">
        <f aca="false">HYPERLINK("https://www.inaturalist.org/people/amiladg","amiladg")</f>
        <v>amiladg</v>
      </c>
      <c r="G2467" s="9" t="s">
        <v>13</v>
      </c>
      <c r="H2467" s="9" t="s">
        <v>14381</v>
      </c>
    </row>
    <row r="2468" customFormat="false" ht="15.75" hidden="false" customHeight="false" outlineLevel="0" collapsed="false">
      <c r="B2468" s="7" t="n">
        <v>46222</v>
      </c>
      <c r="C2468" s="3" t="s">
        <v>14382</v>
      </c>
      <c r="D2468" s="3" t="s">
        <v>14247</v>
      </c>
      <c r="E2468" s="3" t="s">
        <v>14383</v>
      </c>
      <c r="F2468" s="10" t="str">
        <f aca="false">HYPERLINK("https://www.inaturalist.org/people/karyorelicta4662","karyorelicta4662")</f>
        <v>karyorelicta4662</v>
      </c>
      <c r="G2468" s="9" t="s">
        <v>13</v>
      </c>
      <c r="H2468" s="9" t="s">
        <v>14384</v>
      </c>
    </row>
    <row r="2469" customFormat="false" ht="15.75" hidden="false" customHeight="false" outlineLevel="0" collapsed="false">
      <c r="B2469" s="7" t="n">
        <v>46222</v>
      </c>
      <c r="C2469" s="3" t="s">
        <v>14385</v>
      </c>
      <c r="D2469" s="3" t="s">
        <v>14247</v>
      </c>
      <c r="E2469" s="3" t="s">
        <v>14386</v>
      </c>
      <c r="F2469" s="10" t="str">
        <f aca="false">HYPERLINK("https://www.inaturalist.org/people/karyorelicta4662","karyorelicta4662")</f>
        <v>karyorelicta4662</v>
      </c>
      <c r="G2469" s="9" t="s">
        <v>13</v>
      </c>
      <c r="H2469" s="9" t="s">
        <v>14387</v>
      </c>
    </row>
    <row r="2470" customFormat="false" ht="15.75" hidden="false" customHeight="false" outlineLevel="0" collapsed="false">
      <c r="B2470" s="7" t="n">
        <v>46222</v>
      </c>
      <c r="C2470" s="3" t="s">
        <v>14388</v>
      </c>
      <c r="D2470" s="3" t="s">
        <v>14247</v>
      </c>
      <c r="E2470" s="3" t="s">
        <v>14389</v>
      </c>
      <c r="F2470" s="10" t="str">
        <f aca="false">HYPERLINK("https://www.inaturalist.org/people/kuzma_parsons","kuzma_parsons")</f>
        <v>kuzma_parsons</v>
      </c>
      <c r="G2470" s="9" t="s">
        <v>13</v>
      </c>
      <c r="H2470" s="9" t="s">
        <v>14390</v>
      </c>
    </row>
    <row r="2471" customFormat="false" ht="15.75" hidden="false" customHeight="false" outlineLevel="0" collapsed="false">
      <c r="B2471" s="7" t="n">
        <v>46222</v>
      </c>
      <c r="C2471" s="3" t="s">
        <v>14391</v>
      </c>
      <c r="D2471" s="3" t="s">
        <v>14247</v>
      </c>
      <c r="E2471" s="3" t="s">
        <v>14392</v>
      </c>
      <c r="F2471" s="10" t="str">
        <f aca="false">HYPERLINK("https://www.inaturalist.org/people/graysonrosefry","graysonrosefry")</f>
        <v>graysonrosefry</v>
      </c>
      <c r="G2471" s="9" t="s">
        <v>13</v>
      </c>
      <c r="H2471" s="9" t="s">
        <v>14393</v>
      </c>
    </row>
    <row r="2472" customFormat="false" ht="15.75" hidden="false" customHeight="false" outlineLevel="0" collapsed="false">
      <c r="B2472" s="7" t="n">
        <v>46222</v>
      </c>
      <c r="C2472" s="3" t="s">
        <v>14394</v>
      </c>
      <c r="D2472" s="3" t="s">
        <v>14247</v>
      </c>
      <c r="E2472" s="3" t="s">
        <v>14395</v>
      </c>
      <c r="F2472" s="10" t="str">
        <f aca="false">HYPERLINK("https://www.inaturalist.org/people/karyorelicta4662","karyorelicta4662")</f>
        <v>karyorelicta4662</v>
      </c>
      <c r="G2472" s="9" t="s">
        <v>13</v>
      </c>
      <c r="H2472" s="9" t="s">
        <v>14396</v>
      </c>
    </row>
    <row r="2473" customFormat="false" ht="15.75" hidden="false" customHeight="false" outlineLevel="0" collapsed="false">
      <c r="B2473" s="7" t="n">
        <v>46222</v>
      </c>
      <c r="C2473" s="3" t="s">
        <v>14397</v>
      </c>
      <c r="D2473" s="3" t="s">
        <v>14247</v>
      </c>
      <c r="E2473" s="3" t="s">
        <v>14398</v>
      </c>
      <c r="F2473" s="10" t="str">
        <f aca="false">HYPERLINK("https://www.inaturalist.org/people/zachfrat","zachfrat")</f>
        <v>zachfrat</v>
      </c>
      <c r="G2473" s="9" t="s">
        <v>13</v>
      </c>
      <c r="H2473" s="9" t="s">
        <v>14399</v>
      </c>
    </row>
    <row r="2474" customFormat="false" ht="15.75" hidden="false" customHeight="false" outlineLevel="0" collapsed="false">
      <c r="B2474" s="7" t="n">
        <v>46222</v>
      </c>
      <c r="C2474" s="3" t="s">
        <v>14400</v>
      </c>
      <c r="D2474" s="3" t="s">
        <v>14247</v>
      </c>
      <c r="E2474" s="3" t="s">
        <v>14401</v>
      </c>
      <c r="F2474" s="10" t="str">
        <f aca="false">HYPERLINK("https://www.inaturalist.org/people/zachfrat","zachfrat")</f>
        <v>zachfrat</v>
      </c>
      <c r="G2474" s="9" t="s">
        <v>13</v>
      </c>
      <c r="H2474" s="9" t="s">
        <v>14402</v>
      </c>
    </row>
    <row r="2475" customFormat="false" ht="15.75" hidden="false" customHeight="false" outlineLevel="0" collapsed="false">
      <c r="B2475" s="7" t="n">
        <v>46222</v>
      </c>
      <c r="C2475" s="3" t="s">
        <v>14403</v>
      </c>
      <c r="D2475" s="3" t="s">
        <v>14247</v>
      </c>
      <c r="E2475" s="3" t="s">
        <v>14404</v>
      </c>
      <c r="F2475" s="10" t="str">
        <f aca="false">HYPERLINK("https://www.inaturalist.org/people/zlang8","zlang8")</f>
        <v>zlang8</v>
      </c>
      <c r="G2475" s="9" t="s">
        <v>13</v>
      </c>
      <c r="H2475" s="9" t="s">
        <v>14405</v>
      </c>
    </row>
    <row r="2476" customFormat="false" ht="15.75" hidden="false" customHeight="false" outlineLevel="0" collapsed="false">
      <c r="B2476" s="7" t="n">
        <v>46222</v>
      </c>
      <c r="C2476" s="3" t="s">
        <v>14406</v>
      </c>
      <c r="D2476" s="3" t="s">
        <v>14247</v>
      </c>
      <c r="E2476" s="3" t="s">
        <v>14407</v>
      </c>
      <c r="F2476" s="10" t="str">
        <f aca="false">HYPERLINK("https://www.inaturalist.org/people/jleisen","jleisen")</f>
        <v>jleisen</v>
      </c>
      <c r="G2476" s="9" t="s">
        <v>13</v>
      </c>
      <c r="H2476" s="9" t="s">
        <v>14408</v>
      </c>
    </row>
    <row r="2477" customFormat="false" ht="15.75" hidden="false" customHeight="false" outlineLevel="0" collapsed="false">
      <c r="B2477" s="7" t="n">
        <v>46222</v>
      </c>
      <c r="C2477" s="3" t="s">
        <v>14409</v>
      </c>
      <c r="D2477" s="3" t="s">
        <v>14247</v>
      </c>
      <c r="E2477" s="3" t="s">
        <v>14410</v>
      </c>
      <c r="F2477" s="10" t="str">
        <f aca="false">HYPERLINK("https://www.inaturalist.org/people/mississippi_fish_guy","mississippi_fish_guy")</f>
        <v>mississippi_fish_guy</v>
      </c>
      <c r="G2477" s="9" t="s">
        <v>13</v>
      </c>
      <c r="H2477" s="9" t="s">
        <v>14411</v>
      </c>
    </row>
    <row r="2478" customFormat="false" ht="15.75" hidden="false" customHeight="false" outlineLevel="0" collapsed="false">
      <c r="B2478" s="7" t="n">
        <v>46222</v>
      </c>
      <c r="C2478" s="3" t="s">
        <v>14412</v>
      </c>
      <c r="D2478" s="3" t="s">
        <v>14247</v>
      </c>
      <c r="E2478" s="3" t="s">
        <v>14413</v>
      </c>
      <c r="F2478" s="10" t="str">
        <f aca="false">HYPERLINK("https://www.inaturalist.org/people/wesleytheowl","wesleytheowl")</f>
        <v>wesleytheowl</v>
      </c>
      <c r="G2478" s="9" t="s">
        <v>13</v>
      </c>
      <c r="H2478" s="9" t="s">
        <v>14414</v>
      </c>
    </row>
    <row r="2479" customFormat="false" ht="15.75" hidden="false" customHeight="false" outlineLevel="0" collapsed="false">
      <c r="B2479" s="7" t="n">
        <v>46222</v>
      </c>
      <c r="C2479" s="3" t="s">
        <v>14415</v>
      </c>
      <c r="D2479" s="3" t="s">
        <v>14247</v>
      </c>
      <c r="E2479" s="3" t="s">
        <v>14416</v>
      </c>
      <c r="F2479" s="10" t="str">
        <f aca="false">HYPERLINK("https://www.inaturalist.org/people/lukef2006","lukef2006")</f>
        <v>lukef2006</v>
      </c>
      <c r="G2479" s="9" t="s">
        <v>13</v>
      </c>
      <c r="H2479" s="9" t="s">
        <v>14417</v>
      </c>
    </row>
    <row r="2480" customFormat="false" ht="15.75" hidden="false" customHeight="false" outlineLevel="0" collapsed="false">
      <c r="B2480" s="7" t="n">
        <v>46222</v>
      </c>
      <c r="C2480" s="3" t="s">
        <v>14418</v>
      </c>
      <c r="D2480" s="3" t="s">
        <v>14247</v>
      </c>
      <c r="E2480" s="3" t="s">
        <v>14419</v>
      </c>
      <c r="F2480" s="10" t="str">
        <f aca="false">HYPERLINK("https://www.inaturalist.org/people/jack12ruiz","jack12ruiz")</f>
        <v>jack12ruiz</v>
      </c>
      <c r="G2480" s="9" t="s">
        <v>13</v>
      </c>
      <c r="H2480" s="9" t="s">
        <v>14420</v>
      </c>
    </row>
    <row r="2481" customFormat="false" ht="15.75" hidden="false" customHeight="false" outlineLevel="0" collapsed="false">
      <c r="B2481" s="7" t="n">
        <v>46222</v>
      </c>
      <c r="C2481" s="3" t="s">
        <v>14421</v>
      </c>
      <c r="D2481" s="3" t="s">
        <v>14247</v>
      </c>
      <c r="E2481" s="3" t="s">
        <v>14422</v>
      </c>
      <c r="F2481" s="10" t="str">
        <f aca="false">HYPERLINK("https://www.inaturalist.org/people/bcur155","bcur155")</f>
        <v>bcur155</v>
      </c>
      <c r="G2481" s="9" t="s">
        <v>13</v>
      </c>
      <c r="H2481" s="9" t="s">
        <v>14423</v>
      </c>
    </row>
    <row r="2482" customFormat="false" ht="15.75" hidden="false" customHeight="false" outlineLevel="0" collapsed="false">
      <c r="B2482" s="7" t="n">
        <v>46222</v>
      </c>
      <c r="C2482" s="3" t="s">
        <v>14424</v>
      </c>
      <c r="D2482" s="3" t="s">
        <v>14247</v>
      </c>
      <c r="E2482" s="3" t="s">
        <v>14425</v>
      </c>
      <c r="F2482" s="10" t="str">
        <f aca="false">HYPERLINK("https://www.inaturalist.org/people/lucius69210","lucius69210")</f>
        <v>lucius69210</v>
      </c>
      <c r="G2482" s="9" t="s">
        <v>13</v>
      </c>
      <c r="H2482" s="9" t="s">
        <v>14426</v>
      </c>
    </row>
    <row r="2483" customFormat="false" ht="15.75" hidden="false" customHeight="false" outlineLevel="0" collapsed="false">
      <c r="B2483" s="7" t="n">
        <v>46222</v>
      </c>
      <c r="C2483" s="3" t="s">
        <v>14427</v>
      </c>
      <c r="D2483" s="3" t="s">
        <v>14247</v>
      </c>
      <c r="E2483" s="3" t="s">
        <v>14428</v>
      </c>
      <c r="F2483" s="10" t="str">
        <f aca="false">HYPERLINK("https://www.inaturalist.org/people/fubberpish","fubberpish")</f>
        <v>fubberpish</v>
      </c>
      <c r="G2483" s="9" t="s">
        <v>13</v>
      </c>
      <c r="H2483" s="9" t="s">
        <v>14429</v>
      </c>
    </row>
    <row r="2484" customFormat="false" ht="15.75" hidden="false" customHeight="false" outlineLevel="0" collapsed="false">
      <c r="B2484" s="7" t="n">
        <v>46222</v>
      </c>
      <c r="C2484" s="3" t="s">
        <v>14430</v>
      </c>
      <c r="D2484" s="3" t="s">
        <v>14247</v>
      </c>
      <c r="E2484" s="3" t="s">
        <v>14431</v>
      </c>
      <c r="F2484" s="10" t="str">
        <f aca="false">HYPERLINK("https://www.inaturalist.org/people/sskyrm","sskyrm")</f>
        <v>sskyrm</v>
      </c>
      <c r="G2484" s="9" t="s">
        <v>13</v>
      </c>
      <c r="H2484" s="9" t="s">
        <v>14432</v>
      </c>
    </row>
    <row r="2485" customFormat="false" ht="15.75" hidden="false" customHeight="false" outlineLevel="0" collapsed="false">
      <c r="B2485" s="7" t="n">
        <v>46222</v>
      </c>
      <c r="C2485" s="3" t="s">
        <v>14433</v>
      </c>
      <c r="D2485" s="3" t="s">
        <v>14247</v>
      </c>
      <c r="E2485" s="3" t="s">
        <v>14434</v>
      </c>
      <c r="F2485" s="10" t="str">
        <f aca="false">HYPERLINK("https://www.inaturalist.org/people/jblinde","jblinde")</f>
        <v>jblinde</v>
      </c>
      <c r="G2485" s="9" t="s">
        <v>13</v>
      </c>
      <c r="H2485" s="9" t="s">
        <v>14435</v>
      </c>
    </row>
    <row r="2486" customFormat="false" ht="15.75" hidden="false" customHeight="false" outlineLevel="0" collapsed="false">
      <c r="B2486" s="7" t="n">
        <v>46222</v>
      </c>
      <c r="C2486" s="3" t="s">
        <v>14436</v>
      </c>
      <c r="D2486" s="3" t="s">
        <v>14247</v>
      </c>
      <c r="E2486" s="3" t="s">
        <v>14437</v>
      </c>
      <c r="F2486" s="10" t="str">
        <f aca="false">HYPERLINK("https://www.inaturalist.org/people/fubberpish","fubberpish")</f>
        <v>fubberpish</v>
      </c>
      <c r="G2486" s="9" t="s">
        <v>13</v>
      </c>
      <c r="H2486" s="9" t="s">
        <v>14438</v>
      </c>
    </row>
    <row r="2487" customFormat="false" ht="15.75" hidden="false" customHeight="false" outlineLevel="0" collapsed="false">
      <c r="B2487" s="7" t="n">
        <v>46222</v>
      </c>
      <c r="C2487" s="3" t="s">
        <v>14439</v>
      </c>
      <c r="D2487" s="3" t="s">
        <v>14247</v>
      </c>
      <c r="E2487" s="3" t="s">
        <v>14440</v>
      </c>
      <c r="F2487" s="10" t="str">
        <f aca="false">HYPERLINK("https://www.inaturalist.org/people/eveliodominguez","eveliodominguez")</f>
        <v>eveliodominguez</v>
      </c>
      <c r="G2487" s="9" t="s">
        <v>13</v>
      </c>
      <c r="H2487" s="9" t="s">
        <v>14441</v>
      </c>
    </row>
    <row r="2488" customFormat="false" ht="15.75" hidden="false" customHeight="false" outlineLevel="0" collapsed="false">
      <c r="B2488" s="7" t="n">
        <v>46222</v>
      </c>
      <c r="C2488" s="3" t="s">
        <v>14442</v>
      </c>
      <c r="D2488" s="3" t="s">
        <v>14247</v>
      </c>
      <c r="E2488" s="3" t="s">
        <v>14443</v>
      </c>
      <c r="F2488" s="10" t="str">
        <f aca="false">HYPERLINK("https://www.inaturalist.org/people/eveliodominguez","eveliodominguez")</f>
        <v>eveliodominguez</v>
      </c>
      <c r="G2488" s="9" t="s">
        <v>13</v>
      </c>
      <c r="H2488" s="9" t="s">
        <v>14444</v>
      </c>
    </row>
    <row r="2489" customFormat="false" ht="15.75" hidden="false" customHeight="false" outlineLevel="0" collapsed="false">
      <c r="B2489" s="7" t="n">
        <v>46222</v>
      </c>
      <c r="C2489" s="3" t="s">
        <v>14445</v>
      </c>
      <c r="D2489" s="3" t="s">
        <v>14247</v>
      </c>
      <c r="E2489" s="3" t="s">
        <v>14446</v>
      </c>
      <c r="F2489" s="10" t="str">
        <f aca="false">HYPERLINK("https://www.inaturalist.org/people/captaincrinkle","captaincrinkle")</f>
        <v>captaincrinkle</v>
      </c>
      <c r="G2489" s="9" t="s">
        <v>13</v>
      </c>
      <c r="H2489" s="9" t="s">
        <v>14447</v>
      </c>
    </row>
    <row r="2490" customFormat="false" ht="15.75" hidden="false" customHeight="false" outlineLevel="0" collapsed="false">
      <c r="B2490" s="7" t="n">
        <v>46222</v>
      </c>
      <c r="C2490" s="3" t="s">
        <v>14448</v>
      </c>
      <c r="D2490" s="3" t="s">
        <v>14247</v>
      </c>
      <c r="E2490" s="3" t="s">
        <v>14449</v>
      </c>
      <c r="F2490" s="10" t="str">
        <f aca="false">HYPERLINK("https://www.inaturalist.org/people/fubberpish","fubberpish")</f>
        <v>fubberpish</v>
      </c>
      <c r="G2490" s="9" t="s">
        <v>13</v>
      </c>
      <c r="H2490" s="9" t="s">
        <v>14450</v>
      </c>
    </row>
    <row r="2491" customFormat="false" ht="15.75" hidden="false" customHeight="false" outlineLevel="0" collapsed="false">
      <c r="B2491" s="7" t="n">
        <v>46222</v>
      </c>
      <c r="C2491" s="3" t="s">
        <v>14451</v>
      </c>
      <c r="D2491" s="3" t="s">
        <v>14247</v>
      </c>
      <c r="E2491" s="3" t="s">
        <v>14452</v>
      </c>
      <c r="F2491" s="10" t="str">
        <f aca="false">HYPERLINK("https://www.inaturalist.org/people/meganklemencic","meganklemencic")</f>
        <v>meganklemencic</v>
      </c>
      <c r="G2491" s="9" t="s">
        <v>13</v>
      </c>
      <c r="H2491" s="9" t="s">
        <v>14453</v>
      </c>
    </row>
    <row r="2492" customFormat="false" ht="15.75" hidden="false" customHeight="false" outlineLevel="0" collapsed="false">
      <c r="B2492" s="7" t="n">
        <v>46222</v>
      </c>
      <c r="C2492" s="3" t="s">
        <v>14454</v>
      </c>
      <c r="D2492" s="3" t="s">
        <v>14247</v>
      </c>
      <c r="E2492" s="3" t="s">
        <v>14455</v>
      </c>
      <c r="F2492" s="10" t="str">
        <f aca="false">HYPERLINK("https://www.inaturalist.org/people/sylvie_leshen","sylvie_leshen")</f>
        <v>sylvie_leshen</v>
      </c>
      <c r="G2492" s="9" t="s">
        <v>13</v>
      </c>
      <c r="H2492" s="9" t="s">
        <v>14456</v>
      </c>
    </row>
    <row r="2493" customFormat="false" ht="15.75" hidden="false" customHeight="false" outlineLevel="0" collapsed="false">
      <c r="B2493" s="7" t="n">
        <v>46222</v>
      </c>
      <c r="C2493" s="3" t="s">
        <v>14457</v>
      </c>
      <c r="D2493" s="3" t="s">
        <v>14247</v>
      </c>
      <c r="E2493" s="3" t="s">
        <v>14458</v>
      </c>
      <c r="F2493" s="10" t="str">
        <f aca="false">HYPERLINK("https://www.inaturalist.org/people/sylvie_leshen","sylvie_leshen")</f>
        <v>sylvie_leshen</v>
      </c>
      <c r="G2493" s="9" t="s">
        <v>13</v>
      </c>
      <c r="H2493" s="9" t="s">
        <v>14459</v>
      </c>
    </row>
    <row r="2494" customFormat="false" ht="15.75" hidden="false" customHeight="false" outlineLevel="0" collapsed="false">
      <c r="B2494" s="7" t="n">
        <v>46222</v>
      </c>
      <c r="C2494" s="3" t="s">
        <v>14460</v>
      </c>
      <c r="D2494" s="3" t="s">
        <v>14247</v>
      </c>
      <c r="E2494" s="3" t="s">
        <v>14461</v>
      </c>
      <c r="F2494" s="10" t="str">
        <f aca="false">HYPERLINK("https://www.inaturalist.org/people/captaincrinkle","captaincrinkle")</f>
        <v>captaincrinkle</v>
      </c>
      <c r="G2494" s="9" t="s">
        <v>13</v>
      </c>
      <c r="H2494" s="9" t="s">
        <v>14462</v>
      </c>
    </row>
    <row r="2495" customFormat="false" ht="15.75" hidden="false" customHeight="false" outlineLevel="0" collapsed="false">
      <c r="B2495" s="7" t="n">
        <v>46222</v>
      </c>
      <c r="C2495" s="3" t="s">
        <v>14463</v>
      </c>
      <c r="D2495" s="3" t="s">
        <v>14247</v>
      </c>
      <c r="E2495" s="3" t="s">
        <v>14464</v>
      </c>
      <c r="F2495" s="10" t="str">
        <f aca="false">HYPERLINK("https://www.inaturalist.org/people/captaincrinkle","captaincrinkle")</f>
        <v>captaincrinkle</v>
      </c>
      <c r="G2495" s="9" t="s">
        <v>13</v>
      </c>
      <c r="H2495" s="9" t="s">
        <v>14465</v>
      </c>
    </row>
    <row r="2496" customFormat="false" ht="15.75" hidden="false" customHeight="false" outlineLevel="0" collapsed="false">
      <c r="B2496" s="7" t="n">
        <v>46222</v>
      </c>
      <c r="C2496" s="3" t="s">
        <v>14466</v>
      </c>
      <c r="D2496" s="3" t="s">
        <v>14247</v>
      </c>
      <c r="E2496" s="3" t="s">
        <v>14467</v>
      </c>
      <c r="F2496" s="10" t="str">
        <f aca="false">HYPERLINK("https://www.inaturalist.org/people/sylvie_leshen","sylvie_leshen")</f>
        <v>sylvie_leshen</v>
      </c>
      <c r="G2496" s="9" t="s">
        <v>13</v>
      </c>
      <c r="H2496" s="9" t="s">
        <v>14468</v>
      </c>
    </row>
    <row r="2497" customFormat="false" ht="15.75" hidden="false" customHeight="false" outlineLevel="0" collapsed="false">
      <c r="B2497" s="7" t="n">
        <v>46222</v>
      </c>
      <c r="C2497" s="3" t="s">
        <v>14469</v>
      </c>
      <c r="D2497" s="3" t="s">
        <v>14247</v>
      </c>
      <c r="E2497" s="3" t="s">
        <v>14470</v>
      </c>
      <c r="F2497" s="10" t="str">
        <f aca="false">HYPERLINK("https://www.inaturalist.org/people/fubberpish","fubberpish")</f>
        <v>fubberpish</v>
      </c>
      <c r="G2497" s="9" t="s">
        <v>13</v>
      </c>
      <c r="H2497" s="9" t="s">
        <v>14471</v>
      </c>
    </row>
    <row r="2498" customFormat="false" ht="15.75" hidden="false" customHeight="false" outlineLevel="0" collapsed="false">
      <c r="B2498" s="7" t="n">
        <v>46222</v>
      </c>
      <c r="C2498" s="3" t="s">
        <v>14472</v>
      </c>
      <c r="D2498" s="3" t="s">
        <v>14247</v>
      </c>
      <c r="E2498" s="3" t="s">
        <v>14473</v>
      </c>
      <c r="F2498" s="10" t="str">
        <f aca="false">HYPERLINK("https://www.inaturalist.org/people/harrison_t","harrison_t")</f>
        <v>harrison_t</v>
      </c>
      <c r="G2498" s="9" t="s">
        <v>13</v>
      </c>
      <c r="H2498" s="9" t="s">
        <v>14474</v>
      </c>
    </row>
    <row r="2499" customFormat="false" ht="15.75" hidden="false" customHeight="false" outlineLevel="0" collapsed="false">
      <c r="B2499" s="7" t="n">
        <v>46222</v>
      </c>
      <c r="C2499" s="3" t="s">
        <v>14475</v>
      </c>
      <c r="D2499" s="3" t="s">
        <v>14247</v>
      </c>
      <c r="E2499" s="3" t="s">
        <v>14476</v>
      </c>
      <c r="F2499" s="10" t="str">
        <f aca="false">HYPERLINK("https://www.inaturalist.org/people/fubberpish","fubberpish")</f>
        <v>fubberpish</v>
      </c>
      <c r="G2499" s="9" t="s">
        <v>13</v>
      </c>
      <c r="H2499" s="9" t="s">
        <v>14477</v>
      </c>
    </row>
    <row r="2500" customFormat="false" ht="15.75" hidden="false" customHeight="false" outlineLevel="0" collapsed="false">
      <c r="B2500" s="7" t="n">
        <v>46222</v>
      </c>
      <c r="C2500" s="3" t="s">
        <v>14478</v>
      </c>
      <c r="D2500" s="3" t="s">
        <v>14247</v>
      </c>
      <c r="E2500" s="3" t="s">
        <v>14479</v>
      </c>
      <c r="F2500" s="10" t="str">
        <f aca="false">HYPERLINK("https://www.inaturalist.org/people/roughfishron","roughfishron")</f>
        <v>roughfishron</v>
      </c>
      <c r="G2500" s="9" t="s">
        <v>13</v>
      </c>
      <c r="H2500" s="9" t="s">
        <v>14480</v>
      </c>
    </row>
    <row r="2501" customFormat="false" ht="15.75" hidden="false" customHeight="false" outlineLevel="0" collapsed="false">
      <c r="B2501" s="7" t="n">
        <v>46222</v>
      </c>
      <c r="C2501" s="3" t="s">
        <v>14481</v>
      </c>
      <c r="D2501" s="3" t="s">
        <v>14247</v>
      </c>
      <c r="E2501" s="3" t="s">
        <v>14482</v>
      </c>
      <c r="F2501" s="10" t="str">
        <f aca="false">HYPERLINK("https://www.inaturalist.org/people/roughfishron","roughfishron")</f>
        <v>roughfishron</v>
      </c>
      <c r="G2501" s="9" t="s">
        <v>13</v>
      </c>
      <c r="H2501" s="9" t="s">
        <v>14483</v>
      </c>
    </row>
    <row r="2502" customFormat="false" ht="15.75" hidden="false" customHeight="false" outlineLevel="0" collapsed="false">
      <c r="B2502" s="7" t="n">
        <v>46222</v>
      </c>
      <c r="C2502" s="3" t="s">
        <v>14484</v>
      </c>
      <c r="D2502" s="3" t="s">
        <v>14247</v>
      </c>
      <c r="E2502" s="3" t="s">
        <v>14485</v>
      </c>
      <c r="F2502" s="10" t="str">
        <f aca="false">HYPERLINK("https://www.inaturalist.org/people/harrison_t","harrison_t")</f>
        <v>harrison_t</v>
      </c>
      <c r="G2502" s="9" t="s">
        <v>13</v>
      </c>
      <c r="H2502" s="9" t="s">
        <v>14486</v>
      </c>
    </row>
    <row r="2503" customFormat="false" ht="15.75" hidden="false" customHeight="false" outlineLevel="0" collapsed="false">
      <c r="B2503" s="7" t="n">
        <v>46222</v>
      </c>
      <c r="C2503" s="3" t="s">
        <v>14487</v>
      </c>
      <c r="D2503" s="3" t="s">
        <v>14247</v>
      </c>
      <c r="E2503" s="3" t="s">
        <v>14488</v>
      </c>
      <c r="F2503" s="10" t="str">
        <f aca="false">HYPERLINK("https://www.inaturalist.org/people/nicole80354","nicole80354")</f>
        <v>nicole80354</v>
      </c>
      <c r="G2503" s="9" t="s">
        <v>13</v>
      </c>
      <c r="H2503" s="9" t="s">
        <v>14489</v>
      </c>
    </row>
    <row r="2504" customFormat="false" ht="15.75" hidden="false" customHeight="false" outlineLevel="0" collapsed="false">
      <c r="B2504" s="7" t="n">
        <v>46222</v>
      </c>
      <c r="C2504" s="3" t="s">
        <v>14490</v>
      </c>
      <c r="D2504" s="3" t="s">
        <v>14247</v>
      </c>
      <c r="E2504" s="3" t="s">
        <v>14491</v>
      </c>
      <c r="F2504" s="10" t="str">
        <f aca="false">HYPERLINK("https://www.inaturalist.org/people/fubberpish","fubberpish")</f>
        <v>fubberpish</v>
      </c>
      <c r="G2504" s="9" t="s">
        <v>13</v>
      </c>
      <c r="H2504" s="9" t="s">
        <v>14492</v>
      </c>
    </row>
    <row r="2505" customFormat="false" ht="15.75" hidden="false" customHeight="false" outlineLevel="0" collapsed="false">
      <c r="B2505" s="7" t="n">
        <v>46222</v>
      </c>
      <c r="C2505" s="3" t="s">
        <v>14493</v>
      </c>
      <c r="D2505" s="3" t="s">
        <v>14247</v>
      </c>
      <c r="E2505" s="3" t="s">
        <v>14494</v>
      </c>
      <c r="F2505" s="10" t="str">
        <f aca="false">HYPERLINK("https://www.inaturalist.org/people/fubberpish","fubberpish")</f>
        <v>fubberpish</v>
      </c>
      <c r="G2505" s="9" t="s">
        <v>13</v>
      </c>
      <c r="H2505" s="9" t="s">
        <v>14495</v>
      </c>
    </row>
    <row r="2506" customFormat="false" ht="15.75" hidden="false" customHeight="false" outlineLevel="0" collapsed="false">
      <c r="B2506" s="7" t="n">
        <v>46222</v>
      </c>
      <c r="C2506" s="3" t="s">
        <v>14496</v>
      </c>
      <c r="D2506" s="3" t="s">
        <v>14247</v>
      </c>
      <c r="E2506" s="3" t="s">
        <v>14497</v>
      </c>
      <c r="F2506" s="10" t="str">
        <f aca="false">HYPERLINK("https://www.inaturalist.org/people/captaincrinkle","captaincrinkle")</f>
        <v>captaincrinkle</v>
      </c>
      <c r="G2506" s="9" t="s">
        <v>13</v>
      </c>
      <c r="H2506" s="9" t="s">
        <v>14498</v>
      </c>
    </row>
    <row r="2507" customFormat="false" ht="15.75" hidden="false" customHeight="false" outlineLevel="0" collapsed="false">
      <c r="B2507" s="7" t="n">
        <v>46222</v>
      </c>
      <c r="C2507" s="3" t="s">
        <v>14499</v>
      </c>
      <c r="D2507" s="3" t="s">
        <v>14247</v>
      </c>
      <c r="E2507" s="3" t="s">
        <v>14500</v>
      </c>
      <c r="F2507" s="10" t="str">
        <f aca="false">HYPERLINK("https://www.inaturalist.org/people/mbp349","mbp349")</f>
        <v>mbp349</v>
      </c>
      <c r="G2507" s="9" t="s">
        <v>13</v>
      </c>
      <c r="H2507" s="9" t="s">
        <v>14501</v>
      </c>
    </row>
    <row r="2508" customFormat="false" ht="15.75" hidden="false" customHeight="false" outlineLevel="0" collapsed="false">
      <c r="B2508" s="7" t="n">
        <v>46222</v>
      </c>
      <c r="C2508" s="3" t="s">
        <v>14502</v>
      </c>
      <c r="D2508" s="3" t="s">
        <v>14247</v>
      </c>
      <c r="E2508" s="3" t="s">
        <v>14503</v>
      </c>
      <c r="F2508" s="10" t="str">
        <f aca="false">HYPERLINK("https://www.inaturalist.org/people/harrison_t","harrison_t")</f>
        <v>harrison_t</v>
      </c>
      <c r="G2508" s="9" t="s">
        <v>13</v>
      </c>
      <c r="H2508" s="9" t="s">
        <v>14504</v>
      </c>
    </row>
    <row r="2509" customFormat="false" ht="15.75" hidden="false" customHeight="false" outlineLevel="0" collapsed="false">
      <c r="B2509" s="7" t="n">
        <v>46222</v>
      </c>
      <c r="C2509" s="3" t="s">
        <v>14505</v>
      </c>
      <c r="D2509" s="3" t="s">
        <v>14247</v>
      </c>
      <c r="E2509" s="3" t="s">
        <v>14506</v>
      </c>
      <c r="F2509" s="10" t="str">
        <f aca="false">HYPERLINK("https://www.inaturalist.org/people/harrison_t","harrison_t")</f>
        <v>harrison_t</v>
      </c>
      <c r="G2509" s="9" t="s">
        <v>13</v>
      </c>
      <c r="H2509" s="9" t="s">
        <v>14507</v>
      </c>
    </row>
    <row r="2510" customFormat="false" ht="15.75" hidden="false" customHeight="false" outlineLevel="0" collapsed="false">
      <c r="B2510" s="7" t="n">
        <v>46222</v>
      </c>
      <c r="C2510" s="3" t="s">
        <v>14508</v>
      </c>
      <c r="D2510" s="3" t="s">
        <v>14247</v>
      </c>
      <c r="E2510" s="3" t="s">
        <v>14509</v>
      </c>
      <c r="F2510" s="10" t="str">
        <f aca="false">HYPERLINK("https://www.inaturalist.org/people/captaincrinkle","captaincrinkle")</f>
        <v>captaincrinkle</v>
      </c>
      <c r="G2510" s="9" t="s">
        <v>13</v>
      </c>
      <c r="H2510" s="9" t="s">
        <v>14510</v>
      </c>
    </row>
    <row r="2511" customFormat="false" ht="15.75" hidden="false" customHeight="false" outlineLevel="0" collapsed="false">
      <c r="B2511" s="7" t="n">
        <v>46222</v>
      </c>
      <c r="C2511" s="3" t="s">
        <v>14511</v>
      </c>
      <c r="D2511" s="3" t="s">
        <v>14247</v>
      </c>
      <c r="E2511" s="3" t="s">
        <v>14512</v>
      </c>
      <c r="F2511" s="10" t="str">
        <f aca="false">HYPERLINK("https://www.inaturalist.org/people/loongjim","loongjim")</f>
        <v>loongjim</v>
      </c>
      <c r="G2511" s="9" t="s">
        <v>13</v>
      </c>
      <c r="H2511" s="9" t="s">
        <v>14513</v>
      </c>
    </row>
    <row r="2512" customFormat="false" ht="15.75" hidden="false" customHeight="false" outlineLevel="0" collapsed="false">
      <c r="B2512" s="7" t="n">
        <v>46222</v>
      </c>
      <c r="C2512" s="3" t="s">
        <v>14514</v>
      </c>
      <c r="D2512" s="3" t="s">
        <v>14247</v>
      </c>
      <c r="E2512" s="3" t="s">
        <v>14515</v>
      </c>
      <c r="F2512" s="10" t="str">
        <f aca="false">HYPERLINK("https://www.inaturalist.org/people/cladonia_chris","cladonia_chris")</f>
        <v>cladonia_chris</v>
      </c>
      <c r="G2512" s="9" t="s">
        <v>13</v>
      </c>
      <c r="H2512" s="9" t="s">
        <v>14516</v>
      </c>
    </row>
    <row r="2513" customFormat="false" ht="15.75" hidden="false" customHeight="false" outlineLevel="0" collapsed="false">
      <c r="B2513" s="7" t="n">
        <v>46222</v>
      </c>
      <c r="C2513" s="3" t="s">
        <v>14517</v>
      </c>
      <c r="D2513" s="3" t="s">
        <v>14247</v>
      </c>
      <c r="E2513" s="3" t="s">
        <v>14518</v>
      </c>
      <c r="F2513" s="10" t="str">
        <f aca="false">HYPERLINK("https://www.inaturalist.org/people/loongjim","loongjim")</f>
        <v>loongjim</v>
      </c>
      <c r="G2513" s="9" t="s">
        <v>13</v>
      </c>
      <c r="H2513" s="9" t="s">
        <v>14519</v>
      </c>
    </row>
    <row r="2514" customFormat="false" ht="15.75" hidden="false" customHeight="false" outlineLevel="0" collapsed="false">
      <c r="B2514" s="7" t="n">
        <v>46222</v>
      </c>
      <c r="C2514" s="3" t="s">
        <v>14520</v>
      </c>
      <c r="D2514" s="3" t="s">
        <v>14247</v>
      </c>
      <c r="E2514" s="3" t="s">
        <v>14521</v>
      </c>
      <c r="F2514" s="10" t="str">
        <f aca="false">HYPERLINK("https://www.inaturalist.org/people/amielhopkins","amielhopkins")</f>
        <v>amielhopkins</v>
      </c>
      <c r="G2514" s="9" t="s">
        <v>13</v>
      </c>
      <c r="H2514" s="9" t="s">
        <v>14522</v>
      </c>
    </row>
    <row r="2515" customFormat="false" ht="15.75" hidden="false" customHeight="false" outlineLevel="0" collapsed="false">
      <c r="B2515" s="7" t="n">
        <v>46222</v>
      </c>
      <c r="C2515" s="3" t="s">
        <v>14523</v>
      </c>
      <c r="D2515" s="3" t="s">
        <v>14247</v>
      </c>
      <c r="E2515" s="3" t="s">
        <v>14524</v>
      </c>
      <c r="F2515" s="10" t="str">
        <f aca="false">HYPERLINK("https://www.inaturalist.org/people/loongjim","loongjim")</f>
        <v>loongjim</v>
      </c>
      <c r="G2515" s="9" t="s">
        <v>13</v>
      </c>
      <c r="H2515" s="9" t="s">
        <v>14525</v>
      </c>
    </row>
    <row r="2516" customFormat="false" ht="15.75" hidden="false" customHeight="false" outlineLevel="0" collapsed="false">
      <c r="B2516" s="7" t="n">
        <v>46222</v>
      </c>
      <c r="C2516" s="3" t="s">
        <v>14526</v>
      </c>
      <c r="D2516" s="3" t="s">
        <v>14247</v>
      </c>
      <c r="E2516" s="3" t="s">
        <v>14527</v>
      </c>
      <c r="F2516" s="10" t="str">
        <f aca="false">HYPERLINK("https://www.inaturalist.org/people/loongjim","loongjim")</f>
        <v>loongjim</v>
      </c>
      <c r="G2516" s="9" t="s">
        <v>13</v>
      </c>
      <c r="H2516" s="9" t="s">
        <v>14528</v>
      </c>
    </row>
    <row r="2517" customFormat="false" ht="15.75" hidden="false" customHeight="false" outlineLevel="0" collapsed="false">
      <c r="B2517" s="7" t="n">
        <v>46222</v>
      </c>
      <c r="C2517" s="3" t="s">
        <v>14529</v>
      </c>
      <c r="D2517" s="3" t="s">
        <v>14247</v>
      </c>
      <c r="E2517" s="3" t="s">
        <v>14530</v>
      </c>
      <c r="F2517" s="10" t="str">
        <f aca="false">HYPERLINK("https://www.inaturalist.org/people/loongjim","loongjim")</f>
        <v>loongjim</v>
      </c>
      <c r="G2517" s="9" t="s">
        <v>13</v>
      </c>
      <c r="H2517" s="9" t="s">
        <v>14531</v>
      </c>
    </row>
    <row r="2518" customFormat="false" ht="15.75" hidden="false" customHeight="false" outlineLevel="0" collapsed="false">
      <c r="B2518" s="7" t="n">
        <v>46222</v>
      </c>
      <c r="C2518" s="3" t="s">
        <v>14532</v>
      </c>
      <c r="D2518" s="3" t="s">
        <v>14247</v>
      </c>
      <c r="E2518" s="3" t="s">
        <v>14533</v>
      </c>
      <c r="F2518" s="10" t="str">
        <f aca="false">HYPERLINK("https://www.inaturalist.org/people/loongjim","loongjim")</f>
        <v>loongjim</v>
      </c>
      <c r="G2518" s="9" t="s">
        <v>13</v>
      </c>
      <c r="H2518" s="9" t="s">
        <v>14534</v>
      </c>
    </row>
    <row r="2519" customFormat="false" ht="15.75" hidden="false" customHeight="false" outlineLevel="0" collapsed="false">
      <c r="B2519" s="7" t="n">
        <v>46222</v>
      </c>
      <c r="C2519" s="3" t="s">
        <v>14535</v>
      </c>
      <c r="D2519" s="3" t="s">
        <v>14247</v>
      </c>
      <c r="E2519" s="3" t="s">
        <v>14536</v>
      </c>
      <c r="F2519" s="10" t="str">
        <f aca="false">HYPERLINK("https://www.inaturalist.org/people/harrison_t","harrison_t")</f>
        <v>harrison_t</v>
      </c>
      <c r="G2519" s="9" t="s">
        <v>13</v>
      </c>
      <c r="H2519" s="9" t="s">
        <v>14537</v>
      </c>
    </row>
    <row r="2520" customFormat="false" ht="15.75" hidden="false" customHeight="false" outlineLevel="0" collapsed="false">
      <c r="B2520" s="7" t="n">
        <v>46222</v>
      </c>
      <c r="C2520" s="3" t="s">
        <v>14538</v>
      </c>
      <c r="D2520" s="3" t="s">
        <v>14247</v>
      </c>
      <c r="E2520" s="3" t="s">
        <v>14539</v>
      </c>
      <c r="F2520" s="10" t="str">
        <f aca="false">HYPERLINK("https://www.inaturalist.org/people/nbbfishing","nbbfishing")</f>
        <v>nbbfishing</v>
      </c>
      <c r="G2520" s="9" t="s">
        <v>13</v>
      </c>
      <c r="H2520" s="9" t="s">
        <v>14540</v>
      </c>
    </row>
    <row r="2521" customFormat="false" ht="15.75" hidden="false" customHeight="false" outlineLevel="0" collapsed="false">
      <c r="B2521" s="7" t="n">
        <v>46222</v>
      </c>
      <c r="C2521" s="3" t="s">
        <v>14541</v>
      </c>
      <c r="D2521" s="3" t="s">
        <v>14247</v>
      </c>
      <c r="E2521" s="3" t="s">
        <v>14542</v>
      </c>
      <c r="F2521" s="10" t="str">
        <f aca="false">HYPERLINK("https://www.inaturalist.org/people/xhttttttt","xhttttttt")</f>
        <v>xhttttttt</v>
      </c>
      <c r="G2521" s="9" t="s">
        <v>13</v>
      </c>
      <c r="H2521" s="9" t="s">
        <v>14543</v>
      </c>
    </row>
    <row r="2522" customFormat="false" ht="15.75" hidden="false" customHeight="false" outlineLevel="0" collapsed="false">
      <c r="B2522" s="7" t="n">
        <v>46222</v>
      </c>
      <c r="C2522" s="3" t="s">
        <v>14544</v>
      </c>
      <c r="D2522" s="3" t="s">
        <v>14247</v>
      </c>
      <c r="E2522" s="3" t="s">
        <v>14545</v>
      </c>
      <c r="F2522" s="10" t="str">
        <f aca="false">HYPERLINK("https://www.inaturalist.org/people/ddrepp","ddrepp")</f>
        <v>ddrepp</v>
      </c>
      <c r="G2522" s="9" t="s">
        <v>13</v>
      </c>
      <c r="H2522" s="9" t="s">
        <v>14546</v>
      </c>
    </row>
    <row r="2523" customFormat="false" ht="15.75" hidden="false" customHeight="false" outlineLevel="0" collapsed="false">
      <c r="B2523" s="7" t="n">
        <v>46280</v>
      </c>
      <c r="C2523" s="3" t="s">
        <v>14547</v>
      </c>
      <c r="D2523" s="3" t="s">
        <v>7879</v>
      </c>
      <c r="E2523" s="3" t="s">
        <v>7886</v>
      </c>
      <c r="F2523" s="10" t="str">
        <f aca="false">HYPERLINK("https://www.inaturalist.org/people/painted_mothman","painted_mothman")</f>
        <v>painted_mothman</v>
      </c>
      <c r="G2523" s="9" t="s">
        <v>13</v>
      </c>
      <c r="H2523" s="9" t="s">
        <v>14548</v>
      </c>
    </row>
    <row r="2524" customFormat="false" ht="15.75" hidden="false" customHeight="false" outlineLevel="0" collapsed="false">
      <c r="B2524" s="7" t="n">
        <v>46280</v>
      </c>
      <c r="C2524" s="3" t="s">
        <v>14549</v>
      </c>
      <c r="D2524" s="3" t="s">
        <v>7879</v>
      </c>
      <c r="E2524" s="3" t="s">
        <v>14550</v>
      </c>
      <c r="F2524" s="10" t="str">
        <f aca="false">HYPERLINK("https://www.inaturalist.org/people/paspal","paspal")</f>
        <v>paspal</v>
      </c>
      <c r="G2524" s="9" t="s">
        <v>13</v>
      </c>
      <c r="H2524" s="9" t="s">
        <v>14551</v>
      </c>
    </row>
    <row r="2525" customFormat="false" ht="15.75" hidden="false" customHeight="false" outlineLevel="0" collapsed="false">
      <c r="B2525" s="7" t="n">
        <v>46280</v>
      </c>
      <c r="C2525" s="3" t="s">
        <v>14552</v>
      </c>
      <c r="D2525" s="3" t="s">
        <v>7879</v>
      </c>
      <c r="E2525" s="3" t="s">
        <v>7925</v>
      </c>
      <c r="F2525" s="10" t="str">
        <f aca="false">HYPERLINK("https://www.inaturalist.org/people/paigekc","paigekc")</f>
        <v>paigekc</v>
      </c>
      <c r="G2525" s="9" t="s">
        <v>13</v>
      </c>
      <c r="H2525" s="9" t="s">
        <v>14553</v>
      </c>
    </row>
    <row r="2526" customFormat="false" ht="15.75" hidden="false" customHeight="false" outlineLevel="0" collapsed="false">
      <c r="B2526" s="7" t="n">
        <v>46280</v>
      </c>
      <c r="C2526" s="3" t="s">
        <v>14554</v>
      </c>
      <c r="D2526" s="3" t="s">
        <v>7879</v>
      </c>
      <c r="E2526" s="3" t="s">
        <v>7892</v>
      </c>
      <c r="F2526" s="10" t="str">
        <f aca="false">HYPERLINK("https://www.inaturalist.org/people/paigekc","paigekc")</f>
        <v>paigekc</v>
      </c>
      <c r="G2526" s="9" t="s">
        <v>13</v>
      </c>
      <c r="H2526" s="9" t="s">
        <v>14555</v>
      </c>
    </row>
    <row r="2527" customFormat="false" ht="15.75" hidden="false" customHeight="false" outlineLevel="0" collapsed="false">
      <c r="B2527" s="7" t="n">
        <v>46280</v>
      </c>
      <c r="C2527" s="3" t="s">
        <v>14556</v>
      </c>
      <c r="D2527" s="3" t="s">
        <v>7879</v>
      </c>
      <c r="E2527" s="3" t="s">
        <v>7949</v>
      </c>
      <c r="F2527" s="10" t="str">
        <f aca="false">HYPERLINK("https://www.inaturalist.org/people/benma","benma")</f>
        <v>benma</v>
      </c>
      <c r="G2527" s="9" t="s">
        <v>13</v>
      </c>
      <c r="H2527" s="9" t="s">
        <v>14557</v>
      </c>
    </row>
    <row r="2528" customFormat="false" ht="15.75" hidden="false" customHeight="false" outlineLevel="0" collapsed="false">
      <c r="B2528" s="7" t="n">
        <v>46280</v>
      </c>
      <c r="C2528" s="3" t="s">
        <v>14558</v>
      </c>
      <c r="D2528" s="3" t="s">
        <v>7879</v>
      </c>
      <c r="E2528" s="3" t="s">
        <v>7898</v>
      </c>
      <c r="F2528" s="10" t="str">
        <f aca="false">HYPERLINK("https://www.inaturalist.org/people/mapler09","mapler09")</f>
        <v>mapler09</v>
      </c>
      <c r="G2528" s="9" t="s">
        <v>13</v>
      </c>
      <c r="H2528" s="9" t="s">
        <v>14559</v>
      </c>
    </row>
    <row r="2529" customFormat="false" ht="15.75" hidden="false" customHeight="false" outlineLevel="0" collapsed="false">
      <c r="B2529" s="7" t="n">
        <v>46280</v>
      </c>
      <c r="C2529" s="3" t="s">
        <v>14560</v>
      </c>
      <c r="D2529" s="3" t="s">
        <v>7879</v>
      </c>
      <c r="E2529" s="3" t="s">
        <v>14561</v>
      </c>
      <c r="F2529" s="10" t="str">
        <f aca="false">HYPERLINK("https://www.inaturalist.org/people/cosmic_cuttlefishh","cosmic_cuttlefishh")</f>
        <v>cosmic_cuttlefishh</v>
      </c>
      <c r="G2529" s="9" t="s">
        <v>13</v>
      </c>
      <c r="H2529" s="9" t="s">
        <v>14562</v>
      </c>
    </row>
    <row r="2530" customFormat="false" ht="15.75" hidden="false" customHeight="false" outlineLevel="0" collapsed="false">
      <c r="B2530" s="7" t="n">
        <v>46280</v>
      </c>
      <c r="C2530" s="3" t="s">
        <v>14563</v>
      </c>
      <c r="D2530" s="3" t="s">
        <v>7879</v>
      </c>
      <c r="E2530" s="3" t="s">
        <v>14564</v>
      </c>
      <c r="F2530" s="10" t="str">
        <f aca="false">HYPERLINK("https://www.inaturalist.org/people/emmildiedetektive","emmildiedetektive")</f>
        <v>emmildiedetektive</v>
      </c>
      <c r="G2530" s="9" t="s">
        <v>13</v>
      </c>
      <c r="H2530" s="9" t="s">
        <v>14565</v>
      </c>
    </row>
    <row r="2531" customFormat="false" ht="15.75" hidden="false" customHeight="false" outlineLevel="0" collapsed="false">
      <c r="B2531" s="7" t="n">
        <v>46280</v>
      </c>
      <c r="C2531" s="3" t="s">
        <v>14566</v>
      </c>
      <c r="D2531" s="3" t="s">
        <v>7879</v>
      </c>
      <c r="E2531" s="3" t="s">
        <v>8141</v>
      </c>
      <c r="F2531" s="10" t="str">
        <f aca="false">HYPERLINK("https://www.inaturalist.org/people/nokbeetles","nokbeetles")</f>
        <v>nokbeetles</v>
      </c>
      <c r="G2531" s="9" t="s">
        <v>13</v>
      </c>
      <c r="H2531" s="9" t="s">
        <v>14567</v>
      </c>
    </row>
    <row r="2532" customFormat="false" ht="15.75" hidden="false" customHeight="false" outlineLevel="0" collapsed="false">
      <c r="B2532" s="7" t="n">
        <v>46280</v>
      </c>
      <c r="C2532" s="3" t="s">
        <v>14568</v>
      </c>
      <c r="D2532" s="3" t="s">
        <v>7879</v>
      </c>
      <c r="E2532" s="3" t="s">
        <v>8081</v>
      </c>
      <c r="F2532" s="10" t="str">
        <f aca="false">HYPERLINK("https://www.inaturalist.org/people/hippopickles","hippopickles")</f>
        <v>hippopickles</v>
      </c>
      <c r="G2532" s="9" t="s">
        <v>13</v>
      </c>
      <c r="H2532" s="9" t="s">
        <v>14569</v>
      </c>
    </row>
    <row r="2533" customFormat="false" ht="15.75" hidden="false" customHeight="false" outlineLevel="0" collapsed="false">
      <c r="B2533" s="7" t="n">
        <v>46280</v>
      </c>
      <c r="C2533" s="3" t="s">
        <v>14570</v>
      </c>
      <c r="D2533" s="3" t="s">
        <v>7879</v>
      </c>
      <c r="E2533" s="3" t="s">
        <v>7931</v>
      </c>
      <c r="F2533" s="10" t="str">
        <f aca="false">HYPERLINK("https://www.inaturalist.org/people/giel_photography","giel_photography")</f>
        <v>giel_photography</v>
      </c>
      <c r="G2533" s="9" t="s">
        <v>13</v>
      </c>
      <c r="H2533" s="9" t="s">
        <v>14571</v>
      </c>
    </row>
    <row r="2534" customFormat="false" ht="15.75" hidden="false" customHeight="false" outlineLevel="0" collapsed="false">
      <c r="B2534" s="7" t="n">
        <v>46280</v>
      </c>
      <c r="C2534" s="3" t="s">
        <v>14572</v>
      </c>
      <c r="D2534" s="3" t="s">
        <v>7879</v>
      </c>
      <c r="E2534" s="3" t="s">
        <v>7952</v>
      </c>
      <c r="F2534" s="10" t="str">
        <f aca="false">HYPERLINK("https://www.inaturalist.org/people/morganeeeee","morganeeeee")</f>
        <v>morganeeeee</v>
      </c>
      <c r="G2534" s="9" t="s">
        <v>13</v>
      </c>
      <c r="H2534" s="9" t="s">
        <v>14573</v>
      </c>
    </row>
    <row r="2535" customFormat="false" ht="15.75" hidden="false" customHeight="false" outlineLevel="0" collapsed="false">
      <c r="B2535" s="7" t="n">
        <v>46280</v>
      </c>
      <c r="C2535" s="3" t="s">
        <v>14574</v>
      </c>
      <c r="D2535" s="3" t="s">
        <v>7879</v>
      </c>
      <c r="E2535" s="3" t="s">
        <v>14575</v>
      </c>
      <c r="F2535" s="10" t="str">
        <f aca="false">HYPERLINK("https://www.inaturalist.org/people/simon_goebel","simon_goebel")</f>
        <v>simon_goebel</v>
      </c>
      <c r="G2535" s="9" t="s">
        <v>13</v>
      </c>
      <c r="H2535" s="9" t="s">
        <v>14576</v>
      </c>
    </row>
    <row r="2536" customFormat="false" ht="15.75" hidden="false" customHeight="false" outlineLevel="0" collapsed="false">
      <c r="B2536" s="7" t="n">
        <v>46280</v>
      </c>
      <c r="C2536" s="3" t="s">
        <v>14577</v>
      </c>
      <c r="D2536" s="3" t="s">
        <v>7879</v>
      </c>
      <c r="E2536" s="3" t="s">
        <v>7991</v>
      </c>
      <c r="F2536" s="10" t="str">
        <f aca="false">HYPERLINK("https://www.inaturalist.org/people/merlin_anderson","merlin_anderson")</f>
        <v>merlin_anderson</v>
      </c>
      <c r="G2536" s="9" t="s">
        <v>13</v>
      </c>
      <c r="H2536" s="9" t="s">
        <v>14578</v>
      </c>
    </row>
    <row r="2537" customFormat="false" ht="15.75" hidden="false" customHeight="false" outlineLevel="0" collapsed="false">
      <c r="B2537" s="7" t="n">
        <v>46280</v>
      </c>
      <c r="C2537" s="3" t="s">
        <v>14579</v>
      </c>
      <c r="D2537" s="3" t="s">
        <v>7879</v>
      </c>
      <c r="E2537" s="3" t="s">
        <v>14580</v>
      </c>
      <c r="F2537" s="10" t="str">
        <f aca="false">HYPERLINK("https://www.inaturalist.org/people/aburger99","aburger99")</f>
        <v>aburger99</v>
      </c>
      <c r="G2537" s="9" t="s">
        <v>13</v>
      </c>
      <c r="H2537" s="9" t="s">
        <v>14581</v>
      </c>
    </row>
    <row r="2538" customFormat="false" ht="15.75" hidden="false" customHeight="false" outlineLevel="0" collapsed="false">
      <c r="B2538" s="7" t="n">
        <v>46280</v>
      </c>
      <c r="C2538" s="3" t="s">
        <v>14582</v>
      </c>
      <c r="D2538" s="3" t="s">
        <v>7879</v>
      </c>
      <c r="E2538" s="3" t="s">
        <v>7976</v>
      </c>
      <c r="F2538" s="10" t="str">
        <f aca="false">HYPERLINK("https://www.inaturalist.org/people/wongatrappin","wongatrappin")</f>
        <v>wongatrappin</v>
      </c>
      <c r="G2538" s="9" t="s">
        <v>13</v>
      </c>
      <c r="H2538" s="9" t="s">
        <v>14583</v>
      </c>
    </row>
    <row r="2539" customFormat="false" ht="15.75" hidden="false" customHeight="false" outlineLevel="0" collapsed="false">
      <c r="B2539" s="7" t="n">
        <v>46280</v>
      </c>
      <c r="C2539" s="3" t="s">
        <v>14584</v>
      </c>
      <c r="D2539" s="3" t="s">
        <v>7879</v>
      </c>
      <c r="E2539" s="3" t="s">
        <v>14585</v>
      </c>
      <c r="F2539" s="10" t="str">
        <f aca="false">HYPERLINK("https://www.inaturalist.org/people/elsapoguapo","elsapoguapo")</f>
        <v>elsapoguapo</v>
      </c>
      <c r="G2539" s="9" t="s">
        <v>13</v>
      </c>
      <c r="H2539" s="9" t="s">
        <v>14586</v>
      </c>
    </row>
    <row r="2540" customFormat="false" ht="15.75" hidden="false" customHeight="false" outlineLevel="0" collapsed="false">
      <c r="B2540" s="7" t="n">
        <v>46280</v>
      </c>
      <c r="C2540" s="3" t="s">
        <v>14587</v>
      </c>
      <c r="D2540" s="3" t="s">
        <v>7879</v>
      </c>
      <c r="E2540" s="3" t="s">
        <v>7895</v>
      </c>
      <c r="F2540" s="10" t="str">
        <f aca="false">HYPERLINK("https://www.inaturalist.org/people/riverwilder","riverwilder")</f>
        <v>riverwilder</v>
      </c>
      <c r="G2540" s="9" t="s">
        <v>13</v>
      </c>
      <c r="H2540" s="9" t="s">
        <v>14588</v>
      </c>
    </row>
    <row r="2541" customFormat="false" ht="15.75" hidden="false" customHeight="false" outlineLevel="0" collapsed="false">
      <c r="B2541" s="7" t="n">
        <v>46280</v>
      </c>
      <c r="C2541" s="3" t="s">
        <v>14589</v>
      </c>
      <c r="D2541" s="3" t="s">
        <v>7879</v>
      </c>
      <c r="E2541" s="3" t="s">
        <v>7883</v>
      </c>
      <c r="F2541" s="10" t="str">
        <f aca="false">HYPERLINK("https://www.inaturalist.org/people/hwurmp","hwurmp")</f>
        <v>hwurmp</v>
      </c>
      <c r="G2541" s="9" t="s">
        <v>13</v>
      </c>
      <c r="H2541" s="9" t="s">
        <v>14590</v>
      </c>
    </row>
    <row r="2542" customFormat="false" ht="15.75" hidden="false" customHeight="false" outlineLevel="0" collapsed="false">
      <c r="B2542" s="7" t="n">
        <v>46280</v>
      </c>
      <c r="C2542" s="3" t="s">
        <v>14591</v>
      </c>
      <c r="D2542" s="3" t="s">
        <v>7879</v>
      </c>
      <c r="E2542" s="3" t="s">
        <v>14592</v>
      </c>
      <c r="F2542" s="10" t="str">
        <f aca="false">HYPERLINK("https://www.inaturalist.org/people/monicaglvz","monicaglvz")</f>
        <v>monicaglvz</v>
      </c>
      <c r="G2542" s="9" t="s">
        <v>13</v>
      </c>
      <c r="H2542" s="9" t="s">
        <v>14593</v>
      </c>
    </row>
    <row r="2543" customFormat="false" ht="15.75" hidden="false" customHeight="false" outlineLevel="0" collapsed="false">
      <c r="B2543" s="7" t="n">
        <v>46280</v>
      </c>
      <c r="C2543" s="3" t="s">
        <v>14594</v>
      </c>
      <c r="D2543" s="3" t="s">
        <v>7879</v>
      </c>
      <c r="E2543" s="3" t="s">
        <v>7961</v>
      </c>
      <c r="F2543" s="10" t="str">
        <f aca="false">HYPERLINK("https://www.inaturalist.org/people/brittanyvock","brittanyvock")</f>
        <v>brittanyvock</v>
      </c>
      <c r="G2543" s="9" t="s">
        <v>13</v>
      </c>
      <c r="H2543" s="9" t="s">
        <v>14595</v>
      </c>
    </row>
    <row r="2544" customFormat="false" ht="15.75" hidden="false" customHeight="false" outlineLevel="0" collapsed="false">
      <c r="B2544" s="7" t="n">
        <v>46280</v>
      </c>
      <c r="C2544" s="3" t="s">
        <v>14596</v>
      </c>
      <c r="D2544" s="3" t="s">
        <v>7879</v>
      </c>
      <c r="E2544" s="3" t="s">
        <v>8000</v>
      </c>
      <c r="F2544" s="10" t="str">
        <f aca="false">HYPERLINK("https://www.inaturalist.org/people/sethshively","sethshively")</f>
        <v>sethshively</v>
      </c>
      <c r="G2544" s="9" t="s">
        <v>13</v>
      </c>
      <c r="H2544" s="9" t="s">
        <v>14597</v>
      </c>
    </row>
    <row r="2545" customFormat="false" ht="15.75" hidden="false" customHeight="false" outlineLevel="0" collapsed="false">
      <c r="B2545" s="7" t="n">
        <v>46280</v>
      </c>
      <c r="C2545" s="3" t="s">
        <v>14598</v>
      </c>
      <c r="D2545" s="3" t="s">
        <v>7879</v>
      </c>
      <c r="E2545" s="3" t="s">
        <v>8036</v>
      </c>
      <c r="F2545" s="10" t="str">
        <f aca="false">HYPERLINK("https://www.inaturalist.org/people/sue1001","sue1001")</f>
        <v>sue1001</v>
      </c>
      <c r="G2545" s="9" t="s">
        <v>13</v>
      </c>
      <c r="H2545" s="9" t="s">
        <v>14599</v>
      </c>
    </row>
    <row r="2546" customFormat="false" ht="15.75" hidden="false" customHeight="false" outlineLevel="0" collapsed="false">
      <c r="B2546" s="7" t="n">
        <v>46280</v>
      </c>
      <c r="C2546" s="3" t="s">
        <v>14600</v>
      </c>
      <c r="D2546" s="3" t="s">
        <v>7879</v>
      </c>
      <c r="E2546" s="3" t="s">
        <v>8069</v>
      </c>
      <c r="F2546" s="10" t="str">
        <f aca="false">HYPERLINK("https://www.inaturalist.org/people/raphael41149","raphael41149")</f>
        <v>raphael41149</v>
      </c>
      <c r="G2546" s="9" t="s">
        <v>13</v>
      </c>
      <c r="H2546" s="9" t="s">
        <v>14601</v>
      </c>
    </row>
    <row r="2547" customFormat="false" ht="15.75" hidden="false" customHeight="false" outlineLevel="0" collapsed="false">
      <c r="B2547" s="7" t="n">
        <v>46280</v>
      </c>
      <c r="C2547" s="3" t="s">
        <v>14602</v>
      </c>
      <c r="D2547" s="3" t="s">
        <v>7879</v>
      </c>
      <c r="E2547" s="3" t="s">
        <v>14603</v>
      </c>
      <c r="F2547" s="10" t="str">
        <f aca="false">HYPERLINK("https://www.inaturalist.org/people/lizzyar04","lizzyar04")</f>
        <v>lizzyar04</v>
      </c>
      <c r="G2547" s="9" t="s">
        <v>13</v>
      </c>
      <c r="H2547" s="9" t="s">
        <v>14604</v>
      </c>
    </row>
    <row r="2548" customFormat="false" ht="15.75" hidden="false" customHeight="false" outlineLevel="0" collapsed="false">
      <c r="B2548" s="7" t="n">
        <v>46280</v>
      </c>
      <c r="C2548" s="3" t="s">
        <v>14605</v>
      </c>
      <c r="D2548" s="3" t="s">
        <v>7879</v>
      </c>
      <c r="E2548" s="3" t="s">
        <v>14606</v>
      </c>
      <c r="F2548" s="10" t="str">
        <f aca="false">HYPERLINK("https://www.inaturalist.org/people/grtchn","grtchn")</f>
        <v>grtchn</v>
      </c>
      <c r="G2548" s="9" t="s">
        <v>13</v>
      </c>
      <c r="H2548" s="9" t="s">
        <v>14607</v>
      </c>
    </row>
    <row r="2549" customFormat="false" ht="15.75" hidden="false" customHeight="false" outlineLevel="0" collapsed="false">
      <c r="B2549" s="7" t="n">
        <v>46280</v>
      </c>
      <c r="C2549" s="3" t="s">
        <v>14608</v>
      </c>
      <c r="D2549" s="3" t="s">
        <v>7879</v>
      </c>
      <c r="E2549" s="3" t="s">
        <v>8072</v>
      </c>
      <c r="F2549" s="10" t="str">
        <f aca="false">HYPERLINK("https://www.inaturalist.org/people/skiperpagany","skiperpagany")</f>
        <v>skiperpagany</v>
      </c>
      <c r="G2549" s="9" t="s">
        <v>13</v>
      </c>
      <c r="H2549" s="9" t="s">
        <v>14609</v>
      </c>
    </row>
    <row r="2550" customFormat="false" ht="15.75" hidden="false" customHeight="false" outlineLevel="0" collapsed="false">
      <c r="B2550" s="7" t="n">
        <v>46280</v>
      </c>
      <c r="C2550" s="3" t="s">
        <v>14610</v>
      </c>
      <c r="D2550" s="3" t="s">
        <v>7879</v>
      </c>
      <c r="E2550" s="3" t="s">
        <v>7997</v>
      </c>
      <c r="F2550" s="10" t="str">
        <f aca="false">HYPERLINK("https://www.inaturalist.org/people/annakofron","annakofron")</f>
        <v>annakofron</v>
      </c>
      <c r="G2550" s="9" t="s">
        <v>13</v>
      </c>
      <c r="H2550" s="9" t="s">
        <v>14611</v>
      </c>
    </row>
    <row r="2551" customFormat="false" ht="15.75" hidden="false" customHeight="false" outlineLevel="0" collapsed="false">
      <c r="B2551" s="7" t="n">
        <v>46280</v>
      </c>
      <c r="C2551" s="3" t="s">
        <v>14612</v>
      </c>
      <c r="D2551" s="3" t="s">
        <v>7879</v>
      </c>
      <c r="E2551" s="3" t="s">
        <v>7955</v>
      </c>
      <c r="F2551" s="10" t="str">
        <f aca="false">HYPERLINK("https://www.inaturalist.org/people/alyssa71504","alyssa71504")</f>
        <v>alyssa71504</v>
      </c>
      <c r="G2551" s="9" t="s">
        <v>13</v>
      </c>
      <c r="H2551" s="9" t="s">
        <v>14613</v>
      </c>
    </row>
    <row r="2552" customFormat="false" ht="15.75" hidden="false" customHeight="false" outlineLevel="0" collapsed="false">
      <c r="B2552" s="7" t="n">
        <v>46280</v>
      </c>
      <c r="C2552" s="3" t="s">
        <v>14614</v>
      </c>
      <c r="D2552" s="3" t="s">
        <v>7879</v>
      </c>
      <c r="E2552" s="3" t="s">
        <v>14615</v>
      </c>
      <c r="F2552" s="10" t="str">
        <f aca="false">HYPERLINK("https://www.inaturalist.org/people/podunn","podunn")</f>
        <v>podunn</v>
      </c>
      <c r="G2552" s="9" t="s">
        <v>13</v>
      </c>
      <c r="H2552" s="9" t="s">
        <v>14616</v>
      </c>
    </row>
    <row r="2553" customFormat="false" ht="15.75" hidden="false" customHeight="false" outlineLevel="0" collapsed="false">
      <c r="B2553" s="7" t="n">
        <v>46280</v>
      </c>
      <c r="C2553" s="3" t="s">
        <v>14617</v>
      </c>
      <c r="D2553" s="3" t="s">
        <v>7879</v>
      </c>
      <c r="E2553" s="3" t="s">
        <v>14618</v>
      </c>
      <c r="F2553" s="10" t="str">
        <f aca="false">HYPERLINK("https://www.inaturalist.org/people/gabidoc","gabidoc")</f>
        <v>gabidoc</v>
      </c>
      <c r="G2553" s="9" t="s">
        <v>13</v>
      </c>
      <c r="H2553" s="9" t="s">
        <v>14619</v>
      </c>
    </row>
    <row r="2554" customFormat="false" ht="15.75" hidden="false" customHeight="false" outlineLevel="0" collapsed="false">
      <c r="B2554" s="7" t="n">
        <v>46280</v>
      </c>
      <c r="C2554" s="3" t="s">
        <v>14620</v>
      </c>
      <c r="D2554" s="3" t="s">
        <v>7879</v>
      </c>
      <c r="E2554" s="3" t="s">
        <v>14621</v>
      </c>
      <c r="F2554" s="10" t="str">
        <f aca="false">HYPERLINK("https://www.inaturalist.org/people/movepoint","movepoint")</f>
        <v>movepoint</v>
      </c>
      <c r="G2554" s="9" t="s">
        <v>13</v>
      </c>
      <c r="H2554" s="9" t="s">
        <v>14622</v>
      </c>
    </row>
    <row r="2555" customFormat="false" ht="15.75" hidden="false" customHeight="false" outlineLevel="0" collapsed="false">
      <c r="B2555" s="7" t="n">
        <v>46280</v>
      </c>
      <c r="C2555" s="3" t="s">
        <v>14623</v>
      </c>
      <c r="D2555" s="3" t="s">
        <v>7879</v>
      </c>
      <c r="E2555" s="3" t="s">
        <v>14624</v>
      </c>
      <c r="F2555" s="10" t="str">
        <f aca="false">HYPERLINK("https://www.inaturalist.org/people/mario_clerico","mario_clerico")</f>
        <v>mario_clerico</v>
      </c>
      <c r="G2555" s="9" t="s">
        <v>13</v>
      </c>
      <c r="H2555" s="9" t="s">
        <v>14625</v>
      </c>
    </row>
    <row r="2556" customFormat="false" ht="15.75" hidden="false" customHeight="false" outlineLevel="0" collapsed="false">
      <c r="B2556" s="7" t="n">
        <v>46280</v>
      </c>
      <c r="C2556" s="3" t="s">
        <v>14626</v>
      </c>
      <c r="D2556" s="3" t="s">
        <v>7879</v>
      </c>
      <c r="E2556" s="3" t="s">
        <v>14627</v>
      </c>
      <c r="F2556" s="10" t="str">
        <f aca="false">HYPERLINK("https://www.inaturalist.org/people/resourceranger","resourceranger")</f>
        <v>resourceranger</v>
      </c>
      <c r="G2556" s="9" t="s">
        <v>13</v>
      </c>
      <c r="H2556" s="9" t="s">
        <v>14628</v>
      </c>
    </row>
    <row r="2557" customFormat="false" ht="15.75" hidden="false" customHeight="false" outlineLevel="0" collapsed="false">
      <c r="B2557" s="7" t="n">
        <v>46280</v>
      </c>
      <c r="C2557" s="3" t="s">
        <v>14629</v>
      </c>
      <c r="D2557" s="3" t="s">
        <v>7879</v>
      </c>
      <c r="E2557" s="3" t="s">
        <v>14630</v>
      </c>
      <c r="F2557" s="10" t="str">
        <f aca="false">HYPERLINK("https://www.inaturalist.org/people/geek_","geek_")</f>
        <v>geek_</v>
      </c>
      <c r="G2557" s="9" t="s">
        <v>13</v>
      </c>
      <c r="H2557" s="9" t="s">
        <v>14631</v>
      </c>
    </row>
    <row r="2558" customFormat="false" ht="15.75" hidden="false" customHeight="false" outlineLevel="0" collapsed="false">
      <c r="B2558" s="7" t="n">
        <v>46280</v>
      </c>
      <c r="C2558" s="3" t="s">
        <v>14632</v>
      </c>
      <c r="D2558" s="3" t="s">
        <v>7879</v>
      </c>
      <c r="E2558" s="3" t="s">
        <v>14633</v>
      </c>
      <c r="F2558" s="10" t="str">
        <f aca="false">HYPERLINK("https://www.inaturalist.org/people/oldfears","oldfears")</f>
        <v>oldfears</v>
      </c>
      <c r="G2558" s="9" t="s">
        <v>13</v>
      </c>
      <c r="H2558" s="9" t="s">
        <v>14634</v>
      </c>
    </row>
    <row r="2559" customFormat="false" ht="15.75" hidden="false" customHeight="false" outlineLevel="0" collapsed="false">
      <c r="B2559" s="7" t="n">
        <v>46280</v>
      </c>
      <c r="C2559" s="3" t="s">
        <v>14635</v>
      </c>
      <c r="D2559" s="3" t="s">
        <v>7879</v>
      </c>
      <c r="E2559" s="3" t="s">
        <v>8087</v>
      </c>
      <c r="F2559" s="10" t="str">
        <f aca="false">HYPERLINK("https://www.inaturalist.org/people/gchozas","gchozas")</f>
        <v>gchozas</v>
      </c>
      <c r="G2559" s="9" t="s">
        <v>13</v>
      </c>
      <c r="H2559" s="9" t="s">
        <v>14636</v>
      </c>
    </row>
    <row r="2560" customFormat="false" ht="15.75" hidden="false" customHeight="false" outlineLevel="0" collapsed="false">
      <c r="B2560" s="7" t="n">
        <v>46280</v>
      </c>
      <c r="C2560" s="3" t="s">
        <v>14637</v>
      </c>
      <c r="D2560" s="3" t="s">
        <v>7879</v>
      </c>
      <c r="E2560" s="3" t="s">
        <v>8096</v>
      </c>
      <c r="F2560" s="10" t="str">
        <f aca="false">HYPERLINK("https://www.inaturalist.org/people/kurtrademacher","kurtrademacher")</f>
        <v>kurtrademacher</v>
      </c>
      <c r="G2560" s="9" t="s">
        <v>13</v>
      </c>
      <c r="H2560" s="9" t="s">
        <v>14638</v>
      </c>
    </row>
    <row r="2561" customFormat="false" ht="15.75" hidden="false" customHeight="false" outlineLevel="0" collapsed="false">
      <c r="B2561" s="7" t="n">
        <v>46280</v>
      </c>
      <c r="C2561" s="3" t="s">
        <v>14639</v>
      </c>
      <c r="D2561" s="3" t="s">
        <v>7879</v>
      </c>
      <c r="E2561" s="3" t="s">
        <v>8303</v>
      </c>
      <c r="F2561" s="10" t="str">
        <f aca="false">HYPERLINK("https://www.inaturalist.org/people/leppinm","leppinm")</f>
        <v>leppinm</v>
      </c>
      <c r="G2561" s="9" t="s">
        <v>13</v>
      </c>
      <c r="H2561" s="9" t="s">
        <v>14640</v>
      </c>
    </row>
    <row r="2562" customFormat="false" ht="15.75" hidden="false" customHeight="false" outlineLevel="0" collapsed="false">
      <c r="B2562" s="7" t="n">
        <v>46280</v>
      </c>
      <c r="C2562" s="3" t="s">
        <v>14641</v>
      </c>
      <c r="D2562" s="3" t="s">
        <v>7879</v>
      </c>
      <c r="E2562" s="3" t="s">
        <v>8006</v>
      </c>
      <c r="F2562" s="10" t="str">
        <f aca="false">HYPERLINK("https://www.inaturalist.org/people/jack46285","jack46285")</f>
        <v>jack46285</v>
      </c>
      <c r="G2562" s="9" t="s">
        <v>13</v>
      </c>
      <c r="H2562" s="9" t="s">
        <v>14642</v>
      </c>
    </row>
    <row r="2563" customFormat="false" ht="15.75" hidden="false" customHeight="false" outlineLevel="0" collapsed="false">
      <c r="B2563" s="7" t="n">
        <v>46280</v>
      </c>
      <c r="C2563" s="3" t="s">
        <v>14643</v>
      </c>
      <c r="D2563" s="3" t="s">
        <v>7879</v>
      </c>
      <c r="E2563" s="3" t="s">
        <v>8138</v>
      </c>
      <c r="F2563" s="10" t="str">
        <f aca="false">HYPERLINK("https://www.inaturalist.org/people/bruhtoe1103","bruhtoe1103")</f>
        <v>bruhtoe1103</v>
      </c>
      <c r="G2563" s="9" t="s">
        <v>13</v>
      </c>
      <c r="H2563" s="9" t="s">
        <v>14644</v>
      </c>
    </row>
    <row r="2564" customFormat="false" ht="15.75" hidden="false" customHeight="false" outlineLevel="0" collapsed="false">
      <c r="B2564" s="7" t="n">
        <v>46280</v>
      </c>
      <c r="C2564" s="3" t="s">
        <v>14645</v>
      </c>
      <c r="D2564" s="3" t="s">
        <v>7879</v>
      </c>
      <c r="E2564" s="3" t="s">
        <v>14646</v>
      </c>
      <c r="F2564" s="10" t="str">
        <f aca="false">HYPERLINK("https://www.inaturalist.org/people/fauna-pq-augusto-polvora","fauna-pq-augusto-polvora")</f>
        <v>fauna-pq-augusto-polvora</v>
      </c>
      <c r="G2564" s="9" t="s">
        <v>13</v>
      </c>
      <c r="H2564" s="9" t="s">
        <v>14647</v>
      </c>
    </row>
    <row r="2565" customFormat="false" ht="15.75" hidden="false" customHeight="false" outlineLevel="0" collapsed="false">
      <c r="B2565" s="7" t="n">
        <v>46280</v>
      </c>
      <c r="C2565" s="3" t="s">
        <v>14648</v>
      </c>
      <c r="D2565" s="3" t="s">
        <v>7879</v>
      </c>
      <c r="E2565" s="3" t="s">
        <v>14649</v>
      </c>
      <c r="F2565" s="10" t="str">
        <f aca="false">HYPERLINK("https://www.inaturalist.org/people/dan8402","dan8402")</f>
        <v>dan8402</v>
      </c>
      <c r="G2565" s="9" t="s">
        <v>13</v>
      </c>
      <c r="H2565" s="9" t="s">
        <v>14650</v>
      </c>
    </row>
    <row r="2566" customFormat="false" ht="15.75" hidden="false" customHeight="false" outlineLevel="0" collapsed="false">
      <c r="B2566" s="7" t="n">
        <v>46280</v>
      </c>
      <c r="C2566" s="3" t="s">
        <v>14651</v>
      </c>
      <c r="D2566" s="3" t="s">
        <v>7879</v>
      </c>
      <c r="E2566" s="3" t="s">
        <v>8255</v>
      </c>
      <c r="F2566" s="10" t="str">
        <f aca="false">HYPERLINK("https://www.inaturalist.org/people/animayrim","animayrim")</f>
        <v>animayrim</v>
      </c>
      <c r="G2566" s="9" t="s">
        <v>13</v>
      </c>
      <c r="H2566" s="9" t="s">
        <v>14652</v>
      </c>
    </row>
    <row r="2567" customFormat="false" ht="15.75" hidden="false" customHeight="false" outlineLevel="0" collapsed="false">
      <c r="B2567" s="7" t="n">
        <v>46280</v>
      </c>
      <c r="C2567" s="3" t="s">
        <v>14653</v>
      </c>
      <c r="D2567" s="3" t="s">
        <v>7879</v>
      </c>
      <c r="E2567" s="3" t="s">
        <v>8024</v>
      </c>
      <c r="F2567" s="10" t="str">
        <f aca="false">HYPERLINK("https://www.inaturalist.org/people/timoteo_b","timoteo_b")</f>
        <v>timoteo_b</v>
      </c>
      <c r="G2567" s="9" t="s">
        <v>13</v>
      </c>
      <c r="H2567" s="9" t="s">
        <v>14654</v>
      </c>
    </row>
    <row r="2568" customFormat="false" ht="15.75" hidden="false" customHeight="false" outlineLevel="0" collapsed="false">
      <c r="B2568" s="7" t="n">
        <v>46280</v>
      </c>
      <c r="C2568" s="3" t="s">
        <v>14655</v>
      </c>
      <c r="D2568" s="3" t="s">
        <v>7879</v>
      </c>
      <c r="E2568" s="3" t="s">
        <v>8099</v>
      </c>
      <c r="F2568" s="10" t="str">
        <f aca="false">HYPERLINK("https://www.inaturalist.org/people/clori01","clori01")</f>
        <v>clori01</v>
      </c>
      <c r="G2568" s="9" t="s">
        <v>13</v>
      </c>
      <c r="H2568" s="9" t="s">
        <v>14656</v>
      </c>
    </row>
    <row r="2569" customFormat="false" ht="15.75" hidden="false" customHeight="false" outlineLevel="0" collapsed="false">
      <c r="B2569" s="7" t="n">
        <v>46280</v>
      </c>
      <c r="C2569" s="3" t="s">
        <v>14657</v>
      </c>
      <c r="D2569" s="3" t="s">
        <v>7879</v>
      </c>
      <c r="E2569" s="3" t="s">
        <v>14658</v>
      </c>
      <c r="F2569" s="10" t="str">
        <f aca="false">HYPERLINK("https://www.inaturalist.org/people/araneae_macro","araneae_macro")</f>
        <v>araneae_macro</v>
      </c>
      <c r="G2569" s="9" t="s">
        <v>13</v>
      </c>
      <c r="H2569" s="9" t="s">
        <v>14659</v>
      </c>
    </row>
    <row r="2570" customFormat="false" ht="15.75" hidden="false" customHeight="false" outlineLevel="0" collapsed="false">
      <c r="B2570" s="7" t="n">
        <v>46280</v>
      </c>
      <c r="C2570" s="3" t="s">
        <v>14660</v>
      </c>
      <c r="D2570" s="3" t="s">
        <v>7879</v>
      </c>
      <c r="E2570" s="3" t="s">
        <v>14661</v>
      </c>
      <c r="F2570" s="10" t="str">
        <f aca="false">HYPERLINK("https://www.inaturalist.org/people/alexguthrie","alexguthrie")</f>
        <v>alexguthrie</v>
      </c>
      <c r="G2570" s="9" t="s">
        <v>13</v>
      </c>
      <c r="H2570" s="9" t="s">
        <v>14662</v>
      </c>
    </row>
    <row r="2571" customFormat="false" ht="15.75" hidden="false" customHeight="false" outlineLevel="0" collapsed="false">
      <c r="B2571" s="7" t="n">
        <v>46280</v>
      </c>
      <c r="C2571" s="3" t="s">
        <v>14663</v>
      </c>
      <c r="D2571" s="3" t="s">
        <v>7879</v>
      </c>
      <c r="E2571" s="3" t="s">
        <v>14664</v>
      </c>
      <c r="F2571" s="10" t="str">
        <f aca="false">HYPERLINK("https://www.inaturalist.org/people/rossella96765","rossella96765")</f>
        <v>rossella96765</v>
      </c>
      <c r="G2571" s="9" t="s">
        <v>13</v>
      </c>
      <c r="H2571" s="9" t="s">
        <v>14665</v>
      </c>
    </row>
    <row r="2572" customFormat="false" ht="15.75" hidden="false" customHeight="false" outlineLevel="0" collapsed="false">
      <c r="B2572" s="7" t="n">
        <v>46280</v>
      </c>
      <c r="C2572" s="3" t="s">
        <v>14666</v>
      </c>
      <c r="D2572" s="3" t="s">
        <v>7879</v>
      </c>
      <c r="E2572" s="3" t="s">
        <v>14667</v>
      </c>
      <c r="F2572" s="10" t="str">
        <f aca="false">HYPERLINK("https://www.inaturalist.org/people/rockfish17","rockfish17")</f>
        <v>rockfish17</v>
      </c>
      <c r="G2572" s="9" t="s">
        <v>13</v>
      </c>
      <c r="H2572" s="9" t="s">
        <v>14668</v>
      </c>
    </row>
    <row r="2573" customFormat="false" ht="15.75" hidden="false" customHeight="false" outlineLevel="0" collapsed="false">
      <c r="B2573" s="7" t="n">
        <v>46280</v>
      </c>
      <c r="C2573" s="3" t="s">
        <v>14669</v>
      </c>
      <c r="D2573" s="3" t="s">
        <v>7879</v>
      </c>
      <c r="E2573" s="3" t="s">
        <v>14670</v>
      </c>
      <c r="F2573" s="10" t="str">
        <f aca="false">HYPERLINK("https://www.inaturalist.org/people/mysticravyn","mysticravyn")</f>
        <v>mysticravyn</v>
      </c>
      <c r="G2573" s="9" t="s">
        <v>13</v>
      </c>
      <c r="H2573" s="9" t="s">
        <v>14671</v>
      </c>
    </row>
    <row r="2574" customFormat="false" ht="15.75" hidden="false" customHeight="false" outlineLevel="0" collapsed="false">
      <c r="B2574" s="7" t="n">
        <v>46280</v>
      </c>
      <c r="C2574" s="3" t="s">
        <v>14672</v>
      </c>
      <c r="D2574" s="3" t="s">
        <v>7879</v>
      </c>
      <c r="E2574" s="3" t="s">
        <v>8168</v>
      </c>
      <c r="F2574" s="10" t="str">
        <f aca="false">HYPERLINK("https://www.inaturalist.org/people/mattski3","mattski3")</f>
        <v>mattski3</v>
      </c>
      <c r="G2574" s="9" t="s">
        <v>13</v>
      </c>
      <c r="H2574" s="9" t="s">
        <v>14673</v>
      </c>
    </row>
    <row r="2575" customFormat="false" ht="15.75" hidden="false" customHeight="false" outlineLevel="0" collapsed="false">
      <c r="B2575" s="7" t="n">
        <v>46280</v>
      </c>
      <c r="C2575" s="3" t="s">
        <v>14674</v>
      </c>
      <c r="D2575" s="3" t="s">
        <v>7879</v>
      </c>
      <c r="E2575" s="3" t="s">
        <v>8309</v>
      </c>
      <c r="F2575" s="10" t="str">
        <f aca="false">HYPERLINK("https://www.inaturalist.org/people/keithbrady","keithbrady")</f>
        <v>keithbrady</v>
      </c>
      <c r="G2575" s="9" t="s">
        <v>13</v>
      </c>
      <c r="H2575" s="9" t="s">
        <v>14675</v>
      </c>
    </row>
    <row r="2576" customFormat="false" ht="15.75" hidden="false" customHeight="false" outlineLevel="0" collapsed="false">
      <c r="B2576" s="7" t="n">
        <v>46280</v>
      </c>
      <c r="C2576" s="3" t="s">
        <v>14676</v>
      </c>
      <c r="D2576" s="3" t="s">
        <v>7879</v>
      </c>
      <c r="E2576" s="3" t="s">
        <v>8210</v>
      </c>
      <c r="F2576" s="10" t="str">
        <f aca="false">HYPERLINK("https://www.inaturalist.org/people/goong","goong")</f>
        <v>goong</v>
      </c>
      <c r="G2576" s="9" t="s">
        <v>13</v>
      </c>
      <c r="H2576" s="9" t="s">
        <v>14677</v>
      </c>
    </row>
    <row r="2577" customFormat="false" ht="15.75" hidden="false" customHeight="false" outlineLevel="0" collapsed="false">
      <c r="B2577" s="7" t="n">
        <v>46280</v>
      </c>
      <c r="C2577" s="3" t="s">
        <v>14678</v>
      </c>
      <c r="D2577" s="3" t="s">
        <v>7879</v>
      </c>
      <c r="E2577" s="3" t="s">
        <v>8045</v>
      </c>
      <c r="F2577" s="10" t="str">
        <f aca="false">HYPERLINK("https://www.inaturalist.org/people/saparks","saparks")</f>
        <v>saparks</v>
      </c>
      <c r="G2577" s="9" t="s">
        <v>13</v>
      </c>
      <c r="H2577" s="9" t="s">
        <v>14679</v>
      </c>
    </row>
    <row r="2578" customFormat="false" ht="15.75" hidden="false" customHeight="false" outlineLevel="0" collapsed="false">
      <c r="B2578" s="7" t="n">
        <v>46280</v>
      </c>
      <c r="C2578" s="3" t="s">
        <v>14680</v>
      </c>
      <c r="D2578" s="3" t="s">
        <v>7879</v>
      </c>
      <c r="E2578" s="3" t="s">
        <v>14681</v>
      </c>
      <c r="F2578" s="10" t="str">
        <f aca="false">HYPERLINK("https://www.inaturalist.org/people/tgoodhart","tgoodhart")</f>
        <v>tgoodhart</v>
      </c>
      <c r="G2578" s="9" t="s">
        <v>13</v>
      </c>
      <c r="H2578" s="9" t="s">
        <v>14682</v>
      </c>
    </row>
    <row r="2579" customFormat="false" ht="15.75" hidden="false" customHeight="false" outlineLevel="0" collapsed="false">
      <c r="B2579" s="7" t="n">
        <v>46280</v>
      </c>
      <c r="C2579" s="3" t="s">
        <v>14683</v>
      </c>
      <c r="D2579" s="3" t="s">
        <v>7879</v>
      </c>
      <c r="E2579" s="3" t="s">
        <v>14684</v>
      </c>
      <c r="F2579" s="10" t="str">
        <f aca="false">HYPERLINK("https://www.inaturalist.org/people/djhumboldt","djhumboldt")</f>
        <v>djhumboldt</v>
      </c>
      <c r="G2579" s="9" t="s">
        <v>13</v>
      </c>
      <c r="H2579" s="9" t="s">
        <v>14685</v>
      </c>
    </row>
    <row r="2580" customFormat="false" ht="15.75" hidden="false" customHeight="false" outlineLevel="0" collapsed="false">
      <c r="B2580" s="7" t="n">
        <v>46280</v>
      </c>
      <c r="C2580" s="3" t="s">
        <v>14686</v>
      </c>
      <c r="D2580" s="3" t="s">
        <v>7879</v>
      </c>
      <c r="E2580" s="3" t="s">
        <v>14687</v>
      </c>
      <c r="F2580" s="10" t="str">
        <f aca="false">HYPERLINK("https://www.inaturalist.org/people/raydenn","raydenn")</f>
        <v>raydenn</v>
      </c>
      <c r="G2580" s="9" t="s">
        <v>13</v>
      </c>
      <c r="H2580" s="9" t="s">
        <v>14688</v>
      </c>
    </row>
    <row r="2581" customFormat="false" ht="15.75" hidden="false" customHeight="false" outlineLevel="0" collapsed="false">
      <c r="B2581" s="7" t="n">
        <v>46280</v>
      </c>
      <c r="C2581" s="3" t="s">
        <v>14689</v>
      </c>
      <c r="D2581" s="3" t="s">
        <v>7879</v>
      </c>
      <c r="E2581" s="3" t="s">
        <v>8075</v>
      </c>
      <c r="F2581" s="10" t="str">
        <f aca="false">HYPERLINK("https://www.inaturalist.org/people/chance2crowns","chance2crowns")</f>
        <v>chance2crowns</v>
      </c>
      <c r="G2581" s="9" t="s">
        <v>13</v>
      </c>
      <c r="H2581" s="9" t="s">
        <v>14690</v>
      </c>
    </row>
    <row r="2582" customFormat="false" ht="15.75" hidden="false" customHeight="false" outlineLevel="0" collapsed="false">
      <c r="B2582" s="7" t="n">
        <v>46280</v>
      </c>
      <c r="C2582" s="3" t="s">
        <v>14691</v>
      </c>
      <c r="D2582" s="3" t="s">
        <v>7879</v>
      </c>
      <c r="E2582" s="3" t="s">
        <v>14692</v>
      </c>
      <c r="F2582" s="10" t="str">
        <f aca="false">HYPERLINK("https://www.inaturalist.org/people/guia_guru","guia_guru")</f>
        <v>guia_guru</v>
      </c>
      <c r="G2582" s="9" t="s">
        <v>13</v>
      </c>
      <c r="H2582" s="9" t="s">
        <v>14693</v>
      </c>
    </row>
    <row r="2583" customFormat="false" ht="15.75" hidden="false" customHeight="false" outlineLevel="0" collapsed="false">
      <c r="B2583" s="7" t="n">
        <v>46280</v>
      </c>
      <c r="C2583" s="3" t="s">
        <v>14694</v>
      </c>
      <c r="D2583" s="3" t="s">
        <v>7879</v>
      </c>
      <c r="E2583" s="3" t="s">
        <v>14695</v>
      </c>
      <c r="F2583" s="10" t="str">
        <f aca="false">HYPERLINK("https://www.inaturalist.org/people/quandt","quandt")</f>
        <v>quandt</v>
      </c>
      <c r="G2583" s="9" t="s">
        <v>13</v>
      </c>
      <c r="H2583" s="9" t="s">
        <v>14696</v>
      </c>
    </row>
    <row r="2584" customFormat="false" ht="15.75" hidden="false" customHeight="false" outlineLevel="0" collapsed="false">
      <c r="B2584" s="7" t="n">
        <v>46280</v>
      </c>
      <c r="C2584" s="3" t="s">
        <v>14697</v>
      </c>
      <c r="D2584" s="3" t="s">
        <v>7879</v>
      </c>
      <c r="E2584" s="3" t="s">
        <v>14698</v>
      </c>
      <c r="F2584" s="10" t="str">
        <f aca="false">HYPERLINK("https://www.inaturalist.org/people/kosmas2","kosmas2")</f>
        <v>kosmas2</v>
      </c>
      <c r="G2584" s="9" t="s">
        <v>13</v>
      </c>
      <c r="H2584" s="9" t="s">
        <v>14699</v>
      </c>
    </row>
    <row r="2585" customFormat="false" ht="15.75" hidden="false" customHeight="false" outlineLevel="0" collapsed="false">
      <c r="B2585" s="7" t="n">
        <v>46280</v>
      </c>
      <c r="C2585" s="3" t="s">
        <v>14700</v>
      </c>
      <c r="D2585" s="3" t="s">
        <v>7879</v>
      </c>
      <c r="E2585" s="3" t="s">
        <v>8449</v>
      </c>
      <c r="F2585" s="10" t="str">
        <f aca="false">HYPERLINK("https://www.inaturalist.org/people/schang_hai","schang_hai")</f>
        <v>schang_hai</v>
      </c>
      <c r="G2585" s="9" t="s">
        <v>13</v>
      </c>
      <c r="H2585" s="9" t="s">
        <v>14701</v>
      </c>
    </row>
    <row r="2586" customFormat="false" ht="15.75" hidden="false" customHeight="false" outlineLevel="0" collapsed="false">
      <c r="B2586" s="7" t="n">
        <v>46280</v>
      </c>
      <c r="C2586" s="3" t="s">
        <v>14702</v>
      </c>
      <c r="D2586" s="3" t="s">
        <v>7879</v>
      </c>
      <c r="E2586" s="3" t="s">
        <v>8207</v>
      </c>
      <c r="F2586" s="10" t="str">
        <f aca="false">HYPERLINK("https://www.inaturalist.org/people/bretthartl","bretthartl")</f>
        <v>bretthartl</v>
      </c>
      <c r="G2586" s="9" t="s">
        <v>13</v>
      </c>
      <c r="H2586" s="9" t="s">
        <v>14703</v>
      </c>
    </row>
    <row r="2587" customFormat="false" ht="15.75" hidden="false" customHeight="false" outlineLevel="0" collapsed="false">
      <c r="B2587" s="7" t="n">
        <v>46280</v>
      </c>
      <c r="C2587" s="3" t="s">
        <v>14704</v>
      </c>
      <c r="D2587" s="3" t="s">
        <v>7879</v>
      </c>
      <c r="E2587" s="3" t="s">
        <v>8015</v>
      </c>
      <c r="F2587" s="10" t="str">
        <f aca="false">HYPERLINK("https://www.inaturalist.org/people/grtchn","grtchn")</f>
        <v>grtchn</v>
      </c>
      <c r="G2587" s="9" t="s">
        <v>13</v>
      </c>
      <c r="H2587" s="9" t="s">
        <v>14705</v>
      </c>
    </row>
    <row r="2588" customFormat="false" ht="15.75" hidden="false" customHeight="false" outlineLevel="0" collapsed="false">
      <c r="B2588" s="7" t="n">
        <v>46280</v>
      </c>
      <c r="C2588" s="3" t="s">
        <v>14706</v>
      </c>
      <c r="D2588" s="3" t="s">
        <v>7879</v>
      </c>
      <c r="E2588" s="3" t="s">
        <v>8452</v>
      </c>
      <c r="F2588" s="10" t="str">
        <f aca="false">HYPERLINK("https://www.inaturalist.org/people/andreabarsanti","andreabarsanti")</f>
        <v>andreabarsanti</v>
      </c>
      <c r="G2588" s="9" t="s">
        <v>13</v>
      </c>
      <c r="H2588" s="9" t="s">
        <v>14707</v>
      </c>
    </row>
    <row r="2589" customFormat="false" ht="15.75" hidden="false" customHeight="false" outlineLevel="0" collapsed="false">
      <c r="B2589" s="7" t="n">
        <v>46280</v>
      </c>
      <c r="C2589" s="3" t="s">
        <v>14708</v>
      </c>
      <c r="D2589" s="3" t="s">
        <v>7879</v>
      </c>
      <c r="E2589" s="3" t="s">
        <v>14709</v>
      </c>
      <c r="F2589" s="10" t="str">
        <f aca="false">HYPERLINK("https://www.inaturalist.org/people/strelok762","strelok762")</f>
        <v>strelok762</v>
      </c>
      <c r="G2589" s="9" t="s">
        <v>13</v>
      </c>
      <c r="H2589" s="9" t="s">
        <v>14710</v>
      </c>
    </row>
    <row r="2590" customFormat="false" ht="15.75" hidden="false" customHeight="false" outlineLevel="0" collapsed="false">
      <c r="B2590" s="7" t="n">
        <v>46280</v>
      </c>
      <c r="C2590" s="3" t="s">
        <v>14711</v>
      </c>
      <c r="D2590" s="3" t="s">
        <v>7879</v>
      </c>
      <c r="E2590" s="3" t="s">
        <v>14712</v>
      </c>
      <c r="F2590" s="10" t="str">
        <f aca="false">HYPERLINK("https://www.inaturalist.org/people/gcwarbler","gcwarbler")</f>
        <v>gcwarbler</v>
      </c>
      <c r="G2590" s="9" t="s">
        <v>13</v>
      </c>
      <c r="H2590" s="9" t="s">
        <v>14713</v>
      </c>
    </row>
    <row r="2591" customFormat="false" ht="15.75" hidden="false" customHeight="false" outlineLevel="0" collapsed="false">
      <c r="B2591" s="7" t="n">
        <v>46280</v>
      </c>
      <c r="C2591" s="3" t="s">
        <v>14714</v>
      </c>
      <c r="D2591" s="3" t="s">
        <v>7879</v>
      </c>
      <c r="E2591" s="3" t="s">
        <v>8333</v>
      </c>
      <c r="F2591" s="10" t="str">
        <f aca="false">HYPERLINK("https://www.inaturalist.org/people/furkanthropomorphicindo","furkanthropomorphicindo")</f>
        <v>furkanthropomorphicindo</v>
      </c>
      <c r="G2591" s="9" t="s">
        <v>13</v>
      </c>
      <c r="H2591" s="9" t="s">
        <v>14715</v>
      </c>
    </row>
    <row r="2592" customFormat="false" ht="15.75" hidden="false" customHeight="false" outlineLevel="0" collapsed="false">
      <c r="B2592" s="7" t="n">
        <v>46280</v>
      </c>
      <c r="C2592" s="3" t="s">
        <v>14716</v>
      </c>
      <c r="D2592" s="3" t="s">
        <v>7879</v>
      </c>
      <c r="E2592" s="3" t="s">
        <v>8345</v>
      </c>
      <c r="F2592" s="10" t="str">
        <f aca="false">HYPERLINK("https://www.inaturalist.org/people/mutternatur","mutternatur")</f>
        <v>mutternatur</v>
      </c>
      <c r="G2592" s="9" t="s">
        <v>13</v>
      </c>
      <c r="H2592" s="9" t="s">
        <v>14717</v>
      </c>
    </row>
    <row r="2593" customFormat="false" ht="15.75" hidden="false" customHeight="false" outlineLevel="0" collapsed="false">
      <c r="B2593" s="7" t="n">
        <v>46280</v>
      </c>
      <c r="C2593" s="3" t="s">
        <v>14718</v>
      </c>
      <c r="D2593" s="3" t="s">
        <v>7879</v>
      </c>
      <c r="E2593" s="3" t="s">
        <v>7973</v>
      </c>
      <c r="F2593" s="10" t="str">
        <f aca="false">HYPERLINK("https://www.inaturalist.org/people/eliot13","eliot13")</f>
        <v>eliot13</v>
      </c>
      <c r="G2593" s="9" t="s">
        <v>13</v>
      </c>
      <c r="H2593" s="9" t="s">
        <v>14719</v>
      </c>
    </row>
    <row r="2594" customFormat="false" ht="15.75" hidden="false" customHeight="false" outlineLevel="0" collapsed="false">
      <c r="B2594" s="7" t="n">
        <v>46280</v>
      </c>
      <c r="C2594" s="3" t="s">
        <v>14720</v>
      </c>
      <c r="D2594" s="3" t="s">
        <v>7879</v>
      </c>
      <c r="E2594" s="3" t="s">
        <v>8339</v>
      </c>
      <c r="F2594" s="10" t="str">
        <f aca="false">HYPERLINK("https://www.inaturalist.org/people/tsvictory","tsvictory")</f>
        <v>tsvictory</v>
      </c>
      <c r="G2594" s="9" t="s">
        <v>13</v>
      </c>
      <c r="H2594" s="9" t="s">
        <v>14721</v>
      </c>
    </row>
    <row r="2595" customFormat="false" ht="15.75" hidden="false" customHeight="false" outlineLevel="0" collapsed="false">
      <c r="B2595" s="7" t="n">
        <v>46280</v>
      </c>
      <c r="C2595" s="3" t="s">
        <v>14722</v>
      </c>
      <c r="D2595" s="3" t="s">
        <v>7879</v>
      </c>
      <c r="E2595" s="3" t="s">
        <v>14723</v>
      </c>
      <c r="F2595" s="10" t="str">
        <f aca="false">HYPERLINK("https://www.inaturalist.org/people/antho2005","antho2005")</f>
        <v>antho2005</v>
      </c>
      <c r="G2595" s="9" t="s">
        <v>13</v>
      </c>
      <c r="H2595" s="9" t="s">
        <v>14724</v>
      </c>
    </row>
    <row r="2596" customFormat="false" ht="15.75" hidden="false" customHeight="false" outlineLevel="0" collapsed="false">
      <c r="B2596" s="7" t="n">
        <v>46280</v>
      </c>
      <c r="C2596" s="3" t="s">
        <v>14725</v>
      </c>
      <c r="D2596" s="3" t="s">
        <v>7879</v>
      </c>
      <c r="E2596" s="3" t="s">
        <v>14726</v>
      </c>
      <c r="F2596" s="10" t="str">
        <f aca="false">HYPERLINK("https://www.inaturalist.org/people/candiceken","candiceken")</f>
        <v>candiceken</v>
      </c>
      <c r="G2596" s="9" t="s">
        <v>13</v>
      </c>
      <c r="H2596" s="9" t="s">
        <v>14727</v>
      </c>
    </row>
    <row r="2597" customFormat="false" ht="15.75" hidden="false" customHeight="false" outlineLevel="0" collapsed="false">
      <c r="B2597" s="7" t="n">
        <v>46280</v>
      </c>
      <c r="C2597" s="3" t="s">
        <v>14728</v>
      </c>
      <c r="D2597" s="3" t="s">
        <v>7879</v>
      </c>
      <c r="E2597" s="3" t="s">
        <v>14729</v>
      </c>
      <c r="F2597" s="10" t="str">
        <f aca="false">HYPERLINK("https://www.inaturalist.org/people/profmonitoreopnnsnsm","profmonitoreopnnsnsm")</f>
        <v>profmonitoreopnnsnsm</v>
      </c>
      <c r="G2597" s="9" t="s">
        <v>13</v>
      </c>
      <c r="H2597" s="9" t="s">
        <v>14730</v>
      </c>
    </row>
    <row r="2598" customFormat="false" ht="15.75" hidden="false" customHeight="false" outlineLevel="0" collapsed="false">
      <c r="B2598" s="7" t="n">
        <v>46280</v>
      </c>
      <c r="C2598" s="3" t="s">
        <v>14731</v>
      </c>
      <c r="D2598" s="3" t="s">
        <v>7879</v>
      </c>
      <c r="E2598" s="3" t="s">
        <v>14732</v>
      </c>
      <c r="F2598" s="10" t="str">
        <f aca="false">HYPERLINK("https://www.inaturalist.org/people/cluelesscritter","cluelesscritter")</f>
        <v>cluelesscritter</v>
      </c>
      <c r="G2598" s="9" t="s">
        <v>13</v>
      </c>
      <c r="H2598" s="9" t="s">
        <v>14733</v>
      </c>
    </row>
    <row r="2599" customFormat="false" ht="15.75" hidden="false" customHeight="false" outlineLevel="0" collapsed="false">
      <c r="B2599" s="7" t="n">
        <v>46280</v>
      </c>
      <c r="C2599" s="3" t="s">
        <v>14734</v>
      </c>
      <c r="D2599" s="3" t="s">
        <v>7879</v>
      </c>
      <c r="E2599" s="3" t="s">
        <v>8183</v>
      </c>
      <c r="F2599" s="10" t="str">
        <f aca="false">HYPERLINK("https://www.inaturalist.org/people/t1m1ll3r","t1m1ll3r")</f>
        <v>t1m1ll3r</v>
      </c>
      <c r="G2599" s="9" t="s">
        <v>13</v>
      </c>
      <c r="H2599" s="9" t="s">
        <v>14735</v>
      </c>
    </row>
    <row r="2600" customFormat="false" ht="15.75" hidden="false" customHeight="false" outlineLevel="0" collapsed="false">
      <c r="B2600" s="7" t="n">
        <v>46280</v>
      </c>
      <c r="C2600" s="3" t="s">
        <v>14736</v>
      </c>
      <c r="D2600" s="3" t="s">
        <v>7879</v>
      </c>
      <c r="E2600" s="3" t="s">
        <v>14737</v>
      </c>
      <c r="F2600" s="10" t="str">
        <f aca="false">HYPERLINK("https://www.inaturalist.org/people/danielmhsu","danielmhsu")</f>
        <v>danielmhsu</v>
      </c>
      <c r="G2600" s="9" t="s">
        <v>13</v>
      </c>
      <c r="H2600" s="9" t="s">
        <v>14738</v>
      </c>
    </row>
    <row r="2601" customFormat="false" ht="15.75" hidden="false" customHeight="false" outlineLevel="0" collapsed="false">
      <c r="B2601" s="7" t="n">
        <v>46280</v>
      </c>
      <c r="C2601" s="3" t="s">
        <v>14739</v>
      </c>
      <c r="D2601" s="3" t="s">
        <v>7879</v>
      </c>
      <c r="E2601" s="3" t="s">
        <v>14740</v>
      </c>
      <c r="F2601" s="10" t="str">
        <f aca="false">HYPERLINK("https://www.inaturalist.org/people/psalter-b","psalter-b")</f>
        <v>psalter-b</v>
      </c>
      <c r="G2601" s="9" t="s">
        <v>13</v>
      </c>
      <c r="H2601" s="9" t="s">
        <v>14741</v>
      </c>
    </row>
    <row r="2602" customFormat="false" ht="15.75" hidden="false" customHeight="false" outlineLevel="0" collapsed="false">
      <c r="B2602" s="7" t="n">
        <v>46280</v>
      </c>
      <c r="C2602" s="3" t="s">
        <v>14742</v>
      </c>
      <c r="D2602" s="3" t="s">
        <v>7879</v>
      </c>
      <c r="E2602" s="3" t="s">
        <v>14743</v>
      </c>
      <c r="F2602" s="10" t="str">
        <f aca="false">HYPERLINK("https://www.inaturalist.org/people/psalter-b","psalter-b")</f>
        <v>psalter-b</v>
      </c>
      <c r="G2602" s="9" t="s">
        <v>13</v>
      </c>
      <c r="H2602" s="9" t="s">
        <v>14744</v>
      </c>
    </row>
    <row r="2603" customFormat="false" ht="15.75" hidden="false" customHeight="false" outlineLevel="0" collapsed="false">
      <c r="B2603" s="7" t="n">
        <v>46280</v>
      </c>
      <c r="C2603" s="3" t="s">
        <v>14745</v>
      </c>
      <c r="D2603" s="3" t="s">
        <v>7879</v>
      </c>
      <c r="E2603" s="3" t="s">
        <v>7922</v>
      </c>
      <c r="F2603" s="10" t="str">
        <f aca="false">HYPERLINK("https://www.inaturalist.org/people/mistletoe_0330","mistletoe_0330")</f>
        <v>mistletoe_0330</v>
      </c>
      <c r="G2603" s="9" t="s">
        <v>13</v>
      </c>
      <c r="H2603" s="9" t="s">
        <v>14746</v>
      </c>
    </row>
    <row r="2604" customFormat="false" ht="15.75" hidden="false" customHeight="false" outlineLevel="0" collapsed="false">
      <c r="B2604" s="7" t="n">
        <v>46280</v>
      </c>
      <c r="C2604" s="3" t="s">
        <v>14747</v>
      </c>
      <c r="D2604" s="3" t="s">
        <v>7879</v>
      </c>
      <c r="E2604" s="3" t="s">
        <v>14748</v>
      </c>
      <c r="F2604" s="10" t="str">
        <f aca="false">HYPERLINK("https://www.inaturalist.org/people/valentin_peguiron","valentin_peguiron")</f>
        <v>valentin_peguiron</v>
      </c>
      <c r="G2604" s="9" t="s">
        <v>13</v>
      </c>
      <c r="H2604" s="9" t="s">
        <v>14749</v>
      </c>
    </row>
    <row r="2605" customFormat="false" ht="15.75" hidden="false" customHeight="false" outlineLevel="0" collapsed="false">
      <c r="B2605" s="7" t="n">
        <v>46280</v>
      </c>
      <c r="C2605" s="3" t="s">
        <v>14750</v>
      </c>
      <c r="D2605" s="3" t="s">
        <v>7879</v>
      </c>
      <c r="E2605" s="3" t="s">
        <v>8018</v>
      </c>
      <c r="F2605" s="10" t="str">
        <f aca="false">HYPERLINK("https://www.inaturalist.org/people/snakelovingperso","snakelovingperso")</f>
        <v>snakelovingperso</v>
      </c>
      <c r="G2605" s="9" t="s">
        <v>13</v>
      </c>
      <c r="H2605" s="9" t="s">
        <v>14751</v>
      </c>
    </row>
    <row r="2606" customFormat="false" ht="15.75" hidden="false" customHeight="false" outlineLevel="0" collapsed="false">
      <c r="B2606" s="7" t="n">
        <v>46280</v>
      </c>
      <c r="C2606" s="3" t="s">
        <v>14752</v>
      </c>
      <c r="D2606" s="3" t="s">
        <v>7879</v>
      </c>
      <c r="E2606" s="3" t="s">
        <v>8348</v>
      </c>
      <c r="F2606" s="10" t="str">
        <f aca="false">HYPERLINK("https://www.inaturalist.org/people/jimjimjim","jimjimjim")</f>
        <v>jimjimjim</v>
      </c>
      <c r="G2606" s="9" t="s">
        <v>13</v>
      </c>
      <c r="H2606" s="9" t="s">
        <v>14753</v>
      </c>
    </row>
    <row r="2607" customFormat="false" ht="15.75" hidden="false" customHeight="false" outlineLevel="0" collapsed="false">
      <c r="B2607" s="7" t="n">
        <v>46280</v>
      </c>
      <c r="C2607" s="3" t="s">
        <v>14754</v>
      </c>
      <c r="D2607" s="3" t="s">
        <v>7879</v>
      </c>
      <c r="E2607" s="3" t="s">
        <v>8165</v>
      </c>
      <c r="F2607" s="10" t="str">
        <f aca="false">HYPERLINK("https://www.inaturalist.org/people/aleksey_serb","aleksey_serb")</f>
        <v>aleksey_serb</v>
      </c>
      <c r="G2607" s="9" t="s">
        <v>13</v>
      </c>
      <c r="H2607" s="9" t="s">
        <v>14755</v>
      </c>
    </row>
    <row r="2608" customFormat="false" ht="15.75" hidden="false" customHeight="false" outlineLevel="0" collapsed="false">
      <c r="B2608" s="7" t="n">
        <v>46280</v>
      </c>
      <c r="C2608" s="3" t="s">
        <v>14756</v>
      </c>
      <c r="D2608" s="3" t="s">
        <v>7879</v>
      </c>
      <c r="E2608" s="3" t="s">
        <v>14757</v>
      </c>
      <c r="F2608" s="10" t="str">
        <f aca="false">HYPERLINK("https://www.inaturalist.org/people/biottero","biottero")</f>
        <v>biottero</v>
      </c>
      <c r="G2608" s="9" t="s">
        <v>13</v>
      </c>
      <c r="H2608" s="9" t="s">
        <v>14758</v>
      </c>
    </row>
    <row r="2609" customFormat="false" ht="15.75" hidden="false" customHeight="false" outlineLevel="0" collapsed="false">
      <c r="B2609" s="7" t="n">
        <v>46280</v>
      </c>
      <c r="C2609" s="3" t="s">
        <v>14759</v>
      </c>
      <c r="D2609" s="3" t="s">
        <v>7879</v>
      </c>
      <c r="E2609" s="3" t="s">
        <v>8177</v>
      </c>
      <c r="F2609" s="10" t="str">
        <f aca="false">HYPERLINK("https://www.inaturalist.org/people/birderryan","birderryan")</f>
        <v>birderryan</v>
      </c>
      <c r="G2609" s="9" t="s">
        <v>13</v>
      </c>
      <c r="H2609" s="9" t="s">
        <v>14760</v>
      </c>
    </row>
    <row r="2610" customFormat="false" ht="15.75" hidden="false" customHeight="false" outlineLevel="0" collapsed="false">
      <c r="B2610" s="7" t="n">
        <v>46280</v>
      </c>
      <c r="C2610" s="3" t="s">
        <v>14761</v>
      </c>
      <c r="D2610" s="3" t="s">
        <v>7879</v>
      </c>
      <c r="E2610" s="3" t="s">
        <v>7985</v>
      </c>
      <c r="F2610" s="10" t="str">
        <f aca="false">HYPERLINK("https://www.inaturalist.org/people/birderryan","birderryan")</f>
        <v>birderryan</v>
      </c>
      <c r="G2610" s="9" t="s">
        <v>13</v>
      </c>
      <c r="H2610" s="9" t="s">
        <v>14762</v>
      </c>
    </row>
    <row r="2611" customFormat="false" ht="15.75" hidden="false" customHeight="false" outlineLevel="0" collapsed="false">
      <c r="B2611" s="7" t="n">
        <v>46280</v>
      </c>
      <c r="C2611" s="3" t="s">
        <v>14763</v>
      </c>
      <c r="D2611" s="3" t="s">
        <v>7879</v>
      </c>
      <c r="E2611" s="3" t="s">
        <v>7982</v>
      </c>
      <c r="F2611" s="10" t="str">
        <f aca="false">HYPERLINK("https://www.inaturalist.org/people/birderryan","birderryan")</f>
        <v>birderryan</v>
      </c>
      <c r="G2611" s="9" t="s">
        <v>13</v>
      </c>
      <c r="H2611" s="9" t="s">
        <v>14764</v>
      </c>
    </row>
    <row r="2612" customFormat="false" ht="15.75" hidden="false" customHeight="false" outlineLevel="0" collapsed="false">
      <c r="B2612" s="7" t="n">
        <v>46280</v>
      </c>
      <c r="C2612" s="3" t="s">
        <v>14765</v>
      </c>
      <c r="D2612" s="3" t="s">
        <v>7879</v>
      </c>
      <c r="E2612" s="3" t="s">
        <v>8105</v>
      </c>
      <c r="F2612" s="10" t="str">
        <f aca="false">HYPERLINK("https://www.inaturalist.org/people/birderryan","birderryan")</f>
        <v>birderryan</v>
      </c>
      <c r="G2612" s="9" t="s">
        <v>13</v>
      </c>
      <c r="H2612" s="9" t="s">
        <v>14766</v>
      </c>
    </row>
    <row r="2613" customFormat="false" ht="15.75" hidden="false" customHeight="false" outlineLevel="0" collapsed="false">
      <c r="B2613" s="7" t="n">
        <v>46280</v>
      </c>
      <c r="C2613" s="3" t="s">
        <v>14767</v>
      </c>
      <c r="D2613" s="3" t="s">
        <v>7879</v>
      </c>
      <c r="E2613" s="3" t="s">
        <v>14768</v>
      </c>
      <c r="F2613" s="10" t="str">
        <f aca="false">HYPERLINK("https://www.inaturalist.org/people/birderryan","birderryan")</f>
        <v>birderryan</v>
      </c>
      <c r="G2613" s="9" t="s">
        <v>13</v>
      </c>
      <c r="H2613" s="9" t="s">
        <v>14769</v>
      </c>
    </row>
    <row r="2614" customFormat="false" ht="15.75" hidden="false" customHeight="false" outlineLevel="0" collapsed="false">
      <c r="B2614" s="7" t="n">
        <v>46280</v>
      </c>
      <c r="C2614" s="3" t="s">
        <v>14770</v>
      </c>
      <c r="D2614" s="3" t="s">
        <v>7879</v>
      </c>
      <c r="E2614" s="3" t="s">
        <v>8342</v>
      </c>
      <c r="F2614" s="10" t="str">
        <f aca="false">HYPERLINK("https://www.inaturalist.org/people/funky_commelina","funky_commelina")</f>
        <v>funky_commelina</v>
      </c>
      <c r="G2614" s="9" t="s">
        <v>13</v>
      </c>
      <c r="H2614" s="9" t="s">
        <v>14771</v>
      </c>
    </row>
    <row r="2615" customFormat="false" ht="15.75" hidden="false" customHeight="false" outlineLevel="0" collapsed="false">
      <c r="B2615" s="7" t="n">
        <v>46280</v>
      </c>
      <c r="C2615" s="3" t="s">
        <v>14772</v>
      </c>
      <c r="D2615" s="3" t="s">
        <v>7879</v>
      </c>
      <c r="E2615" s="3" t="s">
        <v>14773</v>
      </c>
      <c r="F2615" s="10" t="str">
        <f aca="false">HYPERLINK("https://www.inaturalist.org/people/nschneid","nschneid")</f>
        <v>nschneid</v>
      </c>
      <c r="G2615" s="9" t="s">
        <v>13</v>
      </c>
      <c r="H2615" s="9" t="s">
        <v>14774</v>
      </c>
    </row>
    <row r="2616" customFormat="false" ht="15.75" hidden="false" customHeight="false" outlineLevel="0" collapsed="false">
      <c r="B2616" s="7" t="n">
        <v>46280</v>
      </c>
      <c r="C2616" s="3" t="s">
        <v>14775</v>
      </c>
      <c r="D2616" s="3" t="s">
        <v>7879</v>
      </c>
      <c r="E2616" s="3" t="s">
        <v>8336</v>
      </c>
      <c r="F2616" s="10" t="str">
        <f aca="false">HYPERLINK("https://www.inaturalist.org/people/mistletoe_0330","mistletoe_0330")</f>
        <v>mistletoe_0330</v>
      </c>
      <c r="G2616" s="9" t="s">
        <v>13</v>
      </c>
      <c r="H2616" s="9" t="s">
        <v>14776</v>
      </c>
    </row>
    <row r="2617" customFormat="false" ht="15.75" hidden="false" customHeight="false" outlineLevel="0" collapsed="false">
      <c r="B2617" s="7" t="n">
        <v>46280</v>
      </c>
      <c r="C2617" s="3" t="s">
        <v>14777</v>
      </c>
      <c r="D2617" s="3" t="s">
        <v>7879</v>
      </c>
      <c r="E2617" s="3" t="s">
        <v>8273</v>
      </c>
      <c r="F2617" s="10" t="str">
        <f aca="false">HYPERLINK("https://www.inaturalist.org/people/mistletoe_0330","mistletoe_0330")</f>
        <v>mistletoe_0330</v>
      </c>
      <c r="G2617" s="9" t="s">
        <v>13</v>
      </c>
      <c r="H2617" s="9" t="s">
        <v>14778</v>
      </c>
    </row>
    <row r="2618" customFormat="false" ht="15.75" hidden="false" customHeight="false" outlineLevel="0" collapsed="false">
      <c r="B2618" s="7" t="n">
        <v>46280</v>
      </c>
      <c r="C2618" s="3" t="s">
        <v>14779</v>
      </c>
      <c r="D2618" s="3" t="s">
        <v>7879</v>
      </c>
      <c r="E2618" s="3" t="s">
        <v>7901</v>
      </c>
      <c r="F2618" s="10" t="str">
        <f aca="false">HYPERLINK("https://www.inaturalist.org/people/spidersophie","spidersophie")</f>
        <v>spidersophie</v>
      </c>
      <c r="G2618" s="9" t="s">
        <v>13</v>
      </c>
      <c r="H2618" s="9" t="s">
        <v>14780</v>
      </c>
    </row>
    <row r="2619" customFormat="false" ht="15.75" hidden="false" customHeight="false" outlineLevel="0" collapsed="false">
      <c r="B2619" s="7" t="n">
        <v>46280</v>
      </c>
      <c r="C2619" s="3" t="s">
        <v>14781</v>
      </c>
      <c r="D2619" s="3" t="s">
        <v>7879</v>
      </c>
      <c r="E2619" s="3" t="s">
        <v>14782</v>
      </c>
      <c r="F2619" s="10" t="str">
        <f aca="false">HYPERLINK("https://www.inaturalist.org/people/primno","primno")</f>
        <v>primno</v>
      </c>
      <c r="G2619" s="9" t="s">
        <v>13</v>
      </c>
      <c r="H2619" s="9" t="s">
        <v>14783</v>
      </c>
    </row>
    <row r="2620" customFormat="false" ht="15.75" hidden="false" customHeight="false" outlineLevel="0" collapsed="false">
      <c r="B2620" s="7" t="n">
        <v>46280</v>
      </c>
      <c r="C2620" s="3" t="s">
        <v>14784</v>
      </c>
      <c r="D2620" s="3" t="s">
        <v>7879</v>
      </c>
      <c r="E2620" s="3" t="s">
        <v>8437</v>
      </c>
      <c r="F2620" s="10" t="str">
        <f aca="false">HYPERLINK("https://www.inaturalist.org/people/primno","primno")</f>
        <v>primno</v>
      </c>
      <c r="G2620" s="9" t="s">
        <v>13</v>
      </c>
      <c r="H2620" s="9" t="s">
        <v>14785</v>
      </c>
    </row>
    <row r="2621" customFormat="false" ht="15.75" hidden="false" customHeight="false" outlineLevel="0" collapsed="false">
      <c r="B2621" s="7" t="n">
        <v>46280</v>
      </c>
      <c r="C2621" s="3" t="s">
        <v>14786</v>
      </c>
      <c r="D2621" s="3" t="s">
        <v>7879</v>
      </c>
      <c r="E2621" s="3" t="s">
        <v>14787</v>
      </c>
      <c r="F2621" s="10" t="str">
        <f aca="false">HYPERLINK("https://www.inaturalist.org/people/jfmantis","jfmantis")</f>
        <v>jfmantis</v>
      </c>
      <c r="G2621" s="9" t="s">
        <v>13</v>
      </c>
      <c r="H2621" s="9" t="s">
        <v>14788</v>
      </c>
    </row>
    <row r="2622" customFormat="false" ht="15.75" hidden="false" customHeight="false" outlineLevel="0" collapsed="false">
      <c r="B2622" s="7" t="n">
        <v>46280</v>
      </c>
      <c r="C2622" s="3" t="s">
        <v>14789</v>
      </c>
      <c r="D2622" s="3" t="s">
        <v>7879</v>
      </c>
      <c r="E2622" s="3" t="s">
        <v>14790</v>
      </c>
      <c r="F2622" s="10" t="str">
        <f aca="false">HYPERLINK("https://www.inaturalist.org/people/antonioleala","antonioleala")</f>
        <v>antonioleala</v>
      </c>
      <c r="G2622" s="9" t="s">
        <v>13</v>
      </c>
      <c r="H2622" s="9" t="s">
        <v>14791</v>
      </c>
    </row>
    <row r="2623" customFormat="false" ht="15.75" hidden="false" customHeight="false" outlineLevel="0" collapsed="false">
      <c r="B2623" s="7" t="n">
        <v>46280</v>
      </c>
      <c r="C2623" s="3" t="s">
        <v>14792</v>
      </c>
      <c r="D2623" s="3" t="s">
        <v>7879</v>
      </c>
      <c r="E2623" s="3" t="s">
        <v>14793</v>
      </c>
      <c r="F2623" s="10" t="str">
        <f aca="false">HYPERLINK("https://www.inaturalist.org/people/nextcontinenttours","nextcontinenttours")</f>
        <v>nextcontinenttours</v>
      </c>
      <c r="G2623" s="9" t="s">
        <v>13</v>
      </c>
      <c r="H2623" s="9" t="s">
        <v>14794</v>
      </c>
    </row>
    <row r="2624" customFormat="false" ht="15.75" hidden="false" customHeight="false" outlineLevel="0" collapsed="false">
      <c r="B2624" s="7" t="n">
        <v>46280</v>
      </c>
      <c r="C2624" s="3" t="s">
        <v>14795</v>
      </c>
      <c r="D2624" s="3" t="s">
        <v>7879</v>
      </c>
      <c r="E2624" s="3" t="s">
        <v>8363</v>
      </c>
      <c r="F2624" s="10" t="str">
        <f aca="false">HYPERLINK("https://www.inaturalist.org/people/aelucier","aelucier")</f>
        <v>aelucier</v>
      </c>
      <c r="G2624" s="9" t="s">
        <v>13</v>
      </c>
      <c r="H2624" s="9" t="s">
        <v>14796</v>
      </c>
    </row>
    <row r="2625" customFormat="false" ht="15.75" hidden="false" customHeight="false" outlineLevel="0" collapsed="false">
      <c r="B2625" s="7" t="n">
        <v>46280</v>
      </c>
      <c r="C2625" s="3" t="s">
        <v>14797</v>
      </c>
      <c r="D2625" s="3" t="s">
        <v>7879</v>
      </c>
      <c r="E2625" s="3" t="s">
        <v>7940</v>
      </c>
      <c r="F2625" s="10" t="str">
        <f aca="false">HYPERLINK("https://www.inaturalist.org/people/ryanteoh","ryanteoh")</f>
        <v>ryanteoh</v>
      </c>
      <c r="G2625" s="9" t="s">
        <v>13</v>
      </c>
      <c r="H2625" s="9" t="s">
        <v>14798</v>
      </c>
    </row>
    <row r="2626" customFormat="false" ht="15.75" hidden="false" customHeight="false" outlineLevel="0" collapsed="false">
      <c r="B2626" s="7" t="n">
        <v>46280</v>
      </c>
      <c r="C2626" s="3" t="s">
        <v>14799</v>
      </c>
      <c r="D2626" s="3" t="s">
        <v>7879</v>
      </c>
      <c r="E2626" s="3" t="s">
        <v>8156</v>
      </c>
      <c r="F2626" s="10" t="str">
        <f aca="false">HYPERLINK("https://www.inaturalist.org/people/giodyjoy","giodyjoy")</f>
        <v>giodyjoy</v>
      </c>
      <c r="G2626" s="9" t="s">
        <v>13</v>
      </c>
      <c r="H2626" s="9" t="s">
        <v>14800</v>
      </c>
    </row>
    <row r="2627" customFormat="false" ht="15.75" hidden="false" customHeight="false" outlineLevel="0" collapsed="false">
      <c r="B2627" s="7" t="n">
        <v>46280</v>
      </c>
      <c r="C2627" s="3" t="s">
        <v>14801</v>
      </c>
      <c r="D2627" s="3" t="s">
        <v>7879</v>
      </c>
      <c r="E2627" s="3" t="s">
        <v>14802</v>
      </c>
      <c r="F2627" s="10" t="str">
        <f aca="false">HYPERLINK("https://www.inaturalist.org/people/gstclair","gstclair")</f>
        <v>gstclair</v>
      </c>
      <c r="G2627" s="9" t="s">
        <v>13</v>
      </c>
      <c r="H2627" s="9" t="s">
        <v>14803</v>
      </c>
    </row>
    <row r="2628" customFormat="false" ht="15.75" hidden="false" customHeight="false" outlineLevel="0" collapsed="false">
      <c r="B2628" s="7" t="n">
        <v>46280</v>
      </c>
      <c r="C2628" s="3" t="s">
        <v>14804</v>
      </c>
      <c r="D2628" s="3" t="s">
        <v>7879</v>
      </c>
      <c r="E2628" s="3" t="s">
        <v>8057</v>
      </c>
      <c r="F2628" s="10" t="str">
        <f aca="false">HYPERLINK("https://www.inaturalist.org/people/psalter-b","psalter-b")</f>
        <v>psalter-b</v>
      </c>
      <c r="G2628" s="9" t="s">
        <v>13</v>
      </c>
      <c r="H2628" s="9" t="s">
        <v>14805</v>
      </c>
    </row>
    <row r="2629" customFormat="false" ht="15.75" hidden="false" customHeight="false" outlineLevel="0" collapsed="false">
      <c r="B2629" s="7" t="n">
        <v>46280</v>
      </c>
      <c r="C2629" s="3" t="s">
        <v>14806</v>
      </c>
      <c r="D2629" s="3" t="s">
        <v>7879</v>
      </c>
      <c r="E2629" s="3" t="s">
        <v>8396</v>
      </c>
      <c r="F2629" s="10" t="str">
        <f aca="false">HYPERLINK("https://www.inaturalist.org/people/diomedea_exulans_li","diomedea_exulans_li")</f>
        <v>diomedea_exulans_li</v>
      </c>
      <c r="G2629" s="9" t="s">
        <v>13</v>
      </c>
      <c r="H2629" s="9" t="s">
        <v>14807</v>
      </c>
    </row>
    <row r="2630" customFormat="false" ht="15.75" hidden="false" customHeight="false" outlineLevel="0" collapsed="false">
      <c r="B2630" s="7" t="n">
        <v>46280</v>
      </c>
      <c r="C2630" s="3" t="s">
        <v>14808</v>
      </c>
      <c r="D2630" s="3" t="s">
        <v>7879</v>
      </c>
      <c r="E2630" s="3" t="s">
        <v>8042</v>
      </c>
      <c r="F2630" s="10" t="str">
        <f aca="false">HYPERLINK("https://www.inaturalist.org/people/chenzc","chenzc")</f>
        <v>chenzc</v>
      </c>
      <c r="G2630" s="9" t="s">
        <v>13</v>
      </c>
      <c r="H2630" s="9" t="s">
        <v>14809</v>
      </c>
    </row>
    <row r="2631" customFormat="false" ht="15.75" hidden="false" customHeight="false" outlineLevel="0" collapsed="false">
      <c r="B2631" s="7" t="n">
        <v>46280</v>
      </c>
      <c r="C2631" s="3" t="s">
        <v>14810</v>
      </c>
      <c r="D2631" s="3" t="s">
        <v>7879</v>
      </c>
      <c r="E2631" s="3" t="s">
        <v>8279</v>
      </c>
      <c r="F2631" s="10" t="str">
        <f aca="false">HYPERLINK("https://www.inaturalist.org/people/lordsuperbeast","lordsuperbeast")</f>
        <v>lordsuperbeast</v>
      </c>
      <c r="G2631" s="9" t="s">
        <v>13</v>
      </c>
      <c r="H2631" s="9" t="s">
        <v>14811</v>
      </c>
    </row>
    <row r="2632" customFormat="false" ht="15.75" hidden="false" customHeight="false" outlineLevel="0" collapsed="false">
      <c r="B2632" s="7" t="n">
        <v>46280</v>
      </c>
      <c r="C2632" s="3" t="s">
        <v>14812</v>
      </c>
      <c r="D2632" s="3" t="s">
        <v>7879</v>
      </c>
      <c r="E2632" s="3" t="s">
        <v>14813</v>
      </c>
      <c r="F2632" s="10" t="str">
        <f aca="false">HYPERLINK("https://www.inaturalist.org/people/abibee","abibee")</f>
        <v>abibee</v>
      </c>
      <c r="G2632" s="9" t="s">
        <v>13</v>
      </c>
      <c r="H2632" s="9" t="s">
        <v>14814</v>
      </c>
    </row>
    <row r="2633" customFormat="false" ht="15.75" hidden="false" customHeight="false" outlineLevel="0" collapsed="false">
      <c r="B2633" s="7" t="n">
        <v>46280</v>
      </c>
      <c r="C2633" s="3" t="s">
        <v>14815</v>
      </c>
      <c r="D2633" s="3" t="s">
        <v>7879</v>
      </c>
      <c r="E2633" s="3" t="s">
        <v>14816</v>
      </c>
      <c r="F2633" s="10" t="str">
        <f aca="false">HYPERLINK("https://www.inaturalist.org/people/dilan28","dilan28")</f>
        <v>dilan28</v>
      </c>
      <c r="G2633" s="9" t="s">
        <v>13</v>
      </c>
      <c r="H2633" s="9" t="s">
        <v>14817</v>
      </c>
    </row>
    <row r="2634" customFormat="false" ht="15.75" hidden="false" customHeight="false" outlineLevel="0" collapsed="false">
      <c r="B2634" s="7" t="n">
        <v>46280</v>
      </c>
      <c r="C2634" s="3" t="s">
        <v>14818</v>
      </c>
      <c r="D2634" s="3" t="s">
        <v>7879</v>
      </c>
      <c r="E2634" s="3" t="s">
        <v>14819</v>
      </c>
      <c r="F2634" s="10" t="str">
        <f aca="false">HYPERLINK("https://www.inaturalist.org/people/diomedea_exulans_li","diomedea_exulans_li")</f>
        <v>diomedea_exulans_li</v>
      </c>
      <c r="G2634" s="9" t="s">
        <v>13</v>
      </c>
      <c r="H2634" s="9" t="s">
        <v>14820</v>
      </c>
    </row>
    <row r="2635" customFormat="false" ht="15.75" hidden="false" customHeight="false" outlineLevel="0" collapsed="false">
      <c r="B2635" s="7" t="n">
        <v>46280</v>
      </c>
      <c r="C2635" s="3" t="s">
        <v>14821</v>
      </c>
      <c r="D2635" s="3" t="s">
        <v>7879</v>
      </c>
      <c r="E2635" s="3" t="s">
        <v>14822</v>
      </c>
      <c r="F2635" s="10" t="str">
        <f aca="false">HYPERLINK("https://www.inaturalist.org/people/gyrinophilusjohnny","gyrinophilusjohnny")</f>
        <v>gyrinophilusjohnny</v>
      </c>
      <c r="G2635" s="9" t="s">
        <v>13</v>
      </c>
      <c r="H2635" s="9" t="s">
        <v>14823</v>
      </c>
    </row>
    <row r="2636" customFormat="false" ht="15.75" hidden="false" customHeight="false" outlineLevel="0" collapsed="false">
      <c r="B2636" s="7" t="n">
        <v>46280</v>
      </c>
      <c r="C2636" s="3" t="s">
        <v>14824</v>
      </c>
      <c r="D2636" s="3" t="s">
        <v>7879</v>
      </c>
      <c r="E2636" s="3" t="s">
        <v>8171</v>
      </c>
      <c r="F2636" s="10" t="str">
        <f aca="false">HYPERLINK("https://www.inaturalist.org/people/wildbutmore","wildbutmore")</f>
        <v>wildbutmore</v>
      </c>
      <c r="G2636" s="9" t="s">
        <v>13</v>
      </c>
      <c r="H2636" s="9" t="s">
        <v>14825</v>
      </c>
    </row>
    <row r="2637" customFormat="false" ht="15.75" hidden="false" customHeight="false" outlineLevel="0" collapsed="false">
      <c r="B2637" s="7" t="n">
        <v>46280</v>
      </c>
      <c r="C2637" s="3" t="s">
        <v>14826</v>
      </c>
      <c r="D2637" s="3" t="s">
        <v>7879</v>
      </c>
      <c r="E2637" s="3" t="s">
        <v>8369</v>
      </c>
      <c r="F2637" s="10" t="str">
        <f aca="false">HYPERLINK("https://www.inaturalist.org/people/salamamber","salamamber")</f>
        <v>salamamber</v>
      </c>
      <c r="G2637" s="9" t="s">
        <v>13</v>
      </c>
      <c r="H2637" s="9" t="s">
        <v>14827</v>
      </c>
    </row>
    <row r="2638" customFormat="false" ht="15.75" hidden="false" customHeight="false" outlineLevel="0" collapsed="false">
      <c r="B2638" s="7" t="n">
        <v>46280</v>
      </c>
      <c r="C2638" s="3" t="s">
        <v>14828</v>
      </c>
      <c r="D2638" s="3" t="s">
        <v>7879</v>
      </c>
      <c r="E2638" s="3" t="s">
        <v>14829</v>
      </c>
      <c r="F2638" s="10" t="str">
        <f aca="false">HYPERLINK("https://www.inaturalist.org/people/salamamber","salamamber")</f>
        <v>salamamber</v>
      </c>
      <c r="G2638" s="9" t="s">
        <v>13</v>
      </c>
      <c r="H2638" s="9" t="s">
        <v>14830</v>
      </c>
    </row>
    <row r="2639" customFormat="false" ht="15.75" hidden="false" customHeight="false" outlineLevel="0" collapsed="false">
      <c r="B2639" s="7" t="n">
        <v>46280</v>
      </c>
      <c r="C2639" s="3" t="s">
        <v>14831</v>
      </c>
      <c r="D2639" s="3" t="s">
        <v>7879</v>
      </c>
      <c r="E2639" s="3" t="s">
        <v>14832</v>
      </c>
      <c r="F2639" s="10" t="str">
        <f aca="false">HYPERLINK("https://www.inaturalist.org/people/marcoarruda","marcoarruda")</f>
        <v>marcoarruda</v>
      </c>
      <c r="G2639" s="9" t="s">
        <v>13</v>
      </c>
      <c r="H2639" s="9" t="s">
        <v>14833</v>
      </c>
    </row>
    <row r="2640" customFormat="false" ht="15.75" hidden="false" customHeight="false" outlineLevel="0" collapsed="false">
      <c r="B2640" s="7" t="n">
        <v>46280</v>
      </c>
      <c r="C2640" s="3" t="s">
        <v>14834</v>
      </c>
      <c r="D2640" s="3" t="s">
        <v>7879</v>
      </c>
      <c r="E2640" s="3" t="s">
        <v>8108</v>
      </c>
      <c r="F2640" s="10" t="str">
        <f aca="false">HYPERLINK("https://www.inaturalist.org/people/isabellesaruss","isabellesaruss")</f>
        <v>isabellesaruss</v>
      </c>
      <c r="G2640" s="9" t="s">
        <v>13</v>
      </c>
      <c r="H2640" s="9" t="s">
        <v>14835</v>
      </c>
    </row>
    <row r="2641" customFormat="false" ht="15.75" hidden="false" customHeight="false" outlineLevel="0" collapsed="false">
      <c r="B2641" s="7" t="n">
        <v>46280</v>
      </c>
      <c r="C2641" s="3" t="s">
        <v>14836</v>
      </c>
      <c r="D2641" s="3" t="s">
        <v>7879</v>
      </c>
      <c r="E2641" s="3" t="s">
        <v>8060</v>
      </c>
      <c r="F2641" s="10" t="str">
        <f aca="false">HYPERLINK("https://www.inaturalist.org/people/ekaterina96700","ekaterina96700")</f>
        <v>ekaterina96700</v>
      </c>
      <c r="G2641" s="9" t="s">
        <v>13</v>
      </c>
      <c r="H2641" s="9" t="s">
        <v>14837</v>
      </c>
    </row>
    <row r="2642" customFormat="false" ht="15.75" hidden="false" customHeight="false" outlineLevel="0" collapsed="false">
      <c r="B2642" s="7" t="n">
        <v>46280</v>
      </c>
      <c r="C2642" s="3" t="s">
        <v>14838</v>
      </c>
      <c r="D2642" s="3" t="s">
        <v>7879</v>
      </c>
      <c r="E2642" s="3" t="s">
        <v>8090</v>
      </c>
      <c r="F2642" s="10" t="str">
        <f aca="false">HYPERLINK("https://www.inaturalist.org/people/gvnatives","gvnatives")</f>
        <v>gvnatives</v>
      </c>
      <c r="G2642" s="9" t="s">
        <v>13</v>
      </c>
      <c r="H2642" s="9" t="s">
        <v>14839</v>
      </c>
    </row>
    <row r="2643" customFormat="false" ht="15.75" hidden="false" customHeight="false" outlineLevel="0" collapsed="false">
      <c r="B2643" s="7" t="n">
        <v>46280</v>
      </c>
      <c r="C2643" s="3" t="s">
        <v>14840</v>
      </c>
      <c r="D2643" s="3" t="s">
        <v>7879</v>
      </c>
      <c r="E2643" s="3" t="s">
        <v>8461</v>
      </c>
      <c r="F2643" s="10" t="str">
        <f aca="false">HYPERLINK("https://www.inaturalist.org/people/c8per","c8per")</f>
        <v>c8per</v>
      </c>
      <c r="G2643" s="9" t="s">
        <v>13</v>
      </c>
      <c r="H2643" s="9" t="s">
        <v>14841</v>
      </c>
    </row>
    <row r="2644" customFormat="false" ht="15.75" hidden="false" customHeight="false" outlineLevel="0" collapsed="false">
      <c r="B2644" s="7" t="n">
        <v>46280</v>
      </c>
      <c r="C2644" s="3" t="s">
        <v>14842</v>
      </c>
      <c r="D2644" s="3" t="s">
        <v>7879</v>
      </c>
      <c r="E2644" s="3" t="s">
        <v>8318</v>
      </c>
      <c r="F2644" s="10" t="str">
        <f aca="false">HYPERLINK("https://www.inaturalist.org/people/braydophyte","braydophyte")</f>
        <v>braydophyte</v>
      </c>
      <c r="G2644" s="9" t="s">
        <v>13</v>
      </c>
      <c r="H2644" s="9" t="s">
        <v>14843</v>
      </c>
    </row>
    <row r="2645" customFormat="false" ht="15.75" hidden="false" customHeight="false" outlineLevel="0" collapsed="false">
      <c r="B2645" s="7" t="n">
        <v>46280</v>
      </c>
      <c r="C2645" s="3" t="s">
        <v>14844</v>
      </c>
      <c r="D2645" s="3" t="s">
        <v>7879</v>
      </c>
      <c r="E2645" s="3" t="s">
        <v>14845</v>
      </c>
      <c r="F2645" s="10" t="str">
        <f aca="false">HYPERLINK("https://www.inaturalist.org/people/tysmith","tysmith")</f>
        <v>tysmith</v>
      </c>
      <c r="G2645" s="9" t="s">
        <v>13</v>
      </c>
      <c r="H2645" s="9" t="s">
        <v>14846</v>
      </c>
    </row>
    <row r="2646" customFormat="false" ht="15.75" hidden="false" customHeight="false" outlineLevel="0" collapsed="false">
      <c r="B2646" s="7" t="n">
        <v>46280</v>
      </c>
      <c r="C2646" s="3" t="s">
        <v>14847</v>
      </c>
      <c r="D2646" s="3" t="s">
        <v>7879</v>
      </c>
      <c r="E2646" s="3" t="s">
        <v>14848</v>
      </c>
      <c r="F2646" s="10" t="str">
        <f aca="false">HYPERLINK("https://www.inaturalist.org/people/tboves","tboves")</f>
        <v>tboves</v>
      </c>
      <c r="G2646" s="9" t="s">
        <v>13</v>
      </c>
      <c r="H2646" s="9" t="s">
        <v>14849</v>
      </c>
    </row>
    <row r="2647" customFormat="false" ht="15.75" hidden="false" customHeight="false" outlineLevel="0" collapsed="false">
      <c r="B2647" s="7" t="n">
        <v>46280</v>
      </c>
      <c r="C2647" s="3" t="s">
        <v>14850</v>
      </c>
      <c r="D2647" s="3" t="s">
        <v>7879</v>
      </c>
      <c r="E2647" s="3" t="s">
        <v>14851</v>
      </c>
      <c r="F2647" s="10" t="str">
        <f aca="false">HYPERLINK("https://www.inaturalist.org/people/macklerath","macklerath")</f>
        <v>macklerath</v>
      </c>
      <c r="G2647" s="9" t="s">
        <v>13</v>
      </c>
      <c r="H2647" s="9" t="s">
        <v>14852</v>
      </c>
    </row>
    <row r="2648" customFormat="false" ht="15.75" hidden="false" customHeight="false" outlineLevel="0" collapsed="false">
      <c r="B2648" s="7" t="n">
        <v>46280</v>
      </c>
      <c r="C2648" s="3" t="s">
        <v>14853</v>
      </c>
      <c r="D2648" s="3" t="s">
        <v>7879</v>
      </c>
      <c r="E2648" s="3" t="s">
        <v>8399</v>
      </c>
      <c r="F2648" s="10" t="str">
        <f aca="false">HYPERLINK("https://www.inaturalist.org/people/sethshively","sethshively")</f>
        <v>sethshively</v>
      </c>
      <c r="G2648" s="9" t="s">
        <v>13</v>
      </c>
      <c r="H2648" s="9" t="s">
        <v>14854</v>
      </c>
    </row>
    <row r="2649" customFormat="false" ht="15.75" hidden="false" customHeight="false" outlineLevel="0" collapsed="false">
      <c r="B2649" s="7" t="n">
        <v>46280</v>
      </c>
      <c r="C2649" s="3" t="s">
        <v>14855</v>
      </c>
      <c r="D2649" s="3" t="s">
        <v>7879</v>
      </c>
      <c r="E2649" s="3" t="s">
        <v>14856</v>
      </c>
      <c r="F2649" s="10" t="str">
        <f aca="false">HYPERLINK("https://www.inaturalist.org/people/diomedea_exulans_li","diomedea_exulans_li")</f>
        <v>diomedea_exulans_li</v>
      </c>
      <c r="G2649" s="9" t="s">
        <v>13</v>
      </c>
      <c r="H2649" s="9" t="s">
        <v>14857</v>
      </c>
    </row>
    <row r="2650" customFormat="false" ht="15.75" hidden="false" customHeight="false" outlineLevel="0" collapsed="false">
      <c r="B2650" s="7" t="n">
        <v>46280</v>
      </c>
      <c r="C2650" s="3" t="s">
        <v>14858</v>
      </c>
      <c r="D2650" s="3" t="s">
        <v>7879</v>
      </c>
      <c r="E2650" s="3" t="s">
        <v>14859</v>
      </c>
      <c r="F2650" s="10" t="str">
        <f aca="false">HYPERLINK("https://www.inaturalist.org/people/jakepeterson23","jakepeterson23")</f>
        <v>jakepeterson23</v>
      </c>
      <c r="G2650" s="9" t="s">
        <v>13</v>
      </c>
      <c r="H2650" s="9" t="s">
        <v>14860</v>
      </c>
    </row>
    <row r="2651" customFormat="false" ht="15.75" hidden="false" customHeight="false" outlineLevel="0" collapsed="false">
      <c r="B2651" s="7" t="n">
        <v>46280</v>
      </c>
      <c r="C2651" s="3" t="s">
        <v>14861</v>
      </c>
      <c r="D2651" s="3" t="s">
        <v>7879</v>
      </c>
      <c r="E2651" s="3" t="s">
        <v>8312</v>
      </c>
      <c r="F2651" s="10" t="str">
        <f aca="false">HYPERLINK("https://www.inaturalist.org/people/maria_cd","maria_cd")</f>
        <v>maria_cd</v>
      </c>
      <c r="G2651" s="9" t="s">
        <v>13</v>
      </c>
      <c r="H2651" s="9" t="s">
        <v>14862</v>
      </c>
    </row>
    <row r="2652" customFormat="false" ht="15.75" hidden="false" customHeight="false" outlineLevel="0" collapsed="false">
      <c r="B2652" s="7" t="n">
        <v>46280</v>
      </c>
      <c r="C2652" s="3" t="s">
        <v>14863</v>
      </c>
      <c r="D2652" s="3" t="s">
        <v>7879</v>
      </c>
      <c r="E2652" s="3" t="s">
        <v>14864</v>
      </c>
      <c r="F2652" s="10" t="str">
        <f aca="false">HYPERLINK("https://www.inaturalist.org/people/anita2323","anita2323")</f>
        <v>anita2323</v>
      </c>
      <c r="G2652" s="9" t="s">
        <v>13</v>
      </c>
      <c r="H2652" s="9" t="s">
        <v>14865</v>
      </c>
    </row>
    <row r="2653" customFormat="false" ht="15.75" hidden="false" customHeight="false" outlineLevel="0" collapsed="false">
      <c r="B2653" s="7" t="n">
        <v>46280</v>
      </c>
      <c r="C2653" s="3" t="s">
        <v>14866</v>
      </c>
      <c r="D2653" s="3" t="s">
        <v>7879</v>
      </c>
      <c r="E2653" s="3" t="s">
        <v>14867</v>
      </c>
      <c r="F2653" s="10" t="str">
        <f aca="false">HYPERLINK("https://www.inaturalist.org/people/mapa13","mapa13")</f>
        <v>mapa13</v>
      </c>
      <c r="G2653" s="9" t="s">
        <v>13</v>
      </c>
      <c r="H2653" s="9" t="s">
        <v>14868</v>
      </c>
    </row>
    <row r="2654" customFormat="false" ht="15.75" hidden="false" customHeight="false" outlineLevel="0" collapsed="false">
      <c r="B2654" s="7" t="n">
        <v>46280</v>
      </c>
      <c r="C2654" s="3" t="s">
        <v>14869</v>
      </c>
      <c r="D2654" s="3" t="s">
        <v>7879</v>
      </c>
      <c r="E2654" s="3" t="s">
        <v>14870</v>
      </c>
      <c r="F2654" s="10" t="str">
        <f aca="false">HYPERLINK("https://www.inaturalist.org/people/owennatfreak","owennatfreak")</f>
        <v>owennatfreak</v>
      </c>
      <c r="G2654" s="9" t="s">
        <v>13</v>
      </c>
      <c r="H2654" s="9" t="s">
        <v>14871</v>
      </c>
    </row>
    <row r="2655" customFormat="false" ht="15.75" hidden="false" customHeight="false" outlineLevel="0" collapsed="false">
      <c r="B2655" s="7" t="n">
        <v>46280</v>
      </c>
      <c r="C2655" s="3" t="s">
        <v>14872</v>
      </c>
      <c r="D2655" s="3" t="s">
        <v>7879</v>
      </c>
      <c r="E2655" s="3" t="s">
        <v>14873</v>
      </c>
      <c r="F2655" s="10" t="str">
        <f aca="false">HYPERLINK("https://www.inaturalist.org/people/haitongyu","haitongyu")</f>
        <v>haitongyu</v>
      </c>
      <c r="G2655" s="9" t="s">
        <v>13</v>
      </c>
      <c r="H2655" s="9" t="s">
        <v>14874</v>
      </c>
    </row>
    <row r="2656" customFormat="false" ht="15.75" hidden="false" customHeight="false" outlineLevel="0" collapsed="false">
      <c r="B2656" s="7" t="n">
        <v>46280</v>
      </c>
      <c r="C2656" s="3" t="s">
        <v>14875</v>
      </c>
      <c r="D2656" s="3" t="s">
        <v>7879</v>
      </c>
      <c r="E2656" s="3" t="s">
        <v>8135</v>
      </c>
      <c r="F2656" s="10" t="str">
        <f aca="false">HYPERLINK("https://www.inaturalist.org/people/thetexanherper1","thetexanherper1")</f>
        <v>thetexanherper1</v>
      </c>
      <c r="G2656" s="9" t="s">
        <v>13</v>
      </c>
      <c r="H2656" s="9" t="s">
        <v>14876</v>
      </c>
    </row>
    <row r="2657" customFormat="false" ht="15.75" hidden="false" customHeight="false" outlineLevel="0" collapsed="false">
      <c r="B2657" s="7" t="n">
        <v>46280</v>
      </c>
      <c r="C2657" s="3" t="s">
        <v>14877</v>
      </c>
      <c r="D2657" s="3" t="s">
        <v>7879</v>
      </c>
      <c r="E2657" s="3" t="s">
        <v>14878</v>
      </c>
      <c r="F2657" s="10" t="str">
        <f aca="false">HYPERLINK("https://www.inaturalist.org/people/cabelwildlife","cabelwildlife")</f>
        <v>cabelwildlife</v>
      </c>
      <c r="G2657" s="9" t="s">
        <v>13</v>
      </c>
      <c r="H2657" s="9" t="s">
        <v>14879</v>
      </c>
    </row>
    <row r="2658" customFormat="false" ht="15.75" hidden="false" customHeight="false" outlineLevel="0" collapsed="false">
      <c r="B2658" s="7" t="n">
        <v>46280</v>
      </c>
      <c r="C2658" s="3" t="s">
        <v>14880</v>
      </c>
      <c r="D2658" s="3" t="s">
        <v>7879</v>
      </c>
      <c r="E2658" s="3" t="s">
        <v>14881</v>
      </c>
      <c r="F2658" s="10" t="str">
        <f aca="false">HYPERLINK("https://www.inaturalist.org/people/wildcatdogs","wildcatdogs")</f>
        <v>wildcatdogs</v>
      </c>
      <c r="G2658" s="9" t="s">
        <v>13</v>
      </c>
      <c r="H2658" s="9" t="s">
        <v>14882</v>
      </c>
    </row>
    <row r="2659" customFormat="false" ht="15.75" hidden="false" customHeight="false" outlineLevel="0" collapsed="false">
      <c r="B2659" s="7" t="n">
        <v>46280</v>
      </c>
      <c r="C2659" s="3" t="s">
        <v>14883</v>
      </c>
      <c r="D2659" s="3" t="s">
        <v>7879</v>
      </c>
      <c r="E2659" s="3" t="s">
        <v>14884</v>
      </c>
      <c r="F2659" s="10" t="str">
        <f aca="false">HYPERLINK("https://www.inaturalist.org/people/safron","safron")</f>
        <v>safron</v>
      </c>
      <c r="G2659" s="9" t="s">
        <v>13</v>
      </c>
      <c r="H2659" s="9" t="s">
        <v>14885</v>
      </c>
    </row>
    <row r="2660" customFormat="false" ht="15.75" hidden="false" customHeight="false" outlineLevel="0" collapsed="false">
      <c r="B2660" s="7" t="n">
        <v>46280</v>
      </c>
      <c r="C2660" s="3" t="s">
        <v>14886</v>
      </c>
      <c r="D2660" s="3" t="s">
        <v>7879</v>
      </c>
      <c r="E2660" s="3" t="s">
        <v>8423</v>
      </c>
      <c r="F2660" s="10" t="str">
        <f aca="false">HYPERLINK("https://www.inaturalist.org/people/john_mo68","john_mo68")</f>
        <v>john_mo68</v>
      </c>
      <c r="G2660" s="9" t="s">
        <v>13</v>
      </c>
      <c r="H2660" s="9" t="s">
        <v>14887</v>
      </c>
    </row>
    <row r="2661" customFormat="false" ht="15.75" hidden="false" customHeight="false" outlineLevel="0" collapsed="false">
      <c r="B2661" s="7" t="n">
        <v>46280</v>
      </c>
      <c r="C2661" s="3" t="s">
        <v>14888</v>
      </c>
      <c r="D2661" s="3" t="s">
        <v>7879</v>
      </c>
      <c r="E2661" s="3" t="s">
        <v>14889</v>
      </c>
      <c r="F2661" s="10" t="str">
        <f aca="false">HYPERLINK("https://www.inaturalist.org/people/franciscohidalgo","franciscohidalgo")</f>
        <v>franciscohidalgo</v>
      </c>
      <c r="G2661" s="9" t="s">
        <v>13</v>
      </c>
      <c r="H2661" s="9" t="s">
        <v>14890</v>
      </c>
    </row>
    <row r="2662" customFormat="false" ht="15.75" hidden="false" customHeight="false" outlineLevel="0" collapsed="false">
      <c r="B2662" s="7" t="n">
        <v>46280</v>
      </c>
      <c r="C2662" s="3" t="s">
        <v>14891</v>
      </c>
      <c r="D2662" s="3" t="s">
        <v>7879</v>
      </c>
      <c r="E2662" s="3" t="s">
        <v>14892</v>
      </c>
      <c r="F2662" s="10" t="str">
        <f aca="false">HYPERLINK("https://www.inaturalist.org/people/zejohnson","zejohnson")</f>
        <v>zejohnson</v>
      </c>
      <c r="G2662" s="9" t="s">
        <v>13</v>
      </c>
      <c r="H2662" s="9" t="s">
        <v>14893</v>
      </c>
    </row>
    <row r="2663" customFormat="false" ht="15.75" hidden="false" customHeight="false" outlineLevel="0" collapsed="false">
      <c r="B2663" s="7" t="n">
        <v>46280</v>
      </c>
      <c r="C2663" s="3" t="s">
        <v>14894</v>
      </c>
      <c r="D2663" s="3" t="s">
        <v>7879</v>
      </c>
      <c r="E2663" s="3" t="s">
        <v>14895</v>
      </c>
      <c r="F2663" s="10" t="str">
        <f aca="false">HYPERLINK("https://www.inaturalist.org/people/floridanus","floridanus")</f>
        <v>floridanus</v>
      </c>
      <c r="G2663" s="9" t="s">
        <v>13</v>
      </c>
      <c r="H2663" s="9" t="s">
        <v>14896</v>
      </c>
    </row>
    <row r="2664" customFormat="false" ht="15.75" hidden="false" customHeight="false" outlineLevel="0" collapsed="false">
      <c r="B2664" s="7" t="n">
        <v>46280</v>
      </c>
      <c r="C2664" s="3" t="s">
        <v>14897</v>
      </c>
      <c r="D2664" s="3" t="s">
        <v>7879</v>
      </c>
      <c r="E2664" s="3" t="s">
        <v>14898</v>
      </c>
      <c r="F2664" s="10" t="str">
        <f aca="false">HYPERLINK("https://www.inaturalist.org/people/floridanus","floridanus")</f>
        <v>floridanus</v>
      </c>
      <c r="G2664" s="9" t="s">
        <v>13</v>
      </c>
      <c r="H2664" s="9" t="s">
        <v>14899</v>
      </c>
    </row>
    <row r="2665" customFormat="false" ht="15.75" hidden="false" customHeight="false" outlineLevel="0" collapsed="false">
      <c r="B2665" s="7" t="n">
        <v>46280</v>
      </c>
      <c r="C2665" s="3" t="s">
        <v>14900</v>
      </c>
      <c r="D2665" s="3" t="s">
        <v>7879</v>
      </c>
      <c r="E2665" s="3" t="s">
        <v>8417</v>
      </c>
      <c r="F2665" s="10" t="str">
        <f aca="false">HYPERLINK("https://www.inaturalist.org/people/sf_angler","sf_angler")</f>
        <v>sf_angler</v>
      </c>
      <c r="G2665" s="9" t="s">
        <v>13</v>
      </c>
      <c r="H2665" s="9" t="s">
        <v>14901</v>
      </c>
    </row>
    <row r="2666" customFormat="false" ht="15.75" hidden="false" customHeight="false" outlineLevel="0" collapsed="false">
      <c r="B2666" s="7" t="n">
        <v>46280</v>
      </c>
      <c r="C2666" s="3" t="s">
        <v>14902</v>
      </c>
      <c r="D2666" s="3" t="s">
        <v>7879</v>
      </c>
      <c r="E2666" s="3" t="s">
        <v>7934</v>
      </c>
      <c r="F2666" s="10" t="str">
        <f aca="false">HYPERLINK("https://www.inaturalist.org/people/jhearn","jhearn")</f>
        <v>jhearn</v>
      </c>
      <c r="G2666" s="9" t="s">
        <v>13</v>
      </c>
      <c r="H2666" s="9" t="s">
        <v>14903</v>
      </c>
    </row>
    <row r="2667" customFormat="false" ht="15.75" hidden="false" customHeight="false" outlineLevel="0" collapsed="false">
      <c r="B2667" s="7" t="n">
        <v>46280</v>
      </c>
      <c r="C2667" s="3" t="s">
        <v>14904</v>
      </c>
      <c r="D2667" s="3" t="s">
        <v>7879</v>
      </c>
      <c r="E2667" s="3" t="s">
        <v>14905</v>
      </c>
      <c r="F2667" s="10" t="str">
        <f aca="false">HYPERLINK("https://www.inaturalist.org/people/maria_velez","maria_velez")</f>
        <v>maria_velez</v>
      </c>
      <c r="G2667" s="9" t="s">
        <v>13</v>
      </c>
      <c r="H2667" s="9" t="s">
        <v>14906</v>
      </c>
    </row>
    <row r="2668" customFormat="false" ht="15.75" hidden="false" customHeight="false" outlineLevel="0" collapsed="false">
      <c r="B2668" s="7" t="n">
        <v>46280</v>
      </c>
      <c r="C2668" s="3" t="s">
        <v>14907</v>
      </c>
      <c r="D2668" s="3" t="s">
        <v>7879</v>
      </c>
      <c r="E2668" s="3" t="s">
        <v>8222</v>
      </c>
      <c r="F2668" s="10" t="str">
        <f aca="false">HYPERLINK("https://www.inaturalist.org/people/javi_jimlopez","javi_jimlopez")</f>
        <v>javi_jimlopez</v>
      </c>
      <c r="G2668" s="9" t="s">
        <v>13</v>
      </c>
      <c r="H2668" s="9" t="s">
        <v>14908</v>
      </c>
    </row>
    <row r="2669" customFormat="false" ht="15.75" hidden="false" customHeight="false" outlineLevel="0" collapsed="false">
      <c r="B2669" s="7" t="n">
        <v>46280</v>
      </c>
      <c r="C2669" s="3" t="s">
        <v>14909</v>
      </c>
      <c r="D2669" s="3" t="s">
        <v>7879</v>
      </c>
      <c r="E2669" s="3" t="s">
        <v>7916</v>
      </c>
      <c r="F2669" s="10" t="str">
        <f aca="false">HYPERLINK("https://www.inaturalist.org/people/whiskey_tea","whiskey_tea")</f>
        <v>whiskey_tea</v>
      </c>
      <c r="G2669" s="9" t="s">
        <v>13</v>
      </c>
      <c r="H2669" s="9" t="s">
        <v>14910</v>
      </c>
    </row>
    <row r="2670" customFormat="false" ht="15.75" hidden="false" customHeight="false" outlineLevel="0" collapsed="false">
      <c r="B2670" s="7" t="n">
        <v>46280</v>
      </c>
      <c r="C2670" s="3" t="s">
        <v>14911</v>
      </c>
      <c r="D2670" s="3" t="s">
        <v>7879</v>
      </c>
      <c r="E2670" s="3" t="s">
        <v>8111</v>
      </c>
      <c r="F2670" s="10" t="str">
        <f aca="false">HYPERLINK("https://www.inaturalist.org/people/ronyyy","ronyyy")</f>
        <v>ronyyy</v>
      </c>
      <c r="G2670" s="9" t="s">
        <v>13</v>
      </c>
      <c r="H2670" s="9" t="s">
        <v>14912</v>
      </c>
    </row>
    <row r="2671" customFormat="false" ht="15.75" hidden="false" customHeight="false" outlineLevel="0" collapsed="false">
      <c r="B2671" s="7" t="n">
        <v>46280</v>
      </c>
      <c r="C2671" s="3" t="s">
        <v>14913</v>
      </c>
      <c r="D2671" s="3" t="s">
        <v>7879</v>
      </c>
      <c r="E2671" s="3" t="s">
        <v>14914</v>
      </c>
      <c r="F2671" s="10" t="str">
        <f aca="false">HYPERLINK("https://www.inaturalist.org/people/senseimena","senseimena")</f>
        <v>senseimena</v>
      </c>
      <c r="G2671" s="9" t="s">
        <v>13</v>
      </c>
      <c r="H2671" s="9" t="s">
        <v>14915</v>
      </c>
    </row>
    <row r="2672" customFormat="false" ht="15.75" hidden="false" customHeight="false" outlineLevel="0" collapsed="false">
      <c r="B2672" s="7" t="n">
        <v>46280</v>
      </c>
      <c r="C2672" s="3" t="s">
        <v>14916</v>
      </c>
      <c r="D2672" s="3" t="s">
        <v>7879</v>
      </c>
      <c r="E2672" s="3" t="s">
        <v>8123</v>
      </c>
      <c r="F2672" s="10" t="str">
        <f aca="false">HYPERLINK("https://www.inaturalist.org/people/r_lindsey22","r_lindsey22")</f>
        <v>r_lindsey22</v>
      </c>
      <c r="G2672" s="9" t="s">
        <v>13</v>
      </c>
      <c r="H2672" s="9" t="s">
        <v>14917</v>
      </c>
    </row>
    <row r="2673" customFormat="false" ht="15.75" hidden="false" customHeight="false" outlineLevel="0" collapsed="false">
      <c r="B2673" s="7" t="n">
        <v>46280</v>
      </c>
      <c r="C2673" s="3" t="s">
        <v>14918</v>
      </c>
      <c r="D2673" s="3" t="s">
        <v>7879</v>
      </c>
      <c r="E2673" s="3" t="s">
        <v>14919</v>
      </c>
      <c r="F2673" s="10" t="str">
        <f aca="false">HYPERLINK("https://www.inaturalist.org/people/pologarden","pologarden")</f>
        <v>pologarden</v>
      </c>
      <c r="G2673" s="9" t="s">
        <v>13</v>
      </c>
      <c r="H2673" s="9" t="s">
        <v>14920</v>
      </c>
    </row>
    <row r="2674" customFormat="false" ht="15.75" hidden="false" customHeight="false" outlineLevel="0" collapsed="false">
      <c r="B2674" s="7" t="n">
        <v>46280</v>
      </c>
      <c r="C2674" s="3" t="s">
        <v>14921</v>
      </c>
      <c r="D2674" s="3" t="s">
        <v>7879</v>
      </c>
      <c r="E2674" s="3" t="s">
        <v>14922</v>
      </c>
      <c r="F2674" s="10" t="str">
        <f aca="false">HYPERLINK("https://www.inaturalist.org/people/takeahike","takeahike")</f>
        <v>takeahike</v>
      </c>
      <c r="G2674" s="9" t="s">
        <v>13</v>
      </c>
      <c r="H2674" s="9" t="s">
        <v>14923</v>
      </c>
    </row>
    <row r="2675" customFormat="false" ht="15.75" hidden="false" customHeight="false" outlineLevel="0" collapsed="false">
      <c r="B2675" s="7" t="n">
        <v>46280</v>
      </c>
      <c r="C2675" s="3" t="s">
        <v>14924</v>
      </c>
      <c r="D2675" s="3" t="s">
        <v>7879</v>
      </c>
      <c r="E2675" s="3" t="s">
        <v>8027</v>
      </c>
      <c r="F2675" s="10" t="str">
        <f aca="false">HYPERLINK("https://www.inaturalist.org/people/ecochavoscasitas","ecochavoscasitas")</f>
        <v>ecochavoscasitas</v>
      </c>
      <c r="G2675" s="9" t="s">
        <v>13</v>
      </c>
      <c r="H2675" s="9" t="s">
        <v>14925</v>
      </c>
    </row>
    <row r="2676" customFormat="false" ht="15.75" hidden="false" customHeight="false" outlineLevel="0" collapsed="false">
      <c r="B2676" s="7" t="n">
        <v>46280</v>
      </c>
      <c r="C2676" s="3" t="s">
        <v>14926</v>
      </c>
      <c r="D2676" s="3" t="s">
        <v>7879</v>
      </c>
      <c r="E2676" s="3" t="s">
        <v>8231</v>
      </c>
      <c r="F2676" s="10" t="str">
        <f aca="false">HYPERLINK("https://www.inaturalist.org/people/tmartinson","tmartinson")</f>
        <v>tmartinson</v>
      </c>
      <c r="G2676" s="9" t="s">
        <v>13</v>
      </c>
      <c r="H2676" s="9" t="s">
        <v>14927</v>
      </c>
    </row>
    <row r="2677" customFormat="false" ht="15.75" hidden="false" customHeight="false" outlineLevel="0" collapsed="false">
      <c r="B2677" s="7" t="n">
        <v>46280</v>
      </c>
      <c r="C2677" s="3" t="s">
        <v>14928</v>
      </c>
      <c r="D2677" s="3" t="s">
        <v>7879</v>
      </c>
      <c r="E2677" s="3" t="s">
        <v>14929</v>
      </c>
      <c r="F2677" s="10" t="str">
        <f aca="false">HYPERLINK("https://www.inaturalist.org/people/angelica31321","angelica31321")</f>
        <v>angelica31321</v>
      </c>
      <c r="G2677" s="9" t="s">
        <v>13</v>
      </c>
      <c r="H2677" s="9" t="s">
        <v>14930</v>
      </c>
    </row>
    <row r="2678" customFormat="false" ht="15.75" hidden="false" customHeight="false" outlineLevel="0" collapsed="false">
      <c r="B2678" s="7" t="n">
        <v>46280</v>
      </c>
      <c r="C2678" s="3" t="s">
        <v>14931</v>
      </c>
      <c r="D2678" s="3" t="s">
        <v>7879</v>
      </c>
      <c r="E2678" s="3" t="s">
        <v>14932</v>
      </c>
      <c r="F2678" s="10" t="str">
        <f aca="false">HYPERLINK("https://www.inaturalist.org/people/matthew55484","matthew55484")</f>
        <v>matthew55484</v>
      </c>
      <c r="G2678" s="9" t="s">
        <v>13</v>
      </c>
      <c r="H2678" s="9" t="s">
        <v>14933</v>
      </c>
    </row>
    <row r="2679" customFormat="false" ht="15.75" hidden="false" customHeight="false" outlineLevel="0" collapsed="false">
      <c r="B2679" s="7" t="n">
        <v>46280</v>
      </c>
      <c r="C2679" s="3" t="s">
        <v>14934</v>
      </c>
      <c r="D2679" s="3" t="s">
        <v>7879</v>
      </c>
      <c r="E2679" s="3" t="s">
        <v>14935</v>
      </c>
      <c r="F2679" s="10" t="str">
        <f aca="false">HYPERLINK("https://www.inaturalist.org/people/mechthildkoehncke","mechthildkoehncke")</f>
        <v>mechthildkoehncke</v>
      </c>
      <c r="G2679" s="9" t="s">
        <v>13</v>
      </c>
      <c r="H2679" s="9" t="s">
        <v>14936</v>
      </c>
    </row>
    <row r="2680" customFormat="false" ht="15.75" hidden="false" customHeight="false" outlineLevel="0" collapsed="false">
      <c r="B2680" s="7" t="n">
        <v>46280</v>
      </c>
      <c r="C2680" s="3" t="s">
        <v>14937</v>
      </c>
      <c r="D2680" s="3" t="s">
        <v>7879</v>
      </c>
      <c r="E2680" s="3" t="s">
        <v>14938</v>
      </c>
      <c r="F2680" s="10" t="str">
        <f aca="false">HYPERLINK("https://www.inaturalist.org/people/forrest14123","forrest14123")</f>
        <v>forrest14123</v>
      </c>
      <c r="G2680" s="9" t="s">
        <v>13</v>
      </c>
      <c r="H2680" s="9" t="s">
        <v>14939</v>
      </c>
    </row>
    <row r="2681" customFormat="false" ht="15.75" hidden="false" customHeight="false" outlineLevel="0" collapsed="false">
      <c r="B2681" s="7" t="n">
        <v>46280</v>
      </c>
      <c r="C2681" s="3" t="s">
        <v>14940</v>
      </c>
      <c r="D2681" s="3" t="s">
        <v>7879</v>
      </c>
      <c r="E2681" s="3" t="s">
        <v>14941</v>
      </c>
      <c r="F2681" s="10" t="str">
        <f aca="false">HYPERLINK("https://www.inaturalist.org/people/stlamer03","stlamer03")</f>
        <v>stlamer03</v>
      </c>
      <c r="G2681" s="9" t="s">
        <v>13</v>
      </c>
      <c r="H2681" s="9" t="s">
        <v>14942</v>
      </c>
    </row>
    <row r="2682" customFormat="false" ht="15.75" hidden="false" customHeight="false" outlineLevel="0" collapsed="false">
      <c r="B2682" s="7" t="n">
        <v>46280</v>
      </c>
      <c r="C2682" s="3" t="s">
        <v>14943</v>
      </c>
      <c r="D2682" s="3" t="s">
        <v>7879</v>
      </c>
      <c r="E2682" s="3" t="s">
        <v>8387</v>
      </c>
      <c r="F2682" s="10" t="str">
        <f aca="false">HYPERLINK("https://www.inaturalist.org/people/wojtek41121","wojtek41121")</f>
        <v>wojtek41121</v>
      </c>
      <c r="G2682" s="9" t="s">
        <v>13</v>
      </c>
      <c r="H2682" s="9" t="s">
        <v>14944</v>
      </c>
    </row>
    <row r="2683" customFormat="false" ht="15.75" hidden="false" customHeight="false" outlineLevel="0" collapsed="false">
      <c r="B2683" s="7" t="n">
        <v>46280</v>
      </c>
      <c r="C2683" s="3" t="s">
        <v>14945</v>
      </c>
      <c r="D2683" s="3" t="s">
        <v>7879</v>
      </c>
      <c r="E2683" s="3" t="s">
        <v>14946</v>
      </c>
      <c r="F2683" s="10" t="str">
        <f aca="false">HYPERLINK("https://www.inaturalist.org/people/ksnaiab","ksnaiab")</f>
        <v>ksnaiab</v>
      </c>
      <c r="G2683" s="9" t="s">
        <v>13</v>
      </c>
      <c r="H2683" s="9" t="s">
        <v>14947</v>
      </c>
    </row>
    <row r="2684" customFormat="false" ht="15.75" hidden="false" customHeight="false" outlineLevel="0" collapsed="false">
      <c r="B2684" s="7" t="n">
        <v>46280</v>
      </c>
      <c r="C2684" s="3" t="s">
        <v>14948</v>
      </c>
      <c r="D2684" s="3" t="s">
        <v>7879</v>
      </c>
      <c r="E2684" s="3" t="s">
        <v>8408</v>
      </c>
      <c r="F2684" s="10" t="str">
        <f aca="false">HYPERLINK("https://www.inaturalist.org/people/katerinaragousi","katerinaragousi")</f>
        <v>katerinaragousi</v>
      </c>
      <c r="G2684" s="9" t="s">
        <v>13</v>
      </c>
      <c r="H2684" s="9" t="s">
        <v>14949</v>
      </c>
    </row>
    <row r="2685" customFormat="false" ht="15.75" hidden="false" customHeight="false" outlineLevel="0" collapsed="false">
      <c r="B2685" s="7" t="n">
        <v>46280</v>
      </c>
      <c r="C2685" s="3" t="s">
        <v>14950</v>
      </c>
      <c r="D2685" s="3" t="s">
        <v>7879</v>
      </c>
      <c r="E2685" s="3" t="s">
        <v>14951</v>
      </c>
      <c r="F2685" s="10" t="str">
        <f aca="false">HYPERLINK("https://www.inaturalist.org/people/antal62264","antal62264")</f>
        <v>antal62264</v>
      </c>
      <c r="G2685" s="9" t="s">
        <v>13</v>
      </c>
      <c r="H2685" s="9" t="s">
        <v>14952</v>
      </c>
    </row>
    <row r="2686" customFormat="false" ht="15.75" hidden="false" customHeight="false" outlineLevel="0" collapsed="false">
      <c r="B2686" s="7" t="n">
        <v>46280</v>
      </c>
      <c r="C2686" s="3" t="s">
        <v>14953</v>
      </c>
      <c r="D2686" s="3" t="s">
        <v>7879</v>
      </c>
      <c r="E2686" s="3" t="s">
        <v>14954</v>
      </c>
      <c r="F2686" s="10" t="str">
        <f aca="false">HYPERLINK("https://www.inaturalist.org/people/bayashi1118","bayashi1118")</f>
        <v>bayashi1118</v>
      </c>
      <c r="G2686" s="9" t="s">
        <v>13</v>
      </c>
      <c r="H2686" s="9" t="s">
        <v>14955</v>
      </c>
    </row>
    <row r="2687" customFormat="false" ht="15.75" hidden="false" customHeight="false" outlineLevel="0" collapsed="false">
      <c r="B2687" s="7" t="n">
        <v>46280</v>
      </c>
      <c r="C2687" s="3" t="s">
        <v>14956</v>
      </c>
      <c r="D2687" s="3" t="s">
        <v>7879</v>
      </c>
      <c r="E2687" s="3" t="s">
        <v>14957</v>
      </c>
      <c r="F2687" s="10" t="str">
        <f aca="false">HYPERLINK("https://www.inaturalist.org/people/jmc0611","jmc0611")</f>
        <v>jmc0611</v>
      </c>
      <c r="G2687" s="9" t="s">
        <v>13</v>
      </c>
      <c r="H2687" s="9" t="s">
        <v>14958</v>
      </c>
    </row>
    <row r="2688" customFormat="false" ht="15.75" hidden="false" customHeight="false" outlineLevel="0" collapsed="false">
      <c r="B2688" s="7" t="n">
        <v>46280</v>
      </c>
      <c r="C2688" s="3" t="s">
        <v>14959</v>
      </c>
      <c r="D2688" s="3" t="s">
        <v>7879</v>
      </c>
      <c r="E2688" s="3" t="s">
        <v>8126</v>
      </c>
      <c r="F2688" s="10" t="str">
        <f aca="false">HYPERLINK("https://www.inaturalist.org/people/jchrowland","jchrowland")</f>
        <v>jchrowland</v>
      </c>
      <c r="G2688" s="9" t="s">
        <v>13</v>
      </c>
      <c r="H2688" s="9" t="s">
        <v>14960</v>
      </c>
    </row>
    <row r="2689" customFormat="false" ht="15.75" hidden="false" customHeight="false" outlineLevel="0" collapsed="false">
      <c r="B2689" s="7" t="n">
        <v>46280</v>
      </c>
      <c r="C2689" s="3" t="s">
        <v>14961</v>
      </c>
      <c r="D2689" s="3" t="s">
        <v>7879</v>
      </c>
      <c r="E2689" s="3" t="s">
        <v>14962</v>
      </c>
      <c r="F2689" s="10" t="str">
        <f aca="false">HYPERLINK("https://www.inaturalist.org/people/yeedeyee","yeedeyee")</f>
        <v>yeedeyee</v>
      </c>
      <c r="G2689" s="9" t="s">
        <v>13</v>
      </c>
      <c r="H2689" s="9" t="s">
        <v>14963</v>
      </c>
    </row>
    <row r="2690" customFormat="false" ht="15.75" hidden="false" customHeight="false" outlineLevel="0" collapsed="false">
      <c r="B2690" s="7" t="n">
        <v>46280</v>
      </c>
      <c r="C2690" s="3" t="s">
        <v>14964</v>
      </c>
      <c r="D2690" s="3" t="s">
        <v>7879</v>
      </c>
      <c r="E2690" s="3" t="s">
        <v>8414</v>
      </c>
      <c r="F2690" s="10" t="str">
        <f aca="false">HYPERLINK("https://www.inaturalist.org/people/dave_holland","dave_holland")</f>
        <v>dave_holland</v>
      </c>
      <c r="G2690" s="9" t="s">
        <v>13</v>
      </c>
      <c r="H2690" s="9" t="s">
        <v>14965</v>
      </c>
    </row>
    <row r="2691" customFormat="false" ht="15.75" hidden="false" customHeight="false" outlineLevel="0" collapsed="false">
      <c r="B2691" s="7" t="n">
        <v>46280</v>
      </c>
      <c r="C2691" s="3" t="s">
        <v>14966</v>
      </c>
      <c r="D2691" s="3" t="s">
        <v>7879</v>
      </c>
      <c r="E2691" s="3" t="s">
        <v>8117</v>
      </c>
      <c r="F2691" s="10" t="str">
        <f aca="false">HYPERLINK("https://www.inaturalist.org/people/dave_holland","dave_holland")</f>
        <v>dave_holland</v>
      </c>
      <c r="G2691" s="9" t="s">
        <v>13</v>
      </c>
      <c r="H2691" s="9" t="s">
        <v>14967</v>
      </c>
    </row>
    <row r="2692" customFormat="false" ht="15.75" hidden="false" customHeight="false" outlineLevel="0" collapsed="false">
      <c r="B2692" s="7" t="n">
        <v>46280</v>
      </c>
      <c r="C2692" s="3" t="s">
        <v>14968</v>
      </c>
      <c r="D2692" s="3" t="s">
        <v>7879</v>
      </c>
      <c r="E2692" s="3" t="s">
        <v>14969</v>
      </c>
      <c r="F2692" s="10" t="str">
        <f aca="false">HYPERLINK("https://www.inaturalist.org/people/kater_kat","kater_kat")</f>
        <v>kater_kat</v>
      </c>
      <c r="G2692" s="9" t="s">
        <v>13</v>
      </c>
      <c r="H2692" s="9" t="s">
        <v>14970</v>
      </c>
    </row>
    <row r="2693" customFormat="false" ht="15.75" hidden="false" customHeight="false" outlineLevel="0" collapsed="false">
      <c r="B2693" s="7" t="n">
        <v>46280</v>
      </c>
      <c r="C2693" s="3" t="s">
        <v>14971</v>
      </c>
      <c r="D2693" s="3" t="s">
        <v>7879</v>
      </c>
      <c r="E2693" s="3" t="s">
        <v>8426</v>
      </c>
      <c r="F2693" s="10" t="str">
        <f aca="false">HYPERLINK("https://www.inaturalist.org/people/yinpengzzy","yinpengzzy")</f>
        <v>yinpengzzy</v>
      </c>
      <c r="G2693" s="9" t="s">
        <v>13</v>
      </c>
      <c r="H2693" s="9" t="s">
        <v>14972</v>
      </c>
    </row>
    <row r="2694" customFormat="false" ht="15.75" hidden="false" customHeight="false" outlineLevel="0" collapsed="false">
      <c r="B2694" s="7" t="n">
        <v>46280</v>
      </c>
      <c r="C2694" s="3" t="s">
        <v>14973</v>
      </c>
      <c r="D2694" s="3" t="s">
        <v>7879</v>
      </c>
      <c r="E2694" s="3" t="s">
        <v>8294</v>
      </c>
      <c r="F2694" s="10" t="str">
        <f aca="false">HYPERLINK("https://www.inaturalist.org/people/nataly_flores","nataly_flores")</f>
        <v>nataly_flores</v>
      </c>
      <c r="G2694" s="9" t="s">
        <v>13</v>
      </c>
      <c r="H2694" s="9" t="s">
        <v>14974</v>
      </c>
    </row>
    <row r="2695" customFormat="false" ht="15.75" hidden="false" customHeight="false" outlineLevel="0" collapsed="false">
      <c r="B2695" s="7" t="n">
        <v>46280</v>
      </c>
      <c r="C2695" s="3" t="s">
        <v>14975</v>
      </c>
      <c r="D2695" s="3" t="s">
        <v>7879</v>
      </c>
      <c r="E2695" s="3" t="s">
        <v>14976</v>
      </c>
      <c r="F2695" s="10" t="str">
        <f aca="false">HYPERLINK("https://www.inaturalist.org/people/annieliveoak","annieliveoak")</f>
        <v>annieliveoak</v>
      </c>
      <c r="G2695" s="9" t="s">
        <v>13</v>
      </c>
      <c r="H2695" s="9" t="s">
        <v>14977</v>
      </c>
    </row>
    <row r="2696" customFormat="false" ht="15.75" hidden="false" customHeight="false" outlineLevel="0" collapsed="false">
      <c r="B2696" s="7" t="n">
        <v>46280</v>
      </c>
      <c r="C2696" s="3" t="s">
        <v>14978</v>
      </c>
      <c r="D2696" s="3" t="s">
        <v>7879</v>
      </c>
      <c r="E2696" s="3" t="s">
        <v>14979</v>
      </c>
      <c r="F2696" s="10" t="str">
        <f aca="false">HYPERLINK("https://www.inaturalist.org/people/yzn1220","yzn1220")</f>
        <v>yzn1220</v>
      </c>
      <c r="G2696" s="9" t="s">
        <v>13</v>
      </c>
      <c r="H2696" s="9" t="s">
        <v>14980</v>
      </c>
    </row>
    <row r="2697" customFormat="false" ht="15.75" hidden="false" customHeight="false" outlineLevel="0" collapsed="false">
      <c r="B2697" s="7" t="n">
        <v>46280</v>
      </c>
      <c r="C2697" s="3" t="s">
        <v>14981</v>
      </c>
      <c r="D2697" s="3" t="s">
        <v>7879</v>
      </c>
      <c r="E2697" s="3" t="s">
        <v>14982</v>
      </c>
      <c r="F2697" s="10" t="str">
        <f aca="false">HYPERLINK("https://www.inaturalist.org/people/abha_abhilasha","abha_abhilasha")</f>
        <v>abha_abhilasha</v>
      </c>
      <c r="G2697" s="9" t="s">
        <v>13</v>
      </c>
      <c r="H2697" s="9" t="s">
        <v>14983</v>
      </c>
    </row>
    <row r="2698" customFormat="false" ht="15.75" hidden="false" customHeight="false" outlineLevel="0" collapsed="false">
      <c r="B2698" s="7" t="n">
        <v>46280</v>
      </c>
      <c r="C2698" s="3" t="s">
        <v>14984</v>
      </c>
      <c r="D2698" s="3" t="s">
        <v>7879</v>
      </c>
      <c r="E2698" s="3" t="s">
        <v>14985</v>
      </c>
      <c r="F2698" s="10" t="str">
        <f aca="false">HYPERLINK("https://www.inaturalist.org/people/vferri","vferri")</f>
        <v>vferri</v>
      </c>
      <c r="G2698" s="9" t="s">
        <v>13</v>
      </c>
      <c r="H2698" s="9" t="s">
        <v>14986</v>
      </c>
    </row>
    <row r="2699" customFormat="false" ht="15.75" hidden="false" customHeight="false" outlineLevel="0" collapsed="false">
      <c r="B2699" s="7" t="n">
        <v>46280</v>
      </c>
      <c r="C2699" s="3" t="s">
        <v>14987</v>
      </c>
      <c r="D2699" s="3" t="s">
        <v>7879</v>
      </c>
      <c r="E2699" s="3" t="s">
        <v>8249</v>
      </c>
      <c r="F2699" s="10" t="str">
        <f aca="false">HYPERLINK("https://www.inaturalist.org/people/starlit-ego","starlit-ego")</f>
        <v>starlit-ego</v>
      </c>
      <c r="G2699" s="9" t="s">
        <v>13</v>
      </c>
      <c r="H2699" s="9" t="s">
        <v>14988</v>
      </c>
    </row>
    <row r="2700" customFormat="false" ht="15.75" hidden="false" customHeight="false" outlineLevel="0" collapsed="false">
      <c r="B2700" s="7" t="n">
        <v>46280</v>
      </c>
      <c r="C2700" s="3" t="s">
        <v>14989</v>
      </c>
      <c r="D2700" s="3" t="s">
        <v>7879</v>
      </c>
      <c r="E2700" s="3" t="s">
        <v>8066</v>
      </c>
      <c r="F2700" s="10" t="str">
        <f aca="false">HYPERLINK("https://www.inaturalist.org/people/abha_abhilasha","abha_abhilasha")</f>
        <v>abha_abhilasha</v>
      </c>
      <c r="G2700" s="9" t="s">
        <v>13</v>
      </c>
      <c r="H2700" s="9" t="s">
        <v>14990</v>
      </c>
    </row>
    <row r="2701" customFormat="false" ht="15.75" hidden="false" customHeight="false" outlineLevel="0" collapsed="false">
      <c r="B2701" s="7" t="n">
        <v>46280</v>
      </c>
      <c r="C2701" s="3" t="s">
        <v>14991</v>
      </c>
      <c r="D2701" s="3" t="s">
        <v>7879</v>
      </c>
      <c r="E2701" s="3" t="s">
        <v>8440</v>
      </c>
      <c r="F2701" s="10" t="str">
        <f aca="false">HYPERLINK("https://www.inaturalist.org/people/windoffog","windoffog")</f>
        <v>windoffog</v>
      </c>
      <c r="G2701" s="9" t="s">
        <v>13</v>
      </c>
      <c r="H2701" s="9" t="s">
        <v>14992</v>
      </c>
    </row>
    <row r="2702" customFormat="false" ht="15.75" hidden="false" customHeight="false" outlineLevel="0" collapsed="false">
      <c r="B2702" s="7" t="n">
        <v>46280</v>
      </c>
      <c r="C2702" s="3" t="s">
        <v>14993</v>
      </c>
      <c r="D2702" s="3" t="s">
        <v>7879</v>
      </c>
      <c r="E2702" s="3" t="s">
        <v>8252</v>
      </c>
      <c r="F2702" s="10" t="str">
        <f aca="false">HYPERLINK("https://www.inaturalist.org/people/leo12a","leo12a")</f>
        <v>leo12a</v>
      </c>
      <c r="G2702" s="9" t="s">
        <v>13</v>
      </c>
      <c r="H2702" s="9" t="s">
        <v>14994</v>
      </c>
    </row>
    <row r="2703" customFormat="false" ht="15.75" hidden="false" customHeight="false" outlineLevel="0" collapsed="false">
      <c r="B2703" s="7" t="n">
        <v>46280</v>
      </c>
      <c r="C2703" s="3" t="s">
        <v>14995</v>
      </c>
      <c r="D2703" s="3" t="s">
        <v>7879</v>
      </c>
      <c r="E2703" s="3" t="s">
        <v>7910</v>
      </c>
      <c r="F2703" s="10" t="str">
        <f aca="false">HYPERLINK("https://www.inaturalist.org/people/nikolay35492","nikolay35492")</f>
        <v>nikolay35492</v>
      </c>
      <c r="G2703" s="9" t="s">
        <v>13</v>
      </c>
      <c r="H2703" s="9" t="s">
        <v>14996</v>
      </c>
    </row>
    <row r="2704" customFormat="false" ht="15.75" hidden="false" customHeight="false" outlineLevel="0" collapsed="false">
      <c r="B2704" s="7" t="n">
        <v>46280</v>
      </c>
      <c r="C2704" s="3" t="s">
        <v>14997</v>
      </c>
      <c r="D2704" s="3" t="s">
        <v>7879</v>
      </c>
      <c r="E2704" s="3" t="s">
        <v>7988</v>
      </c>
      <c r="F2704" s="10" t="str">
        <f aca="false">HYPERLINK("https://www.inaturalist.org/people/anachurro","anachurro")</f>
        <v>anachurro</v>
      </c>
      <c r="G2704" s="9" t="s">
        <v>13</v>
      </c>
      <c r="H2704" s="9" t="s">
        <v>14998</v>
      </c>
    </row>
    <row r="2705" customFormat="false" ht="15.75" hidden="false" customHeight="false" outlineLevel="0" collapsed="false">
      <c r="B2705" s="7" t="n">
        <v>46280</v>
      </c>
      <c r="C2705" s="3" t="s">
        <v>14999</v>
      </c>
      <c r="D2705" s="3" t="s">
        <v>7879</v>
      </c>
      <c r="E2705" s="3" t="s">
        <v>15000</v>
      </c>
      <c r="F2705" s="10" t="str">
        <f aca="false">HYPERLINK("https://www.inaturalist.org/people/kmurph","kmurph")</f>
        <v>kmurph</v>
      </c>
      <c r="G2705" s="9" t="s">
        <v>13</v>
      </c>
      <c r="H2705" s="9" t="s">
        <v>15001</v>
      </c>
    </row>
    <row r="2706" customFormat="false" ht="15.75" hidden="false" customHeight="false" outlineLevel="0" collapsed="false">
      <c r="B2706" s="7" t="n">
        <v>46280</v>
      </c>
      <c r="C2706" s="3" t="s">
        <v>15002</v>
      </c>
      <c r="D2706" s="3" t="s">
        <v>6978</v>
      </c>
      <c r="E2706" s="3" t="s">
        <v>7009</v>
      </c>
      <c r="F2706" s="10" t="str">
        <f aca="false">HYPERLINK("https://www.inaturalist.org/people/skinnypenguin","skinnypenguin")</f>
        <v>skinnypenguin</v>
      </c>
      <c r="G2706" s="9" t="s">
        <v>13</v>
      </c>
      <c r="H2706" s="9" t="s">
        <v>15003</v>
      </c>
    </row>
    <row r="2707" customFormat="false" ht="15.75" hidden="false" customHeight="false" outlineLevel="0" collapsed="false">
      <c r="B2707" s="7" t="n">
        <v>46280</v>
      </c>
      <c r="C2707" s="3" t="s">
        <v>15004</v>
      </c>
      <c r="D2707" s="3" t="s">
        <v>6978</v>
      </c>
      <c r="E2707" s="3" t="s">
        <v>6994</v>
      </c>
      <c r="F2707" s="10" t="str">
        <f aca="false">HYPERLINK("https://www.inaturalist.org/people/tim122","tim122")</f>
        <v>tim122</v>
      </c>
      <c r="G2707" s="9" t="s">
        <v>13</v>
      </c>
      <c r="H2707" s="9" t="s">
        <v>15005</v>
      </c>
    </row>
    <row r="2708" customFormat="false" ht="15.75" hidden="false" customHeight="false" outlineLevel="0" collapsed="false">
      <c r="B2708" s="7" t="n">
        <v>46280</v>
      </c>
      <c r="C2708" s="3" t="s">
        <v>15006</v>
      </c>
      <c r="D2708" s="3" t="s">
        <v>6978</v>
      </c>
      <c r="E2708" s="3" t="s">
        <v>7006</v>
      </c>
      <c r="F2708" s="10" t="str">
        <f aca="false">HYPERLINK("https://www.inaturalist.org/people/sophieluvr1","sophieluvr1")</f>
        <v>sophieluvr1</v>
      </c>
      <c r="G2708" s="9" t="s">
        <v>13</v>
      </c>
      <c r="H2708" s="9" t="s">
        <v>15007</v>
      </c>
    </row>
    <row r="2709" customFormat="false" ht="15.75" hidden="false" customHeight="false" outlineLevel="0" collapsed="false">
      <c r="B2709" s="7" t="n">
        <v>46280</v>
      </c>
      <c r="C2709" s="3" t="s">
        <v>15008</v>
      </c>
      <c r="D2709" s="3" t="s">
        <v>6978</v>
      </c>
      <c r="E2709" s="3" t="s">
        <v>6979</v>
      </c>
      <c r="F2709" s="10" t="str">
        <f aca="false">HYPERLINK("https://www.inaturalist.org/people/bschott","bschott")</f>
        <v>bschott</v>
      </c>
      <c r="G2709" s="9" t="s">
        <v>13</v>
      </c>
      <c r="H2709" s="9" t="s">
        <v>15009</v>
      </c>
    </row>
    <row r="2710" customFormat="false" ht="15.75" hidden="false" customHeight="false" outlineLevel="0" collapsed="false">
      <c r="B2710" s="7" t="n">
        <v>46280</v>
      </c>
      <c r="C2710" s="3" t="s">
        <v>15010</v>
      </c>
      <c r="D2710" s="3" t="s">
        <v>6978</v>
      </c>
      <c r="E2710" s="3" t="s">
        <v>15011</v>
      </c>
      <c r="F2710" s="10" t="str">
        <f aca="false">HYPERLINK("https://www.inaturalist.org/people/mstjohn91","mstjohn91")</f>
        <v>mstjohn91</v>
      </c>
      <c r="G2710" s="9" t="s">
        <v>13</v>
      </c>
      <c r="H2710" s="9" t="s">
        <v>15012</v>
      </c>
    </row>
    <row r="2711" customFormat="false" ht="15.75" hidden="false" customHeight="false" outlineLevel="0" collapsed="false">
      <c r="B2711" s="7" t="n">
        <v>46280</v>
      </c>
      <c r="C2711" s="3" t="s">
        <v>15013</v>
      </c>
      <c r="D2711" s="3" t="s">
        <v>6978</v>
      </c>
      <c r="E2711" s="3" t="s">
        <v>7423</v>
      </c>
      <c r="F2711" s="10" t="str">
        <f aca="false">HYPERLINK("https://www.inaturalist.org/people/gavin_edmondstone","gavin_edmondstone")</f>
        <v>gavin_edmondstone</v>
      </c>
      <c r="G2711" s="9" t="s">
        <v>13</v>
      </c>
      <c r="H2711" s="9" t="s">
        <v>15014</v>
      </c>
    </row>
    <row r="2712" customFormat="false" ht="15.75" hidden="false" customHeight="false" outlineLevel="0" collapsed="false">
      <c r="B2712" s="7" t="n">
        <v>46280</v>
      </c>
      <c r="C2712" s="3" t="s">
        <v>15015</v>
      </c>
      <c r="D2712" s="3" t="s">
        <v>6978</v>
      </c>
      <c r="E2712" s="3" t="s">
        <v>7606</v>
      </c>
      <c r="F2712" s="10" t="str">
        <f aca="false">HYPERLINK("https://www.inaturalist.org/people/fernservations","fernservations")</f>
        <v>fernservations</v>
      </c>
      <c r="G2712" s="9" t="s">
        <v>13</v>
      </c>
      <c r="H2712" s="9" t="s">
        <v>15016</v>
      </c>
    </row>
    <row r="2713" customFormat="false" ht="15.75" hidden="false" customHeight="false" outlineLevel="0" collapsed="false">
      <c r="B2713" s="7" t="n">
        <v>46280</v>
      </c>
      <c r="C2713" s="3" t="s">
        <v>15017</v>
      </c>
      <c r="D2713" s="3" t="s">
        <v>6978</v>
      </c>
      <c r="E2713" s="3" t="s">
        <v>15018</v>
      </c>
      <c r="F2713" s="10" t="str">
        <f aca="false">HYPERLINK("https://www.inaturalist.org/people/kfilicky30","kfilicky30")</f>
        <v>kfilicky30</v>
      </c>
      <c r="G2713" s="9" t="s">
        <v>13</v>
      </c>
      <c r="H2713" s="9" t="s">
        <v>15019</v>
      </c>
    </row>
    <row r="2714" customFormat="false" ht="15.75" hidden="false" customHeight="false" outlineLevel="0" collapsed="false">
      <c r="B2714" s="7" t="n">
        <v>46280</v>
      </c>
      <c r="C2714" s="3" t="s">
        <v>15020</v>
      </c>
      <c r="D2714" s="3" t="s">
        <v>6978</v>
      </c>
      <c r="E2714" s="3" t="s">
        <v>7081</v>
      </c>
      <c r="F2714" s="10" t="str">
        <f aca="false">HYPERLINK("https://www.inaturalist.org/people/jjordan5765","jjordan5765")</f>
        <v>jjordan5765</v>
      </c>
      <c r="G2714" s="9" t="s">
        <v>13</v>
      </c>
      <c r="H2714" s="9" t="s">
        <v>15021</v>
      </c>
    </row>
    <row r="2715" customFormat="false" ht="15.75" hidden="false" customHeight="false" outlineLevel="0" collapsed="false">
      <c r="B2715" s="7" t="n">
        <v>46280</v>
      </c>
      <c r="C2715" s="3" t="s">
        <v>15022</v>
      </c>
      <c r="D2715" s="3" t="s">
        <v>6978</v>
      </c>
      <c r="E2715" s="3" t="s">
        <v>6982</v>
      </c>
      <c r="F2715" s="10" t="str">
        <f aca="false">HYPERLINK("https://www.inaturalist.org/people/oliver_g_jones","oliver_g_jones")</f>
        <v>oliver_g_jones</v>
      </c>
      <c r="G2715" s="9" t="s">
        <v>13</v>
      </c>
      <c r="H2715" s="9" t="s">
        <v>15023</v>
      </c>
    </row>
    <row r="2716" customFormat="false" ht="15.75" hidden="false" customHeight="false" outlineLevel="0" collapsed="false">
      <c r="B2716" s="7" t="n">
        <v>46280</v>
      </c>
      <c r="C2716" s="3" t="s">
        <v>15024</v>
      </c>
      <c r="D2716" s="3" t="s">
        <v>6978</v>
      </c>
      <c r="E2716" s="3" t="s">
        <v>7549</v>
      </c>
      <c r="F2716" s="10" t="str">
        <f aca="false">HYPERLINK("https://www.inaturalist.org/people/number10e","number10e")</f>
        <v>number10e</v>
      </c>
      <c r="G2716" s="9" t="s">
        <v>13</v>
      </c>
      <c r="H2716" s="9" t="s">
        <v>15025</v>
      </c>
    </row>
    <row r="2717" customFormat="false" ht="15.75" hidden="false" customHeight="false" outlineLevel="0" collapsed="false">
      <c r="B2717" s="7" t="n">
        <v>46280</v>
      </c>
      <c r="C2717" s="3" t="s">
        <v>15026</v>
      </c>
      <c r="D2717" s="3" t="s">
        <v>6978</v>
      </c>
      <c r="E2717" s="3" t="s">
        <v>7075</v>
      </c>
      <c r="F2717" s="10" t="str">
        <f aca="false">HYPERLINK("https://www.inaturalist.org/people/becklord97","becklord97")</f>
        <v>becklord97</v>
      </c>
      <c r="G2717" s="9" t="s">
        <v>13</v>
      </c>
      <c r="H2717" s="9" t="s">
        <v>15027</v>
      </c>
    </row>
    <row r="2718" customFormat="false" ht="15.75" hidden="false" customHeight="false" outlineLevel="0" collapsed="false">
      <c r="B2718" s="7" t="n">
        <v>46280</v>
      </c>
      <c r="C2718" s="3" t="s">
        <v>15028</v>
      </c>
      <c r="D2718" s="3" t="s">
        <v>6978</v>
      </c>
      <c r="E2718" s="3" t="s">
        <v>15029</v>
      </c>
      <c r="F2718" s="10" t="str">
        <f aca="false">HYPERLINK("https://www.inaturalist.org/people/markel_ricondo","markel_ricondo")</f>
        <v>markel_ricondo</v>
      </c>
      <c r="G2718" s="9" t="s">
        <v>13</v>
      </c>
      <c r="H2718" s="9" t="s">
        <v>15030</v>
      </c>
    </row>
    <row r="2719" customFormat="false" ht="15.75" hidden="false" customHeight="false" outlineLevel="0" collapsed="false">
      <c r="B2719" s="7" t="n">
        <v>46280</v>
      </c>
      <c r="C2719" s="3" t="s">
        <v>15031</v>
      </c>
      <c r="D2719" s="3" t="s">
        <v>6978</v>
      </c>
      <c r="E2719" s="3" t="s">
        <v>7264</v>
      </c>
      <c r="F2719" s="10" t="str">
        <f aca="false">HYPERLINK("https://www.inaturalist.org/people/markel_ricondo","markel_ricondo")</f>
        <v>markel_ricondo</v>
      </c>
      <c r="G2719" s="9" t="s">
        <v>13</v>
      </c>
      <c r="H2719" s="9" t="s">
        <v>15032</v>
      </c>
    </row>
    <row r="2720" customFormat="false" ht="15.75" hidden="false" customHeight="false" outlineLevel="0" collapsed="false">
      <c r="B2720" s="7" t="n">
        <v>46280</v>
      </c>
      <c r="C2720" s="3" t="s">
        <v>15033</v>
      </c>
      <c r="D2720" s="3" t="s">
        <v>6978</v>
      </c>
      <c r="E2720" s="3" t="s">
        <v>7186</v>
      </c>
      <c r="F2720" s="10" t="str">
        <f aca="false">HYPERLINK("https://www.inaturalist.org/people/lane_brubaker","lane_brubaker")</f>
        <v>lane_brubaker</v>
      </c>
      <c r="G2720" s="9" t="s">
        <v>13</v>
      </c>
      <c r="H2720" s="9" t="s">
        <v>15034</v>
      </c>
    </row>
    <row r="2721" customFormat="false" ht="15.75" hidden="false" customHeight="false" outlineLevel="0" collapsed="false">
      <c r="B2721" s="7" t="n">
        <v>46280</v>
      </c>
      <c r="C2721" s="3" t="s">
        <v>15035</v>
      </c>
      <c r="D2721" s="3" t="s">
        <v>6978</v>
      </c>
      <c r="E2721" s="3" t="s">
        <v>15036</v>
      </c>
      <c r="F2721" s="10" t="str">
        <f aca="false">HYPERLINK("https://www.inaturalist.org/people/viniciusguimaraes","viniciusguimaraes")</f>
        <v>viniciusguimaraes</v>
      </c>
      <c r="G2721" s="9" t="s">
        <v>13</v>
      </c>
      <c r="H2721" s="9" t="s">
        <v>15037</v>
      </c>
    </row>
    <row r="2722" customFormat="false" ht="15.75" hidden="false" customHeight="false" outlineLevel="0" collapsed="false">
      <c r="B2722" s="7" t="n">
        <v>46280</v>
      </c>
      <c r="C2722" s="3" t="s">
        <v>15038</v>
      </c>
      <c r="D2722" s="3" t="s">
        <v>6978</v>
      </c>
      <c r="E2722" s="3" t="s">
        <v>7687</v>
      </c>
      <c r="F2722" s="10" t="str">
        <f aca="false">HYPERLINK("https://www.inaturalist.org/people/ashely523","ashely523")</f>
        <v>ashely523</v>
      </c>
      <c r="G2722" s="9" t="s">
        <v>13</v>
      </c>
      <c r="H2722" s="9" t="s">
        <v>15039</v>
      </c>
    </row>
    <row r="2723" customFormat="false" ht="15.75" hidden="false" customHeight="false" outlineLevel="0" collapsed="false">
      <c r="B2723" s="7" t="n">
        <v>46280</v>
      </c>
      <c r="C2723" s="3" t="s">
        <v>15040</v>
      </c>
      <c r="D2723" s="3" t="s">
        <v>6978</v>
      </c>
      <c r="E2723" s="3" t="s">
        <v>7249</v>
      </c>
      <c r="F2723" s="10" t="str">
        <f aca="false">HYPERLINK("https://www.inaturalist.org/people/aditnehra","aditnehra")</f>
        <v>aditnehra</v>
      </c>
      <c r="G2723" s="9" t="s">
        <v>13</v>
      </c>
      <c r="H2723" s="9" t="s">
        <v>15041</v>
      </c>
    </row>
    <row r="2724" customFormat="false" ht="15.75" hidden="false" customHeight="false" outlineLevel="0" collapsed="false">
      <c r="B2724" s="7" t="n">
        <v>46280</v>
      </c>
      <c r="C2724" s="3" t="s">
        <v>15042</v>
      </c>
      <c r="D2724" s="3" t="s">
        <v>6978</v>
      </c>
      <c r="E2724" s="3" t="s">
        <v>7084</v>
      </c>
      <c r="F2724" s="10" t="str">
        <f aca="false">HYPERLINK("https://www.inaturalist.org/people/adognamedgoose","adognamedgoose")</f>
        <v>adognamedgoose</v>
      </c>
      <c r="G2724" s="9" t="s">
        <v>13</v>
      </c>
      <c r="H2724" s="9" t="s">
        <v>15043</v>
      </c>
    </row>
    <row r="2725" customFormat="false" ht="15.75" hidden="false" customHeight="false" outlineLevel="0" collapsed="false">
      <c r="B2725" s="7" t="n">
        <v>46280</v>
      </c>
      <c r="C2725" s="3" t="s">
        <v>15044</v>
      </c>
      <c r="D2725" s="3" t="s">
        <v>6978</v>
      </c>
      <c r="E2725" s="3" t="s">
        <v>7540</v>
      </c>
      <c r="F2725" s="10" t="str">
        <f aca="false">HYPERLINK("https://www.inaturalist.org/people/nortooo","nortooo")</f>
        <v>nortooo</v>
      </c>
      <c r="G2725" s="9" t="s">
        <v>13</v>
      </c>
      <c r="H2725" s="9" t="s">
        <v>15045</v>
      </c>
    </row>
    <row r="2726" customFormat="false" ht="15.75" hidden="false" customHeight="false" outlineLevel="0" collapsed="false">
      <c r="B2726" s="7" t="n">
        <v>46280</v>
      </c>
      <c r="C2726" s="3" t="s">
        <v>15046</v>
      </c>
      <c r="D2726" s="3" t="s">
        <v>6978</v>
      </c>
      <c r="E2726" s="3" t="s">
        <v>15047</v>
      </c>
      <c r="F2726" s="10" t="str">
        <f aca="false">HYPERLINK("https://www.inaturalist.org/people/waterboysh","waterboysh")</f>
        <v>waterboysh</v>
      </c>
      <c r="G2726" s="9" t="s">
        <v>13</v>
      </c>
      <c r="H2726" s="9" t="s">
        <v>15048</v>
      </c>
    </row>
    <row r="2727" customFormat="false" ht="15.75" hidden="false" customHeight="false" outlineLevel="0" collapsed="false">
      <c r="B2727" s="7" t="n">
        <v>46280</v>
      </c>
      <c r="C2727" s="3" t="s">
        <v>15049</v>
      </c>
      <c r="D2727" s="3" t="s">
        <v>6978</v>
      </c>
      <c r="E2727" s="3" t="s">
        <v>7318</v>
      </c>
      <c r="F2727" s="10" t="str">
        <f aca="false">HYPERLINK("https://www.inaturalist.org/people/danman2525","danman2525")</f>
        <v>danman2525</v>
      </c>
      <c r="G2727" s="9" t="s">
        <v>13</v>
      </c>
      <c r="H2727" s="9" t="s">
        <v>15050</v>
      </c>
    </row>
    <row r="2728" customFormat="false" ht="15.75" hidden="false" customHeight="false" outlineLevel="0" collapsed="false">
      <c r="B2728" s="7" t="n">
        <v>46280</v>
      </c>
      <c r="C2728" s="3" t="s">
        <v>15051</v>
      </c>
      <c r="D2728" s="3" t="s">
        <v>6978</v>
      </c>
      <c r="E2728" s="3" t="s">
        <v>15052</v>
      </c>
      <c r="F2728" s="10" t="str">
        <f aca="false">HYPERLINK("https://www.inaturalist.org/people/aidenbennettmmb","aidenbennettmmb")</f>
        <v>aidenbennettmmb</v>
      </c>
      <c r="G2728" s="9" t="s">
        <v>13</v>
      </c>
      <c r="H2728" s="9" t="s">
        <v>15053</v>
      </c>
    </row>
    <row r="2729" customFormat="false" ht="15.75" hidden="false" customHeight="false" outlineLevel="0" collapsed="false">
      <c r="B2729" s="7" t="n">
        <v>46280</v>
      </c>
      <c r="C2729" s="3" t="s">
        <v>15054</v>
      </c>
      <c r="D2729" s="3" t="s">
        <v>6978</v>
      </c>
      <c r="E2729" s="3" t="s">
        <v>15055</v>
      </c>
      <c r="F2729" s="10" t="str">
        <f aca="false">HYPERLINK("https://www.inaturalist.org/people/venox41","venox41")</f>
        <v>venox41</v>
      </c>
      <c r="G2729" s="9" t="s">
        <v>13</v>
      </c>
      <c r="H2729" s="9" t="s">
        <v>15056</v>
      </c>
    </row>
    <row r="2730" customFormat="false" ht="15.75" hidden="false" customHeight="false" outlineLevel="0" collapsed="false">
      <c r="B2730" s="7" t="n">
        <v>46280</v>
      </c>
      <c r="C2730" s="3" t="s">
        <v>15057</v>
      </c>
      <c r="D2730" s="3" t="s">
        <v>6978</v>
      </c>
      <c r="E2730" s="3" t="s">
        <v>15058</v>
      </c>
      <c r="F2730" s="10" t="str">
        <f aca="false">HYPERLINK("https://www.inaturalist.org/people/waterboysh","waterboysh")</f>
        <v>waterboysh</v>
      </c>
      <c r="G2730" s="9" t="s">
        <v>13</v>
      </c>
      <c r="H2730" s="9" t="s">
        <v>15059</v>
      </c>
    </row>
    <row r="2731" customFormat="false" ht="15.75" hidden="false" customHeight="false" outlineLevel="0" collapsed="false">
      <c r="B2731" s="7" t="n">
        <v>46280</v>
      </c>
      <c r="C2731" s="3" t="s">
        <v>15060</v>
      </c>
      <c r="D2731" s="3" t="s">
        <v>6978</v>
      </c>
      <c r="E2731" s="3" t="s">
        <v>7405</v>
      </c>
      <c r="F2731" s="10" t="str">
        <f aca="false">HYPERLINK("https://www.inaturalist.org/people/keiranwilliams","keiranwilliams")</f>
        <v>keiranwilliams</v>
      </c>
      <c r="G2731" s="9" t="s">
        <v>13</v>
      </c>
      <c r="H2731" s="9" t="s">
        <v>15061</v>
      </c>
    </row>
    <row r="2732" customFormat="false" ht="15.75" hidden="false" customHeight="false" outlineLevel="0" collapsed="false">
      <c r="B2732" s="7" t="n">
        <v>46280</v>
      </c>
      <c r="C2732" s="3" t="s">
        <v>15062</v>
      </c>
      <c r="D2732" s="3" t="s">
        <v>6978</v>
      </c>
      <c r="E2732" s="3" t="s">
        <v>15063</v>
      </c>
      <c r="F2732" s="10" t="str">
        <f aca="false">HYPERLINK("https://www.inaturalist.org/people/melquiescalantev","melquiescalantev")</f>
        <v>melquiescalantev</v>
      </c>
      <c r="G2732" s="9" t="s">
        <v>13</v>
      </c>
      <c r="H2732" s="9" t="s">
        <v>15064</v>
      </c>
    </row>
    <row r="2733" customFormat="false" ht="15.75" hidden="false" customHeight="false" outlineLevel="0" collapsed="false">
      <c r="B2733" s="7" t="n">
        <v>46280</v>
      </c>
      <c r="C2733" s="3" t="s">
        <v>15065</v>
      </c>
      <c r="D2733" s="3" t="s">
        <v>6978</v>
      </c>
      <c r="E2733" s="3" t="s">
        <v>15066</v>
      </c>
      <c r="F2733" s="10" t="str">
        <f aca="false">HYPERLINK("https://www.inaturalist.org/people/pslichter","pslichter")</f>
        <v>pslichter</v>
      </c>
      <c r="G2733" s="9" t="s">
        <v>13</v>
      </c>
      <c r="H2733" s="9" t="s">
        <v>15067</v>
      </c>
    </row>
    <row r="2734" customFormat="false" ht="15.75" hidden="false" customHeight="false" outlineLevel="0" collapsed="false">
      <c r="B2734" s="7" t="n">
        <v>46280</v>
      </c>
      <c r="C2734" s="3" t="s">
        <v>15068</v>
      </c>
      <c r="D2734" s="3" t="s">
        <v>6978</v>
      </c>
      <c r="E2734" s="3" t="s">
        <v>15069</v>
      </c>
      <c r="F2734" s="10" t="str">
        <f aca="false">HYPERLINK("https://www.inaturalist.org/people/f_genesis","f_genesis")</f>
        <v>f_genesis</v>
      </c>
      <c r="G2734" s="9" t="s">
        <v>13</v>
      </c>
      <c r="H2734" s="9" t="s">
        <v>15070</v>
      </c>
    </row>
    <row r="2735" customFormat="false" ht="15.75" hidden="false" customHeight="false" outlineLevel="0" collapsed="false">
      <c r="B2735" s="7" t="n">
        <v>46280</v>
      </c>
      <c r="C2735" s="3" t="s">
        <v>15071</v>
      </c>
      <c r="D2735" s="3" t="s">
        <v>6978</v>
      </c>
      <c r="E2735" s="3" t="s">
        <v>15072</v>
      </c>
      <c r="F2735" s="10" t="str">
        <f aca="false">HYPERLINK("https://www.inaturalist.org/people/coconuttree","coconuttree")</f>
        <v>coconuttree</v>
      </c>
      <c r="G2735" s="9" t="s">
        <v>13</v>
      </c>
      <c r="H2735" s="9" t="s">
        <v>15073</v>
      </c>
    </row>
    <row r="2736" customFormat="false" ht="15.75" hidden="false" customHeight="false" outlineLevel="0" collapsed="false">
      <c r="B2736" s="7" t="n">
        <v>46280</v>
      </c>
      <c r="C2736" s="3" t="s">
        <v>15074</v>
      </c>
      <c r="D2736" s="3" t="s">
        <v>6978</v>
      </c>
      <c r="E2736" s="3" t="s">
        <v>7189</v>
      </c>
      <c r="F2736" s="10" t="str">
        <f aca="false">HYPERLINK("https://www.inaturalist.org/people/thijsvalkenburg","thijsvalkenburg")</f>
        <v>thijsvalkenburg</v>
      </c>
      <c r="G2736" s="9" t="s">
        <v>13</v>
      </c>
      <c r="H2736" s="9" t="s">
        <v>15075</v>
      </c>
    </row>
    <row r="2737" customFormat="false" ht="15.75" hidden="false" customHeight="false" outlineLevel="0" collapsed="false">
      <c r="B2737" s="7" t="n">
        <v>46280</v>
      </c>
      <c r="C2737" s="3" t="s">
        <v>15076</v>
      </c>
      <c r="D2737" s="3" t="s">
        <v>6978</v>
      </c>
      <c r="E2737" s="3" t="s">
        <v>7282</v>
      </c>
      <c r="F2737" s="10" t="str">
        <f aca="false">HYPERLINK("https://www.inaturalist.org/people/chlo-rophyll","chlo-rophyll")</f>
        <v>chlo-rophyll</v>
      </c>
      <c r="G2737" s="9" t="s">
        <v>13</v>
      </c>
      <c r="H2737" s="9" t="s">
        <v>15077</v>
      </c>
    </row>
    <row r="2738" customFormat="false" ht="15.75" hidden="false" customHeight="false" outlineLevel="0" collapsed="false">
      <c r="B2738" s="7" t="n">
        <v>46280</v>
      </c>
      <c r="C2738" s="3" t="s">
        <v>15078</v>
      </c>
      <c r="D2738" s="3" t="s">
        <v>6978</v>
      </c>
      <c r="E2738" s="3" t="s">
        <v>15079</v>
      </c>
      <c r="F2738" s="10" t="str">
        <f aca="false">HYPERLINK("https://www.inaturalist.org/people/karim_imran_clicks","karim_imran_clicks")</f>
        <v>karim_imran_clicks</v>
      </c>
      <c r="G2738" s="9" t="s">
        <v>13</v>
      </c>
      <c r="H2738" s="9" t="s">
        <v>15080</v>
      </c>
    </row>
    <row r="2739" customFormat="false" ht="15.75" hidden="false" customHeight="false" outlineLevel="0" collapsed="false">
      <c r="B2739" s="7" t="n">
        <v>46280</v>
      </c>
      <c r="C2739" s="3" t="s">
        <v>15081</v>
      </c>
      <c r="D2739" s="3" t="s">
        <v>6978</v>
      </c>
      <c r="E2739" s="3" t="s">
        <v>7156</v>
      </c>
      <c r="F2739" s="10" t="str">
        <f aca="false">HYPERLINK("https://www.inaturalist.org/people/ekkehard_kluge","ekkehard_kluge")</f>
        <v>ekkehard_kluge</v>
      </c>
      <c r="G2739" s="9" t="s">
        <v>13</v>
      </c>
      <c r="H2739" s="9" t="s">
        <v>15082</v>
      </c>
    </row>
    <row r="2740" customFormat="false" ht="15.75" hidden="false" customHeight="false" outlineLevel="0" collapsed="false">
      <c r="B2740" s="7" t="n">
        <v>46280</v>
      </c>
      <c r="C2740" s="3" t="s">
        <v>15083</v>
      </c>
      <c r="D2740" s="3" t="s">
        <v>6978</v>
      </c>
      <c r="E2740" s="3" t="s">
        <v>15084</v>
      </c>
      <c r="F2740" s="10" t="str">
        <f aca="false">HYPERLINK("https://www.inaturalist.org/people/zdubz","zdubz")</f>
        <v>zdubz</v>
      </c>
      <c r="G2740" s="9" t="s">
        <v>13</v>
      </c>
      <c r="H2740" s="9" t="s">
        <v>15085</v>
      </c>
    </row>
    <row r="2741" customFormat="false" ht="15.75" hidden="false" customHeight="false" outlineLevel="0" collapsed="false">
      <c r="B2741" s="7" t="n">
        <v>46280</v>
      </c>
      <c r="C2741" s="3" t="s">
        <v>15086</v>
      </c>
      <c r="D2741" s="3" t="s">
        <v>6978</v>
      </c>
      <c r="E2741" s="3" t="s">
        <v>7036</v>
      </c>
      <c r="F2741" s="10" t="str">
        <f aca="false">HYPERLINK("https://www.inaturalist.org/people/tricks96","tricks96")</f>
        <v>tricks96</v>
      </c>
      <c r="G2741" s="9" t="s">
        <v>13</v>
      </c>
      <c r="H2741" s="9" t="s">
        <v>15087</v>
      </c>
    </row>
    <row r="2742" customFormat="false" ht="15.75" hidden="false" customHeight="false" outlineLevel="0" collapsed="false">
      <c r="B2742" s="7" t="n">
        <v>46280</v>
      </c>
      <c r="C2742" s="3" t="s">
        <v>15088</v>
      </c>
      <c r="D2742" s="3" t="s">
        <v>6978</v>
      </c>
      <c r="E2742" s="3" t="s">
        <v>15089</v>
      </c>
      <c r="F2742" s="10" t="str">
        <f aca="false">HYPERLINK("https://www.inaturalist.org/people/jamesthegeologist","jamesthegeologist")</f>
        <v>jamesthegeologist</v>
      </c>
      <c r="G2742" s="9" t="s">
        <v>13</v>
      </c>
      <c r="H2742" s="9" t="s">
        <v>15090</v>
      </c>
    </row>
    <row r="2743" customFormat="false" ht="15.75" hidden="false" customHeight="false" outlineLevel="0" collapsed="false">
      <c r="B2743" s="7" t="n">
        <v>46280</v>
      </c>
      <c r="C2743" s="3" t="s">
        <v>15091</v>
      </c>
      <c r="D2743" s="3" t="s">
        <v>6978</v>
      </c>
      <c r="E2743" s="3" t="s">
        <v>7153</v>
      </c>
      <c r="F2743" s="10" t="str">
        <f aca="false">HYPERLINK("https://www.inaturalist.org/people/amphibwillus","amphibwillus")</f>
        <v>amphibwillus</v>
      </c>
      <c r="G2743" s="9" t="s">
        <v>13</v>
      </c>
      <c r="H2743" s="9" t="s">
        <v>15092</v>
      </c>
    </row>
    <row r="2744" customFormat="false" ht="15.75" hidden="false" customHeight="false" outlineLevel="0" collapsed="false">
      <c r="B2744" s="7" t="n">
        <v>46280</v>
      </c>
      <c r="C2744" s="3" t="s">
        <v>15093</v>
      </c>
      <c r="D2744" s="3" t="s">
        <v>6978</v>
      </c>
      <c r="E2744" s="3" t="s">
        <v>15094</v>
      </c>
      <c r="F2744" s="10" t="str">
        <f aca="false">HYPERLINK("https://www.inaturalist.org/people/kateryna_f","kateryna_f")</f>
        <v>kateryna_f</v>
      </c>
      <c r="G2744" s="9" t="s">
        <v>13</v>
      </c>
      <c r="H2744" s="9" t="s">
        <v>15095</v>
      </c>
    </row>
    <row r="2745" customFormat="false" ht="15.75" hidden="false" customHeight="false" outlineLevel="0" collapsed="false">
      <c r="B2745" s="7" t="n">
        <v>46280</v>
      </c>
      <c r="C2745" s="3" t="s">
        <v>15096</v>
      </c>
      <c r="D2745" s="3" t="s">
        <v>6978</v>
      </c>
      <c r="E2745" s="3" t="s">
        <v>15097</v>
      </c>
      <c r="F2745" s="10" t="str">
        <f aca="false">HYPERLINK("https://www.inaturalist.org/people/jeromerz","jeromerz")</f>
        <v>jeromerz</v>
      </c>
      <c r="G2745" s="9" t="s">
        <v>13</v>
      </c>
      <c r="H2745" s="9" t="s">
        <v>15098</v>
      </c>
    </row>
    <row r="2746" customFormat="false" ht="15.75" hidden="false" customHeight="false" outlineLevel="0" collapsed="false">
      <c r="B2746" s="7" t="n">
        <v>46280</v>
      </c>
      <c r="C2746" s="3" t="s">
        <v>15099</v>
      </c>
      <c r="D2746" s="3" t="s">
        <v>6978</v>
      </c>
      <c r="E2746" s="3" t="s">
        <v>7048</v>
      </c>
      <c r="F2746" s="10" t="str">
        <f aca="false">HYPERLINK("https://www.inaturalist.org/people/rexia","rexia")</f>
        <v>rexia</v>
      </c>
      <c r="G2746" s="9" t="s">
        <v>13</v>
      </c>
      <c r="H2746" s="9" t="s">
        <v>15100</v>
      </c>
    </row>
    <row r="2747" customFormat="false" ht="15.75" hidden="false" customHeight="false" outlineLevel="0" collapsed="false">
      <c r="B2747" s="7" t="n">
        <v>46280</v>
      </c>
      <c r="C2747" s="3" t="s">
        <v>15101</v>
      </c>
      <c r="D2747" s="3" t="s">
        <v>6978</v>
      </c>
      <c r="E2747" s="3" t="s">
        <v>7495</v>
      </c>
      <c r="F2747" s="10" t="str">
        <f aca="false">HYPERLINK("https://www.inaturalist.org/people/alex20az","alex20az")</f>
        <v>alex20az</v>
      </c>
      <c r="G2747" s="9" t="s">
        <v>13</v>
      </c>
      <c r="H2747" s="9" t="s">
        <v>15102</v>
      </c>
    </row>
    <row r="2748" customFormat="false" ht="15.75" hidden="false" customHeight="false" outlineLevel="0" collapsed="false">
      <c r="B2748" s="7" t="n">
        <v>46280</v>
      </c>
      <c r="C2748" s="3" t="s">
        <v>15103</v>
      </c>
      <c r="D2748" s="3" t="s">
        <v>6978</v>
      </c>
      <c r="E2748" s="3" t="s">
        <v>15104</v>
      </c>
      <c r="F2748" s="10" t="str">
        <f aca="false">HYPERLINK("https://www.inaturalist.org/people/karen_pm","karen_pm")</f>
        <v>karen_pm</v>
      </c>
      <c r="G2748" s="9" t="s">
        <v>13</v>
      </c>
      <c r="H2748" s="9" t="s">
        <v>15105</v>
      </c>
    </row>
    <row r="2749" customFormat="false" ht="15.75" hidden="false" customHeight="false" outlineLevel="0" collapsed="false">
      <c r="B2749" s="7" t="n">
        <v>46280</v>
      </c>
      <c r="C2749" s="3" t="s">
        <v>15106</v>
      </c>
      <c r="D2749" s="3" t="s">
        <v>6978</v>
      </c>
      <c r="E2749" s="3" t="s">
        <v>15107</v>
      </c>
      <c r="F2749" s="10" t="str">
        <f aca="false">HYPERLINK("https://www.inaturalist.org/people/samuelcev","samuelcev")</f>
        <v>samuelcev</v>
      </c>
      <c r="G2749" s="9" t="s">
        <v>13</v>
      </c>
      <c r="H2749" s="9" t="s">
        <v>15108</v>
      </c>
    </row>
    <row r="2750" customFormat="false" ht="15.75" hidden="false" customHeight="false" outlineLevel="0" collapsed="false">
      <c r="B2750" s="7" t="n">
        <v>46280</v>
      </c>
      <c r="C2750" s="3" t="s">
        <v>15109</v>
      </c>
      <c r="D2750" s="3" t="s">
        <v>6978</v>
      </c>
      <c r="E2750" s="3" t="s">
        <v>15110</v>
      </c>
      <c r="F2750" s="10" t="str">
        <f aca="false">HYPERLINK("https://www.inaturalist.org/people/suelencarvalho_07","suelencarvalho_07")</f>
        <v>suelencarvalho_07</v>
      </c>
      <c r="G2750" s="9" t="s">
        <v>13</v>
      </c>
      <c r="H2750" s="9" t="s">
        <v>15111</v>
      </c>
    </row>
    <row r="2751" customFormat="false" ht="15.75" hidden="false" customHeight="false" outlineLevel="0" collapsed="false">
      <c r="B2751" s="7" t="n">
        <v>46280</v>
      </c>
      <c r="C2751" s="3" t="s">
        <v>15112</v>
      </c>
      <c r="D2751" s="3" t="s">
        <v>6978</v>
      </c>
      <c r="E2751" s="3" t="s">
        <v>15113</v>
      </c>
      <c r="F2751" s="10" t="str">
        <f aca="false">HYPERLINK("https://www.inaturalist.org/people/felixcibils","felixcibils")</f>
        <v>felixcibils</v>
      </c>
      <c r="G2751" s="9" t="s">
        <v>13</v>
      </c>
      <c r="H2751" s="9" t="s">
        <v>15114</v>
      </c>
    </row>
    <row r="2752" customFormat="false" ht="15.75" hidden="false" customHeight="false" outlineLevel="0" collapsed="false">
      <c r="B2752" s="7" t="n">
        <v>46280</v>
      </c>
      <c r="C2752" s="3" t="s">
        <v>15115</v>
      </c>
      <c r="D2752" s="3" t="s">
        <v>6978</v>
      </c>
      <c r="E2752" s="3" t="s">
        <v>7039</v>
      </c>
      <c r="F2752" s="10" t="str">
        <f aca="false">HYPERLINK("https://www.inaturalist.org/people/bjslaing","bjslaing")</f>
        <v>bjslaing</v>
      </c>
      <c r="G2752" s="9" t="s">
        <v>13</v>
      </c>
      <c r="H2752" s="9" t="s">
        <v>15116</v>
      </c>
    </row>
    <row r="2753" customFormat="false" ht="15.75" hidden="false" customHeight="false" outlineLevel="0" collapsed="false">
      <c r="B2753" s="7" t="n">
        <v>46280</v>
      </c>
      <c r="C2753" s="3" t="s">
        <v>15117</v>
      </c>
      <c r="D2753" s="3" t="s">
        <v>6978</v>
      </c>
      <c r="E2753" s="3" t="s">
        <v>7501</v>
      </c>
      <c r="F2753" s="10" t="str">
        <f aca="false">HYPERLINK("https://www.inaturalist.org/people/marikorrin","marikorrin")</f>
        <v>marikorrin</v>
      </c>
      <c r="G2753" s="9" t="s">
        <v>13</v>
      </c>
      <c r="H2753" s="9" t="s">
        <v>15118</v>
      </c>
    </row>
    <row r="2754" customFormat="false" ht="15.75" hidden="false" customHeight="false" outlineLevel="0" collapsed="false">
      <c r="B2754" s="7" t="n">
        <v>46280</v>
      </c>
      <c r="C2754" s="3" t="s">
        <v>15119</v>
      </c>
      <c r="D2754" s="3" t="s">
        <v>6978</v>
      </c>
      <c r="E2754" s="3" t="s">
        <v>7207</v>
      </c>
      <c r="F2754" s="10" t="str">
        <f aca="false">HYPERLINK("https://www.inaturalist.org/people/klausweinstein","klausweinstein")</f>
        <v>klausweinstein</v>
      </c>
      <c r="G2754" s="9" t="s">
        <v>13</v>
      </c>
      <c r="H2754" s="9" t="s">
        <v>15120</v>
      </c>
    </row>
    <row r="2755" customFormat="false" ht="15.75" hidden="false" customHeight="false" outlineLevel="0" collapsed="false">
      <c r="B2755" s="7" t="n">
        <v>46280</v>
      </c>
      <c r="C2755" s="3" t="s">
        <v>15121</v>
      </c>
      <c r="D2755" s="3" t="s">
        <v>6978</v>
      </c>
      <c r="E2755" s="3" t="s">
        <v>15122</v>
      </c>
      <c r="F2755" s="10" t="str">
        <f aca="false">HYPERLINK("https://www.inaturalist.org/people/karimli","karimli")</f>
        <v>karimli</v>
      </c>
      <c r="G2755" s="9" t="s">
        <v>13</v>
      </c>
      <c r="H2755" s="9" t="s">
        <v>15123</v>
      </c>
    </row>
    <row r="2756" customFormat="false" ht="15.75" hidden="false" customHeight="false" outlineLevel="0" collapsed="false">
      <c r="B2756" s="7" t="n">
        <v>46280</v>
      </c>
      <c r="C2756" s="3" t="s">
        <v>15124</v>
      </c>
      <c r="D2756" s="3" t="s">
        <v>6978</v>
      </c>
      <c r="E2756" s="3" t="s">
        <v>15125</v>
      </c>
      <c r="F2756" s="10" t="str">
        <f aca="false">HYPERLINK("https://www.inaturalist.org/people/slowphiebland","slowphiebland")</f>
        <v>slowphiebland</v>
      </c>
      <c r="G2756" s="9" t="s">
        <v>13</v>
      </c>
      <c r="H2756" s="9" t="s">
        <v>15126</v>
      </c>
    </row>
    <row r="2757" customFormat="false" ht="15.75" hidden="false" customHeight="false" outlineLevel="0" collapsed="false">
      <c r="B2757" s="7" t="n">
        <v>46280</v>
      </c>
      <c r="C2757" s="3" t="s">
        <v>15127</v>
      </c>
      <c r="D2757" s="3" t="s">
        <v>6978</v>
      </c>
      <c r="E2757" s="3" t="s">
        <v>15128</v>
      </c>
      <c r="F2757" s="10" t="str">
        <f aca="false">HYPERLINK("https://www.inaturalist.org/people/suarebz","suarebz")</f>
        <v>suarebz</v>
      </c>
      <c r="G2757" s="9" t="s">
        <v>13</v>
      </c>
      <c r="H2757" s="9" t="s">
        <v>15129</v>
      </c>
    </row>
    <row r="2758" customFormat="false" ht="15.75" hidden="false" customHeight="false" outlineLevel="0" collapsed="false">
      <c r="B2758" s="7" t="n">
        <v>46280</v>
      </c>
      <c r="C2758" s="3" t="s">
        <v>15130</v>
      </c>
      <c r="D2758" s="3" t="s">
        <v>6978</v>
      </c>
      <c r="E2758" s="3" t="s">
        <v>7585</v>
      </c>
      <c r="F2758" s="10" t="str">
        <f aca="false">HYPERLINK("https://www.inaturalist.org/people/pwilson96","pwilson96")</f>
        <v>pwilson96</v>
      </c>
      <c r="G2758" s="9" t="s">
        <v>13</v>
      </c>
      <c r="H2758" s="9" t="s">
        <v>15131</v>
      </c>
    </row>
    <row r="2759" customFormat="false" ht="15.75" hidden="false" customHeight="false" outlineLevel="0" collapsed="false">
      <c r="B2759" s="7" t="n">
        <v>46280</v>
      </c>
      <c r="C2759" s="3" t="s">
        <v>15132</v>
      </c>
      <c r="D2759" s="3" t="s">
        <v>6978</v>
      </c>
      <c r="E2759" s="3" t="s">
        <v>15133</v>
      </c>
      <c r="F2759" s="10" t="str">
        <f aca="false">HYPERLINK("https://www.inaturalist.org/people/texotics","texotics")</f>
        <v>texotics</v>
      </c>
      <c r="G2759" s="9" t="s">
        <v>13</v>
      </c>
      <c r="H2759" s="9" t="s">
        <v>15134</v>
      </c>
    </row>
    <row r="2760" customFormat="false" ht="15.75" hidden="false" customHeight="false" outlineLevel="0" collapsed="false">
      <c r="B2760" s="7" t="n">
        <v>46280</v>
      </c>
      <c r="C2760" s="3" t="s">
        <v>15135</v>
      </c>
      <c r="D2760" s="3" t="s">
        <v>6978</v>
      </c>
      <c r="E2760" s="3" t="s">
        <v>15136</v>
      </c>
      <c r="F2760" s="10" t="str">
        <f aca="false">HYPERLINK("https://www.inaturalist.org/people/grupo20sa","grupo20sa")</f>
        <v>grupo20sa</v>
      </c>
      <c r="G2760" s="9" t="s">
        <v>13</v>
      </c>
      <c r="H2760" s="9" t="s">
        <v>15137</v>
      </c>
    </row>
    <row r="2761" customFormat="false" ht="15.75" hidden="false" customHeight="false" outlineLevel="0" collapsed="false">
      <c r="B2761" s="7" t="n">
        <v>46280</v>
      </c>
      <c r="C2761" s="3" t="s">
        <v>15138</v>
      </c>
      <c r="D2761" s="3" t="s">
        <v>6978</v>
      </c>
      <c r="E2761" s="3" t="s">
        <v>15139</v>
      </c>
      <c r="F2761" s="10" t="str">
        <f aca="false">HYPERLINK("https://www.inaturalist.org/people/aniket3410","aniket3410")</f>
        <v>aniket3410</v>
      </c>
      <c r="G2761" s="9" t="s">
        <v>13</v>
      </c>
      <c r="H2761" s="9" t="s">
        <v>15140</v>
      </c>
    </row>
    <row r="2762" customFormat="false" ht="15.75" hidden="false" customHeight="false" outlineLevel="0" collapsed="false">
      <c r="B2762" s="7" t="n">
        <v>46280</v>
      </c>
      <c r="C2762" s="3" t="s">
        <v>15141</v>
      </c>
      <c r="D2762" s="3" t="s">
        <v>6978</v>
      </c>
      <c r="E2762" s="3" t="s">
        <v>7027</v>
      </c>
      <c r="F2762" s="10" t="str">
        <f aca="false">HYPERLINK("https://www.inaturalist.org/people/emacionus","emacionus")</f>
        <v>emacionus</v>
      </c>
      <c r="G2762" s="9" t="s">
        <v>13</v>
      </c>
      <c r="H2762" s="9" t="s">
        <v>15142</v>
      </c>
    </row>
    <row r="2763" customFormat="false" ht="15.75" hidden="false" customHeight="false" outlineLevel="0" collapsed="false">
      <c r="B2763" s="7" t="n">
        <v>46280</v>
      </c>
      <c r="C2763" s="3" t="s">
        <v>15143</v>
      </c>
      <c r="D2763" s="3" t="s">
        <v>6978</v>
      </c>
      <c r="E2763" s="3" t="s">
        <v>7135</v>
      </c>
      <c r="F2763" s="10" t="str">
        <f aca="false">HYPERLINK("https://www.inaturalist.org/people/saqas860208","saqas860208")</f>
        <v>saqas860208</v>
      </c>
      <c r="G2763" s="9" t="s">
        <v>13</v>
      </c>
      <c r="H2763" s="9" t="s">
        <v>15144</v>
      </c>
    </row>
    <row r="2764" customFormat="false" ht="15.75" hidden="false" customHeight="false" outlineLevel="0" collapsed="false">
      <c r="B2764" s="7" t="n">
        <v>46280</v>
      </c>
      <c r="C2764" s="3" t="s">
        <v>15145</v>
      </c>
      <c r="D2764" s="3" t="s">
        <v>6978</v>
      </c>
      <c r="E2764" s="3" t="s">
        <v>15146</v>
      </c>
      <c r="F2764" s="10" t="str">
        <f aca="false">HYPERLINK("https://www.inaturalist.org/people/bwb0414","bwb0414")</f>
        <v>bwb0414</v>
      </c>
      <c r="G2764" s="9" t="s">
        <v>13</v>
      </c>
      <c r="H2764" s="9" t="s">
        <v>15147</v>
      </c>
    </row>
    <row r="2765" customFormat="false" ht="15.75" hidden="false" customHeight="false" outlineLevel="0" collapsed="false">
      <c r="B2765" s="7" t="n">
        <v>46280</v>
      </c>
      <c r="C2765" s="3" t="s">
        <v>15148</v>
      </c>
      <c r="D2765" s="3" t="s">
        <v>6978</v>
      </c>
      <c r="E2765" s="3" t="s">
        <v>15149</v>
      </c>
      <c r="F2765" s="10" t="str">
        <f aca="false">HYPERLINK("https://www.inaturalist.org/people/catbirdcatfish","catbirdcatfish")</f>
        <v>catbirdcatfish</v>
      </c>
      <c r="G2765" s="9" t="s">
        <v>13</v>
      </c>
      <c r="H2765" s="9" t="s">
        <v>15150</v>
      </c>
    </row>
    <row r="2766" customFormat="false" ht="15.75" hidden="false" customHeight="false" outlineLevel="0" collapsed="false">
      <c r="B2766" s="7" t="n">
        <v>46280</v>
      </c>
      <c r="C2766" s="3" t="s">
        <v>15151</v>
      </c>
      <c r="D2766" s="3" t="s">
        <v>6978</v>
      </c>
      <c r="E2766" s="3" t="s">
        <v>7690</v>
      </c>
      <c r="F2766" s="10" t="str">
        <f aca="false">HYPERLINK("https://www.inaturalist.org/people/bwb0414","bwb0414")</f>
        <v>bwb0414</v>
      </c>
      <c r="G2766" s="9" t="s">
        <v>13</v>
      </c>
      <c r="H2766" s="9" t="s">
        <v>15152</v>
      </c>
    </row>
    <row r="2767" customFormat="false" ht="15.75" hidden="false" customHeight="false" outlineLevel="0" collapsed="false">
      <c r="B2767" s="7" t="n">
        <v>46280</v>
      </c>
      <c r="C2767" s="3" t="s">
        <v>15153</v>
      </c>
      <c r="D2767" s="3" t="s">
        <v>6978</v>
      </c>
      <c r="E2767" s="3" t="s">
        <v>15154</v>
      </c>
      <c r="F2767" s="10" t="str">
        <f aca="false">HYPERLINK("https://www.inaturalist.org/people/mauro_fioretto","mauro_fioretto")</f>
        <v>mauro_fioretto</v>
      </c>
      <c r="G2767" s="9" t="s">
        <v>13</v>
      </c>
      <c r="H2767" s="9" t="s">
        <v>15155</v>
      </c>
    </row>
    <row r="2768" customFormat="false" ht="15.75" hidden="false" customHeight="false" outlineLevel="0" collapsed="false">
      <c r="B2768" s="7" t="n">
        <v>46280</v>
      </c>
      <c r="C2768" s="3" t="s">
        <v>15156</v>
      </c>
      <c r="D2768" s="3" t="s">
        <v>6978</v>
      </c>
      <c r="E2768" s="3" t="s">
        <v>15157</v>
      </c>
      <c r="F2768" s="10" t="str">
        <f aca="false">HYPERLINK("https://www.inaturalist.org/people/mattional_geographic","mattional_geographic")</f>
        <v>mattional_geographic</v>
      </c>
      <c r="G2768" s="9" t="s">
        <v>13</v>
      </c>
      <c r="H2768" s="9" t="s">
        <v>15158</v>
      </c>
    </row>
    <row r="2769" customFormat="false" ht="15.75" hidden="false" customHeight="false" outlineLevel="0" collapsed="false">
      <c r="B2769" s="7" t="n">
        <v>46280</v>
      </c>
      <c r="C2769" s="3" t="s">
        <v>15159</v>
      </c>
      <c r="D2769" s="3" t="s">
        <v>6978</v>
      </c>
      <c r="E2769" s="3" t="s">
        <v>7216</v>
      </c>
      <c r="F2769" s="10" t="str">
        <f aca="false">HYPERLINK("https://www.inaturalist.org/people/dannywolf","dannywolf")</f>
        <v>dannywolf</v>
      </c>
      <c r="G2769" s="9" t="s">
        <v>13</v>
      </c>
      <c r="H2769" s="9" t="s">
        <v>15160</v>
      </c>
    </row>
    <row r="2770" customFormat="false" ht="15.75" hidden="false" customHeight="false" outlineLevel="0" collapsed="false">
      <c r="B2770" s="7" t="n">
        <v>46280</v>
      </c>
      <c r="C2770" s="3" t="s">
        <v>15161</v>
      </c>
      <c r="D2770" s="3" t="s">
        <v>6978</v>
      </c>
      <c r="E2770" s="3" t="s">
        <v>15162</v>
      </c>
      <c r="F2770" s="10" t="str">
        <f aca="false">HYPERLINK("https://www.inaturalist.org/people/efreutel","efreutel")</f>
        <v>efreutel</v>
      </c>
      <c r="G2770" s="9" t="s">
        <v>13</v>
      </c>
      <c r="H2770" s="9" t="s">
        <v>15163</v>
      </c>
    </row>
    <row r="2771" customFormat="false" ht="15.75" hidden="false" customHeight="false" outlineLevel="0" collapsed="false">
      <c r="B2771" s="7" t="n">
        <v>46280</v>
      </c>
      <c r="C2771" s="3" t="s">
        <v>15164</v>
      </c>
      <c r="D2771" s="3" t="s">
        <v>6978</v>
      </c>
      <c r="E2771" s="3" t="s">
        <v>15165</v>
      </c>
      <c r="F2771" s="10" t="str">
        <f aca="false">HYPERLINK("https://www.inaturalist.org/people/your-ao3-handle","your-ao3-handle")</f>
        <v>your-ao3-handle</v>
      </c>
      <c r="G2771" s="9" t="s">
        <v>13</v>
      </c>
      <c r="H2771" s="9" t="s">
        <v>15166</v>
      </c>
    </row>
    <row r="2772" customFormat="false" ht="15.75" hidden="false" customHeight="false" outlineLevel="0" collapsed="false">
      <c r="B2772" s="7" t="n">
        <v>46280</v>
      </c>
      <c r="C2772" s="3" t="s">
        <v>15167</v>
      </c>
      <c r="D2772" s="3" t="s">
        <v>6978</v>
      </c>
      <c r="E2772" s="3" t="s">
        <v>15168</v>
      </c>
      <c r="F2772" s="10" t="str">
        <f aca="false">HYPERLINK("https://www.inaturalist.org/people/loneconifer","loneconifer")</f>
        <v>loneconifer</v>
      </c>
      <c r="G2772" s="9" t="s">
        <v>13</v>
      </c>
      <c r="H2772" s="9" t="s">
        <v>15169</v>
      </c>
    </row>
    <row r="2773" customFormat="false" ht="15.75" hidden="false" customHeight="false" outlineLevel="0" collapsed="false">
      <c r="B2773" s="7" t="n">
        <v>46280</v>
      </c>
      <c r="C2773" s="3" t="s">
        <v>15170</v>
      </c>
      <c r="D2773" s="3" t="s">
        <v>6978</v>
      </c>
      <c r="E2773" s="3" t="s">
        <v>15171</v>
      </c>
      <c r="F2773" s="10" t="str">
        <f aca="false">HYPERLINK("https://www.inaturalist.org/people/marikorrin","marikorrin")</f>
        <v>marikorrin</v>
      </c>
      <c r="G2773" s="9" t="s">
        <v>13</v>
      </c>
      <c r="H2773" s="9" t="s">
        <v>15172</v>
      </c>
    </row>
    <row r="2774" customFormat="false" ht="15.75" hidden="false" customHeight="false" outlineLevel="0" collapsed="false">
      <c r="B2774" s="7" t="n">
        <v>46280</v>
      </c>
      <c r="C2774" s="3" t="s">
        <v>15173</v>
      </c>
      <c r="D2774" s="3" t="s">
        <v>6978</v>
      </c>
      <c r="E2774" s="3" t="s">
        <v>7348</v>
      </c>
      <c r="F2774" s="10" t="str">
        <f aca="false">HYPERLINK("https://www.inaturalist.org/people/loneconifer","loneconifer")</f>
        <v>loneconifer</v>
      </c>
      <c r="G2774" s="9" t="s">
        <v>13</v>
      </c>
      <c r="H2774" s="9" t="s">
        <v>15174</v>
      </c>
    </row>
    <row r="2775" customFormat="false" ht="15.75" hidden="false" customHeight="false" outlineLevel="0" collapsed="false">
      <c r="B2775" s="7" t="n">
        <v>46280</v>
      </c>
      <c r="C2775" s="3" t="s">
        <v>15175</v>
      </c>
      <c r="D2775" s="3" t="s">
        <v>6978</v>
      </c>
      <c r="E2775" s="3" t="s">
        <v>15176</v>
      </c>
      <c r="F2775" s="10" t="str">
        <f aca="false">HYPERLINK("https://www.inaturalist.org/people/mbaggett1","mbaggett1")</f>
        <v>mbaggett1</v>
      </c>
      <c r="G2775" s="9" t="s">
        <v>13</v>
      </c>
      <c r="H2775" s="9" t="s">
        <v>15177</v>
      </c>
    </row>
    <row r="2776" customFormat="false" ht="15.75" hidden="false" customHeight="false" outlineLevel="0" collapsed="false">
      <c r="B2776" s="7" t="n">
        <v>46280</v>
      </c>
      <c r="C2776" s="3" t="s">
        <v>15178</v>
      </c>
      <c r="D2776" s="3" t="s">
        <v>6978</v>
      </c>
      <c r="E2776" s="3" t="s">
        <v>15179</v>
      </c>
      <c r="F2776" s="10" t="str">
        <f aca="false">HYPERLINK("https://www.inaturalist.org/people/michaelaargana","michaelaargana")</f>
        <v>michaelaargana</v>
      </c>
      <c r="G2776" s="9" t="s">
        <v>13</v>
      </c>
      <c r="H2776" s="9" t="s">
        <v>15180</v>
      </c>
    </row>
    <row r="2777" customFormat="false" ht="15.75" hidden="false" customHeight="false" outlineLevel="0" collapsed="false">
      <c r="B2777" s="7" t="n">
        <v>46280</v>
      </c>
      <c r="C2777" s="3" t="s">
        <v>15181</v>
      </c>
      <c r="D2777" s="3" t="s">
        <v>6978</v>
      </c>
      <c r="E2777" s="3" t="s">
        <v>15182</v>
      </c>
      <c r="F2777" s="10" t="str">
        <f aca="false">HYPERLINK("https://www.inaturalist.org/people/tjfishing","tjfishing")</f>
        <v>tjfishing</v>
      </c>
      <c r="G2777" s="9" t="s">
        <v>13</v>
      </c>
      <c r="H2777" s="9" t="s">
        <v>15183</v>
      </c>
    </row>
    <row r="2778" customFormat="false" ht="15.75" hidden="false" customHeight="false" outlineLevel="0" collapsed="false">
      <c r="B2778" s="7" t="n">
        <v>46280</v>
      </c>
      <c r="C2778" s="3" t="s">
        <v>15184</v>
      </c>
      <c r="D2778" s="3" t="s">
        <v>6978</v>
      </c>
      <c r="E2778" s="3" t="s">
        <v>15185</v>
      </c>
      <c r="F2778" s="10" t="str">
        <f aca="false">HYPERLINK("https://www.inaturalist.org/people/ashisdatta","ashisdatta")</f>
        <v>ashisdatta</v>
      </c>
      <c r="G2778" s="9" t="s">
        <v>13</v>
      </c>
      <c r="H2778" s="9" t="s">
        <v>15186</v>
      </c>
    </row>
    <row r="2779" customFormat="false" ht="15.75" hidden="false" customHeight="false" outlineLevel="0" collapsed="false">
      <c r="B2779" s="7" t="n">
        <v>46280</v>
      </c>
      <c r="C2779" s="3" t="s">
        <v>15187</v>
      </c>
      <c r="D2779" s="3" t="s">
        <v>6978</v>
      </c>
      <c r="E2779" s="3" t="s">
        <v>15188</v>
      </c>
      <c r="F2779" s="10" t="str">
        <f aca="false">HYPERLINK("https://www.inaturalist.org/people/karoopixie","karoopixie")</f>
        <v>karoopixie</v>
      </c>
      <c r="G2779" s="9" t="s">
        <v>13</v>
      </c>
      <c r="H2779" s="9" t="s">
        <v>15189</v>
      </c>
    </row>
    <row r="2780" customFormat="false" ht="15.75" hidden="false" customHeight="false" outlineLevel="0" collapsed="false">
      <c r="B2780" s="7" t="n">
        <v>46280</v>
      </c>
      <c r="C2780" s="3" t="s">
        <v>15190</v>
      </c>
      <c r="D2780" s="3" t="s">
        <v>6978</v>
      </c>
      <c r="E2780" s="3" t="s">
        <v>15191</v>
      </c>
      <c r="F2780" s="10" t="str">
        <f aca="false">HYPERLINK("https://www.inaturalist.org/people/glennstockil","glennstockil")</f>
        <v>glennstockil</v>
      </c>
      <c r="G2780" s="9" t="s">
        <v>13</v>
      </c>
      <c r="H2780" s="9" t="s">
        <v>15192</v>
      </c>
    </row>
    <row r="2781" customFormat="false" ht="15.75" hidden="false" customHeight="false" outlineLevel="0" collapsed="false">
      <c r="B2781" s="7" t="n">
        <v>46280</v>
      </c>
      <c r="C2781" s="3" t="s">
        <v>15193</v>
      </c>
      <c r="D2781" s="3" t="s">
        <v>6978</v>
      </c>
      <c r="E2781" s="3" t="s">
        <v>7063</v>
      </c>
      <c r="F2781" s="10" t="str">
        <f aca="false">HYPERLINK("https://www.inaturalist.org/people/tayjo","tayjo")</f>
        <v>tayjo</v>
      </c>
      <c r="G2781" s="9" t="s">
        <v>13</v>
      </c>
      <c r="H2781" s="9" t="s">
        <v>15194</v>
      </c>
    </row>
    <row r="2782" customFormat="false" ht="15.75" hidden="false" customHeight="false" outlineLevel="0" collapsed="false">
      <c r="B2782" s="7" t="n">
        <v>46280</v>
      </c>
      <c r="C2782" s="3" t="s">
        <v>15195</v>
      </c>
      <c r="D2782" s="3" t="s">
        <v>6978</v>
      </c>
      <c r="E2782" s="3" t="s">
        <v>15196</v>
      </c>
      <c r="F2782" s="10" t="str">
        <f aca="false">HYPERLINK("https://www.inaturalist.org/people/joanamg","joanamg")</f>
        <v>joanamg</v>
      </c>
      <c r="G2782" s="9" t="s">
        <v>13</v>
      </c>
      <c r="H2782" s="9" t="s">
        <v>15197</v>
      </c>
    </row>
    <row r="2783" customFormat="false" ht="15.75" hidden="false" customHeight="false" outlineLevel="0" collapsed="false">
      <c r="B2783" s="7" t="n">
        <v>46280</v>
      </c>
      <c r="C2783" s="3" t="s">
        <v>15198</v>
      </c>
      <c r="D2783" s="3" t="s">
        <v>6978</v>
      </c>
      <c r="E2783" s="3" t="s">
        <v>15199</v>
      </c>
      <c r="F2783" s="10" t="str">
        <f aca="false">HYPERLINK("https://www.inaturalist.org/people/betelgeuse_one","betelgeuse_one")</f>
        <v>betelgeuse_one</v>
      </c>
      <c r="G2783" s="9" t="s">
        <v>13</v>
      </c>
      <c r="H2783" s="9" t="s">
        <v>15200</v>
      </c>
    </row>
    <row r="2784" customFormat="false" ht="15.75" hidden="false" customHeight="false" outlineLevel="0" collapsed="false">
      <c r="B2784" s="7" t="n">
        <v>46280</v>
      </c>
      <c r="C2784" s="3" t="s">
        <v>15201</v>
      </c>
      <c r="D2784" s="3" t="s">
        <v>6978</v>
      </c>
      <c r="E2784" s="3" t="s">
        <v>15202</v>
      </c>
      <c r="F2784" s="10" t="str">
        <f aca="false">HYPERLINK("https://www.inaturalist.org/people/analisase","analisase")</f>
        <v>analisase</v>
      </c>
      <c r="G2784" s="9" t="s">
        <v>13</v>
      </c>
      <c r="H2784" s="9" t="s">
        <v>15203</v>
      </c>
    </row>
    <row r="2785" customFormat="false" ht="15.75" hidden="false" customHeight="false" outlineLevel="0" collapsed="false">
      <c r="B2785" s="7" t="n">
        <v>46280</v>
      </c>
      <c r="C2785" s="3" t="s">
        <v>15204</v>
      </c>
      <c r="D2785" s="3" t="s">
        <v>6978</v>
      </c>
      <c r="E2785" s="3" t="s">
        <v>7159</v>
      </c>
      <c r="F2785" s="10" t="str">
        <f aca="false">HYPERLINK("https://www.inaturalist.org/people/dodomae98","dodomae98")</f>
        <v>dodomae98</v>
      </c>
      <c r="G2785" s="9" t="s">
        <v>13</v>
      </c>
      <c r="H2785" s="9" t="s">
        <v>15205</v>
      </c>
    </row>
    <row r="2786" customFormat="false" ht="15.75" hidden="false" customHeight="false" outlineLevel="0" collapsed="false">
      <c r="B2786" s="7" t="n">
        <v>46280</v>
      </c>
      <c r="C2786" s="3" t="s">
        <v>15206</v>
      </c>
      <c r="D2786" s="3" t="s">
        <v>6978</v>
      </c>
      <c r="E2786" s="3" t="s">
        <v>6988</v>
      </c>
      <c r="F2786" s="10" t="str">
        <f aca="false">HYPERLINK("https://www.inaturalist.org/people/ovoidorbust","ovoidorbust")</f>
        <v>ovoidorbust</v>
      </c>
      <c r="G2786" s="9" t="s">
        <v>13</v>
      </c>
      <c r="H2786" s="9" t="s">
        <v>15207</v>
      </c>
    </row>
    <row r="2787" customFormat="false" ht="15.75" hidden="false" customHeight="false" outlineLevel="0" collapsed="false">
      <c r="B2787" s="7" t="n">
        <v>46280</v>
      </c>
      <c r="C2787" s="3" t="s">
        <v>15208</v>
      </c>
      <c r="D2787" s="3" t="s">
        <v>6978</v>
      </c>
      <c r="E2787" s="3" t="s">
        <v>7741</v>
      </c>
      <c r="F2787" s="10" t="str">
        <f aca="false">HYPERLINK("https://www.inaturalist.org/people/or_prepelizki","or_prepelizki")</f>
        <v>or_prepelizki</v>
      </c>
      <c r="G2787" s="9" t="s">
        <v>13</v>
      </c>
      <c r="H2787" s="9" t="s">
        <v>15209</v>
      </c>
    </row>
    <row r="2788" customFormat="false" ht="15.75" hidden="false" customHeight="false" outlineLevel="0" collapsed="false">
      <c r="B2788" s="7" t="n">
        <v>46280</v>
      </c>
      <c r="C2788" s="3" t="s">
        <v>15210</v>
      </c>
      <c r="D2788" s="3" t="s">
        <v>6978</v>
      </c>
      <c r="E2788" s="3" t="s">
        <v>7174</v>
      </c>
      <c r="F2788" s="10" t="str">
        <f aca="false">HYPERLINK("https://www.inaturalist.org/people/sacalicat","sacalicat")</f>
        <v>sacalicat</v>
      </c>
      <c r="G2788" s="9" t="s">
        <v>13</v>
      </c>
      <c r="H2788" s="9" t="s">
        <v>15211</v>
      </c>
    </row>
    <row r="2789" customFormat="false" ht="15.75" hidden="false" customHeight="false" outlineLevel="0" collapsed="false">
      <c r="B2789" s="7" t="n">
        <v>46280</v>
      </c>
      <c r="C2789" s="3" t="s">
        <v>15212</v>
      </c>
      <c r="D2789" s="3" t="s">
        <v>6978</v>
      </c>
      <c r="E2789" s="3" t="s">
        <v>15213</v>
      </c>
      <c r="F2789" s="10" t="str">
        <f aca="false">HYPERLINK("https://www.inaturalist.org/people/cesarchoapa","cesarchoapa")</f>
        <v>cesarchoapa</v>
      </c>
      <c r="G2789" s="9" t="s">
        <v>13</v>
      </c>
      <c r="H2789" s="9" t="s">
        <v>15214</v>
      </c>
    </row>
    <row r="2790" customFormat="false" ht="15.75" hidden="false" customHeight="false" outlineLevel="0" collapsed="false">
      <c r="B2790" s="7" t="n">
        <v>46280</v>
      </c>
      <c r="C2790" s="3" t="s">
        <v>15215</v>
      </c>
      <c r="D2790" s="3" t="s">
        <v>6978</v>
      </c>
      <c r="E2790" s="3" t="s">
        <v>15216</v>
      </c>
      <c r="F2790" s="10" t="str">
        <f aca="false">HYPERLINK("https://www.inaturalist.org/people/safron","safron")</f>
        <v>safron</v>
      </c>
      <c r="G2790" s="9" t="s">
        <v>13</v>
      </c>
      <c r="H2790" s="9" t="s">
        <v>15217</v>
      </c>
    </row>
    <row r="2791" customFormat="false" ht="15.75" hidden="false" customHeight="false" outlineLevel="0" collapsed="false">
      <c r="B2791" s="7" t="n">
        <v>46280</v>
      </c>
      <c r="C2791" s="3" t="s">
        <v>15218</v>
      </c>
      <c r="D2791" s="3" t="s">
        <v>6978</v>
      </c>
      <c r="E2791" s="3" t="s">
        <v>15219</v>
      </c>
      <c r="F2791" s="10" t="str">
        <f aca="false">HYPERLINK("https://www.inaturalist.org/people/karoopixie","karoopixie")</f>
        <v>karoopixie</v>
      </c>
      <c r="G2791" s="9" t="s">
        <v>13</v>
      </c>
      <c r="H2791" s="9" t="s">
        <v>15220</v>
      </c>
    </row>
    <row r="2792" customFormat="false" ht="15.75" hidden="false" customHeight="false" outlineLevel="0" collapsed="false">
      <c r="B2792" s="7" t="n">
        <v>46280</v>
      </c>
      <c r="C2792" s="3" t="s">
        <v>15221</v>
      </c>
      <c r="D2792" s="3" t="s">
        <v>6978</v>
      </c>
      <c r="E2792" s="3" t="s">
        <v>7714</v>
      </c>
      <c r="F2792" s="10" t="str">
        <f aca="false">HYPERLINK("https://www.inaturalist.org/people/ageha","ageha")</f>
        <v>ageha</v>
      </c>
      <c r="G2792" s="9" t="s">
        <v>13</v>
      </c>
      <c r="H2792" s="9" t="s">
        <v>15222</v>
      </c>
    </row>
    <row r="2793" customFormat="false" ht="15.75" hidden="false" customHeight="false" outlineLevel="0" collapsed="false">
      <c r="B2793" s="7" t="n">
        <v>46280</v>
      </c>
      <c r="C2793" s="3" t="s">
        <v>15223</v>
      </c>
      <c r="D2793" s="3" t="s">
        <v>6978</v>
      </c>
      <c r="E2793" s="3" t="s">
        <v>7177</v>
      </c>
      <c r="F2793" s="10" t="str">
        <f aca="false">HYPERLINK("https://www.inaturalist.org/people/engelbertwaldmann","engelbertwaldmann")</f>
        <v>engelbertwaldmann</v>
      </c>
      <c r="G2793" s="9" t="s">
        <v>13</v>
      </c>
      <c r="H2793" s="9" t="s">
        <v>15224</v>
      </c>
    </row>
    <row r="2794" customFormat="false" ht="15.75" hidden="false" customHeight="false" outlineLevel="0" collapsed="false">
      <c r="B2794" s="7" t="n">
        <v>46280</v>
      </c>
      <c r="C2794" s="3" t="s">
        <v>15225</v>
      </c>
      <c r="D2794" s="3" t="s">
        <v>6978</v>
      </c>
      <c r="E2794" s="3" t="s">
        <v>15226</v>
      </c>
      <c r="F2794" s="10" t="str">
        <f aca="false">HYPERLINK("https://www.inaturalist.org/people/minivet","minivet")</f>
        <v>minivet</v>
      </c>
      <c r="G2794" s="9" t="s">
        <v>13</v>
      </c>
      <c r="H2794" s="9" t="s">
        <v>15227</v>
      </c>
    </row>
    <row r="2795" customFormat="false" ht="15.75" hidden="false" customHeight="false" outlineLevel="0" collapsed="false">
      <c r="B2795" s="7" t="n">
        <v>46280</v>
      </c>
      <c r="C2795" s="3" t="s">
        <v>15228</v>
      </c>
      <c r="D2795" s="3" t="s">
        <v>6978</v>
      </c>
      <c r="E2795" s="3" t="s">
        <v>7762</v>
      </c>
      <c r="F2795" s="10" t="str">
        <f aca="false">HYPERLINK("https://www.inaturalist.org/people/reservacaoba","reservacaoba")</f>
        <v>reservacaoba</v>
      </c>
      <c r="G2795" s="9" t="s">
        <v>13</v>
      </c>
      <c r="H2795" s="9" t="s">
        <v>15229</v>
      </c>
    </row>
    <row r="2796" customFormat="false" ht="15.75" hidden="false" customHeight="false" outlineLevel="0" collapsed="false">
      <c r="B2796" s="7" t="n">
        <v>46280</v>
      </c>
      <c r="C2796" s="3" t="s">
        <v>15230</v>
      </c>
      <c r="D2796" s="3" t="s">
        <v>6978</v>
      </c>
      <c r="E2796" s="3" t="s">
        <v>15231</v>
      </c>
      <c r="F2796" s="10" t="str">
        <f aca="false">HYPERLINK("https://www.inaturalist.org/people/nmangold","nmangold")</f>
        <v>nmangold</v>
      </c>
      <c r="G2796" s="9" t="s">
        <v>13</v>
      </c>
      <c r="H2796" s="9" t="s">
        <v>15232</v>
      </c>
    </row>
    <row r="2797" customFormat="false" ht="15.75" hidden="false" customHeight="false" outlineLevel="0" collapsed="false">
      <c r="B2797" s="7" t="n">
        <v>46280</v>
      </c>
      <c r="C2797" s="3" t="s">
        <v>15233</v>
      </c>
      <c r="D2797" s="3" t="s">
        <v>6978</v>
      </c>
      <c r="E2797" s="3" t="s">
        <v>7231</v>
      </c>
      <c r="F2797" s="10" t="str">
        <f aca="false">HYPERLINK("https://www.inaturalist.org/people/jcochran706","jcochran706")</f>
        <v>jcochran706</v>
      </c>
      <c r="G2797" s="9" t="s">
        <v>13</v>
      </c>
      <c r="H2797" s="9" t="s">
        <v>15234</v>
      </c>
    </row>
    <row r="2798" customFormat="false" ht="15.75" hidden="false" customHeight="false" outlineLevel="0" collapsed="false">
      <c r="B2798" s="7" t="n">
        <v>46280</v>
      </c>
      <c r="C2798" s="3" t="s">
        <v>15235</v>
      </c>
      <c r="D2798" s="3" t="s">
        <v>6978</v>
      </c>
      <c r="E2798" s="3" t="s">
        <v>7345</v>
      </c>
      <c r="F2798" s="10" t="str">
        <f aca="false">HYPERLINK("https://www.inaturalist.org/people/ltminderbinder","ltminderbinder")</f>
        <v>ltminderbinder</v>
      </c>
      <c r="G2798" s="9" t="s">
        <v>13</v>
      </c>
      <c r="H2798" s="9" t="s">
        <v>15236</v>
      </c>
    </row>
    <row r="2799" customFormat="false" ht="15.75" hidden="false" customHeight="false" outlineLevel="0" collapsed="false">
      <c r="B2799" s="7" t="n">
        <v>46280</v>
      </c>
      <c r="C2799" s="3" t="s">
        <v>15237</v>
      </c>
      <c r="D2799" s="3" t="s">
        <v>6978</v>
      </c>
      <c r="E2799" s="3" t="s">
        <v>7126</v>
      </c>
      <c r="F2799" s="10" t="str">
        <f aca="false">HYPERLINK("https://www.inaturalist.org/people/neolee","neolee")</f>
        <v>neolee</v>
      </c>
      <c r="G2799" s="9" t="s">
        <v>13</v>
      </c>
      <c r="H2799" s="9" t="s">
        <v>15238</v>
      </c>
    </row>
    <row r="2800" customFormat="false" ht="15.75" hidden="false" customHeight="false" outlineLevel="0" collapsed="false">
      <c r="B2800" s="7" t="n">
        <v>46280</v>
      </c>
      <c r="C2800" s="3" t="s">
        <v>15239</v>
      </c>
      <c r="D2800" s="3" t="s">
        <v>6978</v>
      </c>
      <c r="E2800" s="3" t="s">
        <v>15240</v>
      </c>
      <c r="F2800" s="10" t="str">
        <f aca="false">HYPERLINK("https://www.inaturalist.org/people/mmarengo","mmarengo")</f>
        <v>mmarengo</v>
      </c>
      <c r="G2800" s="9" t="s">
        <v>13</v>
      </c>
      <c r="H2800" s="9" t="s">
        <v>15241</v>
      </c>
    </row>
    <row r="2801" customFormat="false" ht="15.75" hidden="false" customHeight="false" outlineLevel="0" collapsed="false">
      <c r="B2801" s="7" t="n">
        <v>46280</v>
      </c>
      <c r="C2801" s="3" t="s">
        <v>15242</v>
      </c>
      <c r="D2801" s="3" t="s">
        <v>6978</v>
      </c>
      <c r="E2801" s="3" t="s">
        <v>7294</v>
      </c>
      <c r="F2801" s="10" t="str">
        <f aca="false">HYPERLINK("https://www.inaturalist.org/people/mschuang","mschuang")</f>
        <v>mschuang</v>
      </c>
      <c r="G2801" s="9" t="s">
        <v>13</v>
      </c>
      <c r="H2801" s="9" t="s">
        <v>15243</v>
      </c>
    </row>
    <row r="2802" customFormat="false" ht="15.75" hidden="false" customHeight="false" outlineLevel="0" collapsed="false">
      <c r="B2802" s="7" t="n">
        <v>46280</v>
      </c>
      <c r="C2802" s="3" t="s">
        <v>15244</v>
      </c>
      <c r="D2802" s="3" t="s">
        <v>6978</v>
      </c>
      <c r="E2802" s="3" t="s">
        <v>15245</v>
      </c>
      <c r="F2802" s="10" t="str">
        <f aca="false">HYPERLINK("https://www.inaturalist.org/people/alan_bocanegra","alan_bocanegra")</f>
        <v>alan_bocanegra</v>
      </c>
      <c r="G2802" s="9" t="s">
        <v>13</v>
      </c>
      <c r="H2802" s="9" t="s">
        <v>15246</v>
      </c>
    </row>
    <row r="2803" customFormat="false" ht="15.75" hidden="false" customHeight="false" outlineLevel="0" collapsed="false">
      <c r="B2803" s="7" t="n">
        <v>46280</v>
      </c>
      <c r="C2803" s="3" t="s">
        <v>15247</v>
      </c>
      <c r="D2803" s="3" t="s">
        <v>6978</v>
      </c>
      <c r="E2803" s="3" t="s">
        <v>7459</v>
      </c>
      <c r="F2803" s="10" t="str">
        <f aca="false">HYPERLINK("https://www.inaturalist.org/people/begglett","begglett")</f>
        <v>begglett</v>
      </c>
      <c r="G2803" s="9" t="s">
        <v>13</v>
      </c>
      <c r="H2803" s="9" t="s">
        <v>15248</v>
      </c>
    </row>
    <row r="2804" customFormat="false" ht="15.75" hidden="false" customHeight="false" outlineLevel="0" collapsed="false">
      <c r="B2804" s="7" t="n">
        <v>46280</v>
      </c>
      <c r="C2804" s="3" t="s">
        <v>15249</v>
      </c>
      <c r="D2804" s="3" t="s">
        <v>6978</v>
      </c>
      <c r="E2804" s="3" t="s">
        <v>15250</v>
      </c>
      <c r="F2804" s="10" t="str">
        <f aca="false">HYPERLINK("https://www.inaturalist.org/people/alejandro_romart","alejandro_romart")</f>
        <v>alejandro_romart</v>
      </c>
      <c r="G2804" s="9" t="s">
        <v>13</v>
      </c>
      <c r="H2804" s="9" t="s">
        <v>15251</v>
      </c>
    </row>
    <row r="2805" customFormat="false" ht="15.75" hidden="false" customHeight="false" outlineLevel="0" collapsed="false">
      <c r="B2805" s="7" t="n">
        <v>46280</v>
      </c>
      <c r="C2805" s="3" t="s">
        <v>15252</v>
      </c>
      <c r="D2805" s="3" t="s">
        <v>6978</v>
      </c>
      <c r="E2805" s="3" t="s">
        <v>15253</v>
      </c>
      <c r="F2805" s="10" t="str">
        <f aca="false">HYPERLINK("https://www.inaturalist.org/people/alejandro_romart","alejandro_romart")</f>
        <v>alejandro_romart</v>
      </c>
      <c r="G2805" s="9" t="s">
        <v>13</v>
      </c>
      <c r="H2805" s="9" t="s">
        <v>15254</v>
      </c>
    </row>
    <row r="2806" customFormat="false" ht="15.75" hidden="false" customHeight="false" outlineLevel="0" collapsed="false">
      <c r="B2806" s="7" t="n">
        <v>46280</v>
      </c>
      <c r="C2806" s="3" t="s">
        <v>15255</v>
      </c>
      <c r="D2806" s="3" t="s">
        <v>6978</v>
      </c>
      <c r="E2806" s="3" t="s">
        <v>15256</v>
      </c>
      <c r="F2806" s="10" t="str">
        <f aca="false">HYPERLINK("https://www.inaturalist.org/people/ashzaini","ashzaini")</f>
        <v>ashzaini</v>
      </c>
      <c r="G2806" s="9" t="s">
        <v>13</v>
      </c>
      <c r="H2806" s="9" t="s">
        <v>15257</v>
      </c>
    </row>
    <row r="2807" customFormat="false" ht="15.75" hidden="false" customHeight="false" outlineLevel="0" collapsed="false">
      <c r="B2807" s="7" t="n">
        <v>46280</v>
      </c>
      <c r="C2807" s="3" t="s">
        <v>15258</v>
      </c>
      <c r="D2807" s="3" t="s">
        <v>6978</v>
      </c>
      <c r="E2807" s="3" t="s">
        <v>15259</v>
      </c>
      <c r="F2807" s="10" t="str">
        <f aca="false">HYPERLINK("https://www.inaturalist.org/people/averys24","averys24")</f>
        <v>averys24</v>
      </c>
      <c r="G2807" s="9" t="s">
        <v>13</v>
      </c>
      <c r="H2807" s="9" t="s">
        <v>15260</v>
      </c>
    </row>
    <row r="2808" customFormat="false" ht="15.75" hidden="false" customHeight="false" outlineLevel="0" collapsed="false">
      <c r="B2808" s="7" t="n">
        <v>46280</v>
      </c>
      <c r="C2808" s="3" t="s">
        <v>15261</v>
      </c>
      <c r="D2808" s="3" t="s">
        <v>6978</v>
      </c>
      <c r="E2808" s="3" t="s">
        <v>15262</v>
      </c>
      <c r="F2808" s="10" t="str">
        <f aca="false">HYPERLINK("https://www.inaturalist.org/people/dakotan","dakotan")</f>
        <v>dakotan</v>
      </c>
      <c r="G2808" s="9" t="s">
        <v>13</v>
      </c>
      <c r="H2808" s="9" t="s">
        <v>15263</v>
      </c>
    </row>
    <row r="2809" customFormat="false" ht="15.75" hidden="false" customHeight="false" outlineLevel="0" collapsed="false">
      <c r="B2809" s="7" t="n">
        <v>46280</v>
      </c>
      <c r="C2809" s="3" t="s">
        <v>15264</v>
      </c>
      <c r="D2809" s="3" t="s">
        <v>6978</v>
      </c>
      <c r="E2809" s="3" t="s">
        <v>7477</v>
      </c>
      <c r="F2809" s="10" t="str">
        <f aca="false">HYPERLINK("https://www.inaturalist.org/people/figibribbers98","figibribbers98")</f>
        <v>figibribbers98</v>
      </c>
      <c r="G2809" s="9" t="s">
        <v>13</v>
      </c>
      <c r="H2809" s="9" t="s">
        <v>15265</v>
      </c>
    </row>
    <row r="2810" customFormat="false" ht="15.75" hidden="false" customHeight="false" outlineLevel="0" collapsed="false">
      <c r="B2810" s="7" t="n">
        <v>46280</v>
      </c>
      <c r="C2810" s="3" t="s">
        <v>15266</v>
      </c>
      <c r="D2810" s="3" t="s">
        <v>6978</v>
      </c>
      <c r="E2810" s="3" t="s">
        <v>15267</v>
      </c>
      <c r="F2810" s="10" t="str">
        <f aca="false">HYPERLINK("https://www.inaturalist.org/people/thecoyotespot","thecoyotespot")</f>
        <v>thecoyotespot</v>
      </c>
      <c r="G2810" s="9" t="s">
        <v>13</v>
      </c>
      <c r="H2810" s="9" t="s">
        <v>15268</v>
      </c>
    </row>
    <row r="2811" customFormat="false" ht="15.75" hidden="false" customHeight="false" outlineLevel="0" collapsed="false">
      <c r="B2811" s="7" t="n">
        <v>46280</v>
      </c>
      <c r="C2811" s="3" t="s">
        <v>15269</v>
      </c>
      <c r="D2811" s="3" t="s">
        <v>6978</v>
      </c>
      <c r="E2811" s="3" t="s">
        <v>7708</v>
      </c>
      <c r="F2811" s="10" t="str">
        <f aca="false">HYPERLINK("https://www.inaturalist.org/people/k_tolentino","k_tolentino")</f>
        <v>k_tolentino</v>
      </c>
      <c r="G2811" s="9" t="s">
        <v>13</v>
      </c>
      <c r="H2811" s="9" t="s">
        <v>15270</v>
      </c>
    </row>
    <row r="2812" customFormat="false" ht="15.75" hidden="false" customHeight="false" outlineLevel="0" collapsed="false">
      <c r="B2812" s="7" t="n">
        <v>46280</v>
      </c>
      <c r="C2812" s="3" t="s">
        <v>15271</v>
      </c>
      <c r="D2812" s="3" t="s">
        <v>6978</v>
      </c>
      <c r="E2812" s="3" t="s">
        <v>7258</v>
      </c>
      <c r="F2812" s="10" t="str">
        <f aca="false">HYPERLINK("https://www.inaturalist.org/people/sanjivr","sanjivr")</f>
        <v>sanjivr</v>
      </c>
      <c r="G2812" s="9" t="s">
        <v>13</v>
      </c>
      <c r="H2812" s="9" t="s">
        <v>15272</v>
      </c>
    </row>
    <row r="2813" customFormat="false" ht="15.75" hidden="false" customHeight="false" outlineLevel="0" collapsed="false">
      <c r="B2813" s="7" t="n">
        <v>46280</v>
      </c>
      <c r="C2813" s="3" t="s">
        <v>15273</v>
      </c>
      <c r="D2813" s="3" t="s">
        <v>6978</v>
      </c>
      <c r="E2813" s="3" t="s">
        <v>7393</v>
      </c>
      <c r="F2813" s="10" t="str">
        <f aca="false">HYPERLINK("https://www.inaturalist.org/people/sanjivr","sanjivr")</f>
        <v>sanjivr</v>
      </c>
      <c r="G2813" s="9" t="s">
        <v>13</v>
      </c>
      <c r="H2813" s="9" t="s">
        <v>15274</v>
      </c>
    </row>
    <row r="2814" customFormat="false" ht="15.75" hidden="false" customHeight="false" outlineLevel="0" collapsed="false">
      <c r="B2814" s="7" t="n">
        <v>46280</v>
      </c>
      <c r="C2814" s="3" t="s">
        <v>15275</v>
      </c>
      <c r="D2814" s="3" t="s">
        <v>6978</v>
      </c>
      <c r="E2814" s="3" t="s">
        <v>7510</v>
      </c>
      <c r="F2814" s="10" t="str">
        <f aca="false">HYPERLINK("https://www.inaturalist.org/people/sanjivr","sanjivr")</f>
        <v>sanjivr</v>
      </c>
      <c r="G2814" s="9" t="s">
        <v>13</v>
      </c>
      <c r="H2814" s="9" t="s">
        <v>15276</v>
      </c>
    </row>
    <row r="2815" customFormat="false" ht="15.75" hidden="false" customHeight="false" outlineLevel="0" collapsed="false">
      <c r="B2815" s="7" t="n">
        <v>46280</v>
      </c>
      <c r="C2815" s="3" t="s">
        <v>15277</v>
      </c>
      <c r="D2815" s="3" t="s">
        <v>6978</v>
      </c>
      <c r="E2815" s="3" t="s">
        <v>15278</v>
      </c>
      <c r="F2815" s="10" t="str">
        <f aca="false">HYPERLINK("https://www.inaturalist.org/people/sanjivr","sanjivr")</f>
        <v>sanjivr</v>
      </c>
      <c r="G2815" s="9" t="s">
        <v>13</v>
      </c>
      <c r="H2815" s="9" t="s">
        <v>15279</v>
      </c>
    </row>
    <row r="2816" customFormat="false" ht="15.75" hidden="false" customHeight="false" outlineLevel="0" collapsed="false">
      <c r="B2816" s="7" t="n">
        <v>46280</v>
      </c>
      <c r="C2816" s="3" t="s">
        <v>15280</v>
      </c>
      <c r="D2816" s="3" t="s">
        <v>6978</v>
      </c>
      <c r="E2816" s="3" t="s">
        <v>7255</v>
      </c>
      <c r="F2816" s="10" t="str">
        <f aca="false">HYPERLINK("https://www.inaturalist.org/people/sanjivr","sanjivr")</f>
        <v>sanjivr</v>
      </c>
      <c r="G2816" s="9" t="s">
        <v>13</v>
      </c>
      <c r="H2816" s="9" t="s">
        <v>15281</v>
      </c>
    </row>
    <row r="2817" customFormat="false" ht="15.75" hidden="false" customHeight="false" outlineLevel="0" collapsed="false">
      <c r="B2817" s="7" t="n">
        <v>46280</v>
      </c>
      <c r="C2817" s="3" t="s">
        <v>15282</v>
      </c>
      <c r="D2817" s="3" t="s">
        <v>6978</v>
      </c>
      <c r="E2817" s="3" t="s">
        <v>15283</v>
      </c>
      <c r="F2817" s="10" t="str">
        <f aca="false">HYPERLINK("https://www.inaturalist.org/people/pwilson96","pwilson96")</f>
        <v>pwilson96</v>
      </c>
      <c r="G2817" s="9" t="s">
        <v>13</v>
      </c>
      <c r="H2817" s="9" t="s">
        <v>15284</v>
      </c>
    </row>
    <row r="2818" customFormat="false" ht="15.75" hidden="false" customHeight="false" outlineLevel="0" collapsed="false">
      <c r="B2818" s="7" t="n">
        <v>46280</v>
      </c>
      <c r="C2818" s="3" t="s">
        <v>15285</v>
      </c>
      <c r="D2818" s="3" t="s">
        <v>6978</v>
      </c>
      <c r="E2818" s="3" t="s">
        <v>15286</v>
      </c>
      <c r="F2818" s="10" t="str">
        <f aca="false">HYPERLINK("https://www.inaturalist.org/people/pedro41735","pedro41735")</f>
        <v>pedro41735</v>
      </c>
      <c r="G2818" s="9" t="s">
        <v>13</v>
      </c>
      <c r="H2818" s="9" t="s">
        <v>15287</v>
      </c>
    </row>
    <row r="2819" customFormat="false" ht="15.75" hidden="false" customHeight="false" outlineLevel="0" collapsed="false">
      <c r="B2819" s="7" t="n">
        <v>46280</v>
      </c>
      <c r="C2819" s="3" t="s">
        <v>15288</v>
      </c>
      <c r="D2819" s="3" t="s">
        <v>6978</v>
      </c>
      <c r="E2819" s="3" t="s">
        <v>7588</v>
      </c>
      <c r="F2819" s="10" t="str">
        <f aca="false">HYPERLINK("https://www.inaturalist.org/people/blake_fittler","blake_fittler")</f>
        <v>blake_fittler</v>
      </c>
      <c r="G2819" s="9" t="s">
        <v>13</v>
      </c>
      <c r="H2819" s="9" t="s">
        <v>15289</v>
      </c>
    </row>
    <row r="2820" customFormat="false" ht="15.75" hidden="false" customHeight="false" outlineLevel="0" collapsed="false">
      <c r="B2820" s="7" t="n">
        <v>46280</v>
      </c>
      <c r="C2820" s="3" t="s">
        <v>15290</v>
      </c>
      <c r="D2820" s="3" t="s">
        <v>6978</v>
      </c>
      <c r="E2820" s="3" t="s">
        <v>7780</v>
      </c>
      <c r="F2820" s="10" t="str">
        <f aca="false">HYPERLINK("https://www.inaturalist.org/people/shaharklinger","shaharklinger")</f>
        <v>shaharklinger</v>
      </c>
      <c r="G2820" s="9" t="s">
        <v>13</v>
      </c>
      <c r="H2820" s="9" t="s">
        <v>15291</v>
      </c>
    </row>
    <row r="2821" customFormat="false" ht="15.75" hidden="false" customHeight="false" outlineLevel="0" collapsed="false">
      <c r="B2821" s="7" t="n">
        <v>46280</v>
      </c>
      <c r="C2821" s="3" t="s">
        <v>15292</v>
      </c>
      <c r="D2821" s="3" t="s">
        <v>6978</v>
      </c>
      <c r="E2821" s="3" t="s">
        <v>7105</v>
      </c>
      <c r="F2821" s="10" t="str">
        <f aca="false">HYPERLINK("https://www.inaturalist.org/people/yuntaipeng_1224","yuntaipeng_1224")</f>
        <v>yuntaipeng_1224</v>
      </c>
      <c r="G2821" s="9" t="s">
        <v>13</v>
      </c>
      <c r="H2821" s="9" t="s">
        <v>15293</v>
      </c>
    </row>
    <row r="2822" customFormat="false" ht="15.75" hidden="false" customHeight="false" outlineLevel="0" collapsed="false">
      <c r="B2822" s="7" t="n">
        <v>46280</v>
      </c>
      <c r="C2822" s="3" t="s">
        <v>15294</v>
      </c>
      <c r="D2822" s="3" t="s">
        <v>6978</v>
      </c>
      <c r="E2822" s="3" t="s">
        <v>15295</v>
      </c>
      <c r="F2822" s="10" t="str">
        <f aca="false">HYPERLINK("https://www.inaturalist.org/people/cr_hundermark","cr_hundermark")</f>
        <v>cr_hundermark</v>
      </c>
      <c r="G2822" s="9" t="s">
        <v>13</v>
      </c>
      <c r="H2822" s="9" t="s">
        <v>15296</v>
      </c>
    </row>
    <row r="2823" customFormat="false" ht="15.75" hidden="false" customHeight="false" outlineLevel="0" collapsed="false">
      <c r="B2823" s="7" t="n">
        <v>46280</v>
      </c>
      <c r="C2823" s="3" t="s">
        <v>15297</v>
      </c>
      <c r="D2823" s="3" t="s">
        <v>6978</v>
      </c>
      <c r="E2823" s="3" t="s">
        <v>15298</v>
      </c>
      <c r="F2823" s="10" t="str">
        <f aca="false">HYPERLINK("https://www.inaturalist.org/people/cr_hundermark","cr_hundermark")</f>
        <v>cr_hundermark</v>
      </c>
      <c r="G2823" s="9" t="s">
        <v>13</v>
      </c>
      <c r="H2823" s="9" t="s">
        <v>15299</v>
      </c>
    </row>
    <row r="2824" customFormat="false" ht="15.75" hidden="false" customHeight="false" outlineLevel="0" collapsed="false">
      <c r="B2824" s="7" t="n">
        <v>46280</v>
      </c>
      <c r="C2824" s="3" t="s">
        <v>15300</v>
      </c>
      <c r="D2824" s="3" t="s">
        <v>6978</v>
      </c>
      <c r="E2824" s="3" t="s">
        <v>15301</v>
      </c>
      <c r="F2824" s="10" t="str">
        <f aca="false">HYPERLINK("https://www.inaturalist.org/people/cheol","cheol")</f>
        <v>cheol</v>
      </c>
      <c r="G2824" s="9" t="s">
        <v>13</v>
      </c>
      <c r="H2824" s="9" t="s">
        <v>15302</v>
      </c>
    </row>
    <row r="2825" customFormat="false" ht="15.75" hidden="false" customHeight="false" outlineLevel="0" collapsed="false">
      <c r="B2825" s="7" t="n">
        <v>46280</v>
      </c>
      <c r="C2825" s="3" t="s">
        <v>15303</v>
      </c>
      <c r="D2825" s="3" t="s">
        <v>6978</v>
      </c>
      <c r="E2825" s="3" t="s">
        <v>7129</v>
      </c>
      <c r="F2825" s="10" t="str">
        <f aca="false">HYPERLINK("https://www.inaturalist.org/people/yuntaipeng_1224","yuntaipeng_1224")</f>
        <v>yuntaipeng_1224</v>
      </c>
      <c r="G2825" s="9" t="s">
        <v>13</v>
      </c>
      <c r="H2825" s="9" t="s">
        <v>15304</v>
      </c>
    </row>
    <row r="2826" customFormat="false" ht="15.75" hidden="false" customHeight="false" outlineLevel="0" collapsed="false">
      <c r="B2826" s="7" t="n">
        <v>46280</v>
      </c>
      <c r="C2826" s="3" t="s">
        <v>15305</v>
      </c>
      <c r="D2826" s="3" t="s">
        <v>6978</v>
      </c>
      <c r="E2826" s="3" t="s">
        <v>15306</v>
      </c>
      <c r="F2826" s="10" t="str">
        <f aca="false">HYPERLINK("https://www.inaturalist.org/people/yuntaipeng_1224","yuntaipeng_1224")</f>
        <v>yuntaipeng_1224</v>
      </c>
      <c r="G2826" s="9" t="s">
        <v>13</v>
      </c>
      <c r="H2826" s="9" t="s">
        <v>15307</v>
      </c>
    </row>
    <row r="2827" customFormat="false" ht="15.75" hidden="false" customHeight="false" outlineLevel="0" collapsed="false">
      <c r="B2827" s="7" t="n">
        <v>46280</v>
      </c>
      <c r="C2827" s="3" t="s">
        <v>15308</v>
      </c>
      <c r="D2827" s="3" t="s">
        <v>6978</v>
      </c>
      <c r="E2827" s="3" t="s">
        <v>15309</v>
      </c>
      <c r="F2827" s="10" t="str">
        <f aca="false">HYPERLINK("https://www.inaturalist.org/people/kengjeow","kengjeow")</f>
        <v>kengjeow</v>
      </c>
      <c r="G2827" s="9" t="s">
        <v>13</v>
      </c>
      <c r="H2827" s="9" t="s">
        <v>15310</v>
      </c>
    </row>
    <row r="2828" customFormat="false" ht="15.75" hidden="false" customHeight="false" outlineLevel="0" collapsed="false">
      <c r="B2828" s="7" t="n">
        <v>46280</v>
      </c>
      <c r="C2828" s="3" t="s">
        <v>15311</v>
      </c>
      <c r="D2828" s="3" t="s">
        <v>6978</v>
      </c>
      <c r="E2828" s="3" t="s">
        <v>15312</v>
      </c>
      <c r="F2828" s="10" t="str">
        <f aca="false">HYPERLINK("https://www.inaturalist.org/people/kurtle88","kurtle88")</f>
        <v>kurtle88</v>
      </c>
      <c r="G2828" s="9" t="s">
        <v>13</v>
      </c>
      <c r="H2828" s="9" t="s">
        <v>15313</v>
      </c>
    </row>
    <row r="2829" customFormat="false" ht="15.75" hidden="false" customHeight="false" outlineLevel="0" collapsed="false">
      <c r="B2829" s="7" t="n">
        <v>46280</v>
      </c>
      <c r="C2829" s="3" t="s">
        <v>15314</v>
      </c>
      <c r="D2829" s="3" t="s">
        <v>6978</v>
      </c>
      <c r="E2829" s="3" t="s">
        <v>7846</v>
      </c>
      <c r="F2829" s="10" t="str">
        <f aca="false">HYPERLINK("https://www.inaturalist.org/people/cr_hundermark","cr_hundermark")</f>
        <v>cr_hundermark</v>
      </c>
      <c r="G2829" s="9" t="s">
        <v>13</v>
      </c>
      <c r="H2829" s="9" t="s">
        <v>15315</v>
      </c>
    </row>
    <row r="2830" customFormat="false" ht="15.75" hidden="false" customHeight="false" outlineLevel="0" collapsed="false">
      <c r="B2830" s="7" t="n">
        <v>46280</v>
      </c>
      <c r="C2830" s="3" t="s">
        <v>15316</v>
      </c>
      <c r="D2830" s="3" t="s">
        <v>6978</v>
      </c>
      <c r="E2830" s="3" t="s">
        <v>15317</v>
      </c>
      <c r="F2830" s="10" t="str">
        <f aca="false">HYPERLINK("https://www.inaturalist.org/people/sinobdella","sinobdella")</f>
        <v>sinobdella</v>
      </c>
      <c r="G2830" s="9" t="s">
        <v>13</v>
      </c>
      <c r="H2830" s="9" t="s">
        <v>15318</v>
      </c>
    </row>
    <row r="2831" customFormat="false" ht="15.75" hidden="false" customHeight="false" outlineLevel="0" collapsed="false">
      <c r="B2831" s="7" t="n">
        <v>46280</v>
      </c>
      <c r="C2831" s="3" t="s">
        <v>15319</v>
      </c>
      <c r="D2831" s="3" t="s">
        <v>6978</v>
      </c>
      <c r="E2831" s="3" t="s">
        <v>7138</v>
      </c>
      <c r="F2831" s="10" t="str">
        <f aca="false">HYPERLINK("https://www.inaturalist.org/people/sinobdella","sinobdella")</f>
        <v>sinobdella</v>
      </c>
      <c r="G2831" s="9" t="s">
        <v>13</v>
      </c>
      <c r="H2831" s="9" t="s">
        <v>15320</v>
      </c>
    </row>
    <row r="2832" customFormat="false" ht="15.75" hidden="false" customHeight="false" outlineLevel="0" collapsed="false">
      <c r="B2832" s="7" t="n">
        <v>46280</v>
      </c>
      <c r="C2832" s="3" t="s">
        <v>15321</v>
      </c>
      <c r="D2832" s="3" t="s">
        <v>6978</v>
      </c>
      <c r="E2832" s="3" t="s">
        <v>15322</v>
      </c>
      <c r="F2832" s="10" t="str">
        <f aca="false">HYPERLINK("https://www.inaturalist.org/people/mociliakfilip","mociliakfilip")</f>
        <v>mociliakfilip</v>
      </c>
      <c r="G2832" s="9" t="s">
        <v>13</v>
      </c>
      <c r="H2832" s="9" t="s">
        <v>15323</v>
      </c>
    </row>
    <row r="2833" customFormat="false" ht="15.75" hidden="false" customHeight="false" outlineLevel="0" collapsed="false">
      <c r="B2833" s="7" t="n">
        <v>46280</v>
      </c>
      <c r="C2833" s="3" t="s">
        <v>15324</v>
      </c>
      <c r="D2833" s="3" t="s">
        <v>6978</v>
      </c>
      <c r="E2833" s="3" t="s">
        <v>15325</v>
      </c>
      <c r="F2833" s="10" t="str">
        <f aca="false">HYPERLINK("https://www.inaturalist.org/people/atharvakasturia","atharvakasturia")</f>
        <v>atharvakasturia</v>
      </c>
      <c r="G2833" s="9" t="s">
        <v>13</v>
      </c>
      <c r="H2833" s="9" t="s">
        <v>15326</v>
      </c>
    </row>
    <row r="2834" customFormat="false" ht="15.75" hidden="false" customHeight="false" outlineLevel="0" collapsed="false">
      <c r="B2834" s="7" t="n">
        <v>46280</v>
      </c>
      <c r="C2834" s="3" t="s">
        <v>15327</v>
      </c>
      <c r="D2834" s="3" t="s">
        <v>6978</v>
      </c>
      <c r="E2834" s="3" t="s">
        <v>15328</v>
      </c>
      <c r="F2834" s="10" t="str">
        <f aca="false">HYPERLINK("https://www.inaturalist.org/people/leo_du_toit","leo_du_toit")</f>
        <v>leo_du_toit</v>
      </c>
      <c r="G2834" s="9" t="s">
        <v>13</v>
      </c>
      <c r="H2834" s="9" t="s">
        <v>15329</v>
      </c>
    </row>
    <row r="2835" customFormat="false" ht="15.75" hidden="false" customHeight="false" outlineLevel="0" collapsed="false">
      <c r="B2835" s="7" t="n">
        <v>46280</v>
      </c>
      <c r="C2835" s="3" t="s">
        <v>15330</v>
      </c>
      <c r="D2835" s="3" t="s">
        <v>6978</v>
      </c>
      <c r="E2835" s="3" t="s">
        <v>15331</v>
      </c>
      <c r="F2835" s="10" t="str">
        <f aca="false">HYPERLINK("https://www.inaturalist.org/people/sinobdella","sinobdella")</f>
        <v>sinobdella</v>
      </c>
      <c r="G2835" s="9" t="s">
        <v>13</v>
      </c>
      <c r="H2835" s="9" t="s">
        <v>15332</v>
      </c>
    </row>
    <row r="2836" customFormat="false" ht="15.75" hidden="false" customHeight="false" outlineLevel="0" collapsed="false">
      <c r="B2836" s="7" t="n">
        <v>46280</v>
      </c>
      <c r="C2836" s="3" t="s">
        <v>15333</v>
      </c>
      <c r="D2836" s="3" t="s">
        <v>6978</v>
      </c>
      <c r="E2836" s="3" t="s">
        <v>15334</v>
      </c>
      <c r="F2836" s="10" t="str">
        <f aca="false">HYPERLINK("https://www.inaturalist.org/people/projeto_ciencia_cidada_usppira","projeto_ciencia_cidada_usppira")</f>
        <v>projeto_ciencia_cidada_usppira</v>
      </c>
      <c r="G2836" s="9" t="s">
        <v>13</v>
      </c>
      <c r="H2836" s="9" t="s">
        <v>15335</v>
      </c>
    </row>
    <row r="2837" customFormat="false" ht="15.75" hidden="false" customHeight="false" outlineLevel="0" collapsed="false">
      <c r="B2837" s="7" t="n">
        <v>46280</v>
      </c>
      <c r="C2837" s="3" t="s">
        <v>15336</v>
      </c>
      <c r="D2837" s="3" t="s">
        <v>6978</v>
      </c>
      <c r="E2837" s="3" t="s">
        <v>7195</v>
      </c>
      <c r="F2837" s="10" t="str">
        <f aca="false">HYPERLINK("https://www.inaturalist.org/people/kapishgarg","kapishgarg")</f>
        <v>kapishgarg</v>
      </c>
      <c r="G2837" s="9" t="s">
        <v>13</v>
      </c>
      <c r="H2837" s="9" t="s">
        <v>15337</v>
      </c>
    </row>
    <row r="2838" customFormat="false" ht="15.75" hidden="false" customHeight="false" outlineLevel="0" collapsed="false">
      <c r="B2838" s="7" t="n">
        <v>46280</v>
      </c>
      <c r="C2838" s="3" t="s">
        <v>15338</v>
      </c>
      <c r="D2838" s="3" t="s">
        <v>6978</v>
      </c>
      <c r="E2838" s="3" t="s">
        <v>15339</v>
      </c>
      <c r="F2838" s="10" t="str">
        <f aca="false">HYPERLINK("https://www.inaturalist.org/people/luuktierolf","luuktierolf")</f>
        <v>luuktierolf</v>
      </c>
      <c r="G2838" s="9" t="s">
        <v>13</v>
      </c>
      <c r="H2838" s="9" t="s">
        <v>15340</v>
      </c>
    </row>
    <row r="2839" customFormat="false" ht="15.75" hidden="false" customHeight="false" outlineLevel="0" collapsed="false">
      <c r="B2839" s="7" t="n">
        <v>46280</v>
      </c>
      <c r="C2839" s="3" t="s">
        <v>15341</v>
      </c>
      <c r="D2839" s="3" t="s">
        <v>6978</v>
      </c>
      <c r="E2839" s="3" t="s">
        <v>15342</v>
      </c>
      <c r="F2839" s="10" t="str">
        <f aca="false">HYPERLINK("https://www.inaturalist.org/people/sotiris_kountouras","sotiris_kountouras")</f>
        <v>sotiris_kountouras</v>
      </c>
      <c r="G2839" s="9" t="s">
        <v>13</v>
      </c>
      <c r="H2839" s="9" t="s">
        <v>15343</v>
      </c>
    </row>
    <row r="2840" customFormat="false" ht="15.75" hidden="false" customHeight="false" outlineLevel="0" collapsed="false">
      <c r="B2840" s="7" t="n">
        <v>46280</v>
      </c>
      <c r="C2840" s="3" t="s">
        <v>15344</v>
      </c>
      <c r="D2840" s="3" t="s">
        <v>6978</v>
      </c>
      <c r="E2840" s="3" t="s">
        <v>15345</v>
      </c>
      <c r="F2840" s="10" t="str">
        <f aca="false">HYPERLINK("https://www.inaturalist.org/people/schang_hai","schang_hai")</f>
        <v>schang_hai</v>
      </c>
      <c r="G2840" s="9" t="s">
        <v>13</v>
      </c>
      <c r="H2840" s="9" t="s">
        <v>15346</v>
      </c>
    </row>
    <row r="2841" customFormat="false" ht="15.75" hidden="false" customHeight="false" outlineLevel="0" collapsed="false">
      <c r="B2841" s="7" t="n">
        <v>46280</v>
      </c>
      <c r="C2841" s="3" t="s">
        <v>15347</v>
      </c>
      <c r="D2841" s="3" t="s">
        <v>6978</v>
      </c>
      <c r="E2841" s="3" t="s">
        <v>15348</v>
      </c>
      <c r="F2841" s="10" t="str">
        <f aca="false">HYPERLINK("https://www.inaturalist.org/people/sotiris_kountouras","sotiris_kountouras")</f>
        <v>sotiris_kountouras</v>
      </c>
      <c r="G2841" s="9" t="s">
        <v>13</v>
      </c>
      <c r="H2841" s="9" t="s">
        <v>15349</v>
      </c>
    </row>
    <row r="2842" customFormat="false" ht="15.75" hidden="false" customHeight="false" outlineLevel="0" collapsed="false">
      <c r="B2842" s="7" t="n">
        <v>46280</v>
      </c>
      <c r="C2842" s="3" t="s">
        <v>15350</v>
      </c>
      <c r="D2842" s="3" t="s">
        <v>6978</v>
      </c>
      <c r="E2842" s="3" t="s">
        <v>7297</v>
      </c>
      <c r="F2842" s="10" t="str">
        <f aca="false">HYPERLINK("https://www.inaturalist.org/people/joe_monahan","joe_monahan")</f>
        <v>joe_monahan</v>
      </c>
      <c r="G2842" s="9" t="s">
        <v>13</v>
      </c>
      <c r="H2842" s="9" t="s">
        <v>15351</v>
      </c>
    </row>
    <row r="2843" customFormat="false" ht="15.75" hidden="false" customHeight="false" outlineLevel="0" collapsed="false">
      <c r="B2843" s="7" t="n">
        <v>46280</v>
      </c>
      <c r="C2843" s="3" t="s">
        <v>15352</v>
      </c>
      <c r="D2843" s="3" t="s">
        <v>6978</v>
      </c>
      <c r="E2843" s="3" t="s">
        <v>15353</v>
      </c>
      <c r="F2843" s="10" t="str">
        <f aca="false">HYPERLINK("https://www.inaturalist.org/people/karoopixie","karoopixie")</f>
        <v>karoopixie</v>
      </c>
      <c r="G2843" s="9" t="s">
        <v>13</v>
      </c>
      <c r="H2843" s="9" t="s">
        <v>15354</v>
      </c>
    </row>
    <row r="2844" customFormat="false" ht="15.75" hidden="false" customHeight="false" outlineLevel="0" collapsed="false">
      <c r="B2844" s="7" t="n">
        <v>46280</v>
      </c>
      <c r="C2844" s="3" t="s">
        <v>15355</v>
      </c>
      <c r="D2844" s="3" t="s">
        <v>6978</v>
      </c>
      <c r="E2844" s="3" t="s">
        <v>6985</v>
      </c>
      <c r="F2844" s="10" t="str">
        <f aca="false">HYPERLINK("https://www.inaturalist.org/people/gb-tan","gb-tan")</f>
        <v>gb-tan</v>
      </c>
      <c r="G2844" s="9" t="s">
        <v>13</v>
      </c>
      <c r="H2844" s="9" t="s">
        <v>15356</v>
      </c>
    </row>
    <row r="2845" customFormat="false" ht="15.75" hidden="false" customHeight="false" outlineLevel="0" collapsed="false">
      <c r="B2845" s="7" t="n">
        <v>46280</v>
      </c>
      <c r="C2845" s="3" t="s">
        <v>15357</v>
      </c>
      <c r="D2845" s="3" t="s">
        <v>6978</v>
      </c>
      <c r="E2845" s="3" t="s">
        <v>7462</v>
      </c>
      <c r="F2845" s="10" t="str">
        <f aca="false">HYPERLINK("https://www.inaturalist.org/people/animal_jeds","animal_jeds")</f>
        <v>animal_jeds</v>
      </c>
      <c r="G2845" s="9" t="s">
        <v>13</v>
      </c>
      <c r="H2845" s="9" t="s">
        <v>15358</v>
      </c>
    </row>
    <row r="2846" customFormat="false" ht="15.75" hidden="false" customHeight="false" outlineLevel="0" collapsed="false">
      <c r="B2846" s="7" t="n">
        <v>46280</v>
      </c>
      <c r="C2846" s="3" t="s">
        <v>15359</v>
      </c>
      <c r="D2846" s="3" t="s">
        <v>6978</v>
      </c>
      <c r="E2846" s="3" t="s">
        <v>15360</v>
      </c>
      <c r="F2846" s="10" t="str">
        <f aca="false">HYPERLINK("https://www.inaturalist.org/people/vrenner","vrenner")</f>
        <v>vrenner</v>
      </c>
      <c r="G2846" s="9" t="s">
        <v>13</v>
      </c>
      <c r="H2846" s="9" t="s">
        <v>15361</v>
      </c>
    </row>
    <row r="2847" customFormat="false" ht="15.75" hidden="false" customHeight="false" outlineLevel="0" collapsed="false">
      <c r="B2847" s="7" t="n">
        <v>46280</v>
      </c>
      <c r="C2847" s="3" t="s">
        <v>15362</v>
      </c>
      <c r="D2847" s="3" t="s">
        <v>6978</v>
      </c>
      <c r="E2847" s="3" t="s">
        <v>15363</v>
      </c>
      <c r="F2847" s="10" t="str">
        <f aca="false">HYPERLINK("https://www.inaturalist.org/people/aravind_ps","aravind_ps")</f>
        <v>aravind_ps</v>
      </c>
      <c r="G2847" s="9" t="s">
        <v>13</v>
      </c>
      <c r="H2847" s="9" t="s">
        <v>15364</v>
      </c>
    </row>
    <row r="2848" customFormat="false" ht="15.75" hidden="false" customHeight="false" outlineLevel="0" collapsed="false">
      <c r="B2848" s="7" t="n">
        <v>46280</v>
      </c>
      <c r="C2848" s="3" t="s">
        <v>15365</v>
      </c>
      <c r="D2848" s="3" t="s">
        <v>6978</v>
      </c>
      <c r="E2848" s="3" t="s">
        <v>7330</v>
      </c>
      <c r="F2848" s="10" t="str">
        <f aca="false">HYPERLINK("https://www.inaturalist.org/people/chenyiwen","chenyiwen")</f>
        <v>chenyiwen</v>
      </c>
      <c r="G2848" s="9" t="s">
        <v>13</v>
      </c>
      <c r="H2848" s="9" t="s">
        <v>15366</v>
      </c>
    </row>
    <row r="2849" customFormat="false" ht="15.75" hidden="false" customHeight="false" outlineLevel="0" collapsed="false">
      <c r="B2849" s="7" t="n">
        <v>46280</v>
      </c>
      <c r="C2849" s="3" t="s">
        <v>15367</v>
      </c>
      <c r="D2849" s="3" t="s">
        <v>6978</v>
      </c>
      <c r="E2849" s="3" t="s">
        <v>15368</v>
      </c>
      <c r="F2849" s="10" t="str">
        <f aca="false">HYPERLINK("https://www.inaturalist.org/people/jaimeywilbers","jaimeywilbers")</f>
        <v>jaimeywilbers</v>
      </c>
      <c r="G2849" s="9" t="s">
        <v>13</v>
      </c>
      <c r="H2849" s="9" t="s">
        <v>15369</v>
      </c>
    </row>
    <row r="2850" customFormat="false" ht="15.75" hidden="false" customHeight="false" outlineLevel="0" collapsed="false">
      <c r="B2850" s="7" t="n">
        <v>46280</v>
      </c>
      <c r="C2850" s="3" t="s">
        <v>15370</v>
      </c>
      <c r="D2850" s="3" t="s">
        <v>6978</v>
      </c>
      <c r="E2850" s="3" t="s">
        <v>15371</v>
      </c>
      <c r="F2850" s="10" t="str">
        <f aca="false">HYPERLINK("https://www.inaturalist.org/people/chenyiwen","chenyiwen")</f>
        <v>chenyiwen</v>
      </c>
      <c r="G2850" s="9" t="s">
        <v>13</v>
      </c>
      <c r="H2850" s="9" t="s">
        <v>15372</v>
      </c>
    </row>
    <row r="2851" customFormat="false" ht="15.75" hidden="false" customHeight="false" outlineLevel="0" collapsed="false">
      <c r="B2851" s="7" t="n">
        <v>46280</v>
      </c>
      <c r="C2851" s="3" t="s">
        <v>15373</v>
      </c>
      <c r="D2851" s="3" t="s">
        <v>6978</v>
      </c>
      <c r="E2851" s="3" t="s">
        <v>15374</v>
      </c>
      <c r="F2851" s="10" t="str">
        <f aca="false">HYPERLINK("https://www.inaturalist.org/people/hilary95743","hilary95743")</f>
        <v>hilary95743</v>
      </c>
      <c r="G2851" s="9" t="s">
        <v>13</v>
      </c>
      <c r="H2851" s="9" t="s">
        <v>15375</v>
      </c>
    </row>
    <row r="2852" customFormat="false" ht="15.75" hidden="false" customHeight="false" outlineLevel="0" collapsed="false">
      <c r="B2852" s="7" t="n">
        <v>46280</v>
      </c>
      <c r="C2852" s="3" t="s">
        <v>15376</v>
      </c>
      <c r="D2852" s="3" t="s">
        <v>6978</v>
      </c>
      <c r="E2852" s="3" t="s">
        <v>15377</v>
      </c>
      <c r="F2852" s="10" t="str">
        <f aca="false">HYPERLINK("https://www.inaturalist.org/people/nicolewonderlin","nicolewonderlin")</f>
        <v>nicolewonderlin</v>
      </c>
      <c r="G2852" s="9" t="s">
        <v>13</v>
      </c>
      <c r="H2852" s="9" t="s">
        <v>15378</v>
      </c>
    </row>
    <row r="2853" customFormat="false" ht="15.75" hidden="false" customHeight="false" outlineLevel="0" collapsed="false">
      <c r="B2853" s="7" t="n">
        <v>46280</v>
      </c>
      <c r="C2853" s="3" t="s">
        <v>15379</v>
      </c>
      <c r="D2853" s="3" t="s">
        <v>6978</v>
      </c>
      <c r="E2853" s="3" t="s">
        <v>15380</v>
      </c>
      <c r="F2853" s="10" t="str">
        <f aca="false">HYPERLINK("https://www.inaturalist.org/people/cael-w","cael-w")</f>
        <v>cael-w</v>
      </c>
      <c r="G2853" s="9" t="s">
        <v>13</v>
      </c>
      <c r="H2853" s="9" t="s">
        <v>15381</v>
      </c>
    </row>
    <row r="2854" customFormat="false" ht="15.75" hidden="false" customHeight="false" outlineLevel="0" collapsed="false">
      <c r="B2854" s="7" t="n">
        <v>46280</v>
      </c>
      <c r="C2854" s="3" t="s">
        <v>15382</v>
      </c>
      <c r="D2854" s="3" t="s">
        <v>6978</v>
      </c>
      <c r="E2854" s="3" t="s">
        <v>15383</v>
      </c>
      <c r="F2854" s="10" t="str">
        <f aca="false">HYPERLINK("https://www.inaturalist.org/people/leoleohuang","leoleohuang")</f>
        <v>leoleohuang</v>
      </c>
      <c r="G2854" s="9" t="s">
        <v>13</v>
      </c>
      <c r="H2854" s="9" t="s">
        <v>15384</v>
      </c>
    </row>
    <row r="2855" customFormat="false" ht="15.75" hidden="false" customHeight="false" outlineLevel="0" collapsed="false">
      <c r="B2855" s="7" t="n">
        <v>46280</v>
      </c>
      <c r="C2855" s="3" t="s">
        <v>15385</v>
      </c>
      <c r="D2855" s="3" t="s">
        <v>6978</v>
      </c>
      <c r="E2855" s="3" t="s">
        <v>15386</v>
      </c>
      <c r="F2855" s="10" t="str">
        <f aca="false">HYPERLINK("https://www.inaturalist.org/people/gomezri","gomezri")</f>
        <v>gomezri</v>
      </c>
      <c r="G2855" s="9" t="s">
        <v>13</v>
      </c>
      <c r="H2855" s="9" t="s">
        <v>15387</v>
      </c>
    </row>
    <row r="2856" customFormat="false" ht="15.75" hidden="false" customHeight="false" outlineLevel="0" collapsed="false">
      <c r="B2856" s="7" t="n">
        <v>46280</v>
      </c>
      <c r="C2856" s="3" t="s">
        <v>15388</v>
      </c>
      <c r="D2856" s="3" t="s">
        <v>6978</v>
      </c>
      <c r="E2856" s="3" t="s">
        <v>7429</v>
      </c>
      <c r="F2856" s="10" t="str">
        <f aca="false">HYPERLINK("https://www.inaturalist.org/people/zt90789","zt90789")</f>
        <v>zt90789</v>
      </c>
      <c r="G2856" s="9" t="s">
        <v>13</v>
      </c>
      <c r="H2856" s="9" t="s">
        <v>15389</v>
      </c>
    </row>
    <row r="2857" customFormat="false" ht="15.75" hidden="false" customHeight="false" outlineLevel="0" collapsed="false">
      <c r="B2857" s="7" t="n">
        <v>46280</v>
      </c>
      <c r="C2857" s="3" t="s">
        <v>15390</v>
      </c>
      <c r="D2857" s="3" t="s">
        <v>6978</v>
      </c>
      <c r="E2857" s="3" t="s">
        <v>15391</v>
      </c>
      <c r="F2857" s="10" t="str">
        <f aca="false">HYPERLINK("https://www.inaturalist.org/people/kwoody96","kwoody96")</f>
        <v>kwoody96</v>
      </c>
      <c r="G2857" s="9" t="s">
        <v>13</v>
      </c>
      <c r="H2857" s="9" t="s">
        <v>15392</v>
      </c>
    </row>
    <row r="2858" customFormat="false" ht="15.75" hidden="false" customHeight="false" outlineLevel="0" collapsed="false">
      <c r="B2858" s="7" t="n">
        <v>46280</v>
      </c>
      <c r="C2858" s="3" t="s">
        <v>15393</v>
      </c>
      <c r="D2858" s="3" t="s">
        <v>6978</v>
      </c>
      <c r="E2858" s="3" t="s">
        <v>15394</v>
      </c>
      <c r="F2858" s="10" t="str">
        <f aca="false">HYPERLINK("https://www.inaturalist.org/people/reginaandrade","reginaandrade")</f>
        <v>reginaandrade</v>
      </c>
      <c r="G2858" s="9" t="s">
        <v>13</v>
      </c>
      <c r="H2858" s="9" t="s">
        <v>15395</v>
      </c>
    </row>
    <row r="2859" customFormat="false" ht="15.75" hidden="false" customHeight="false" outlineLevel="0" collapsed="false">
      <c r="B2859" s="7" t="n">
        <v>46280</v>
      </c>
      <c r="C2859" s="3" t="s">
        <v>15396</v>
      </c>
      <c r="D2859" s="3" t="s">
        <v>6978</v>
      </c>
      <c r="E2859" s="3" t="s">
        <v>15397</v>
      </c>
      <c r="F2859" s="10" t="str">
        <f aca="false">HYPERLINK("https://www.inaturalist.org/people/kusa-to-uo","kusa-to-uo")</f>
        <v>kusa-to-uo</v>
      </c>
      <c r="G2859" s="9" t="s">
        <v>13</v>
      </c>
      <c r="H2859" s="9" t="s">
        <v>15398</v>
      </c>
    </row>
    <row r="2860" customFormat="false" ht="15.75" hidden="false" customHeight="false" outlineLevel="0" collapsed="false">
      <c r="B2860" s="7" t="n">
        <v>46280</v>
      </c>
      <c r="C2860" s="3" t="s">
        <v>15399</v>
      </c>
      <c r="D2860" s="3" t="s">
        <v>6978</v>
      </c>
      <c r="E2860" s="3" t="s">
        <v>7321</v>
      </c>
      <c r="F2860" s="10" t="str">
        <f aca="false">HYPERLINK("https://www.inaturalist.org/people/pcorson","pcorson")</f>
        <v>pcorson</v>
      </c>
      <c r="G2860" s="9" t="s">
        <v>13</v>
      </c>
      <c r="H2860" s="9" t="s">
        <v>15400</v>
      </c>
    </row>
    <row r="2861" customFormat="false" ht="15.75" hidden="false" customHeight="false" outlineLevel="0" collapsed="false">
      <c r="B2861" s="7" t="n">
        <v>46280</v>
      </c>
      <c r="C2861" s="3" t="s">
        <v>15401</v>
      </c>
      <c r="D2861" s="3" t="s">
        <v>6978</v>
      </c>
      <c r="E2861" s="3" t="s">
        <v>15402</v>
      </c>
      <c r="F2861" s="10" t="str">
        <f aca="false">HYPERLINK("https://www.inaturalist.org/people/naren2905","naren2905")</f>
        <v>naren2905</v>
      </c>
      <c r="G2861" s="9" t="s">
        <v>13</v>
      </c>
      <c r="H2861" s="9" t="s">
        <v>15403</v>
      </c>
    </row>
    <row r="2862" customFormat="false" ht="15.75" hidden="false" customHeight="false" outlineLevel="0" collapsed="false">
      <c r="B2862" s="7" t="n">
        <v>46280</v>
      </c>
      <c r="C2862" s="3" t="s">
        <v>15404</v>
      </c>
      <c r="D2862" s="3" t="s">
        <v>6978</v>
      </c>
      <c r="E2862" s="3" t="s">
        <v>7114</v>
      </c>
      <c r="F2862" s="10" t="str">
        <f aca="false">HYPERLINK("https://www.inaturalist.org/people/anniesn","anniesn")</f>
        <v>anniesn</v>
      </c>
      <c r="G2862" s="9" t="s">
        <v>13</v>
      </c>
      <c r="H2862" s="9" t="s">
        <v>15405</v>
      </c>
    </row>
    <row r="2863" customFormat="false" ht="15.75" hidden="false" customHeight="false" outlineLevel="0" collapsed="false">
      <c r="B2863" s="7" t="n">
        <v>46280</v>
      </c>
      <c r="C2863" s="3" t="s">
        <v>15406</v>
      </c>
      <c r="D2863" s="3" t="s">
        <v>6978</v>
      </c>
      <c r="E2863" s="3" t="s">
        <v>7516</v>
      </c>
      <c r="F2863" s="10" t="str">
        <f aca="false">HYPERLINK("https://www.inaturalist.org/people/naren2905","naren2905")</f>
        <v>naren2905</v>
      </c>
      <c r="G2863" s="9" t="s">
        <v>13</v>
      </c>
      <c r="H2863" s="9" t="s">
        <v>15407</v>
      </c>
    </row>
    <row r="2864" customFormat="false" ht="15.75" hidden="false" customHeight="false" outlineLevel="0" collapsed="false">
      <c r="B2864" s="7" t="n">
        <v>46280</v>
      </c>
      <c r="C2864" s="3" t="s">
        <v>15408</v>
      </c>
      <c r="D2864" s="3" t="s">
        <v>6978</v>
      </c>
      <c r="E2864" s="3" t="s">
        <v>7474</v>
      </c>
      <c r="F2864" s="10" t="str">
        <f aca="false">HYPERLINK("https://www.inaturalist.org/people/coddiwompler","coddiwompler")</f>
        <v>coddiwompler</v>
      </c>
      <c r="G2864" s="9" t="s">
        <v>13</v>
      </c>
      <c r="H2864" s="9" t="s">
        <v>15409</v>
      </c>
    </row>
    <row r="2865" customFormat="false" ht="15.75" hidden="false" customHeight="false" outlineLevel="0" collapsed="false">
      <c r="B2865" s="7" t="n">
        <v>46280</v>
      </c>
      <c r="C2865" s="3" t="s">
        <v>15410</v>
      </c>
      <c r="D2865" s="3" t="s">
        <v>6978</v>
      </c>
      <c r="E2865" s="3" t="s">
        <v>7570</v>
      </c>
      <c r="F2865" s="10" t="str">
        <f aca="false">HYPERLINK("https://www.inaturalist.org/people/luuktierolf","luuktierolf")</f>
        <v>luuktierolf</v>
      </c>
      <c r="G2865" s="9" t="s">
        <v>13</v>
      </c>
      <c r="H2865" s="9" t="s">
        <v>15411</v>
      </c>
    </row>
    <row r="2866" customFormat="false" ht="15.75" hidden="false" customHeight="false" outlineLevel="0" collapsed="false">
      <c r="B2866" s="7" t="n">
        <v>46280</v>
      </c>
      <c r="C2866" s="3" t="s">
        <v>15412</v>
      </c>
      <c r="D2866" s="3" t="s">
        <v>6978</v>
      </c>
      <c r="E2866" s="3" t="s">
        <v>7537</v>
      </c>
      <c r="F2866" s="10" t="str">
        <f aca="false">HYPERLINK("https://www.inaturalist.org/people/johnnybwoodside","johnnybwoodside")</f>
        <v>johnnybwoodside</v>
      </c>
      <c r="G2866" s="9" t="s">
        <v>13</v>
      </c>
      <c r="H2866" s="9" t="s">
        <v>15413</v>
      </c>
    </row>
    <row r="2867" customFormat="false" ht="15.75" hidden="false" customHeight="false" outlineLevel="0" collapsed="false">
      <c r="B2867" s="7" t="n">
        <v>46280</v>
      </c>
      <c r="C2867" s="3" t="s">
        <v>15414</v>
      </c>
      <c r="D2867" s="3" t="s">
        <v>6978</v>
      </c>
      <c r="E2867" s="3" t="s">
        <v>15415</v>
      </c>
      <c r="F2867" s="10" t="str">
        <f aca="false">HYPERLINK("https://www.inaturalist.org/people/ulidon","ulidon")</f>
        <v>ulidon</v>
      </c>
      <c r="G2867" s="9" t="s">
        <v>13</v>
      </c>
      <c r="H2867" s="9" t="s">
        <v>15416</v>
      </c>
    </row>
    <row r="2868" customFormat="false" ht="15.75" hidden="false" customHeight="false" outlineLevel="0" collapsed="false">
      <c r="B2868" s="7" t="n">
        <v>46280</v>
      </c>
      <c r="C2868" s="3" t="s">
        <v>15417</v>
      </c>
      <c r="D2868" s="3" t="s">
        <v>6978</v>
      </c>
      <c r="E2868" s="3" t="s">
        <v>15418</v>
      </c>
      <c r="F2868" s="10" t="str">
        <f aca="false">HYPERLINK("https://www.inaturalist.org/people/naturalist199142","naturalist199142")</f>
        <v>naturalist199142</v>
      </c>
      <c r="G2868" s="9" t="s">
        <v>13</v>
      </c>
      <c r="H2868" s="9" t="s">
        <v>15419</v>
      </c>
    </row>
    <row r="2869" customFormat="false" ht="15.75" hidden="false" customHeight="false" outlineLevel="0" collapsed="false">
      <c r="B2869" s="7" t="n">
        <v>46280</v>
      </c>
      <c r="C2869" s="3" t="s">
        <v>15420</v>
      </c>
      <c r="D2869" s="3" t="s">
        <v>6978</v>
      </c>
      <c r="E2869" s="3" t="s">
        <v>15421</v>
      </c>
      <c r="F2869" s="10" t="str">
        <f aca="false">HYPERLINK("https://www.inaturalist.org/people/fatima_hraiz","fatima_hraiz")</f>
        <v>fatima_hraiz</v>
      </c>
      <c r="G2869" s="9" t="s">
        <v>13</v>
      </c>
      <c r="H2869" s="9" t="s">
        <v>15422</v>
      </c>
    </row>
    <row r="2870" customFormat="false" ht="15.75" hidden="false" customHeight="false" outlineLevel="0" collapsed="false">
      <c r="B2870" s="7" t="n">
        <v>46280</v>
      </c>
      <c r="C2870" s="3" t="s">
        <v>15423</v>
      </c>
      <c r="D2870" s="3" t="s">
        <v>6978</v>
      </c>
      <c r="E2870" s="3" t="s">
        <v>15424</v>
      </c>
      <c r="F2870" s="10" t="str">
        <f aca="false">HYPERLINK("https://www.inaturalist.org/people/bstewie3333","bstewie3333")</f>
        <v>bstewie3333</v>
      </c>
      <c r="G2870" s="9" t="s">
        <v>13</v>
      </c>
      <c r="H2870" s="9" t="s">
        <v>15425</v>
      </c>
    </row>
    <row r="2871" customFormat="false" ht="15.75" hidden="false" customHeight="false" outlineLevel="0" collapsed="false">
      <c r="B2871" s="7" t="n">
        <v>46280</v>
      </c>
      <c r="C2871" s="3" t="s">
        <v>15426</v>
      </c>
      <c r="D2871" s="3" t="s">
        <v>6978</v>
      </c>
      <c r="E2871" s="3" t="s">
        <v>7867</v>
      </c>
      <c r="F2871" s="10" t="str">
        <f aca="false">HYPERLINK("https://www.inaturalist.org/people/collardzz","collardzz")</f>
        <v>collardzz</v>
      </c>
      <c r="G2871" s="9" t="s">
        <v>13</v>
      </c>
      <c r="H2871" s="9" t="s">
        <v>15427</v>
      </c>
    </row>
    <row r="2872" customFormat="false" ht="15.75" hidden="false" customHeight="false" outlineLevel="0" collapsed="false">
      <c r="B2872" s="7" t="n">
        <v>46280</v>
      </c>
      <c r="C2872" s="3" t="s">
        <v>15428</v>
      </c>
      <c r="D2872" s="3" t="s">
        <v>6978</v>
      </c>
      <c r="E2872" s="3" t="s">
        <v>7210</v>
      </c>
      <c r="F2872" s="10" t="str">
        <f aca="false">HYPERLINK("https://www.inaturalist.org/people/rspargo","rspargo")</f>
        <v>rspargo</v>
      </c>
      <c r="G2872" s="9" t="s">
        <v>13</v>
      </c>
      <c r="H2872" s="9" t="s">
        <v>15429</v>
      </c>
    </row>
    <row r="2873" customFormat="false" ht="15.75" hidden="false" customHeight="false" outlineLevel="0" collapsed="false">
      <c r="B2873" s="7" t="n">
        <v>46280</v>
      </c>
      <c r="C2873" s="3" t="s">
        <v>15430</v>
      </c>
      <c r="D2873" s="3" t="s">
        <v>6978</v>
      </c>
      <c r="E2873" s="3" t="s">
        <v>15431</v>
      </c>
      <c r="F2873" s="10" t="str">
        <f aca="false">HYPERLINK("https://www.inaturalist.org/people/mrthilon","mrthilon")</f>
        <v>mrthilon</v>
      </c>
      <c r="G2873" s="9" t="s">
        <v>13</v>
      </c>
      <c r="H2873" s="9" t="s">
        <v>15432</v>
      </c>
    </row>
    <row r="2874" customFormat="false" ht="15.75" hidden="false" customHeight="false" outlineLevel="0" collapsed="false">
      <c r="B2874" s="7" t="n">
        <v>46280</v>
      </c>
      <c r="C2874" s="3" t="s">
        <v>15433</v>
      </c>
      <c r="D2874" s="3" t="s">
        <v>6978</v>
      </c>
      <c r="E2874" s="3" t="s">
        <v>15434</v>
      </c>
      <c r="F2874" s="10" t="str">
        <f aca="false">HYPERLINK("https://www.inaturalist.org/people/mgargiulo","mgargiulo")</f>
        <v>mgargiulo</v>
      </c>
      <c r="G2874" s="9" t="s">
        <v>13</v>
      </c>
      <c r="H2874" s="9" t="s">
        <v>15435</v>
      </c>
    </row>
    <row r="2875" customFormat="false" ht="15.75" hidden="false" customHeight="false" outlineLevel="0" collapsed="false">
      <c r="B2875" s="7" t="n">
        <v>46280</v>
      </c>
      <c r="C2875" s="3" t="s">
        <v>15436</v>
      </c>
      <c r="D2875" s="3" t="s">
        <v>6978</v>
      </c>
      <c r="E2875" s="3" t="s">
        <v>15437</v>
      </c>
      <c r="F2875" s="10" t="str">
        <f aca="false">HYPERLINK("https://www.inaturalist.org/people/capy_uynahz","capy_uynahz")</f>
        <v>capy_uynahz</v>
      </c>
      <c r="G2875" s="9" t="s">
        <v>13</v>
      </c>
      <c r="H2875" s="9" t="s">
        <v>15438</v>
      </c>
    </row>
    <row r="2876" customFormat="false" ht="15.75" hidden="false" customHeight="false" outlineLevel="0" collapsed="false">
      <c r="B2876" s="7" t="n">
        <v>46280</v>
      </c>
      <c r="C2876" s="3" t="s">
        <v>15439</v>
      </c>
      <c r="D2876" s="3" t="s">
        <v>6978</v>
      </c>
      <c r="E2876" s="3" t="s">
        <v>15440</v>
      </c>
      <c r="F2876" s="10" t="str">
        <f aca="false">HYPERLINK("https://www.inaturalist.org/people/adelliebenberg","adelliebenberg")</f>
        <v>adelliebenberg</v>
      </c>
      <c r="G2876" s="9" t="s">
        <v>13</v>
      </c>
      <c r="H2876" s="9" t="s">
        <v>15441</v>
      </c>
    </row>
    <row r="2877" customFormat="false" ht="15.75" hidden="false" customHeight="false" outlineLevel="0" collapsed="false">
      <c r="B2877" s="7" t="n">
        <v>46280</v>
      </c>
      <c r="C2877" s="3" t="s">
        <v>15442</v>
      </c>
      <c r="D2877" s="3" t="s">
        <v>6978</v>
      </c>
      <c r="E2877" s="3" t="s">
        <v>7222</v>
      </c>
      <c r="F2877" s="10" t="str">
        <f aca="false">HYPERLINK("https://www.inaturalist.org/people/wildcatdogs","wildcatdogs")</f>
        <v>wildcatdogs</v>
      </c>
      <c r="G2877" s="9" t="s">
        <v>13</v>
      </c>
      <c r="H2877" s="9" t="s">
        <v>15443</v>
      </c>
    </row>
    <row r="2878" customFormat="false" ht="15.75" hidden="false" customHeight="false" outlineLevel="0" collapsed="false">
      <c r="B2878" s="7" t="n">
        <v>46280</v>
      </c>
      <c r="C2878" s="3" t="s">
        <v>15444</v>
      </c>
      <c r="D2878" s="3" t="s">
        <v>6978</v>
      </c>
      <c r="E2878" s="3" t="s">
        <v>15445</v>
      </c>
      <c r="F2878" s="10" t="str">
        <f aca="false">HYPERLINK("https://www.inaturalist.org/people/aclh","aclh")</f>
        <v>aclh</v>
      </c>
      <c r="G2878" s="9" t="s">
        <v>13</v>
      </c>
      <c r="H2878" s="9" t="s">
        <v>15446</v>
      </c>
    </row>
    <row r="2879" customFormat="false" ht="15.75" hidden="false" customHeight="false" outlineLevel="0" collapsed="false">
      <c r="B2879" s="7" t="n">
        <v>46280</v>
      </c>
      <c r="C2879" s="3" t="s">
        <v>15447</v>
      </c>
      <c r="D2879" s="3" t="s">
        <v>6978</v>
      </c>
      <c r="E2879" s="3" t="s">
        <v>15448</v>
      </c>
      <c r="F2879" s="10" t="str">
        <f aca="false">HYPERLINK("https://www.inaturalist.org/people/beaustock350","beaustock350")</f>
        <v>beaustock350</v>
      </c>
      <c r="G2879" s="9" t="s">
        <v>13</v>
      </c>
      <c r="H2879" s="9" t="s">
        <v>15449</v>
      </c>
    </row>
    <row r="2880" customFormat="false" ht="15.75" hidden="false" customHeight="false" outlineLevel="0" collapsed="false">
      <c r="B2880" s="7" t="n">
        <v>46280</v>
      </c>
      <c r="C2880" s="3" t="s">
        <v>15450</v>
      </c>
      <c r="D2880" s="3" t="s">
        <v>6978</v>
      </c>
      <c r="E2880" s="3" t="s">
        <v>7108</v>
      </c>
      <c r="F2880" s="10" t="str">
        <f aca="false">HYPERLINK("https://www.inaturalist.org/people/ansonlee1689","ansonlee1689")</f>
        <v>ansonlee1689</v>
      </c>
      <c r="G2880" s="9" t="s">
        <v>13</v>
      </c>
      <c r="H2880" s="9" t="s">
        <v>15451</v>
      </c>
    </row>
    <row r="2881" customFormat="false" ht="15.75" hidden="false" customHeight="false" outlineLevel="0" collapsed="false">
      <c r="B2881" s="7" t="n">
        <v>46280</v>
      </c>
      <c r="C2881" s="3" t="s">
        <v>15452</v>
      </c>
      <c r="D2881" s="3" t="s">
        <v>6978</v>
      </c>
      <c r="E2881" s="3" t="s">
        <v>15453</v>
      </c>
      <c r="F2881" s="10" t="str">
        <f aca="false">HYPERLINK("https://www.inaturalist.org/people/mygshah18","mygshah18")</f>
        <v>mygshah18</v>
      </c>
      <c r="G2881" s="9" t="s">
        <v>13</v>
      </c>
      <c r="H2881" s="9" t="s">
        <v>15454</v>
      </c>
    </row>
    <row r="2882" customFormat="false" ht="15.75" hidden="false" customHeight="false" outlineLevel="0" collapsed="false">
      <c r="B2882" s="7" t="n">
        <v>46280</v>
      </c>
      <c r="C2882" s="3" t="s">
        <v>15455</v>
      </c>
      <c r="D2882" s="3" t="s">
        <v>6978</v>
      </c>
      <c r="E2882" s="3" t="s">
        <v>15456</v>
      </c>
      <c r="F2882" s="10" t="str">
        <f aca="false">HYPERLINK("https://www.inaturalist.org/people/soumyajit28","soumyajit28")</f>
        <v>soumyajit28</v>
      </c>
      <c r="G2882" s="9" t="s">
        <v>13</v>
      </c>
      <c r="H2882" s="9" t="s">
        <v>15457</v>
      </c>
    </row>
    <row r="2883" customFormat="false" ht="15.75" hidden="false" customHeight="false" outlineLevel="0" collapsed="false">
      <c r="B2883" s="7" t="n">
        <v>46280</v>
      </c>
      <c r="C2883" s="3" t="s">
        <v>15458</v>
      </c>
      <c r="D2883" s="3" t="s">
        <v>6978</v>
      </c>
      <c r="E2883" s="3" t="s">
        <v>15459</v>
      </c>
      <c r="F2883" s="10" t="str">
        <f aca="false">HYPERLINK("https://www.inaturalist.org/people/davidgwhite","davidgwhite")</f>
        <v>davidgwhite</v>
      </c>
      <c r="G2883" s="9" t="s">
        <v>13</v>
      </c>
      <c r="H2883" s="9" t="s">
        <v>15460</v>
      </c>
    </row>
    <row r="2884" customFormat="false" ht="15.75" hidden="false" customHeight="false" outlineLevel="0" collapsed="false">
      <c r="B2884" s="7" t="n">
        <v>46280</v>
      </c>
      <c r="C2884" s="3" t="s">
        <v>15461</v>
      </c>
      <c r="D2884" s="3" t="s">
        <v>6978</v>
      </c>
      <c r="E2884" s="3" t="s">
        <v>7309</v>
      </c>
      <c r="F2884" s="10" t="str">
        <f aca="false">HYPERLINK("https://www.inaturalist.org/people/ggyy9999","ggyy9999")</f>
        <v>ggyy9999</v>
      </c>
      <c r="G2884" s="9" t="s">
        <v>13</v>
      </c>
      <c r="H2884" s="9" t="s">
        <v>15462</v>
      </c>
    </row>
    <row r="2885" customFormat="false" ht="15.75" hidden="false" customHeight="false" outlineLevel="0" collapsed="false">
      <c r="B2885" s="7" t="n">
        <v>46280</v>
      </c>
      <c r="C2885" s="3" t="s">
        <v>15463</v>
      </c>
      <c r="D2885" s="3" t="s">
        <v>6978</v>
      </c>
      <c r="E2885" s="3" t="s">
        <v>15464</v>
      </c>
      <c r="F2885" s="10" t="str">
        <f aca="false">HYPERLINK("https://www.inaturalist.org/people/ggyy9999","ggyy9999")</f>
        <v>ggyy9999</v>
      </c>
      <c r="G2885" s="9" t="s">
        <v>13</v>
      </c>
      <c r="H2885" s="9" t="s">
        <v>15465</v>
      </c>
    </row>
    <row r="2886" customFormat="false" ht="15.75" hidden="false" customHeight="false" outlineLevel="0" collapsed="false">
      <c r="B2886" s="7" t="n">
        <v>46280</v>
      </c>
      <c r="C2886" s="3" t="s">
        <v>15466</v>
      </c>
      <c r="D2886" s="3" t="s">
        <v>6978</v>
      </c>
      <c r="E2886" s="3" t="s">
        <v>7093</v>
      </c>
      <c r="F2886" s="10" t="str">
        <f aca="false">HYPERLINK("https://www.inaturalist.org/people/herman13884","herman13884")</f>
        <v>herman13884</v>
      </c>
      <c r="G2886" s="9" t="s">
        <v>13</v>
      </c>
      <c r="H2886" s="9" t="s">
        <v>15467</v>
      </c>
    </row>
    <row r="2887" customFormat="false" ht="15.75" hidden="false" customHeight="false" outlineLevel="0" collapsed="false">
      <c r="B2887" s="7" t="n">
        <v>46280</v>
      </c>
      <c r="C2887" s="3" t="s">
        <v>15468</v>
      </c>
      <c r="D2887" s="3" t="s">
        <v>6978</v>
      </c>
      <c r="E2887" s="3" t="s">
        <v>7513</v>
      </c>
      <c r="F2887" s="10" t="str">
        <f aca="false">HYPERLINK("https://www.inaturalist.org/people/krishnadixit","krishnadixit")</f>
        <v>krishnadixit</v>
      </c>
      <c r="G2887" s="9" t="s">
        <v>13</v>
      </c>
      <c r="H2887" s="9" t="s">
        <v>15469</v>
      </c>
    </row>
    <row r="2888" customFormat="false" ht="15.75" hidden="false" customHeight="false" outlineLevel="0" collapsed="false">
      <c r="B2888" s="7" t="n">
        <v>46280</v>
      </c>
      <c r="C2888" s="3" t="s">
        <v>15470</v>
      </c>
      <c r="D2888" s="3" t="s">
        <v>6978</v>
      </c>
      <c r="E2888" s="3" t="s">
        <v>7279</v>
      </c>
      <c r="F2888" s="10" t="str">
        <f aca="false">HYPERLINK("https://www.inaturalist.org/people/tinowang","tinowang")</f>
        <v>tinowang</v>
      </c>
      <c r="G2888" s="9" t="s">
        <v>13</v>
      </c>
      <c r="H2888" s="9" t="s">
        <v>15471</v>
      </c>
    </row>
    <row r="2889" customFormat="false" ht="15.75" hidden="false" customHeight="false" outlineLevel="0" collapsed="false">
      <c r="B2889" s="7" t="n">
        <v>46280</v>
      </c>
      <c r="C2889" s="3" t="s">
        <v>15472</v>
      </c>
      <c r="D2889" s="3" t="s">
        <v>6978</v>
      </c>
      <c r="E2889" s="3" t="s">
        <v>15473</v>
      </c>
      <c r="F2889" s="10" t="str">
        <f aca="false">HYPERLINK("https://www.inaturalist.org/people/jenny20030123","jenny20030123")</f>
        <v>jenny20030123</v>
      </c>
      <c r="G2889" s="9" t="s">
        <v>13</v>
      </c>
      <c r="H2889" s="9" t="s">
        <v>15474</v>
      </c>
    </row>
    <row r="2890" customFormat="false" ht="15.75" hidden="false" customHeight="false" outlineLevel="0" collapsed="false">
      <c r="B2890" s="7" t="n">
        <v>46280</v>
      </c>
      <c r="C2890" s="3" t="s">
        <v>15475</v>
      </c>
      <c r="D2890" s="3" t="s">
        <v>6978</v>
      </c>
      <c r="E2890" s="3" t="s">
        <v>7552</v>
      </c>
      <c r="F2890" s="10" t="str">
        <f aca="false">HYPERLINK("https://www.inaturalist.org/people/selfcircled","selfcircled")</f>
        <v>selfcircled</v>
      </c>
      <c r="G2890" s="9" t="s">
        <v>13</v>
      </c>
      <c r="H2890" s="9" t="s">
        <v>15476</v>
      </c>
    </row>
    <row r="2891" customFormat="false" ht="15.75" hidden="false" customHeight="false" outlineLevel="0" collapsed="false">
      <c r="B2891" s="7" t="n">
        <v>46280</v>
      </c>
      <c r="C2891" s="3" t="s">
        <v>15477</v>
      </c>
      <c r="D2891" s="3" t="s">
        <v>6978</v>
      </c>
      <c r="E2891" s="3" t="s">
        <v>7306</v>
      </c>
      <c r="F2891" s="10" t="str">
        <f aca="false">HYPERLINK("https://www.inaturalist.org/people/nazrulislam1835","nazrulislam1835")</f>
        <v>nazrulislam1835</v>
      </c>
      <c r="G2891" s="9" t="s">
        <v>13</v>
      </c>
      <c r="H2891" s="9" t="s">
        <v>15478</v>
      </c>
    </row>
    <row r="2892" customFormat="false" ht="15.75" hidden="false" customHeight="false" outlineLevel="0" collapsed="false">
      <c r="B2892" s="7" t="n">
        <v>46280</v>
      </c>
      <c r="C2892" s="3" t="s">
        <v>15479</v>
      </c>
      <c r="D2892" s="3" t="s">
        <v>6978</v>
      </c>
      <c r="E2892" s="3" t="s">
        <v>7798</v>
      </c>
      <c r="F2892" s="10" t="str">
        <f aca="false">HYPERLINK("https://www.inaturalist.org/people/qy17","qy17")</f>
        <v>qy17</v>
      </c>
      <c r="G2892" s="9" t="s">
        <v>13</v>
      </c>
      <c r="H2892" s="9" t="s">
        <v>15480</v>
      </c>
    </row>
    <row r="2893" customFormat="false" ht="15.75" hidden="false" customHeight="false" outlineLevel="0" collapsed="false">
      <c r="B2893" s="7" t="n">
        <v>46280</v>
      </c>
      <c r="C2893" s="3" t="s">
        <v>15481</v>
      </c>
      <c r="D2893" s="3" t="s">
        <v>6978</v>
      </c>
      <c r="E2893" s="3" t="s">
        <v>15482</v>
      </c>
      <c r="F2893" s="10" t="str">
        <f aca="false">HYPERLINK("https://www.inaturalist.org/people/timoteo_b","timoteo_b")</f>
        <v>timoteo_b</v>
      </c>
      <c r="G2893" s="9" t="s">
        <v>13</v>
      </c>
      <c r="H2893" s="9" t="s">
        <v>15483</v>
      </c>
    </row>
    <row r="2894" customFormat="false" ht="15.75" hidden="false" customHeight="false" outlineLevel="0" collapsed="false">
      <c r="B2894" s="7" t="n">
        <v>46280</v>
      </c>
      <c r="C2894" s="3" t="s">
        <v>15484</v>
      </c>
      <c r="D2894" s="3" t="s">
        <v>6978</v>
      </c>
      <c r="E2894" s="3" t="s">
        <v>7252</v>
      </c>
      <c r="F2894" s="10" t="str">
        <f aca="false">HYPERLINK("https://www.inaturalist.org/people/timoteo_b","timoteo_b")</f>
        <v>timoteo_b</v>
      </c>
      <c r="G2894" s="9" t="s">
        <v>13</v>
      </c>
      <c r="H2894" s="9" t="s">
        <v>15485</v>
      </c>
    </row>
    <row r="2895" customFormat="false" ht="15.75" hidden="false" customHeight="false" outlineLevel="0" collapsed="false">
      <c r="B2895" s="7" t="n">
        <v>46280</v>
      </c>
      <c r="C2895" s="3" t="s">
        <v>15486</v>
      </c>
      <c r="D2895" s="3" t="s">
        <v>6978</v>
      </c>
      <c r="E2895" s="3" t="s">
        <v>15487</v>
      </c>
      <c r="F2895" s="10" t="str">
        <f aca="false">HYPERLINK("https://www.inaturalist.org/people/timoteo_b","timoteo_b")</f>
        <v>timoteo_b</v>
      </c>
      <c r="G2895" s="9" t="s">
        <v>13</v>
      </c>
      <c r="H2895" s="9" t="s">
        <v>15488</v>
      </c>
    </row>
    <row r="2896" customFormat="false" ht="15.75" hidden="false" customHeight="false" outlineLevel="0" collapsed="false">
      <c r="B2896" s="7" t="n">
        <v>46280</v>
      </c>
      <c r="C2896" s="3" t="s">
        <v>15489</v>
      </c>
      <c r="D2896" s="3" t="s">
        <v>6978</v>
      </c>
      <c r="E2896" s="3" t="s">
        <v>15490</v>
      </c>
      <c r="F2896" s="10" t="str">
        <f aca="false">HYPERLINK("https://www.inaturalist.org/people/javedupreez","javedupreez")</f>
        <v>javedupreez</v>
      </c>
      <c r="G2896" s="9" t="s">
        <v>13</v>
      </c>
      <c r="H2896" s="9" t="s">
        <v>15491</v>
      </c>
    </row>
    <row r="2897" customFormat="false" ht="15.75" hidden="false" customHeight="false" outlineLevel="0" collapsed="false">
      <c r="B2897" s="7" t="n">
        <v>46280</v>
      </c>
      <c r="C2897" s="3" t="s">
        <v>15492</v>
      </c>
      <c r="D2897" s="3" t="s">
        <v>6978</v>
      </c>
      <c r="E2897" s="3" t="s">
        <v>15493</v>
      </c>
      <c r="F2897" s="10" t="str">
        <f aca="false">HYPERLINK("https://www.inaturalist.org/people/biologokevin","biologokevin")</f>
        <v>biologokevin</v>
      </c>
      <c r="G2897" s="9" t="s">
        <v>13</v>
      </c>
      <c r="H2897" s="9" t="s">
        <v>15494</v>
      </c>
    </row>
    <row r="2898" customFormat="false" ht="15.75" hidden="false" customHeight="false" outlineLevel="0" collapsed="false">
      <c r="B2898" s="7" t="n">
        <v>46280</v>
      </c>
      <c r="C2898" s="3" t="s">
        <v>15495</v>
      </c>
      <c r="D2898" s="3" t="s">
        <v>6978</v>
      </c>
      <c r="E2898" s="3" t="s">
        <v>15496</v>
      </c>
      <c r="F2898" s="10" t="str">
        <f aca="false">HYPERLINK("https://www.inaturalist.org/people/clarissahuman","clarissahuman")</f>
        <v>clarissahuman</v>
      </c>
      <c r="G2898" s="9" t="s">
        <v>13</v>
      </c>
      <c r="H2898" s="9" t="s">
        <v>15497</v>
      </c>
    </row>
    <row r="2899" customFormat="false" ht="15.75" hidden="false" customHeight="false" outlineLevel="0" collapsed="false">
      <c r="B2899" s="7" t="n">
        <v>46280</v>
      </c>
      <c r="C2899" s="3" t="s">
        <v>15498</v>
      </c>
      <c r="D2899" s="3" t="s">
        <v>6978</v>
      </c>
      <c r="E2899" s="3" t="s">
        <v>15499</v>
      </c>
      <c r="F2899" s="10" t="str">
        <f aca="false">HYPERLINK("https://www.inaturalist.org/people/with_alligators","with_alligators")</f>
        <v>with_alligators</v>
      </c>
      <c r="G2899" s="9" t="s">
        <v>13</v>
      </c>
      <c r="H2899" s="9" t="s">
        <v>15500</v>
      </c>
    </row>
    <row r="2900" customFormat="false" ht="15.75" hidden="false" customHeight="false" outlineLevel="0" collapsed="false">
      <c r="B2900" s="7" t="n">
        <v>46280</v>
      </c>
      <c r="C2900" s="3" t="s">
        <v>15501</v>
      </c>
      <c r="D2900" s="3" t="s">
        <v>6978</v>
      </c>
      <c r="E2900" s="3" t="s">
        <v>15502</v>
      </c>
      <c r="F2900" s="10" t="str">
        <f aca="false">HYPERLINK("https://www.inaturalist.org/people/a__natchanon","a__natchanon")</f>
        <v>a__natchanon</v>
      </c>
      <c r="G2900" s="9" t="s">
        <v>13</v>
      </c>
      <c r="H2900" s="9" t="s">
        <v>15503</v>
      </c>
    </row>
    <row r="2901" customFormat="false" ht="15.75" hidden="false" customHeight="false" outlineLevel="0" collapsed="false">
      <c r="B2901" s="7" t="n">
        <v>46280</v>
      </c>
      <c r="C2901" s="3" t="s">
        <v>15504</v>
      </c>
      <c r="D2901" s="3" t="s">
        <v>6978</v>
      </c>
      <c r="E2901" s="3" t="s">
        <v>15505</v>
      </c>
      <c r="F2901" s="10" t="str">
        <f aca="false">HYPERLINK("https://www.inaturalist.org/people/jollytreeman","jollytreeman")</f>
        <v>jollytreeman</v>
      </c>
      <c r="G2901" s="9" t="s">
        <v>13</v>
      </c>
      <c r="H2901" s="9" t="s">
        <v>15506</v>
      </c>
    </row>
    <row r="2902" customFormat="false" ht="15.75" hidden="false" customHeight="false" outlineLevel="0" collapsed="false">
      <c r="B2902" s="7" t="n">
        <v>46280</v>
      </c>
      <c r="C2902" s="3" t="s">
        <v>15507</v>
      </c>
      <c r="D2902" s="3" t="s">
        <v>6978</v>
      </c>
      <c r="E2902" s="3" t="s">
        <v>15508</v>
      </c>
      <c r="F2902" s="10" t="str">
        <f aca="false">HYPERLINK("https://www.inaturalist.org/people/richarmd","richarmd")</f>
        <v>richarmd</v>
      </c>
      <c r="G2902" s="9" t="s">
        <v>13</v>
      </c>
      <c r="H2902" s="9" t="s">
        <v>15509</v>
      </c>
    </row>
    <row r="2903" customFormat="false" ht="15.75" hidden="false" customHeight="false" outlineLevel="0" collapsed="false">
      <c r="B2903" s="7" t="n">
        <v>46280</v>
      </c>
      <c r="C2903" s="3" t="s">
        <v>15510</v>
      </c>
      <c r="D2903" s="3" t="s">
        <v>6978</v>
      </c>
      <c r="E2903" s="3" t="s">
        <v>15511</v>
      </c>
      <c r="F2903" s="10" t="str">
        <f aca="false">HYPERLINK("https://www.inaturalist.org/people/batemanhl","batemanhl")</f>
        <v>batemanhl</v>
      </c>
      <c r="G2903" s="9" t="s">
        <v>13</v>
      </c>
      <c r="H2903" s="9" t="s">
        <v>15512</v>
      </c>
    </row>
    <row r="2904" customFormat="false" ht="15.75" hidden="false" customHeight="false" outlineLevel="0" collapsed="false">
      <c r="B2904" s="7" t="n">
        <v>46280</v>
      </c>
      <c r="C2904" s="3" t="s">
        <v>15513</v>
      </c>
      <c r="D2904" s="3" t="s">
        <v>6978</v>
      </c>
      <c r="E2904" s="3" t="s">
        <v>15514</v>
      </c>
      <c r="F2904" s="10" t="str">
        <f aca="false">HYPERLINK("https://www.inaturalist.org/people/eric_timothy","eric_timothy")</f>
        <v>eric_timothy</v>
      </c>
      <c r="G2904" s="9" t="s">
        <v>13</v>
      </c>
      <c r="H2904" s="9" t="s">
        <v>15515</v>
      </c>
    </row>
    <row r="2905" customFormat="false" ht="15.75" hidden="false" customHeight="false" outlineLevel="0" collapsed="false">
      <c r="B2905" s="7" t="n">
        <v>46280</v>
      </c>
      <c r="C2905" s="3" t="s">
        <v>15516</v>
      </c>
      <c r="D2905" s="3" t="s">
        <v>6978</v>
      </c>
      <c r="E2905" s="3" t="s">
        <v>15517</v>
      </c>
      <c r="F2905" s="10" t="str">
        <f aca="false">HYPERLINK("https://www.inaturalist.org/people/dixonlau","dixonlau")</f>
        <v>dixonlau</v>
      </c>
      <c r="G2905" s="9" t="s">
        <v>13</v>
      </c>
      <c r="H2905" s="9" t="s">
        <v>15518</v>
      </c>
    </row>
    <row r="2906" customFormat="false" ht="15.75" hidden="false" customHeight="false" outlineLevel="0" collapsed="false">
      <c r="B2906" s="7" t="n">
        <v>46280</v>
      </c>
      <c r="C2906" s="3" t="s">
        <v>15519</v>
      </c>
      <c r="D2906" s="3" t="s">
        <v>6978</v>
      </c>
      <c r="E2906" s="3" t="s">
        <v>15520</v>
      </c>
      <c r="F2906" s="10" t="str">
        <f aca="false">HYPERLINK("https://www.inaturalist.org/people/srujanogale","srujanogale")</f>
        <v>srujanogale</v>
      </c>
      <c r="G2906" s="9" t="s">
        <v>13</v>
      </c>
      <c r="H2906" s="9" t="s">
        <v>15521</v>
      </c>
    </row>
    <row r="2907" customFormat="false" ht="15.75" hidden="false" customHeight="false" outlineLevel="0" collapsed="false">
      <c r="B2907" s="7" t="n">
        <v>46280</v>
      </c>
      <c r="C2907" s="3" t="s">
        <v>15522</v>
      </c>
      <c r="D2907" s="3" t="s">
        <v>6978</v>
      </c>
      <c r="E2907" s="3" t="s">
        <v>15523</v>
      </c>
      <c r="F2907" s="10" t="str">
        <f aca="false">HYPERLINK("https://www.inaturalist.org/people/hiromachi_nanami","hiromachi_nanami")</f>
        <v>hiromachi_nanami</v>
      </c>
      <c r="G2907" s="9" t="s">
        <v>13</v>
      </c>
      <c r="H2907" s="9" t="s">
        <v>15524</v>
      </c>
    </row>
    <row r="2908" customFormat="false" ht="15.75" hidden="false" customHeight="false" outlineLevel="0" collapsed="false">
      <c r="B2908" s="7" t="n">
        <v>46280</v>
      </c>
      <c r="C2908" s="3" t="s">
        <v>15525</v>
      </c>
      <c r="D2908" s="3" t="s">
        <v>6978</v>
      </c>
      <c r="E2908" s="3" t="s">
        <v>7861</v>
      </c>
      <c r="F2908" s="10" t="str">
        <f aca="false">HYPERLINK("https://www.inaturalist.org/people/nk_nisaa","nk_nisaa")</f>
        <v>nk_nisaa</v>
      </c>
      <c r="G2908" s="9" t="s">
        <v>13</v>
      </c>
      <c r="H2908" s="9" t="s">
        <v>15526</v>
      </c>
    </row>
    <row r="2909" customFormat="false" ht="15.75" hidden="false" customHeight="false" outlineLevel="0" collapsed="false">
      <c r="B2909" s="7" t="n">
        <v>46280</v>
      </c>
      <c r="C2909" s="3" t="s">
        <v>15527</v>
      </c>
      <c r="D2909" s="3" t="s">
        <v>6978</v>
      </c>
      <c r="E2909" s="3" t="s">
        <v>15528</v>
      </c>
      <c r="F2909" s="10" t="str">
        <f aca="false">HYPERLINK("https://www.inaturalist.org/people/amgn90","amgn90")</f>
        <v>amgn90</v>
      </c>
      <c r="G2909" s="9" t="s">
        <v>13</v>
      </c>
      <c r="H2909" s="9" t="s">
        <v>15529</v>
      </c>
    </row>
    <row r="2910" customFormat="false" ht="15.75" hidden="false" customHeight="false" outlineLevel="0" collapsed="false">
      <c r="B2910" s="7" t="n">
        <v>46280</v>
      </c>
      <c r="C2910" s="3" t="s">
        <v>15530</v>
      </c>
      <c r="D2910" s="3" t="s">
        <v>6978</v>
      </c>
      <c r="E2910" s="3" t="s">
        <v>15531</v>
      </c>
      <c r="F2910" s="10" t="str">
        <f aca="false">HYPERLINK("https://www.inaturalist.org/people/pabiophilia","pabiophilia")</f>
        <v>pabiophilia</v>
      </c>
      <c r="G2910" s="9" t="s">
        <v>13</v>
      </c>
      <c r="H2910" s="9" t="s">
        <v>15532</v>
      </c>
    </row>
    <row r="2911" customFormat="false" ht="15.75" hidden="false" customHeight="false" outlineLevel="0" collapsed="false">
      <c r="B2911" s="7" t="n">
        <v>46280</v>
      </c>
      <c r="C2911" s="3" t="s">
        <v>15533</v>
      </c>
      <c r="D2911" s="3" t="s">
        <v>6978</v>
      </c>
      <c r="E2911" s="3" t="s">
        <v>15534</v>
      </c>
      <c r="F2911" s="10" t="str">
        <f aca="false">HYPERLINK("https://www.inaturalist.org/people/aidenbennettmmb","aidenbennettmmb")</f>
        <v>aidenbennettmmb</v>
      </c>
      <c r="G2911" s="9" t="s">
        <v>13</v>
      </c>
      <c r="H2911" s="9" t="s">
        <v>15535</v>
      </c>
    </row>
    <row r="2912" customFormat="false" ht="15.75" hidden="false" customHeight="false" outlineLevel="0" collapsed="false">
      <c r="B2912" s="7" t="n">
        <v>46280</v>
      </c>
      <c r="C2912" s="3" t="s">
        <v>15536</v>
      </c>
      <c r="D2912" s="3" t="s">
        <v>6978</v>
      </c>
      <c r="E2912" s="3" t="s">
        <v>15537</v>
      </c>
      <c r="F2912" s="10" t="str">
        <f aca="false">HYPERLINK("https://www.inaturalist.org/people/sinobdella","sinobdella")</f>
        <v>sinobdella</v>
      </c>
      <c r="G2912" s="9" t="s">
        <v>13</v>
      </c>
      <c r="H2912" s="9" t="s">
        <v>15538</v>
      </c>
    </row>
    <row r="2913" customFormat="false" ht="15.75" hidden="false" customHeight="false" outlineLevel="0" collapsed="false">
      <c r="B2913" s="7" t="n">
        <v>46280</v>
      </c>
      <c r="C2913" s="3" t="s">
        <v>15539</v>
      </c>
      <c r="D2913" s="3" t="s">
        <v>6978</v>
      </c>
      <c r="E2913" s="3" t="s">
        <v>15540</v>
      </c>
      <c r="F2913" s="10" t="str">
        <f aca="false">HYPERLINK("https://www.inaturalist.org/people/dashaantarctica","dashaantarctica")</f>
        <v>dashaantarctica</v>
      </c>
      <c r="G2913" s="9" t="s">
        <v>13</v>
      </c>
      <c r="H2913" s="9" t="s">
        <v>15541</v>
      </c>
    </row>
    <row r="2914" customFormat="false" ht="15.75" hidden="false" customHeight="false" outlineLevel="0" collapsed="false">
      <c r="B2914" s="7" t="n">
        <v>46280</v>
      </c>
      <c r="C2914" s="3" t="s">
        <v>15542</v>
      </c>
      <c r="D2914" s="3" t="s">
        <v>6978</v>
      </c>
      <c r="E2914" s="3" t="s">
        <v>7366</v>
      </c>
      <c r="F2914" s="10" t="str">
        <f aca="false">HYPERLINK("https://www.inaturalist.org/people/lastwildsonofthefield82","lastwildsonofthefield82")</f>
        <v>lastwildsonofthefield82</v>
      </c>
      <c r="G2914" s="9" t="s">
        <v>13</v>
      </c>
      <c r="H2914" s="9" t="s">
        <v>15543</v>
      </c>
    </row>
    <row r="2915" customFormat="false" ht="15.75" hidden="false" customHeight="false" outlineLevel="0" collapsed="false">
      <c r="B2915" s="7" t="n">
        <v>46280</v>
      </c>
      <c r="C2915" s="3" t="s">
        <v>15544</v>
      </c>
      <c r="D2915" s="3" t="s">
        <v>6978</v>
      </c>
      <c r="E2915" s="3" t="s">
        <v>7054</v>
      </c>
      <c r="F2915" s="10" t="str">
        <f aca="false">HYPERLINK("https://www.inaturalist.org/people/keirstingpratt","keirstingpratt")</f>
        <v>keirstingpratt</v>
      </c>
      <c r="G2915" s="9" t="s">
        <v>13</v>
      </c>
      <c r="H2915" s="9" t="s">
        <v>15545</v>
      </c>
    </row>
    <row r="2916" customFormat="false" ht="15.75" hidden="false" customHeight="false" outlineLevel="0" collapsed="false">
      <c r="B2916" s="7" t="n">
        <v>46280</v>
      </c>
      <c r="C2916" s="3" t="s">
        <v>15546</v>
      </c>
      <c r="D2916" s="3" t="s">
        <v>6978</v>
      </c>
      <c r="E2916" s="3" t="s">
        <v>7357</v>
      </c>
      <c r="F2916" s="10" t="str">
        <f aca="false">HYPERLINK("https://www.inaturalist.org/people/naren2905","naren2905")</f>
        <v>naren2905</v>
      </c>
      <c r="G2916" s="9" t="s">
        <v>13</v>
      </c>
      <c r="H2916" s="9" t="s">
        <v>15547</v>
      </c>
    </row>
    <row r="2917" customFormat="false" ht="15.75" hidden="false" customHeight="false" outlineLevel="0" collapsed="false">
      <c r="B2917" s="7" t="n">
        <v>46280</v>
      </c>
      <c r="C2917" s="3" t="s">
        <v>15548</v>
      </c>
      <c r="D2917" s="3" t="s">
        <v>6978</v>
      </c>
      <c r="E2917" s="3" t="s">
        <v>15549</v>
      </c>
      <c r="F2917" s="10" t="str">
        <f aca="false">HYPERLINK("https://www.inaturalist.org/people/safron","safron")</f>
        <v>safron</v>
      </c>
      <c r="G2917" s="9" t="s">
        <v>13</v>
      </c>
      <c r="H2917" s="9" t="s">
        <v>15550</v>
      </c>
    </row>
    <row r="2918" customFormat="false" ht="15.75" hidden="false" customHeight="false" outlineLevel="0" collapsed="false">
      <c r="B2918" s="7" t="n">
        <v>46280</v>
      </c>
      <c r="C2918" s="3" t="s">
        <v>15551</v>
      </c>
      <c r="D2918" s="3" t="s">
        <v>6978</v>
      </c>
      <c r="E2918" s="3" t="s">
        <v>7576</v>
      </c>
      <c r="F2918" s="10" t="str">
        <f aca="false">HYPERLINK("https://www.inaturalist.org/people/safron","safron")</f>
        <v>safron</v>
      </c>
      <c r="G2918" s="9" t="s">
        <v>13</v>
      </c>
      <c r="H2918" s="9" t="s">
        <v>15552</v>
      </c>
    </row>
    <row r="2919" customFormat="false" ht="15.75" hidden="false" customHeight="false" outlineLevel="0" collapsed="false">
      <c r="B2919" s="7" t="n">
        <v>46280</v>
      </c>
      <c r="C2919" s="3" t="s">
        <v>15553</v>
      </c>
      <c r="D2919" s="3" t="s">
        <v>6978</v>
      </c>
      <c r="E2919" s="3" t="s">
        <v>7024</v>
      </c>
      <c r="F2919" s="10" t="str">
        <f aca="false">HYPERLINK("https://www.inaturalist.org/people/lastwildsonofthefield82","lastwildsonofthefield82")</f>
        <v>lastwildsonofthefield82</v>
      </c>
      <c r="G2919" s="9" t="s">
        <v>13</v>
      </c>
      <c r="H2919" s="9" t="s">
        <v>15554</v>
      </c>
    </row>
    <row r="2920" customFormat="false" ht="15.75" hidden="false" customHeight="false" outlineLevel="0" collapsed="false">
      <c r="B2920" s="7" t="n">
        <v>46280</v>
      </c>
      <c r="C2920" s="3" t="s">
        <v>15555</v>
      </c>
      <c r="D2920" s="3" t="s">
        <v>6978</v>
      </c>
      <c r="E2920" s="3" t="s">
        <v>15556</v>
      </c>
      <c r="F2920" s="10" t="str">
        <f aca="false">HYPERLINK("https://www.inaturalist.org/people/lastwildsonofthefield82","lastwildsonofthefield82")</f>
        <v>lastwildsonofthefield82</v>
      </c>
      <c r="G2920" s="9" t="s">
        <v>13</v>
      </c>
      <c r="H2920" s="9" t="s">
        <v>15557</v>
      </c>
    </row>
    <row r="2921" customFormat="false" ht="15.75" hidden="false" customHeight="false" outlineLevel="0" collapsed="false">
      <c r="B2921" s="7" t="n">
        <v>46280</v>
      </c>
      <c r="C2921" s="3" t="s">
        <v>15558</v>
      </c>
      <c r="D2921" s="3" t="s">
        <v>6978</v>
      </c>
      <c r="E2921" s="3" t="s">
        <v>7246</v>
      </c>
      <c r="F2921" s="10" t="str">
        <f aca="false">HYPERLINK("https://www.inaturalist.org/people/jorbincruz","jorbincruz")</f>
        <v>jorbincruz</v>
      </c>
      <c r="G2921" s="9" t="s">
        <v>13</v>
      </c>
      <c r="H2921" s="9" t="s">
        <v>15559</v>
      </c>
    </row>
    <row r="2922" customFormat="false" ht="15.75" hidden="false" customHeight="false" outlineLevel="0" collapsed="false">
      <c r="B2922" s="7" t="n">
        <v>46280</v>
      </c>
      <c r="C2922" s="3" t="s">
        <v>15560</v>
      </c>
      <c r="D2922" s="3" t="s">
        <v>6978</v>
      </c>
      <c r="E2922" s="3" t="s">
        <v>15561</v>
      </c>
      <c r="F2922" s="10" t="str">
        <f aca="false">HYPERLINK("https://www.inaturalist.org/people/gael_aguilera_","gael_aguilera_")</f>
        <v>gael_aguilera_</v>
      </c>
      <c r="G2922" s="9" t="s">
        <v>13</v>
      </c>
      <c r="H2922" s="9" t="s">
        <v>15562</v>
      </c>
    </row>
    <row r="2923" customFormat="false" ht="15.75" hidden="false" customHeight="false" outlineLevel="0" collapsed="false">
      <c r="B2923" s="7" t="n">
        <v>46280</v>
      </c>
      <c r="C2923" s="3" t="s">
        <v>15563</v>
      </c>
      <c r="D2923" s="3" t="s">
        <v>6978</v>
      </c>
      <c r="E2923" s="3" t="s">
        <v>15564</v>
      </c>
      <c r="F2923" s="10" t="str">
        <f aca="false">HYPERLINK("https://www.inaturalist.org/people/jorbincruz","jorbincruz")</f>
        <v>jorbincruz</v>
      </c>
      <c r="G2923" s="9" t="s">
        <v>13</v>
      </c>
      <c r="H2923" s="9" t="s">
        <v>15565</v>
      </c>
    </row>
    <row r="2924" customFormat="false" ht="15.75" hidden="false" customHeight="false" outlineLevel="0" collapsed="false">
      <c r="B2924" s="7" t="n">
        <v>46280</v>
      </c>
      <c r="C2924" s="3" t="s">
        <v>15566</v>
      </c>
      <c r="D2924" s="3" t="s">
        <v>6978</v>
      </c>
      <c r="E2924" s="3" t="s">
        <v>15567</v>
      </c>
      <c r="F2924" s="10" t="str">
        <f aca="false">HYPERLINK("https://www.inaturalist.org/people/riverwilder","riverwilder")</f>
        <v>riverwilder</v>
      </c>
      <c r="G2924" s="9" t="s">
        <v>13</v>
      </c>
      <c r="H2924" s="9" t="s">
        <v>15568</v>
      </c>
    </row>
    <row r="2925" customFormat="false" ht="15.75" hidden="false" customHeight="false" outlineLevel="0" collapsed="false">
      <c r="B2925" s="7" t="n">
        <v>46280</v>
      </c>
      <c r="C2925" s="3" t="s">
        <v>15569</v>
      </c>
      <c r="D2925" s="3" t="s">
        <v>6978</v>
      </c>
      <c r="E2925" s="3" t="s">
        <v>15570</v>
      </c>
      <c r="F2925" s="10" t="str">
        <f aca="false">HYPERLINK("https://www.inaturalist.org/people/frussowild","frussowild")</f>
        <v>frussowild</v>
      </c>
      <c r="G2925" s="9" t="s">
        <v>13</v>
      </c>
      <c r="H2925" s="9" t="s">
        <v>15571</v>
      </c>
    </row>
    <row r="2926" customFormat="false" ht="15.75" hidden="false" customHeight="false" outlineLevel="0" collapsed="false">
      <c r="B2926" s="7" t="n">
        <v>46280</v>
      </c>
      <c r="C2926" s="3" t="s">
        <v>15572</v>
      </c>
      <c r="D2926" s="3" t="s">
        <v>6978</v>
      </c>
      <c r="E2926" s="3" t="s">
        <v>7375</v>
      </c>
      <c r="F2926" s="10" t="str">
        <f aca="false">HYPERLINK("https://www.inaturalist.org/people/jorbincruz","jorbincruz")</f>
        <v>jorbincruz</v>
      </c>
      <c r="G2926" s="9" t="s">
        <v>13</v>
      </c>
      <c r="H2926" s="9" t="s">
        <v>15573</v>
      </c>
    </row>
    <row r="2927" customFormat="false" ht="15.75" hidden="false" customHeight="false" outlineLevel="0" collapsed="false">
      <c r="B2927" s="7" t="n">
        <v>46280</v>
      </c>
      <c r="C2927" s="3" t="s">
        <v>15574</v>
      </c>
      <c r="D2927" s="3" t="s">
        <v>6978</v>
      </c>
      <c r="E2927" s="3" t="s">
        <v>7270</v>
      </c>
      <c r="F2927" s="10" t="str">
        <f aca="false">HYPERLINK("https://www.inaturalist.org/people/sophiag282","sophiag282")</f>
        <v>sophiag282</v>
      </c>
      <c r="G2927" s="9" t="s">
        <v>13</v>
      </c>
      <c r="H2927" s="9" t="s">
        <v>15575</v>
      </c>
    </row>
    <row r="2928" customFormat="false" ht="15.75" hidden="false" customHeight="false" outlineLevel="0" collapsed="false">
      <c r="B2928" s="7" t="n">
        <v>46280</v>
      </c>
      <c r="C2928" s="3" t="s">
        <v>15576</v>
      </c>
      <c r="D2928" s="3" t="s">
        <v>6978</v>
      </c>
      <c r="E2928" s="3" t="s">
        <v>15577</v>
      </c>
      <c r="F2928" s="10" t="str">
        <f aca="false">HYPERLINK("https://www.inaturalist.org/people/fabian_cabrera-vargas","fabian_cabrera-vargas")</f>
        <v>fabian_cabrera-vargas</v>
      </c>
      <c r="G2928" s="9" t="s">
        <v>13</v>
      </c>
      <c r="H2928" s="9" t="s">
        <v>15578</v>
      </c>
    </row>
    <row r="2929" customFormat="false" ht="15.75" hidden="false" customHeight="false" outlineLevel="0" collapsed="false">
      <c r="B2929" s="7" t="n">
        <v>46280</v>
      </c>
      <c r="C2929" s="3" t="s">
        <v>15579</v>
      </c>
      <c r="D2929" s="3" t="s">
        <v>6978</v>
      </c>
      <c r="E2929" s="3" t="s">
        <v>15580</v>
      </c>
      <c r="F2929" s="10" t="str">
        <f aca="false">HYPERLINK("https://www.inaturalist.org/people/saipandeer","saipandeer")</f>
        <v>saipandeer</v>
      </c>
      <c r="G2929" s="9" t="s">
        <v>13</v>
      </c>
      <c r="H2929" s="9" t="s">
        <v>15581</v>
      </c>
    </row>
    <row r="2930" customFormat="false" ht="15.75" hidden="false" customHeight="false" outlineLevel="0" collapsed="false">
      <c r="B2930" s="7" t="n">
        <v>46280</v>
      </c>
      <c r="C2930" s="3" t="s">
        <v>15582</v>
      </c>
      <c r="D2930" s="3" t="s">
        <v>6978</v>
      </c>
      <c r="E2930" s="3" t="s">
        <v>7057</v>
      </c>
      <c r="F2930" s="10" t="str">
        <f aca="false">HYPERLINK("https://www.inaturalist.org/people/alejandro_romart","alejandro_romart")</f>
        <v>alejandro_romart</v>
      </c>
      <c r="G2930" s="9" t="s">
        <v>13</v>
      </c>
      <c r="H2930" s="9" t="s">
        <v>15583</v>
      </c>
    </row>
    <row r="2931" customFormat="false" ht="15.75" hidden="false" customHeight="false" outlineLevel="0" collapsed="false">
      <c r="B2931" s="7" t="n">
        <v>46280</v>
      </c>
      <c r="C2931" s="3" t="s">
        <v>15584</v>
      </c>
      <c r="D2931" s="3" t="s">
        <v>6978</v>
      </c>
      <c r="E2931" s="3" t="s">
        <v>15585</v>
      </c>
      <c r="F2931" s="10" t="str">
        <f aca="false">HYPERLINK("https://www.inaturalist.org/people/syrherp","syrherp")</f>
        <v>syrherp</v>
      </c>
      <c r="G2931" s="9" t="s">
        <v>13</v>
      </c>
      <c r="H2931" s="9" t="s">
        <v>15586</v>
      </c>
    </row>
    <row r="2932" customFormat="false" ht="15.75" hidden="false" customHeight="false" outlineLevel="0" collapsed="false">
      <c r="B2932" s="7" t="n">
        <v>46280</v>
      </c>
      <c r="C2932" s="3" t="s">
        <v>15587</v>
      </c>
      <c r="D2932" s="3" t="s">
        <v>6978</v>
      </c>
      <c r="E2932" s="3" t="s">
        <v>7567</v>
      </c>
      <c r="F2932" s="10" t="str">
        <f aca="false">HYPERLINK("https://www.inaturalist.org/people/wateristhesauce","wateristhesauce")</f>
        <v>wateristhesauce</v>
      </c>
      <c r="G2932" s="9" t="s">
        <v>13</v>
      </c>
      <c r="H2932" s="9" t="s">
        <v>15588</v>
      </c>
    </row>
    <row r="2933" customFormat="false" ht="15.75" hidden="false" customHeight="false" outlineLevel="0" collapsed="false">
      <c r="B2933" s="7" t="n">
        <v>46280</v>
      </c>
      <c r="C2933" s="3" t="s">
        <v>15589</v>
      </c>
      <c r="D2933" s="3" t="s">
        <v>6978</v>
      </c>
      <c r="E2933" s="3" t="s">
        <v>7369</v>
      </c>
      <c r="F2933" s="10" t="str">
        <f aca="false">HYPERLINK("https://www.inaturalist.org/people/nick_vine","nick_vine")</f>
        <v>nick_vine</v>
      </c>
      <c r="G2933" s="9" t="s">
        <v>13</v>
      </c>
      <c r="H2933" s="9" t="s">
        <v>15590</v>
      </c>
    </row>
    <row r="2934" customFormat="false" ht="15.75" hidden="false" customHeight="false" outlineLevel="0" collapsed="false">
      <c r="B2934" s="7" t="n">
        <v>46280</v>
      </c>
      <c r="C2934" s="3" t="s">
        <v>15591</v>
      </c>
      <c r="D2934" s="3" t="s">
        <v>6978</v>
      </c>
      <c r="E2934" s="3" t="s">
        <v>15592</v>
      </c>
      <c r="F2934" s="10" t="str">
        <f aca="false">HYPERLINK("https://www.inaturalist.org/people/solfdz","solfdz")</f>
        <v>solfdz</v>
      </c>
      <c r="G2934" s="9" t="s">
        <v>13</v>
      </c>
      <c r="H2934" s="9" t="s">
        <v>15593</v>
      </c>
    </row>
    <row r="2935" customFormat="false" ht="15.75" hidden="false" customHeight="false" outlineLevel="0" collapsed="false">
      <c r="B2935" s="7" t="n">
        <v>46280</v>
      </c>
      <c r="C2935" s="3" t="s">
        <v>15594</v>
      </c>
      <c r="D2935" s="3" t="s">
        <v>6978</v>
      </c>
      <c r="E2935" s="3" t="s">
        <v>7069</v>
      </c>
      <c r="F2935" s="10" t="str">
        <f aca="false">HYPERLINK("https://www.inaturalist.org/people/nick_vine","nick_vine")</f>
        <v>nick_vine</v>
      </c>
      <c r="G2935" s="9" t="s">
        <v>13</v>
      </c>
      <c r="H2935" s="9" t="s">
        <v>15595</v>
      </c>
    </row>
    <row r="2936" customFormat="false" ht="15.75" hidden="false" customHeight="false" outlineLevel="0" collapsed="false">
      <c r="B2936" s="7" t="n">
        <v>46280</v>
      </c>
      <c r="C2936" s="3" t="s">
        <v>15596</v>
      </c>
      <c r="D2936" s="3" t="s">
        <v>6978</v>
      </c>
      <c r="E2936" s="3" t="s">
        <v>15597</v>
      </c>
      <c r="F2936" s="10" t="str">
        <f aca="false">HYPERLINK("https://www.inaturalist.org/people/az_caver","az_caver")</f>
        <v>az_caver</v>
      </c>
      <c r="G2936" s="9" t="s">
        <v>13</v>
      </c>
      <c r="H2936" s="9" t="s">
        <v>15598</v>
      </c>
    </row>
    <row r="2937" customFormat="false" ht="15.75" hidden="false" customHeight="false" outlineLevel="0" collapsed="false">
      <c r="B2937" s="7" t="n">
        <v>46280</v>
      </c>
      <c r="C2937" s="3" t="s">
        <v>15599</v>
      </c>
      <c r="D2937" s="3" t="s">
        <v>6978</v>
      </c>
      <c r="E2937" s="3" t="s">
        <v>15600</v>
      </c>
      <c r="F2937" s="10" t="str">
        <f aca="false">HYPERLINK("https://www.inaturalist.org/people/fabian_cabrera-vargas","fabian_cabrera-vargas")</f>
        <v>fabian_cabrera-vargas</v>
      </c>
      <c r="G2937" s="9" t="s">
        <v>13</v>
      </c>
      <c r="H2937" s="9" t="s">
        <v>15601</v>
      </c>
    </row>
    <row r="2938" customFormat="false" ht="15.75" hidden="false" customHeight="false" outlineLevel="0" collapsed="false">
      <c r="B2938" s="7" t="n">
        <v>46280</v>
      </c>
      <c r="C2938" s="3" t="s">
        <v>15602</v>
      </c>
      <c r="D2938" s="3" t="s">
        <v>6978</v>
      </c>
      <c r="E2938" s="3" t="s">
        <v>7555</v>
      </c>
      <c r="F2938" s="10" t="str">
        <f aca="false">HYPERLINK("https://www.inaturalist.org/people/nick_vine","nick_vine")</f>
        <v>nick_vine</v>
      </c>
      <c r="G2938" s="9" t="s">
        <v>13</v>
      </c>
      <c r="H2938" s="9" t="s">
        <v>15603</v>
      </c>
    </row>
    <row r="2939" customFormat="false" ht="15.75" hidden="false" customHeight="false" outlineLevel="0" collapsed="false">
      <c r="B2939" s="7" t="n">
        <v>46280</v>
      </c>
      <c r="C2939" s="3" t="s">
        <v>15604</v>
      </c>
      <c r="D2939" s="3" t="s">
        <v>6978</v>
      </c>
      <c r="E2939" s="3" t="s">
        <v>15605</v>
      </c>
      <c r="F2939" s="10" t="str">
        <f aca="false">HYPERLINK("https://www.inaturalist.org/people/funky_commelina","funky_commelina")</f>
        <v>funky_commelina</v>
      </c>
      <c r="G2939" s="9" t="s">
        <v>13</v>
      </c>
      <c r="H2939" s="9" t="s">
        <v>15606</v>
      </c>
    </row>
    <row r="2940" customFormat="false" ht="15.75" hidden="false" customHeight="false" outlineLevel="0" collapsed="false">
      <c r="B2940" s="7" t="n">
        <v>46280</v>
      </c>
      <c r="C2940" s="3" t="s">
        <v>15607</v>
      </c>
      <c r="D2940" s="3" t="s">
        <v>6978</v>
      </c>
      <c r="E2940" s="3" t="s">
        <v>7465</v>
      </c>
      <c r="F2940" s="10" t="str">
        <f aca="false">HYPERLINK("https://www.inaturalist.org/people/johan98800","johan98800")</f>
        <v>johan98800</v>
      </c>
      <c r="G2940" s="9" t="s">
        <v>13</v>
      </c>
      <c r="H2940" s="9" t="s">
        <v>15608</v>
      </c>
    </row>
    <row r="2941" customFormat="false" ht="15.75" hidden="false" customHeight="false" outlineLevel="0" collapsed="false">
      <c r="B2941" s="7" t="n">
        <v>46280</v>
      </c>
      <c r="C2941" s="3" t="s">
        <v>15609</v>
      </c>
      <c r="D2941" s="3" t="s">
        <v>6978</v>
      </c>
      <c r="E2941" s="3" t="s">
        <v>7384</v>
      </c>
      <c r="F2941" s="10" t="str">
        <f aca="false">HYPERLINK("https://www.inaturalist.org/people/frussowild","frussowild")</f>
        <v>frussowild</v>
      </c>
      <c r="G2941" s="9" t="s">
        <v>13</v>
      </c>
      <c r="H2941" s="9" t="s">
        <v>15610</v>
      </c>
    </row>
    <row r="2942" customFormat="false" ht="15.75" hidden="false" customHeight="false" outlineLevel="0" collapsed="false">
      <c r="B2942" s="7" t="n">
        <v>46280</v>
      </c>
      <c r="C2942" s="3" t="s">
        <v>15611</v>
      </c>
      <c r="D2942" s="3" t="s">
        <v>6978</v>
      </c>
      <c r="E2942" s="3" t="s">
        <v>15612</v>
      </c>
      <c r="F2942" s="10" t="str">
        <f aca="false">HYPERLINK("https://www.inaturalist.org/people/art-bimael","art-bimael")</f>
        <v>art-bimael</v>
      </c>
      <c r="G2942" s="9" t="s">
        <v>13</v>
      </c>
      <c r="H2942" s="9" t="s">
        <v>15613</v>
      </c>
    </row>
    <row r="2943" customFormat="false" ht="15.75" hidden="false" customHeight="false" outlineLevel="0" collapsed="false">
      <c r="B2943" s="3"/>
      <c r="C2943" s="3"/>
      <c r="D2943" s="3"/>
      <c r="E2943" s="3"/>
      <c r="F2943" s="4"/>
      <c r="G2943" s="3"/>
      <c r="H2943" s="3"/>
    </row>
    <row r="2944" customFormat="false" ht="15.75" hidden="false" customHeight="false" outlineLevel="0" collapsed="false">
      <c r="B2944" s="3"/>
      <c r="C2944" s="3"/>
      <c r="D2944" s="3"/>
      <c r="E2944" s="3"/>
      <c r="F2944" s="4"/>
      <c r="G2944" s="3"/>
      <c r="H2944" s="3"/>
    </row>
    <row r="2945" customFormat="false" ht="15.75" hidden="false" customHeight="false" outlineLevel="0" collapsed="false">
      <c r="B2945" s="3"/>
      <c r="C2945" s="3"/>
      <c r="D2945" s="3"/>
      <c r="E2945" s="3"/>
      <c r="F2945" s="4"/>
      <c r="G2945" s="3"/>
      <c r="H2945" s="3"/>
    </row>
    <row r="2946" customFormat="false" ht="15.75" hidden="false" customHeight="false" outlineLevel="0" collapsed="false">
      <c r="B2946" s="3"/>
      <c r="C2946" s="3"/>
      <c r="D2946" s="3"/>
      <c r="E2946" s="3"/>
      <c r="F2946" s="4"/>
      <c r="G2946" s="3"/>
      <c r="H2946" s="3"/>
    </row>
    <row r="2947" customFormat="false" ht="15.75" hidden="false" customHeight="false" outlineLevel="0" collapsed="false">
      <c r="B2947" s="3"/>
      <c r="C2947" s="3"/>
      <c r="D2947" s="3"/>
      <c r="E2947" s="3"/>
      <c r="F2947" s="4"/>
      <c r="G2947" s="3"/>
      <c r="H2947" s="3"/>
    </row>
    <row r="2948" customFormat="false" ht="15.75" hidden="false" customHeight="false" outlineLevel="0" collapsed="false">
      <c r="B2948" s="3"/>
      <c r="C2948" s="3"/>
      <c r="D2948" s="3"/>
      <c r="E2948" s="3"/>
      <c r="F2948" s="4"/>
      <c r="G2948" s="3"/>
      <c r="H2948" s="3"/>
    </row>
    <row r="2949" customFormat="false" ht="15.75" hidden="false" customHeight="false" outlineLevel="0" collapsed="false">
      <c r="B2949" s="3"/>
      <c r="C2949" s="3"/>
      <c r="D2949" s="3"/>
      <c r="E2949" s="3"/>
      <c r="F2949" s="4"/>
      <c r="G2949" s="3"/>
      <c r="H2949" s="3"/>
    </row>
    <row r="2950" customFormat="false" ht="15.75" hidden="false" customHeight="false" outlineLevel="0" collapsed="false">
      <c r="B2950" s="3"/>
      <c r="C2950" s="3"/>
      <c r="D2950" s="3"/>
      <c r="E2950" s="3"/>
      <c r="F2950" s="4"/>
      <c r="G2950" s="3"/>
      <c r="H2950" s="3"/>
    </row>
    <row r="2951" customFormat="false" ht="15.75" hidden="false" customHeight="false" outlineLevel="0" collapsed="false">
      <c r="B2951" s="3"/>
      <c r="C2951" s="3"/>
      <c r="D2951" s="3"/>
      <c r="E2951" s="3"/>
      <c r="F2951" s="4"/>
      <c r="G2951" s="3"/>
      <c r="H2951" s="3"/>
    </row>
    <row r="2952" customFormat="false" ht="15.75" hidden="false" customHeight="false" outlineLevel="0" collapsed="false">
      <c r="B2952" s="3"/>
      <c r="C2952" s="3"/>
      <c r="D2952" s="3"/>
      <c r="E2952" s="3"/>
      <c r="F2952" s="4"/>
      <c r="G2952" s="3"/>
      <c r="H2952" s="3"/>
    </row>
    <row r="2953" customFormat="false" ht="15.75" hidden="false" customHeight="false" outlineLevel="0" collapsed="false">
      <c r="B2953" s="3"/>
      <c r="C2953" s="3"/>
      <c r="D2953" s="3"/>
      <c r="E2953" s="3"/>
      <c r="F2953" s="4"/>
      <c r="G2953" s="3"/>
      <c r="H2953" s="3"/>
    </row>
    <row r="2954" customFormat="false" ht="15.75" hidden="false" customHeight="false" outlineLevel="0" collapsed="false">
      <c r="B2954" s="3"/>
      <c r="C2954" s="3"/>
      <c r="D2954" s="3"/>
      <c r="E2954" s="3"/>
      <c r="F2954" s="4"/>
      <c r="G2954" s="3"/>
      <c r="H2954" s="3"/>
    </row>
    <row r="2955" customFormat="false" ht="15.75" hidden="false" customHeight="false" outlineLevel="0" collapsed="false">
      <c r="B2955" s="3"/>
      <c r="C2955" s="3"/>
      <c r="D2955" s="3"/>
      <c r="E2955" s="3"/>
      <c r="F2955" s="4"/>
      <c r="G2955" s="3"/>
      <c r="H2955" s="3"/>
    </row>
    <row r="2956" customFormat="false" ht="15.75" hidden="false" customHeight="false" outlineLevel="0" collapsed="false">
      <c r="B2956" s="3"/>
      <c r="C2956" s="3"/>
      <c r="D2956" s="3"/>
      <c r="E2956" s="3"/>
      <c r="F2956" s="4"/>
      <c r="G2956" s="3"/>
      <c r="H2956" s="3"/>
    </row>
    <row r="2957" customFormat="false" ht="15.75" hidden="false" customHeight="false" outlineLevel="0" collapsed="false">
      <c r="B2957" s="3"/>
      <c r="C2957" s="3"/>
      <c r="D2957" s="3"/>
      <c r="E2957" s="3"/>
      <c r="F2957" s="4"/>
      <c r="G2957" s="3"/>
      <c r="H2957" s="3"/>
    </row>
    <row r="2958" customFormat="false" ht="15.75" hidden="false" customHeight="false" outlineLevel="0" collapsed="false">
      <c r="B2958" s="3"/>
      <c r="C2958" s="3"/>
      <c r="D2958" s="3"/>
      <c r="E2958" s="3"/>
      <c r="F2958" s="4"/>
      <c r="G2958" s="3"/>
      <c r="H2958" s="3"/>
    </row>
    <row r="2959" customFormat="false" ht="15.75" hidden="false" customHeight="false" outlineLevel="0" collapsed="false">
      <c r="B2959" s="3"/>
      <c r="C2959" s="3"/>
      <c r="D2959" s="3"/>
      <c r="E2959" s="3"/>
      <c r="F2959" s="4"/>
      <c r="G2959" s="3"/>
      <c r="H2959" s="3"/>
    </row>
    <row r="2960" customFormat="false" ht="15.75" hidden="false" customHeight="false" outlineLevel="0" collapsed="false">
      <c r="B2960" s="3"/>
      <c r="C2960" s="3"/>
      <c r="D2960" s="3"/>
      <c r="E2960" s="3"/>
      <c r="F2960" s="4"/>
      <c r="G2960" s="3"/>
      <c r="H2960" s="3"/>
    </row>
    <row r="2961" customFormat="false" ht="15.75" hidden="false" customHeight="false" outlineLevel="0" collapsed="false">
      <c r="B2961" s="3"/>
      <c r="C2961" s="3"/>
      <c r="D2961" s="3"/>
      <c r="E2961" s="3"/>
      <c r="F2961" s="4"/>
      <c r="G2961" s="3"/>
      <c r="H2961" s="3"/>
    </row>
    <row r="2962" customFormat="false" ht="15.75" hidden="false" customHeight="false" outlineLevel="0" collapsed="false">
      <c r="B2962" s="3"/>
      <c r="C2962" s="3"/>
      <c r="D2962" s="3"/>
      <c r="E2962" s="3"/>
      <c r="F2962" s="4"/>
      <c r="G2962" s="3"/>
      <c r="H2962" s="3"/>
    </row>
    <row r="2963" customFormat="false" ht="15.75" hidden="false" customHeight="false" outlineLevel="0" collapsed="false">
      <c r="B2963" s="3"/>
      <c r="C2963" s="3"/>
      <c r="D2963" s="3"/>
      <c r="E2963" s="3"/>
      <c r="F2963" s="4"/>
      <c r="G2963" s="3"/>
      <c r="H2963" s="3"/>
    </row>
    <row r="2964" customFormat="false" ht="15.75" hidden="false" customHeight="false" outlineLevel="0" collapsed="false">
      <c r="B2964" s="3"/>
      <c r="C2964" s="3"/>
      <c r="D2964" s="3"/>
      <c r="E2964" s="3"/>
      <c r="F2964" s="4"/>
      <c r="G2964" s="3"/>
      <c r="H2964" s="3"/>
    </row>
    <row r="2965" customFormat="false" ht="15.75" hidden="false" customHeight="false" outlineLevel="0" collapsed="false">
      <c r="B2965" s="3"/>
      <c r="C2965" s="3"/>
      <c r="D2965" s="3"/>
      <c r="E2965" s="3"/>
      <c r="F2965" s="4"/>
      <c r="G2965" s="3"/>
      <c r="H2965" s="3"/>
    </row>
    <row r="2966" customFormat="false" ht="15.75" hidden="false" customHeight="false" outlineLevel="0" collapsed="false">
      <c r="B2966" s="3"/>
      <c r="C2966" s="3"/>
      <c r="D2966" s="3"/>
      <c r="E2966" s="3"/>
      <c r="F2966" s="4"/>
      <c r="G2966" s="3"/>
      <c r="H2966" s="3"/>
    </row>
    <row r="2967" customFormat="false" ht="15.75" hidden="false" customHeight="false" outlineLevel="0" collapsed="false">
      <c r="B2967" s="3"/>
      <c r="C2967" s="3"/>
      <c r="D2967" s="3"/>
      <c r="E2967" s="3"/>
      <c r="F2967" s="4"/>
      <c r="G2967" s="3"/>
      <c r="H2967" s="3"/>
    </row>
    <row r="2968" customFormat="false" ht="15.75" hidden="false" customHeight="false" outlineLevel="0" collapsed="false">
      <c r="B2968" s="3"/>
      <c r="C2968" s="3"/>
      <c r="D2968" s="3"/>
      <c r="E2968" s="3"/>
      <c r="F2968" s="4"/>
      <c r="G2968" s="3"/>
      <c r="H2968" s="3"/>
    </row>
    <row r="2969" customFormat="false" ht="15.75" hidden="false" customHeight="false" outlineLevel="0" collapsed="false">
      <c r="B2969" s="3"/>
      <c r="C2969" s="3"/>
      <c r="D2969" s="3"/>
      <c r="E2969" s="3"/>
      <c r="F2969" s="4"/>
      <c r="G2969" s="3"/>
      <c r="H2969" s="3"/>
    </row>
    <row r="2970" customFormat="false" ht="15.75" hidden="false" customHeight="false" outlineLevel="0" collapsed="false">
      <c r="B2970" s="3"/>
      <c r="C2970" s="3"/>
      <c r="D2970" s="3"/>
      <c r="E2970" s="3"/>
      <c r="F2970" s="4"/>
      <c r="G2970" s="3"/>
      <c r="H2970" s="3"/>
    </row>
    <row r="2971" customFormat="false" ht="15.75" hidden="false" customHeight="false" outlineLevel="0" collapsed="false">
      <c r="B2971" s="3"/>
      <c r="C2971" s="3"/>
      <c r="D2971" s="3"/>
      <c r="E2971" s="3"/>
      <c r="F2971" s="4"/>
      <c r="G2971" s="3"/>
      <c r="H2971" s="3"/>
    </row>
    <row r="2972" customFormat="false" ht="15.75" hidden="false" customHeight="false" outlineLevel="0" collapsed="false">
      <c r="B2972" s="3"/>
      <c r="C2972" s="3"/>
      <c r="D2972" s="3"/>
      <c r="E2972" s="3"/>
      <c r="F2972" s="4"/>
      <c r="G2972" s="3"/>
      <c r="H2972" s="3"/>
    </row>
    <row r="2973" customFormat="false" ht="15.75" hidden="false" customHeight="false" outlineLevel="0" collapsed="false">
      <c r="B2973" s="3"/>
      <c r="C2973" s="3"/>
      <c r="D2973" s="3"/>
      <c r="E2973" s="3"/>
      <c r="F2973" s="4"/>
      <c r="G2973" s="3"/>
      <c r="H2973" s="3"/>
    </row>
    <row r="2974" customFormat="false" ht="15.75" hidden="false" customHeight="false" outlineLevel="0" collapsed="false">
      <c r="B2974" s="3"/>
      <c r="C2974" s="3"/>
      <c r="D2974" s="3"/>
      <c r="E2974" s="3"/>
      <c r="F2974" s="4"/>
      <c r="G2974" s="3"/>
      <c r="H2974" s="3"/>
    </row>
    <row r="2975" customFormat="false" ht="15.75" hidden="false" customHeight="false" outlineLevel="0" collapsed="false">
      <c r="B2975" s="3"/>
      <c r="C2975" s="3"/>
      <c r="D2975" s="3"/>
      <c r="E2975" s="3"/>
      <c r="F2975" s="4"/>
      <c r="G2975" s="3"/>
      <c r="H2975" s="3"/>
    </row>
    <row r="2976" customFormat="false" ht="15.75" hidden="false" customHeight="false" outlineLevel="0" collapsed="false">
      <c r="B2976" s="3"/>
      <c r="C2976" s="3"/>
      <c r="D2976" s="3"/>
      <c r="E2976" s="3"/>
      <c r="F2976" s="4"/>
      <c r="G2976" s="3"/>
      <c r="H2976" s="3"/>
    </row>
    <row r="2977" customFormat="false" ht="15.75" hidden="false" customHeight="false" outlineLevel="0" collapsed="false">
      <c r="B2977" s="3"/>
      <c r="C2977" s="3"/>
      <c r="D2977" s="3"/>
      <c r="E2977" s="3"/>
      <c r="F2977" s="4"/>
      <c r="G2977" s="3"/>
      <c r="H2977" s="3"/>
    </row>
    <row r="2978" customFormat="false" ht="15.75" hidden="false" customHeight="false" outlineLevel="0" collapsed="false">
      <c r="B2978" s="3"/>
      <c r="C2978" s="3"/>
      <c r="D2978" s="3"/>
      <c r="E2978" s="3"/>
      <c r="F2978" s="4"/>
      <c r="G2978" s="3"/>
      <c r="H2978" s="3"/>
    </row>
    <row r="2979" customFormat="false" ht="15.75" hidden="false" customHeight="false" outlineLevel="0" collapsed="false">
      <c r="B2979" s="3"/>
      <c r="C2979" s="3"/>
      <c r="D2979" s="3"/>
      <c r="E2979" s="3"/>
      <c r="F2979" s="4"/>
      <c r="G2979" s="3"/>
      <c r="H2979" s="3"/>
    </row>
    <row r="2980" customFormat="false" ht="15.75" hidden="false" customHeight="false" outlineLevel="0" collapsed="false">
      <c r="B2980" s="3"/>
      <c r="C2980" s="3"/>
      <c r="D2980" s="3"/>
      <c r="E2980" s="3"/>
      <c r="F2980" s="4"/>
      <c r="G2980" s="3"/>
      <c r="H2980" s="3"/>
    </row>
    <row r="2981" customFormat="false" ht="15.75" hidden="false" customHeight="false" outlineLevel="0" collapsed="false">
      <c r="B2981" s="3"/>
      <c r="C2981" s="3"/>
      <c r="D2981" s="3"/>
      <c r="E2981" s="3"/>
      <c r="F2981" s="4"/>
      <c r="G2981" s="3"/>
      <c r="H2981" s="3"/>
    </row>
    <row r="2982" customFormat="false" ht="15.75" hidden="false" customHeight="false" outlineLevel="0" collapsed="false">
      <c r="B2982" s="3"/>
      <c r="C2982" s="3"/>
      <c r="D2982" s="3"/>
      <c r="E2982" s="3"/>
      <c r="F2982" s="4"/>
      <c r="G2982" s="3"/>
      <c r="H2982" s="3"/>
    </row>
    <row r="2983" customFormat="false" ht="15.75" hidden="false" customHeight="false" outlineLevel="0" collapsed="false">
      <c r="B2983" s="3"/>
      <c r="C2983" s="3"/>
      <c r="D2983" s="3"/>
      <c r="E2983" s="3"/>
      <c r="F2983" s="4"/>
      <c r="G2983" s="3"/>
      <c r="H2983" s="3"/>
    </row>
    <row r="2984" customFormat="false" ht="15.75" hidden="false" customHeight="false" outlineLevel="0" collapsed="false">
      <c r="B2984" s="3"/>
      <c r="C2984" s="3"/>
      <c r="D2984" s="3"/>
      <c r="E2984" s="3"/>
      <c r="F2984" s="4"/>
      <c r="G2984" s="3"/>
      <c r="H2984" s="3"/>
    </row>
    <row r="2985" customFormat="false" ht="15.75" hidden="false" customHeight="false" outlineLevel="0" collapsed="false">
      <c r="B2985" s="3"/>
      <c r="C2985" s="3"/>
      <c r="D2985" s="3"/>
      <c r="E2985" s="3"/>
      <c r="F2985" s="4"/>
      <c r="G2985" s="3"/>
      <c r="H2985" s="3"/>
    </row>
    <row r="2986" customFormat="false" ht="15.75" hidden="false" customHeight="false" outlineLevel="0" collapsed="false">
      <c r="B2986" s="3"/>
      <c r="C2986" s="3"/>
      <c r="D2986" s="3"/>
      <c r="E2986" s="3"/>
      <c r="F2986" s="4"/>
      <c r="G2986" s="3"/>
      <c r="H2986" s="3"/>
    </row>
    <row r="2987" customFormat="false" ht="15.75" hidden="false" customHeight="false" outlineLevel="0" collapsed="false">
      <c r="B2987" s="3"/>
      <c r="C2987" s="3"/>
      <c r="D2987" s="3"/>
      <c r="E2987" s="3"/>
      <c r="F2987" s="4"/>
      <c r="G2987" s="3"/>
      <c r="H2987" s="3"/>
    </row>
    <row r="2988" customFormat="false" ht="15.75" hidden="false" customHeight="false" outlineLevel="0" collapsed="false">
      <c r="B2988" s="3"/>
      <c r="C2988" s="3"/>
      <c r="D2988" s="3"/>
      <c r="E2988" s="3"/>
      <c r="F2988" s="4"/>
      <c r="G2988" s="3"/>
      <c r="H2988" s="3"/>
    </row>
    <row r="2989" customFormat="false" ht="15.75" hidden="false" customHeight="false" outlineLevel="0" collapsed="false">
      <c r="B2989" s="3"/>
      <c r="C2989" s="3"/>
      <c r="D2989" s="3"/>
      <c r="E2989" s="3"/>
      <c r="F2989" s="4"/>
      <c r="G2989" s="3"/>
      <c r="H2989" s="3"/>
    </row>
    <row r="2990" customFormat="false" ht="15.75" hidden="false" customHeight="false" outlineLevel="0" collapsed="false">
      <c r="B2990" s="3"/>
      <c r="C2990" s="3"/>
      <c r="D2990" s="3"/>
      <c r="E2990" s="3"/>
      <c r="F2990" s="4"/>
      <c r="G2990" s="3"/>
      <c r="H2990" s="3"/>
    </row>
    <row r="2991" customFormat="false" ht="15.75" hidden="false" customHeight="false" outlineLevel="0" collapsed="false">
      <c r="B2991" s="3"/>
      <c r="C2991" s="3"/>
      <c r="D2991" s="3"/>
      <c r="E2991" s="3"/>
      <c r="F2991" s="4"/>
      <c r="G2991" s="3"/>
      <c r="H2991" s="3"/>
    </row>
    <row r="2992" customFormat="false" ht="15.75" hidden="false" customHeight="false" outlineLevel="0" collapsed="false">
      <c r="B2992" s="3"/>
      <c r="C2992" s="3"/>
      <c r="D2992" s="3"/>
      <c r="E2992" s="3"/>
      <c r="F2992" s="4"/>
      <c r="G2992" s="3"/>
      <c r="H2992" s="3"/>
    </row>
    <row r="2993" customFormat="false" ht="15.75" hidden="false" customHeight="false" outlineLevel="0" collapsed="false">
      <c r="B2993" s="3"/>
      <c r="C2993" s="3"/>
      <c r="D2993" s="3"/>
      <c r="E2993" s="3"/>
      <c r="F2993" s="4"/>
      <c r="G2993" s="3"/>
      <c r="H2993" s="3"/>
    </row>
    <row r="2994" customFormat="false" ht="15.75" hidden="false" customHeight="false" outlineLevel="0" collapsed="false">
      <c r="B2994" s="3"/>
      <c r="C2994" s="3"/>
      <c r="D2994" s="3"/>
      <c r="E2994" s="3"/>
      <c r="F2994" s="4"/>
      <c r="G2994" s="3"/>
      <c r="H2994" s="3"/>
    </row>
  </sheetData>
  <hyperlinks>
    <hyperlink ref="G3" r:id="rId1" display="Deed - Attribution-NonCommercial 4.0 International - Creative Commons"/>
    <hyperlink ref="H3" r:id="rId2" display="https://www.inaturalist.org/observations/383153633"/>
    <hyperlink ref="G4" r:id="rId3" display="Deed - Attribution-NonCommercial 4.0 International - Creative Commons"/>
    <hyperlink ref="H4" r:id="rId4" display="https://www.inaturalist.org/observations/383150127"/>
    <hyperlink ref="G5" r:id="rId5" display="Deed - Attribution-NonCommercial 4.0 International - Creative Commons"/>
    <hyperlink ref="H5" r:id="rId6" display="https://www.inaturalist.org/observations/383148989"/>
    <hyperlink ref="G6" r:id="rId7" display="Deed - Attribution-NonCommercial 4.0 International - Creative Commons"/>
    <hyperlink ref="H6" r:id="rId8" display="https://www.inaturalist.org/observations/383148674"/>
    <hyperlink ref="G7" r:id="rId9" display="Deed - Attribution-NonCommercial 4.0 International - Creative Commons"/>
    <hyperlink ref="H7" r:id="rId10" display="https://www.inaturalist.org/observations/383148198"/>
    <hyperlink ref="G8" r:id="rId11" display="Deed - Attribution-NonCommercial 4.0 International - Creative Commons"/>
    <hyperlink ref="H8" r:id="rId12" display="https://www.inaturalist.org/observations/383144668"/>
    <hyperlink ref="G9" r:id="rId13" display="Deed - Attribution-NonCommercial 4.0 International - Creative Commons"/>
    <hyperlink ref="H9" r:id="rId14" display="https://www.inaturalist.org/observations/383141382"/>
    <hyperlink ref="G10" r:id="rId15" display="Deed - Attribution-NonCommercial 4.0 International - Creative Commons"/>
    <hyperlink ref="H10" r:id="rId16" display="https://www.inaturalist.org/observations/383141105"/>
    <hyperlink ref="G11" r:id="rId17" display="Deed - Attribution-NonCommercial 4.0 International - Creative Commons"/>
    <hyperlink ref="H11" r:id="rId18" display="https://www.inaturalist.org/observations/383137424"/>
    <hyperlink ref="G12" r:id="rId19" display="Deed - Attribution-NonCommercial 4.0 International - Creative Commons"/>
    <hyperlink ref="H12" r:id="rId20" display="https://www.inaturalist.org/observations/383136697"/>
    <hyperlink ref="G13" r:id="rId21" display="Deed - Attribution-NonCommercial 4.0 International - Creative Commons"/>
    <hyperlink ref="H13" r:id="rId22" display="https://www.inaturalist.org/observations/383126912"/>
    <hyperlink ref="G14" r:id="rId23" display="Deed - Attribution-NonCommercial 4.0 International - Creative Commons"/>
    <hyperlink ref="H14" r:id="rId24" display="https://www.inaturalist.org/observations/383126472"/>
    <hyperlink ref="G15" r:id="rId25" display="Deed - Attribution-NonCommercial 4.0 International - Creative Commons"/>
    <hyperlink ref="H15" r:id="rId26" display="https://www.inaturalist.org/observations/383123000"/>
    <hyperlink ref="G16" r:id="rId27" display="Deed - Attribution-NonCommercial 4.0 International - Creative Commons"/>
    <hyperlink ref="H16" r:id="rId28" display="https://www.inaturalist.org/observations/383122603"/>
    <hyperlink ref="G17" r:id="rId29" display="Deed - Attribution-NonCommercial 4.0 International - Creative Commons"/>
    <hyperlink ref="H17" r:id="rId30" display="https://www.inaturalist.org/observations/383122028"/>
    <hyperlink ref="G18" r:id="rId31" display="Deed - Attribution-NonCommercial 4.0 International - Creative Commons"/>
    <hyperlink ref="H18" r:id="rId32" display="https://www.inaturalist.org/observations/383122000"/>
    <hyperlink ref="G19" r:id="rId33" display="Deed - Attribution-NonCommercial 4.0 International - Creative Commons"/>
    <hyperlink ref="H19" r:id="rId34" display="https://www.inaturalist.org/observations/383121220"/>
    <hyperlink ref="G20" r:id="rId35" display="Deed - Attribution-NonCommercial 4.0 International - Creative Commons"/>
    <hyperlink ref="H20" r:id="rId36" display="https://www.inaturalist.org/observations/383120974"/>
    <hyperlink ref="G21" r:id="rId37" display="Deed - Attribution-NonCommercial 4.0 International - Creative Commons"/>
    <hyperlink ref="H21" r:id="rId38" display="https://www.inaturalist.org/observations/383119068"/>
    <hyperlink ref="G22" r:id="rId39" display="Deed - Attribution-NonCommercial 4.0 International - Creative Commons"/>
    <hyperlink ref="H22" r:id="rId40" display="https://www.inaturalist.org/observations/383116621"/>
    <hyperlink ref="G23" r:id="rId41" display="Deed - Attribution-NonCommercial 4.0 International - Creative Commons"/>
    <hyperlink ref="H23" r:id="rId42" display="https://www.inaturalist.org/observations/383112836"/>
    <hyperlink ref="G24" r:id="rId43" display="Deed - Attribution-NonCommercial 4.0 International - Creative Commons"/>
    <hyperlink ref="H24" r:id="rId44" display="https://www.inaturalist.org/observations/383111737"/>
    <hyperlink ref="G25" r:id="rId45" display="Deed - Attribution-NonCommercial 4.0 International - Creative Commons"/>
    <hyperlink ref="H25" r:id="rId46" display="https://www.inaturalist.org/observations/383109051"/>
    <hyperlink ref="G26" r:id="rId47" display="Deed - Attribution-NonCommercial 4.0 International - Creative Commons"/>
    <hyperlink ref="H26" r:id="rId48" display="https://www.inaturalist.org/observations/383107499"/>
    <hyperlink ref="G27" r:id="rId49" display="Deed - Attribution-NonCommercial 4.0 International - Creative Commons"/>
    <hyperlink ref="H27" r:id="rId50" display="https://www.inaturalist.org/observations/383104728"/>
    <hyperlink ref="G28" r:id="rId51" display="Deed - Attribution-NonCommercial 4.0 International - Creative Commons"/>
    <hyperlink ref="H28" r:id="rId52" display="https://www.inaturalist.org/observations/383103229"/>
    <hyperlink ref="G29" r:id="rId53" display="Deed - Attribution-NonCommercial 4.0 International - Creative Commons"/>
    <hyperlink ref="H29" r:id="rId54" display="https://www.inaturalist.org/observations/383102493"/>
    <hyperlink ref="G30" r:id="rId55" display="Deed - Attribution-NonCommercial 4.0 International - Creative Commons"/>
    <hyperlink ref="H30" r:id="rId56" display="https://www.inaturalist.org/observations/383099385"/>
    <hyperlink ref="G31" r:id="rId57" display="Deed - Attribution-NonCommercial 4.0 International - Creative Commons"/>
    <hyperlink ref="H31" r:id="rId58" display="https://www.inaturalist.org/observations/383097384"/>
    <hyperlink ref="G32" r:id="rId59" display="Deed - Attribution-NonCommercial 4.0 International - Creative Commons"/>
    <hyperlink ref="H32" r:id="rId60" display="https://www.inaturalist.org/observations/383096105"/>
    <hyperlink ref="G33" r:id="rId61" display="Deed - Attribution-NonCommercial 4.0 International - Creative Commons"/>
    <hyperlink ref="H33" r:id="rId62" display="https://www.inaturalist.org/observations/383092916"/>
    <hyperlink ref="G34" r:id="rId63" display="Deed - Attribution-NonCommercial 4.0 International - Creative Commons"/>
    <hyperlink ref="H34" r:id="rId64" display="https://www.inaturalist.org/observations/383090616"/>
    <hyperlink ref="G35" r:id="rId65" display="Deed - Attribution-NonCommercial 4.0 International - Creative Commons"/>
    <hyperlink ref="H35" r:id="rId66" display="https://www.inaturalist.org/observations/383090337"/>
    <hyperlink ref="G36" r:id="rId67" display="Deed - Attribution-NonCommercial 4.0 International - Creative Commons"/>
    <hyperlink ref="H36" r:id="rId68" display="https://www.inaturalist.org/observations/383089833"/>
    <hyperlink ref="G37" r:id="rId69" display="Deed - Attribution-NonCommercial 4.0 International - Creative Commons"/>
    <hyperlink ref="H37" r:id="rId70" display="https://www.inaturalist.org/observations/383089701"/>
    <hyperlink ref="G38" r:id="rId71" display="Deed - Attribution-NonCommercial 4.0 International - Creative Commons"/>
    <hyperlink ref="H38" r:id="rId72" display="https://www.inaturalist.org/observations/383088170"/>
    <hyperlink ref="G39" r:id="rId73" display="Deed - Attribution-NonCommercial 4.0 International - Creative Commons"/>
    <hyperlink ref="H39" r:id="rId74" display="https://www.inaturalist.org/observations/383087046"/>
    <hyperlink ref="G40" r:id="rId75" display="Deed - Attribution-NonCommercial 4.0 International - Creative Commons"/>
    <hyperlink ref="H40" r:id="rId76" display="https://www.inaturalist.org/observations/383086100"/>
    <hyperlink ref="G41" r:id="rId77" display="Deed - Attribution-NonCommercial 4.0 International - Creative Commons"/>
    <hyperlink ref="H41" r:id="rId78" display="https://www.inaturalist.org/observations/383086096"/>
    <hyperlink ref="G42" r:id="rId79" display="Deed - Attribution-NonCommercial 4.0 International - Creative Commons"/>
    <hyperlink ref="H42" r:id="rId80" display="https://www.inaturalist.org/observations/383086092"/>
    <hyperlink ref="G43" r:id="rId81" display="Deed - Attribution-NonCommercial 4.0 International - Creative Commons"/>
    <hyperlink ref="H43" r:id="rId82" display="https://www.inaturalist.org/observations/383086089"/>
    <hyperlink ref="G44" r:id="rId83" display="Deed - Attribution-NonCommercial 4.0 International - Creative Commons"/>
    <hyperlink ref="H44" r:id="rId84" display="https://www.inaturalist.org/observations/383086088"/>
    <hyperlink ref="G45" r:id="rId85" display="Deed - Attribution-NonCommercial 4.0 International - Creative Commons"/>
    <hyperlink ref="H45" r:id="rId86" display="https://www.inaturalist.org/observations/383086086"/>
    <hyperlink ref="G46" r:id="rId87" display="Deed - Attribution-NonCommercial 4.0 International - Creative Commons"/>
    <hyperlink ref="H46" r:id="rId88" display="https://www.inaturalist.org/observations/383086081"/>
    <hyperlink ref="G47" r:id="rId89" display="Deed - Attribution-NonCommercial 4.0 International - Creative Commons"/>
    <hyperlink ref="H47" r:id="rId90" display="https://www.inaturalist.org/observations/383086073"/>
    <hyperlink ref="G48" r:id="rId91" display="Deed - Attribution-NonCommercial 4.0 International - Creative Commons"/>
    <hyperlink ref="H48" r:id="rId92" display="https://www.inaturalist.org/observations/383085451"/>
    <hyperlink ref="G49" r:id="rId93" display="Deed - Attribution-NonCommercial 4.0 International - Creative Commons"/>
    <hyperlink ref="H49" r:id="rId94" display="https://www.inaturalist.org/observations/383085441"/>
    <hyperlink ref="G50" r:id="rId95" display="Deed - Attribution-NonCommercial 4.0 International - Creative Commons"/>
    <hyperlink ref="H50" r:id="rId96" display="https://www.inaturalist.org/observations/383084733"/>
    <hyperlink ref="G51" r:id="rId97" display="Deed - Attribution-NonCommercial 4.0 International - Creative Commons"/>
    <hyperlink ref="H51" r:id="rId98" display="https://www.inaturalist.org/observations/383082962"/>
    <hyperlink ref="G52" r:id="rId99" display="Deed - Attribution-NonCommercial 4.0 International - Creative Commons"/>
    <hyperlink ref="H52" r:id="rId100" display="https://www.inaturalist.org/observations/383082902"/>
    <hyperlink ref="G53" r:id="rId101" display="Deed - Attribution-NonCommercial 4.0 International - Creative Commons"/>
    <hyperlink ref="H53" r:id="rId102" display="https://www.inaturalist.org/observations/383082896"/>
    <hyperlink ref="G54" r:id="rId103" display="Deed - Attribution-NonCommercial 4.0 International - Creative Commons"/>
    <hyperlink ref="H54" r:id="rId104" display="https://www.inaturalist.org/observations/383082892"/>
    <hyperlink ref="G55" r:id="rId105" display="Deed - Attribution-NonCommercial 4.0 International - Creative Commons"/>
    <hyperlink ref="H55" r:id="rId106" display="https://www.inaturalist.org/observations/383082890"/>
    <hyperlink ref="G56" r:id="rId107" display="Deed - Attribution-NonCommercial 4.0 International - Creative Commons"/>
    <hyperlink ref="H56" r:id="rId108" display="https://www.inaturalist.org/observations/383082888"/>
    <hyperlink ref="G57" r:id="rId109" display="Deed - Attribution-NonCommercial 4.0 International - Creative Commons"/>
    <hyperlink ref="H57" r:id="rId110" display="https://www.inaturalist.org/observations/383082878"/>
    <hyperlink ref="G58" r:id="rId111" display="Deed - Attribution-NonCommercial 4.0 International - Creative Commons"/>
    <hyperlink ref="H58" r:id="rId112" display="https://www.inaturalist.org/observations/383082874"/>
    <hyperlink ref="G59" r:id="rId113" display="Deed - Attribution-NonCommercial 4.0 International - Creative Commons"/>
    <hyperlink ref="H59" r:id="rId114" display="https://www.inaturalist.org/observations/383082867"/>
    <hyperlink ref="G60" r:id="rId115" display="Deed - Attribution-NonCommercial 4.0 International - Creative Commons"/>
    <hyperlink ref="H60" r:id="rId116" display="https://www.inaturalist.org/observations/383082813"/>
    <hyperlink ref="G61" r:id="rId117" display="Deed - Attribution-NonCommercial 4.0 International - Creative Commons"/>
    <hyperlink ref="H61" r:id="rId118" display="https://www.inaturalist.org/observations/383082414"/>
    <hyperlink ref="G62" r:id="rId119" display="Deed - Attribution-NonCommercial 4.0 International - Creative Commons"/>
    <hyperlink ref="H62" r:id="rId120" display="https://www.inaturalist.org/observations/383079848"/>
    <hyperlink ref="G63" r:id="rId121" display="Deed - Attribution-NonCommercial 4.0 International - Creative Commons"/>
    <hyperlink ref="H63" r:id="rId122" display="https://www.inaturalist.org/observations/383077926"/>
    <hyperlink ref="G64" r:id="rId123" display="Deed - Attribution-NonCommercial 4.0 International - Creative Commons"/>
    <hyperlink ref="H64" r:id="rId124" display="https://www.inaturalist.org/observations/383075712"/>
    <hyperlink ref="G65" r:id="rId125" display="Deed - Attribution-NonCommercial 4.0 International - Creative Commons"/>
    <hyperlink ref="H65" r:id="rId126" display="https://www.inaturalist.org/observations/383075257"/>
    <hyperlink ref="G66" r:id="rId127" display="Deed - Attribution-NonCommercial 4.0 International - Creative Commons"/>
    <hyperlink ref="H66" r:id="rId128" display="https://www.inaturalist.org/observations/383075255"/>
    <hyperlink ref="G67" r:id="rId129" display="Deed - Attribution-NonCommercial 4.0 International - Creative Commons"/>
    <hyperlink ref="H67" r:id="rId130" display="https://www.inaturalist.org/observations/383075184"/>
    <hyperlink ref="G68" r:id="rId131" display="Deed - Attribution-NonCommercial 4.0 International - Creative Commons"/>
    <hyperlink ref="H68" r:id="rId132" display="https://www.inaturalist.org/observations/383072765"/>
    <hyperlink ref="G69" r:id="rId133" display="Deed - Attribution-NonCommercial 4.0 International - Creative Commons"/>
    <hyperlink ref="H69" r:id="rId134" display="https://www.inaturalist.org/observations/383070897"/>
    <hyperlink ref="G70" r:id="rId135" display="Deed - Attribution-NonCommercial 4.0 International - Creative Commons"/>
    <hyperlink ref="H70" r:id="rId136" display="https://www.inaturalist.org/observations/383070871"/>
    <hyperlink ref="G71" r:id="rId137" display="Deed - Attribution-NonCommercial 4.0 International - Creative Commons"/>
    <hyperlink ref="H71" r:id="rId138" display="https://www.inaturalist.org/observations/383070751"/>
    <hyperlink ref="G72" r:id="rId139" display="Deed - Attribution-NonCommercial 4.0 International - Creative Commons"/>
    <hyperlink ref="H72" r:id="rId140" display="https://www.inaturalist.org/observations/383070424"/>
    <hyperlink ref="G73" r:id="rId141" display="Deed - Attribution-NonCommercial 4.0 International - Creative Commons"/>
    <hyperlink ref="H73" r:id="rId142" display="https://www.inaturalist.org/observations/383063590"/>
    <hyperlink ref="G74" r:id="rId143" display="Deed - Attribution-NonCommercial 4.0 International - Creative Commons"/>
    <hyperlink ref="H74" r:id="rId144" display="https://www.inaturalist.org/observations/383059704"/>
    <hyperlink ref="G75" r:id="rId145" display="Deed - Attribution-NonCommercial 4.0 International - Creative Commons"/>
    <hyperlink ref="H75" r:id="rId146" display="https://www.inaturalist.org/observations/383057584"/>
    <hyperlink ref="G76" r:id="rId147" display="Deed - Attribution-NonCommercial 4.0 International - Creative Commons"/>
    <hyperlink ref="H76" r:id="rId148" display="https://www.inaturalist.org/observations/383055169"/>
    <hyperlink ref="G77" r:id="rId149" display="Deed - Attribution-NonCommercial 4.0 International - Creative Commons"/>
    <hyperlink ref="H77" r:id="rId150" display="https://www.inaturalist.org/observations/383055132"/>
    <hyperlink ref="G78" r:id="rId151" display="Deed - Attribution-NonCommercial 4.0 International - Creative Commons"/>
    <hyperlink ref="H78" r:id="rId152" display="https://www.inaturalist.org/observations/383053981"/>
    <hyperlink ref="G79" r:id="rId153" display="Deed - Attribution-NonCommercial 4.0 International - Creative Commons"/>
    <hyperlink ref="H79" r:id="rId154" display="https://www.inaturalist.org/observations/383052071"/>
    <hyperlink ref="G80" r:id="rId155" display="Deed - Attribution-NonCommercial 4.0 International - Creative Commons"/>
    <hyperlink ref="H80" r:id="rId156" display="https://www.inaturalist.org/observations/383052038"/>
    <hyperlink ref="G81" r:id="rId157" display="Deed - Attribution-NonCommercial 4.0 International - Creative Commons"/>
    <hyperlink ref="H81" r:id="rId158" display="https://www.inaturalist.org/observations/383048009"/>
    <hyperlink ref="G82" r:id="rId159" display="Deed - Attribution-NonCommercial 4.0 International - Creative Commons"/>
    <hyperlink ref="H82" r:id="rId160" display="https://www.inaturalist.org/observations/383047435"/>
    <hyperlink ref="G83" r:id="rId161" display="Deed - Attribution-NonCommercial 4.0 International - Creative Commons"/>
    <hyperlink ref="H83" r:id="rId162" display="https://www.inaturalist.org/observations/383047425"/>
    <hyperlink ref="G84" r:id="rId163" display="Deed - Attribution-NonCommercial 4.0 International - Creative Commons"/>
    <hyperlink ref="H84" r:id="rId164" display="https://www.inaturalist.org/observations/383042866"/>
    <hyperlink ref="G85" r:id="rId165" display="Deed - Attribution-NonCommercial 4.0 International - Creative Commons"/>
    <hyperlink ref="H85" r:id="rId166" display="https://www.inaturalist.org/observations/383042654"/>
    <hyperlink ref="G86" r:id="rId167" display="Deed - Attribution-NonCommercial 4.0 International - Creative Commons"/>
    <hyperlink ref="H86" r:id="rId168" display="https://www.inaturalist.org/observations/383041030"/>
    <hyperlink ref="G87" r:id="rId169" display="Deed - Attribution-NonCommercial 4.0 International - Creative Commons"/>
    <hyperlink ref="H87" r:id="rId170" display="https://www.inaturalist.org/observations/383036665"/>
    <hyperlink ref="G88" r:id="rId171" display="Deed - Attribution-NonCommercial 4.0 International - Creative Commons"/>
    <hyperlink ref="H88" r:id="rId172" display="https://www.inaturalist.org/observations/383033717"/>
    <hyperlink ref="G89" r:id="rId173" display="Deed - Attribution-NonCommercial 4.0 International - Creative Commons"/>
    <hyperlink ref="H89" r:id="rId174" display="https://www.inaturalist.org/observations/383031050"/>
    <hyperlink ref="G90" r:id="rId175" display="Deed - Attribution-NonCommercial 4.0 International - Creative Commons"/>
    <hyperlink ref="H90" r:id="rId176" display="https://www.inaturalist.org/observations/383029464"/>
    <hyperlink ref="G91" r:id="rId177" display="Deed - Attribution-NonCommercial 4.0 International - Creative Commons"/>
    <hyperlink ref="H91" r:id="rId178" display="https://www.inaturalist.org/observations/383026905"/>
    <hyperlink ref="G92" r:id="rId179" display="Deed - Attribution-NonCommercial 4.0 International - Creative Commons"/>
    <hyperlink ref="H92" r:id="rId180" display="https://www.inaturalist.org/observations/383024237"/>
    <hyperlink ref="G93" r:id="rId181" display="Deed - Attribution-NonCommercial 4.0 International - Creative Commons"/>
    <hyperlink ref="H93" r:id="rId182" display="https://www.inaturalist.org/observations/383023783"/>
    <hyperlink ref="G94" r:id="rId183" display="Deed - Attribution-NonCommercial 4.0 International - Creative Commons"/>
    <hyperlink ref="H94" r:id="rId184" display="https://www.inaturalist.org/observations/383023531"/>
    <hyperlink ref="G95" r:id="rId185" display="Deed - Attribution-NonCommercial 4.0 International - Creative Commons"/>
    <hyperlink ref="H95" r:id="rId186" display="https://www.inaturalist.org/observations/383023018"/>
    <hyperlink ref="G96" r:id="rId187" display="Deed - Attribution-NonCommercial 4.0 International - Creative Commons"/>
    <hyperlink ref="H96" r:id="rId188" display="https://www.inaturalist.org/observations/383023009"/>
    <hyperlink ref="G97" r:id="rId189" display="Deed - Attribution-NonCommercial 4.0 International - Creative Commons"/>
    <hyperlink ref="H97" r:id="rId190" display="https://www.inaturalist.org/observations/383022984"/>
    <hyperlink ref="G98" r:id="rId191" display="Deed - Attribution-NonCommercial 4.0 International - Creative Commons"/>
    <hyperlink ref="H98" r:id="rId192" display="https://www.inaturalist.org/observations/383018447"/>
    <hyperlink ref="G99" r:id="rId193" display="Deed - Attribution-NonCommercial 4.0 International - Creative Commons"/>
    <hyperlink ref="H99" r:id="rId194" display="https://www.inaturalist.org/observations/383010287"/>
    <hyperlink ref="G100" r:id="rId195" display="Deed - Attribution-NonCommercial 4.0 International - Creative Commons"/>
    <hyperlink ref="H100" r:id="rId196" display="https://www.inaturalist.org/observations/383008762"/>
    <hyperlink ref="G101" r:id="rId197" display="Deed - Attribution-NonCommercial 4.0 International - Creative Commons"/>
    <hyperlink ref="H101" r:id="rId198" display="https://www.inaturalist.org/observations/383008400"/>
    <hyperlink ref="G102" r:id="rId199" display="Deed - Attribution-NonCommercial 4.0 International - Creative Commons"/>
    <hyperlink ref="H102" r:id="rId200" display="https://www.inaturalist.org/observations/383008210"/>
    <hyperlink ref="G103" r:id="rId201" display="Deed - Attribution-NonCommercial 4.0 International - Creative Commons"/>
    <hyperlink ref="H103" r:id="rId202" display="https://www.inaturalist.org/observations/383007656"/>
    <hyperlink ref="G104" r:id="rId203" display="Deed - Attribution-NonCommercial 4.0 International - Creative Commons"/>
    <hyperlink ref="H104" r:id="rId204" display="https://www.inaturalist.org/observations/383000733"/>
    <hyperlink ref="G105" r:id="rId205" display="Deed - Attribution-NonCommercial 4.0 International - Creative Commons"/>
    <hyperlink ref="H105" r:id="rId206" display="https://www.inaturalist.org/observations/382998458"/>
    <hyperlink ref="G106" r:id="rId207" display="Deed - Attribution-NonCommercial 4.0 International - Creative Commons"/>
    <hyperlink ref="H106" r:id="rId208" display="https://www.inaturalist.org/observations/382997556"/>
    <hyperlink ref="G107" r:id="rId209" display="Deed - Attribution-NonCommercial 4.0 International - Creative Commons"/>
    <hyperlink ref="H107" r:id="rId210" display="https://www.inaturalist.org/observations/382995941"/>
    <hyperlink ref="G108" r:id="rId211" display="Deed - Attribution-NonCommercial 4.0 International - Creative Commons"/>
    <hyperlink ref="H108" r:id="rId212" display="https://www.inaturalist.org/observations/382995370"/>
    <hyperlink ref="G109" r:id="rId213" display="Deed - Attribution-NonCommercial 4.0 International - Creative Commons"/>
    <hyperlink ref="H109" r:id="rId214" display="https://www.inaturalist.org/observations/382993795"/>
    <hyperlink ref="G110" r:id="rId215" display="Deed - Attribution-NonCommercial 4.0 International - Creative Commons"/>
    <hyperlink ref="H110" r:id="rId216" display="https://www.inaturalist.org/observations/382993756"/>
    <hyperlink ref="G111" r:id="rId217" display="Deed - Attribution-NonCommercial 4.0 International - Creative Commons"/>
    <hyperlink ref="H111" r:id="rId218" display="https://www.inaturalist.org/observations/382993248"/>
    <hyperlink ref="G112" r:id="rId219" display="Deed - Attribution-NonCommercial 4.0 International - Creative Commons"/>
    <hyperlink ref="H112" r:id="rId220" display="https://www.inaturalist.org/observations/382989658"/>
    <hyperlink ref="G113" r:id="rId221" display="Deed - Attribution-NonCommercial 4.0 International - Creative Commons"/>
    <hyperlink ref="H113" r:id="rId222" display="https://www.inaturalist.org/observations/382987486"/>
    <hyperlink ref="G114" r:id="rId223" display="Deed - Attribution-NonCommercial 4.0 International - Creative Commons"/>
    <hyperlink ref="H114" r:id="rId224" display="https://www.inaturalist.org/observations/382983854"/>
    <hyperlink ref="G115" r:id="rId225" display="Deed - Attribution-NonCommercial 4.0 International - Creative Commons"/>
    <hyperlink ref="H115" r:id="rId226" display="https://www.inaturalist.org/observations/382983439"/>
    <hyperlink ref="G116" r:id="rId227" display="Deed - Attribution-NonCommercial 4.0 International - Creative Commons"/>
    <hyperlink ref="H116" r:id="rId228" display="https://www.inaturalist.org/observations/382982338"/>
    <hyperlink ref="G117" r:id="rId229" display="Deed - Attribution-NonCommercial 4.0 International - Creative Commons"/>
    <hyperlink ref="H117" r:id="rId230" display="https://www.inaturalist.org/observations/382980346"/>
    <hyperlink ref="G118" r:id="rId231" display="Deed - Attribution-NonCommercial 4.0 International - Creative Commons"/>
    <hyperlink ref="H118" r:id="rId232" display="https://www.inaturalist.org/observations/382980000"/>
    <hyperlink ref="G119" r:id="rId233" display="Deed - Attribution-NonCommercial 4.0 International - Creative Commons"/>
    <hyperlink ref="H119" r:id="rId234" display="https://www.inaturalist.org/observations/382967889"/>
    <hyperlink ref="G120" r:id="rId235" display="Deed - Attribution-NonCommercial 4.0 International - Creative Commons"/>
    <hyperlink ref="H120" r:id="rId236" display="https://www.inaturalist.org/observations/382966059"/>
    <hyperlink ref="G121" r:id="rId237" display="Deed - Attribution-NonCommercial 4.0 International - Creative Commons"/>
    <hyperlink ref="H121" r:id="rId238" display="https://www.inaturalist.org/observations/382964547"/>
    <hyperlink ref="G122" r:id="rId239" display="Deed - Attribution-NonCommercial 4.0 International - Creative Commons"/>
    <hyperlink ref="H122" r:id="rId240" display="https://www.inaturalist.org/observations/382964094"/>
    <hyperlink ref="G123" r:id="rId241" display="Deed - Attribution-NonCommercial 4.0 International - Creative Commons"/>
    <hyperlink ref="H123" r:id="rId242" display="https://www.inaturalist.org/observations/382961879"/>
    <hyperlink ref="G124" r:id="rId243" display="Deed - Attribution-NonCommercial 4.0 International - Creative Commons"/>
    <hyperlink ref="H124" r:id="rId244" display="https://www.inaturalist.org/observations/382961005"/>
    <hyperlink ref="G125" r:id="rId245" display="Deed - Attribution-NonCommercial 4.0 International - Creative Commons"/>
    <hyperlink ref="H125" r:id="rId246" display="https://www.inaturalist.org/observations/382957831"/>
    <hyperlink ref="G126" r:id="rId247" display="Deed - Attribution-NonCommercial 4.0 International - Creative Commons"/>
    <hyperlink ref="H126" r:id="rId248" display="https://www.inaturalist.org/observations/382954644"/>
    <hyperlink ref="G127" r:id="rId249" display="Deed - Attribution-NonCommercial 4.0 International - Creative Commons"/>
    <hyperlink ref="H127" r:id="rId250" display="https://www.inaturalist.org/observations/382954311"/>
    <hyperlink ref="G128" r:id="rId251" display="Deed - Attribution-NonCommercial 4.0 International - Creative Commons"/>
    <hyperlink ref="H128" r:id="rId252" display="https://www.inaturalist.org/observations/382954299"/>
    <hyperlink ref="G129" r:id="rId253" display="Deed - Attribution-NonCommercial 4.0 International - Creative Commons"/>
    <hyperlink ref="H129" r:id="rId254" display="https://www.inaturalist.org/observations/382953923"/>
    <hyperlink ref="G130" r:id="rId255" display="Deed - Attribution-NonCommercial 4.0 International - Creative Commons"/>
    <hyperlink ref="H130" r:id="rId256" display="https://www.inaturalist.org/observations/382946359"/>
    <hyperlink ref="G131" r:id="rId257" display="Deed - Attribution-NonCommercial 4.0 International - Creative Commons"/>
    <hyperlink ref="H131" r:id="rId258" display="https://www.inaturalist.org/observations/382945141"/>
    <hyperlink ref="G132" r:id="rId259" display="Deed - Attribution-NonCommercial 4.0 International - Creative Commons"/>
    <hyperlink ref="H132" r:id="rId260" display="https://www.inaturalist.org/observations/382939552"/>
    <hyperlink ref="G133" r:id="rId261" display="Deed - Attribution-NonCommercial 4.0 International - Creative Commons"/>
    <hyperlink ref="H133" r:id="rId262" display="https://www.inaturalist.org/observations/382938816"/>
    <hyperlink ref="G134" r:id="rId263" display="Deed - Attribution-NonCommercial 4.0 International - Creative Commons"/>
    <hyperlink ref="H134" r:id="rId264" display="https://www.inaturalist.org/observations/382938633"/>
    <hyperlink ref="G135" r:id="rId265" display="Deed - Attribution-NonCommercial 4.0 International - Creative Commons"/>
    <hyperlink ref="H135" r:id="rId266" display="https://www.inaturalist.org/observations/382937062"/>
    <hyperlink ref="G136" r:id="rId267" display="Deed - Attribution-NonCommercial 4.0 International - Creative Commons"/>
    <hyperlink ref="H136" r:id="rId268" display="https://www.inaturalist.org/observations/382936350"/>
    <hyperlink ref="G137" r:id="rId269" display="Deed - Attribution-NonCommercial 4.0 International - Creative Commons"/>
    <hyperlink ref="H137" r:id="rId270" display="https://www.inaturalist.org/observations/382935110"/>
    <hyperlink ref="G138" r:id="rId271" display="Deed - Attribution-NonCommercial 4.0 International - Creative Commons"/>
    <hyperlink ref="H138" r:id="rId272" display="https://www.inaturalist.org/observations/382933905"/>
    <hyperlink ref="G139" r:id="rId273" display="Deed - Attribution-NonCommercial 4.0 International - Creative Commons"/>
    <hyperlink ref="H139" r:id="rId274" display="https://www.inaturalist.org/observations/382931062"/>
    <hyperlink ref="G140" r:id="rId275" display="Deed - Attribution-NonCommercial 4.0 International - Creative Commons"/>
    <hyperlink ref="H140" r:id="rId276" display="https://www.inaturalist.org/observations/382929018"/>
    <hyperlink ref="G141" r:id="rId277" display="Deed - Attribution-NonCommercial 4.0 International - Creative Commons"/>
    <hyperlink ref="H141" r:id="rId278" display="https://www.inaturalist.org/observations/382926718"/>
    <hyperlink ref="G142" r:id="rId279" display="Deed - Attribution-NonCommercial 4.0 International - Creative Commons"/>
    <hyperlink ref="H142" r:id="rId280" display="https://www.inaturalist.org/observations/382926555"/>
    <hyperlink ref="G143" r:id="rId281" display="Deed - Attribution-NonCommercial 4.0 International - Creative Commons"/>
    <hyperlink ref="H143" r:id="rId282" display="https://www.inaturalist.org/observations/382926545"/>
    <hyperlink ref="G144" r:id="rId283" display="Deed - Attribution-NonCommercial 4.0 International - Creative Commons"/>
    <hyperlink ref="H144" r:id="rId284" display="https://www.inaturalist.org/observations/382922566"/>
    <hyperlink ref="G145" r:id="rId285" display="Deed - Attribution-NonCommercial 4.0 International - Creative Commons"/>
    <hyperlink ref="H145" r:id="rId286" display="https://www.inaturalist.org/observations/382922214"/>
    <hyperlink ref="G146" r:id="rId287" display="Deed - Attribution-NonCommercial 4.0 International - Creative Commons"/>
    <hyperlink ref="H146" r:id="rId288" display="https://www.inaturalist.org/observations/382920167"/>
    <hyperlink ref="G147" r:id="rId289" display="Deed - Attribution-NonCommercial 4.0 International - Creative Commons"/>
    <hyperlink ref="H147" r:id="rId290" display="https://www.inaturalist.org/observations/382918293"/>
    <hyperlink ref="G148" r:id="rId291" display="Deed - Attribution-NonCommercial 4.0 International - Creative Commons"/>
    <hyperlink ref="H148" r:id="rId292" display="https://www.inaturalist.org/observations/382914670"/>
    <hyperlink ref="G149" r:id="rId293" display="Deed - Attribution-NonCommercial 4.0 International - Creative Commons"/>
    <hyperlink ref="H149" r:id="rId294" display="https://www.inaturalist.org/observations/382911958"/>
    <hyperlink ref="G150" r:id="rId295" display="Deed - Attribution-NonCommercial 4.0 International - Creative Commons"/>
    <hyperlink ref="H150" r:id="rId296" display="https://www.inaturalist.org/observations/382903438"/>
    <hyperlink ref="G151" r:id="rId297" display="Deed - Attribution-NonCommercial 4.0 International - Creative Commons"/>
    <hyperlink ref="H151" r:id="rId298" display="https://www.inaturalist.org/observations/382901340"/>
    <hyperlink ref="G152" r:id="rId299" display="Deed - Attribution-NonCommercial 4.0 International - Creative Commons"/>
    <hyperlink ref="H152" r:id="rId300" display="https://www.inaturalist.org/observations/382897983"/>
    <hyperlink ref="G153" r:id="rId301" display="Deed - Attribution-NonCommercial 4.0 International - Creative Commons"/>
    <hyperlink ref="H153" r:id="rId302" display="https://www.inaturalist.org/observations/382895951"/>
    <hyperlink ref="G154" r:id="rId303" display="Deed - Attribution-NonCommercial 4.0 International - Creative Commons"/>
    <hyperlink ref="H154" r:id="rId304" display="https://www.inaturalist.org/observations/382894757"/>
    <hyperlink ref="G155" r:id="rId305" display="Deed - Attribution-NonCommercial 4.0 International - Creative Commons"/>
    <hyperlink ref="H155" r:id="rId306" display="https://www.inaturalist.org/observations/382892281"/>
    <hyperlink ref="G156" r:id="rId307" display="Deed - Attribution-NonCommercial 4.0 International - Creative Commons"/>
    <hyperlink ref="H156" r:id="rId308" display="https://www.inaturalist.org/observations/382892270"/>
    <hyperlink ref="G157" r:id="rId309" display="Deed - Attribution-NonCommercial 4.0 International - Creative Commons"/>
    <hyperlink ref="H157" r:id="rId310" display="https://www.inaturalist.org/observations/382891359"/>
    <hyperlink ref="G158" r:id="rId311" display="Deed - Attribution-NonCommercial 4.0 International - Creative Commons"/>
    <hyperlink ref="H158" r:id="rId312" display="https://www.inaturalist.org/observations/382890937"/>
    <hyperlink ref="G159" r:id="rId313" display="Deed - Attribution-NonCommercial 4.0 International - Creative Commons"/>
    <hyperlink ref="H159" r:id="rId314" display="https://www.inaturalist.org/observations/382882645"/>
    <hyperlink ref="G160" r:id="rId315" display="Deed - Attribution-NonCommercial 4.0 International - Creative Commons"/>
    <hyperlink ref="H160" r:id="rId316" display="https://www.inaturalist.org/observations/382879774"/>
    <hyperlink ref="G161" r:id="rId317" display="Deed - Attribution-NonCommercial 4.0 International - Creative Commons"/>
    <hyperlink ref="H161" r:id="rId318" display="https://www.inaturalist.org/observations/382874032"/>
    <hyperlink ref="G162" r:id="rId319" display="Deed - Attribution-NonCommercial 4.0 International - Creative Commons"/>
    <hyperlink ref="H162" r:id="rId320" display="https://www.inaturalist.org/observations/382872483"/>
    <hyperlink ref="G163" r:id="rId321" display="Deed - Attribution-NonCommercial 4.0 International - Creative Commons"/>
    <hyperlink ref="H163" r:id="rId322" display="https://www.inaturalist.org/observations/382872208"/>
    <hyperlink ref="G164" r:id="rId323" display="Deed - Attribution-NonCommercial 4.0 International - Creative Commons"/>
    <hyperlink ref="H164" r:id="rId324" display="https://www.inaturalist.org/observations/382868557"/>
    <hyperlink ref="G165" r:id="rId325" display="Deed - Attribution-NonCommercial 4.0 International - Creative Commons"/>
    <hyperlink ref="H165" r:id="rId326" display="https://www.inaturalist.org/observations/382864992"/>
    <hyperlink ref="G166" r:id="rId327" display="Deed - Attribution-NonCommercial 4.0 International - Creative Commons"/>
    <hyperlink ref="H166" r:id="rId328" display="https://www.inaturalist.org/observations/382864988"/>
    <hyperlink ref="G167" r:id="rId329" display="Deed - Attribution-NonCommercial 4.0 International - Creative Commons"/>
    <hyperlink ref="H167" r:id="rId330" display="https://www.inaturalist.org/observations/382864582"/>
    <hyperlink ref="G168" r:id="rId331" display="Deed - Attribution-NonCommercial 4.0 International - Creative Commons"/>
    <hyperlink ref="H168" r:id="rId332" display="https://www.inaturalist.org/observations/382864319"/>
    <hyperlink ref="G169" r:id="rId333" display="Deed - Attribution-NonCommercial 4.0 International - Creative Commons"/>
    <hyperlink ref="H169" r:id="rId334" display="https://www.inaturalist.org/observations/382864202"/>
    <hyperlink ref="G170" r:id="rId335" display="Deed - Attribution-NonCommercial 4.0 International - Creative Commons"/>
    <hyperlink ref="H170" r:id="rId336" display="https://www.inaturalist.org/observations/382864108"/>
    <hyperlink ref="G171" r:id="rId337" display="Deed - Attribution-NonCommercial 4.0 International - Creative Commons"/>
    <hyperlink ref="H171" r:id="rId338" display="https://www.inaturalist.org/observations/382863954"/>
    <hyperlink ref="G172" r:id="rId339" display="Deed - Attribution-NonCommercial 4.0 International - Creative Commons"/>
    <hyperlink ref="H172" r:id="rId340" display="https://www.inaturalist.org/observations/382862909"/>
    <hyperlink ref="G173" r:id="rId341" display="Deed - Attribution-NonCommercial 4.0 International - Creative Commons"/>
    <hyperlink ref="H173" r:id="rId342" display="https://www.inaturalist.org/observations/382862048"/>
    <hyperlink ref="G174" r:id="rId343" display="Deed - Attribution-NonCommercial 4.0 International - Creative Commons"/>
    <hyperlink ref="H174" r:id="rId344" display="https://www.inaturalist.org/observations/382861537"/>
    <hyperlink ref="G175" r:id="rId345" display="Deed - Attribution-NonCommercial 4.0 International - Creative Commons"/>
    <hyperlink ref="H175" r:id="rId346" display="https://www.inaturalist.org/observations/382860054"/>
    <hyperlink ref="G176" r:id="rId347" display="Deed - Attribution-NonCommercial 4.0 International - Creative Commons"/>
    <hyperlink ref="H176" r:id="rId348" display="https://www.inaturalist.org/observations/382859996"/>
    <hyperlink ref="G177" r:id="rId349" display="Deed - Attribution-NonCommercial 4.0 International - Creative Commons"/>
    <hyperlink ref="H177" r:id="rId350" display="https://www.inaturalist.org/observations/382858913"/>
    <hyperlink ref="G178" r:id="rId351" display="Deed - Attribution-NonCommercial 4.0 International - Creative Commons"/>
    <hyperlink ref="H178" r:id="rId352" display="https://www.inaturalist.org/observations/382858543"/>
    <hyperlink ref="G179" r:id="rId353" display="Deed - Attribution-NonCommercial 4.0 International - Creative Commons"/>
    <hyperlink ref="H179" r:id="rId354" display="https://www.inaturalist.org/observations/382857879"/>
    <hyperlink ref="G180" r:id="rId355" display="Deed - Attribution-NonCommercial 4.0 International - Creative Commons"/>
    <hyperlink ref="H180" r:id="rId356" display="https://www.inaturalist.org/observations/382855968"/>
    <hyperlink ref="G181" r:id="rId357" display="Deed - Attribution-NonCommercial 4.0 International - Creative Commons"/>
    <hyperlink ref="H181" r:id="rId358" display="https://www.inaturalist.org/observations/382855946"/>
    <hyperlink ref="G182" r:id="rId359" display="Deed - Attribution-NonCommercial 4.0 International - Creative Commons"/>
    <hyperlink ref="H182" r:id="rId360" display="https://www.inaturalist.org/observations/382855803"/>
    <hyperlink ref="G183" r:id="rId361" display="Deed - Attribution-NonCommercial 4.0 International - Creative Commons"/>
    <hyperlink ref="H183" r:id="rId362" display="https://www.inaturalist.org/observations/382855614"/>
    <hyperlink ref="G184" r:id="rId363" display="Deed - Attribution-NonCommercial 4.0 International - Creative Commons"/>
    <hyperlink ref="H184" r:id="rId364" display="https://www.inaturalist.org/observations/382850917"/>
    <hyperlink ref="G185" r:id="rId365" display="Deed - Attribution-NonCommercial 4.0 International - Creative Commons"/>
    <hyperlink ref="H185" r:id="rId366" display="https://www.inaturalist.org/observations/382850909"/>
    <hyperlink ref="G186" r:id="rId367" display="Deed - Attribution-NonCommercial 4.0 International - Creative Commons"/>
    <hyperlink ref="H186" r:id="rId368" display="https://www.inaturalist.org/observations/382847576"/>
    <hyperlink ref="G187" r:id="rId369" display="Deed - Attribution-NonCommercial 4.0 International - Creative Commons"/>
    <hyperlink ref="H187" r:id="rId370" display="https://www.inaturalist.org/observations/382845204"/>
    <hyperlink ref="G188" r:id="rId371" display="Deed - Attribution-NonCommercial 4.0 International - Creative Commons"/>
    <hyperlink ref="H188" r:id="rId372" display="https://www.inaturalist.org/observations/382844279"/>
    <hyperlink ref="G189" r:id="rId373" display="Deed - Attribution-NonCommercial 4.0 International - Creative Commons"/>
    <hyperlink ref="H189" r:id="rId374" display="https://www.inaturalist.org/observations/382844061"/>
    <hyperlink ref="G190" r:id="rId375" display="Deed - Attribution-NonCommercial 4.0 International - Creative Commons"/>
    <hyperlink ref="H190" r:id="rId376" display="https://www.inaturalist.org/observations/382839971"/>
    <hyperlink ref="G191" r:id="rId377" display="Deed - Attribution-NonCommercial 4.0 International - Creative Commons"/>
    <hyperlink ref="H191" r:id="rId378" display="https://www.inaturalist.org/observations/382836961"/>
    <hyperlink ref="G192" r:id="rId379" display="Deed - Attribution-NonCommercial 4.0 International - Creative Commons"/>
    <hyperlink ref="H192" r:id="rId380" display="https://www.inaturalist.org/observations/382835133"/>
    <hyperlink ref="G193" r:id="rId381" display="Deed - Attribution-NonCommercial 4.0 International - Creative Commons"/>
    <hyperlink ref="H193" r:id="rId382" display="https://www.inaturalist.org/observations/382832726"/>
    <hyperlink ref="G194" r:id="rId383" display="Deed - Attribution-NonCommercial 4.0 International - Creative Commons"/>
    <hyperlink ref="H194" r:id="rId384" display="https://www.inaturalist.org/observations/382831971"/>
    <hyperlink ref="G195" r:id="rId385" display="Deed - Attribution-NonCommercial 4.0 International - Creative Commons"/>
    <hyperlink ref="H195" r:id="rId386" display="https://www.inaturalist.org/observations/382831229"/>
    <hyperlink ref="G196" r:id="rId387" display="Deed - Attribution-NonCommercial 4.0 International - Creative Commons"/>
    <hyperlink ref="H196" r:id="rId388" display="https://www.inaturalist.org/observations/382829708"/>
    <hyperlink ref="G197" r:id="rId389" display="Deed - Attribution-NonCommercial 4.0 International - Creative Commons"/>
    <hyperlink ref="H197" r:id="rId390" display="https://www.inaturalist.org/observations/382826215"/>
    <hyperlink ref="G198" r:id="rId391" display="Deed - Attribution-NonCommercial 4.0 International - Creative Commons"/>
    <hyperlink ref="H198" r:id="rId392" display="https://www.inaturalist.org/observations/382825066"/>
    <hyperlink ref="G199" r:id="rId393" display="Deed - Attribution-NonCommercial 4.0 International - Creative Commons"/>
    <hyperlink ref="H199" r:id="rId394" display="https://www.inaturalist.org/observations/382824076"/>
    <hyperlink ref="G200" r:id="rId395" display="Deed - Attribution-NonCommercial 4.0 International - Creative Commons"/>
    <hyperlink ref="H200" r:id="rId396" display="https://www.inaturalist.org/observations/382820250"/>
    <hyperlink ref="G201" r:id="rId397" display="Deed - Attribution-NonCommercial 4.0 International - Creative Commons"/>
    <hyperlink ref="H201" r:id="rId398" display="https://www.inaturalist.org/observations/382817972"/>
    <hyperlink ref="G202" r:id="rId399" display="Deed - Attribution-NonCommercial 4.0 International - Creative Commons"/>
    <hyperlink ref="H202" r:id="rId400" display="https://www.inaturalist.org/observations/382817218"/>
    <hyperlink ref="G203" r:id="rId401" display="Deed - Attribution-NonCommercial 4.0 International - Creative Commons"/>
    <hyperlink ref="H203" r:id="rId402" display="https://www.inaturalist.org/observations/382815146"/>
    <hyperlink ref="G204" r:id="rId403" display="Deed - Attribution-NonCommercial 4.0 International - Creative Commons"/>
    <hyperlink ref="H204" r:id="rId404" display="https://www.inaturalist.org/observations/382814656"/>
    <hyperlink ref="G205" r:id="rId405" display="Deed - Attribution-NonCommercial 4.0 International - Creative Commons"/>
    <hyperlink ref="H205" r:id="rId406" display="https://www.inaturalist.org/observations/382812941"/>
    <hyperlink ref="G206" r:id="rId407" display="Deed - Attribution-NonCommercial 4.0 International - Creative Commons"/>
    <hyperlink ref="H206" r:id="rId408" display="https://www.inaturalist.org/observations/382812224"/>
    <hyperlink ref="G207" r:id="rId409" display="Deed - Attribution-NonCommercial 4.0 International - Creative Commons"/>
    <hyperlink ref="H207" r:id="rId410" display="https://www.inaturalist.org/observations/382812166"/>
    <hyperlink ref="G208" r:id="rId411" display="Deed - Attribution-NonCommercial 4.0 International - Creative Commons"/>
    <hyperlink ref="H208" r:id="rId412" display="https://www.inaturalist.org/observations/382809345"/>
    <hyperlink ref="G209" r:id="rId413" display="Deed - Attribution-NonCommercial 4.0 International - Creative Commons"/>
    <hyperlink ref="H209" r:id="rId414" display="https://www.inaturalist.org/observations/382805781"/>
    <hyperlink ref="G210" r:id="rId415" display="Deed - Attribution-NonCommercial 4.0 International - Creative Commons"/>
    <hyperlink ref="H210" r:id="rId416" display="https://www.inaturalist.org/observations/382805556"/>
    <hyperlink ref="G211" r:id="rId417" display="Deed - Attribution-NonCommercial 4.0 International - Creative Commons"/>
    <hyperlink ref="H211" r:id="rId418" display="https://www.inaturalist.org/observations/382805370"/>
    <hyperlink ref="G212" r:id="rId419" display="Deed - Attribution-NonCommercial 4.0 International - Creative Commons"/>
    <hyperlink ref="H212" r:id="rId420" display="https://www.inaturalist.org/observations/382801129"/>
    <hyperlink ref="G213" r:id="rId421" display="Deed - Attribution-NonCommercial 4.0 International - Creative Commons"/>
    <hyperlink ref="H213" r:id="rId422" display="https://www.inaturalist.org/observations/382799310"/>
    <hyperlink ref="G214" r:id="rId423" display="Deed - Attribution-NonCommercial 4.0 International - Creative Commons"/>
    <hyperlink ref="H214" r:id="rId424" display="https://www.inaturalist.org/observations/382797969"/>
    <hyperlink ref="G215" r:id="rId425" display="Deed - Attribution-NonCommercial 4.0 International - Creative Commons"/>
    <hyperlink ref="H215" r:id="rId426" display="https://www.inaturalist.org/observations/382791977"/>
    <hyperlink ref="G216" r:id="rId427" display="Deed - Attribution-NonCommercial 4.0 International - Creative Commons"/>
    <hyperlink ref="H216" r:id="rId428" display="https://www.inaturalist.org/observations/382791786"/>
    <hyperlink ref="G217" r:id="rId429" display="Deed - Attribution-NonCommercial 4.0 International - Creative Commons"/>
    <hyperlink ref="H217" r:id="rId430" display="https://www.inaturalist.org/observations/382777920"/>
    <hyperlink ref="G218" r:id="rId431" display="Deed - Attribution-NonCommercial 4.0 International - Creative Commons"/>
    <hyperlink ref="H218" r:id="rId432" display="https://www.inaturalist.org/observations/382777712"/>
    <hyperlink ref="G219" r:id="rId433" display="Deed - Attribution-NonCommercial 4.0 International - Creative Commons"/>
    <hyperlink ref="H219" r:id="rId434" display="https://www.inaturalist.org/observations/382777300"/>
    <hyperlink ref="G220" r:id="rId435" display="Deed - Attribution-NonCommercial 4.0 International - Creative Commons"/>
    <hyperlink ref="H220" r:id="rId436" display="https://www.inaturalist.org/observations/382774420"/>
    <hyperlink ref="G221" r:id="rId437" display="Deed - Attribution-NonCommercial 4.0 International - Creative Commons"/>
    <hyperlink ref="H221" r:id="rId438" display="https://www.inaturalist.org/observations/382773027"/>
    <hyperlink ref="G222" r:id="rId439" display="Deed - Attribution-NonCommercial 4.0 International - Creative Commons"/>
    <hyperlink ref="H222" r:id="rId440" display="https://www.inaturalist.org/observations/382770925"/>
    <hyperlink ref="G223" r:id="rId441" display="Deed - Attribution-NonCommercial 4.0 International - Creative Commons"/>
    <hyperlink ref="H223" r:id="rId442" display="https://www.inaturalist.org/observations/382768620"/>
    <hyperlink ref="G224" r:id="rId443" display="Deed - Attribution-NonCommercial 4.0 International - Creative Commons"/>
    <hyperlink ref="H224" r:id="rId444" display="https://www.inaturalist.org/observations/382764441"/>
    <hyperlink ref="G225" r:id="rId445" display="Deed - Attribution-NonCommercial 4.0 International - Creative Commons"/>
    <hyperlink ref="H225" r:id="rId446" display="https://www.inaturalist.org/observations/382762672"/>
    <hyperlink ref="G226" r:id="rId447" display="Deed - Attribution-NonCommercial 4.0 International - Creative Commons"/>
    <hyperlink ref="H226" r:id="rId448" display="https://www.inaturalist.org/observations/382759466"/>
    <hyperlink ref="G227" r:id="rId449" display="Deed - Attribution-NonCommercial 4.0 International - Creative Commons"/>
    <hyperlink ref="H227" r:id="rId450" display="https://www.inaturalist.org/observations/382758181"/>
    <hyperlink ref="G228" r:id="rId451" display="Deed - Attribution-NonCommercial 4.0 International - Creative Commons"/>
    <hyperlink ref="H228" r:id="rId452" display="https://www.inaturalist.org/observations/382755472"/>
    <hyperlink ref="G229" r:id="rId453" display="Deed - Attribution-NonCommercial 4.0 International - Creative Commons"/>
    <hyperlink ref="H229" r:id="rId454" display="https://www.inaturalist.org/observations/382753812"/>
    <hyperlink ref="G230" r:id="rId455" display="Deed - Attribution-NonCommercial 4.0 International - Creative Commons"/>
    <hyperlink ref="H230" r:id="rId456" display="https://www.inaturalist.org/observations/382752332"/>
    <hyperlink ref="G231" r:id="rId457" display="Deed - Attribution-NonCommercial 4.0 International - Creative Commons"/>
    <hyperlink ref="H231" r:id="rId458" display="https://www.inaturalist.org/observations/382748309"/>
    <hyperlink ref="G232" r:id="rId459" display="Deed - Attribution-NonCommercial 4.0 International - Creative Commons"/>
    <hyperlink ref="H232" r:id="rId460" display="https://www.inaturalist.org/observations/382746416"/>
    <hyperlink ref="G233" r:id="rId461" display="Deed - Attribution-NonCommercial 4.0 International - Creative Commons"/>
    <hyperlink ref="H233" r:id="rId462" display="https://www.inaturalist.org/observations/382744623"/>
    <hyperlink ref="G234" r:id="rId463" display="Deed - Attribution-NonCommercial 4.0 International - Creative Commons"/>
    <hyperlink ref="H234" r:id="rId464" display="https://www.inaturalist.org/observations/382743430"/>
    <hyperlink ref="G235" r:id="rId465" display="Deed - Attribution-NonCommercial 4.0 International - Creative Commons"/>
    <hyperlink ref="H235" r:id="rId466" display="https://www.inaturalist.org/observations/382742614"/>
    <hyperlink ref="G236" r:id="rId467" display="Deed - Attribution-NonCommercial 4.0 International - Creative Commons"/>
    <hyperlink ref="H236" r:id="rId468" display="https://www.inaturalist.org/observations/382742611"/>
    <hyperlink ref="G237" r:id="rId469" display="Deed - Attribution-NonCommercial 4.0 International - Creative Commons"/>
    <hyperlink ref="H237" r:id="rId470" display="https://www.inaturalist.org/observations/382742610"/>
    <hyperlink ref="G238" r:id="rId471" display="Deed - Attribution-NonCommercial 4.0 International - Creative Commons"/>
    <hyperlink ref="H238" r:id="rId472" display="https://www.inaturalist.org/observations/382740056"/>
    <hyperlink ref="G239" r:id="rId473" display="Deed - Attribution-NonCommercial 4.0 International - Creative Commons"/>
    <hyperlink ref="H239" r:id="rId474" display="https://www.inaturalist.org/observations/382739654"/>
    <hyperlink ref="G240" r:id="rId475" display="Deed - Attribution-NonCommercial 4.0 International - Creative Commons"/>
    <hyperlink ref="H240" r:id="rId476" display="https://www.inaturalist.org/observations/382739454"/>
    <hyperlink ref="G241" r:id="rId477" display="Deed - Attribution-NonCommercial 4.0 International - Creative Commons"/>
    <hyperlink ref="H241" r:id="rId478" display="https://www.inaturalist.org/observations/382739449"/>
    <hyperlink ref="G242" r:id="rId479" display="Deed - Attribution-NonCommercial 4.0 International - Creative Commons"/>
    <hyperlink ref="H242" r:id="rId480" display="https://www.inaturalist.org/observations/382736386"/>
    <hyperlink ref="G243" r:id="rId481" display="Deed - Attribution-NonCommercial 4.0 International - Creative Commons"/>
    <hyperlink ref="H243" r:id="rId482" display="https://www.inaturalist.org/observations/382735997"/>
    <hyperlink ref="G244" r:id="rId483" display="Deed - Attribution-NonCommercial 4.0 International - Creative Commons"/>
    <hyperlink ref="H244" r:id="rId484" display="https://www.inaturalist.org/observations/382730742"/>
    <hyperlink ref="G245" r:id="rId485" display="Deed - Attribution-NonCommercial 4.0 International - Creative Commons"/>
    <hyperlink ref="H245" r:id="rId486" display="https://www.inaturalist.org/observations/382730601"/>
    <hyperlink ref="G246" r:id="rId487" display="Deed - Attribution-NonCommercial 4.0 International - Creative Commons"/>
    <hyperlink ref="H246" r:id="rId488" display="https://www.inaturalist.org/observations/382729161"/>
    <hyperlink ref="G247" r:id="rId489" display="Deed - Attribution-NonCommercial 4.0 International - Creative Commons"/>
    <hyperlink ref="H247" r:id="rId490" display="https://www.inaturalist.org/observations/382728453"/>
    <hyperlink ref="G248" r:id="rId491" display="Deed - Attribution-NonCommercial 4.0 International - Creative Commons"/>
    <hyperlink ref="H248" r:id="rId492" display="https://www.inaturalist.org/observations/382719222"/>
    <hyperlink ref="G249" r:id="rId493" display="Deed - Attribution-NonCommercial 4.0 International - Creative Commons"/>
    <hyperlink ref="H249" r:id="rId494" display="https://www.inaturalist.org/observations/382716043"/>
    <hyperlink ref="G250" r:id="rId495" display="Deed - Attribution-NonCommercial 4.0 International - Creative Commons"/>
    <hyperlink ref="H250" r:id="rId496" display="https://www.inaturalist.org/observations/382715828"/>
    <hyperlink ref="G251" r:id="rId497" display="Deed - Attribution-NonCommercial 4.0 International - Creative Commons"/>
    <hyperlink ref="H251" r:id="rId498" display="https://www.inaturalist.org/observations/382709919"/>
    <hyperlink ref="G252" r:id="rId499" display="Deed - Attribution-NonCommercial 4.0 International - Creative Commons"/>
    <hyperlink ref="H252" r:id="rId500" display="https://www.inaturalist.org/observations/382709918"/>
    <hyperlink ref="G253" r:id="rId501" display="Deed - Attribution-NonCommercial 4.0 International - Creative Commons"/>
    <hyperlink ref="H253" r:id="rId502" display="https://www.inaturalist.org/observations/382709906"/>
    <hyperlink ref="G254" r:id="rId503" display="Deed - Attribution-NonCommercial 4.0 International - Creative Commons"/>
    <hyperlink ref="H254" r:id="rId504" display="https://www.inaturalist.org/observations/382706529"/>
    <hyperlink ref="G255" r:id="rId505" display="Deed - Attribution-NonCommercial 4.0 International - Creative Commons"/>
    <hyperlink ref="H255" r:id="rId506" display="https://www.inaturalist.org/observations/382705068"/>
    <hyperlink ref="G256" r:id="rId507" display="Deed - Attribution-NonCommercial 4.0 International - Creative Commons"/>
    <hyperlink ref="H256" r:id="rId508" display="https://www.inaturalist.org/observations/382702350"/>
    <hyperlink ref="G257" r:id="rId509" display="Deed - Attribution-NonCommercial 4.0 International - Creative Commons"/>
    <hyperlink ref="H257" r:id="rId510" display="https://www.inaturalist.org/observations/382699441"/>
    <hyperlink ref="G258" r:id="rId511" display="Deed - Attribution-NonCommercial 4.0 International - Creative Commons"/>
    <hyperlink ref="H258" r:id="rId512" display="https://www.inaturalist.org/observations/382697771"/>
    <hyperlink ref="G259" r:id="rId513" display="Deed - Attribution-NonCommercial 4.0 International - Creative Commons"/>
    <hyperlink ref="H259" r:id="rId514" display="https://www.inaturalist.org/observations/382697769"/>
    <hyperlink ref="G260" r:id="rId515" display="Deed - Attribution-NonCommercial 4.0 International - Creative Commons"/>
    <hyperlink ref="H260" r:id="rId516" display="https://www.inaturalist.org/observations/382694320"/>
    <hyperlink ref="G261" r:id="rId517" display="Deed - Attribution-NonCommercial 4.0 International - Creative Commons"/>
    <hyperlink ref="H261" r:id="rId518" display="https://www.inaturalist.org/observations/382693010"/>
    <hyperlink ref="G262" r:id="rId519" display="Deed - Attribution-NonCommercial 4.0 International - Creative Commons"/>
    <hyperlink ref="H262" r:id="rId520" display="https://www.inaturalist.org/observations/382680965"/>
    <hyperlink ref="G263" r:id="rId521" display="Deed - Attribution-NonCommercial 4.0 International - Creative Commons"/>
    <hyperlink ref="H263" r:id="rId522" display="https://www.inaturalist.org/observations/382677812"/>
    <hyperlink ref="G264" r:id="rId523" display="Deed - Attribution-NonCommercial 4.0 International - Creative Commons"/>
    <hyperlink ref="H264" r:id="rId524" display="https://www.inaturalist.org/observations/382674536"/>
    <hyperlink ref="G265" r:id="rId525" display="Deed - Attribution-NonCommercial 4.0 International - Creative Commons"/>
    <hyperlink ref="H265" r:id="rId526" display="https://www.inaturalist.org/observations/382674010"/>
    <hyperlink ref="G266" r:id="rId527" display="Deed - Attribution-NonCommercial 4.0 International - Creative Commons"/>
    <hyperlink ref="H266" r:id="rId528" display="https://www.inaturalist.org/observations/382665951"/>
    <hyperlink ref="G267" r:id="rId529" display="Deed - Attribution-NonCommercial 4.0 International - Creative Commons"/>
    <hyperlink ref="H267" r:id="rId530" display="https://www.inaturalist.org/observations/382661586"/>
    <hyperlink ref="G268" r:id="rId531" display="Deed - Attribution-NonCommercial 4.0 International - Creative Commons"/>
    <hyperlink ref="H268" r:id="rId532" display="https://www.inaturalist.org/observations/382657810"/>
    <hyperlink ref="G269" r:id="rId533" display="Deed - Attribution-NonCommercial 4.0 International - Creative Commons"/>
    <hyperlink ref="H269" r:id="rId534" display="https://www.inaturalist.org/observations/382654859"/>
    <hyperlink ref="G270" r:id="rId535" display="Deed - Attribution-NonCommercial 4.0 International - Creative Commons"/>
    <hyperlink ref="H270" r:id="rId536" display="https://www.inaturalist.org/observations/382654158"/>
    <hyperlink ref="G271" r:id="rId537" display="Deed - Attribution-NonCommercial 4.0 International - Creative Commons"/>
    <hyperlink ref="H271" r:id="rId538" display="https://www.inaturalist.org/observations/382652461"/>
    <hyperlink ref="G272" r:id="rId539" display="Deed - Attribution-NonCommercial 4.0 International - Creative Commons"/>
    <hyperlink ref="H272" r:id="rId540" display="https://www.inaturalist.org/observations/382651261"/>
    <hyperlink ref="G273" r:id="rId541" display="Deed - Attribution-NonCommercial 4.0 International - Creative Commons"/>
    <hyperlink ref="H273" r:id="rId542" display="https://www.inaturalist.org/observations/382649614"/>
    <hyperlink ref="G274" r:id="rId543" display="Deed - Attribution-NonCommercial 4.0 International - Creative Commons"/>
    <hyperlink ref="H274" r:id="rId544" display="https://www.inaturalist.org/observations/382649236"/>
    <hyperlink ref="G275" r:id="rId545" display="Deed - Attribution-NonCommercial 4.0 International - Creative Commons"/>
    <hyperlink ref="H275" r:id="rId546" display="https://www.inaturalist.org/observations/382647045"/>
    <hyperlink ref="G276" r:id="rId547" display="Deed - Attribution-NonCommercial 4.0 International - Creative Commons"/>
    <hyperlink ref="H276" r:id="rId548" display="https://www.inaturalist.org/observations/382646166"/>
    <hyperlink ref="G277" r:id="rId549" display="Deed - Attribution-NonCommercial 4.0 International - Creative Commons"/>
    <hyperlink ref="H277" r:id="rId550" display="https://www.inaturalist.org/observations/382646160"/>
    <hyperlink ref="G278" r:id="rId551" display="Deed - Attribution-NonCommercial 4.0 International - Creative Commons"/>
    <hyperlink ref="H278" r:id="rId552" display="https://www.inaturalist.org/observations/382639761"/>
    <hyperlink ref="G279" r:id="rId553" display="Deed - Attribution-NonCommercial 4.0 International - Creative Commons"/>
    <hyperlink ref="H279" r:id="rId554" display="https://www.inaturalist.org/observations/382637532"/>
    <hyperlink ref="G280" r:id="rId555" display="Deed - Attribution-NonCommercial 4.0 International - Creative Commons"/>
    <hyperlink ref="H280" r:id="rId556" display="https://www.inaturalist.org/observations/382637187"/>
    <hyperlink ref="G281" r:id="rId557" display="Deed - Attribution-NonCommercial 4.0 International - Creative Commons"/>
    <hyperlink ref="H281" r:id="rId558" display="https://www.inaturalist.org/observations/382631563"/>
    <hyperlink ref="G282" r:id="rId559" display="Deed - Attribution-NonCommercial 4.0 International - Creative Commons"/>
    <hyperlink ref="H282" r:id="rId560" display="https://www.inaturalist.org/observations/382627131"/>
    <hyperlink ref="G283" r:id="rId561" display="Deed - Attribution-NonCommercial 4.0 International - Creative Commons"/>
    <hyperlink ref="H283" r:id="rId562" display="https://www.inaturalist.org/observations/382627117"/>
    <hyperlink ref="G284" r:id="rId563" display="Deed - Attribution-NonCommercial 4.0 International - Creative Commons"/>
    <hyperlink ref="H284" r:id="rId564" display="https://www.inaturalist.org/observations/382627116"/>
    <hyperlink ref="G285" r:id="rId565" display="Deed - Attribution-NonCommercial 4.0 International - Creative Commons"/>
    <hyperlink ref="H285" r:id="rId566" display="https://www.inaturalist.org/observations/382620911"/>
    <hyperlink ref="G286" r:id="rId567" display="Deed - Attribution-NonCommercial 4.0 International - Creative Commons"/>
    <hyperlink ref="H286" r:id="rId568" display="https://www.inaturalist.org/observations/382619085"/>
    <hyperlink ref="G287" r:id="rId569" display="Deed - Attribution-NonCommercial 4.0 International - Creative Commons"/>
    <hyperlink ref="H287" r:id="rId570" display="https://www.inaturalist.org/observations/382611019"/>
    <hyperlink ref="G288" r:id="rId571" display="Deed - Attribution-NonCommercial 4.0 International - Creative Commons"/>
    <hyperlink ref="H288" r:id="rId572" display="https://www.inaturalist.org/observations/382609219"/>
    <hyperlink ref="G289" r:id="rId573" display="Deed - Attribution-NonCommercial 4.0 International - Creative Commons"/>
    <hyperlink ref="H289" r:id="rId574" display="https://www.inaturalist.org/observations/382600419"/>
    <hyperlink ref="G290" r:id="rId575" display="Deed - Attribution-NonCommercial 4.0 International - Creative Commons"/>
    <hyperlink ref="H290" r:id="rId576" display="https://www.inaturalist.org/observations/382596172"/>
    <hyperlink ref="G291" r:id="rId577" display="Deed - Attribution-NonCommercial 4.0 International - Creative Commons"/>
    <hyperlink ref="H291" r:id="rId578" display="https://www.inaturalist.org/observations/382595425"/>
    <hyperlink ref="G292" r:id="rId579" display="Deed - Attribution-NonCommercial 4.0 International - Creative Commons"/>
    <hyperlink ref="H292" r:id="rId580" display="https://www.inaturalist.org/observations/382593044"/>
    <hyperlink ref="G293" r:id="rId581" display="Deed - Attribution-NonCommercial 4.0 International - Creative Commons"/>
    <hyperlink ref="H293" r:id="rId582" display="https://www.inaturalist.org/observations/382589191"/>
    <hyperlink ref="G294" r:id="rId583" display="Deed - Attribution-NonCommercial 4.0 International - Creative Commons"/>
    <hyperlink ref="H294" r:id="rId584" display="https://www.inaturalist.org/observations/382585587"/>
    <hyperlink ref="G295" r:id="rId585" display="Deed - Attribution-NonCommercial 4.0 International - Creative Commons"/>
    <hyperlink ref="H295" r:id="rId586" display="https://www.inaturalist.org/observations/382584309"/>
    <hyperlink ref="G296" r:id="rId587" display="Deed - Attribution-NonCommercial 4.0 International - Creative Commons"/>
    <hyperlink ref="H296" r:id="rId588" display="https://www.inaturalist.org/observations/382579427"/>
    <hyperlink ref="G297" r:id="rId589" display="Deed - Attribution-NonCommercial 4.0 International - Creative Commons"/>
    <hyperlink ref="H297" r:id="rId590" display="https://www.inaturalist.org/observations/382577222"/>
    <hyperlink ref="G298" r:id="rId591" display="Deed - Attribution-NonCommercial 4.0 International - Creative Commons"/>
    <hyperlink ref="H298" r:id="rId592" display="https://www.inaturalist.org/observations/382575844"/>
    <hyperlink ref="G299" r:id="rId593" display="Deed - Attribution-NonCommercial 4.0 International - Creative Commons"/>
    <hyperlink ref="H299" r:id="rId594" display="https://www.inaturalist.org/observations/382573584"/>
    <hyperlink ref="G300" r:id="rId595" display="Deed - Attribution-NonCommercial 4.0 International - Creative Commons"/>
    <hyperlink ref="H300" r:id="rId596" display="https://www.inaturalist.org/observations/382565498"/>
    <hyperlink ref="G301" r:id="rId597" display="Deed - Attribution-NonCommercial 4.0 International - Creative Commons"/>
    <hyperlink ref="H301" r:id="rId598" display="https://www.inaturalist.org/observations/382562881"/>
    <hyperlink ref="G302" r:id="rId599" display="Deed - Attribution-NonCommercial 4.0 International - Creative Commons"/>
    <hyperlink ref="H302" r:id="rId600" display="https://www.inaturalist.org/observations/382558952"/>
    <hyperlink ref="G303" r:id="rId601" display="Deed - Attribution-NonCommercial 4.0 International - Creative Commons"/>
    <hyperlink ref="H303" r:id="rId602" display="https://www.inaturalist.org/observations/383149007"/>
    <hyperlink ref="G304" r:id="rId603" display="Deed - Attribution-NonCommercial 4.0 International - Creative Commons"/>
    <hyperlink ref="H304" r:id="rId604" display="https://www.inaturalist.org/observations/383148062"/>
    <hyperlink ref="G305" r:id="rId605" display="Deed - Attribution-NonCommercial 4.0 International - Creative Commons"/>
    <hyperlink ref="H305" r:id="rId606" display="https://www.inaturalist.org/observations/383144370"/>
    <hyperlink ref="G306" r:id="rId607" display="Deed - Attribution-NonCommercial 4.0 International - Creative Commons"/>
    <hyperlink ref="H306" r:id="rId608" display="https://www.inaturalist.org/observations/383137279"/>
    <hyperlink ref="G307" r:id="rId609" display="Deed - Attribution-NonCommercial 4.0 International - Creative Commons"/>
    <hyperlink ref="H307" r:id="rId610" display="https://www.inaturalist.org/observations/383115625"/>
    <hyperlink ref="G308" r:id="rId611" display="Deed - Attribution-NonCommercial 4.0 International - Creative Commons"/>
    <hyperlink ref="H308" r:id="rId612" display="https://www.inaturalist.org/observations/383111653"/>
    <hyperlink ref="G309" r:id="rId613" display="Deed - Attribution-NonCommercial 4.0 International - Creative Commons"/>
    <hyperlink ref="H309" r:id="rId614" display="https://www.inaturalist.org/observations/383106648"/>
    <hyperlink ref="G310" r:id="rId615" display="Deed - Attribution-NonCommercial 4.0 International - Creative Commons"/>
    <hyperlink ref="H310" r:id="rId616" display="https://www.inaturalist.org/observations/383096902"/>
    <hyperlink ref="G311" r:id="rId617" display="Deed - Attribution-NonCommercial 4.0 International - Creative Commons"/>
    <hyperlink ref="H311" r:id="rId618" display="https://www.inaturalist.org/observations/383095627"/>
    <hyperlink ref="G312" r:id="rId619" display="Deed - Attribution-NonCommercial 4.0 International - Creative Commons"/>
    <hyperlink ref="H312" r:id="rId620" display="https://www.inaturalist.org/observations/383087185"/>
    <hyperlink ref="G313" r:id="rId621" display="Deed - Attribution-NonCommercial 4.0 International - Creative Commons"/>
    <hyperlink ref="H313" r:id="rId622" display="https://www.inaturalist.org/observations/383087063"/>
    <hyperlink ref="G314" r:id="rId623" display="Deed - Attribution-NonCommercial 4.0 International - Creative Commons"/>
    <hyperlink ref="H314" r:id="rId624" display="https://www.inaturalist.org/observations/383087058"/>
    <hyperlink ref="G315" r:id="rId625" display="Deed - Attribution-NonCommercial 4.0 International - Creative Commons"/>
    <hyperlink ref="H315" r:id="rId626" display="https://www.inaturalist.org/observations/383087057"/>
    <hyperlink ref="G316" r:id="rId627" display="Deed - Attribution-NonCommercial 4.0 International - Creative Commons"/>
    <hyperlink ref="H316" r:id="rId628" display="https://www.inaturalist.org/observations/383085012"/>
    <hyperlink ref="G317" r:id="rId629" display="Deed - Attribution-NonCommercial 4.0 International - Creative Commons"/>
    <hyperlink ref="H317" r:id="rId630" display="https://www.inaturalist.org/observations/383082887"/>
    <hyperlink ref="G318" r:id="rId631" display="Deed - Attribution-NonCommercial 4.0 International - Creative Commons"/>
    <hyperlink ref="H318" r:id="rId632" display="https://www.inaturalist.org/observations/383064702"/>
    <hyperlink ref="G319" r:id="rId633" display="Deed - Attribution-NonCommercial 4.0 International - Creative Commons"/>
    <hyperlink ref="H319" r:id="rId634" display="https://www.inaturalist.org/observations/383054350"/>
    <hyperlink ref="G320" r:id="rId635" display="Deed - Attribution-NonCommercial 4.0 International - Creative Commons"/>
    <hyperlink ref="H320" r:id="rId636" display="https://www.inaturalist.org/observations/383049450"/>
    <hyperlink ref="G321" r:id="rId637" display="Deed - Attribution-NonCommercial 4.0 International - Creative Commons"/>
    <hyperlink ref="H321" r:id="rId638" display="https://www.inaturalist.org/observations/383044539"/>
    <hyperlink ref="G322" r:id="rId639" display="Deed - Attribution-NonCommercial 4.0 International - Creative Commons"/>
    <hyperlink ref="H322" r:id="rId640" display="https://www.inaturalist.org/observations/383024796"/>
    <hyperlink ref="G323" r:id="rId641" display="Deed - Attribution-NonCommercial 4.0 International - Creative Commons"/>
    <hyperlink ref="H323" r:id="rId642" display="https://www.inaturalist.org/observations/383023589"/>
    <hyperlink ref="G324" r:id="rId643" display="Deed - Attribution-NonCommercial 4.0 International - Creative Commons"/>
    <hyperlink ref="H324" r:id="rId644" display="https://www.inaturalist.org/observations/383012842"/>
    <hyperlink ref="G325" r:id="rId645" display="Deed - Attribution-NonCommercial 4.0 International - Creative Commons"/>
    <hyperlink ref="H325" r:id="rId646" display="https://www.inaturalist.org/observations/383001399"/>
    <hyperlink ref="G326" r:id="rId647" display="Deed - Attribution-NonCommercial 4.0 International - Creative Commons"/>
    <hyperlink ref="H326" r:id="rId648" display="https://www.inaturalist.org/observations/382992908"/>
    <hyperlink ref="G327" r:id="rId649" display="Deed - Attribution-NonCommercial 4.0 International - Creative Commons"/>
    <hyperlink ref="H327" r:id="rId650" display="https://www.inaturalist.org/observations/382979296"/>
    <hyperlink ref="G328" r:id="rId651" display="Deed - Attribution-NonCommercial 4.0 International - Creative Commons"/>
    <hyperlink ref="H328" r:id="rId652" display="https://www.inaturalist.org/observations/382960810"/>
    <hyperlink ref="G329" r:id="rId653" display="Deed - Attribution-NonCommercial 4.0 International - Creative Commons"/>
    <hyperlink ref="H329" r:id="rId654" display="https://www.inaturalist.org/observations/382959876"/>
    <hyperlink ref="G330" r:id="rId655" display="Deed - Attribution-NonCommercial 4.0 International - Creative Commons"/>
    <hyperlink ref="H330" r:id="rId656" display="https://www.inaturalist.org/observations/382950532"/>
    <hyperlink ref="G331" r:id="rId657" display="Deed - Attribution-NonCommercial 4.0 International - Creative Commons"/>
    <hyperlink ref="H331" r:id="rId658" display="https://www.inaturalist.org/observations/382917207"/>
    <hyperlink ref="G332" r:id="rId659" display="Deed - Attribution-NonCommercial 4.0 International - Creative Commons"/>
    <hyperlink ref="H332" r:id="rId660" display="https://www.inaturalist.org/observations/382907822"/>
    <hyperlink ref="G333" r:id="rId661" display="Deed - Attribution-NonCommercial 4.0 International - Creative Commons"/>
    <hyperlink ref="H333" r:id="rId662" display="https://www.inaturalist.org/observations/382907381"/>
    <hyperlink ref="G334" r:id="rId663" display="Deed - Attribution-NonCommercial 4.0 International - Creative Commons"/>
    <hyperlink ref="H334" r:id="rId664" display="https://www.inaturalist.org/observations/382901950"/>
    <hyperlink ref="G335" r:id="rId665" display="Deed - Attribution-NonCommercial 4.0 International - Creative Commons"/>
    <hyperlink ref="H335" r:id="rId666" display="https://www.inaturalist.org/observations/382870635"/>
    <hyperlink ref="G336" r:id="rId667" display="Deed - Attribution-NonCommercial 4.0 International - Creative Commons"/>
    <hyperlink ref="H336" r:id="rId668" display="https://www.inaturalist.org/observations/382855470"/>
    <hyperlink ref="G337" r:id="rId669" display="Deed - Attribution-NonCommercial 4.0 International - Creative Commons"/>
    <hyperlink ref="H337" r:id="rId670" display="https://www.inaturalist.org/observations/382822188"/>
    <hyperlink ref="G338" r:id="rId671" display="Deed - Attribution-NonCommercial 4.0 International - Creative Commons"/>
    <hyperlink ref="H338" r:id="rId672" display="https://www.inaturalist.org/observations/382821666"/>
    <hyperlink ref="G339" r:id="rId673" display="Deed - Attribution-NonCommercial 4.0 International - Creative Commons"/>
    <hyperlink ref="H339" r:id="rId674" display="https://www.inaturalist.org/observations/382809375"/>
    <hyperlink ref="G340" r:id="rId675" display="Deed - Attribution-NonCommercial 4.0 International - Creative Commons"/>
    <hyperlink ref="H340" r:id="rId676" display="https://www.inaturalist.org/observations/382802756"/>
    <hyperlink ref="G341" r:id="rId677" display="Deed - Attribution-NonCommercial 4.0 International - Creative Commons"/>
    <hyperlink ref="H341" r:id="rId678" display="https://www.inaturalist.org/observations/382794668"/>
    <hyperlink ref="G342" r:id="rId679" display="Deed - Attribution-NonCommercial 4.0 International - Creative Commons"/>
    <hyperlink ref="H342" r:id="rId680" display="https://www.inaturalist.org/observations/382785716"/>
    <hyperlink ref="G343" r:id="rId681" display="Deed - Attribution-NonCommercial 4.0 International - Creative Commons"/>
    <hyperlink ref="H343" r:id="rId682" display="https://www.inaturalist.org/observations/382777032"/>
    <hyperlink ref="G344" r:id="rId683" display="Deed - Attribution-NonCommercial 4.0 International - Creative Commons"/>
    <hyperlink ref="H344" r:id="rId684" display="https://www.inaturalist.org/observations/382755266"/>
    <hyperlink ref="G345" r:id="rId685" display="Deed - Attribution-NonCommercial 4.0 International - Creative Commons"/>
    <hyperlink ref="H345" r:id="rId686" display="https://www.inaturalist.org/observations/382750796"/>
    <hyperlink ref="G346" r:id="rId687" display="Deed - Attribution-NonCommercial 4.0 International - Creative Commons"/>
    <hyperlink ref="H346" r:id="rId688" display="https://www.inaturalist.org/observations/382725409"/>
    <hyperlink ref="G347" r:id="rId689" display="Deed - Attribution-NonCommercial 4.0 International - Creative Commons"/>
    <hyperlink ref="H347" r:id="rId690" display="https://www.inaturalist.org/observations/382708854"/>
    <hyperlink ref="G348" r:id="rId691" display="Deed - Attribution-NonCommercial 4.0 International - Creative Commons"/>
    <hyperlink ref="H348" r:id="rId692" display="https://www.inaturalist.org/observations/382705902"/>
    <hyperlink ref="G349" r:id="rId693" display="Deed - Attribution-NonCommercial 4.0 International - Creative Commons"/>
    <hyperlink ref="H349" r:id="rId694" display="https://www.inaturalist.org/observations/382690550"/>
    <hyperlink ref="G350" r:id="rId695" display="Deed - Attribution-NonCommercial 4.0 International - Creative Commons"/>
    <hyperlink ref="H350" r:id="rId696" display="https://www.inaturalist.org/observations/382688672"/>
    <hyperlink ref="G351" r:id="rId697" display="Deed - Attribution-NonCommercial 4.0 International - Creative Commons"/>
    <hyperlink ref="H351" r:id="rId698" display="https://www.inaturalist.org/observations/382623135"/>
    <hyperlink ref="G352" r:id="rId699" display="Deed - Attribution-NonCommercial 4.0 International - Creative Commons"/>
    <hyperlink ref="H352" r:id="rId700" display="https://www.inaturalist.org/observations/382558286"/>
    <hyperlink ref="G353" r:id="rId701" display="Deed - Attribution-NonCommercial 4.0 International - Creative Commons"/>
    <hyperlink ref="H353" r:id="rId702" display="https://www.inaturalist.org/observations/382497942"/>
    <hyperlink ref="G354" r:id="rId703" display="Deed - Attribution-NonCommercial 4.0 International - Creative Commons"/>
    <hyperlink ref="H354" r:id="rId704" display="https://www.inaturalist.org/observations/382473283"/>
    <hyperlink ref="G355" r:id="rId705" display="Deed - Attribution-NonCommercial 4.0 International - Creative Commons"/>
    <hyperlink ref="H355" r:id="rId706" display="https://www.inaturalist.org/observations/382462784"/>
    <hyperlink ref="G356" r:id="rId707" display="Deed - Attribution-NonCommercial 4.0 International - Creative Commons"/>
    <hyperlink ref="H356" r:id="rId708" display="https://www.inaturalist.org/observations/382412499"/>
    <hyperlink ref="G357" r:id="rId709" display="Deed - Attribution-NonCommercial 4.0 International - Creative Commons"/>
    <hyperlink ref="H357" r:id="rId710" display="https://www.inaturalist.org/observations/382396663"/>
    <hyperlink ref="G358" r:id="rId711" display="Deed - Attribution-NonCommercial 4.0 International - Creative Commons"/>
    <hyperlink ref="H358" r:id="rId712" display="https://www.inaturalist.org/observations/382363831"/>
    <hyperlink ref="G359" r:id="rId713" display="Deed - Attribution-NonCommercial 4.0 International - Creative Commons"/>
    <hyperlink ref="H359" r:id="rId714" display="https://www.inaturalist.org/observations/382321604"/>
    <hyperlink ref="G360" r:id="rId715" display="Deed - Attribution-NonCommercial 4.0 International - Creative Commons"/>
    <hyperlink ref="H360" r:id="rId716" display="https://www.inaturalist.org/observations/382319955"/>
    <hyperlink ref="G361" r:id="rId717" display="Deed - Attribution-NonCommercial 4.0 International - Creative Commons"/>
    <hyperlink ref="H361" r:id="rId718" display="https://www.inaturalist.org/observations/382270619"/>
    <hyperlink ref="G362" r:id="rId719" display="Deed - Attribution-NonCommercial 4.0 International - Creative Commons"/>
    <hyperlink ref="H362" r:id="rId720" display="https://www.inaturalist.org/observations/382263105"/>
    <hyperlink ref="G363" r:id="rId721" display="Deed - Attribution-NonCommercial 4.0 International - Creative Commons"/>
    <hyperlink ref="H363" r:id="rId722" display="https://www.inaturalist.org/observations/382253064"/>
    <hyperlink ref="G364" r:id="rId723" display="Deed - Attribution-NonCommercial 4.0 International - Creative Commons"/>
    <hyperlink ref="H364" r:id="rId724" display="https://www.inaturalist.org/observations/382242311"/>
    <hyperlink ref="G365" r:id="rId725" display="Deed - Attribution-NonCommercial 4.0 International - Creative Commons"/>
    <hyperlink ref="H365" r:id="rId726" display="https://www.inaturalist.org/observations/382239767"/>
    <hyperlink ref="G366" r:id="rId727" display="Deed - Attribution-NonCommercial 4.0 International - Creative Commons"/>
    <hyperlink ref="H366" r:id="rId728" display="https://www.inaturalist.org/observations/382235069"/>
    <hyperlink ref="G367" r:id="rId729" display="Deed - Attribution-NonCommercial 4.0 International - Creative Commons"/>
    <hyperlink ref="H367" r:id="rId730" display="https://www.inaturalist.org/observations/382217870"/>
    <hyperlink ref="G368" r:id="rId731" display="Deed - Attribution-NonCommercial 4.0 International - Creative Commons"/>
    <hyperlink ref="H368" r:id="rId732" display="https://www.inaturalist.org/observations/382175390"/>
    <hyperlink ref="G369" r:id="rId733" display="Deed - Attribution-NonCommercial 4.0 International - Creative Commons"/>
    <hyperlink ref="H369" r:id="rId734" display="https://www.inaturalist.org/observations/382172993"/>
    <hyperlink ref="G370" r:id="rId735" display="Deed - Attribution-NonCommercial 4.0 International - Creative Commons"/>
    <hyperlink ref="H370" r:id="rId736" display="https://www.inaturalist.org/observations/382153373"/>
    <hyperlink ref="G371" r:id="rId737" display="Deed - Attribution-NonCommercial 4.0 International - Creative Commons"/>
    <hyperlink ref="H371" r:id="rId738" display="https://www.inaturalist.org/observations/382127742"/>
    <hyperlink ref="G372" r:id="rId739" display="Deed - Attribution-NonCommercial 4.0 International - Creative Commons"/>
    <hyperlink ref="H372" r:id="rId740" display="https://www.inaturalist.org/observations/382115705"/>
    <hyperlink ref="G373" r:id="rId741" display="Deed - Attribution-NonCommercial 4.0 International - Creative Commons"/>
    <hyperlink ref="H373" r:id="rId742" display="https://www.inaturalist.org/observations/382104891"/>
    <hyperlink ref="G374" r:id="rId743" display="Deed - Attribution-NonCommercial 4.0 International - Creative Commons"/>
    <hyperlink ref="H374" r:id="rId744" display="https://www.inaturalist.org/observations/382104291"/>
    <hyperlink ref="G375" r:id="rId745" display="Deed - Attribution-NonCommercial 4.0 International - Creative Commons"/>
    <hyperlink ref="H375" r:id="rId746" display="https://www.inaturalist.org/observations/382093927"/>
    <hyperlink ref="G376" r:id="rId747" display="Deed - Attribution-NonCommercial 4.0 International - Creative Commons"/>
    <hyperlink ref="H376" r:id="rId748" display="https://www.inaturalist.org/observations/382081686"/>
    <hyperlink ref="G377" r:id="rId749" display="Deed - Attribution-NonCommercial 4.0 International - Creative Commons"/>
    <hyperlink ref="H377" r:id="rId750" display="https://www.inaturalist.org/observations/382052692"/>
    <hyperlink ref="G378" r:id="rId751" display="Deed - Attribution-NonCommercial 4.0 International - Creative Commons"/>
    <hyperlink ref="H378" r:id="rId752" display="https://www.inaturalist.org/observations/382033630"/>
    <hyperlink ref="G379" r:id="rId753" display="Deed - Attribution-NonCommercial 4.0 International - Creative Commons"/>
    <hyperlink ref="H379" r:id="rId754" display="https://www.inaturalist.org/observations/381983993"/>
    <hyperlink ref="G380" r:id="rId755" display="Deed - Attribution-NonCommercial 4.0 International - Creative Commons"/>
    <hyperlink ref="H380" r:id="rId756" display="https://www.inaturalist.org/observations/381973352"/>
    <hyperlink ref="G381" r:id="rId757" display="Deed - Attribution-NonCommercial 4.0 International - Creative Commons"/>
    <hyperlink ref="H381" r:id="rId758" display="https://www.inaturalist.org/observations/381966605"/>
    <hyperlink ref="G382" r:id="rId759" display="Deed - Attribution-NonCommercial 4.0 International - Creative Commons"/>
    <hyperlink ref="H382" r:id="rId760" display="https://www.inaturalist.org/observations/381906941"/>
    <hyperlink ref="G383" r:id="rId761" display="Deed - Attribution-NonCommercial 4.0 International - Creative Commons"/>
    <hyperlink ref="H383" r:id="rId762" display="https://www.inaturalist.org/observations/381890562"/>
    <hyperlink ref="G384" r:id="rId763" display="Deed - Attribution-NonCommercial 4.0 International - Creative Commons"/>
    <hyperlink ref="H384" r:id="rId764" display="https://www.inaturalist.org/observations/381872643"/>
    <hyperlink ref="G385" r:id="rId765" display="Deed - Attribution-NonCommercial 4.0 International - Creative Commons"/>
    <hyperlink ref="H385" r:id="rId766" display="https://www.inaturalist.org/observations/381866268"/>
    <hyperlink ref="G386" r:id="rId767" display="Deed - Attribution-NonCommercial 4.0 International - Creative Commons"/>
    <hyperlink ref="H386" r:id="rId768" display="https://www.inaturalist.org/observations/381862539"/>
    <hyperlink ref="G387" r:id="rId769" display="Deed - Attribution-NonCommercial 4.0 International - Creative Commons"/>
    <hyperlink ref="H387" r:id="rId770" display="https://www.inaturalist.org/observations/381847913"/>
    <hyperlink ref="G388" r:id="rId771" display="Deed - Attribution-NonCommercial 4.0 International - Creative Commons"/>
    <hyperlink ref="H388" r:id="rId772" display="https://www.inaturalist.org/observations/381761441"/>
    <hyperlink ref="G389" r:id="rId773" display="Deed - Attribution-NonCommercial 4.0 International - Creative Commons"/>
    <hyperlink ref="H389" r:id="rId774" display="https://www.inaturalist.org/observations/381761024"/>
    <hyperlink ref="G390" r:id="rId775" display="Deed - Attribution-NonCommercial 4.0 International - Creative Commons"/>
    <hyperlink ref="H390" r:id="rId776" display="https://www.inaturalist.org/observations/381729705"/>
    <hyperlink ref="G391" r:id="rId777" display="Deed - Attribution-NonCommercial 4.0 International - Creative Commons"/>
    <hyperlink ref="H391" r:id="rId778" display="https://www.inaturalist.org/observations/381728377"/>
    <hyperlink ref="G392" r:id="rId779" display="Deed - Attribution-NonCommercial 4.0 International - Creative Commons"/>
    <hyperlink ref="H392" r:id="rId780" display="https://www.inaturalist.org/observations/381599326"/>
    <hyperlink ref="G393" r:id="rId781" display="Deed - Attribution-NonCommercial 4.0 International - Creative Commons"/>
    <hyperlink ref="H393" r:id="rId782" display="https://www.inaturalist.org/observations/381584867"/>
    <hyperlink ref="G394" r:id="rId783" display="Deed - Attribution-NonCommercial 4.0 International - Creative Commons"/>
    <hyperlink ref="H394" r:id="rId784" display="https://www.inaturalist.org/observations/381544325"/>
    <hyperlink ref="G395" r:id="rId785" display="Deed - Attribution-NonCommercial 4.0 International - Creative Commons"/>
    <hyperlink ref="H395" r:id="rId786" display="https://www.inaturalist.org/observations/381505269"/>
    <hyperlink ref="G396" r:id="rId787" display="Deed - Attribution-NonCommercial 4.0 International - Creative Commons"/>
    <hyperlink ref="H396" r:id="rId788" display="https://www.inaturalist.org/observations/381484590"/>
    <hyperlink ref="G397" r:id="rId789" display="Deed - Attribution-NonCommercial 4.0 International - Creative Commons"/>
    <hyperlink ref="H397" r:id="rId790" display="https://www.inaturalist.org/observations/381448698"/>
    <hyperlink ref="G398" r:id="rId791" display="Deed - Attribution-NonCommercial 4.0 International - Creative Commons"/>
    <hyperlink ref="H398" r:id="rId792" display="https://www.inaturalist.org/observations/381402405"/>
    <hyperlink ref="G399" r:id="rId793" display="Deed - Attribution-NonCommercial 4.0 International - Creative Commons"/>
    <hyperlink ref="H399" r:id="rId794" display="https://www.inaturalist.org/observations/381401282"/>
    <hyperlink ref="G400" r:id="rId795" display="Deed - Attribution-NonCommercial 4.0 International - Creative Commons"/>
    <hyperlink ref="H400" r:id="rId796" display="https://www.inaturalist.org/observations/381386547"/>
    <hyperlink ref="G401" r:id="rId797" display="Deed - Attribution-NonCommercial 4.0 International - Creative Commons"/>
    <hyperlink ref="H401" r:id="rId798" display="https://www.inaturalist.org/observations/381367874"/>
    <hyperlink ref="G402" r:id="rId799" display="Deed - Attribution-NonCommercial 4.0 International - Creative Commons"/>
    <hyperlink ref="H402" r:id="rId800" display="https://www.inaturalist.org/observations/381274766"/>
    <hyperlink ref="G403" r:id="rId801" display="Deed - Attribution-NonCommercial 4.0 International - Creative Commons"/>
    <hyperlink ref="H403" r:id="rId802" display="https://www.inaturalist.org/observations/381259614"/>
    <hyperlink ref="G404" r:id="rId803" display="Deed - Attribution-NonCommercial 4.0 International - Creative Commons"/>
    <hyperlink ref="H404" r:id="rId804" display="https://www.inaturalist.org/observations/381198268"/>
    <hyperlink ref="G405" r:id="rId805" display="Deed - Attribution-NonCommercial 4.0 International - Creative Commons"/>
    <hyperlink ref="H405" r:id="rId806" display="https://www.inaturalist.org/observations/381174358"/>
    <hyperlink ref="G406" r:id="rId807" display="Deed - Attribution-NonCommercial 4.0 International - Creative Commons"/>
    <hyperlink ref="H406" r:id="rId808" display="https://www.inaturalist.org/observations/381174343"/>
    <hyperlink ref="G407" r:id="rId809" display="Deed - Attribution-NonCommercial 4.0 International - Creative Commons"/>
    <hyperlink ref="H407" r:id="rId810" display="https://www.inaturalist.org/observations/381150496"/>
    <hyperlink ref="G408" r:id="rId811" display="Deed - Attribution-NonCommercial 4.0 International - Creative Commons"/>
    <hyperlink ref="H408" r:id="rId812" display="https://www.inaturalist.org/observations/381132144"/>
    <hyperlink ref="G409" r:id="rId813" display="Deed - Attribution-NonCommercial 4.0 International - Creative Commons"/>
    <hyperlink ref="H409" r:id="rId814" display="https://www.inaturalist.org/observations/381131518"/>
    <hyperlink ref="G410" r:id="rId815" display="Deed - Attribution-NonCommercial 4.0 International - Creative Commons"/>
    <hyperlink ref="H410" r:id="rId816" display="https://www.inaturalist.org/observations/380991692"/>
    <hyperlink ref="G411" r:id="rId817" display="Deed - Attribution-NonCommercial 4.0 International - Creative Commons"/>
    <hyperlink ref="H411" r:id="rId818" display="https://www.inaturalist.org/observations/380932042"/>
    <hyperlink ref="G412" r:id="rId819" display="Deed - Attribution-NonCommercial 4.0 International - Creative Commons"/>
    <hyperlink ref="H412" r:id="rId820" display="https://www.inaturalist.org/observations/380890423"/>
    <hyperlink ref="G413" r:id="rId821" display="Deed - Attribution-NonCommercial 4.0 International - Creative Commons"/>
    <hyperlink ref="H413" r:id="rId822" display="https://www.inaturalist.org/observations/380872790"/>
    <hyperlink ref="G414" r:id="rId823" display="Deed - Attribution-NonCommercial 4.0 International - Creative Commons"/>
    <hyperlink ref="H414" r:id="rId824" display="https://www.inaturalist.org/observations/380836792"/>
    <hyperlink ref="G415" r:id="rId825" display="Deed - Attribution-NonCommercial 4.0 International - Creative Commons"/>
    <hyperlink ref="H415" r:id="rId826" display="https://www.inaturalist.org/observations/380827103"/>
    <hyperlink ref="G416" r:id="rId827" display="Deed - Attribution-NonCommercial 4.0 International - Creative Commons"/>
    <hyperlink ref="H416" r:id="rId828" display="https://www.inaturalist.org/observations/380714320"/>
    <hyperlink ref="G417" r:id="rId829" display="Deed - Attribution-NonCommercial 4.0 International - Creative Commons"/>
    <hyperlink ref="H417" r:id="rId830" display="https://www.inaturalist.org/observations/380698740"/>
    <hyperlink ref="G418" r:id="rId831" display="Deed - Attribution-NonCommercial 4.0 International - Creative Commons"/>
    <hyperlink ref="H418" r:id="rId832" display="https://www.inaturalist.org/observations/380648472"/>
    <hyperlink ref="G419" r:id="rId833" display="Deed - Attribution-NonCommercial 4.0 International - Creative Commons"/>
    <hyperlink ref="H419" r:id="rId834" display="https://www.inaturalist.org/observations/380334971"/>
    <hyperlink ref="G420" r:id="rId835" display="Deed - Attribution-NonCommercial 4.0 International - Creative Commons"/>
    <hyperlink ref="H420" r:id="rId836" display="https://www.inaturalist.org/observations/380192476"/>
    <hyperlink ref="G421" r:id="rId837" display="Deed - Attribution-NonCommercial 4.0 International - Creative Commons"/>
    <hyperlink ref="H421" r:id="rId838" display="https://www.inaturalist.org/observations/380180365"/>
    <hyperlink ref="G422" r:id="rId839" display="Deed - Attribution-NonCommercial 4.0 International - Creative Commons"/>
    <hyperlink ref="H422" r:id="rId840" display="https://www.inaturalist.org/observations/380146698"/>
    <hyperlink ref="G423" r:id="rId841" display="Deed - Attribution-NonCommercial 4.0 International - Creative Commons"/>
    <hyperlink ref="H423" r:id="rId842" display="https://www.inaturalist.org/observations/380140954"/>
    <hyperlink ref="G424" r:id="rId843" display="Deed - Attribution-NonCommercial 4.0 International - Creative Commons"/>
    <hyperlink ref="H424" r:id="rId844" display="https://www.inaturalist.org/observations/380058881"/>
    <hyperlink ref="G425" r:id="rId845" display="Deed - Attribution-NonCommercial 4.0 International - Creative Commons"/>
    <hyperlink ref="H425" r:id="rId846" display="https://www.inaturalist.org/observations/380004221"/>
    <hyperlink ref="G426" r:id="rId847" display="Deed - Attribution-NonCommercial 4.0 International - Creative Commons"/>
    <hyperlink ref="H426" r:id="rId848" display="https://www.inaturalist.org/observations/379926667"/>
    <hyperlink ref="G427" r:id="rId849" display="Deed - Attribution-NonCommercial 4.0 International - Creative Commons"/>
    <hyperlink ref="H427" r:id="rId850" display="https://www.inaturalist.org/observations/379883123"/>
    <hyperlink ref="G428" r:id="rId851" display="Deed - Attribution-NonCommercial 4.0 International - Creative Commons"/>
    <hyperlink ref="H428" r:id="rId852" display="https://www.inaturalist.org/observations/379879727"/>
    <hyperlink ref="G429" r:id="rId853" display="Deed - Attribution-NonCommercial 4.0 International - Creative Commons"/>
    <hyperlink ref="H429" r:id="rId854" display="https://www.inaturalist.org/observations/379875919"/>
    <hyperlink ref="G430" r:id="rId855" display="Deed - Attribution-NonCommercial 4.0 International - Creative Commons"/>
    <hyperlink ref="H430" r:id="rId856" display="https://www.inaturalist.org/observations/379864947"/>
    <hyperlink ref="G431" r:id="rId857" display="Deed - Attribution-NonCommercial 4.0 International - Creative Commons"/>
    <hyperlink ref="H431" r:id="rId858" display="https://www.inaturalist.org/observations/379823091"/>
    <hyperlink ref="G432" r:id="rId859" display="Deed - Attribution-NonCommercial 4.0 International - Creative Commons"/>
    <hyperlink ref="H432" r:id="rId860" display="https://www.inaturalist.org/observations/379753423"/>
    <hyperlink ref="G433" r:id="rId861" display="Deed - Attribution-NonCommercial 4.0 International - Creative Commons"/>
    <hyperlink ref="H433" r:id="rId862" display="https://www.inaturalist.org/observations/379714279"/>
    <hyperlink ref="G434" r:id="rId863" display="Deed - Attribution-NonCommercial 4.0 International - Creative Commons"/>
    <hyperlink ref="H434" r:id="rId864" display="https://www.inaturalist.org/observations/379635276"/>
    <hyperlink ref="G435" r:id="rId865" display="Deed - Attribution-NonCommercial 4.0 International - Creative Commons"/>
    <hyperlink ref="H435" r:id="rId866" display="https://www.inaturalist.org/observations/379614338"/>
    <hyperlink ref="G436" r:id="rId867" display="Deed - Attribution-NonCommercial 4.0 International - Creative Commons"/>
    <hyperlink ref="H436" r:id="rId868" display="https://www.inaturalist.org/observations/379551315"/>
    <hyperlink ref="G437" r:id="rId869" display="Deed - Attribution-NonCommercial 4.0 International - Creative Commons"/>
    <hyperlink ref="H437" r:id="rId870" display="https://www.inaturalist.org/observations/379537006"/>
    <hyperlink ref="G438" r:id="rId871" display="Deed - Attribution-NonCommercial 4.0 International - Creative Commons"/>
    <hyperlink ref="H438" r:id="rId872" display="https://www.inaturalist.org/observations/379446118"/>
    <hyperlink ref="G439" r:id="rId873" display="Deed - Attribution-NonCommercial 4.0 International - Creative Commons"/>
    <hyperlink ref="H439" r:id="rId874" display="https://www.inaturalist.org/observations/379291863"/>
    <hyperlink ref="G440" r:id="rId875" display="Deed - Attribution-NonCommercial 4.0 International - Creative Commons"/>
    <hyperlink ref="H440" r:id="rId876" display="https://www.inaturalist.org/observations/379282407"/>
    <hyperlink ref="G441" r:id="rId877" display="Deed - Attribution-NonCommercial 4.0 International - Creative Commons"/>
    <hyperlink ref="H441" r:id="rId878" display="https://www.inaturalist.org/observations/379184425"/>
    <hyperlink ref="G442" r:id="rId879" display="Deed - Attribution-NonCommercial 4.0 International - Creative Commons"/>
    <hyperlink ref="H442" r:id="rId880" display="https://www.inaturalist.org/observations/379170262"/>
    <hyperlink ref="G443" r:id="rId881" display="Deed - Attribution-NonCommercial 4.0 International - Creative Commons"/>
    <hyperlink ref="H443" r:id="rId882" display="https://www.inaturalist.org/observations/379088517"/>
    <hyperlink ref="G444" r:id="rId883" display="Deed - Attribution-NonCommercial 4.0 International - Creative Commons"/>
    <hyperlink ref="H444" r:id="rId884" display="https://www.inaturalist.org/observations/378943885"/>
    <hyperlink ref="G445" r:id="rId885" display="Deed - Attribution-NonCommercial 4.0 International - Creative Commons"/>
    <hyperlink ref="H445" r:id="rId886" display="https://www.inaturalist.org/observations/378874612"/>
    <hyperlink ref="G446" r:id="rId887" display="Deed - Attribution-NonCommercial 4.0 International - Creative Commons"/>
    <hyperlink ref="H446" r:id="rId888" display="https://www.inaturalist.org/observations/378813046"/>
    <hyperlink ref="G447" r:id="rId889" display="Deed - Attribution-NonCommercial 4.0 International - Creative Commons"/>
    <hyperlink ref="H447" r:id="rId890" display="https://www.inaturalist.org/observations/378654702"/>
    <hyperlink ref="G448" r:id="rId891" display="Deed - Attribution-NonCommercial 4.0 International - Creative Commons"/>
    <hyperlink ref="H448" r:id="rId892" display="https://www.inaturalist.org/observations/378633468"/>
    <hyperlink ref="G449" r:id="rId893" display="Deed - Attribution-NonCommercial 4.0 International - Creative Commons"/>
    <hyperlink ref="H449" r:id="rId894" display="https://www.inaturalist.org/observations/378287593"/>
    <hyperlink ref="G450" r:id="rId895" display="Deed - Attribution-NonCommercial 4.0 International - Creative Commons"/>
    <hyperlink ref="H450" r:id="rId896" display="https://www.inaturalist.org/observations/378250021"/>
    <hyperlink ref="G451" r:id="rId897" display="Deed - Attribution-NonCommercial 4.0 International - Creative Commons"/>
    <hyperlink ref="H451" r:id="rId898" display="https://www.inaturalist.org/observations/378226091"/>
    <hyperlink ref="G452" r:id="rId899" display="Deed - Attribution-NonCommercial 4.0 International - Creative Commons"/>
    <hyperlink ref="H452" r:id="rId900" display="https://www.inaturalist.org/observations/378122276"/>
    <hyperlink ref="G453" r:id="rId901" display="Deed - Attribution-NonCommercial 4.0 International - Creative Commons"/>
    <hyperlink ref="H453" r:id="rId902" display="https://www.inaturalist.org/observations/378034494"/>
    <hyperlink ref="G454" r:id="rId903" display="Deed - Attribution-NonCommercial 4.0 International - Creative Commons"/>
    <hyperlink ref="H454" r:id="rId904" display="https://www.inaturalist.org/observations/378031693"/>
    <hyperlink ref="G455" r:id="rId905" display="Deed - Attribution-NonCommercial 4.0 International - Creative Commons"/>
    <hyperlink ref="H455" r:id="rId906" display="https://www.inaturalist.org/observations/377896779"/>
    <hyperlink ref="G456" r:id="rId907" display="Deed - Attribution-NonCommercial 4.0 International - Creative Commons"/>
    <hyperlink ref="H456" r:id="rId908" display="https://www.inaturalist.org/observations/377847425"/>
    <hyperlink ref="G457" r:id="rId909" display="Deed - Attribution-NonCommercial 4.0 International - Creative Commons"/>
    <hyperlink ref="H457" r:id="rId910" display="https://www.inaturalist.org/observations/377839874"/>
    <hyperlink ref="G458" r:id="rId911" display="Deed - Attribution-NonCommercial 4.0 International - Creative Commons"/>
    <hyperlink ref="H458" r:id="rId912" display="https://www.inaturalist.org/observations/377707389"/>
    <hyperlink ref="G459" r:id="rId913" display="Deed - Attribution-NonCommercial 4.0 International - Creative Commons"/>
    <hyperlink ref="H459" r:id="rId914" display="https://www.inaturalist.org/observations/377692150"/>
    <hyperlink ref="G460" r:id="rId915" display="Deed - Attribution-NonCommercial 4.0 International - Creative Commons"/>
    <hyperlink ref="H460" r:id="rId916" display="https://www.inaturalist.org/observations/377625021"/>
    <hyperlink ref="G461" r:id="rId917" display="Deed - Attribution-NonCommercial 4.0 International - Creative Commons"/>
    <hyperlink ref="H461" r:id="rId918" display="https://www.inaturalist.org/observations/377473346"/>
    <hyperlink ref="G462" r:id="rId919" display="Deed - Attribution-NonCommercial 4.0 International - Creative Commons"/>
    <hyperlink ref="H462" r:id="rId920" display="https://www.inaturalist.org/observations/377422303"/>
    <hyperlink ref="G463" r:id="rId921" display="Deed - Attribution-NonCommercial 4.0 International - Creative Commons"/>
    <hyperlink ref="H463" r:id="rId922" display="https://www.inaturalist.org/observations/377346009"/>
    <hyperlink ref="G464" r:id="rId923" display="Deed - Attribution-NonCommercial 4.0 International - Creative Commons"/>
    <hyperlink ref="H464" r:id="rId924" display="https://www.inaturalist.org/observations/377248093"/>
    <hyperlink ref="G465" r:id="rId925" display="Deed - Attribution-NonCommercial 4.0 International - Creative Commons"/>
    <hyperlink ref="H465" r:id="rId926" display="https://www.inaturalist.org/observations/377228347"/>
    <hyperlink ref="G466" r:id="rId927" display="Deed - Attribution-NonCommercial 4.0 International - Creative Commons"/>
    <hyperlink ref="H466" r:id="rId928" display="https://www.inaturalist.org/observations/377128442"/>
    <hyperlink ref="G467" r:id="rId929" display="Deed - Attribution-NonCommercial 4.0 International - Creative Commons"/>
    <hyperlink ref="H467" r:id="rId930" display="https://www.inaturalist.org/observations/376964483"/>
    <hyperlink ref="G468" r:id="rId931" display="Deed - Attribution-NonCommercial 4.0 International - Creative Commons"/>
    <hyperlink ref="H468" r:id="rId932" display="https://www.inaturalist.org/observations/376964461"/>
    <hyperlink ref="G469" r:id="rId933" display="Deed - Attribution-NonCommercial 4.0 International - Creative Commons"/>
    <hyperlink ref="H469" r:id="rId934" display="https://www.inaturalist.org/observations/376960367"/>
    <hyperlink ref="G470" r:id="rId935" display="Deed - Attribution-NonCommercial 4.0 International - Creative Commons"/>
    <hyperlink ref="H470" r:id="rId936" display="https://www.inaturalist.org/observations/376960349"/>
    <hyperlink ref="G471" r:id="rId937" display="Deed - Attribution-NonCommercial 4.0 International - Creative Commons"/>
    <hyperlink ref="H471" r:id="rId938" display="https://www.inaturalist.org/observations/376935063"/>
    <hyperlink ref="G472" r:id="rId939" display="Deed - Attribution-NonCommercial 4.0 International - Creative Commons"/>
    <hyperlink ref="H472" r:id="rId940" display="https://www.inaturalist.org/observations/376882568"/>
    <hyperlink ref="G473" r:id="rId941" display="Deed - Attribution-NonCommercial 4.0 International - Creative Commons"/>
    <hyperlink ref="H473" r:id="rId942" display="https://www.inaturalist.org/observations/376815678"/>
    <hyperlink ref="G474" r:id="rId943" display="Deed - Attribution-NonCommercial 4.0 International - Creative Commons"/>
    <hyperlink ref="H474" r:id="rId944" display="https://www.inaturalist.org/observations/376800048"/>
    <hyperlink ref="G475" r:id="rId945" display="Deed - Attribution-NonCommercial 4.0 International - Creative Commons"/>
    <hyperlink ref="H475" r:id="rId946" display="https://www.inaturalist.org/observations/376708750"/>
    <hyperlink ref="G476" r:id="rId947" display="Deed - Attribution-NonCommercial 4.0 International - Creative Commons"/>
    <hyperlink ref="H476" r:id="rId948" display="https://www.inaturalist.org/observations/376582621"/>
    <hyperlink ref="G477" r:id="rId949" display="Deed - Attribution-NonCommercial 4.0 International - Creative Commons"/>
    <hyperlink ref="H477" r:id="rId950" display="https://www.inaturalist.org/observations/376428291"/>
    <hyperlink ref="G478" r:id="rId951" display="Deed - Attribution-NonCommercial 4.0 International - Creative Commons"/>
    <hyperlink ref="H478" r:id="rId952" display="https://www.inaturalist.org/observations/376356772"/>
    <hyperlink ref="G479" r:id="rId953" display="Deed - Attribution-NonCommercial 4.0 International - Creative Commons"/>
    <hyperlink ref="H479" r:id="rId954" display="https://www.inaturalist.org/observations/376326424"/>
    <hyperlink ref="G480" r:id="rId955" display="Deed - Attribution-NonCommercial 4.0 International - Creative Commons"/>
    <hyperlink ref="H480" r:id="rId956" display="https://www.inaturalist.org/observations/376319614"/>
    <hyperlink ref="G481" r:id="rId957" display="Deed - Attribution-NonCommercial 4.0 International - Creative Commons"/>
    <hyperlink ref="H481" r:id="rId958" display="https://www.inaturalist.org/observations/376184303"/>
    <hyperlink ref="G482" r:id="rId959" display="Deed - Attribution-NonCommercial 4.0 International - Creative Commons"/>
    <hyperlink ref="H482" r:id="rId960" display="https://www.inaturalist.org/observations/376167666"/>
    <hyperlink ref="G483" r:id="rId961" display="Deed - Attribution-NonCommercial 4.0 International - Creative Commons"/>
    <hyperlink ref="H483" r:id="rId962" display="https://www.inaturalist.org/observations/376095307"/>
    <hyperlink ref="G484" r:id="rId963" display="Deed - Attribution-NonCommercial 4.0 International - Creative Commons"/>
    <hyperlink ref="H484" r:id="rId964" display="https://www.inaturalist.org/observations/376085430"/>
    <hyperlink ref="G485" r:id="rId965" display="Deed - Attribution-NonCommercial 4.0 International - Creative Commons"/>
    <hyperlink ref="H485" r:id="rId966" display="https://www.inaturalist.org/observations/375968953"/>
    <hyperlink ref="G486" r:id="rId967" display="Deed - Attribution-NonCommercial 4.0 International - Creative Commons"/>
    <hyperlink ref="H486" r:id="rId968" display="https://www.inaturalist.org/observations/375726088"/>
    <hyperlink ref="G487" r:id="rId969" display="Deed - Attribution-NonCommercial 4.0 International - Creative Commons"/>
    <hyperlink ref="H487" r:id="rId970" display="https://www.inaturalist.org/observations/375707472"/>
    <hyperlink ref="G488" r:id="rId971" display="Deed - Attribution-NonCommercial 4.0 International - Creative Commons"/>
    <hyperlink ref="H488" r:id="rId972" display="https://www.inaturalist.org/observations/375695241"/>
    <hyperlink ref="G489" r:id="rId973" display="Deed - Attribution-NonCommercial 4.0 International - Creative Commons"/>
    <hyperlink ref="H489" r:id="rId974" display="https://www.inaturalist.org/observations/375615248"/>
    <hyperlink ref="G490" r:id="rId975" display="Deed - Attribution-NonCommercial 4.0 International - Creative Commons"/>
    <hyperlink ref="H490" r:id="rId976" display="https://www.inaturalist.org/observations/375458420"/>
    <hyperlink ref="G491" r:id="rId977" display="Deed - Attribution-NonCommercial 4.0 International - Creative Commons"/>
    <hyperlink ref="H491" r:id="rId978" display="https://www.inaturalist.org/observations/375438068"/>
    <hyperlink ref="G492" r:id="rId979" display="Deed - Attribution-NonCommercial 4.0 International - Creative Commons"/>
    <hyperlink ref="H492" r:id="rId980" display="https://www.inaturalist.org/observations/375278268"/>
    <hyperlink ref="G493" r:id="rId981" display="Deed - Attribution-NonCommercial 4.0 International - Creative Commons"/>
    <hyperlink ref="H493" r:id="rId982" display="https://www.inaturalist.org/observations/375037018"/>
    <hyperlink ref="G494" r:id="rId983" display="Deed - Attribution-NonCommercial 4.0 International - Creative Commons"/>
    <hyperlink ref="H494" r:id="rId984" display="https://www.inaturalist.org/observations/375037007"/>
    <hyperlink ref="G495" r:id="rId985" display="Deed - Attribution-NonCommercial 4.0 International - Creative Commons"/>
    <hyperlink ref="H495" r:id="rId986" display="https://www.inaturalist.org/observations/375036992"/>
    <hyperlink ref="G496" r:id="rId987" display="Deed - Attribution-NonCommercial 4.0 International - Creative Commons"/>
    <hyperlink ref="H496" r:id="rId988" display="https://www.inaturalist.org/observations/374885621"/>
    <hyperlink ref="G497" r:id="rId989" display="Deed - Attribution-NonCommercial 4.0 International - Creative Commons"/>
    <hyperlink ref="H497" r:id="rId990" display="https://www.inaturalist.org/observations/374877491"/>
    <hyperlink ref="G498" r:id="rId991" display="Deed - Attribution-NonCommercial 4.0 International - Creative Commons"/>
    <hyperlink ref="H498" r:id="rId992" display="https://www.inaturalist.org/observations/374823310"/>
    <hyperlink ref="G499" r:id="rId993" display="Deed - Attribution-NonCommercial 4.0 International - Creative Commons"/>
    <hyperlink ref="H499" r:id="rId994" display="https://www.inaturalist.org/observations/374276129"/>
    <hyperlink ref="G500" r:id="rId995" display="Deed - Attribution-NonCommercial 4.0 International - Creative Commons"/>
    <hyperlink ref="H500" r:id="rId996" display="https://www.inaturalist.org/observations/374256378"/>
    <hyperlink ref="G501" r:id="rId997" display="Deed - Attribution-NonCommercial 4.0 International - Creative Commons"/>
    <hyperlink ref="H501" r:id="rId998" display="https://www.inaturalist.org/observations/374144649"/>
    <hyperlink ref="G502" r:id="rId999" display="Deed - Attribution-NonCommercial 4.0 International - Creative Commons"/>
    <hyperlink ref="H502" r:id="rId1000" display="https://www.inaturalist.org/observations/374113307"/>
    <hyperlink ref="G503" r:id="rId1001" display="Deed - Attribution-NonCommercial 4.0 International - Creative Commons"/>
    <hyperlink ref="H503" r:id="rId1002" display="https://www.inaturalist.org/observations/383159896"/>
    <hyperlink ref="G504" r:id="rId1003" display="Deed - Attribution-NonCommercial 4.0 International - Creative Commons"/>
    <hyperlink ref="H504" r:id="rId1004" display="https://www.inaturalist.org/observations/383157727"/>
    <hyperlink ref="G505" r:id="rId1005" display="Deed - Attribution-NonCommercial 4.0 International - Creative Commons"/>
    <hyperlink ref="H505" r:id="rId1006" display="https://www.inaturalist.org/observations/383154892"/>
    <hyperlink ref="G506" r:id="rId1007" display="Deed - Attribution-NonCommercial 4.0 International - Creative Commons"/>
    <hyperlink ref="H506" r:id="rId1008" display="https://www.inaturalist.org/observations/383154633"/>
    <hyperlink ref="G507" r:id="rId1009" display="Deed - Attribution-NonCommercial 4.0 International - Creative Commons"/>
    <hyperlink ref="H507" r:id="rId1010" display="https://www.inaturalist.org/observations/383153859"/>
    <hyperlink ref="G508" r:id="rId1011" display="Deed - Attribution-NonCommercial 4.0 International - Creative Commons"/>
    <hyperlink ref="H508" r:id="rId1012" display="https://www.inaturalist.org/observations/383153648"/>
    <hyperlink ref="G509" r:id="rId1013" display="Deed - Attribution-NonCommercial 4.0 International - Creative Commons"/>
    <hyperlink ref="H509" r:id="rId1014" display="https://www.inaturalist.org/observations/383151791"/>
    <hyperlink ref="G510" r:id="rId1015" display="Deed - Attribution-NonCommercial 4.0 International - Creative Commons"/>
    <hyperlink ref="H510" r:id="rId1016" display="https://www.inaturalist.org/observations/383148443"/>
    <hyperlink ref="G511" r:id="rId1017" display="Deed - Attribution-NonCommercial 4.0 International - Creative Commons"/>
    <hyperlink ref="H511" r:id="rId1018" display="https://www.inaturalist.org/observations/383139682"/>
    <hyperlink ref="G512" r:id="rId1019" display="Deed - Attribution-NonCommercial 4.0 International - Creative Commons"/>
    <hyperlink ref="H512" r:id="rId1020" display="https://www.inaturalist.org/observations/383139027"/>
    <hyperlink ref="G513" r:id="rId1021" display="Deed - Attribution-NonCommercial 4.0 International - Creative Commons"/>
    <hyperlink ref="H513" r:id="rId1022" display="https://www.inaturalist.org/observations/383137815"/>
    <hyperlink ref="G514" r:id="rId1023" display="Deed - Attribution-NonCommercial 4.0 International - Creative Commons"/>
    <hyperlink ref="H514" r:id="rId1024" display="https://www.inaturalist.org/observations/383135493"/>
    <hyperlink ref="G515" r:id="rId1025" display="Deed - Attribution-NonCommercial 4.0 International - Creative Commons"/>
    <hyperlink ref="H515" r:id="rId1026" display="https://www.inaturalist.org/observations/383133279"/>
    <hyperlink ref="G516" r:id="rId1027" display="Deed - Attribution-NonCommercial 4.0 International - Creative Commons"/>
    <hyperlink ref="H516" r:id="rId1028" display="https://www.inaturalist.org/observations/383133238"/>
    <hyperlink ref="G517" r:id="rId1029" display="Deed - Attribution-NonCommercial 4.0 International - Creative Commons"/>
    <hyperlink ref="H517" r:id="rId1030" display="https://www.inaturalist.org/observations/383122190"/>
    <hyperlink ref="G518" r:id="rId1031" display="Deed - Attribution-NonCommercial 4.0 International - Creative Commons"/>
    <hyperlink ref="H518" r:id="rId1032" display="https://www.inaturalist.org/observations/383120447"/>
    <hyperlink ref="G519" r:id="rId1033" display="Deed - Attribution-NonCommercial 4.0 International - Creative Commons"/>
    <hyperlink ref="H519" r:id="rId1034" display="https://www.inaturalist.org/observations/383119274"/>
    <hyperlink ref="G520" r:id="rId1035" display="Deed - Attribution-NonCommercial 4.0 International - Creative Commons"/>
    <hyperlink ref="H520" r:id="rId1036" display="https://www.inaturalist.org/observations/383116836"/>
    <hyperlink ref="G521" r:id="rId1037" display="Deed - Attribution-NonCommercial 4.0 International - Creative Commons"/>
    <hyperlink ref="H521" r:id="rId1038" display="https://www.inaturalist.org/observations/383116319"/>
    <hyperlink ref="G522" r:id="rId1039" display="Deed - Attribution-NonCommercial 4.0 International - Creative Commons"/>
    <hyperlink ref="H522" r:id="rId1040" display="https://www.inaturalist.org/observations/383112716"/>
    <hyperlink ref="G523" r:id="rId1041" display="Deed - Attribution-NonCommercial 4.0 International - Creative Commons"/>
    <hyperlink ref="H523" r:id="rId1042" display="https://www.inaturalist.org/observations/383110083"/>
    <hyperlink ref="G524" r:id="rId1043" display="Deed - Attribution-NonCommercial 4.0 International - Creative Commons"/>
    <hyperlink ref="H524" r:id="rId1044" display="https://www.inaturalist.org/observations/383109604"/>
    <hyperlink ref="G525" r:id="rId1045" display="Deed - Attribution-NonCommercial 4.0 International - Creative Commons"/>
    <hyperlink ref="H525" r:id="rId1046" display="https://www.inaturalist.org/observations/383108872"/>
    <hyperlink ref="G526" r:id="rId1047" display="Deed - Attribution-NonCommercial 4.0 International - Creative Commons"/>
    <hyperlink ref="H526" r:id="rId1048" display="https://www.inaturalist.org/observations/383091607"/>
    <hyperlink ref="G527" r:id="rId1049" display="Deed - Attribution-NonCommercial 4.0 International - Creative Commons"/>
    <hyperlink ref="H527" r:id="rId1050" display="https://www.inaturalist.org/observations/383080375"/>
    <hyperlink ref="G528" r:id="rId1051" display="Deed - Attribution-NonCommercial 4.0 International - Creative Commons"/>
    <hyperlink ref="H528" r:id="rId1052" display="https://www.inaturalist.org/observations/383078071"/>
    <hyperlink ref="G529" r:id="rId1053" display="Deed - Attribution-NonCommercial 4.0 International - Creative Commons"/>
    <hyperlink ref="H529" r:id="rId1054" display="https://www.inaturalist.org/observations/383077730"/>
    <hyperlink ref="G530" r:id="rId1055" display="Deed - Attribution-NonCommercial 4.0 International - Creative Commons"/>
    <hyperlink ref="H530" r:id="rId1056" display="https://www.inaturalist.org/observations/383076800"/>
    <hyperlink ref="G531" r:id="rId1057" display="Deed - Attribution-NonCommercial 4.0 International - Creative Commons"/>
    <hyperlink ref="H531" r:id="rId1058" display="https://www.inaturalist.org/observations/383076130"/>
    <hyperlink ref="G532" r:id="rId1059" display="Deed - Attribution-NonCommercial 4.0 International - Creative Commons"/>
    <hyperlink ref="H532" r:id="rId1060" display="https://www.inaturalist.org/observations/383073281"/>
    <hyperlink ref="G533" r:id="rId1061" display="Deed - Attribution-NonCommercial 4.0 International - Creative Commons"/>
    <hyperlink ref="H533" r:id="rId1062" display="https://www.inaturalist.org/observations/383072028"/>
    <hyperlink ref="G534" r:id="rId1063" display="Deed - Attribution-NonCommercial 4.0 International - Creative Commons"/>
    <hyperlink ref="H534" r:id="rId1064" display="https://www.inaturalist.org/observations/383071893"/>
    <hyperlink ref="G535" r:id="rId1065" display="Deed - Attribution-NonCommercial 4.0 International - Creative Commons"/>
    <hyperlink ref="H535" r:id="rId1066" display="https://www.inaturalist.org/observations/383070234"/>
    <hyperlink ref="G536" r:id="rId1067" display="Deed - Attribution-NonCommercial 4.0 International - Creative Commons"/>
    <hyperlink ref="H536" r:id="rId1068" display="https://www.inaturalist.org/observations/383058672"/>
    <hyperlink ref="G537" r:id="rId1069" display="Deed - Attribution-NonCommercial 4.0 International - Creative Commons"/>
    <hyperlink ref="H537" r:id="rId1070" display="https://www.inaturalist.org/observations/383055567"/>
    <hyperlink ref="G538" r:id="rId1071" display="Deed - Attribution-NonCommercial 4.0 International - Creative Commons"/>
    <hyperlink ref="H538" r:id="rId1072" display="https://www.inaturalist.org/observations/383053021"/>
    <hyperlink ref="G539" r:id="rId1073" display="Deed - Attribution-NonCommercial 4.0 International - Creative Commons"/>
    <hyperlink ref="H539" r:id="rId1074" display="https://www.inaturalist.org/observations/383053012"/>
    <hyperlink ref="G540" r:id="rId1075" display="Deed - Attribution-NonCommercial 4.0 International - Creative Commons"/>
    <hyperlink ref="H540" r:id="rId1076" display="https://www.inaturalist.org/observations/383035453"/>
    <hyperlink ref="G541" r:id="rId1077" display="Deed - Attribution-NonCommercial 4.0 International - Creative Commons"/>
    <hyperlink ref="H541" r:id="rId1078" display="https://www.inaturalist.org/observations/383035160"/>
    <hyperlink ref="G542" r:id="rId1079" display="Deed - Attribution-NonCommercial 4.0 International - Creative Commons"/>
    <hyperlink ref="H542" r:id="rId1080" display="https://www.inaturalist.org/observations/383035043"/>
    <hyperlink ref="G543" r:id="rId1081" display="Deed - Attribution-NonCommercial 4.0 International - Creative Commons"/>
    <hyperlink ref="H543" r:id="rId1082" display="https://www.inaturalist.org/observations/383034733"/>
    <hyperlink ref="G544" r:id="rId1083" display="Deed - Attribution-NonCommercial 4.0 International - Creative Commons"/>
    <hyperlink ref="H544" r:id="rId1084" display="https://www.inaturalist.org/observations/383030712"/>
    <hyperlink ref="G545" r:id="rId1085" display="Deed - Attribution-NonCommercial 4.0 International - Creative Commons"/>
    <hyperlink ref="H545" r:id="rId1086" display="https://www.inaturalist.org/observations/383028528"/>
    <hyperlink ref="G546" r:id="rId1087" display="Deed - Attribution-NonCommercial 4.0 International - Creative Commons"/>
    <hyperlink ref="H546" r:id="rId1088" display="https://www.inaturalist.org/observations/383026176"/>
    <hyperlink ref="G547" r:id="rId1089" display="Deed - Attribution-NonCommercial 4.0 International - Creative Commons"/>
    <hyperlink ref="H547" r:id="rId1090" display="https://www.inaturalist.org/observations/383013985"/>
    <hyperlink ref="G548" r:id="rId1091" display="Deed - Attribution-NonCommercial 4.0 International - Creative Commons"/>
    <hyperlink ref="H548" r:id="rId1092" display="https://www.inaturalist.org/observations/383013879"/>
    <hyperlink ref="G549" r:id="rId1093" display="Deed - Attribution-NonCommercial 4.0 International - Creative Commons"/>
    <hyperlink ref="H549" r:id="rId1094" display="https://www.inaturalist.org/observations/383013106"/>
    <hyperlink ref="G550" r:id="rId1095" display="Deed - Attribution-NonCommercial 4.0 International - Creative Commons"/>
    <hyperlink ref="H550" r:id="rId1096" display="https://www.inaturalist.org/observations/383011744"/>
    <hyperlink ref="G551" r:id="rId1097" display="Deed - Attribution-NonCommercial 4.0 International - Creative Commons"/>
    <hyperlink ref="H551" r:id="rId1098" display="https://www.inaturalist.org/observations/383010605"/>
    <hyperlink ref="G552" r:id="rId1099" display="Deed - Attribution-NonCommercial 4.0 International - Creative Commons"/>
    <hyperlink ref="H552" r:id="rId1100" display="https://www.inaturalist.org/observations/383010353"/>
    <hyperlink ref="G553" r:id="rId1101" display="Deed - Attribution-NonCommercial 4.0 International - Creative Commons"/>
    <hyperlink ref="H553" r:id="rId1102" display="https://www.inaturalist.org/observations/383006378"/>
    <hyperlink ref="G554" r:id="rId1103" display="Deed - Attribution-NonCommercial 4.0 International - Creative Commons"/>
    <hyperlink ref="H554" r:id="rId1104" display="https://www.inaturalist.org/observations/383000092"/>
    <hyperlink ref="G555" r:id="rId1105" display="Deed - Attribution-NonCommercial 4.0 International - Creative Commons"/>
    <hyperlink ref="H555" r:id="rId1106" display="https://www.inaturalist.org/observations/382997598"/>
    <hyperlink ref="G556" r:id="rId1107" display="Deed - Attribution-NonCommercial 4.0 International - Creative Commons"/>
    <hyperlink ref="H556" r:id="rId1108" display="https://www.inaturalist.org/observations/382997420"/>
    <hyperlink ref="G557" r:id="rId1109" display="Deed - Attribution-NonCommercial 4.0 International - Creative Commons"/>
    <hyperlink ref="H557" r:id="rId1110" display="https://www.inaturalist.org/observations/382996737"/>
    <hyperlink ref="G558" r:id="rId1111" display="Deed - Attribution-NonCommercial 4.0 International - Creative Commons"/>
    <hyperlink ref="H558" r:id="rId1112" display="https://www.inaturalist.org/observations/382988562"/>
    <hyperlink ref="G559" r:id="rId1113" display="Deed - Attribution-NonCommercial 4.0 International - Creative Commons"/>
    <hyperlink ref="H559" r:id="rId1114" display="https://www.inaturalist.org/observations/382985912"/>
    <hyperlink ref="G560" r:id="rId1115" display="Deed - Attribution-NonCommercial 4.0 International - Creative Commons"/>
    <hyperlink ref="H560" r:id="rId1116" display="https://www.inaturalist.org/observations/382984822"/>
    <hyperlink ref="G561" r:id="rId1117" display="Deed - Attribution-NonCommercial 4.0 International - Creative Commons"/>
    <hyperlink ref="H561" r:id="rId1118" display="https://www.inaturalist.org/observations/382978019"/>
    <hyperlink ref="G562" r:id="rId1119" display="Deed - Attribution-NonCommercial 4.0 International - Creative Commons"/>
    <hyperlink ref="H562" r:id="rId1120" display="https://www.inaturalist.org/observations/382966694"/>
    <hyperlink ref="G563" r:id="rId1121" display="Deed - Attribution-NonCommercial 4.0 International - Creative Commons"/>
    <hyperlink ref="H563" r:id="rId1122" display="https://www.inaturalist.org/observations/382966617"/>
    <hyperlink ref="G564" r:id="rId1123" display="Deed - Attribution-NonCommercial 4.0 International - Creative Commons"/>
    <hyperlink ref="H564" r:id="rId1124" display="https://www.inaturalist.org/observations/382966510"/>
    <hyperlink ref="G565" r:id="rId1125" display="Deed - Attribution-NonCommercial 4.0 International - Creative Commons"/>
    <hyperlink ref="H565" r:id="rId1126" display="https://www.inaturalist.org/observations/382965230"/>
    <hyperlink ref="G566" r:id="rId1127" display="Deed - Attribution-NonCommercial 4.0 International - Creative Commons"/>
    <hyperlink ref="H566" r:id="rId1128" display="https://www.inaturalist.org/observations/382961909"/>
    <hyperlink ref="G567" r:id="rId1129" display="Deed - Attribution-NonCommercial 4.0 International - Creative Commons"/>
    <hyperlink ref="H567" r:id="rId1130" display="https://www.inaturalist.org/observations/382961138"/>
    <hyperlink ref="G568" r:id="rId1131" display="Deed - Attribution-NonCommercial 4.0 International - Creative Commons"/>
    <hyperlink ref="H568" r:id="rId1132" display="https://www.inaturalist.org/observations/382960601"/>
    <hyperlink ref="G569" r:id="rId1133" display="Deed - Attribution-NonCommercial 4.0 International - Creative Commons"/>
    <hyperlink ref="H569" r:id="rId1134" display="https://www.inaturalist.org/observations/382960182"/>
    <hyperlink ref="G570" r:id="rId1135" display="Deed - Attribution-NonCommercial 4.0 International - Creative Commons"/>
    <hyperlink ref="H570" r:id="rId1136" display="https://www.inaturalist.org/observations/382960180"/>
    <hyperlink ref="G571" r:id="rId1137" display="Deed - Attribution-NonCommercial 4.0 International - Creative Commons"/>
    <hyperlink ref="H571" r:id="rId1138" display="https://www.inaturalist.org/observations/382955722"/>
    <hyperlink ref="G572" r:id="rId1139" display="Deed - Attribution-NonCommercial 4.0 International - Creative Commons"/>
    <hyperlink ref="H572" r:id="rId1140" display="https://www.inaturalist.org/observations/382954092"/>
    <hyperlink ref="G573" r:id="rId1141" display="Deed - Attribution-NonCommercial 4.0 International - Creative Commons"/>
    <hyperlink ref="H573" r:id="rId1142" display="https://www.inaturalist.org/observations/382949988"/>
    <hyperlink ref="G574" r:id="rId1143" display="Deed - Attribution-NonCommercial 4.0 International - Creative Commons"/>
    <hyperlink ref="H574" r:id="rId1144" display="https://www.inaturalist.org/observations/382949847"/>
    <hyperlink ref="G575" r:id="rId1145" display="Deed - Attribution-NonCommercial 4.0 International - Creative Commons"/>
    <hyperlink ref="H575" r:id="rId1146" display="https://www.inaturalist.org/observations/382945993"/>
    <hyperlink ref="G576" r:id="rId1147" display="Deed - Attribution-NonCommercial 4.0 International - Creative Commons"/>
    <hyperlink ref="H576" r:id="rId1148" display="https://www.inaturalist.org/observations/382941599"/>
    <hyperlink ref="G577" r:id="rId1149" display="Deed - Attribution-NonCommercial 4.0 International - Creative Commons"/>
    <hyperlink ref="H577" r:id="rId1150" display="https://www.inaturalist.org/observations/382941098"/>
    <hyperlink ref="G578" r:id="rId1151" display="Deed - Attribution-NonCommercial 4.0 International - Creative Commons"/>
    <hyperlink ref="H578" r:id="rId1152" display="https://www.inaturalist.org/observations/382936945"/>
    <hyperlink ref="G579" r:id="rId1153" display="Deed - Attribution-NonCommercial 4.0 International - Creative Commons"/>
    <hyperlink ref="H579" r:id="rId1154" display="https://www.inaturalist.org/observations/382936315"/>
    <hyperlink ref="G580" r:id="rId1155" display="Deed - Attribution-NonCommercial 4.0 International - Creative Commons"/>
    <hyperlink ref="H580" r:id="rId1156" display="https://www.inaturalist.org/observations/382935358"/>
    <hyperlink ref="G581" r:id="rId1157" display="Deed - Attribution-NonCommercial 4.0 International - Creative Commons"/>
    <hyperlink ref="H581" r:id="rId1158" display="https://www.inaturalist.org/observations/382935264"/>
    <hyperlink ref="G582" r:id="rId1159" display="Deed - Attribution-NonCommercial 4.0 International - Creative Commons"/>
    <hyperlink ref="H582" r:id="rId1160" display="https://www.inaturalist.org/observations/382934406"/>
    <hyperlink ref="G583" r:id="rId1161" display="Deed - Attribution-NonCommercial 4.0 International - Creative Commons"/>
    <hyperlink ref="H583" r:id="rId1162" display="https://www.inaturalist.org/observations/382930655"/>
    <hyperlink ref="G584" r:id="rId1163" display="Deed - Attribution-NonCommercial 4.0 International - Creative Commons"/>
    <hyperlink ref="H584" r:id="rId1164" display="https://www.inaturalist.org/observations/382916656"/>
    <hyperlink ref="G585" r:id="rId1165" display="Deed - Attribution-NonCommercial 4.0 International - Creative Commons"/>
    <hyperlink ref="H585" r:id="rId1166" display="https://www.inaturalist.org/observations/382913085"/>
    <hyperlink ref="G586" r:id="rId1167" display="Deed - Attribution-NonCommercial 4.0 International - Creative Commons"/>
    <hyperlink ref="H586" r:id="rId1168" display="https://www.inaturalist.org/observations/382912447"/>
    <hyperlink ref="G587" r:id="rId1169" display="Deed - Attribution-NonCommercial 4.0 International - Creative Commons"/>
    <hyperlink ref="H587" r:id="rId1170" display="https://www.inaturalist.org/observations/382909346"/>
    <hyperlink ref="G588" r:id="rId1171" display="Deed - Attribution-NonCommercial 4.0 International - Creative Commons"/>
    <hyperlink ref="H588" r:id="rId1172" display="https://www.inaturalist.org/observations/382907709"/>
    <hyperlink ref="G589" r:id="rId1173" display="Deed - Attribution-NonCommercial 4.0 International - Creative Commons"/>
    <hyperlink ref="H589" r:id="rId1174" display="https://www.inaturalist.org/observations/382905637"/>
    <hyperlink ref="G590" r:id="rId1175" display="Deed - Attribution-NonCommercial 4.0 International - Creative Commons"/>
    <hyperlink ref="H590" r:id="rId1176" display="https://www.inaturalist.org/observations/382901231"/>
    <hyperlink ref="G591" r:id="rId1177" display="Deed - Attribution-NonCommercial 4.0 International - Creative Commons"/>
    <hyperlink ref="H591" r:id="rId1178" display="https://www.inaturalist.org/observations/382900426"/>
    <hyperlink ref="G592" r:id="rId1179" display="Deed - Attribution-NonCommercial 4.0 International - Creative Commons"/>
    <hyperlink ref="H592" r:id="rId1180" display="https://www.inaturalist.org/observations/382897982"/>
    <hyperlink ref="G593" r:id="rId1181" display="Deed - Attribution-NonCommercial 4.0 International - Creative Commons"/>
    <hyperlink ref="H593" r:id="rId1182" display="https://www.inaturalist.org/observations/382892234"/>
    <hyperlink ref="G594" r:id="rId1183" display="Deed - Attribution-NonCommercial 4.0 International - Creative Commons"/>
    <hyperlink ref="H594" r:id="rId1184" display="https://www.inaturalist.org/observations/382892162"/>
    <hyperlink ref="G595" r:id="rId1185" display="Deed - Attribution-NonCommercial 4.0 International - Creative Commons"/>
    <hyperlink ref="H595" r:id="rId1186" display="https://www.inaturalist.org/observations/382885650"/>
    <hyperlink ref="G596" r:id="rId1187" display="Deed - Attribution-NonCommercial 4.0 International - Creative Commons"/>
    <hyperlink ref="H596" r:id="rId1188" display="https://www.inaturalist.org/observations/382883815"/>
    <hyperlink ref="G597" r:id="rId1189" display="Deed - Attribution-NonCommercial 4.0 International - Creative Commons"/>
    <hyperlink ref="H597" r:id="rId1190" display="https://www.inaturalist.org/observations/382883425"/>
    <hyperlink ref="G598" r:id="rId1191" display="Deed - Attribution-NonCommercial 4.0 International - Creative Commons"/>
    <hyperlink ref="H598" r:id="rId1192" display="https://www.inaturalist.org/observations/382871256"/>
    <hyperlink ref="G599" r:id="rId1193" display="Deed - Attribution-NonCommercial 4.0 International - Creative Commons"/>
    <hyperlink ref="H599" r:id="rId1194" display="https://www.inaturalist.org/observations/382870810"/>
    <hyperlink ref="G600" r:id="rId1195" display="Deed - Attribution-NonCommercial 4.0 International - Creative Commons"/>
    <hyperlink ref="H600" r:id="rId1196" display="https://www.inaturalist.org/observations/382868398"/>
    <hyperlink ref="G601" r:id="rId1197" display="Deed - Attribution-NonCommercial 4.0 International - Creative Commons"/>
    <hyperlink ref="H601" r:id="rId1198" display="https://www.inaturalist.org/observations/382867663"/>
    <hyperlink ref="G602" r:id="rId1199" display="Deed - Attribution-NonCommercial 4.0 International - Creative Commons"/>
    <hyperlink ref="H602" r:id="rId1200" display="https://www.inaturalist.org/observations/382867266"/>
    <hyperlink ref="G603" r:id="rId1201" display="Deed - Attribution-NonCommercial 4.0 International - Creative Commons"/>
    <hyperlink ref="H603" r:id="rId1202" display="https://www.inaturalist.org/observations/383167911"/>
    <hyperlink ref="G604" r:id="rId1203" display="Deed - Attribution-NonCommercial 4.0 International - Creative Commons"/>
    <hyperlink ref="H604" r:id="rId1204" display="https://www.inaturalist.org/observations/383166093"/>
    <hyperlink ref="G605" r:id="rId1205" display="Deed - Attribution-NonCommercial 4.0 International - Creative Commons"/>
    <hyperlink ref="H605" r:id="rId1206" display="https://www.inaturalist.org/observations/383162467"/>
    <hyperlink ref="G606" r:id="rId1207" display="Deed - Attribution-NonCommercial 4.0 International - Creative Commons"/>
    <hyperlink ref="H606" r:id="rId1208" display="https://www.inaturalist.org/observations/383162281"/>
    <hyperlink ref="G607" r:id="rId1209" display="Deed - Attribution-NonCommercial 4.0 International - Creative Commons"/>
    <hyperlink ref="H607" r:id="rId1210" display="https://www.inaturalist.org/observations/383161466"/>
    <hyperlink ref="G608" r:id="rId1211" display="Deed - Attribution-NonCommercial 4.0 International - Creative Commons"/>
    <hyperlink ref="H608" r:id="rId1212" display="https://www.inaturalist.org/observations/383161371"/>
    <hyperlink ref="G609" r:id="rId1213" display="Deed - Attribution-NonCommercial 4.0 International - Creative Commons"/>
    <hyperlink ref="H609" r:id="rId1214" display="https://www.inaturalist.org/observations/383160664"/>
    <hyperlink ref="G610" r:id="rId1215" display="Deed - Attribution-NonCommercial 4.0 International - Creative Commons"/>
    <hyperlink ref="H610" r:id="rId1216" display="https://www.inaturalist.org/observations/383159430"/>
    <hyperlink ref="G611" r:id="rId1217" display="Deed - Attribution-NonCommercial 4.0 International - Creative Commons"/>
    <hyperlink ref="H611" r:id="rId1218" display="https://www.inaturalist.org/observations/383146576"/>
    <hyperlink ref="G612" r:id="rId1219" display="Deed - Attribution-NonCommercial 4.0 International - Creative Commons"/>
    <hyperlink ref="H612" r:id="rId1220" display="https://www.inaturalist.org/observations/383138966"/>
    <hyperlink ref="G613" r:id="rId1221" display="Deed - Attribution-NonCommercial 4.0 International - Creative Commons"/>
    <hyperlink ref="H613" r:id="rId1222" display="https://www.inaturalist.org/observations/383118995"/>
    <hyperlink ref="G614" r:id="rId1223" display="Deed - Attribution-NonCommercial 4.0 International - Creative Commons"/>
    <hyperlink ref="H614" r:id="rId1224" display="https://www.inaturalist.org/observations/383116917"/>
    <hyperlink ref="G615" r:id="rId1225" display="Deed - Attribution-NonCommercial 4.0 International - Creative Commons"/>
    <hyperlink ref="H615" r:id="rId1226" display="https://www.inaturalist.org/observations/383116557"/>
    <hyperlink ref="G616" r:id="rId1227" display="Deed - Attribution-NonCommercial 4.0 International - Creative Commons"/>
    <hyperlink ref="H616" r:id="rId1228" display="https://www.inaturalist.org/observations/383114364"/>
    <hyperlink ref="G617" r:id="rId1229" display="Deed - Attribution-NonCommercial 4.0 International - Creative Commons"/>
    <hyperlink ref="H617" r:id="rId1230" display="https://www.inaturalist.org/observations/383102894"/>
    <hyperlink ref="G618" r:id="rId1231" display="Deed - Attribution-NonCommercial 4.0 International - Creative Commons"/>
    <hyperlink ref="H618" r:id="rId1232" display="https://www.inaturalist.org/observations/381545295"/>
    <hyperlink ref="G619" r:id="rId1233" display="Deed - Attribution-NonCommercial 4.0 International - Creative Commons"/>
    <hyperlink ref="H619" r:id="rId1234" display="https://www.inaturalist.org/observations/383096437"/>
    <hyperlink ref="G620" r:id="rId1235" display="Deed - Attribution-NonCommercial 4.0 International - Creative Commons"/>
    <hyperlink ref="H620" r:id="rId1236" display="https://www.inaturalist.org/observations/383087784"/>
    <hyperlink ref="G621" r:id="rId1237" display="Deed - Attribution-NonCommercial 4.0 International - Creative Commons"/>
    <hyperlink ref="H621" r:id="rId1238" display="https://www.inaturalist.org/observations/383067484"/>
    <hyperlink ref="G622" r:id="rId1239" display="Deed - Attribution-NonCommercial 4.0 International - Creative Commons"/>
    <hyperlink ref="H622" r:id="rId1240" display="https://www.inaturalist.org/observations/383061008"/>
    <hyperlink ref="G623" r:id="rId1241" display="Deed - Attribution-NonCommercial 4.0 International - Creative Commons"/>
    <hyperlink ref="H623" r:id="rId1242" display="https://www.inaturalist.org/observations/383050942"/>
    <hyperlink ref="G624" r:id="rId1243" display="Deed - Attribution-NonCommercial 4.0 International - Creative Commons"/>
    <hyperlink ref="H624" r:id="rId1244" display="https://www.inaturalist.org/observations/383049688"/>
    <hyperlink ref="G625" r:id="rId1245" display="Deed - Attribution-NonCommercial 4.0 International - Creative Commons"/>
    <hyperlink ref="H625" r:id="rId1246" display="https://www.inaturalist.org/observations/383010431"/>
    <hyperlink ref="G626" r:id="rId1247" display="Deed - Attribution-NonCommercial 4.0 International - Creative Commons"/>
    <hyperlink ref="H626" r:id="rId1248" display="https://www.inaturalist.org/observations/383005405"/>
    <hyperlink ref="G627" r:id="rId1249" display="Deed - Attribution-NonCommercial 4.0 International - Creative Commons"/>
    <hyperlink ref="H627" r:id="rId1250" display="https://www.inaturalist.org/observations/382992268"/>
    <hyperlink ref="G628" r:id="rId1251" display="Deed - Attribution-NonCommercial 4.0 International - Creative Commons"/>
    <hyperlink ref="H628" r:id="rId1252" display="https://www.inaturalist.org/observations/382985094"/>
    <hyperlink ref="G629" r:id="rId1253" display="Deed - Attribution-NonCommercial 4.0 International - Creative Commons"/>
    <hyperlink ref="H629" r:id="rId1254" display="https://www.inaturalist.org/observations/382961804"/>
    <hyperlink ref="G630" r:id="rId1255" display="Deed - Attribution-NonCommercial 4.0 International - Creative Commons"/>
    <hyperlink ref="H630" r:id="rId1256" display="https://www.inaturalist.org/observations/382960050"/>
    <hyperlink ref="G631" r:id="rId1257" display="Deed - Attribution-NonCommercial 4.0 International - Creative Commons"/>
    <hyperlink ref="H631" r:id="rId1258" display="https://www.inaturalist.org/observations/382951064"/>
    <hyperlink ref="G632" r:id="rId1259" display="Deed - Attribution-NonCommercial 4.0 International - Creative Commons"/>
    <hyperlink ref="H632" r:id="rId1260" display="https://www.inaturalist.org/observations/382942030"/>
    <hyperlink ref="G633" r:id="rId1261" display="Deed - Attribution-NonCommercial 4.0 International - Creative Commons"/>
    <hyperlink ref="H633" r:id="rId1262" display="https://www.inaturalist.org/observations/382912550"/>
    <hyperlink ref="G634" r:id="rId1263" display="Deed - Attribution-NonCommercial 4.0 International - Creative Commons"/>
    <hyperlink ref="H634" r:id="rId1264" display="https://www.inaturalist.org/observations/382896555"/>
    <hyperlink ref="G635" r:id="rId1265" display="Deed - Attribution-NonCommercial 4.0 International - Creative Commons"/>
    <hyperlink ref="H635" r:id="rId1266" display="https://www.inaturalist.org/observations/382885830"/>
    <hyperlink ref="G636" r:id="rId1267" display="Deed - Attribution-NonCommercial 4.0 International - Creative Commons"/>
    <hyperlink ref="H636" r:id="rId1268" display="https://www.inaturalist.org/observations/382879951"/>
    <hyperlink ref="G637" r:id="rId1269" display="Deed - Attribution-NonCommercial 4.0 International - Creative Commons"/>
    <hyperlink ref="H637" r:id="rId1270" display="https://www.inaturalist.org/observations/382872264"/>
    <hyperlink ref="G638" r:id="rId1271" display="Deed - Attribution-NonCommercial 4.0 International - Creative Commons"/>
    <hyperlink ref="H638" r:id="rId1272" display="https://www.inaturalist.org/observations/382865524"/>
    <hyperlink ref="G639" r:id="rId1273" display="Deed - Attribution-NonCommercial 4.0 International - Creative Commons"/>
    <hyperlink ref="H639" r:id="rId1274" display="https://www.inaturalist.org/observations/382858656"/>
    <hyperlink ref="G640" r:id="rId1275" display="Deed - Attribution-NonCommercial 4.0 International - Creative Commons"/>
    <hyperlink ref="H640" r:id="rId1276" display="https://www.inaturalist.org/observations/382857871"/>
    <hyperlink ref="G641" r:id="rId1277" display="Deed - Attribution-NonCommercial 4.0 International - Creative Commons"/>
    <hyperlink ref="H641" r:id="rId1278" display="https://www.inaturalist.org/observations/382847850"/>
    <hyperlink ref="G642" r:id="rId1279" display="Deed - Attribution-NonCommercial 4.0 International - Creative Commons"/>
    <hyperlink ref="H642" r:id="rId1280" display="https://www.inaturalist.org/observations/382846964"/>
    <hyperlink ref="G643" r:id="rId1281" display="Deed - Attribution-NonCommercial 4.0 International - Creative Commons"/>
    <hyperlink ref="H643" r:id="rId1282" display="https://www.inaturalist.org/observations/382836656"/>
    <hyperlink ref="G644" r:id="rId1283" display="Deed - Attribution-NonCommercial 4.0 International - Creative Commons"/>
    <hyperlink ref="H644" r:id="rId1284" display="https://www.inaturalist.org/observations/382836100"/>
    <hyperlink ref="G645" r:id="rId1285" display="Deed - Attribution-NonCommercial 4.0 International - Creative Commons"/>
    <hyperlink ref="H645" r:id="rId1286" display="https://www.inaturalist.org/observations/382834955"/>
    <hyperlink ref="G646" r:id="rId1287" display="Deed - Attribution-NonCommercial 4.0 International - Creative Commons"/>
    <hyperlink ref="H646" r:id="rId1288" display="https://www.inaturalist.org/observations/382830719"/>
    <hyperlink ref="G647" r:id="rId1289" display="Deed - Attribution-NonCommercial 4.0 International - Creative Commons"/>
    <hyperlink ref="H647" r:id="rId1290" display="https://www.inaturalist.org/observations/382823001"/>
    <hyperlink ref="G648" r:id="rId1291" display="Deed - Attribution-NonCommercial 4.0 International - Creative Commons"/>
    <hyperlink ref="H648" r:id="rId1292" display="https://www.inaturalist.org/observations/382815645"/>
    <hyperlink ref="G649" r:id="rId1293" display="Deed - Attribution-NonCommercial 4.0 International - Creative Commons"/>
    <hyperlink ref="H649" r:id="rId1294" display="https://www.inaturalist.org/observations/382814630"/>
    <hyperlink ref="G650" r:id="rId1295" display="Deed - Attribution-NonCommercial 4.0 International - Creative Commons"/>
    <hyperlink ref="H650" r:id="rId1296" display="https://www.inaturalist.org/observations/382809310"/>
    <hyperlink ref="G651" r:id="rId1297" display="Deed - Attribution-NonCommercial 4.0 International - Creative Commons"/>
    <hyperlink ref="H651" r:id="rId1298" display="https://www.inaturalist.org/observations/382759511"/>
    <hyperlink ref="G652" r:id="rId1299" display="Deed - Attribution-NonCommercial 4.0 International - Creative Commons"/>
    <hyperlink ref="H652" r:id="rId1300" display="https://www.inaturalist.org/observations/382757668"/>
    <hyperlink ref="G653" r:id="rId1301" display="Deed - Attribution-NonCommercial 4.0 International - Creative Commons"/>
    <hyperlink ref="H653" r:id="rId1302" display="https://www.inaturalist.org/observations/382678569"/>
    <hyperlink ref="G654" r:id="rId1303" display="Deed - Attribution-NonCommercial 4.0 International - Creative Commons"/>
    <hyperlink ref="H654" r:id="rId1304" display="https://www.inaturalist.org/observations/382661184"/>
    <hyperlink ref="G655" r:id="rId1305" display="Deed - Attribution-NonCommercial 4.0 International - Creative Commons"/>
    <hyperlink ref="H655" r:id="rId1306" display="https://www.inaturalist.org/observations/382656965"/>
    <hyperlink ref="G656" r:id="rId1307" display="Deed - Attribution-NonCommercial 4.0 International - Creative Commons"/>
    <hyperlink ref="H656" r:id="rId1308" display="https://www.inaturalist.org/observations/382651141"/>
    <hyperlink ref="G657" r:id="rId1309" display="Deed - Attribution-NonCommercial 4.0 International - Creative Commons"/>
    <hyperlink ref="H657" r:id="rId1310" display="https://www.inaturalist.org/observations/382631584"/>
    <hyperlink ref="G658" r:id="rId1311" display="Deed - Attribution-NonCommercial 4.0 International - Creative Commons"/>
    <hyperlink ref="H658" r:id="rId1312" display="https://www.inaturalist.org/observations/382627285"/>
    <hyperlink ref="G659" r:id="rId1313" display="Deed - Attribution-NonCommercial 4.0 International - Creative Commons"/>
    <hyperlink ref="H659" r:id="rId1314" display="https://www.inaturalist.org/observations/382600007"/>
    <hyperlink ref="G660" r:id="rId1315" display="Deed - Attribution-NonCommercial 4.0 International - Creative Commons"/>
    <hyperlink ref="H660" r:id="rId1316" display="https://www.inaturalist.org/observations/382561602"/>
    <hyperlink ref="G661" r:id="rId1317" display="Deed - Attribution-NonCommercial 4.0 International - Creative Commons"/>
    <hyperlink ref="H661" r:id="rId1318" display="https://www.inaturalist.org/observations/382554090"/>
    <hyperlink ref="G662" r:id="rId1319" display="Deed - Attribution-NonCommercial 4.0 International - Creative Commons"/>
    <hyperlink ref="H662" r:id="rId1320" display="https://www.inaturalist.org/observations/382513260"/>
    <hyperlink ref="G663" r:id="rId1321" display="Deed - Attribution-NonCommercial 4.0 International - Creative Commons"/>
    <hyperlink ref="H663" r:id="rId1322" display="https://www.inaturalist.org/observations/382490334"/>
    <hyperlink ref="G664" r:id="rId1323" display="Deed - Attribution-NonCommercial 4.0 International - Creative Commons"/>
    <hyperlink ref="H664" r:id="rId1324" display="https://www.inaturalist.org/observations/382484662"/>
    <hyperlink ref="G665" r:id="rId1325" display="Deed - Attribution-NonCommercial 4.0 International - Creative Commons"/>
    <hyperlink ref="H665" r:id="rId1326" display="https://www.inaturalist.org/observations/382446728"/>
    <hyperlink ref="G666" r:id="rId1327" display="Deed - Attribution-NonCommercial 4.0 International - Creative Commons"/>
    <hyperlink ref="H666" r:id="rId1328" display="https://www.inaturalist.org/observations/382436659"/>
    <hyperlink ref="G667" r:id="rId1329" display="Deed - Attribution-NonCommercial 4.0 International - Creative Commons"/>
    <hyperlink ref="H667" r:id="rId1330" display="https://www.inaturalist.org/observations/382395455"/>
    <hyperlink ref="G668" r:id="rId1331" display="Deed - Attribution-NonCommercial 4.0 International - Creative Commons"/>
    <hyperlink ref="H668" r:id="rId1332" display="https://www.inaturalist.org/observations/382310371"/>
    <hyperlink ref="G669" r:id="rId1333" display="Deed - Attribution-NonCommercial 4.0 International - Creative Commons"/>
    <hyperlink ref="H669" r:id="rId1334" display="https://www.inaturalist.org/observations/382289945"/>
    <hyperlink ref="G670" r:id="rId1335" display="Deed - Attribution-NonCommercial 4.0 International - Creative Commons"/>
    <hyperlink ref="H670" r:id="rId1336" display="https://www.inaturalist.org/observations/382275304"/>
    <hyperlink ref="G671" r:id="rId1337" display="Deed - Attribution-NonCommercial 4.0 International - Creative Commons"/>
    <hyperlink ref="H671" r:id="rId1338" display="https://www.inaturalist.org/observations/382227646"/>
    <hyperlink ref="G672" r:id="rId1339" display="Deed - Attribution-NonCommercial 4.0 International - Creative Commons"/>
    <hyperlink ref="H672" r:id="rId1340" display="https://www.inaturalist.org/observations/382226941"/>
    <hyperlink ref="G673" r:id="rId1341" display="Deed - Attribution-NonCommercial 4.0 International - Creative Commons"/>
    <hyperlink ref="H673" r:id="rId1342" display="https://www.inaturalist.org/observations/382219856"/>
    <hyperlink ref="G674" r:id="rId1343" display="Deed - Attribution-NonCommercial 4.0 International - Creative Commons"/>
    <hyperlink ref="H674" r:id="rId1344" display="https://www.inaturalist.org/observations/382211852"/>
    <hyperlink ref="G675" r:id="rId1345" display="Deed - Attribution-NonCommercial 4.0 International - Creative Commons"/>
    <hyperlink ref="H675" r:id="rId1346" display="https://www.inaturalist.org/observations/382187824"/>
    <hyperlink ref="G676" r:id="rId1347" display="Deed - Attribution-NonCommercial 4.0 International - Creative Commons"/>
    <hyperlink ref="H676" r:id="rId1348" display="https://www.inaturalist.org/observations/382177474"/>
    <hyperlink ref="G677" r:id="rId1349" display="Deed - Attribution-NonCommercial 4.0 International - Creative Commons"/>
    <hyperlink ref="H677" r:id="rId1350" display="https://www.inaturalist.org/observations/382169278"/>
    <hyperlink ref="G678" r:id="rId1351" display="Deed - Attribution-NonCommercial 4.0 International - Creative Commons"/>
    <hyperlink ref="H678" r:id="rId1352" display="https://www.inaturalist.org/observations/382165535"/>
    <hyperlink ref="G679" r:id="rId1353" display="Deed - Attribution-NonCommercial 4.0 International - Creative Commons"/>
    <hyperlink ref="H679" r:id="rId1354" display="https://www.inaturalist.org/observations/382163752"/>
    <hyperlink ref="G680" r:id="rId1355" display="Deed - Attribution-NonCommercial 4.0 International - Creative Commons"/>
    <hyperlink ref="H680" r:id="rId1356" display="https://www.inaturalist.org/observations/382138501"/>
    <hyperlink ref="G681" r:id="rId1357" display="Deed - Attribution-NonCommercial 4.0 International - Creative Commons"/>
    <hyperlink ref="H681" r:id="rId1358" display="https://www.inaturalist.org/observations/382116562"/>
    <hyperlink ref="G682" r:id="rId1359" display="Deed - Attribution-NonCommercial 4.0 International - Creative Commons"/>
    <hyperlink ref="H682" r:id="rId1360" display="https://www.inaturalist.org/observations/382081760"/>
    <hyperlink ref="G683" r:id="rId1361" display="Deed - Attribution-NonCommercial 4.0 International - Creative Commons"/>
    <hyperlink ref="H683" r:id="rId1362" display="https://www.inaturalist.org/observations/382049220"/>
    <hyperlink ref="G684" r:id="rId1363" display="Deed - Attribution-NonCommercial 4.0 International - Creative Commons"/>
    <hyperlink ref="H684" r:id="rId1364" display="https://www.inaturalist.org/observations/381996260"/>
    <hyperlink ref="G685" r:id="rId1365" display="Deed - Attribution-NonCommercial 4.0 International - Creative Commons"/>
    <hyperlink ref="H685" r:id="rId1366" display="https://www.inaturalist.org/observations/381980884"/>
    <hyperlink ref="G686" r:id="rId1367" display="Deed - Attribution-NonCommercial 4.0 International - Creative Commons"/>
    <hyperlink ref="H686" r:id="rId1368" display="https://www.inaturalist.org/observations/381956355"/>
    <hyperlink ref="G687" r:id="rId1369" display="Deed - Attribution-NonCommercial 4.0 International - Creative Commons"/>
    <hyperlink ref="H687" r:id="rId1370" display="https://www.inaturalist.org/observations/381897163"/>
    <hyperlink ref="G688" r:id="rId1371" display="Deed - Attribution-NonCommercial 4.0 International - Creative Commons"/>
    <hyperlink ref="H688" r:id="rId1372" display="https://www.inaturalist.org/observations/381894782"/>
    <hyperlink ref="G689" r:id="rId1373" display="Deed - Attribution-NonCommercial 4.0 International - Creative Commons"/>
    <hyperlink ref="H689" r:id="rId1374" display="https://www.inaturalist.org/observations/381861057"/>
    <hyperlink ref="G690" r:id="rId1375" display="Deed - Attribution-NonCommercial 4.0 International - Creative Commons"/>
    <hyperlink ref="H690" r:id="rId1376" display="https://www.inaturalist.org/observations/381822871"/>
    <hyperlink ref="G691" r:id="rId1377" display="Deed - Attribution-NonCommercial 4.0 International - Creative Commons"/>
    <hyperlink ref="H691" r:id="rId1378" display="https://www.inaturalist.org/observations/381818652"/>
    <hyperlink ref="G692" r:id="rId1379" display="Deed - Attribution-NonCommercial 4.0 International - Creative Commons"/>
    <hyperlink ref="H692" r:id="rId1380" display="https://www.inaturalist.org/observations/381781969"/>
    <hyperlink ref="G693" r:id="rId1381" display="Deed - Attribution-NonCommercial 4.0 International - Creative Commons"/>
    <hyperlink ref="H693" r:id="rId1382" display="https://www.inaturalist.org/observations/381781901"/>
    <hyperlink ref="G694" r:id="rId1383" display="Deed - Attribution-NonCommercial 4.0 International - Creative Commons"/>
    <hyperlink ref="H694" r:id="rId1384" display="https://www.inaturalist.org/observations/381777556"/>
    <hyperlink ref="G695" r:id="rId1385" display="Deed - Attribution-NonCommercial 4.0 International - Creative Commons"/>
    <hyperlink ref="H695" r:id="rId1386" display="https://www.inaturalist.org/observations/381754576"/>
    <hyperlink ref="G696" r:id="rId1387" display="Deed - Attribution-NonCommercial 4.0 International - Creative Commons"/>
    <hyperlink ref="H696" r:id="rId1388" display="https://www.inaturalist.org/observations/381747603"/>
    <hyperlink ref="G697" r:id="rId1389" display="Deed - Attribution-NonCommercial 4.0 International - Creative Commons"/>
    <hyperlink ref="H697" r:id="rId1390" display="https://www.inaturalist.org/observations/381734490"/>
    <hyperlink ref="G698" r:id="rId1391" display="Deed - Attribution-NonCommercial 4.0 International - Creative Commons"/>
    <hyperlink ref="H698" r:id="rId1392" display="https://www.inaturalist.org/observations/381719551"/>
    <hyperlink ref="G699" r:id="rId1393" display="Deed - Attribution-NonCommercial 4.0 International - Creative Commons"/>
    <hyperlink ref="H699" r:id="rId1394" display="https://www.inaturalist.org/observations/381700408"/>
    <hyperlink ref="G700" r:id="rId1395" display="Deed - Attribution-NonCommercial 4.0 International - Creative Commons"/>
    <hyperlink ref="H700" r:id="rId1396" display="https://www.inaturalist.org/observations/381684386"/>
    <hyperlink ref="G701" r:id="rId1397" display="Deed - Attribution-NonCommercial 4.0 International - Creative Commons"/>
    <hyperlink ref="H701" r:id="rId1398" display="https://www.inaturalist.org/observations/381679327"/>
    <hyperlink ref="G702" r:id="rId1399" display="Deed - Attribution-NonCommercial 4.0 International - Creative Commons"/>
    <hyperlink ref="H702" r:id="rId1400" display="https://www.inaturalist.org/observations/381597490"/>
    <hyperlink ref="G703" r:id="rId1401" display="Deed - Attribution-NonCommercial 4.0 International - Creative Commons"/>
    <hyperlink ref="H703" r:id="rId1402" display="https://www.inaturalist.org/observations/383157527"/>
    <hyperlink ref="G704" r:id="rId1403" display="Deed - Attribution-NonCommercial 4.0 International - Creative Commons"/>
    <hyperlink ref="H704" r:id="rId1404" display="https://www.inaturalist.org/observations/383115397"/>
    <hyperlink ref="G705" r:id="rId1405" display="Deed - Attribution-NonCommercial 4.0 International - Creative Commons"/>
    <hyperlink ref="H705" r:id="rId1406" display="https://www.inaturalist.org/observations/383071227"/>
    <hyperlink ref="G706" r:id="rId1407" display="Deed - Attribution-NonCommercial 4.0 International - Creative Commons"/>
    <hyperlink ref="H706" r:id="rId1408" display="https://www.inaturalist.org/observations/383050944"/>
    <hyperlink ref="G707" r:id="rId1409" display="Deed - Attribution-NonCommercial 4.0 International - Creative Commons"/>
    <hyperlink ref="H707" r:id="rId1410" display="https://www.inaturalist.org/observations/383021359"/>
    <hyperlink ref="G708" r:id="rId1411" display="Deed - Attribution-NonCommercial 4.0 International - Creative Commons"/>
    <hyperlink ref="H708" r:id="rId1412" display="https://www.inaturalist.org/observations/382937721"/>
    <hyperlink ref="G709" r:id="rId1413" display="Deed - Attribution-NonCommercial 4.0 International - Creative Commons"/>
    <hyperlink ref="H709" r:id="rId1414" display="https://www.inaturalist.org/observations/382902940"/>
    <hyperlink ref="G710" r:id="rId1415" display="Deed - Attribution-NonCommercial 4.0 International - Creative Commons"/>
    <hyperlink ref="H710" r:id="rId1416" display="https://www.inaturalist.org/observations/382790076"/>
    <hyperlink ref="G711" r:id="rId1417" display="Deed - Attribution-NonCommercial 4.0 International - Creative Commons"/>
    <hyperlink ref="H711" r:id="rId1418" display="https://www.inaturalist.org/observations/382750817"/>
    <hyperlink ref="G712" r:id="rId1419" display="Deed - Attribution-NonCommercial 4.0 International - Creative Commons"/>
    <hyperlink ref="H712" r:id="rId1420" display="https://www.inaturalist.org/observations/382442717"/>
    <hyperlink ref="G713" r:id="rId1421" display="Deed - Attribution-NonCommercial 4.0 International - Creative Commons"/>
    <hyperlink ref="H713" r:id="rId1422" display="https://www.inaturalist.org/observations/382315180"/>
    <hyperlink ref="G714" r:id="rId1423" display="Deed - Attribution-NonCommercial 4.0 International - Creative Commons"/>
    <hyperlink ref="H714" r:id="rId1424" display="https://www.inaturalist.org/observations/381938079"/>
    <hyperlink ref="G715" r:id="rId1425" display="Deed - Attribution-NonCommercial 4.0 International - Creative Commons"/>
    <hyperlink ref="H715" r:id="rId1426" display="https://www.inaturalist.org/observations/381802200"/>
    <hyperlink ref="G716" r:id="rId1427" display="Deed - Attribution-NonCommercial 4.0 International - Creative Commons"/>
    <hyperlink ref="H716" r:id="rId1428" display="https://www.inaturalist.org/observations/381281624"/>
    <hyperlink ref="G717" r:id="rId1429" display="Deed - Attribution-NonCommercial 4.0 International - Creative Commons"/>
    <hyperlink ref="H717" r:id="rId1430" display="https://www.inaturalist.org/observations/381050190"/>
    <hyperlink ref="G718" r:id="rId1431" display="Deed - Attribution-NonCommercial 4.0 International - Creative Commons"/>
    <hyperlink ref="H718" r:id="rId1432" display="https://www.inaturalist.org/observations/380314828"/>
    <hyperlink ref="G719" r:id="rId1433" display="Deed - Attribution-NonCommercial 4.0 International - Creative Commons"/>
    <hyperlink ref="H719" r:id="rId1434" display="https://www.inaturalist.org/observations/379875650"/>
    <hyperlink ref="G720" r:id="rId1435" display="Deed - Attribution-NonCommercial 4.0 International - Creative Commons"/>
    <hyperlink ref="H720" r:id="rId1436" display="https://www.inaturalist.org/observations/379761837"/>
    <hyperlink ref="G721" r:id="rId1437" display="Deed - Attribution-NonCommercial 4.0 International - Creative Commons"/>
    <hyperlink ref="H721" r:id="rId1438" display="https://www.inaturalist.org/observations/379524071"/>
    <hyperlink ref="G722" r:id="rId1439" display="Deed - Attribution-NonCommercial 4.0 International - Creative Commons"/>
    <hyperlink ref="H722" r:id="rId1440" display="https://www.inaturalist.org/observations/377122363"/>
    <hyperlink ref="G723" r:id="rId1441" display="Deed - Attribution-NonCommercial 4.0 International - Creative Commons"/>
    <hyperlink ref="H723" r:id="rId1442" display="https://www.inaturalist.org/observations/383160616"/>
    <hyperlink ref="G724" r:id="rId1443" display="Deed - Attribution-NonCommercial 4.0 International - Creative Commons"/>
    <hyperlink ref="H724" r:id="rId1444" display="https://www.inaturalist.org/observations/383159434"/>
    <hyperlink ref="G725" r:id="rId1445" display="Deed - Attribution-NonCommercial 4.0 International - Creative Commons"/>
    <hyperlink ref="H725" r:id="rId1446" display="https://www.inaturalist.org/observations/383159411"/>
    <hyperlink ref="G726" r:id="rId1447" display="Deed - Attribution-NonCommercial 4.0 International - Creative Commons"/>
    <hyperlink ref="H726" r:id="rId1448" display="https://www.inaturalist.org/observations/383153207"/>
    <hyperlink ref="G727" r:id="rId1449" display="Deed - Attribution-NonCommercial 4.0 International - Creative Commons"/>
    <hyperlink ref="H727" r:id="rId1450" display="https://www.inaturalist.org/observations/383148990"/>
    <hyperlink ref="G728" r:id="rId1451" display="Deed - Attribution-NonCommercial 4.0 International - Creative Commons"/>
    <hyperlink ref="H728" r:id="rId1452" display="https://www.inaturalist.org/observations/383147943"/>
    <hyperlink ref="G729" r:id="rId1453" display="Deed - Attribution-NonCommercial 4.0 International - Creative Commons"/>
    <hyperlink ref="H729" r:id="rId1454" display="https://www.inaturalist.org/observations/383144998"/>
    <hyperlink ref="G730" r:id="rId1455" display="Deed - Attribution-NonCommercial 4.0 International - Creative Commons"/>
    <hyperlink ref="H730" r:id="rId1456" display="https://www.inaturalist.org/observations/383137513"/>
    <hyperlink ref="G731" r:id="rId1457" display="Deed - Attribution-NonCommercial 4.0 International - Creative Commons"/>
    <hyperlink ref="H731" r:id="rId1458" display="https://www.inaturalist.org/observations/383135241"/>
    <hyperlink ref="G732" r:id="rId1459" display="Deed - Attribution-NonCommercial 4.0 International - Creative Commons"/>
    <hyperlink ref="H732" r:id="rId1460" display="https://www.inaturalist.org/observations/383122423"/>
    <hyperlink ref="G733" r:id="rId1461" display="Deed - Attribution-NonCommercial 4.0 International - Creative Commons"/>
    <hyperlink ref="H733" r:id="rId1462" display="https://www.inaturalist.org/observations/383119974"/>
    <hyperlink ref="G734" r:id="rId1463" display="Deed - Attribution-NonCommercial 4.0 International - Creative Commons"/>
    <hyperlink ref="H734" r:id="rId1464" display="https://www.inaturalist.org/observations/383118396"/>
    <hyperlink ref="G735" r:id="rId1465" display="Deed - Attribution-NonCommercial 4.0 International - Creative Commons"/>
    <hyperlink ref="H735" r:id="rId1466" display="https://www.inaturalist.org/observations/383118151"/>
    <hyperlink ref="G736" r:id="rId1467" display="Deed - Attribution-NonCommercial 4.0 International - Creative Commons"/>
    <hyperlink ref="H736" r:id="rId1468" display="https://www.inaturalist.org/observations/383117683"/>
    <hyperlink ref="G737" r:id="rId1469" display="Deed - Attribution-NonCommercial 4.0 International - Creative Commons"/>
    <hyperlink ref="H737" r:id="rId1470" display="https://www.inaturalist.org/observations/383115095"/>
    <hyperlink ref="G738" r:id="rId1471" display="Deed - Attribution-NonCommercial 4.0 International - Creative Commons"/>
    <hyperlink ref="H738" r:id="rId1472" display="https://www.inaturalist.org/observations/383082023"/>
    <hyperlink ref="G739" r:id="rId1473" display="Deed - Attribution-NonCommercial 4.0 International - Creative Commons"/>
    <hyperlink ref="H739" r:id="rId1474" display="https://www.inaturalist.org/observations/383080148"/>
    <hyperlink ref="G740" r:id="rId1475" display="Deed - Attribution-NonCommercial 4.0 International - Creative Commons"/>
    <hyperlink ref="H740" r:id="rId1476" display="https://www.inaturalist.org/observations/383079167"/>
    <hyperlink ref="G741" r:id="rId1477" display="Deed - Attribution-NonCommercial 4.0 International - Creative Commons"/>
    <hyperlink ref="H741" r:id="rId1478" display="https://www.inaturalist.org/observations/383068794"/>
    <hyperlink ref="G742" r:id="rId1479" display="Deed - Attribution-NonCommercial 4.0 International - Creative Commons"/>
    <hyperlink ref="H742" r:id="rId1480" display="https://www.inaturalist.org/observations/383064218"/>
    <hyperlink ref="G743" r:id="rId1481" display="Deed - Attribution-NonCommercial 4.0 International - Creative Commons"/>
    <hyperlink ref="H743" r:id="rId1482" display="https://www.inaturalist.org/observations/383056927"/>
    <hyperlink ref="G744" r:id="rId1483" display="Deed - Attribution-NonCommercial 4.0 International - Creative Commons"/>
    <hyperlink ref="H744" r:id="rId1484" display="https://www.inaturalist.org/observations/383043433"/>
    <hyperlink ref="G745" r:id="rId1485" display="Deed - Attribution-NonCommercial 4.0 International - Creative Commons"/>
    <hyperlink ref="H745" r:id="rId1486" display="https://www.inaturalist.org/observations/383041889"/>
    <hyperlink ref="G746" r:id="rId1487" display="Deed - Attribution-NonCommercial 4.0 International - Creative Commons"/>
    <hyperlink ref="H746" r:id="rId1488" display="https://www.inaturalist.org/observations/383027638"/>
    <hyperlink ref="G747" r:id="rId1489" display="Deed - Attribution-NonCommercial 4.0 International - Creative Commons"/>
    <hyperlink ref="H747" r:id="rId1490" display="https://www.inaturalist.org/observations/383023658"/>
    <hyperlink ref="G748" r:id="rId1491" display="Deed - Attribution-NonCommercial 4.0 International - Creative Commons"/>
    <hyperlink ref="H748" r:id="rId1492" display="https://www.inaturalist.org/observations/383021675"/>
    <hyperlink ref="G749" r:id="rId1493" display="Deed - Attribution-NonCommercial 4.0 International - Creative Commons"/>
    <hyperlink ref="H749" r:id="rId1494" display="https://www.inaturalist.org/observations/383020968"/>
    <hyperlink ref="G750" r:id="rId1495" display="Deed - Attribution-NonCommercial 4.0 International - Creative Commons"/>
    <hyperlink ref="H750" r:id="rId1496" display="https://www.inaturalist.org/observations/383005304"/>
    <hyperlink ref="G751" r:id="rId1497" display="Deed - Attribution-NonCommercial 4.0 International - Creative Commons"/>
    <hyperlink ref="H751" r:id="rId1498" display="https://www.inaturalist.org/observations/382997248"/>
    <hyperlink ref="G752" r:id="rId1499" display="Deed - Attribution-NonCommercial 4.0 International - Creative Commons"/>
    <hyperlink ref="H752" r:id="rId1500" display="https://www.inaturalist.org/observations/382997138"/>
    <hyperlink ref="G753" r:id="rId1501" display="Deed - Attribution-NonCommercial 4.0 International - Creative Commons"/>
    <hyperlink ref="H753" r:id="rId1502" display="https://www.inaturalist.org/observations/382994684"/>
    <hyperlink ref="G754" r:id="rId1503" display="Deed - Attribution-NonCommercial 4.0 International - Creative Commons"/>
    <hyperlink ref="H754" r:id="rId1504" display="https://www.inaturalist.org/observations/382993432"/>
    <hyperlink ref="G755" r:id="rId1505" display="Deed - Attribution-NonCommercial 4.0 International - Creative Commons"/>
    <hyperlink ref="H755" r:id="rId1506" display="https://www.inaturalist.org/observations/382982664"/>
    <hyperlink ref="G756" r:id="rId1507" display="Deed - Attribution-NonCommercial 4.0 International - Creative Commons"/>
    <hyperlink ref="H756" r:id="rId1508" display="https://www.inaturalist.org/observations/382980846"/>
    <hyperlink ref="G757" r:id="rId1509" display="Deed - Attribution-NonCommercial 4.0 International - Creative Commons"/>
    <hyperlink ref="H757" r:id="rId1510" display="https://www.inaturalist.org/observations/382953837"/>
    <hyperlink ref="G758" r:id="rId1511" display="Deed - Attribution-NonCommercial 4.0 International - Creative Commons"/>
    <hyperlink ref="H758" r:id="rId1512" display="https://www.inaturalist.org/observations/382953014"/>
    <hyperlink ref="G759" r:id="rId1513" display="Deed - Attribution-NonCommercial 4.0 International - Creative Commons"/>
    <hyperlink ref="H759" r:id="rId1514" display="https://www.inaturalist.org/observations/382950327"/>
    <hyperlink ref="G760" r:id="rId1515" display="Deed - Attribution-NonCommercial 4.0 International - Creative Commons"/>
    <hyperlink ref="H760" r:id="rId1516" display="https://www.inaturalist.org/observations/382942349"/>
    <hyperlink ref="G761" r:id="rId1517" display="Deed - Attribution-NonCommercial 4.0 International - Creative Commons"/>
    <hyperlink ref="H761" r:id="rId1518" display="https://www.inaturalist.org/observations/382930861"/>
    <hyperlink ref="G762" r:id="rId1519" display="Deed - Attribution-NonCommercial 4.0 International - Creative Commons"/>
    <hyperlink ref="H762" r:id="rId1520" display="https://www.inaturalist.org/observations/382926315"/>
    <hyperlink ref="G763" r:id="rId1521" display="Deed - Attribution-NonCommercial 4.0 International - Creative Commons"/>
    <hyperlink ref="H763" r:id="rId1522" display="https://www.inaturalist.org/observations/382911965"/>
    <hyperlink ref="G764" r:id="rId1523" display="Deed - Attribution-NonCommercial 4.0 International - Creative Commons"/>
    <hyperlink ref="H764" r:id="rId1524" display="https://www.inaturalist.org/observations/382908536"/>
    <hyperlink ref="G765" r:id="rId1525" display="Deed - Attribution-NonCommercial 4.0 International - Creative Commons"/>
    <hyperlink ref="H765" r:id="rId1526" display="https://www.inaturalist.org/observations/382907280"/>
    <hyperlink ref="G766" r:id="rId1527" display="Deed - Attribution-NonCommercial 4.0 International - Creative Commons"/>
    <hyperlink ref="H766" r:id="rId1528" display="https://www.inaturalist.org/observations/382896862"/>
    <hyperlink ref="G767" r:id="rId1529" display="Deed - Attribution-NonCommercial 4.0 International - Creative Commons"/>
    <hyperlink ref="H767" r:id="rId1530" display="https://www.inaturalist.org/observations/382896603"/>
    <hyperlink ref="G768" r:id="rId1531" display="Deed - Attribution-NonCommercial 4.0 International - Creative Commons"/>
    <hyperlink ref="H768" r:id="rId1532" display="https://www.inaturalist.org/observations/382884975"/>
    <hyperlink ref="G769" r:id="rId1533" display="Deed - Attribution-NonCommercial 4.0 International - Creative Commons"/>
    <hyperlink ref="H769" r:id="rId1534" display="https://www.inaturalist.org/observations/382884435"/>
    <hyperlink ref="G770" r:id="rId1535" display="Deed - Attribution-NonCommercial 4.0 International - Creative Commons"/>
    <hyperlink ref="H770" r:id="rId1536" display="https://www.inaturalist.org/observations/382873686"/>
    <hyperlink ref="G771" r:id="rId1537" display="Deed - Attribution-NonCommercial 4.0 International - Creative Commons"/>
    <hyperlink ref="H771" r:id="rId1538" display="https://www.inaturalist.org/observations/382870973"/>
    <hyperlink ref="G772" r:id="rId1539" display="Deed - Attribution-NonCommercial 4.0 International - Creative Commons"/>
    <hyperlink ref="H772" r:id="rId1540" display="https://www.inaturalist.org/observations/382867643"/>
    <hyperlink ref="G773" r:id="rId1541" display="Deed - Attribution-NonCommercial 4.0 International - Creative Commons"/>
    <hyperlink ref="H773" r:id="rId1542" display="https://www.inaturalist.org/observations/382867372"/>
    <hyperlink ref="G774" r:id="rId1543" display="Deed - Attribution-NonCommercial 4.0 International - Creative Commons"/>
    <hyperlink ref="H774" r:id="rId1544" display="https://www.inaturalist.org/observations/382867045"/>
    <hyperlink ref="G775" r:id="rId1545" display="Deed - Attribution-NonCommercial 4.0 International - Creative Commons"/>
    <hyperlink ref="H775" r:id="rId1546" display="https://www.inaturalist.org/observations/382851974"/>
    <hyperlink ref="G776" r:id="rId1547" display="Deed - Attribution-NonCommercial 4.0 International - Creative Commons"/>
    <hyperlink ref="H776" r:id="rId1548" display="https://www.inaturalist.org/observations/382849134"/>
    <hyperlink ref="G777" r:id="rId1549" display="Deed - Attribution-NonCommercial 4.0 International - Creative Commons"/>
    <hyperlink ref="H777" r:id="rId1550" display="https://www.inaturalist.org/observations/382839835"/>
    <hyperlink ref="G778" r:id="rId1551" display="Deed - Attribution-NonCommercial 4.0 International - Creative Commons"/>
    <hyperlink ref="H778" r:id="rId1552" display="https://www.inaturalist.org/observations/382826617"/>
    <hyperlink ref="G779" r:id="rId1553" display="Deed - Attribution-NonCommercial 4.0 International - Creative Commons"/>
    <hyperlink ref="H779" r:id="rId1554" display="https://www.inaturalist.org/observations/382824688"/>
    <hyperlink ref="G780" r:id="rId1555" display="Deed - Attribution-NonCommercial 4.0 International - Creative Commons"/>
    <hyperlink ref="H780" r:id="rId1556" display="https://www.inaturalist.org/observations/382811639"/>
    <hyperlink ref="G781" r:id="rId1557" display="Deed - Attribution-NonCommercial 4.0 International - Creative Commons"/>
    <hyperlink ref="H781" r:id="rId1558" display="https://www.inaturalist.org/observations/382801670"/>
    <hyperlink ref="G782" r:id="rId1559" display="Deed - Attribution-NonCommercial 4.0 International - Creative Commons"/>
    <hyperlink ref="H782" r:id="rId1560" display="https://www.inaturalist.org/observations/382780610"/>
    <hyperlink ref="G783" r:id="rId1561" display="Deed - Attribution-NonCommercial 4.0 International - Creative Commons"/>
    <hyperlink ref="H783" r:id="rId1562" display="https://www.inaturalist.org/observations/382780422"/>
    <hyperlink ref="G784" r:id="rId1563" display="Deed - Attribution-NonCommercial 4.0 International - Creative Commons"/>
    <hyperlink ref="H784" r:id="rId1564" display="https://www.inaturalist.org/observations/382770085"/>
    <hyperlink ref="G785" r:id="rId1565" display="Deed - Attribution-NonCommercial 4.0 International - Creative Commons"/>
    <hyperlink ref="H785" r:id="rId1566" display="https://www.inaturalist.org/observations/382769618"/>
    <hyperlink ref="G786" r:id="rId1567" display="Deed - Attribution-NonCommercial 4.0 International - Creative Commons"/>
    <hyperlink ref="H786" r:id="rId1568" display="https://www.inaturalist.org/observations/382767640"/>
    <hyperlink ref="G787" r:id="rId1569" display="Deed - Attribution-NonCommercial 4.0 International - Creative Commons"/>
    <hyperlink ref="H787" r:id="rId1570" display="https://www.inaturalist.org/observations/382766217"/>
    <hyperlink ref="G788" r:id="rId1571" display="Deed - Attribution-NonCommercial 4.0 International - Creative Commons"/>
    <hyperlink ref="H788" r:id="rId1572" display="https://www.inaturalist.org/observations/382763829"/>
    <hyperlink ref="G789" r:id="rId1573" display="Deed - Attribution-NonCommercial 4.0 International - Creative Commons"/>
    <hyperlink ref="H789" r:id="rId1574" display="https://www.inaturalist.org/observations/382757223"/>
    <hyperlink ref="G790" r:id="rId1575" display="Deed - Attribution-NonCommercial 4.0 International - Creative Commons"/>
    <hyperlink ref="H790" r:id="rId1576" display="https://www.inaturalist.org/observations/382756975"/>
    <hyperlink ref="G791" r:id="rId1577" display="Deed - Attribution-NonCommercial 4.0 International - Creative Commons"/>
    <hyperlink ref="H791" r:id="rId1578" display="https://www.inaturalist.org/observations/382755006"/>
    <hyperlink ref="G792" r:id="rId1579" display="Deed - Attribution-NonCommercial 4.0 International - Creative Commons"/>
    <hyperlink ref="H792" r:id="rId1580" display="https://www.inaturalist.org/observations/382753060"/>
    <hyperlink ref="G793" r:id="rId1581" display="Deed - Attribution-NonCommercial 4.0 International - Creative Commons"/>
    <hyperlink ref="H793" r:id="rId1582" display="https://www.inaturalist.org/observations/382751184"/>
    <hyperlink ref="G794" r:id="rId1583" display="Deed - Attribution-NonCommercial 4.0 International - Creative Commons"/>
    <hyperlink ref="H794" r:id="rId1584" display="https://www.inaturalist.org/observations/382749762"/>
    <hyperlink ref="G795" r:id="rId1585" display="Deed - Attribution-NonCommercial 4.0 International - Creative Commons"/>
    <hyperlink ref="H795" r:id="rId1586" display="https://www.inaturalist.org/observations/382747409"/>
    <hyperlink ref="G796" r:id="rId1587" display="Deed - Attribution-NonCommercial 4.0 International - Creative Commons"/>
    <hyperlink ref="H796" r:id="rId1588" display="https://www.inaturalist.org/observations/382744685"/>
    <hyperlink ref="G797" r:id="rId1589" display="Deed - Attribution-NonCommercial 4.0 International - Creative Commons"/>
    <hyperlink ref="H797" r:id="rId1590" display="https://www.inaturalist.org/observations/382706209"/>
    <hyperlink ref="G798" r:id="rId1591" display="Deed - Attribution-NonCommercial 4.0 International - Creative Commons"/>
    <hyperlink ref="H798" r:id="rId1592" display="https://www.inaturalist.org/observations/382694632"/>
    <hyperlink ref="G799" r:id="rId1593" display="Deed - Attribution-NonCommercial 4.0 International - Creative Commons"/>
    <hyperlink ref="H799" r:id="rId1594" display="https://www.inaturalist.org/observations/382683229"/>
    <hyperlink ref="G800" r:id="rId1595" display="Deed - Attribution-NonCommercial 4.0 International - Creative Commons"/>
    <hyperlink ref="H800" r:id="rId1596" display="https://www.inaturalist.org/observations/382681392"/>
    <hyperlink ref="G801" r:id="rId1597" display="Deed - Attribution-NonCommercial 4.0 International - Creative Commons"/>
    <hyperlink ref="H801" r:id="rId1598" display="https://www.inaturalist.org/observations/382679495"/>
    <hyperlink ref="G802" r:id="rId1599" display="Deed - Attribution-NonCommercial 4.0 International - Creative Commons"/>
    <hyperlink ref="H802" r:id="rId1600" display="https://www.inaturalist.org/observations/382666678"/>
    <hyperlink ref="G803" r:id="rId1601" display="Deed - Attribution-NonCommercial 4.0 International - Creative Commons"/>
    <hyperlink ref="H803" r:id="rId1602" display="https://www.inaturalist.org/observations/382656466"/>
    <hyperlink ref="G804" r:id="rId1603" display="Deed - Attribution-NonCommercial 4.0 International - Creative Commons"/>
    <hyperlink ref="H804" r:id="rId1604" display="https://www.inaturalist.org/observations/382648577"/>
    <hyperlink ref="G805" r:id="rId1605" display="Deed - Attribution-NonCommercial 4.0 International - Creative Commons"/>
    <hyperlink ref="H805" r:id="rId1606" display="https://www.inaturalist.org/observations/382640747"/>
    <hyperlink ref="G806" r:id="rId1607" display="Deed - Attribution-NonCommercial 4.0 International - Creative Commons"/>
    <hyperlink ref="H806" r:id="rId1608" display="https://www.inaturalist.org/observations/382638296"/>
    <hyperlink ref="G807" r:id="rId1609" display="Deed - Attribution-NonCommercial 4.0 International - Creative Commons"/>
    <hyperlink ref="H807" r:id="rId1610" display="https://www.inaturalist.org/observations/382629045"/>
    <hyperlink ref="G808" r:id="rId1611" display="Deed - Attribution-NonCommercial 4.0 International - Creative Commons"/>
    <hyperlink ref="H808" r:id="rId1612" display="https://www.inaturalist.org/observations/382629044"/>
    <hyperlink ref="G809" r:id="rId1613" display="Deed - Attribution-NonCommercial 4.0 International - Creative Commons"/>
    <hyperlink ref="H809" r:id="rId1614" display="https://www.inaturalist.org/observations/382607301"/>
    <hyperlink ref="G810" r:id="rId1615" display="Deed - Attribution-NonCommercial 4.0 International - Creative Commons"/>
    <hyperlink ref="H810" r:id="rId1616" display="https://www.inaturalist.org/observations/382596040"/>
    <hyperlink ref="G811" r:id="rId1617" display="Deed - Attribution-NonCommercial 4.0 International - Creative Commons"/>
    <hyperlink ref="H811" r:id="rId1618" display="https://www.inaturalist.org/observations/382587800"/>
    <hyperlink ref="G812" r:id="rId1619" display="Deed - Attribution-NonCommercial 4.0 International - Creative Commons"/>
    <hyperlink ref="H812" r:id="rId1620" display="https://www.inaturalist.org/observations/382576738"/>
    <hyperlink ref="G813" r:id="rId1621" display="Deed - Attribution-NonCommercial 4.0 International - Creative Commons"/>
    <hyperlink ref="H813" r:id="rId1622" display="https://www.inaturalist.org/observations/382573046"/>
    <hyperlink ref="G814" r:id="rId1623" display="Deed - Attribution-NonCommercial 4.0 International - Creative Commons"/>
    <hyperlink ref="H814" r:id="rId1624" display="https://www.inaturalist.org/observations/382566613"/>
    <hyperlink ref="G815" r:id="rId1625" display="Deed - Attribution-NonCommercial 4.0 International - Creative Commons"/>
    <hyperlink ref="H815" r:id="rId1626" display="https://www.inaturalist.org/observations/382559185"/>
    <hyperlink ref="G816" r:id="rId1627" display="Deed - Attribution-NonCommercial 4.0 International - Creative Commons"/>
    <hyperlink ref="H816" r:id="rId1628" display="https://www.inaturalist.org/observations/382552883"/>
    <hyperlink ref="G817" r:id="rId1629" display="Deed - Attribution-NonCommercial 4.0 International - Creative Commons"/>
    <hyperlink ref="H817" r:id="rId1630" display="https://www.inaturalist.org/observations/382539691"/>
    <hyperlink ref="G818" r:id="rId1631" display="Deed - Attribution-NonCommercial 4.0 International - Creative Commons"/>
    <hyperlink ref="H818" r:id="rId1632" display="https://www.inaturalist.org/observations/382534127"/>
    <hyperlink ref="G819" r:id="rId1633" display="Deed - Attribution-NonCommercial 4.0 International - Creative Commons"/>
    <hyperlink ref="H819" r:id="rId1634" display="https://www.inaturalist.org/observations/382519374"/>
    <hyperlink ref="G820" r:id="rId1635" display="Deed - Attribution-NonCommercial 4.0 International - Creative Commons"/>
    <hyperlink ref="H820" r:id="rId1636" display="https://www.inaturalist.org/observations/382514451"/>
    <hyperlink ref="G821" r:id="rId1637" display="Deed - Attribution-NonCommercial 4.0 International - Creative Commons"/>
    <hyperlink ref="H821" r:id="rId1638" display="https://www.inaturalist.org/observations/382501683"/>
    <hyperlink ref="G822" r:id="rId1639" display="Deed - Attribution-NonCommercial 4.0 International - Creative Commons"/>
    <hyperlink ref="H822" r:id="rId1640" display="https://www.inaturalist.org/observations/382501148"/>
    <hyperlink ref="G823" r:id="rId1641" display="Deed - Attribution-NonCommercial 4.0 International - Creative Commons"/>
    <hyperlink ref="H823" r:id="rId1642" display="https://www.inaturalist.org/observations/382498733"/>
    <hyperlink ref="G824" r:id="rId1643" display="Deed - Attribution-NonCommercial 4.0 International - Creative Commons"/>
    <hyperlink ref="H824" r:id="rId1644" display="https://www.inaturalist.org/observations/382484711"/>
    <hyperlink ref="G825" r:id="rId1645" display="Deed - Attribution-NonCommercial 4.0 International - Creative Commons"/>
    <hyperlink ref="H825" r:id="rId1646" display="https://www.inaturalist.org/observations/382481932"/>
    <hyperlink ref="G826" r:id="rId1647" display="Deed - Attribution-NonCommercial 4.0 International - Creative Commons"/>
    <hyperlink ref="H826" r:id="rId1648" display="https://www.inaturalist.org/observations/382481464"/>
    <hyperlink ref="G827" r:id="rId1649" display="Deed - Attribution-NonCommercial 4.0 International - Creative Commons"/>
    <hyperlink ref="H827" r:id="rId1650" display="https://www.inaturalist.org/observations/382478119"/>
    <hyperlink ref="G828" r:id="rId1651" display="Deed - Attribution-NonCommercial 4.0 International - Creative Commons"/>
    <hyperlink ref="H828" r:id="rId1652" display="https://www.inaturalist.org/observations/382452878"/>
    <hyperlink ref="G829" r:id="rId1653" display="Deed - Attribution-NonCommercial 4.0 International - Creative Commons"/>
    <hyperlink ref="H829" r:id="rId1654" display="https://www.inaturalist.org/observations/382446841"/>
    <hyperlink ref="G830" r:id="rId1655" display="Deed - Attribution-NonCommercial 4.0 International - Creative Commons"/>
    <hyperlink ref="H830" r:id="rId1656" display="https://www.inaturalist.org/observations/382443154"/>
    <hyperlink ref="G831" r:id="rId1657" display="Deed - Attribution-NonCommercial 4.0 International - Creative Commons"/>
    <hyperlink ref="H831" r:id="rId1658" display="https://www.inaturalist.org/observations/382432675"/>
    <hyperlink ref="G832" r:id="rId1659" display="Deed - Attribution-NonCommercial 4.0 International - Creative Commons"/>
    <hyperlink ref="H832" r:id="rId1660" display="https://www.inaturalist.org/observations/382396547"/>
    <hyperlink ref="G833" r:id="rId1661" display="Deed - Attribution-NonCommercial 4.0 International - Creative Commons"/>
    <hyperlink ref="H833" r:id="rId1662" display="https://www.inaturalist.org/observations/382395156"/>
    <hyperlink ref="G834" r:id="rId1663" display="Deed - Attribution-NonCommercial 4.0 International - Creative Commons"/>
    <hyperlink ref="H834" r:id="rId1664" display="https://www.inaturalist.org/observations/382382585"/>
    <hyperlink ref="G835" r:id="rId1665" display="Deed - Attribution-NonCommercial 4.0 International - Creative Commons"/>
    <hyperlink ref="H835" r:id="rId1666" display="https://www.inaturalist.org/observations/382377058"/>
    <hyperlink ref="G836" r:id="rId1667" display="Deed - Attribution-NonCommercial 4.0 International - Creative Commons"/>
    <hyperlink ref="H836" r:id="rId1668" display="https://www.inaturalist.org/observations/382371372"/>
    <hyperlink ref="G837" r:id="rId1669" display="Deed - Attribution-NonCommercial 4.0 International - Creative Commons"/>
    <hyperlink ref="H837" r:id="rId1670" display="https://www.inaturalist.org/observations/382367951"/>
    <hyperlink ref="G838" r:id="rId1671" display="Deed - Attribution-NonCommercial 4.0 International - Creative Commons"/>
    <hyperlink ref="H838" r:id="rId1672" display="https://www.inaturalist.org/observations/382357262"/>
    <hyperlink ref="G839" r:id="rId1673" display="Deed - Attribution-NonCommercial 4.0 International - Creative Commons"/>
    <hyperlink ref="H839" r:id="rId1674" display="https://www.inaturalist.org/observations/382333822"/>
    <hyperlink ref="G840" r:id="rId1675" display="Deed - Attribution-NonCommercial 4.0 International - Creative Commons"/>
    <hyperlink ref="H840" r:id="rId1676" display="https://www.inaturalist.org/observations/382333774"/>
    <hyperlink ref="G841" r:id="rId1677" display="Deed - Attribution-NonCommercial 4.0 International - Creative Commons"/>
    <hyperlink ref="H841" r:id="rId1678" display="https://www.inaturalist.org/observations/382329721"/>
    <hyperlink ref="G842" r:id="rId1679" display="Deed - Attribution-NonCommercial 4.0 International - Creative Commons"/>
    <hyperlink ref="H842" r:id="rId1680" display="https://www.inaturalist.org/observations/382328446"/>
    <hyperlink ref="G843" r:id="rId1681" display="Deed - Attribution-NonCommercial 4.0 International - Creative Commons"/>
    <hyperlink ref="H843" r:id="rId1682" display="https://www.inaturalist.org/observations/382320201"/>
    <hyperlink ref="G844" r:id="rId1683" display="Deed - Attribution-NonCommercial 4.0 International - Creative Commons"/>
    <hyperlink ref="H844" r:id="rId1684" display="https://www.inaturalist.org/observations/382319599"/>
    <hyperlink ref="G845" r:id="rId1685" display="Deed - Attribution-NonCommercial 4.0 International - Creative Commons"/>
    <hyperlink ref="H845" r:id="rId1686" display="https://www.inaturalist.org/observations/382316970"/>
    <hyperlink ref="G846" r:id="rId1687" display="Deed - Attribution-NonCommercial 4.0 International - Creative Commons"/>
    <hyperlink ref="H846" r:id="rId1688" display="https://www.inaturalist.org/observations/382312107"/>
    <hyperlink ref="G847" r:id="rId1689" display="Deed - Attribution-NonCommercial 4.0 International - Creative Commons"/>
    <hyperlink ref="H847" r:id="rId1690" display="https://www.inaturalist.org/observations/382311032"/>
    <hyperlink ref="G848" r:id="rId1691" display="Deed - Attribution-NonCommercial 4.0 International - Creative Commons"/>
    <hyperlink ref="H848" r:id="rId1692" display="https://www.inaturalist.org/observations/382302900"/>
    <hyperlink ref="G849" r:id="rId1693" display="Deed - Attribution-NonCommercial 4.0 International - Creative Commons"/>
    <hyperlink ref="H849" r:id="rId1694" display="https://www.inaturalist.org/observations/382295303"/>
    <hyperlink ref="G850" r:id="rId1695" display="Deed - Attribution-NonCommercial 4.0 International - Creative Commons"/>
    <hyperlink ref="H850" r:id="rId1696" display="https://www.inaturalist.org/observations/382259296"/>
    <hyperlink ref="G851" r:id="rId1697" display="Deed - Attribution-NonCommercial 4.0 International - Creative Commons"/>
    <hyperlink ref="H851" r:id="rId1698" display="https://www.inaturalist.org/observations/382253405"/>
    <hyperlink ref="G852" r:id="rId1699" display="Deed - Attribution-NonCommercial 4.0 International - Creative Commons"/>
    <hyperlink ref="H852" r:id="rId1700" display="https://www.inaturalist.org/observations/382250978"/>
    <hyperlink ref="G853" r:id="rId1701" display="Deed - Attribution-NonCommercial 4.0 International - Creative Commons"/>
    <hyperlink ref="H853" r:id="rId1702" display="https://www.inaturalist.org/observations/382243524"/>
    <hyperlink ref="G854" r:id="rId1703" display="Deed - Attribution-NonCommercial 4.0 International - Creative Commons"/>
    <hyperlink ref="H854" r:id="rId1704" display="https://www.inaturalist.org/observations/382236909"/>
    <hyperlink ref="G855" r:id="rId1705" display="Deed - Attribution-NonCommercial 4.0 International - Creative Commons"/>
    <hyperlink ref="H855" r:id="rId1706" display="https://www.inaturalist.org/observations/382236573"/>
    <hyperlink ref="G856" r:id="rId1707" display="Deed - Attribution-NonCommercial 4.0 International - Creative Commons"/>
    <hyperlink ref="H856" r:id="rId1708" display="https://www.inaturalist.org/observations/382235163"/>
    <hyperlink ref="G857" r:id="rId1709" display="Deed - Attribution-NonCommercial 4.0 International - Creative Commons"/>
    <hyperlink ref="H857" r:id="rId1710" display="https://www.inaturalist.org/observations/382208685"/>
    <hyperlink ref="G858" r:id="rId1711" display="Deed - Attribution-NonCommercial 4.0 International - Creative Commons"/>
    <hyperlink ref="H858" r:id="rId1712" display="https://www.inaturalist.org/observations/382195769"/>
    <hyperlink ref="G859" r:id="rId1713" display="Deed - Attribution-NonCommercial 4.0 International - Creative Commons"/>
    <hyperlink ref="H859" r:id="rId1714" display="https://www.inaturalist.org/observations/382186575"/>
    <hyperlink ref="G860" r:id="rId1715" display="Deed - Attribution-NonCommercial 4.0 International - Creative Commons"/>
    <hyperlink ref="H860" r:id="rId1716" display="https://www.inaturalist.org/observations/382171010"/>
    <hyperlink ref="G861" r:id="rId1717" display="Deed - Attribution-NonCommercial 4.0 International - Creative Commons"/>
    <hyperlink ref="H861" r:id="rId1718" display="https://www.inaturalist.org/observations/382155965"/>
    <hyperlink ref="G862" r:id="rId1719" display="Deed - Attribution-NonCommercial 4.0 International - Creative Commons"/>
    <hyperlink ref="H862" r:id="rId1720" display="https://www.inaturalist.org/observations/382152227"/>
    <hyperlink ref="G863" r:id="rId1721" display="Deed - Attribution-NonCommercial 4.0 International - Creative Commons"/>
    <hyperlink ref="H863" r:id="rId1722" display="https://www.inaturalist.org/observations/382150154"/>
    <hyperlink ref="G864" r:id="rId1723" display="Deed - Attribution-NonCommercial 4.0 International - Creative Commons"/>
    <hyperlink ref="H864" r:id="rId1724" display="https://www.inaturalist.org/observations/382149370"/>
    <hyperlink ref="G865" r:id="rId1725" display="Deed - Attribution-NonCommercial 4.0 International - Creative Commons"/>
    <hyperlink ref="H865" r:id="rId1726" display="https://www.inaturalist.org/observations/382146948"/>
    <hyperlink ref="G866" r:id="rId1727" display="Deed - Attribution-NonCommercial 4.0 International - Creative Commons"/>
    <hyperlink ref="H866" r:id="rId1728" display="https://www.inaturalist.org/observations/382141670"/>
    <hyperlink ref="G867" r:id="rId1729" display="Deed - Attribution-NonCommercial 4.0 International - Creative Commons"/>
    <hyperlink ref="H867" r:id="rId1730" display="https://www.inaturalist.org/observations/382135059"/>
    <hyperlink ref="G868" r:id="rId1731" display="Deed - Attribution-NonCommercial 4.0 International - Creative Commons"/>
    <hyperlink ref="H868" r:id="rId1732" display="https://www.inaturalist.org/observations/382128249"/>
    <hyperlink ref="G869" r:id="rId1733" display="Deed - Attribution-NonCommercial 4.0 International - Creative Commons"/>
    <hyperlink ref="H869" r:id="rId1734" display="https://www.inaturalist.org/observations/382117120"/>
    <hyperlink ref="G870" r:id="rId1735" display="Deed - Attribution-NonCommercial 4.0 International - Creative Commons"/>
    <hyperlink ref="H870" r:id="rId1736" display="https://www.inaturalist.org/observations/382095188"/>
    <hyperlink ref="G871" r:id="rId1737" display="Deed - Attribution-NonCommercial 4.0 International - Creative Commons"/>
    <hyperlink ref="H871" r:id="rId1738" display="https://www.inaturalist.org/observations/382066587"/>
    <hyperlink ref="G872" r:id="rId1739" display="Deed - Attribution-NonCommercial 4.0 International - Creative Commons"/>
    <hyperlink ref="H872" r:id="rId1740" display="https://www.inaturalist.org/observations/382062710"/>
    <hyperlink ref="G873" r:id="rId1741" display="Deed - Attribution-NonCommercial 4.0 International - Creative Commons"/>
    <hyperlink ref="H873" r:id="rId1742" display="https://www.inaturalist.org/observations/382061331"/>
    <hyperlink ref="G874" r:id="rId1743" display="Deed - Attribution-NonCommercial 4.0 International - Creative Commons"/>
    <hyperlink ref="H874" r:id="rId1744" display="https://www.inaturalist.org/observations/382053937"/>
    <hyperlink ref="G875" r:id="rId1745" display="Deed - Attribution-NonCommercial 4.0 International - Creative Commons"/>
    <hyperlink ref="H875" r:id="rId1746" display="https://www.inaturalist.org/observations/382053614"/>
    <hyperlink ref="G876" r:id="rId1747" display="Deed - Attribution-NonCommercial 4.0 International - Creative Commons"/>
    <hyperlink ref="H876" r:id="rId1748" display="https://www.inaturalist.org/observations/382013663"/>
    <hyperlink ref="G877" r:id="rId1749" display="Deed - Attribution-NonCommercial 4.0 International - Creative Commons"/>
    <hyperlink ref="H877" r:id="rId1750" display="https://www.inaturalist.org/observations/382002986"/>
    <hyperlink ref="G878" r:id="rId1751" display="Deed - Attribution-NonCommercial 4.0 International - Creative Commons"/>
    <hyperlink ref="H878" r:id="rId1752" display="https://www.inaturalist.org/observations/381998570"/>
    <hyperlink ref="G879" r:id="rId1753" display="Deed - Attribution-NonCommercial 4.0 International - Creative Commons"/>
    <hyperlink ref="H879" r:id="rId1754" display="https://www.inaturalist.org/observations/381988220"/>
    <hyperlink ref="G880" r:id="rId1755" display="Deed - Attribution-NonCommercial 4.0 International - Creative Commons"/>
    <hyperlink ref="H880" r:id="rId1756" display="https://www.inaturalist.org/observations/381958568"/>
    <hyperlink ref="G881" r:id="rId1757" display="Deed - Attribution-NonCommercial 4.0 International - Creative Commons"/>
    <hyperlink ref="H881" r:id="rId1758" display="https://www.inaturalist.org/observations/381958533"/>
    <hyperlink ref="G882" r:id="rId1759" display="Deed - Attribution-NonCommercial 4.0 International - Creative Commons"/>
    <hyperlink ref="H882" r:id="rId1760" display="https://www.inaturalist.org/observations/381940754"/>
    <hyperlink ref="G883" r:id="rId1761" display="Deed - Attribution-NonCommercial 4.0 International - Creative Commons"/>
    <hyperlink ref="H883" r:id="rId1762" display="https://www.inaturalist.org/observations/381914588"/>
    <hyperlink ref="G884" r:id="rId1763" display="Deed - Attribution-NonCommercial 4.0 International - Creative Commons"/>
    <hyperlink ref="H884" r:id="rId1764" display="https://www.inaturalist.org/observations/381908755"/>
    <hyperlink ref="G885" r:id="rId1765" display="Deed - Attribution-NonCommercial 4.0 International - Creative Commons"/>
    <hyperlink ref="H885" r:id="rId1766" display="https://www.inaturalist.org/observations/381897910"/>
    <hyperlink ref="G886" r:id="rId1767" display="Deed - Attribution-NonCommercial 4.0 International - Creative Commons"/>
    <hyperlink ref="H886" r:id="rId1768" display="https://www.inaturalist.org/observations/381861306"/>
    <hyperlink ref="G887" r:id="rId1769" display="Deed - Attribution-NonCommercial 4.0 International - Creative Commons"/>
    <hyperlink ref="H887" r:id="rId1770" display="https://www.inaturalist.org/observations/381856876"/>
    <hyperlink ref="G888" r:id="rId1771" display="Deed - Attribution-NonCommercial 4.0 International - Creative Commons"/>
    <hyperlink ref="H888" r:id="rId1772" display="https://www.inaturalist.org/observations/381839200"/>
    <hyperlink ref="G889" r:id="rId1773" display="Deed - Attribution-NonCommercial 4.0 International - Creative Commons"/>
    <hyperlink ref="H889" r:id="rId1774" display="https://www.inaturalist.org/observations/381828287"/>
    <hyperlink ref="G890" r:id="rId1775" display="Deed - Attribution-NonCommercial 4.0 International - Creative Commons"/>
    <hyperlink ref="H890" r:id="rId1776" display="https://www.inaturalist.org/observations/381803545"/>
    <hyperlink ref="G891" r:id="rId1777" display="Deed - Attribution-NonCommercial 4.0 International - Creative Commons"/>
    <hyperlink ref="H891" r:id="rId1778" display="https://www.inaturalist.org/observations/381801451"/>
    <hyperlink ref="G892" r:id="rId1779" display="Deed - Attribution-NonCommercial 4.0 International - Creative Commons"/>
    <hyperlink ref="H892" r:id="rId1780" display="https://www.inaturalist.org/observations/381791323"/>
    <hyperlink ref="G893" r:id="rId1781" display="Deed - Attribution-NonCommercial 4.0 International - Creative Commons"/>
    <hyperlink ref="H893" r:id="rId1782" display="https://www.inaturalist.org/observations/381781961"/>
    <hyperlink ref="G894" r:id="rId1783" display="Deed - Attribution-NonCommercial 4.0 International - Creative Commons"/>
    <hyperlink ref="H894" r:id="rId1784" display="https://www.inaturalist.org/observations/381781887"/>
    <hyperlink ref="G895" r:id="rId1785" display="Deed - Attribution-NonCommercial 4.0 International - Creative Commons"/>
    <hyperlink ref="H895" r:id="rId1786" display="https://www.inaturalist.org/observations/381781878"/>
    <hyperlink ref="G896" r:id="rId1787" display="Deed - Attribution-NonCommercial 4.0 International - Creative Commons"/>
    <hyperlink ref="H896" r:id="rId1788" display="https://www.inaturalist.org/observations/381781869"/>
    <hyperlink ref="G897" r:id="rId1789" display="Deed - Attribution-NonCommercial 4.0 International - Creative Commons"/>
    <hyperlink ref="H897" r:id="rId1790" display="https://www.inaturalist.org/observations/381781863"/>
    <hyperlink ref="G898" r:id="rId1791" display="Deed - Attribution-NonCommercial 4.0 International - Creative Commons"/>
    <hyperlink ref="H898" r:id="rId1792" display="https://www.inaturalist.org/observations/381781830"/>
    <hyperlink ref="G899" r:id="rId1793" display="Deed - Attribution-NonCommercial 4.0 International - Creative Commons"/>
    <hyperlink ref="H899" r:id="rId1794" display="https://www.inaturalist.org/observations/381777070"/>
    <hyperlink ref="G900" r:id="rId1795" display="Deed - Attribution-NonCommercial 4.0 International - Creative Commons"/>
    <hyperlink ref="H900" r:id="rId1796" display="https://www.inaturalist.org/observations/381765648"/>
    <hyperlink ref="G901" r:id="rId1797" display="Deed - Attribution-NonCommercial 4.0 International - Creative Commons"/>
    <hyperlink ref="H901" r:id="rId1798" display="https://www.inaturalist.org/observations/381723229"/>
    <hyperlink ref="G902" r:id="rId1799" display="Deed - Attribution-NonCommercial 4.0 International - Creative Commons"/>
    <hyperlink ref="H902" r:id="rId1800" display="https://www.inaturalist.org/observations/381696546"/>
    <hyperlink ref="G903" r:id="rId1801" display="Deed - Attribution-NonCommercial 4.0 International - Creative Commons"/>
    <hyperlink ref="H903" r:id="rId1802" display="https://www.inaturalist.org/observations/381674476"/>
    <hyperlink ref="G904" r:id="rId1803" display="Deed - Attribution-NonCommercial 4.0 International - Creative Commons"/>
    <hyperlink ref="H904" r:id="rId1804" display="https://www.inaturalist.org/observations/381632555"/>
    <hyperlink ref="G905" r:id="rId1805" display="Deed - Attribution-NonCommercial 4.0 International - Creative Commons"/>
    <hyperlink ref="H905" r:id="rId1806" display="https://www.inaturalist.org/observations/381630417"/>
    <hyperlink ref="G906" r:id="rId1807" display="Deed - Attribution-NonCommercial 4.0 International - Creative Commons"/>
    <hyperlink ref="H906" r:id="rId1808" display="https://www.inaturalist.org/observations/381627394"/>
    <hyperlink ref="G907" r:id="rId1809" display="Deed - Attribution-NonCommercial 4.0 International - Creative Commons"/>
    <hyperlink ref="H907" r:id="rId1810" display="https://www.inaturalist.org/observations/381606173"/>
    <hyperlink ref="G908" r:id="rId1811" display="Deed - Attribution-NonCommercial 4.0 International - Creative Commons"/>
    <hyperlink ref="H908" r:id="rId1812" display="https://www.inaturalist.org/observations/381595161"/>
    <hyperlink ref="G909" r:id="rId1813" display="Deed - Attribution-NonCommercial 4.0 International - Creative Commons"/>
    <hyperlink ref="H909" r:id="rId1814" display="https://www.inaturalist.org/observations/381584072"/>
    <hyperlink ref="G910" r:id="rId1815" display="Deed - Attribution-NonCommercial 4.0 International - Creative Commons"/>
    <hyperlink ref="H910" r:id="rId1816" display="https://www.inaturalist.org/observations/381574809"/>
    <hyperlink ref="G911" r:id="rId1817" display="Deed - Attribution-NonCommercial 4.0 International - Creative Commons"/>
    <hyperlink ref="H911" r:id="rId1818" display="https://www.inaturalist.org/observations/381558393"/>
    <hyperlink ref="G912" r:id="rId1819" display="Deed - Attribution-NonCommercial 4.0 International - Creative Commons"/>
    <hyperlink ref="H912" r:id="rId1820" display="https://www.inaturalist.org/observations/381532215"/>
    <hyperlink ref="G913" r:id="rId1821" display="Deed - Attribution-NonCommercial 4.0 International - Creative Commons"/>
    <hyperlink ref="H913" r:id="rId1822" display="https://www.inaturalist.org/observations/381532131"/>
    <hyperlink ref="G914" r:id="rId1823" display="Deed - Attribution-NonCommercial 4.0 International - Creative Commons"/>
    <hyperlink ref="H914" r:id="rId1824" display="https://www.inaturalist.org/observations/381527379"/>
    <hyperlink ref="G915" r:id="rId1825" display="Deed - Attribution-NonCommercial 4.0 International - Creative Commons"/>
    <hyperlink ref="H915" r:id="rId1826" display="https://www.inaturalist.org/observations/381521143"/>
    <hyperlink ref="G916" r:id="rId1827" display="Deed - Attribution-NonCommercial 4.0 International - Creative Commons"/>
    <hyperlink ref="H916" r:id="rId1828" display="https://www.inaturalist.org/observations/381509233"/>
    <hyperlink ref="G917" r:id="rId1829" display="Deed - Attribution-NonCommercial 4.0 International - Creative Commons"/>
    <hyperlink ref="H917" r:id="rId1830" display="https://www.inaturalist.org/observations/381498041"/>
    <hyperlink ref="G918" r:id="rId1831" display="Deed - Attribution-NonCommercial 4.0 International - Creative Commons"/>
    <hyperlink ref="H918" r:id="rId1832" display="https://www.inaturalist.org/observations/381484719"/>
    <hyperlink ref="G919" r:id="rId1833" display="Deed - Attribution-NonCommercial 4.0 International - Creative Commons"/>
    <hyperlink ref="H919" r:id="rId1834" display="https://www.inaturalist.org/observations/381469981"/>
    <hyperlink ref="G920" r:id="rId1835" display="Deed - Attribution-NonCommercial 4.0 International - Creative Commons"/>
    <hyperlink ref="H920" r:id="rId1836" display="https://www.inaturalist.org/observations/381464511"/>
    <hyperlink ref="G921" r:id="rId1837" display="Deed - Attribution-NonCommercial 4.0 International - Creative Commons"/>
    <hyperlink ref="H921" r:id="rId1838" display="https://www.inaturalist.org/observations/381463569"/>
    <hyperlink ref="G922" r:id="rId1839" display="Deed - Attribution-NonCommercial 4.0 International - Creative Commons"/>
    <hyperlink ref="H922" r:id="rId1840" display="https://www.inaturalist.org/observations/381446606"/>
    <hyperlink ref="G923" r:id="rId1841" display="Deed - Attribution-NonCommercial 4.0 International - Creative Commons"/>
    <hyperlink ref="H923" r:id="rId1842" display="https://www.inaturalist.org/observations/381441603"/>
    <hyperlink ref="G924" r:id="rId1843" display="Deed - Attribution-NonCommercial 4.0 International - Creative Commons"/>
    <hyperlink ref="H924" r:id="rId1844" display="https://www.inaturalist.org/observations/381354195"/>
    <hyperlink ref="G925" r:id="rId1845" display="Deed - Attribution-NonCommercial 4.0 International - Creative Commons"/>
    <hyperlink ref="H925" r:id="rId1846" display="https://www.inaturalist.org/observations/381351460"/>
    <hyperlink ref="G926" r:id="rId1847" display="Deed - Attribution-NonCommercial 4.0 International - Creative Commons"/>
    <hyperlink ref="H926" r:id="rId1848" display="https://www.inaturalist.org/observations/381347918"/>
    <hyperlink ref="G927" r:id="rId1849" display="Deed - Attribution-NonCommercial 4.0 International - Creative Commons"/>
    <hyperlink ref="H927" r:id="rId1850" display="https://www.inaturalist.org/observations/381337037"/>
    <hyperlink ref="G928" r:id="rId1851" display="Deed - Attribution-NonCommercial 4.0 International - Creative Commons"/>
    <hyperlink ref="H928" r:id="rId1852" display="https://www.inaturalist.org/observations/381303541"/>
    <hyperlink ref="G929" r:id="rId1853" display="Deed - Attribution-NonCommercial 4.0 International - Creative Commons"/>
    <hyperlink ref="H929" r:id="rId1854" display="https://www.inaturalist.org/observations/381301952"/>
    <hyperlink ref="G930" r:id="rId1855" display="Deed - Attribution-NonCommercial 4.0 International - Creative Commons"/>
    <hyperlink ref="H930" r:id="rId1856" display="https://www.inaturalist.org/observations/381297140"/>
    <hyperlink ref="G931" r:id="rId1857" display="Deed - Attribution-NonCommercial 4.0 International - Creative Commons"/>
    <hyperlink ref="H931" r:id="rId1858" display="https://www.inaturalist.org/observations/381287827"/>
    <hyperlink ref="G932" r:id="rId1859" display="Deed - Attribution-NonCommercial 4.0 International - Creative Commons"/>
    <hyperlink ref="H932" r:id="rId1860" display="https://www.inaturalist.org/observations/381278959"/>
    <hyperlink ref="G933" r:id="rId1861" display="Deed - Attribution-NonCommercial 4.0 International - Creative Commons"/>
    <hyperlink ref="H933" r:id="rId1862" display="https://www.inaturalist.org/observations/381250633"/>
    <hyperlink ref="G934" r:id="rId1863" display="Deed - Attribution-NonCommercial 4.0 International - Creative Commons"/>
    <hyperlink ref="H934" r:id="rId1864" display="https://www.inaturalist.org/observations/381237193"/>
    <hyperlink ref="G935" r:id="rId1865" display="Deed - Attribution-NonCommercial 4.0 International - Creative Commons"/>
    <hyperlink ref="H935" r:id="rId1866" display="https://www.inaturalist.org/observations/381228632"/>
    <hyperlink ref="G936" r:id="rId1867" display="Deed - Attribution-NonCommercial 4.0 International - Creative Commons"/>
    <hyperlink ref="H936" r:id="rId1868" display="https://www.inaturalist.org/observations/381214382"/>
    <hyperlink ref="G937" r:id="rId1869" display="Deed - Attribution-NonCommercial 4.0 International - Creative Commons"/>
    <hyperlink ref="H937" r:id="rId1870" display="https://www.inaturalist.org/observations/381209846"/>
    <hyperlink ref="G938" r:id="rId1871" display="Deed - Attribution-NonCommercial 4.0 International - Creative Commons"/>
    <hyperlink ref="H938" r:id="rId1872" display="https://www.inaturalist.org/observations/381195548"/>
    <hyperlink ref="G939" r:id="rId1873" display="Deed - Attribution-NonCommercial 4.0 International - Creative Commons"/>
    <hyperlink ref="H939" r:id="rId1874" display="https://www.inaturalist.org/observations/381178789"/>
    <hyperlink ref="G940" r:id="rId1875" display="Deed - Attribution-NonCommercial 4.0 International - Creative Commons"/>
    <hyperlink ref="H940" r:id="rId1876" display="https://www.inaturalist.org/observations/381167972"/>
    <hyperlink ref="G941" r:id="rId1877" display="Deed - Attribution-NonCommercial 4.0 International - Creative Commons"/>
    <hyperlink ref="H941" r:id="rId1878" display="https://www.inaturalist.org/observations/381156305"/>
    <hyperlink ref="G942" r:id="rId1879" display="Deed - Attribution-NonCommercial 4.0 International - Creative Commons"/>
    <hyperlink ref="H942" r:id="rId1880" display="https://www.inaturalist.org/observations/381152969"/>
    <hyperlink ref="G943" r:id="rId1881" display="Deed - Attribution-NonCommercial 4.0 International - Creative Commons"/>
    <hyperlink ref="H943" r:id="rId1882" display="https://www.inaturalist.org/observations/381149576"/>
    <hyperlink ref="G944" r:id="rId1883" display="Deed - Attribution-NonCommercial 4.0 International - Creative Commons"/>
    <hyperlink ref="H944" r:id="rId1884" display="https://www.inaturalist.org/observations/381134438"/>
    <hyperlink ref="G945" r:id="rId1885" display="Deed - Attribution-NonCommercial 4.0 International - Creative Commons"/>
    <hyperlink ref="H945" r:id="rId1886" display="https://www.inaturalist.org/observations/381124056"/>
    <hyperlink ref="G946" r:id="rId1887" display="Deed - Attribution-NonCommercial 4.0 International - Creative Commons"/>
    <hyperlink ref="H946" r:id="rId1888" display="https://www.inaturalist.org/observations/381105610"/>
    <hyperlink ref="G947" r:id="rId1889" display="Deed - Attribution-NonCommercial 4.0 International - Creative Commons"/>
    <hyperlink ref="H947" r:id="rId1890" display="https://www.inaturalist.org/observations/381089961"/>
    <hyperlink ref="G948" r:id="rId1891" display="Deed - Attribution-NonCommercial 4.0 International - Creative Commons"/>
    <hyperlink ref="H948" r:id="rId1892" display="https://www.inaturalist.org/observations/381042239"/>
    <hyperlink ref="G949" r:id="rId1893" display="Deed - Attribution-NonCommercial 4.0 International - Creative Commons"/>
    <hyperlink ref="H949" r:id="rId1894" display="https://www.inaturalist.org/observations/381015459"/>
    <hyperlink ref="G950" r:id="rId1895" display="Deed - Attribution-NonCommercial 4.0 International - Creative Commons"/>
    <hyperlink ref="H950" r:id="rId1896" display="https://www.inaturalist.org/observations/380998647"/>
    <hyperlink ref="G951" r:id="rId1897" display="Deed - Attribution-NonCommercial 4.0 International - Creative Commons"/>
    <hyperlink ref="H951" r:id="rId1898" display="https://www.inaturalist.org/observations/380998235"/>
    <hyperlink ref="G952" r:id="rId1899" display="Deed - Attribution-NonCommercial 4.0 International - Creative Commons"/>
    <hyperlink ref="H952" r:id="rId1900" display="https://www.inaturalist.org/observations/380983664"/>
    <hyperlink ref="G953" r:id="rId1901" display="Deed - Attribution-NonCommercial 4.0 International - Creative Commons"/>
    <hyperlink ref="H953" r:id="rId1902" display="https://www.inaturalist.org/observations/380966227"/>
    <hyperlink ref="G954" r:id="rId1903" display="Deed - Attribution-NonCommercial 4.0 International - Creative Commons"/>
    <hyperlink ref="H954" r:id="rId1904" display="https://www.inaturalist.org/observations/380950391"/>
    <hyperlink ref="G955" r:id="rId1905" display="Deed - Attribution-NonCommercial 4.0 International - Creative Commons"/>
    <hyperlink ref="H955" r:id="rId1906" display="https://www.inaturalist.org/observations/380929903"/>
    <hyperlink ref="G956" r:id="rId1907" display="Deed - Attribution-NonCommercial 4.0 International - Creative Commons"/>
    <hyperlink ref="H956" r:id="rId1908" display="https://www.inaturalist.org/observations/380924871"/>
    <hyperlink ref="G957" r:id="rId1909" display="Deed - Attribution-NonCommercial 4.0 International - Creative Commons"/>
    <hyperlink ref="H957" r:id="rId1910" display="https://www.inaturalist.org/observations/380918827"/>
    <hyperlink ref="G958" r:id="rId1911" display="Deed - Attribution-NonCommercial 4.0 International - Creative Commons"/>
    <hyperlink ref="H958" r:id="rId1912" display="https://www.inaturalist.org/observations/380909391"/>
    <hyperlink ref="G959" r:id="rId1913" display="Deed - Attribution-NonCommercial 4.0 International - Creative Commons"/>
    <hyperlink ref="H959" r:id="rId1914" display="https://www.inaturalist.org/observations/380899439"/>
    <hyperlink ref="G960" r:id="rId1915" display="Deed - Attribution-NonCommercial 4.0 International - Creative Commons"/>
    <hyperlink ref="H960" r:id="rId1916" display="https://www.inaturalist.org/observations/380893597"/>
    <hyperlink ref="G961" r:id="rId1917" display="Deed - Attribution-NonCommercial 4.0 International - Creative Commons"/>
    <hyperlink ref="H961" r:id="rId1918" display="https://www.inaturalist.org/observations/380875521"/>
    <hyperlink ref="G962" r:id="rId1919" display="Deed - Attribution-NonCommercial 4.0 International - Creative Commons"/>
    <hyperlink ref="H962" r:id="rId1920" display="https://www.inaturalist.org/observations/380864168"/>
    <hyperlink ref="G963" r:id="rId1921" display="Deed - Attribution-NonCommercial 4.0 International - Creative Commons"/>
    <hyperlink ref="H963" r:id="rId1922" display="https://www.inaturalist.org/observations/380840298"/>
    <hyperlink ref="G964" r:id="rId1923" display="Deed - Attribution-NonCommercial 4.0 International - Creative Commons"/>
    <hyperlink ref="H964" r:id="rId1924" display="https://www.inaturalist.org/observations/380837785"/>
    <hyperlink ref="G965" r:id="rId1925" display="Deed - Attribution-NonCommercial 4.0 International - Creative Commons"/>
    <hyperlink ref="H965" r:id="rId1926" display="https://www.inaturalist.org/observations/380793077"/>
    <hyperlink ref="G966" r:id="rId1927" display="Deed - Attribution-NonCommercial 4.0 International - Creative Commons"/>
    <hyperlink ref="H966" r:id="rId1928" display="https://www.inaturalist.org/observations/380756409"/>
    <hyperlink ref="G967" r:id="rId1929" display="Deed - Attribution-NonCommercial 4.0 International - Creative Commons"/>
    <hyperlink ref="H967" r:id="rId1930" display="https://www.inaturalist.org/observations/380739308"/>
    <hyperlink ref="G968" r:id="rId1931" display="Deed - Attribution-NonCommercial 4.0 International - Creative Commons"/>
    <hyperlink ref="H968" r:id="rId1932" display="https://www.inaturalist.org/observations/380732045"/>
    <hyperlink ref="G969" r:id="rId1933" display="Deed - Attribution-NonCommercial 4.0 International - Creative Commons"/>
    <hyperlink ref="H969" r:id="rId1934" display="https://www.inaturalist.org/observations/380724028"/>
    <hyperlink ref="G970" r:id="rId1935" display="Deed - Attribution-NonCommercial 4.0 International - Creative Commons"/>
    <hyperlink ref="H970" r:id="rId1936" display="https://www.inaturalist.org/observations/380707382"/>
    <hyperlink ref="G971" r:id="rId1937" display="Deed - Attribution-NonCommercial 4.0 International - Creative Commons"/>
    <hyperlink ref="H971" r:id="rId1938" display="https://www.inaturalist.org/observations/380693753"/>
    <hyperlink ref="G972" r:id="rId1939" display="Deed - Attribution-NonCommercial 4.0 International - Creative Commons"/>
    <hyperlink ref="H972" r:id="rId1940" display="https://www.inaturalist.org/observations/380679672"/>
    <hyperlink ref="G973" r:id="rId1941" display="Deed - Attribution-NonCommercial 4.0 International - Creative Commons"/>
    <hyperlink ref="H973" r:id="rId1942" display="https://www.inaturalist.org/observations/380664556"/>
    <hyperlink ref="G974" r:id="rId1943" display="Deed - Attribution-NonCommercial 4.0 International - Creative Commons"/>
    <hyperlink ref="H974" r:id="rId1944" display="https://www.inaturalist.org/observations/380664520"/>
    <hyperlink ref="G975" r:id="rId1945" display="Deed - Attribution-NonCommercial 4.0 International - Creative Commons"/>
    <hyperlink ref="H975" r:id="rId1946" display="https://www.inaturalist.org/observations/380664377"/>
    <hyperlink ref="G976" r:id="rId1947" display="Deed - Attribution-NonCommercial 4.0 International - Creative Commons"/>
    <hyperlink ref="H976" r:id="rId1948" display="https://www.inaturalist.org/observations/380661086"/>
    <hyperlink ref="G977" r:id="rId1949" display="Deed - Attribution-NonCommercial 4.0 International - Creative Commons"/>
    <hyperlink ref="H977" r:id="rId1950" display="https://www.inaturalist.org/observations/380611472"/>
    <hyperlink ref="G978" r:id="rId1951" display="Deed - Attribution-NonCommercial 4.0 International - Creative Commons"/>
    <hyperlink ref="H978" r:id="rId1952" display="https://www.inaturalist.org/observations/380530199"/>
    <hyperlink ref="G979" r:id="rId1953" display="Deed - Attribution-NonCommercial 4.0 International - Creative Commons"/>
    <hyperlink ref="H979" r:id="rId1954" display="https://www.inaturalist.org/observations/380491645"/>
    <hyperlink ref="G980" r:id="rId1955" display="Deed - Attribution-NonCommercial 4.0 International - Creative Commons"/>
    <hyperlink ref="H980" r:id="rId1956" display="https://www.inaturalist.org/observations/380458789"/>
    <hyperlink ref="G981" r:id="rId1957" display="Deed - Attribution-NonCommercial 4.0 International - Creative Commons"/>
    <hyperlink ref="H981" r:id="rId1958" display="https://www.inaturalist.org/observations/380453854"/>
    <hyperlink ref="G982" r:id="rId1959" display="Deed - Attribution-NonCommercial 4.0 International - Creative Commons"/>
    <hyperlink ref="H982" r:id="rId1960" display="https://www.inaturalist.org/observations/380425197"/>
    <hyperlink ref="G983" r:id="rId1961" display="Deed - Attribution-NonCommercial 4.0 International - Creative Commons"/>
    <hyperlink ref="H983" r:id="rId1962" display="https://www.inaturalist.org/observations/380394735"/>
    <hyperlink ref="G984" r:id="rId1963" display="Deed - Attribution-NonCommercial 4.0 International - Creative Commons"/>
    <hyperlink ref="H984" r:id="rId1964" display="https://www.inaturalist.org/observations/380304846"/>
    <hyperlink ref="G985" r:id="rId1965" display="Deed - Attribution-NonCommercial 4.0 International - Creative Commons"/>
    <hyperlink ref="H985" r:id="rId1966" display="https://www.inaturalist.org/observations/380296045"/>
    <hyperlink ref="G986" r:id="rId1967" display="Deed - Attribution-NonCommercial 4.0 International - Creative Commons"/>
    <hyperlink ref="H986" r:id="rId1968" display="https://www.inaturalist.org/observations/380286642"/>
    <hyperlink ref="G987" r:id="rId1969" display="Deed - Attribution-NonCommercial 4.0 International - Creative Commons"/>
    <hyperlink ref="H987" r:id="rId1970" display="https://www.inaturalist.org/observations/380254260"/>
    <hyperlink ref="G988" r:id="rId1971" display="Deed - Attribution-NonCommercial 4.0 International - Creative Commons"/>
    <hyperlink ref="H988" r:id="rId1972" display="https://www.inaturalist.org/observations/380236920"/>
    <hyperlink ref="G989" r:id="rId1973" display="Deed - Attribution-NonCommercial 4.0 International - Creative Commons"/>
    <hyperlink ref="H989" r:id="rId1974" display="https://www.inaturalist.org/observations/380236215"/>
    <hyperlink ref="G990" r:id="rId1975" display="Deed - Attribution-NonCommercial 4.0 International - Creative Commons"/>
    <hyperlink ref="H990" r:id="rId1976" display="https://www.inaturalist.org/observations/380231099"/>
    <hyperlink ref="G991" r:id="rId1977" display="Deed - Attribution-NonCommercial 4.0 International - Creative Commons"/>
    <hyperlink ref="H991" r:id="rId1978" display="https://www.inaturalist.org/observations/380229973"/>
    <hyperlink ref="G992" r:id="rId1979" display="Deed - Attribution-NonCommercial 4.0 International - Creative Commons"/>
    <hyperlink ref="H992" r:id="rId1980" display="https://www.inaturalist.org/observations/380217575"/>
    <hyperlink ref="G993" r:id="rId1981" display="Deed - Attribution-NonCommercial 4.0 International - Creative Commons"/>
    <hyperlink ref="H993" r:id="rId1982" display="https://www.inaturalist.org/observations/380146736"/>
    <hyperlink ref="G994" r:id="rId1983" display="Deed - Attribution-NonCommercial 4.0 International - Creative Commons"/>
    <hyperlink ref="H994" r:id="rId1984" display="https://www.inaturalist.org/observations/380146692"/>
    <hyperlink ref="G995" r:id="rId1985" display="Deed - Attribution-NonCommercial 4.0 International - Creative Commons"/>
    <hyperlink ref="H995" r:id="rId1986" display="https://www.inaturalist.org/observations/380107430"/>
    <hyperlink ref="G996" r:id="rId1987" display="Deed - Attribution-NonCommercial 4.0 International - Creative Commons"/>
    <hyperlink ref="H996" r:id="rId1988" display="https://www.inaturalist.org/observations/380100580"/>
    <hyperlink ref="G997" r:id="rId1989" display="Deed - Attribution-NonCommercial 4.0 International - Creative Commons"/>
    <hyperlink ref="H997" r:id="rId1990" display="https://www.inaturalist.org/observations/380094073"/>
    <hyperlink ref="G998" r:id="rId1991" display="Deed - Attribution-NonCommercial 4.0 International - Creative Commons"/>
    <hyperlink ref="H998" r:id="rId1992" display="https://www.inaturalist.org/observations/380075651"/>
    <hyperlink ref="G999" r:id="rId1993" display="Deed - Attribution-NonCommercial 4.0 International - Creative Commons"/>
    <hyperlink ref="H999" r:id="rId1994" display="https://www.inaturalist.org/observations/380072510"/>
    <hyperlink ref="G1000" r:id="rId1995" display="Deed - Attribution-NonCommercial 4.0 International - Creative Commons"/>
    <hyperlink ref="H1000" r:id="rId1996" display="https://www.inaturalist.org/observations/380053957"/>
    <hyperlink ref="G1001" r:id="rId1997" display="Deed - Attribution-NonCommercial 4.0 International - Creative Commons"/>
    <hyperlink ref="H1001" r:id="rId1998" display="https://www.inaturalist.org/observations/380039690"/>
    <hyperlink ref="G1002" r:id="rId1999" display="Deed - Attribution-NonCommercial 4.0 International - Creative Commons"/>
    <hyperlink ref="H1002" r:id="rId2000" display="https://www.inaturalist.org/observations/380020428"/>
    <hyperlink ref="G1003" r:id="rId2001" display="Deed - Attribution-NonCommercial 4.0 International - Creative Commons"/>
    <hyperlink ref="H1003" r:id="rId2002" display="https://www.inaturalist.org/observations/383176378"/>
    <hyperlink ref="G1004" r:id="rId2003" display="Deed - Attribution-NonCommercial 4.0 International - Creative Commons"/>
    <hyperlink ref="H1004" r:id="rId2004" display="https://www.inaturalist.org/observations/383176034"/>
    <hyperlink ref="G1005" r:id="rId2005" display="Deed - Attribution-NonCommercial 4.0 International - Creative Commons"/>
    <hyperlink ref="H1005" r:id="rId2006" display="https://www.inaturalist.org/observations/383175948"/>
    <hyperlink ref="G1006" r:id="rId2007" display="Deed - Attribution-NonCommercial 4.0 International - Creative Commons"/>
    <hyperlink ref="H1006" r:id="rId2008" display="https://www.inaturalist.org/observations/383175815"/>
    <hyperlink ref="G1007" r:id="rId2009" display="Deed - Attribution-NonCommercial 4.0 International - Creative Commons"/>
    <hyperlink ref="H1007" r:id="rId2010" display="https://www.inaturalist.org/observations/383175395"/>
    <hyperlink ref="G1008" r:id="rId2011" display="Deed - Attribution-NonCommercial 4.0 International - Creative Commons"/>
    <hyperlink ref="H1008" r:id="rId2012" display="https://www.inaturalist.org/observations/383175389"/>
    <hyperlink ref="G1009" r:id="rId2013" display="Deed - Attribution-NonCommercial 4.0 International - Creative Commons"/>
    <hyperlink ref="H1009" r:id="rId2014" display="https://www.inaturalist.org/observations/383175371"/>
    <hyperlink ref="G1010" r:id="rId2015" display="Deed - Attribution-NonCommercial 4.0 International - Creative Commons"/>
    <hyperlink ref="H1010" r:id="rId2016" display="https://www.inaturalist.org/observations/383175297"/>
    <hyperlink ref="G1011" r:id="rId2017" display="Deed - Attribution-NonCommercial 4.0 International - Creative Commons"/>
    <hyperlink ref="H1011" r:id="rId2018" display="https://www.inaturalist.org/observations/383175025"/>
    <hyperlink ref="G1012" r:id="rId2019" display="Deed - Attribution-NonCommercial 4.0 International - Creative Commons"/>
    <hyperlink ref="H1012" r:id="rId2020" display="https://www.inaturalist.org/observations/383174979"/>
    <hyperlink ref="G1013" r:id="rId2021" display="Deed - Attribution-NonCommercial 4.0 International - Creative Commons"/>
    <hyperlink ref="H1013" r:id="rId2022" display="https://www.inaturalist.org/observations/383174955"/>
    <hyperlink ref="G1014" r:id="rId2023" display="Deed - Attribution-NonCommercial 4.0 International - Creative Commons"/>
    <hyperlink ref="H1014" r:id="rId2024" display="https://www.inaturalist.org/observations/383174834"/>
    <hyperlink ref="G1015" r:id="rId2025" display="Deed - Attribution-NonCommercial 4.0 International - Creative Commons"/>
    <hyperlink ref="H1015" r:id="rId2026" display="https://www.inaturalist.org/observations/383174720"/>
    <hyperlink ref="G1016" r:id="rId2027" display="Deed - Attribution-NonCommercial 4.0 International - Creative Commons"/>
    <hyperlink ref="H1016" r:id="rId2028" display="https://www.inaturalist.org/observations/383174187"/>
    <hyperlink ref="G1017" r:id="rId2029" display="Deed - Attribution-NonCommercial 4.0 International - Creative Commons"/>
    <hyperlink ref="H1017" r:id="rId2030" display="https://www.inaturalist.org/observations/383174043"/>
    <hyperlink ref="G1018" r:id="rId2031" display="Deed - Attribution-NonCommercial 4.0 International - Creative Commons"/>
    <hyperlink ref="H1018" r:id="rId2032" display="https://www.inaturalist.org/observations/383173833"/>
    <hyperlink ref="G1019" r:id="rId2033" display="Deed - Attribution-NonCommercial 4.0 International - Creative Commons"/>
    <hyperlink ref="H1019" r:id="rId2034" display="https://www.inaturalist.org/observations/383173766"/>
    <hyperlink ref="G1020" r:id="rId2035" display="Deed - Attribution-NonCommercial 4.0 International - Creative Commons"/>
    <hyperlink ref="H1020" r:id="rId2036" display="https://www.inaturalist.org/observations/383173727"/>
    <hyperlink ref="G1021" r:id="rId2037" display="Deed - Attribution-NonCommercial 4.0 International - Creative Commons"/>
    <hyperlink ref="H1021" r:id="rId2038" display="https://www.inaturalist.org/observations/383173120"/>
    <hyperlink ref="G1022" r:id="rId2039" display="Deed - Attribution-NonCommercial 4.0 International - Creative Commons"/>
    <hyperlink ref="H1022" r:id="rId2040" display="https://www.inaturalist.org/observations/383173080"/>
    <hyperlink ref="G1023" r:id="rId2041" display="Deed - Attribution-NonCommercial 4.0 International - Creative Commons"/>
    <hyperlink ref="H1023" r:id="rId2042" display="https://www.inaturalist.org/observations/383173075"/>
    <hyperlink ref="G1024" r:id="rId2043" display="Deed - Attribution-NonCommercial 4.0 International - Creative Commons"/>
    <hyperlink ref="H1024" r:id="rId2044" display="https://www.inaturalist.org/observations/383173070"/>
    <hyperlink ref="G1025" r:id="rId2045" display="Deed - Attribution-NonCommercial 4.0 International - Creative Commons"/>
    <hyperlink ref="H1025" r:id="rId2046" display="https://www.inaturalist.org/observations/383172957"/>
    <hyperlink ref="G1026" r:id="rId2047" display="Deed - Attribution-NonCommercial 4.0 International - Creative Commons"/>
    <hyperlink ref="H1026" r:id="rId2048" display="https://www.inaturalist.org/observations/383172887"/>
    <hyperlink ref="G1027" r:id="rId2049" display="Deed - Attribution-NonCommercial 4.0 International - Creative Commons"/>
    <hyperlink ref="H1027" r:id="rId2050" display="https://www.inaturalist.org/observations/383172882"/>
    <hyperlink ref="G1028" r:id="rId2051" display="Deed - Attribution-NonCommercial 4.0 International - Creative Commons"/>
    <hyperlink ref="H1028" r:id="rId2052" display="https://www.inaturalist.org/observations/383172876"/>
    <hyperlink ref="G1029" r:id="rId2053" display="Deed - Attribution-NonCommercial 4.0 International - Creative Commons"/>
    <hyperlink ref="H1029" r:id="rId2054" display="https://www.inaturalist.org/observations/383172875"/>
    <hyperlink ref="G1030" r:id="rId2055" display="Deed - Attribution-NonCommercial 4.0 International - Creative Commons"/>
    <hyperlink ref="H1030" r:id="rId2056" display="https://www.inaturalist.org/observations/383172850"/>
    <hyperlink ref="G1031" r:id="rId2057" display="Deed - Attribution-NonCommercial 4.0 International - Creative Commons"/>
    <hyperlink ref="H1031" r:id="rId2058" display="https://www.inaturalist.org/observations/383172845"/>
    <hyperlink ref="G1032" r:id="rId2059" display="Deed - Attribution-NonCommercial 4.0 International - Creative Commons"/>
    <hyperlink ref="H1032" r:id="rId2060" display="https://www.inaturalist.org/observations/383172837"/>
    <hyperlink ref="G1033" r:id="rId2061" display="Deed - Attribution-NonCommercial 4.0 International - Creative Commons"/>
    <hyperlink ref="H1033" r:id="rId2062" display="https://www.inaturalist.org/observations/383172835"/>
    <hyperlink ref="G1034" r:id="rId2063" display="Deed - Attribution-NonCommercial 4.0 International - Creative Commons"/>
    <hyperlink ref="H1034" r:id="rId2064" display="https://www.inaturalist.org/observations/383172826"/>
    <hyperlink ref="G1035" r:id="rId2065" display="Deed - Attribution-NonCommercial 4.0 International - Creative Commons"/>
    <hyperlink ref="H1035" r:id="rId2066" display="https://www.inaturalist.org/observations/383172825"/>
    <hyperlink ref="G1036" r:id="rId2067" display="Deed - Attribution-NonCommercial 4.0 International - Creative Commons"/>
    <hyperlink ref="H1036" r:id="rId2068" display="https://www.inaturalist.org/observations/383172819"/>
    <hyperlink ref="G1037" r:id="rId2069" display="Deed - Attribution-NonCommercial 4.0 International - Creative Commons"/>
    <hyperlink ref="H1037" r:id="rId2070" display="https://www.inaturalist.org/observations/383172797"/>
    <hyperlink ref="G1038" r:id="rId2071" display="Deed - Attribution-NonCommercial 4.0 International - Creative Commons"/>
    <hyperlink ref="H1038" r:id="rId2072" display="https://www.inaturalist.org/observations/383172796"/>
    <hyperlink ref="G1039" r:id="rId2073" display="Deed - Attribution-NonCommercial 4.0 International - Creative Commons"/>
    <hyperlink ref="H1039" r:id="rId2074" display="https://www.inaturalist.org/observations/383172770"/>
    <hyperlink ref="G1040" r:id="rId2075" display="Deed - Attribution-NonCommercial 4.0 International - Creative Commons"/>
    <hyperlink ref="H1040" r:id="rId2076" display="https://www.inaturalist.org/observations/383172559"/>
    <hyperlink ref="G1041" r:id="rId2077" display="Deed - Attribution-NonCommercial 4.0 International - Creative Commons"/>
    <hyperlink ref="H1041" r:id="rId2078" display="https://www.inaturalist.org/observations/383172481"/>
    <hyperlink ref="G1042" r:id="rId2079" display="Deed - Attribution-NonCommercial 4.0 International - Creative Commons"/>
    <hyperlink ref="H1042" r:id="rId2080" display="https://www.inaturalist.org/observations/383172390"/>
    <hyperlink ref="G1043" r:id="rId2081" display="Deed - Attribution-NonCommercial 4.0 International - Creative Commons"/>
    <hyperlink ref="H1043" r:id="rId2082" display="https://www.inaturalist.org/observations/383172246"/>
    <hyperlink ref="G1044" r:id="rId2083" display="Deed - Attribution-NonCommercial 4.0 International - Creative Commons"/>
    <hyperlink ref="H1044" r:id="rId2084" display="https://www.inaturalist.org/observations/383171787"/>
    <hyperlink ref="G1045" r:id="rId2085" display="Deed - Attribution-NonCommercial 4.0 International - Creative Commons"/>
    <hyperlink ref="H1045" r:id="rId2086" display="https://www.inaturalist.org/observations/383171782"/>
    <hyperlink ref="G1046" r:id="rId2087" display="Deed - Attribution-NonCommercial 4.0 International - Creative Commons"/>
    <hyperlink ref="H1046" r:id="rId2088" display="https://www.inaturalist.org/observations/383171659"/>
    <hyperlink ref="G1047" r:id="rId2089" display="Deed - Attribution-NonCommercial 4.0 International - Creative Commons"/>
    <hyperlink ref="H1047" r:id="rId2090" display="https://www.inaturalist.org/observations/383171647"/>
    <hyperlink ref="G1048" r:id="rId2091" display="Deed - Attribution-NonCommercial 4.0 International - Creative Commons"/>
    <hyperlink ref="H1048" r:id="rId2092" display="https://www.inaturalist.org/observations/383171590"/>
    <hyperlink ref="G1049" r:id="rId2093" display="Deed - Attribution-NonCommercial 4.0 International - Creative Commons"/>
    <hyperlink ref="H1049" r:id="rId2094" display="https://www.inaturalist.org/observations/383171574"/>
    <hyperlink ref="G1050" r:id="rId2095" display="Deed - Attribution-NonCommercial 4.0 International - Creative Commons"/>
    <hyperlink ref="H1050" r:id="rId2096" display="https://www.inaturalist.org/observations/383171564"/>
    <hyperlink ref="G1051" r:id="rId2097" display="Deed - Attribution-NonCommercial 4.0 International - Creative Commons"/>
    <hyperlink ref="H1051" r:id="rId2098" display="https://www.inaturalist.org/observations/383171284"/>
    <hyperlink ref="G1052" r:id="rId2099" display="Deed - Attribution-NonCommercial 4.0 International - Creative Commons"/>
    <hyperlink ref="H1052" r:id="rId2100" display="https://www.inaturalist.org/observations/383171151"/>
    <hyperlink ref="G1053" r:id="rId2101" display="Deed - Attribution-NonCommercial 4.0 International - Creative Commons"/>
    <hyperlink ref="H1053" r:id="rId2102" display="https://www.inaturalist.org/observations/383171150"/>
    <hyperlink ref="G1054" r:id="rId2103" display="Deed - Attribution-NonCommercial 4.0 International - Creative Commons"/>
    <hyperlink ref="H1054" r:id="rId2104" display="https://www.inaturalist.org/observations/383171149"/>
    <hyperlink ref="G1055" r:id="rId2105" display="Deed - Attribution-NonCommercial 4.0 International - Creative Commons"/>
    <hyperlink ref="H1055" r:id="rId2106" display="https://www.inaturalist.org/observations/383171140"/>
    <hyperlink ref="G1056" r:id="rId2107" display="Deed - Attribution-NonCommercial 4.0 International - Creative Commons"/>
    <hyperlink ref="H1056" r:id="rId2108" display="https://www.inaturalist.org/observations/383171137"/>
    <hyperlink ref="G1057" r:id="rId2109" display="Deed - Attribution-NonCommercial 4.0 International - Creative Commons"/>
    <hyperlink ref="H1057" r:id="rId2110" display="https://www.inaturalist.org/observations/383171013"/>
    <hyperlink ref="G1058" r:id="rId2111" display="Deed - Attribution-NonCommercial 4.0 International - Creative Commons"/>
    <hyperlink ref="H1058" r:id="rId2112" display="https://www.inaturalist.org/observations/383170871"/>
    <hyperlink ref="G1059" r:id="rId2113" display="Deed - Attribution-NonCommercial 4.0 International - Creative Commons"/>
    <hyperlink ref="H1059" r:id="rId2114" display="https://www.inaturalist.org/observations/383170848"/>
    <hyperlink ref="G1060" r:id="rId2115" display="Deed - Attribution-NonCommercial 4.0 International - Creative Commons"/>
    <hyperlink ref="H1060" r:id="rId2116" display="https://www.inaturalist.org/observations/383170707"/>
    <hyperlink ref="G1061" r:id="rId2117" display="Deed - Attribution-NonCommercial 4.0 International - Creative Commons"/>
    <hyperlink ref="H1061" r:id="rId2118" display="https://www.inaturalist.org/observations/383170623"/>
    <hyperlink ref="G1062" r:id="rId2119" display="Deed - Attribution-NonCommercial 4.0 International - Creative Commons"/>
    <hyperlink ref="H1062" r:id="rId2120" display="https://www.inaturalist.org/observations/383170517"/>
    <hyperlink ref="G1063" r:id="rId2121" display="Deed - Attribution-NonCommercial 4.0 International - Creative Commons"/>
    <hyperlink ref="H1063" r:id="rId2122" display="https://www.inaturalist.org/observations/383170504"/>
    <hyperlink ref="G1064" r:id="rId2123" display="Deed - Attribution-NonCommercial 4.0 International - Creative Commons"/>
    <hyperlink ref="H1064" r:id="rId2124" display="https://www.inaturalist.org/observations/383170426"/>
    <hyperlink ref="G1065" r:id="rId2125" display="Deed - Attribution-NonCommercial 4.0 International - Creative Commons"/>
    <hyperlink ref="H1065" r:id="rId2126" display="https://www.inaturalist.org/observations/383170421"/>
    <hyperlink ref="G1066" r:id="rId2127" display="Deed - Attribution-NonCommercial 4.0 International - Creative Commons"/>
    <hyperlink ref="H1066" r:id="rId2128" display="https://www.inaturalist.org/observations/383170232"/>
    <hyperlink ref="G1067" r:id="rId2129" display="Deed - Attribution-NonCommercial 4.0 International - Creative Commons"/>
    <hyperlink ref="H1067" r:id="rId2130" display="https://www.inaturalist.org/observations/383170213"/>
    <hyperlink ref="G1068" r:id="rId2131" display="Deed - Attribution-NonCommercial 4.0 International - Creative Commons"/>
    <hyperlink ref="H1068" r:id="rId2132" display="https://www.inaturalist.org/observations/383169999"/>
    <hyperlink ref="G1069" r:id="rId2133" display="Deed - Attribution-NonCommercial 4.0 International - Creative Commons"/>
    <hyperlink ref="H1069" r:id="rId2134" display="https://www.inaturalist.org/observations/383169876"/>
    <hyperlink ref="G1070" r:id="rId2135" display="Deed - Attribution-NonCommercial 4.0 International - Creative Commons"/>
    <hyperlink ref="H1070" r:id="rId2136" display="https://www.inaturalist.org/observations/383169718"/>
    <hyperlink ref="G1071" r:id="rId2137" display="Deed - Attribution-NonCommercial 4.0 International - Creative Commons"/>
    <hyperlink ref="H1071" r:id="rId2138" display="https://www.inaturalist.org/observations/383169704"/>
    <hyperlink ref="G1072" r:id="rId2139" display="Deed - Attribution-NonCommercial 4.0 International - Creative Commons"/>
    <hyperlink ref="H1072" r:id="rId2140" display="https://www.inaturalist.org/observations/383169692"/>
    <hyperlink ref="G1073" r:id="rId2141" display="Deed - Attribution-NonCommercial 4.0 International - Creative Commons"/>
    <hyperlink ref="H1073" r:id="rId2142" display="https://www.inaturalist.org/observations/383169674"/>
    <hyperlink ref="G1074" r:id="rId2143" display="Deed - Attribution-NonCommercial 4.0 International - Creative Commons"/>
    <hyperlink ref="H1074" r:id="rId2144" display="https://www.inaturalist.org/observations/383169609"/>
    <hyperlink ref="G1075" r:id="rId2145" display="Deed - Attribution-NonCommercial 4.0 International - Creative Commons"/>
    <hyperlink ref="H1075" r:id="rId2146" display="https://www.inaturalist.org/observations/383169401"/>
    <hyperlink ref="G1076" r:id="rId2147" display="Deed - Attribution-NonCommercial 4.0 International - Creative Commons"/>
    <hyperlink ref="H1076" r:id="rId2148" display="https://www.inaturalist.org/observations/383169373"/>
    <hyperlink ref="G1077" r:id="rId2149" display="Deed - Attribution-NonCommercial 4.0 International - Creative Commons"/>
    <hyperlink ref="H1077" r:id="rId2150" display="https://www.inaturalist.org/observations/383169353"/>
    <hyperlink ref="G1078" r:id="rId2151" display="Deed - Attribution-NonCommercial 4.0 International - Creative Commons"/>
    <hyperlink ref="H1078" r:id="rId2152" display="https://www.inaturalist.org/observations/383168809"/>
    <hyperlink ref="G1079" r:id="rId2153" display="Deed - Attribution-NonCommercial 4.0 International - Creative Commons"/>
    <hyperlink ref="H1079" r:id="rId2154" display="https://www.inaturalist.org/observations/383168799"/>
    <hyperlink ref="G1080" r:id="rId2155" display="Deed - Attribution-NonCommercial 4.0 International - Creative Commons"/>
    <hyperlink ref="H1080" r:id="rId2156" display="https://www.inaturalist.org/observations/383168789"/>
    <hyperlink ref="G1081" r:id="rId2157" display="Deed - Attribution-NonCommercial 4.0 International - Creative Commons"/>
    <hyperlink ref="H1081" r:id="rId2158" display="https://www.inaturalist.org/observations/383168740"/>
    <hyperlink ref="G1082" r:id="rId2159" display="Deed - Attribution-NonCommercial 4.0 International - Creative Commons"/>
    <hyperlink ref="H1082" r:id="rId2160" display="https://www.inaturalist.org/observations/383168723"/>
    <hyperlink ref="G1083" r:id="rId2161" display="Deed - Attribution-NonCommercial 4.0 International - Creative Commons"/>
    <hyperlink ref="H1083" r:id="rId2162" display="https://www.inaturalist.org/observations/383168285"/>
    <hyperlink ref="G1084" r:id="rId2163" display="Deed - Attribution-NonCommercial 4.0 International - Creative Commons"/>
    <hyperlink ref="H1084" r:id="rId2164" display="https://www.inaturalist.org/observations/383168183"/>
    <hyperlink ref="G1085" r:id="rId2165" display="Deed - Attribution-NonCommercial 4.0 International - Creative Commons"/>
    <hyperlink ref="H1085" r:id="rId2166" display="https://www.inaturalist.org/observations/383167989"/>
    <hyperlink ref="G1086" r:id="rId2167" display="Deed - Attribution-NonCommercial 4.0 International - Creative Commons"/>
    <hyperlink ref="H1086" r:id="rId2168" display="https://www.inaturalist.org/observations/383167795"/>
    <hyperlink ref="G1087" r:id="rId2169" display="Deed - Attribution-NonCommercial 4.0 International - Creative Commons"/>
    <hyperlink ref="H1087" r:id="rId2170" display="https://www.inaturalist.org/observations/383167739"/>
    <hyperlink ref="G1088" r:id="rId2171" display="Deed - Attribution-NonCommercial 4.0 International - Creative Commons"/>
    <hyperlink ref="H1088" r:id="rId2172" display="https://www.inaturalist.org/observations/383167636"/>
    <hyperlink ref="G1089" r:id="rId2173" display="Deed - Attribution-NonCommercial 4.0 International - Creative Commons"/>
    <hyperlink ref="H1089" r:id="rId2174" display="https://www.inaturalist.org/observations/383167507"/>
    <hyperlink ref="G1090" r:id="rId2175" display="Deed - Attribution-NonCommercial 4.0 International - Creative Commons"/>
    <hyperlink ref="H1090" r:id="rId2176" display="https://www.inaturalist.org/observations/383167456"/>
    <hyperlink ref="G1091" r:id="rId2177" display="Deed - Attribution-NonCommercial 4.0 International - Creative Commons"/>
    <hyperlink ref="H1091" r:id="rId2178" display="https://www.inaturalist.org/observations/383167435"/>
    <hyperlink ref="G1092" r:id="rId2179" display="Deed - Attribution-NonCommercial 4.0 International - Creative Commons"/>
    <hyperlink ref="H1092" r:id="rId2180" display="https://www.inaturalist.org/observations/383167356"/>
    <hyperlink ref="G1093" r:id="rId2181" display="Deed - Attribution-NonCommercial 4.0 International - Creative Commons"/>
    <hyperlink ref="H1093" r:id="rId2182" display="https://www.inaturalist.org/observations/383167256"/>
    <hyperlink ref="G1094" r:id="rId2183" display="Deed - Attribution-NonCommercial 4.0 International - Creative Commons"/>
    <hyperlink ref="H1094" r:id="rId2184" display="https://www.inaturalist.org/observations/383167180"/>
    <hyperlink ref="G1095" r:id="rId2185" display="Deed - Attribution-NonCommercial 4.0 International - Creative Commons"/>
    <hyperlink ref="H1095" r:id="rId2186" display="https://www.inaturalist.org/observations/383167146"/>
    <hyperlink ref="G1096" r:id="rId2187" display="Deed - Attribution-NonCommercial 4.0 International - Creative Commons"/>
    <hyperlink ref="H1096" r:id="rId2188" display="https://www.inaturalist.org/observations/383166856"/>
    <hyperlink ref="G1097" r:id="rId2189" display="Deed - Attribution-NonCommercial 4.0 International - Creative Commons"/>
    <hyperlink ref="H1097" r:id="rId2190" display="https://www.inaturalist.org/observations/383166855"/>
    <hyperlink ref="G1098" r:id="rId2191" display="Deed - Attribution-NonCommercial 4.0 International - Creative Commons"/>
    <hyperlink ref="H1098" r:id="rId2192" display="https://www.inaturalist.org/observations/383166744"/>
    <hyperlink ref="G1099" r:id="rId2193" display="Deed - Attribution-NonCommercial 4.0 International - Creative Commons"/>
    <hyperlink ref="H1099" r:id="rId2194" display="https://www.inaturalist.org/observations/383166614"/>
    <hyperlink ref="G1100" r:id="rId2195" display="Deed - Attribution-NonCommercial 4.0 International - Creative Commons"/>
    <hyperlink ref="H1100" r:id="rId2196" display="https://www.inaturalist.org/observations/383166609"/>
    <hyperlink ref="G1101" r:id="rId2197" display="Deed - Attribution-NonCommercial 4.0 International - Creative Commons"/>
    <hyperlink ref="H1101" r:id="rId2198" display="https://www.inaturalist.org/observations/383166388"/>
    <hyperlink ref="G1102" r:id="rId2199" display="Deed - Attribution-NonCommercial 4.0 International - Creative Commons"/>
    <hyperlink ref="H1102" r:id="rId2200" display="https://www.inaturalist.org/observations/383166347"/>
    <hyperlink ref="G1103" r:id="rId2201" display="Deed - Attribution-NonCommercial 4.0 International - Creative Commons"/>
    <hyperlink ref="H1103" r:id="rId2202" display="https://www.inaturalist.org/observations/383166260"/>
    <hyperlink ref="G1104" r:id="rId2203" display="Deed - Attribution-NonCommercial 4.0 International - Creative Commons"/>
    <hyperlink ref="H1104" r:id="rId2204" display="https://www.inaturalist.org/observations/383166255"/>
    <hyperlink ref="G1105" r:id="rId2205" display="Deed - Attribution-NonCommercial 4.0 International - Creative Commons"/>
    <hyperlink ref="H1105" r:id="rId2206" display="https://www.inaturalist.org/observations/383166196"/>
    <hyperlink ref="G1106" r:id="rId2207" display="Deed - Attribution-NonCommercial 4.0 International - Creative Commons"/>
    <hyperlink ref="H1106" r:id="rId2208" display="https://www.inaturalist.org/observations/383166061"/>
    <hyperlink ref="G1107" r:id="rId2209" display="Deed - Attribution-NonCommercial 4.0 International - Creative Commons"/>
    <hyperlink ref="H1107" r:id="rId2210" display="https://www.inaturalist.org/observations/383165667"/>
    <hyperlink ref="G1108" r:id="rId2211" display="Deed - Attribution-NonCommercial 4.0 International - Creative Commons"/>
    <hyperlink ref="H1108" r:id="rId2212" display="https://www.inaturalist.org/observations/383165648"/>
    <hyperlink ref="G1109" r:id="rId2213" display="Deed - Attribution-NonCommercial 4.0 International - Creative Commons"/>
    <hyperlink ref="H1109" r:id="rId2214" display="https://www.inaturalist.org/observations/383165608"/>
    <hyperlink ref="G1110" r:id="rId2215" display="Deed - Attribution-NonCommercial 4.0 International - Creative Commons"/>
    <hyperlink ref="H1110" r:id="rId2216" display="https://www.inaturalist.org/observations/383165419"/>
    <hyperlink ref="G1111" r:id="rId2217" display="Deed - Attribution-NonCommercial 4.0 International - Creative Commons"/>
    <hyperlink ref="H1111" r:id="rId2218" display="https://www.inaturalist.org/observations/383165382"/>
    <hyperlink ref="G1112" r:id="rId2219" display="Deed - Attribution-NonCommercial 4.0 International - Creative Commons"/>
    <hyperlink ref="H1112" r:id="rId2220" display="https://www.inaturalist.org/observations/383165295"/>
    <hyperlink ref="G1113" r:id="rId2221" display="Deed - Attribution-NonCommercial 4.0 International - Creative Commons"/>
    <hyperlink ref="H1113" r:id="rId2222" display="https://www.inaturalist.org/observations/383165202"/>
    <hyperlink ref="G1114" r:id="rId2223" display="Deed - Attribution-NonCommercial 4.0 International - Creative Commons"/>
    <hyperlink ref="H1114" r:id="rId2224" display="https://www.inaturalist.org/observations/383165173"/>
    <hyperlink ref="G1115" r:id="rId2225" display="Deed - Attribution-NonCommercial 4.0 International - Creative Commons"/>
    <hyperlink ref="H1115" r:id="rId2226" display="https://www.inaturalist.org/observations/383165143"/>
    <hyperlink ref="G1116" r:id="rId2227" display="Deed - Attribution-NonCommercial 4.0 International - Creative Commons"/>
    <hyperlink ref="H1116" r:id="rId2228" display="https://www.inaturalist.org/observations/383165018"/>
    <hyperlink ref="G1117" r:id="rId2229" display="Deed - Attribution-NonCommercial 4.0 International - Creative Commons"/>
    <hyperlink ref="H1117" r:id="rId2230" display="https://www.inaturalist.org/observations/383164966"/>
    <hyperlink ref="G1118" r:id="rId2231" display="Deed - Attribution-NonCommercial 4.0 International - Creative Commons"/>
    <hyperlink ref="H1118" r:id="rId2232" display="https://www.inaturalist.org/observations/383164939"/>
    <hyperlink ref="G1119" r:id="rId2233" display="Deed - Attribution-NonCommercial 4.0 International - Creative Commons"/>
    <hyperlink ref="H1119" r:id="rId2234" display="https://www.inaturalist.org/observations/383164588"/>
    <hyperlink ref="G1120" r:id="rId2235" display="Deed - Attribution-NonCommercial 4.0 International - Creative Commons"/>
    <hyperlink ref="H1120" r:id="rId2236" display="https://www.inaturalist.org/observations/383164374"/>
    <hyperlink ref="G1121" r:id="rId2237" display="Deed - Attribution-NonCommercial 4.0 International - Creative Commons"/>
    <hyperlink ref="H1121" r:id="rId2238" display="https://www.inaturalist.org/observations/383164342"/>
    <hyperlink ref="G1122" r:id="rId2239" display="Deed - Attribution-NonCommercial 4.0 International - Creative Commons"/>
    <hyperlink ref="H1122" r:id="rId2240" display="https://www.inaturalist.org/observations/383164259"/>
    <hyperlink ref="G1123" r:id="rId2241" display="Deed - Attribution-NonCommercial 4.0 International - Creative Commons"/>
    <hyperlink ref="H1123" r:id="rId2242" display="https://www.inaturalist.org/observations/383164179"/>
    <hyperlink ref="G1124" r:id="rId2243" display="Deed - Attribution-NonCommercial 4.0 International - Creative Commons"/>
    <hyperlink ref="H1124" r:id="rId2244" display="https://www.inaturalist.org/observations/383163987"/>
    <hyperlink ref="G1125" r:id="rId2245" display="Deed - Attribution-NonCommercial 4.0 International - Creative Commons"/>
    <hyperlink ref="H1125" r:id="rId2246" display="https://www.inaturalist.org/observations/383163984"/>
    <hyperlink ref="G1126" r:id="rId2247" display="Deed - Attribution-NonCommercial 4.0 International - Creative Commons"/>
    <hyperlink ref="H1126" r:id="rId2248" display="https://www.inaturalist.org/observations/383163923"/>
    <hyperlink ref="G1127" r:id="rId2249" display="Deed - Attribution-NonCommercial 4.0 International - Creative Commons"/>
    <hyperlink ref="H1127" r:id="rId2250" display="https://www.inaturalist.org/observations/383163715"/>
    <hyperlink ref="G1128" r:id="rId2251" display="Deed - Attribution-NonCommercial 4.0 International - Creative Commons"/>
    <hyperlink ref="H1128" r:id="rId2252" display="https://www.inaturalist.org/observations/383163692"/>
    <hyperlink ref="G1129" r:id="rId2253" display="Deed - Attribution-NonCommercial 4.0 International - Creative Commons"/>
    <hyperlink ref="H1129" r:id="rId2254" display="https://www.inaturalist.org/observations/383163665"/>
    <hyperlink ref="G1130" r:id="rId2255" display="Deed - Attribution-NonCommercial 4.0 International - Creative Commons"/>
    <hyperlink ref="H1130" r:id="rId2256" display="https://www.inaturalist.org/observations/383163661"/>
    <hyperlink ref="G1131" r:id="rId2257" display="Deed - Attribution-NonCommercial 4.0 International - Creative Commons"/>
    <hyperlink ref="H1131" r:id="rId2258" display="https://www.inaturalist.org/observations/383163655"/>
    <hyperlink ref="G1132" r:id="rId2259" display="Deed - Attribution-NonCommercial 4.0 International - Creative Commons"/>
    <hyperlink ref="H1132" r:id="rId2260" display="https://www.inaturalist.org/observations/383163648"/>
    <hyperlink ref="G1133" r:id="rId2261" display="Deed - Attribution-NonCommercial 4.0 International - Creative Commons"/>
    <hyperlink ref="H1133" r:id="rId2262" display="https://www.inaturalist.org/observations/383163646"/>
    <hyperlink ref="G1134" r:id="rId2263" display="Deed - Attribution-NonCommercial 4.0 International - Creative Commons"/>
    <hyperlink ref="H1134" r:id="rId2264" display="https://www.inaturalist.org/observations/383163637"/>
    <hyperlink ref="G1135" r:id="rId2265" display="Deed - Attribution-NonCommercial 4.0 International - Creative Commons"/>
    <hyperlink ref="H1135" r:id="rId2266" display="https://www.inaturalist.org/observations/383163521"/>
    <hyperlink ref="G1136" r:id="rId2267" display="Deed - Attribution-NonCommercial 4.0 International - Creative Commons"/>
    <hyperlink ref="H1136" r:id="rId2268" display="https://www.inaturalist.org/observations/383163338"/>
    <hyperlink ref="G1137" r:id="rId2269" display="Deed - Attribution-NonCommercial 4.0 International - Creative Commons"/>
    <hyperlink ref="H1137" r:id="rId2270" display="https://www.inaturalist.org/observations/383163316"/>
    <hyperlink ref="G1138" r:id="rId2271" display="Deed - Attribution-NonCommercial 4.0 International - Creative Commons"/>
    <hyperlink ref="H1138" r:id="rId2272" display="https://www.inaturalist.org/observations/383163085"/>
    <hyperlink ref="G1139" r:id="rId2273" display="Deed - Attribution-NonCommercial 4.0 International - Creative Commons"/>
    <hyperlink ref="H1139" r:id="rId2274" display="https://www.inaturalist.org/observations/383162976"/>
    <hyperlink ref="G1140" r:id="rId2275" display="Deed - Attribution-NonCommercial 4.0 International - Creative Commons"/>
    <hyperlink ref="H1140" r:id="rId2276" display="https://www.inaturalist.org/observations/383162879"/>
    <hyperlink ref="G1141" r:id="rId2277" display="Deed - Attribution-NonCommercial 4.0 International - Creative Commons"/>
    <hyperlink ref="H1141" r:id="rId2278" display="https://www.inaturalist.org/observations/383162864"/>
    <hyperlink ref="G1142" r:id="rId2279" display="Deed - Attribution-NonCommercial 4.0 International - Creative Commons"/>
    <hyperlink ref="H1142" r:id="rId2280" display="https://www.inaturalist.org/observations/383162734"/>
    <hyperlink ref="G1143" r:id="rId2281" display="Deed - Attribution-NonCommercial 4.0 International - Creative Commons"/>
    <hyperlink ref="H1143" r:id="rId2282" display="https://www.inaturalist.org/observations/383162732"/>
    <hyperlink ref="G1144" r:id="rId2283" display="Deed - Attribution-NonCommercial 4.0 International - Creative Commons"/>
    <hyperlink ref="H1144" r:id="rId2284" display="https://www.inaturalist.org/observations/383162614"/>
    <hyperlink ref="G1145" r:id="rId2285" display="Deed - Attribution-NonCommercial 4.0 International - Creative Commons"/>
    <hyperlink ref="H1145" r:id="rId2286" display="https://www.inaturalist.org/observations/383162527"/>
    <hyperlink ref="G1146" r:id="rId2287" display="Deed - Attribution-NonCommercial 4.0 International - Creative Commons"/>
    <hyperlink ref="H1146" r:id="rId2288" display="https://www.inaturalist.org/observations/383162298"/>
    <hyperlink ref="G1147" r:id="rId2289" display="Deed - Attribution-NonCommercial 4.0 International - Creative Commons"/>
    <hyperlink ref="H1147" r:id="rId2290" display="https://www.inaturalist.org/observations/383162169"/>
    <hyperlink ref="G1148" r:id="rId2291" display="Deed - Attribution-NonCommercial 4.0 International - Creative Commons"/>
    <hyperlink ref="H1148" r:id="rId2292" display="https://www.inaturalist.org/observations/383162009"/>
    <hyperlink ref="G1149" r:id="rId2293" display="Deed - Attribution-NonCommercial 4.0 International - Creative Commons"/>
    <hyperlink ref="H1149" r:id="rId2294" display="https://www.inaturalist.org/observations/383161979"/>
    <hyperlink ref="G1150" r:id="rId2295" display="Deed - Attribution-NonCommercial 4.0 International - Creative Commons"/>
    <hyperlink ref="H1150" r:id="rId2296" display="https://www.inaturalist.org/observations/383161974"/>
    <hyperlink ref="G1151" r:id="rId2297" display="Deed - Attribution-NonCommercial 4.0 International - Creative Commons"/>
    <hyperlink ref="H1151" r:id="rId2298" display="https://www.inaturalist.org/observations/383161959"/>
    <hyperlink ref="G1152" r:id="rId2299" display="Deed - Attribution-NonCommercial 4.0 International - Creative Commons"/>
    <hyperlink ref="H1152" r:id="rId2300" display="https://www.inaturalist.org/observations/383161946"/>
    <hyperlink ref="G1153" r:id="rId2301" display="Deed - Attribution-NonCommercial 4.0 International - Creative Commons"/>
    <hyperlink ref="H1153" r:id="rId2302" display="https://www.inaturalist.org/observations/383161921"/>
    <hyperlink ref="G1154" r:id="rId2303" display="Deed - Attribution-NonCommercial 4.0 International - Creative Commons"/>
    <hyperlink ref="H1154" r:id="rId2304" display="https://www.inaturalist.org/observations/383161677"/>
    <hyperlink ref="G1155" r:id="rId2305" display="Deed - Attribution-NonCommercial 4.0 International - Creative Commons"/>
    <hyperlink ref="H1155" r:id="rId2306" display="https://www.inaturalist.org/observations/383161665"/>
    <hyperlink ref="G1156" r:id="rId2307" display="Deed - Attribution-NonCommercial 4.0 International - Creative Commons"/>
    <hyperlink ref="H1156" r:id="rId2308" display="https://www.inaturalist.org/observations/383161656"/>
    <hyperlink ref="G1157" r:id="rId2309" display="Deed - Attribution-NonCommercial 4.0 International - Creative Commons"/>
    <hyperlink ref="H1157" r:id="rId2310" display="https://www.inaturalist.org/observations/383161507"/>
    <hyperlink ref="G1158" r:id="rId2311" display="Deed - Attribution-NonCommercial 4.0 International - Creative Commons"/>
    <hyperlink ref="H1158" r:id="rId2312" display="https://www.inaturalist.org/observations/383161478"/>
    <hyperlink ref="G1159" r:id="rId2313" display="Deed - Attribution-NonCommercial 4.0 International - Creative Commons"/>
    <hyperlink ref="H1159" r:id="rId2314" display="https://www.inaturalist.org/observations/383161324"/>
    <hyperlink ref="G1160" r:id="rId2315" display="Deed - Attribution-NonCommercial 4.0 International - Creative Commons"/>
    <hyperlink ref="H1160" r:id="rId2316" display="https://www.inaturalist.org/observations/383161238"/>
    <hyperlink ref="G1161" r:id="rId2317" display="Deed - Attribution-NonCommercial 4.0 International - Creative Commons"/>
    <hyperlink ref="H1161" r:id="rId2318" display="https://www.inaturalist.org/observations/383161193"/>
    <hyperlink ref="G1162" r:id="rId2319" display="Deed - Attribution-NonCommercial 4.0 International - Creative Commons"/>
    <hyperlink ref="H1162" r:id="rId2320" display="https://www.inaturalist.org/observations/383161119"/>
    <hyperlink ref="G1163" r:id="rId2321" display="Deed - Attribution-NonCommercial 4.0 International - Creative Commons"/>
    <hyperlink ref="H1163" r:id="rId2322" display="https://www.inaturalist.org/observations/383160840"/>
    <hyperlink ref="G1164" r:id="rId2323" display="Deed - Attribution-NonCommercial 4.0 International - Creative Commons"/>
    <hyperlink ref="H1164" r:id="rId2324" display="https://www.inaturalist.org/observations/383160743"/>
    <hyperlink ref="G1165" r:id="rId2325" display="Deed - Attribution-NonCommercial 4.0 International - Creative Commons"/>
    <hyperlink ref="H1165" r:id="rId2326" display="https://www.inaturalist.org/observations/383160736"/>
    <hyperlink ref="G1166" r:id="rId2327" display="Deed - Attribution-NonCommercial 4.0 International - Creative Commons"/>
    <hyperlink ref="H1166" r:id="rId2328" display="https://www.inaturalist.org/observations/383160625"/>
    <hyperlink ref="G1167" r:id="rId2329" display="Deed - Attribution-NonCommercial 4.0 International - Creative Commons"/>
    <hyperlink ref="H1167" r:id="rId2330" display="https://www.inaturalist.org/observations/383160384"/>
    <hyperlink ref="G1168" r:id="rId2331" display="Deed - Attribution-NonCommercial 4.0 International - Creative Commons"/>
    <hyperlink ref="H1168" r:id="rId2332" display="https://www.inaturalist.org/observations/383160251"/>
    <hyperlink ref="G1169" r:id="rId2333" display="Deed - Attribution-NonCommercial 4.0 International - Creative Commons"/>
    <hyperlink ref="H1169" r:id="rId2334" display="https://www.inaturalist.org/observations/383160230"/>
    <hyperlink ref="G1170" r:id="rId2335" display="Deed - Attribution-NonCommercial 4.0 International - Creative Commons"/>
    <hyperlink ref="H1170" r:id="rId2336" display="https://www.inaturalist.org/observations/383160168"/>
    <hyperlink ref="G1171" r:id="rId2337" display="Deed - Attribution-NonCommercial 4.0 International - Creative Commons"/>
    <hyperlink ref="H1171" r:id="rId2338" display="https://www.inaturalist.org/observations/383160142"/>
    <hyperlink ref="G1172" r:id="rId2339" display="Deed - Attribution-NonCommercial 4.0 International - Creative Commons"/>
    <hyperlink ref="H1172" r:id="rId2340" display="https://www.inaturalist.org/observations/383160049"/>
    <hyperlink ref="G1173" r:id="rId2341" display="Deed - Attribution-NonCommercial 4.0 International - Creative Commons"/>
    <hyperlink ref="H1173" r:id="rId2342" display="https://www.inaturalist.org/observations/383159878"/>
    <hyperlink ref="G1174" r:id="rId2343" display="Deed - Attribution-NonCommercial 4.0 International - Creative Commons"/>
    <hyperlink ref="H1174" r:id="rId2344" display="https://www.inaturalist.org/observations/383159875"/>
    <hyperlink ref="G1175" r:id="rId2345" display="Deed - Attribution-NonCommercial 4.0 International - Creative Commons"/>
    <hyperlink ref="H1175" r:id="rId2346" display="https://www.inaturalist.org/observations/383159639"/>
    <hyperlink ref="G1176" r:id="rId2347" display="Deed - Attribution-NonCommercial 4.0 International - Creative Commons"/>
    <hyperlink ref="H1176" r:id="rId2348" display="https://www.inaturalist.org/observations/383159502"/>
    <hyperlink ref="G1177" r:id="rId2349" display="Deed - Attribution-NonCommercial 4.0 International - Creative Commons"/>
    <hyperlink ref="H1177" r:id="rId2350" display="https://www.inaturalist.org/observations/383159420"/>
    <hyperlink ref="G1178" r:id="rId2351" display="Deed - Attribution-NonCommercial 4.0 International - Creative Commons"/>
    <hyperlink ref="H1178" r:id="rId2352" display="https://www.inaturalist.org/observations/383159383"/>
    <hyperlink ref="G1179" r:id="rId2353" display="Deed - Attribution-NonCommercial 4.0 International - Creative Commons"/>
    <hyperlink ref="H1179" r:id="rId2354" display="https://www.inaturalist.org/observations/383159362"/>
    <hyperlink ref="G1180" r:id="rId2355" display="Deed - Attribution-NonCommercial 4.0 International - Creative Commons"/>
    <hyperlink ref="H1180" r:id="rId2356" display="https://www.inaturalist.org/observations/383159216"/>
    <hyperlink ref="G1181" r:id="rId2357" display="Deed - Attribution-NonCommercial 4.0 International - Creative Commons"/>
    <hyperlink ref="H1181" r:id="rId2358" display="https://www.inaturalist.org/observations/383159196"/>
    <hyperlink ref="G1182" r:id="rId2359" display="Deed - Attribution-NonCommercial 4.0 International - Creative Commons"/>
    <hyperlink ref="H1182" r:id="rId2360" display="https://www.inaturalist.org/observations/383158963"/>
    <hyperlink ref="G1183" r:id="rId2361" display="Deed - Attribution-NonCommercial 4.0 International - Creative Commons"/>
    <hyperlink ref="H1183" r:id="rId2362" display="https://www.inaturalist.org/observations/383158937"/>
    <hyperlink ref="G1184" r:id="rId2363" display="Deed - Attribution-NonCommercial 4.0 International - Creative Commons"/>
    <hyperlink ref="H1184" r:id="rId2364" display="https://www.inaturalist.org/observations/383158936"/>
    <hyperlink ref="G1185" r:id="rId2365" display="Deed - Attribution-NonCommercial 4.0 International - Creative Commons"/>
    <hyperlink ref="H1185" r:id="rId2366" display="https://www.inaturalist.org/observations/383158802"/>
    <hyperlink ref="G1186" r:id="rId2367" display="Deed - Attribution-NonCommercial 4.0 International - Creative Commons"/>
    <hyperlink ref="H1186" r:id="rId2368" display="https://www.inaturalist.org/observations/383158634"/>
    <hyperlink ref="G1187" r:id="rId2369" display="Deed - Attribution-NonCommercial 4.0 International - Creative Commons"/>
    <hyperlink ref="H1187" r:id="rId2370" display="https://www.inaturalist.org/observations/383158585"/>
    <hyperlink ref="G1188" r:id="rId2371" display="Deed - Attribution-NonCommercial 4.0 International - Creative Commons"/>
    <hyperlink ref="H1188" r:id="rId2372" display="https://www.inaturalist.org/observations/383158531"/>
    <hyperlink ref="G1189" r:id="rId2373" display="Deed - Attribution-NonCommercial 4.0 International - Creative Commons"/>
    <hyperlink ref="H1189" r:id="rId2374" display="https://www.inaturalist.org/observations/383158498"/>
    <hyperlink ref="G1190" r:id="rId2375" display="Deed - Attribution-NonCommercial 4.0 International - Creative Commons"/>
    <hyperlink ref="H1190" r:id="rId2376" display="https://www.inaturalist.org/observations/383158497"/>
    <hyperlink ref="G1191" r:id="rId2377" display="Deed - Attribution-NonCommercial 4.0 International - Creative Commons"/>
    <hyperlink ref="H1191" r:id="rId2378" display="https://www.inaturalist.org/observations/383158492"/>
    <hyperlink ref="G1192" r:id="rId2379" display="Deed - Attribution-NonCommercial 4.0 International - Creative Commons"/>
    <hyperlink ref="H1192" r:id="rId2380" display="https://www.inaturalist.org/observations/383158280"/>
    <hyperlink ref="G1193" r:id="rId2381" display="Deed - Attribution-NonCommercial 4.0 International - Creative Commons"/>
    <hyperlink ref="H1193" r:id="rId2382" display="https://www.inaturalist.org/observations/383158258"/>
    <hyperlink ref="G1194" r:id="rId2383" display="Deed - Attribution-NonCommercial 4.0 International - Creative Commons"/>
    <hyperlink ref="H1194" r:id="rId2384" display="https://www.inaturalist.org/observations/383158238"/>
    <hyperlink ref="G1195" r:id="rId2385" display="Deed - Attribution-NonCommercial 4.0 International - Creative Commons"/>
    <hyperlink ref="H1195" r:id="rId2386" display="https://www.inaturalist.org/observations/383158137"/>
    <hyperlink ref="G1196" r:id="rId2387" display="Deed - Attribution-NonCommercial 4.0 International - Creative Commons"/>
    <hyperlink ref="H1196" r:id="rId2388" display="https://www.inaturalist.org/observations/383158062"/>
    <hyperlink ref="G1197" r:id="rId2389" display="Deed - Attribution-NonCommercial 4.0 International - Creative Commons"/>
    <hyperlink ref="H1197" r:id="rId2390" display="https://www.inaturalist.org/observations/383157800"/>
    <hyperlink ref="G1198" r:id="rId2391" display="Deed - Attribution-NonCommercial 4.0 International - Creative Commons"/>
    <hyperlink ref="H1198" r:id="rId2392" display="https://www.inaturalist.org/observations/383157785"/>
    <hyperlink ref="G1199" r:id="rId2393" display="Deed - Attribution-NonCommercial 4.0 International - Creative Commons"/>
    <hyperlink ref="H1199" r:id="rId2394" display="https://www.inaturalist.org/observations/383157784"/>
    <hyperlink ref="G1200" r:id="rId2395" display="Deed - Attribution-NonCommercial 4.0 International - Creative Commons"/>
    <hyperlink ref="H1200" r:id="rId2396" display="https://www.inaturalist.org/observations/383157765"/>
    <hyperlink ref="G1201" r:id="rId2397" display="Deed - Attribution-NonCommercial 4.0 International - Creative Commons"/>
    <hyperlink ref="H1201" r:id="rId2398" display="https://www.inaturalist.org/observations/383157761"/>
    <hyperlink ref="G1202" r:id="rId2399" display="Deed - Attribution-NonCommercial 4.0 International - Creative Commons"/>
    <hyperlink ref="H1202" r:id="rId2400" display="https://www.inaturalist.org/observations/383157760"/>
    <hyperlink ref="G1203" r:id="rId2401" display="Deed - Attribution-NonCommercial 4.0 International - Creative Commons"/>
    <hyperlink ref="H1203" r:id="rId2402" display="https://www.inaturalist.org/observations/383157758"/>
    <hyperlink ref="G1204" r:id="rId2403" display="Deed - Attribution-NonCommercial 4.0 International - Creative Commons"/>
    <hyperlink ref="H1204" r:id="rId2404" display="https://www.inaturalist.org/observations/383157757"/>
    <hyperlink ref="G1205" r:id="rId2405" display="Deed - Attribution-NonCommercial 4.0 International - Creative Commons"/>
    <hyperlink ref="H1205" r:id="rId2406" display="https://www.inaturalist.org/observations/383157752"/>
    <hyperlink ref="G1206" r:id="rId2407" display="Deed - Attribution-NonCommercial 4.0 International - Creative Commons"/>
    <hyperlink ref="H1206" r:id="rId2408" display="https://www.inaturalist.org/observations/383157751"/>
    <hyperlink ref="G1207" r:id="rId2409" display="Deed - Attribution-NonCommercial 4.0 International - Creative Commons"/>
    <hyperlink ref="H1207" r:id="rId2410" display="https://www.inaturalist.org/observations/383157744"/>
    <hyperlink ref="G1208" r:id="rId2411" display="Deed - Attribution-NonCommercial 4.0 International - Creative Commons"/>
    <hyperlink ref="H1208" r:id="rId2412" display="https://www.inaturalist.org/observations/383157743"/>
    <hyperlink ref="G1209" r:id="rId2413" display="Deed - Attribution-NonCommercial 4.0 International - Creative Commons"/>
    <hyperlink ref="H1209" r:id="rId2414" display="https://www.inaturalist.org/observations/383157742"/>
    <hyperlink ref="G1210" r:id="rId2415" display="Deed - Attribution-NonCommercial 4.0 International - Creative Commons"/>
    <hyperlink ref="H1210" r:id="rId2416" display="https://www.inaturalist.org/observations/383157734"/>
    <hyperlink ref="G1211" r:id="rId2417" display="Deed - Attribution-NonCommercial 4.0 International - Creative Commons"/>
    <hyperlink ref="H1211" r:id="rId2418" display="https://www.inaturalist.org/observations/383157729"/>
    <hyperlink ref="G1212" r:id="rId2419" display="Deed - Attribution-NonCommercial 4.0 International - Creative Commons"/>
    <hyperlink ref="H1212" r:id="rId2420" display="https://www.inaturalist.org/observations/383157728"/>
    <hyperlink ref="G1213" r:id="rId2421" display="Deed - Attribution-NonCommercial 4.0 International - Creative Commons"/>
    <hyperlink ref="H1213" r:id="rId2422" display="https://www.inaturalist.org/observations/383157720"/>
    <hyperlink ref="G1214" r:id="rId2423" display="Deed - Attribution-NonCommercial 4.0 International - Creative Commons"/>
    <hyperlink ref="H1214" r:id="rId2424" display="https://www.inaturalist.org/observations/383157718"/>
    <hyperlink ref="G1215" r:id="rId2425" display="Deed - Attribution-NonCommercial 4.0 International - Creative Commons"/>
    <hyperlink ref="H1215" r:id="rId2426" display="https://www.inaturalist.org/observations/383157577"/>
    <hyperlink ref="G1216" r:id="rId2427" display="Deed - Attribution-NonCommercial 4.0 International - Creative Commons"/>
    <hyperlink ref="H1216" r:id="rId2428" display="https://www.inaturalist.org/observations/383157424"/>
    <hyperlink ref="G1217" r:id="rId2429" display="Deed - Attribution-NonCommercial 4.0 International - Creative Commons"/>
    <hyperlink ref="H1217" r:id="rId2430" display="https://www.inaturalist.org/observations/383157265"/>
    <hyperlink ref="G1218" r:id="rId2431" display="Deed - Attribution-NonCommercial 4.0 International - Creative Commons"/>
    <hyperlink ref="H1218" r:id="rId2432" display="https://www.inaturalist.org/observations/383157019"/>
    <hyperlink ref="G1219" r:id="rId2433" display="Deed - Attribution-NonCommercial 4.0 International - Creative Commons"/>
    <hyperlink ref="H1219" r:id="rId2434" display="https://www.inaturalist.org/observations/383156770"/>
    <hyperlink ref="G1220" r:id="rId2435" display="Deed - Attribution-NonCommercial 4.0 International - Creative Commons"/>
    <hyperlink ref="H1220" r:id="rId2436" display="https://www.inaturalist.org/observations/383156691"/>
    <hyperlink ref="G1221" r:id="rId2437" display="Deed - Attribution-NonCommercial 4.0 International - Creative Commons"/>
    <hyperlink ref="H1221" r:id="rId2438" display="https://www.inaturalist.org/observations/383156612"/>
    <hyperlink ref="G1222" r:id="rId2439" display="Deed - Attribution-NonCommercial 4.0 International - Creative Commons"/>
    <hyperlink ref="H1222" r:id="rId2440" display="https://www.inaturalist.org/observations/383156563"/>
    <hyperlink ref="G1223" r:id="rId2441" display="Deed - Attribution-NonCommercial 4.0 International - Creative Commons"/>
    <hyperlink ref="H1223" r:id="rId2442" display="https://www.inaturalist.org/observations/383156507"/>
    <hyperlink ref="G1224" r:id="rId2443" display="Deed - Attribution-NonCommercial 4.0 International - Creative Commons"/>
    <hyperlink ref="H1224" r:id="rId2444" display="https://www.inaturalist.org/observations/383156483"/>
    <hyperlink ref="G1225" r:id="rId2445" display="Deed - Attribution-NonCommercial 4.0 International - Creative Commons"/>
    <hyperlink ref="H1225" r:id="rId2446" display="https://www.inaturalist.org/observations/383156478"/>
    <hyperlink ref="G1226" r:id="rId2447" display="Deed - Attribution-NonCommercial 4.0 International - Creative Commons"/>
    <hyperlink ref="H1226" r:id="rId2448" display="https://www.inaturalist.org/observations/383156412"/>
    <hyperlink ref="G1227" r:id="rId2449" display="Deed - Attribution-NonCommercial 4.0 International - Creative Commons"/>
    <hyperlink ref="H1227" r:id="rId2450" display="https://www.inaturalist.org/observations/383156315"/>
    <hyperlink ref="G1228" r:id="rId2451" display="Deed - Attribution-NonCommercial 4.0 International - Creative Commons"/>
    <hyperlink ref="H1228" r:id="rId2452" display="https://www.inaturalist.org/observations/383156265"/>
    <hyperlink ref="G1229" r:id="rId2453" display="Deed - Attribution-NonCommercial 4.0 International - Creative Commons"/>
    <hyperlink ref="H1229" r:id="rId2454" display="https://www.inaturalist.org/observations/383156261"/>
    <hyperlink ref="G1230" r:id="rId2455" display="Deed - Attribution-NonCommercial 4.0 International - Creative Commons"/>
    <hyperlink ref="H1230" r:id="rId2456" display="https://www.inaturalist.org/observations/383156256"/>
    <hyperlink ref="G1231" r:id="rId2457" display="Deed - Attribution-NonCommercial 4.0 International - Creative Commons"/>
    <hyperlink ref="H1231" r:id="rId2458" display="https://www.inaturalist.org/observations/383156254"/>
    <hyperlink ref="G1232" r:id="rId2459" display="Deed - Attribution-NonCommercial 4.0 International - Creative Commons"/>
    <hyperlink ref="H1232" r:id="rId2460" display="https://www.inaturalist.org/observations/383156122"/>
    <hyperlink ref="G1233" r:id="rId2461" display="Deed - Attribution-NonCommercial 4.0 International - Creative Commons"/>
    <hyperlink ref="H1233" r:id="rId2462" display="https://www.inaturalist.org/observations/383156074"/>
    <hyperlink ref="G1234" r:id="rId2463" display="Deed - Attribution-NonCommercial 4.0 International - Creative Commons"/>
    <hyperlink ref="H1234" r:id="rId2464" display="https://www.inaturalist.org/observations/383156062"/>
    <hyperlink ref="G1235" r:id="rId2465" display="Deed - Attribution-NonCommercial 4.0 International - Creative Commons"/>
    <hyperlink ref="H1235" r:id="rId2466" display="https://www.inaturalist.org/observations/383156061"/>
    <hyperlink ref="G1236" r:id="rId2467" display="Deed - Attribution-NonCommercial 4.0 International - Creative Commons"/>
    <hyperlink ref="H1236" r:id="rId2468" display="https://www.inaturalist.org/observations/383156058"/>
    <hyperlink ref="G1237" r:id="rId2469" display="Deed - Attribution-NonCommercial 4.0 International - Creative Commons"/>
    <hyperlink ref="H1237" r:id="rId2470" display="https://www.inaturalist.org/observations/383156054"/>
    <hyperlink ref="G1238" r:id="rId2471" display="Deed - Attribution-NonCommercial 4.0 International - Creative Commons"/>
    <hyperlink ref="H1238" r:id="rId2472" display="https://www.inaturalist.org/observations/383156045"/>
    <hyperlink ref="G1239" r:id="rId2473" display="Deed - Attribution-NonCommercial 4.0 International - Creative Commons"/>
    <hyperlink ref="H1239" r:id="rId2474" display="https://www.inaturalist.org/observations/383156041"/>
    <hyperlink ref="G1240" r:id="rId2475" display="Deed - Attribution-NonCommercial 4.0 International - Creative Commons"/>
    <hyperlink ref="H1240" r:id="rId2476" display="https://www.inaturalist.org/observations/383156036"/>
    <hyperlink ref="G1241" r:id="rId2477" display="Deed - Attribution-NonCommercial 4.0 International - Creative Commons"/>
    <hyperlink ref="H1241" r:id="rId2478" display="https://www.inaturalist.org/observations/383155832"/>
    <hyperlink ref="G1242" r:id="rId2479" display="Deed - Attribution-NonCommercial 4.0 International - Creative Commons"/>
    <hyperlink ref="H1242" r:id="rId2480" display="https://www.inaturalist.org/observations/383155792"/>
    <hyperlink ref="G1243" r:id="rId2481" display="Deed - Attribution-NonCommercial 4.0 International - Creative Commons"/>
    <hyperlink ref="H1243" r:id="rId2482" display="https://www.inaturalist.org/observations/383155582"/>
    <hyperlink ref="G1244" r:id="rId2483" display="Deed - Attribution-NonCommercial 4.0 International - Creative Commons"/>
    <hyperlink ref="H1244" r:id="rId2484" display="https://www.inaturalist.org/observations/383155537"/>
    <hyperlink ref="G1245" r:id="rId2485" display="Deed - Attribution-NonCommercial 4.0 International - Creative Commons"/>
    <hyperlink ref="H1245" r:id="rId2486" display="https://www.inaturalist.org/observations/383155519"/>
    <hyperlink ref="G1246" r:id="rId2487" display="Deed - Attribution-NonCommercial 4.0 International - Creative Commons"/>
    <hyperlink ref="H1246" r:id="rId2488" display="https://www.inaturalist.org/observations/383155324"/>
    <hyperlink ref="G1247" r:id="rId2489" display="Deed - Attribution-NonCommercial 4.0 International - Creative Commons"/>
    <hyperlink ref="H1247" r:id="rId2490" display="https://www.inaturalist.org/observations/383155180"/>
    <hyperlink ref="G1248" r:id="rId2491" display="Deed - Attribution-NonCommercial 4.0 International - Creative Commons"/>
    <hyperlink ref="H1248" r:id="rId2492" display="https://www.inaturalist.org/observations/383155179"/>
    <hyperlink ref="G1249" r:id="rId2493" display="Deed - Attribution-NonCommercial 4.0 International - Creative Commons"/>
    <hyperlink ref="H1249" r:id="rId2494" display="https://www.inaturalist.org/observations/383155151"/>
    <hyperlink ref="G1250" r:id="rId2495" display="Deed - Attribution-NonCommercial 4.0 International - Creative Commons"/>
    <hyperlink ref="H1250" r:id="rId2496" display="https://www.inaturalist.org/observations/383154981"/>
    <hyperlink ref="G1251" r:id="rId2497" display="Deed - Attribution-NonCommercial 4.0 International - Creative Commons"/>
    <hyperlink ref="H1251" r:id="rId2498" display="https://www.inaturalist.org/observations/383154965"/>
    <hyperlink ref="G1252" r:id="rId2499" display="Deed - Attribution-NonCommercial 4.0 International - Creative Commons"/>
    <hyperlink ref="H1252" r:id="rId2500" display="https://www.inaturalist.org/observations/383154876"/>
    <hyperlink ref="G1253" r:id="rId2501" display="Deed - Attribution-NonCommercial 4.0 International - Creative Commons"/>
    <hyperlink ref="H1253" r:id="rId2502" display="https://www.inaturalist.org/observations/383154800"/>
    <hyperlink ref="G1254" r:id="rId2503" display="Deed - Attribution-NonCommercial 4.0 International - Creative Commons"/>
    <hyperlink ref="H1254" r:id="rId2504" display="https://www.inaturalist.org/observations/383154660"/>
    <hyperlink ref="G1255" r:id="rId2505" display="Deed - Attribution-NonCommercial 4.0 International - Creative Commons"/>
    <hyperlink ref="H1255" r:id="rId2506" display="https://www.inaturalist.org/observations/383154276"/>
    <hyperlink ref="G1256" r:id="rId2507" display="Deed - Attribution-NonCommercial 4.0 International - Creative Commons"/>
    <hyperlink ref="H1256" r:id="rId2508" display="https://www.inaturalist.org/observations/383154195"/>
    <hyperlink ref="G1257" r:id="rId2509" display="Deed - Attribution-NonCommercial 4.0 International - Creative Commons"/>
    <hyperlink ref="H1257" r:id="rId2510" display="https://www.inaturalist.org/observations/383153977"/>
    <hyperlink ref="G1258" r:id="rId2511" display="Deed - Attribution-NonCommercial 4.0 International - Creative Commons"/>
    <hyperlink ref="H1258" r:id="rId2512" display="https://www.inaturalist.org/observations/383153967"/>
    <hyperlink ref="G1259" r:id="rId2513" display="Deed - Attribution-NonCommercial 4.0 International - Creative Commons"/>
    <hyperlink ref="H1259" r:id="rId2514" display="https://www.inaturalist.org/observations/383153960"/>
    <hyperlink ref="G1260" r:id="rId2515" display="Deed - Attribution-NonCommercial 4.0 International - Creative Commons"/>
    <hyperlink ref="H1260" r:id="rId2516" display="https://www.inaturalist.org/observations/383153734"/>
    <hyperlink ref="G1261" r:id="rId2517" display="Deed - Attribution-NonCommercial 4.0 International - Creative Commons"/>
    <hyperlink ref="H1261" r:id="rId2518" display="https://www.inaturalist.org/observations/383153725"/>
    <hyperlink ref="G1262" r:id="rId2519" display="Deed - Attribution-NonCommercial 4.0 International - Creative Commons"/>
    <hyperlink ref="H1262" r:id="rId2520" display="https://www.inaturalist.org/observations/383153721"/>
    <hyperlink ref="G1263" r:id="rId2521" display="Deed - Attribution-NonCommercial 4.0 International - Creative Commons"/>
    <hyperlink ref="H1263" r:id="rId2522" display="https://www.inaturalist.org/observations/383153585"/>
    <hyperlink ref="G1264" r:id="rId2523" display="Deed - Attribution-NonCommercial 4.0 International - Creative Commons"/>
    <hyperlink ref="H1264" r:id="rId2524" display="https://www.inaturalist.org/observations/383153468"/>
    <hyperlink ref="G1265" r:id="rId2525" display="Deed - Attribution-NonCommercial 4.0 International - Creative Commons"/>
    <hyperlink ref="H1265" r:id="rId2526" display="https://www.inaturalist.org/observations/383153463"/>
    <hyperlink ref="G1266" r:id="rId2527" display="Deed - Attribution-NonCommercial 4.0 International - Creative Commons"/>
    <hyperlink ref="H1266" r:id="rId2528" display="https://www.inaturalist.org/observations/383153346"/>
    <hyperlink ref="G1267" r:id="rId2529" display="Deed - Attribution-NonCommercial 4.0 International - Creative Commons"/>
    <hyperlink ref="H1267" r:id="rId2530" display="https://www.inaturalist.org/observations/383153323"/>
    <hyperlink ref="G1268" r:id="rId2531" display="Deed - Attribution-NonCommercial 4.0 International - Creative Commons"/>
    <hyperlink ref="H1268" r:id="rId2532" display="https://www.inaturalist.org/observations/383153252"/>
    <hyperlink ref="G1269" r:id="rId2533" display="Deed - Attribution-NonCommercial 4.0 International - Creative Commons"/>
    <hyperlink ref="H1269" r:id="rId2534" display="https://www.inaturalist.org/observations/383153162"/>
    <hyperlink ref="G1270" r:id="rId2535" display="Deed - Attribution-NonCommercial 4.0 International - Creative Commons"/>
    <hyperlink ref="H1270" r:id="rId2536" display="https://www.inaturalist.org/observations/383152584"/>
    <hyperlink ref="G1271" r:id="rId2537" display="Deed - Attribution-NonCommercial 4.0 International - Creative Commons"/>
    <hyperlink ref="H1271" r:id="rId2538" display="https://www.inaturalist.org/observations/383152564"/>
    <hyperlink ref="G1272" r:id="rId2539" display="Deed - Attribution-NonCommercial 4.0 International - Creative Commons"/>
    <hyperlink ref="H1272" r:id="rId2540" display="https://www.inaturalist.org/observations/383152466"/>
    <hyperlink ref="G1273" r:id="rId2541" display="Deed - Attribution-NonCommercial 4.0 International - Creative Commons"/>
    <hyperlink ref="H1273" r:id="rId2542" display="https://www.inaturalist.org/observations/383152340"/>
    <hyperlink ref="G1274" r:id="rId2543" display="Deed - Attribution-NonCommercial 4.0 International - Creative Commons"/>
    <hyperlink ref="H1274" r:id="rId2544" display="https://www.inaturalist.org/observations/383152321"/>
    <hyperlink ref="G1275" r:id="rId2545" display="Deed - Attribution-NonCommercial 4.0 International - Creative Commons"/>
    <hyperlink ref="H1275" r:id="rId2546" display="https://www.inaturalist.org/observations/383152222"/>
    <hyperlink ref="G1276" r:id="rId2547" display="Deed - Attribution-NonCommercial 4.0 International - Creative Commons"/>
    <hyperlink ref="H1276" r:id="rId2548" display="https://www.inaturalist.org/observations/383152192"/>
    <hyperlink ref="G1277" r:id="rId2549" display="Deed - Attribution-NonCommercial 4.0 International - Creative Commons"/>
    <hyperlink ref="H1277" r:id="rId2550" display="https://www.inaturalist.org/observations/383152004"/>
    <hyperlink ref="G1278" r:id="rId2551" display="Deed - Attribution-NonCommercial 4.0 International - Creative Commons"/>
    <hyperlink ref="H1278" r:id="rId2552" display="https://www.inaturalist.org/observations/383152002"/>
    <hyperlink ref="G1279" r:id="rId2553" display="Deed - Attribution-NonCommercial 4.0 International - Creative Commons"/>
    <hyperlink ref="H1279" r:id="rId2554" display="https://www.inaturalist.org/observations/383151998"/>
    <hyperlink ref="G1280" r:id="rId2555" display="Deed - Attribution-NonCommercial 4.0 International - Creative Commons"/>
    <hyperlink ref="H1280" r:id="rId2556" display="https://www.inaturalist.org/observations/383151991"/>
    <hyperlink ref="G1281" r:id="rId2557" display="Deed - Attribution-NonCommercial 4.0 International - Creative Commons"/>
    <hyperlink ref="H1281" r:id="rId2558" display="https://www.inaturalist.org/observations/383151986"/>
    <hyperlink ref="G1282" r:id="rId2559" display="Deed - Attribution-NonCommercial 4.0 International - Creative Commons"/>
    <hyperlink ref="H1282" r:id="rId2560" display="https://www.inaturalist.org/observations/383151555"/>
    <hyperlink ref="G1283" r:id="rId2561" display="Deed - Attribution-NonCommercial 4.0 International - Creative Commons"/>
    <hyperlink ref="H1283" r:id="rId2562" display="https://www.inaturalist.org/observations/383151167"/>
    <hyperlink ref="G1284" r:id="rId2563" display="Deed - Attribution-NonCommercial 4.0 International - Creative Commons"/>
    <hyperlink ref="H1284" r:id="rId2564" display="https://www.inaturalist.org/observations/383151075"/>
    <hyperlink ref="G1285" r:id="rId2565" display="Deed - Attribution-NonCommercial 4.0 International - Creative Commons"/>
    <hyperlink ref="H1285" r:id="rId2566" display="https://www.inaturalist.org/observations/383151064"/>
    <hyperlink ref="G1286" r:id="rId2567" display="Deed - Attribution-NonCommercial 4.0 International - Creative Commons"/>
    <hyperlink ref="H1286" r:id="rId2568" display="https://www.inaturalist.org/observations/383151058"/>
    <hyperlink ref="G1287" r:id="rId2569" display="Deed - Attribution-NonCommercial 4.0 International - Creative Commons"/>
    <hyperlink ref="H1287" r:id="rId2570" display="https://www.inaturalist.org/observations/383150704"/>
    <hyperlink ref="G1288" r:id="rId2571" display="Deed - Attribution-NonCommercial 4.0 International - Creative Commons"/>
    <hyperlink ref="H1288" r:id="rId2572" display="https://www.inaturalist.org/observations/383150550"/>
    <hyperlink ref="G1289" r:id="rId2573" display="Deed - Attribution-NonCommercial 4.0 International - Creative Commons"/>
    <hyperlink ref="H1289" r:id="rId2574" display="https://www.inaturalist.org/observations/383150440"/>
    <hyperlink ref="G1290" r:id="rId2575" display="Deed - Attribution-NonCommercial 4.0 International - Creative Commons"/>
    <hyperlink ref="H1290" r:id="rId2576" display="https://www.inaturalist.org/observations/383150345"/>
    <hyperlink ref="G1291" r:id="rId2577" display="Deed - Attribution-NonCommercial 4.0 International - Creative Commons"/>
    <hyperlink ref="H1291" r:id="rId2578" display="https://www.inaturalist.org/observations/383150329"/>
    <hyperlink ref="G1292" r:id="rId2579" display="Deed - Attribution-NonCommercial 4.0 International - Creative Commons"/>
    <hyperlink ref="H1292" r:id="rId2580" display="https://www.inaturalist.org/observations/383150195"/>
    <hyperlink ref="G1293" r:id="rId2581" display="Deed - Attribution-NonCommercial 4.0 International - Creative Commons"/>
    <hyperlink ref="H1293" r:id="rId2582" display="https://www.inaturalist.org/observations/383150191"/>
    <hyperlink ref="G1294" r:id="rId2583" display="Deed - Attribution-NonCommercial 4.0 International - Creative Commons"/>
    <hyperlink ref="H1294" r:id="rId2584" display="https://www.inaturalist.org/observations/383150152"/>
    <hyperlink ref="G1295" r:id="rId2585" display="Deed - Attribution-NonCommercial 4.0 International - Creative Commons"/>
    <hyperlink ref="H1295" r:id="rId2586" display="https://www.inaturalist.org/observations/383150137"/>
    <hyperlink ref="G1296" r:id="rId2587" display="Deed - Attribution-NonCommercial 4.0 International - Creative Commons"/>
    <hyperlink ref="H1296" r:id="rId2588" display="https://www.inaturalist.org/observations/383150065"/>
    <hyperlink ref="G1297" r:id="rId2589" display="Deed - Attribution-NonCommercial 4.0 International - Creative Commons"/>
    <hyperlink ref="H1297" r:id="rId2590" display="https://www.inaturalist.org/observations/383150007"/>
    <hyperlink ref="G1298" r:id="rId2591" display="Deed - Attribution-NonCommercial 4.0 International - Creative Commons"/>
    <hyperlink ref="H1298" r:id="rId2592" display="https://www.inaturalist.org/observations/383149997"/>
    <hyperlink ref="G1299" r:id="rId2593" display="Deed - Attribution-NonCommercial 4.0 International - Creative Commons"/>
    <hyperlink ref="H1299" r:id="rId2594" display="https://www.inaturalist.org/observations/383149785"/>
    <hyperlink ref="G1300" r:id="rId2595" display="Deed - Attribution-NonCommercial 4.0 International - Creative Commons"/>
    <hyperlink ref="H1300" r:id="rId2596" display="https://www.inaturalist.org/observations/383149753"/>
    <hyperlink ref="G1301" r:id="rId2597" display="Deed - Attribution-NonCommercial 4.0 International - Creative Commons"/>
    <hyperlink ref="H1301" r:id="rId2598" display="https://www.inaturalist.org/observations/383149549"/>
    <hyperlink ref="G1302" r:id="rId2599" display="Deed - Attribution-NonCommercial 4.0 International - Creative Commons"/>
    <hyperlink ref="H1302" r:id="rId2600" display="https://www.inaturalist.org/observations/383149495"/>
    <hyperlink ref="G1303" r:id="rId2601" display="Deed - Attribution-NonCommercial 4.0 International - Creative Commons"/>
    <hyperlink ref="H1303" r:id="rId2602" display="https://www.inaturalist.org/observations/383178344"/>
    <hyperlink ref="G1304" r:id="rId2603" display="Deed - Attribution-NonCommercial 4.0 International - Creative Commons"/>
    <hyperlink ref="H1304" r:id="rId2604" display="https://www.inaturalist.org/observations/383177676"/>
    <hyperlink ref="G1305" r:id="rId2605" display="Deed - Attribution-NonCommercial 4.0 International - Creative Commons"/>
    <hyperlink ref="H1305" r:id="rId2606" display="https://www.inaturalist.org/observations/383169954"/>
    <hyperlink ref="G1306" r:id="rId2607" display="Deed - Attribution-NonCommercial 4.0 International - Creative Commons"/>
    <hyperlink ref="H1306" r:id="rId2608" display="https://www.inaturalist.org/observations/383156220"/>
    <hyperlink ref="G1307" r:id="rId2609" display="Deed - Attribution-NonCommercial 4.0 International - Creative Commons"/>
    <hyperlink ref="H1307" r:id="rId2610" display="https://www.inaturalist.org/observations/383136251"/>
    <hyperlink ref="G1308" r:id="rId2611" display="Deed - Attribution-NonCommercial 4.0 International - Creative Commons"/>
    <hyperlink ref="H1308" r:id="rId2612" display="https://www.inaturalist.org/observations/383127277"/>
    <hyperlink ref="G1309" r:id="rId2613" display="Deed - Attribution-NonCommercial 4.0 International - Creative Commons"/>
    <hyperlink ref="H1309" r:id="rId2614" display="https://www.inaturalist.org/observations/383088727"/>
    <hyperlink ref="G1310" r:id="rId2615" display="Deed - Attribution-NonCommercial 4.0 International - Creative Commons"/>
    <hyperlink ref="H1310" r:id="rId2616" display="https://www.inaturalist.org/observations/383063632"/>
    <hyperlink ref="G1311" r:id="rId2617" display="Deed - Attribution-NonCommercial 4.0 International - Creative Commons"/>
    <hyperlink ref="H1311" r:id="rId2618" display="https://www.inaturalist.org/observations/383045729"/>
    <hyperlink ref="G1312" r:id="rId2619" display="Deed - Attribution-NonCommercial 4.0 International - Creative Commons"/>
    <hyperlink ref="H1312" r:id="rId2620" display="https://www.inaturalist.org/observations/383042745"/>
    <hyperlink ref="G1313" r:id="rId2621" display="Deed - Attribution-NonCommercial 4.0 International - Creative Commons"/>
    <hyperlink ref="H1313" r:id="rId2622" display="https://www.inaturalist.org/observations/383040139"/>
    <hyperlink ref="G1314" r:id="rId2623" display="Deed - Attribution-NonCommercial 4.0 International - Creative Commons"/>
    <hyperlink ref="H1314" r:id="rId2624" display="https://www.inaturalist.org/observations/383022839"/>
    <hyperlink ref="G1315" r:id="rId2625" display="Deed - Attribution-NonCommercial 4.0 International - Creative Commons"/>
    <hyperlink ref="H1315" r:id="rId2626" display="https://www.inaturalist.org/observations/383020577"/>
    <hyperlink ref="G1316" r:id="rId2627" display="Deed - Attribution-NonCommercial 4.0 International - Creative Commons"/>
    <hyperlink ref="H1316" r:id="rId2628" display="https://www.inaturalist.org/observations/382986981"/>
    <hyperlink ref="G1317" r:id="rId2629" display="Deed - Attribution-NonCommercial 4.0 International - Creative Commons"/>
    <hyperlink ref="H1317" r:id="rId2630" display="https://www.inaturalist.org/observations/382980772"/>
    <hyperlink ref="G1318" r:id="rId2631" display="Deed - Attribution-NonCommercial 4.0 International - Creative Commons"/>
    <hyperlink ref="H1318" r:id="rId2632" display="https://www.inaturalist.org/observations/382977522"/>
    <hyperlink ref="G1319" r:id="rId2633" display="Deed - Attribution-NonCommercial 4.0 International - Creative Commons"/>
    <hyperlink ref="H1319" r:id="rId2634" display="https://www.inaturalist.org/observations/382975114"/>
    <hyperlink ref="G1320" r:id="rId2635" display="Deed - Attribution-NonCommercial 4.0 International - Creative Commons"/>
    <hyperlink ref="H1320" r:id="rId2636" display="https://www.inaturalist.org/observations/382964497"/>
    <hyperlink ref="G1321" r:id="rId2637" display="Deed - Attribution-NonCommercial 4.0 International - Creative Commons"/>
    <hyperlink ref="H1321" r:id="rId2638" display="https://www.inaturalist.org/observations/382964438"/>
    <hyperlink ref="G1322" r:id="rId2639" display="Deed - Attribution-NonCommercial 4.0 International - Creative Commons"/>
    <hyperlink ref="H1322" r:id="rId2640" display="https://www.inaturalist.org/observations/382964420"/>
    <hyperlink ref="G1323" r:id="rId2641" display="Deed - Attribution-NonCommercial 4.0 International - Creative Commons"/>
    <hyperlink ref="H1323" r:id="rId2642" display="https://www.inaturalist.org/observations/383180416"/>
    <hyperlink ref="G1324" r:id="rId2643" display="Deed - Attribution-NonCommercial 4.0 International - Creative Commons"/>
    <hyperlink ref="H1324" r:id="rId2644" display="https://www.inaturalist.org/observations/383180207"/>
    <hyperlink ref="G1325" r:id="rId2645" display="Deed - Attribution-NonCommercial 4.0 International - Creative Commons"/>
    <hyperlink ref="H1325" r:id="rId2646" display="https://www.inaturalist.org/observations/383179938"/>
    <hyperlink ref="G1326" r:id="rId2647" display="Deed - Attribution-NonCommercial 4.0 International - Creative Commons"/>
    <hyperlink ref="H1326" r:id="rId2648" display="https://www.inaturalist.org/observations/383179613"/>
    <hyperlink ref="G1327" r:id="rId2649" display="Deed - Attribution-NonCommercial 4.0 International - Creative Commons"/>
    <hyperlink ref="H1327" r:id="rId2650" display="https://www.inaturalist.org/observations/383179520"/>
    <hyperlink ref="G1328" r:id="rId2651" display="Deed - Attribution-NonCommercial 4.0 International - Creative Commons"/>
    <hyperlink ref="H1328" r:id="rId2652" display="https://www.inaturalist.org/observations/383179359"/>
    <hyperlink ref="G1329" r:id="rId2653" display="Deed - Attribution-NonCommercial 4.0 International - Creative Commons"/>
    <hyperlink ref="H1329" r:id="rId2654" display="https://www.inaturalist.org/observations/383179273"/>
    <hyperlink ref="G1330" r:id="rId2655" display="Deed - Attribution-NonCommercial 4.0 International - Creative Commons"/>
    <hyperlink ref="H1330" r:id="rId2656" display="https://www.inaturalist.org/observations/383179175"/>
    <hyperlink ref="G1331" r:id="rId2657" display="Deed - Attribution-NonCommercial 4.0 International - Creative Commons"/>
    <hyperlink ref="H1331" r:id="rId2658" display="https://www.inaturalist.org/observations/383178897"/>
    <hyperlink ref="G1332" r:id="rId2659" display="Deed - Attribution-NonCommercial 4.0 International - Creative Commons"/>
    <hyperlink ref="H1332" r:id="rId2660" display="https://www.inaturalist.org/observations/383178653"/>
    <hyperlink ref="G1333" r:id="rId2661" display="Deed - Attribution-NonCommercial 4.0 International - Creative Commons"/>
    <hyperlink ref="H1333" r:id="rId2662" display="https://www.inaturalist.org/observations/383178556"/>
    <hyperlink ref="G1334" r:id="rId2663" display="Deed - Attribution-NonCommercial 4.0 International - Creative Commons"/>
    <hyperlink ref="H1334" r:id="rId2664" display="https://www.inaturalist.org/observations/383178543"/>
    <hyperlink ref="G1335" r:id="rId2665" display="Deed - Attribution-NonCommercial 4.0 International - Creative Commons"/>
    <hyperlink ref="H1335" r:id="rId2666" display="https://www.inaturalist.org/observations/383178403"/>
    <hyperlink ref="G1336" r:id="rId2667" display="Deed - Attribution-NonCommercial 4.0 International - Creative Commons"/>
    <hyperlink ref="H1336" r:id="rId2668" display="https://www.inaturalist.org/observations/383178182"/>
    <hyperlink ref="G1337" r:id="rId2669" display="Deed - Attribution-NonCommercial 4.0 International - Creative Commons"/>
    <hyperlink ref="H1337" r:id="rId2670" display="https://www.inaturalist.org/observations/383178107"/>
    <hyperlink ref="G1338" r:id="rId2671" display="Deed - Attribution-NonCommercial 4.0 International - Creative Commons"/>
    <hyperlink ref="H1338" r:id="rId2672" display="https://www.inaturalist.org/observations/383178076"/>
    <hyperlink ref="G1339" r:id="rId2673" display="Deed - Attribution-NonCommercial 4.0 International - Creative Commons"/>
    <hyperlink ref="H1339" r:id="rId2674" display="https://www.inaturalist.org/observations/383177729"/>
    <hyperlink ref="G1340" r:id="rId2675" display="Deed - Attribution-NonCommercial 4.0 International - Creative Commons"/>
    <hyperlink ref="H1340" r:id="rId2676" display="https://www.inaturalist.org/observations/383177271"/>
    <hyperlink ref="G1341" r:id="rId2677" display="Deed - Attribution-NonCommercial 4.0 International - Creative Commons"/>
    <hyperlink ref="H1341" r:id="rId2678" display="https://www.inaturalist.org/observations/383177183"/>
    <hyperlink ref="G1342" r:id="rId2679" display="Deed - Attribution-NonCommercial 4.0 International - Creative Commons"/>
    <hyperlink ref="H1342" r:id="rId2680" display="https://www.inaturalist.org/observations/383177126"/>
    <hyperlink ref="G1343" r:id="rId2681" display="Deed - Attribution-NonCommercial 4.0 International - Creative Commons"/>
    <hyperlink ref="H1343" r:id="rId2682" display="https://www.inaturalist.org/observations/383177051"/>
    <hyperlink ref="G1344" r:id="rId2683" display="Deed - Attribution-NonCommercial 4.0 International - Creative Commons"/>
    <hyperlink ref="H1344" r:id="rId2684" display="https://www.inaturalist.org/observations/383176959"/>
    <hyperlink ref="G1345" r:id="rId2685" display="Deed - Attribution-NonCommercial 4.0 International - Creative Commons"/>
    <hyperlink ref="H1345" r:id="rId2686" display="https://www.inaturalist.org/observations/383176786"/>
    <hyperlink ref="G1346" r:id="rId2687" display="Deed - Attribution-NonCommercial 4.0 International - Creative Commons"/>
    <hyperlink ref="H1346" r:id="rId2688" display="https://www.inaturalist.org/observations/383176574"/>
    <hyperlink ref="G1347" r:id="rId2689" display="Deed - Attribution-NonCommercial 4.0 International - Creative Commons"/>
    <hyperlink ref="H1347" r:id="rId2690" display="https://www.inaturalist.org/observations/383176484"/>
    <hyperlink ref="G1348" r:id="rId2691" display="Deed - Attribution-NonCommercial 4.0 International - Creative Commons"/>
    <hyperlink ref="H1348" r:id="rId2692" display="https://www.inaturalist.org/observations/383176478"/>
    <hyperlink ref="G1349" r:id="rId2693" display="Deed - Attribution-NonCommercial 4.0 International - Creative Commons"/>
    <hyperlink ref="H1349" r:id="rId2694" display="https://www.inaturalist.org/observations/383176247"/>
    <hyperlink ref="G1350" r:id="rId2695" display="Deed - Attribution-NonCommercial 4.0 International - Creative Commons"/>
    <hyperlink ref="H1350" r:id="rId2696" display="https://www.inaturalist.org/observations/383175913"/>
    <hyperlink ref="G1351" r:id="rId2697" display="Deed - Attribution-NonCommercial 4.0 International - Creative Commons"/>
    <hyperlink ref="H1351" r:id="rId2698" display="https://www.inaturalist.org/observations/383175798"/>
    <hyperlink ref="G1352" r:id="rId2699" display="Deed - Attribution-NonCommercial 4.0 International - Creative Commons"/>
    <hyperlink ref="H1352" r:id="rId2700" display="https://www.inaturalist.org/observations/383175472"/>
    <hyperlink ref="G1353" r:id="rId2701" display="Deed - Attribution-NonCommercial 4.0 International - Creative Commons"/>
    <hyperlink ref="H1353" r:id="rId2702" display="https://www.inaturalist.org/observations/383175330"/>
    <hyperlink ref="G1354" r:id="rId2703" display="Deed - Attribution-NonCommercial 4.0 International - Creative Commons"/>
    <hyperlink ref="H1354" r:id="rId2704" display="https://www.inaturalist.org/observations/383175252"/>
    <hyperlink ref="G1355" r:id="rId2705" display="Deed - Attribution-NonCommercial 4.0 International - Creative Commons"/>
    <hyperlink ref="H1355" r:id="rId2706" display="https://www.inaturalist.org/observations/383175152"/>
    <hyperlink ref="G1356" r:id="rId2707" display="Deed - Attribution-NonCommercial 4.0 International - Creative Commons"/>
    <hyperlink ref="H1356" r:id="rId2708" display="https://www.inaturalist.org/observations/383175020"/>
    <hyperlink ref="G1357" r:id="rId2709" display="Deed - Attribution-NonCommercial 4.0 International - Creative Commons"/>
    <hyperlink ref="H1357" r:id="rId2710" display="https://www.inaturalist.org/observations/383174946"/>
    <hyperlink ref="G1358" r:id="rId2711" display="Deed - Attribution-NonCommercial 4.0 International - Creative Commons"/>
    <hyperlink ref="H1358" r:id="rId2712" display="https://www.inaturalist.org/observations/383174904"/>
    <hyperlink ref="G1359" r:id="rId2713" display="Deed - Attribution-NonCommercial 4.0 International - Creative Commons"/>
    <hyperlink ref="H1359" r:id="rId2714" display="https://www.inaturalist.org/observations/383174735"/>
    <hyperlink ref="G1360" r:id="rId2715" display="Deed - Attribution-NonCommercial 4.0 International - Creative Commons"/>
    <hyperlink ref="H1360" r:id="rId2716" display="https://www.inaturalist.org/observations/383174585"/>
    <hyperlink ref="G1361" r:id="rId2717" display="Deed - Attribution-NonCommercial 4.0 International - Creative Commons"/>
    <hyperlink ref="H1361" r:id="rId2718" display="https://www.inaturalist.org/observations/383174526"/>
    <hyperlink ref="G1362" r:id="rId2719" display="Deed - Attribution-NonCommercial 4.0 International - Creative Commons"/>
    <hyperlink ref="H1362" r:id="rId2720" display="https://www.inaturalist.org/observations/383174521"/>
    <hyperlink ref="G1363" r:id="rId2721" display="Deed - Attribution-NonCommercial 4.0 International - Creative Commons"/>
    <hyperlink ref="H1363" r:id="rId2722" display="https://www.inaturalist.org/observations/383174386"/>
    <hyperlink ref="G1364" r:id="rId2723" display="Deed - Attribution-NonCommercial 4.0 International - Creative Commons"/>
    <hyperlink ref="H1364" r:id="rId2724" display="https://www.inaturalist.org/observations/383174378"/>
    <hyperlink ref="G1365" r:id="rId2725" display="Deed - Attribution-NonCommercial 4.0 International - Creative Commons"/>
    <hyperlink ref="H1365" r:id="rId2726" display="https://www.inaturalist.org/observations/383174192"/>
    <hyperlink ref="G1366" r:id="rId2727" display="Deed - Attribution-NonCommercial 4.0 International - Creative Commons"/>
    <hyperlink ref="H1366" r:id="rId2728" display="https://www.inaturalist.org/observations/383174171"/>
    <hyperlink ref="G1367" r:id="rId2729" display="Deed - Attribution-NonCommercial 4.0 International - Creative Commons"/>
    <hyperlink ref="H1367" r:id="rId2730" display="https://www.inaturalist.org/observations/383174002"/>
    <hyperlink ref="G1368" r:id="rId2731" display="Deed - Attribution-NonCommercial 4.0 International - Creative Commons"/>
    <hyperlink ref="H1368" r:id="rId2732" display="https://www.inaturalist.org/observations/383173719"/>
    <hyperlink ref="G1369" r:id="rId2733" display="Deed - Attribution-NonCommercial 4.0 International - Creative Commons"/>
    <hyperlink ref="H1369" r:id="rId2734" display="https://www.inaturalist.org/observations/383173608"/>
    <hyperlink ref="G1370" r:id="rId2735" display="Deed - Attribution-NonCommercial 4.0 International - Creative Commons"/>
    <hyperlink ref="H1370" r:id="rId2736" display="https://www.inaturalist.org/observations/383173590"/>
    <hyperlink ref="G1371" r:id="rId2737" display="Deed - Attribution-NonCommercial 4.0 International - Creative Commons"/>
    <hyperlink ref="H1371" r:id="rId2738" display="https://www.inaturalist.org/observations/383173449"/>
    <hyperlink ref="G1372" r:id="rId2739" display="Deed - Attribution-NonCommercial 4.0 International - Creative Commons"/>
    <hyperlink ref="H1372" r:id="rId2740" display="https://www.inaturalist.org/observations/383173338"/>
    <hyperlink ref="G1373" r:id="rId2741" display="Deed - Attribution-NonCommercial 4.0 International - Creative Commons"/>
    <hyperlink ref="H1373" r:id="rId2742" display="https://www.inaturalist.org/observations/383173328"/>
    <hyperlink ref="G1374" r:id="rId2743" display="Deed - Attribution-NonCommercial 4.0 International - Creative Commons"/>
    <hyperlink ref="H1374" r:id="rId2744" display="https://www.inaturalist.org/observations/383173187"/>
    <hyperlink ref="G1375" r:id="rId2745" display="Deed - Attribution-NonCommercial 4.0 International - Creative Commons"/>
    <hyperlink ref="H1375" r:id="rId2746" display="https://www.inaturalist.org/observations/383173159"/>
    <hyperlink ref="G1376" r:id="rId2747" display="Deed - Attribution-NonCommercial 4.0 International - Creative Commons"/>
    <hyperlink ref="H1376" r:id="rId2748" display="https://www.inaturalist.org/observations/383173133"/>
    <hyperlink ref="G1377" r:id="rId2749" display="Deed - Attribution-NonCommercial 4.0 International - Creative Commons"/>
    <hyperlink ref="H1377" r:id="rId2750" display="https://www.inaturalist.org/observations/383173107"/>
    <hyperlink ref="G1378" r:id="rId2751" display="Deed - Attribution-NonCommercial 4.0 International - Creative Commons"/>
    <hyperlink ref="H1378" r:id="rId2752" display="https://www.inaturalist.org/observations/383173086"/>
    <hyperlink ref="G1379" r:id="rId2753" display="Deed - Attribution-NonCommercial 4.0 International - Creative Commons"/>
    <hyperlink ref="H1379" r:id="rId2754" display="https://www.inaturalist.org/observations/383173030"/>
    <hyperlink ref="G1380" r:id="rId2755" display="Deed - Attribution-NonCommercial 4.0 International - Creative Commons"/>
    <hyperlink ref="H1380" r:id="rId2756" display="https://www.inaturalist.org/observations/383172852"/>
    <hyperlink ref="G1381" r:id="rId2757" display="Deed - Attribution-NonCommercial 4.0 International - Creative Commons"/>
    <hyperlink ref="H1381" r:id="rId2758" display="https://www.inaturalist.org/observations/383172771"/>
    <hyperlink ref="G1382" r:id="rId2759" display="Deed - Attribution-NonCommercial 4.0 International - Creative Commons"/>
    <hyperlink ref="H1382" r:id="rId2760" display="https://www.inaturalist.org/observations/383172764"/>
    <hyperlink ref="G1383" r:id="rId2761" display="Deed - Attribution-NonCommercial 4.0 International - Creative Commons"/>
    <hyperlink ref="H1383" r:id="rId2762" display="https://www.inaturalist.org/observations/383172754"/>
    <hyperlink ref="G1384" r:id="rId2763" display="Deed - Attribution-NonCommercial 4.0 International - Creative Commons"/>
    <hyperlink ref="H1384" r:id="rId2764" display="https://www.inaturalist.org/observations/383172613"/>
    <hyperlink ref="G1385" r:id="rId2765" display="Deed - Attribution-NonCommercial 4.0 International - Creative Commons"/>
    <hyperlink ref="H1385" r:id="rId2766" display="https://www.inaturalist.org/observations/383172605"/>
    <hyperlink ref="G1386" r:id="rId2767" display="Deed - Attribution-NonCommercial 4.0 International - Creative Commons"/>
    <hyperlink ref="H1386" r:id="rId2768" display="https://www.inaturalist.org/observations/383172376"/>
    <hyperlink ref="G1387" r:id="rId2769" display="Deed - Attribution-NonCommercial 4.0 International - Creative Commons"/>
    <hyperlink ref="H1387" r:id="rId2770" display="https://www.inaturalist.org/observations/383172342"/>
    <hyperlink ref="G1388" r:id="rId2771" display="Deed - Attribution-NonCommercial 4.0 International - Creative Commons"/>
    <hyperlink ref="H1388" r:id="rId2772" display="https://www.inaturalist.org/observations/383172331"/>
    <hyperlink ref="G1389" r:id="rId2773" display="Deed - Attribution-NonCommercial 4.0 International - Creative Commons"/>
    <hyperlink ref="H1389" r:id="rId2774" display="https://www.inaturalist.org/observations/383172021"/>
    <hyperlink ref="G1390" r:id="rId2775" display="Deed - Attribution-NonCommercial 4.0 International - Creative Commons"/>
    <hyperlink ref="H1390" r:id="rId2776" display="https://www.inaturalist.org/observations/383171934"/>
    <hyperlink ref="G1391" r:id="rId2777" display="Deed - Attribution-NonCommercial 4.0 International - Creative Commons"/>
    <hyperlink ref="H1391" r:id="rId2778" display="https://www.inaturalist.org/observations/383171893"/>
    <hyperlink ref="G1392" r:id="rId2779" display="Deed - Attribution-NonCommercial 4.0 International - Creative Commons"/>
    <hyperlink ref="H1392" r:id="rId2780" display="https://www.inaturalist.org/observations/383171834"/>
    <hyperlink ref="G1393" r:id="rId2781" display="Deed - Attribution-NonCommercial 4.0 International - Creative Commons"/>
    <hyperlink ref="H1393" r:id="rId2782" display="https://www.inaturalist.org/observations/383171774"/>
    <hyperlink ref="G1394" r:id="rId2783" display="Deed - Attribution-NonCommercial 4.0 International - Creative Commons"/>
    <hyperlink ref="H1394" r:id="rId2784" display="https://www.inaturalist.org/observations/383171661"/>
    <hyperlink ref="G1395" r:id="rId2785" display="Deed - Attribution-NonCommercial 4.0 International - Creative Commons"/>
    <hyperlink ref="H1395" r:id="rId2786" display="https://www.inaturalist.org/observations/383171651"/>
    <hyperlink ref="G1396" r:id="rId2787" display="Deed - Attribution-NonCommercial 4.0 International - Creative Commons"/>
    <hyperlink ref="H1396" r:id="rId2788" display="https://www.inaturalist.org/observations/383171641"/>
    <hyperlink ref="G1397" r:id="rId2789" display="Deed - Attribution-NonCommercial 4.0 International - Creative Commons"/>
    <hyperlink ref="H1397" r:id="rId2790" display="https://www.inaturalist.org/observations/383171637"/>
    <hyperlink ref="G1398" r:id="rId2791" display="Deed - Attribution-NonCommercial 4.0 International - Creative Commons"/>
    <hyperlink ref="H1398" r:id="rId2792" display="https://www.inaturalist.org/observations/383171508"/>
    <hyperlink ref="G1399" r:id="rId2793" display="Deed - Attribution-NonCommercial 4.0 International - Creative Commons"/>
    <hyperlink ref="H1399" r:id="rId2794" display="https://www.inaturalist.org/observations/383171230"/>
    <hyperlink ref="G1400" r:id="rId2795" display="Deed - Attribution-NonCommercial 4.0 International - Creative Commons"/>
    <hyperlink ref="H1400" r:id="rId2796" display="https://www.inaturalist.org/observations/383171192"/>
    <hyperlink ref="G1401" r:id="rId2797" display="Deed - Attribution-NonCommercial 4.0 International - Creative Commons"/>
    <hyperlink ref="H1401" r:id="rId2798" display="https://www.inaturalist.org/observations/383171147"/>
    <hyperlink ref="G1402" r:id="rId2799" display="Deed - Attribution-NonCommercial 4.0 International - Creative Commons"/>
    <hyperlink ref="H1402" r:id="rId2800" display="https://www.inaturalist.org/observations/383170937"/>
    <hyperlink ref="G1403" r:id="rId2801" display="Deed - Attribution-NonCommercial 4.0 International - Creative Commons"/>
    <hyperlink ref="H1403" r:id="rId2802" display="https://www.inaturalist.org/observations/383170881"/>
    <hyperlink ref="G1404" r:id="rId2803" display="Deed - Attribution-NonCommercial 4.0 International - Creative Commons"/>
    <hyperlink ref="H1404" r:id="rId2804" display="https://www.inaturalist.org/observations/383170880"/>
    <hyperlink ref="G1405" r:id="rId2805" display="Deed - Attribution-NonCommercial 4.0 International - Creative Commons"/>
    <hyperlink ref="H1405" r:id="rId2806" display="https://www.inaturalist.org/observations/383170843"/>
    <hyperlink ref="G1406" r:id="rId2807" display="Deed - Attribution-NonCommercial 4.0 International - Creative Commons"/>
    <hyperlink ref="H1406" r:id="rId2808" display="https://www.inaturalist.org/observations/383170543"/>
    <hyperlink ref="G1407" r:id="rId2809" display="Deed - Attribution-NonCommercial 4.0 International - Creative Commons"/>
    <hyperlink ref="H1407" r:id="rId2810" display="https://www.inaturalist.org/observations/383170442"/>
    <hyperlink ref="G1408" r:id="rId2811" display="Deed - Attribution-NonCommercial 4.0 International - Creative Commons"/>
    <hyperlink ref="H1408" r:id="rId2812" display="https://www.inaturalist.org/observations/383170374"/>
    <hyperlink ref="G1409" r:id="rId2813" display="Deed - Attribution-NonCommercial 4.0 International - Creative Commons"/>
    <hyperlink ref="H1409" r:id="rId2814" display="https://www.inaturalist.org/observations/383170366"/>
    <hyperlink ref="G1410" r:id="rId2815" display="Deed - Attribution-NonCommercial 4.0 International - Creative Commons"/>
    <hyperlink ref="H1410" r:id="rId2816" display="https://www.inaturalist.org/observations/383170257"/>
    <hyperlink ref="G1411" r:id="rId2817" display="Deed - Attribution-NonCommercial 4.0 International - Creative Commons"/>
    <hyperlink ref="H1411" r:id="rId2818" display="https://www.inaturalist.org/observations/383170253"/>
    <hyperlink ref="G1412" r:id="rId2819" display="Deed - Attribution-NonCommercial 4.0 International - Creative Commons"/>
    <hyperlink ref="H1412" r:id="rId2820" display="https://www.inaturalist.org/observations/383170218"/>
    <hyperlink ref="G1413" r:id="rId2821" display="Deed - Attribution-NonCommercial 4.0 International - Creative Commons"/>
    <hyperlink ref="H1413" r:id="rId2822" display="https://www.inaturalist.org/observations/383170182"/>
    <hyperlink ref="G1414" r:id="rId2823" display="Deed - Attribution-NonCommercial 4.0 International - Creative Commons"/>
    <hyperlink ref="H1414" r:id="rId2824" display="https://www.inaturalist.org/observations/383169971"/>
    <hyperlink ref="G1415" r:id="rId2825" display="Deed - Attribution-NonCommercial 4.0 International - Creative Commons"/>
    <hyperlink ref="H1415" r:id="rId2826" display="https://www.inaturalist.org/observations/383169841"/>
    <hyperlink ref="G1416" r:id="rId2827" display="Deed - Attribution-NonCommercial 4.0 International - Creative Commons"/>
    <hyperlink ref="H1416" r:id="rId2828" display="https://www.inaturalist.org/observations/383169746"/>
    <hyperlink ref="G1417" r:id="rId2829" display="Deed - Attribution-NonCommercial 4.0 International - Creative Commons"/>
    <hyperlink ref="H1417" r:id="rId2830" display="https://www.inaturalist.org/observations/383169446"/>
    <hyperlink ref="G1418" r:id="rId2831" display="Deed - Attribution-NonCommercial 4.0 International - Creative Commons"/>
    <hyperlink ref="H1418" r:id="rId2832" display="https://www.inaturalist.org/observations/383169440"/>
    <hyperlink ref="G1419" r:id="rId2833" display="Deed - Attribution-NonCommercial 4.0 International - Creative Commons"/>
    <hyperlink ref="H1419" r:id="rId2834" display="https://www.inaturalist.org/observations/383169335"/>
    <hyperlink ref="G1420" r:id="rId2835" display="Deed - Attribution-NonCommercial 4.0 International - Creative Commons"/>
    <hyperlink ref="H1420" r:id="rId2836" display="https://www.inaturalist.org/observations/383169304"/>
    <hyperlink ref="G1421" r:id="rId2837" display="Deed - Attribution-NonCommercial 4.0 International - Creative Commons"/>
    <hyperlink ref="H1421" r:id="rId2838" display="https://www.inaturalist.org/observations/383169026"/>
    <hyperlink ref="G1422" r:id="rId2839" display="Deed - Attribution-NonCommercial 4.0 International - Creative Commons"/>
    <hyperlink ref="H1422" r:id="rId2840" display="https://www.inaturalist.org/observations/383168896"/>
    <hyperlink ref="G1423" r:id="rId2841" display="Deed - Attribution-NonCommercial 4.0 International - Creative Commons"/>
    <hyperlink ref="H1423" r:id="rId2842" display="https://www.inaturalist.org/observations/383168875"/>
    <hyperlink ref="G1424" r:id="rId2843" display="Deed - Attribution-NonCommercial 4.0 International - Creative Commons"/>
    <hyperlink ref="H1424" r:id="rId2844" display="https://www.inaturalist.org/observations/383168856"/>
    <hyperlink ref="G1425" r:id="rId2845" display="Deed - Attribution-NonCommercial 4.0 International - Creative Commons"/>
    <hyperlink ref="H1425" r:id="rId2846" display="https://www.inaturalist.org/observations/383168840"/>
    <hyperlink ref="G1426" r:id="rId2847" display="Deed - Attribution-NonCommercial 4.0 International - Creative Commons"/>
    <hyperlink ref="H1426" r:id="rId2848" display="https://www.inaturalist.org/observations/383168761"/>
    <hyperlink ref="G1427" r:id="rId2849" display="Deed - Attribution-NonCommercial 4.0 International - Creative Commons"/>
    <hyperlink ref="H1427" r:id="rId2850" display="https://www.inaturalist.org/observations/383168747"/>
    <hyperlink ref="G1428" r:id="rId2851" display="Deed - Attribution-NonCommercial 4.0 International - Creative Commons"/>
    <hyperlink ref="H1428" r:id="rId2852" display="https://www.inaturalist.org/observations/383168745"/>
    <hyperlink ref="G1429" r:id="rId2853" display="Deed - Attribution-NonCommercial 4.0 International - Creative Commons"/>
    <hyperlink ref="H1429" r:id="rId2854" display="https://www.inaturalist.org/observations/383168744"/>
    <hyperlink ref="G1430" r:id="rId2855" display="Deed - Attribution-NonCommercial 4.0 International - Creative Commons"/>
    <hyperlink ref="H1430" r:id="rId2856" display="https://www.inaturalist.org/observations/383168728"/>
    <hyperlink ref="G1431" r:id="rId2857" display="Deed - Attribution-NonCommercial 4.0 International - Creative Commons"/>
    <hyperlink ref="H1431" r:id="rId2858" display="https://www.inaturalist.org/observations/383168520"/>
    <hyperlink ref="G1432" r:id="rId2859" display="Deed - Attribution-NonCommercial 4.0 International - Creative Commons"/>
    <hyperlink ref="H1432" r:id="rId2860" display="https://www.inaturalist.org/observations/383168441"/>
    <hyperlink ref="G1433" r:id="rId2861" display="Deed - Attribution-NonCommercial 4.0 International - Creative Commons"/>
    <hyperlink ref="H1433" r:id="rId2862" display="https://www.inaturalist.org/observations/383168279"/>
    <hyperlink ref="G1434" r:id="rId2863" display="Deed - Attribution-NonCommercial 4.0 International - Creative Commons"/>
    <hyperlink ref="H1434" r:id="rId2864" display="https://www.inaturalist.org/observations/383168155"/>
    <hyperlink ref="G1435" r:id="rId2865" display="Deed - Attribution-NonCommercial 4.0 International - Creative Commons"/>
    <hyperlink ref="H1435" r:id="rId2866" display="https://www.inaturalist.org/observations/383168133"/>
    <hyperlink ref="G1436" r:id="rId2867" display="Deed - Attribution-NonCommercial 4.0 International - Creative Commons"/>
    <hyperlink ref="H1436" r:id="rId2868" display="https://www.inaturalist.org/observations/383168101"/>
    <hyperlink ref="G1437" r:id="rId2869" display="Deed - Attribution-NonCommercial 4.0 International - Creative Commons"/>
    <hyperlink ref="H1437" r:id="rId2870" display="https://www.inaturalist.org/observations/383168015"/>
    <hyperlink ref="G1438" r:id="rId2871" display="Deed - Attribution-NonCommercial 4.0 International - Creative Commons"/>
    <hyperlink ref="H1438" r:id="rId2872" display="https://www.inaturalist.org/observations/383167921"/>
    <hyperlink ref="G1439" r:id="rId2873" display="Deed - Attribution-NonCommercial 4.0 International - Creative Commons"/>
    <hyperlink ref="H1439" r:id="rId2874" display="https://www.inaturalist.org/observations/383167879"/>
    <hyperlink ref="G1440" r:id="rId2875" display="Deed - Attribution-NonCommercial 4.0 International - Creative Commons"/>
    <hyperlink ref="H1440" r:id="rId2876" display="https://www.inaturalist.org/observations/383167798"/>
    <hyperlink ref="G1441" r:id="rId2877" display="Deed - Attribution-NonCommercial 4.0 International - Creative Commons"/>
    <hyperlink ref="H1441" r:id="rId2878" display="https://www.inaturalist.org/observations/383167640"/>
    <hyperlink ref="G1442" r:id="rId2879" display="Deed - Attribution-NonCommercial 4.0 International - Creative Commons"/>
    <hyperlink ref="H1442" r:id="rId2880" display="https://www.inaturalist.org/observations/383167566"/>
    <hyperlink ref="G1443" r:id="rId2881" display="Deed - Attribution-NonCommercial 4.0 International - Creative Commons"/>
    <hyperlink ref="H1443" r:id="rId2882" display="https://www.inaturalist.org/observations/383167444"/>
    <hyperlink ref="G1444" r:id="rId2883" display="Deed - Attribution-NonCommercial 4.0 International - Creative Commons"/>
    <hyperlink ref="H1444" r:id="rId2884" display="https://www.inaturalist.org/observations/383167326"/>
    <hyperlink ref="G1445" r:id="rId2885" display="Deed - Attribution-NonCommercial 4.0 International - Creative Commons"/>
    <hyperlink ref="H1445" r:id="rId2886" display="https://www.inaturalist.org/observations/383167237"/>
    <hyperlink ref="G1446" r:id="rId2887" display="Deed - Attribution-NonCommercial 4.0 International - Creative Commons"/>
    <hyperlink ref="H1446" r:id="rId2888" display="https://www.inaturalist.org/observations/383167159"/>
    <hyperlink ref="G1447" r:id="rId2889" display="Deed - Attribution-NonCommercial 4.0 International - Creative Commons"/>
    <hyperlink ref="H1447" r:id="rId2890" display="https://www.inaturalist.org/observations/383167136"/>
    <hyperlink ref="G1448" r:id="rId2891" display="Deed - Attribution-NonCommercial 4.0 International - Creative Commons"/>
    <hyperlink ref="H1448" r:id="rId2892" display="https://www.inaturalist.org/observations/383166994"/>
    <hyperlink ref="G1449" r:id="rId2893" display="Deed - Attribution-NonCommercial 4.0 International - Creative Commons"/>
    <hyperlink ref="H1449" r:id="rId2894" display="https://www.inaturalist.org/observations/383166987"/>
    <hyperlink ref="G1450" r:id="rId2895" display="Deed - Attribution-NonCommercial 4.0 International - Creative Commons"/>
    <hyperlink ref="H1450" r:id="rId2896" display="https://www.inaturalist.org/observations/383166885"/>
    <hyperlink ref="G1451" r:id="rId2897" display="Deed - Attribution-NonCommercial 4.0 International - Creative Commons"/>
    <hyperlink ref="H1451" r:id="rId2898" display="https://www.inaturalist.org/observations/383166780"/>
    <hyperlink ref="G1452" r:id="rId2899" display="Deed - Attribution-NonCommercial 4.0 International - Creative Commons"/>
    <hyperlink ref="H1452" r:id="rId2900" display="https://www.inaturalist.org/observations/383166654"/>
    <hyperlink ref="G1453" r:id="rId2901" display="Deed - Attribution-NonCommercial 4.0 International - Creative Commons"/>
    <hyperlink ref="H1453" r:id="rId2902" display="https://www.inaturalist.org/observations/383166416"/>
    <hyperlink ref="G1454" r:id="rId2903" display="Deed - Attribution-NonCommercial 4.0 International - Creative Commons"/>
    <hyperlink ref="H1454" r:id="rId2904" display="https://www.inaturalist.org/observations/383166280"/>
    <hyperlink ref="G1455" r:id="rId2905" display="Deed - Attribution-NonCommercial 4.0 International - Creative Commons"/>
    <hyperlink ref="H1455" r:id="rId2906" display="https://www.inaturalist.org/observations/383166220"/>
    <hyperlink ref="G1456" r:id="rId2907" display="Deed - Attribution-NonCommercial 4.0 International - Creative Commons"/>
    <hyperlink ref="H1456" r:id="rId2908" display="https://www.inaturalist.org/observations/383166195"/>
    <hyperlink ref="G1457" r:id="rId2909" display="Deed - Attribution-NonCommercial 4.0 International - Creative Commons"/>
    <hyperlink ref="H1457" r:id="rId2910" display="https://www.inaturalist.org/observations/383166087"/>
    <hyperlink ref="G1458" r:id="rId2911" display="Deed - Attribution-NonCommercial 4.0 International - Creative Commons"/>
    <hyperlink ref="H1458" r:id="rId2912" display="https://www.inaturalist.org/observations/383165967"/>
    <hyperlink ref="G1459" r:id="rId2913" display="Deed - Attribution-NonCommercial 4.0 International - Creative Commons"/>
    <hyperlink ref="H1459" r:id="rId2914" display="https://www.inaturalist.org/observations/383165941"/>
    <hyperlink ref="G1460" r:id="rId2915" display="Deed - Attribution-NonCommercial 4.0 International - Creative Commons"/>
    <hyperlink ref="H1460" r:id="rId2916" display="https://www.inaturalist.org/observations/383165707"/>
    <hyperlink ref="G1461" r:id="rId2917" display="Deed - Attribution-NonCommercial 4.0 International - Creative Commons"/>
    <hyperlink ref="H1461" r:id="rId2918" display="https://www.inaturalist.org/observations/383165642"/>
    <hyperlink ref="G1462" r:id="rId2919" display="Deed - Attribution-NonCommercial 4.0 International - Creative Commons"/>
    <hyperlink ref="H1462" r:id="rId2920" display="https://www.inaturalist.org/observations/383165620"/>
    <hyperlink ref="G1463" r:id="rId2921" display="Deed - Attribution-NonCommercial 4.0 International - Creative Commons"/>
    <hyperlink ref="H1463" r:id="rId2922" display="https://www.inaturalist.org/observations/383165340"/>
    <hyperlink ref="G1464" r:id="rId2923" display="Deed - Attribution-NonCommercial 4.0 International - Creative Commons"/>
    <hyperlink ref="H1464" r:id="rId2924" display="https://www.inaturalist.org/observations/383164893"/>
    <hyperlink ref="G1465" r:id="rId2925" display="Deed - Attribution-NonCommercial 4.0 International - Creative Commons"/>
    <hyperlink ref="H1465" r:id="rId2926" display="https://www.inaturalist.org/observations/383164864"/>
    <hyperlink ref="G1466" r:id="rId2927" display="Deed - Attribution-NonCommercial 4.0 International - Creative Commons"/>
    <hyperlink ref="H1466" r:id="rId2928" display="https://www.inaturalist.org/observations/383164797"/>
    <hyperlink ref="G1467" r:id="rId2929" display="Deed - Attribution-NonCommercial 4.0 International - Creative Commons"/>
    <hyperlink ref="H1467" r:id="rId2930" display="https://www.inaturalist.org/observations/383164712"/>
    <hyperlink ref="G1468" r:id="rId2931" display="Deed - Attribution-NonCommercial 4.0 International - Creative Commons"/>
    <hyperlink ref="H1468" r:id="rId2932" display="https://www.inaturalist.org/observations/383164657"/>
    <hyperlink ref="G1469" r:id="rId2933" display="Deed - Attribution-NonCommercial 4.0 International - Creative Commons"/>
    <hyperlink ref="H1469" r:id="rId2934" display="https://www.inaturalist.org/observations/383164647"/>
    <hyperlink ref="G1470" r:id="rId2935" display="Deed - Attribution-NonCommercial 4.0 International - Creative Commons"/>
    <hyperlink ref="H1470" r:id="rId2936" display="https://www.inaturalist.org/observations/383164641"/>
    <hyperlink ref="G1471" r:id="rId2937" display="Deed - Attribution-NonCommercial 4.0 International - Creative Commons"/>
    <hyperlink ref="H1471" r:id="rId2938" display="https://www.inaturalist.org/observations/383164639"/>
    <hyperlink ref="G1472" r:id="rId2939" display="Deed - Attribution-NonCommercial 4.0 International - Creative Commons"/>
    <hyperlink ref="H1472" r:id="rId2940" display="https://www.inaturalist.org/observations/383164548"/>
    <hyperlink ref="G1473" r:id="rId2941" display="Deed - Attribution-NonCommercial 4.0 International - Creative Commons"/>
    <hyperlink ref="H1473" r:id="rId2942" display="https://www.inaturalist.org/observations/383164400"/>
    <hyperlink ref="G1474" r:id="rId2943" display="Deed - Attribution-NonCommercial 4.0 International - Creative Commons"/>
    <hyperlink ref="H1474" r:id="rId2944" display="https://www.inaturalist.org/observations/383164165"/>
    <hyperlink ref="G1475" r:id="rId2945" display="Deed - Attribution-NonCommercial 4.0 International - Creative Commons"/>
    <hyperlink ref="H1475" r:id="rId2946" display="https://www.inaturalist.org/observations/383163317"/>
    <hyperlink ref="G1476" r:id="rId2947" display="Deed - Attribution-NonCommercial 4.0 International - Creative Commons"/>
    <hyperlink ref="H1476" r:id="rId2948" display="https://www.inaturalist.org/observations/383162963"/>
    <hyperlink ref="G1477" r:id="rId2949" display="Deed - Attribution-NonCommercial 4.0 International - Creative Commons"/>
    <hyperlink ref="H1477" r:id="rId2950" display="https://www.inaturalist.org/observations/383162958"/>
    <hyperlink ref="G1478" r:id="rId2951" display="Deed - Attribution-NonCommercial 4.0 International - Creative Commons"/>
    <hyperlink ref="H1478" r:id="rId2952" display="https://www.inaturalist.org/observations/383162735"/>
    <hyperlink ref="G1479" r:id="rId2953" display="Deed - Attribution-NonCommercial 4.0 International - Creative Commons"/>
    <hyperlink ref="H1479" r:id="rId2954" display="https://www.inaturalist.org/observations/383162579"/>
    <hyperlink ref="G1480" r:id="rId2955" display="Deed - Attribution-NonCommercial 4.0 International - Creative Commons"/>
    <hyperlink ref="H1480" r:id="rId2956" display="https://www.inaturalist.org/observations/383162485"/>
    <hyperlink ref="G1481" r:id="rId2957" display="Deed - Attribution-NonCommercial 4.0 International - Creative Commons"/>
    <hyperlink ref="H1481" r:id="rId2958" display="https://www.inaturalist.org/observations/383162475"/>
    <hyperlink ref="G1482" r:id="rId2959" display="Deed - Attribution-NonCommercial 4.0 International - Creative Commons"/>
    <hyperlink ref="H1482" r:id="rId2960" display="https://www.inaturalist.org/observations/383162471"/>
    <hyperlink ref="G1483" r:id="rId2961" display="Deed - Attribution-NonCommercial 4.0 International - Creative Commons"/>
    <hyperlink ref="H1483" r:id="rId2962" display="https://www.inaturalist.org/observations/383162462"/>
    <hyperlink ref="G1484" r:id="rId2963" display="Deed - Attribution-NonCommercial 4.0 International - Creative Commons"/>
    <hyperlink ref="H1484" r:id="rId2964" display="https://www.inaturalist.org/observations/383162396"/>
    <hyperlink ref="G1485" r:id="rId2965" display="Deed - Attribution-NonCommercial 4.0 International - Creative Commons"/>
    <hyperlink ref="H1485" r:id="rId2966" display="https://www.inaturalist.org/observations/383162394"/>
    <hyperlink ref="G1486" r:id="rId2967" display="Deed - Attribution-NonCommercial 4.0 International - Creative Commons"/>
    <hyperlink ref="H1486" r:id="rId2968" display="https://www.inaturalist.org/observations/383162340"/>
    <hyperlink ref="G1487" r:id="rId2969" display="Deed - Attribution-NonCommercial 4.0 International - Creative Commons"/>
    <hyperlink ref="H1487" r:id="rId2970" display="https://www.inaturalist.org/observations/383162201"/>
    <hyperlink ref="G1488" r:id="rId2971" display="Deed - Attribution-NonCommercial 4.0 International - Creative Commons"/>
    <hyperlink ref="H1488" r:id="rId2972" display="https://www.inaturalist.org/observations/383161961"/>
    <hyperlink ref="G1489" r:id="rId2973" display="Deed - Attribution-NonCommercial 4.0 International - Creative Commons"/>
    <hyperlink ref="H1489" r:id="rId2974" display="https://www.inaturalist.org/observations/383161943"/>
    <hyperlink ref="G1490" r:id="rId2975" display="Deed - Attribution-NonCommercial 4.0 International - Creative Commons"/>
    <hyperlink ref="H1490" r:id="rId2976" display="https://www.inaturalist.org/observations/383161879"/>
    <hyperlink ref="G1491" r:id="rId2977" display="Deed - Attribution-NonCommercial 4.0 International - Creative Commons"/>
    <hyperlink ref="H1491" r:id="rId2978" display="https://www.inaturalist.org/observations/383161873"/>
    <hyperlink ref="G1492" r:id="rId2979" display="Deed - Attribution-NonCommercial 4.0 International - Creative Commons"/>
    <hyperlink ref="H1492" r:id="rId2980" display="https://www.inaturalist.org/observations/383161841"/>
    <hyperlink ref="G1493" r:id="rId2981" display="Deed - Attribution-NonCommercial 4.0 International - Creative Commons"/>
    <hyperlink ref="H1493" r:id="rId2982" display="https://www.inaturalist.org/observations/383161828"/>
    <hyperlink ref="G1494" r:id="rId2983" display="Deed - Attribution-NonCommercial 4.0 International - Creative Commons"/>
    <hyperlink ref="H1494" r:id="rId2984" display="https://www.inaturalist.org/observations/383161788"/>
    <hyperlink ref="G1495" r:id="rId2985" display="Deed - Attribution-NonCommercial 4.0 International - Creative Commons"/>
    <hyperlink ref="H1495" r:id="rId2986" display="https://www.inaturalist.org/observations/383161530"/>
    <hyperlink ref="G1496" r:id="rId2987" display="Deed - Attribution-NonCommercial 4.0 International - Creative Commons"/>
    <hyperlink ref="H1496" r:id="rId2988" display="https://www.inaturalist.org/observations/383161461"/>
    <hyperlink ref="G1497" r:id="rId2989" display="Deed - Attribution-NonCommercial 4.0 International - Creative Commons"/>
    <hyperlink ref="H1497" r:id="rId2990" display="https://www.inaturalist.org/observations/383161447"/>
    <hyperlink ref="G1498" r:id="rId2991" display="Deed - Attribution-NonCommercial 4.0 International - Creative Commons"/>
    <hyperlink ref="H1498" r:id="rId2992" display="https://www.inaturalist.org/observations/383161443"/>
    <hyperlink ref="G1499" r:id="rId2993" display="Deed - Attribution-NonCommercial 4.0 International - Creative Commons"/>
    <hyperlink ref="H1499" r:id="rId2994" display="https://www.inaturalist.org/observations/383161432"/>
    <hyperlink ref="G1500" r:id="rId2995" display="Deed - Attribution-NonCommercial 4.0 International - Creative Commons"/>
    <hyperlink ref="H1500" r:id="rId2996" display="https://www.inaturalist.org/observations/383161406"/>
    <hyperlink ref="G1501" r:id="rId2997" display="Deed - Attribution-NonCommercial 4.0 International - Creative Commons"/>
    <hyperlink ref="H1501" r:id="rId2998" display="https://www.inaturalist.org/observations/383161364"/>
    <hyperlink ref="G1502" r:id="rId2999" display="Deed - Attribution-NonCommercial 4.0 International - Creative Commons"/>
    <hyperlink ref="H1502" r:id="rId3000" display="https://www.inaturalist.org/observations/383161354"/>
    <hyperlink ref="G1503" r:id="rId3001" display="Deed - Attribution-NonCommercial 4.0 International - Creative Commons"/>
    <hyperlink ref="H1503" r:id="rId3002" display="https://www.inaturalist.org/observations/383161347"/>
    <hyperlink ref="G1504" r:id="rId3003" display="Deed - Attribution-NonCommercial 4.0 International - Creative Commons"/>
    <hyperlink ref="H1504" r:id="rId3004" display="https://www.inaturalist.org/observations/383161289"/>
    <hyperlink ref="G1505" r:id="rId3005" display="Deed - Attribution-NonCommercial 4.0 International - Creative Commons"/>
    <hyperlink ref="H1505" r:id="rId3006" display="https://www.inaturalist.org/observations/383161210"/>
    <hyperlink ref="G1506" r:id="rId3007" display="Deed - Attribution-NonCommercial 4.0 International - Creative Commons"/>
    <hyperlink ref="H1506" r:id="rId3008" display="https://www.inaturalist.org/observations/383161114"/>
    <hyperlink ref="G1507" r:id="rId3009" display="Deed - Attribution-NonCommercial 4.0 International - Creative Commons"/>
    <hyperlink ref="H1507" r:id="rId3010" display="https://www.inaturalist.org/observations/383161108"/>
    <hyperlink ref="G1508" r:id="rId3011" display="Deed - Attribution-NonCommercial 4.0 International - Creative Commons"/>
    <hyperlink ref="H1508" r:id="rId3012" display="https://www.inaturalist.org/observations/383161050"/>
    <hyperlink ref="G1509" r:id="rId3013" display="Deed - Attribution-NonCommercial 4.0 International - Creative Commons"/>
    <hyperlink ref="H1509" r:id="rId3014" display="https://www.inaturalist.org/observations/383161004"/>
    <hyperlink ref="G1510" r:id="rId3015" display="Deed - Attribution-NonCommercial 4.0 International - Creative Commons"/>
    <hyperlink ref="H1510" r:id="rId3016" display="https://www.inaturalist.org/observations/383160906"/>
    <hyperlink ref="G1511" r:id="rId3017" display="Deed - Attribution-NonCommercial 4.0 International - Creative Commons"/>
    <hyperlink ref="H1511" r:id="rId3018" display="https://www.inaturalist.org/observations/383160882"/>
    <hyperlink ref="G1512" r:id="rId3019" display="Deed - Attribution-NonCommercial 4.0 International - Creative Commons"/>
    <hyperlink ref="H1512" r:id="rId3020" display="https://www.inaturalist.org/observations/383160858"/>
    <hyperlink ref="G1513" r:id="rId3021" display="Deed - Attribution-NonCommercial 4.0 International - Creative Commons"/>
    <hyperlink ref="H1513" r:id="rId3022" display="https://www.inaturalist.org/observations/383160849"/>
    <hyperlink ref="G1514" r:id="rId3023" display="Deed - Attribution-NonCommercial 4.0 International - Creative Commons"/>
    <hyperlink ref="H1514" r:id="rId3024" display="https://www.inaturalist.org/observations/383160826"/>
    <hyperlink ref="G1515" r:id="rId3025" display="Deed - Attribution-NonCommercial 4.0 International - Creative Commons"/>
    <hyperlink ref="H1515" r:id="rId3026" display="https://www.inaturalist.org/observations/383160749"/>
    <hyperlink ref="G1516" r:id="rId3027" display="Deed - Attribution-NonCommercial 4.0 International - Creative Commons"/>
    <hyperlink ref="H1516" r:id="rId3028" display="https://www.inaturalist.org/observations/383160567"/>
    <hyperlink ref="G1517" r:id="rId3029" display="Deed - Attribution-NonCommercial 4.0 International - Creative Commons"/>
    <hyperlink ref="H1517" r:id="rId3030" display="https://www.inaturalist.org/observations/383160411"/>
    <hyperlink ref="G1518" r:id="rId3031" display="Deed - Attribution-NonCommercial 4.0 International - Creative Commons"/>
    <hyperlink ref="H1518" r:id="rId3032" display="https://www.inaturalist.org/observations/383160405"/>
    <hyperlink ref="G1519" r:id="rId3033" display="Deed - Attribution-NonCommercial 4.0 International - Creative Commons"/>
    <hyperlink ref="H1519" r:id="rId3034" display="https://www.inaturalist.org/observations/383160351"/>
    <hyperlink ref="G1520" r:id="rId3035" display="Deed - Attribution-NonCommercial 4.0 International - Creative Commons"/>
    <hyperlink ref="H1520" r:id="rId3036" display="https://www.inaturalist.org/observations/383160333"/>
    <hyperlink ref="G1521" r:id="rId3037" display="Deed - Attribution-NonCommercial 4.0 International - Creative Commons"/>
    <hyperlink ref="H1521" r:id="rId3038" display="https://www.inaturalist.org/observations/383160300"/>
    <hyperlink ref="G1522" r:id="rId3039" display="Deed - Attribution-NonCommercial 4.0 International - Creative Commons"/>
    <hyperlink ref="H1522" r:id="rId3040" display="https://www.inaturalist.org/observations/383160225"/>
    <hyperlink ref="G1523" r:id="rId3041" display="Deed - Attribution-NonCommercial 4.0 International - Creative Commons"/>
    <hyperlink ref="H1523" r:id="rId3042" display="https://www.inaturalist.org/observations/383159858"/>
    <hyperlink ref="G1524" r:id="rId3043" display="Deed - Attribution-NonCommercial 4.0 International - Creative Commons"/>
    <hyperlink ref="H1524" r:id="rId3044" display="https://www.inaturalist.org/observations/383159764"/>
    <hyperlink ref="G1525" r:id="rId3045" display="Deed - Attribution-NonCommercial 4.0 International - Creative Commons"/>
    <hyperlink ref="H1525" r:id="rId3046" display="https://www.inaturalist.org/observations/383159683"/>
    <hyperlink ref="G1526" r:id="rId3047" display="Deed - Attribution-NonCommercial 4.0 International - Creative Commons"/>
    <hyperlink ref="H1526" r:id="rId3048" display="https://www.inaturalist.org/observations/383159579"/>
    <hyperlink ref="G1527" r:id="rId3049" display="Deed - Attribution-NonCommercial 4.0 International - Creative Commons"/>
    <hyperlink ref="H1527" r:id="rId3050" display="https://www.inaturalist.org/observations/383159497"/>
    <hyperlink ref="G1528" r:id="rId3051" display="Deed - Attribution-NonCommercial 4.0 International - Creative Commons"/>
    <hyperlink ref="H1528" r:id="rId3052" display="https://www.inaturalist.org/observations/383159451"/>
    <hyperlink ref="G1529" r:id="rId3053" display="Deed - Attribution-NonCommercial 4.0 International - Creative Commons"/>
    <hyperlink ref="H1529" r:id="rId3054" display="https://www.inaturalist.org/observations/383159378"/>
    <hyperlink ref="G1530" r:id="rId3055" display="Deed - Attribution-NonCommercial 4.0 International - Creative Commons"/>
    <hyperlink ref="H1530" r:id="rId3056" display="https://www.inaturalist.org/observations/383159333"/>
    <hyperlink ref="G1531" r:id="rId3057" display="Deed - Attribution-NonCommercial 4.0 International - Creative Commons"/>
    <hyperlink ref="H1531" r:id="rId3058" display="https://www.inaturalist.org/observations/383159209"/>
    <hyperlink ref="G1532" r:id="rId3059" display="Deed - Attribution-NonCommercial 4.0 International - Creative Commons"/>
    <hyperlink ref="H1532" r:id="rId3060" display="https://www.inaturalist.org/observations/383159190"/>
    <hyperlink ref="G1533" r:id="rId3061" display="Deed - Attribution-NonCommercial 4.0 International - Creative Commons"/>
    <hyperlink ref="H1533" r:id="rId3062" display="https://www.inaturalist.org/observations/383158527"/>
    <hyperlink ref="G1534" r:id="rId3063" display="Deed - Attribution-NonCommercial 4.0 International - Creative Commons"/>
    <hyperlink ref="H1534" r:id="rId3064" display="https://www.inaturalist.org/observations/383158008"/>
    <hyperlink ref="G1535" r:id="rId3065" display="Deed - Attribution-NonCommercial 4.0 International - Creative Commons"/>
    <hyperlink ref="H1535" r:id="rId3066" display="https://www.inaturalist.org/observations/383157989"/>
    <hyperlink ref="G1536" r:id="rId3067" display="Deed - Attribution-NonCommercial 4.0 International - Creative Commons"/>
    <hyperlink ref="H1536" r:id="rId3068" display="https://www.inaturalist.org/observations/383157936"/>
    <hyperlink ref="G1537" r:id="rId3069" display="Deed - Attribution-NonCommercial 4.0 International - Creative Commons"/>
    <hyperlink ref="H1537" r:id="rId3070" display="https://www.inaturalist.org/observations/383157861"/>
    <hyperlink ref="G1538" r:id="rId3071" display="Deed - Attribution-NonCommercial 4.0 International - Creative Commons"/>
    <hyperlink ref="H1538" r:id="rId3072" display="https://www.inaturalist.org/observations/383157739"/>
    <hyperlink ref="G1539" r:id="rId3073" display="Deed - Attribution-NonCommercial 4.0 International - Creative Commons"/>
    <hyperlink ref="H1539" r:id="rId3074" display="https://www.inaturalist.org/observations/383157733"/>
    <hyperlink ref="G1540" r:id="rId3075" display="Deed - Attribution-NonCommercial 4.0 International - Creative Commons"/>
    <hyperlink ref="H1540" r:id="rId3076" display="https://www.inaturalist.org/observations/383157675"/>
    <hyperlink ref="G1541" r:id="rId3077" display="Deed - Attribution-NonCommercial 4.0 International - Creative Commons"/>
    <hyperlink ref="H1541" r:id="rId3078" display="https://www.inaturalist.org/observations/383157644"/>
    <hyperlink ref="G1542" r:id="rId3079" display="Deed - Attribution-NonCommercial 4.0 International - Creative Commons"/>
    <hyperlink ref="H1542" r:id="rId3080" display="https://www.inaturalist.org/observations/383157639"/>
    <hyperlink ref="G1543" r:id="rId3081" display="Deed - Attribution-NonCommercial 4.0 International - Creative Commons"/>
    <hyperlink ref="H1543" r:id="rId3082" display="https://www.inaturalist.org/observations/383157615"/>
    <hyperlink ref="G1544" r:id="rId3083" display="Deed - Attribution-NonCommercial 4.0 International - Creative Commons"/>
    <hyperlink ref="H1544" r:id="rId3084" display="https://www.inaturalist.org/observations/383157560"/>
    <hyperlink ref="G1545" r:id="rId3085" display="Deed - Attribution-NonCommercial 4.0 International - Creative Commons"/>
    <hyperlink ref="H1545" r:id="rId3086" display="https://www.inaturalist.org/observations/383157469"/>
    <hyperlink ref="G1546" r:id="rId3087" display="Deed - Attribution-NonCommercial 4.0 International - Creative Commons"/>
    <hyperlink ref="H1546" r:id="rId3088" display="https://www.inaturalist.org/observations/383157447"/>
    <hyperlink ref="G1547" r:id="rId3089" display="Deed - Attribution-NonCommercial 4.0 International - Creative Commons"/>
    <hyperlink ref="H1547" r:id="rId3090" display="https://www.inaturalist.org/observations/383157318"/>
    <hyperlink ref="G1548" r:id="rId3091" display="Deed - Attribution-NonCommercial 4.0 International - Creative Commons"/>
    <hyperlink ref="H1548" r:id="rId3092" display="https://www.inaturalist.org/observations/383157284"/>
    <hyperlink ref="G1549" r:id="rId3093" display="Deed - Attribution-NonCommercial 4.0 International - Creative Commons"/>
    <hyperlink ref="H1549" r:id="rId3094" display="https://www.inaturalist.org/observations/383157253"/>
    <hyperlink ref="G1550" r:id="rId3095" display="Deed - Attribution-NonCommercial 4.0 International - Creative Commons"/>
    <hyperlink ref="H1550" r:id="rId3096" display="https://www.inaturalist.org/observations/383157213"/>
    <hyperlink ref="G1551" r:id="rId3097" display="Deed - Attribution-NonCommercial 4.0 International - Creative Commons"/>
    <hyperlink ref="H1551" r:id="rId3098" display="https://www.inaturalist.org/observations/383157196"/>
    <hyperlink ref="G1552" r:id="rId3099" display="Deed - Attribution-NonCommercial 4.0 International - Creative Commons"/>
    <hyperlink ref="H1552" r:id="rId3100" display="https://www.inaturalist.org/observations/383157105"/>
    <hyperlink ref="G1553" r:id="rId3101" display="Deed - Attribution-NonCommercial 4.0 International - Creative Commons"/>
    <hyperlink ref="H1553" r:id="rId3102" display="https://www.inaturalist.org/observations/383157084"/>
    <hyperlink ref="G1554" r:id="rId3103" display="Deed - Attribution-NonCommercial 4.0 International - Creative Commons"/>
    <hyperlink ref="H1554" r:id="rId3104" display="https://www.inaturalist.org/observations/383157055"/>
    <hyperlink ref="G1555" r:id="rId3105" display="Deed - Attribution-NonCommercial 4.0 International - Creative Commons"/>
    <hyperlink ref="H1555" r:id="rId3106" display="https://www.inaturalist.org/observations/383157015"/>
    <hyperlink ref="G1556" r:id="rId3107" display="Deed - Attribution-NonCommercial 4.0 International - Creative Commons"/>
    <hyperlink ref="H1556" r:id="rId3108" display="https://www.inaturalist.org/observations/383156983"/>
    <hyperlink ref="G1557" r:id="rId3109" display="Deed - Attribution-NonCommercial 4.0 International - Creative Commons"/>
    <hyperlink ref="H1557" r:id="rId3110" display="https://www.inaturalist.org/observations/383156964"/>
    <hyperlink ref="G1558" r:id="rId3111" display="Deed - Attribution-NonCommercial 4.0 International - Creative Commons"/>
    <hyperlink ref="H1558" r:id="rId3112" display="https://www.inaturalist.org/observations/383156935"/>
    <hyperlink ref="G1559" r:id="rId3113" display="Deed - Attribution-NonCommercial 4.0 International - Creative Commons"/>
    <hyperlink ref="H1559" r:id="rId3114" display="https://www.inaturalist.org/observations/383156926"/>
    <hyperlink ref="G1560" r:id="rId3115" display="Deed - Attribution-NonCommercial 4.0 International - Creative Commons"/>
    <hyperlink ref="H1560" r:id="rId3116" display="https://www.inaturalist.org/observations/383156907"/>
    <hyperlink ref="G1561" r:id="rId3117" display="Deed - Attribution-NonCommercial 4.0 International - Creative Commons"/>
    <hyperlink ref="H1561" r:id="rId3118" display="https://www.inaturalist.org/observations/383156883"/>
    <hyperlink ref="G1562" r:id="rId3119" display="Deed - Attribution-NonCommercial 4.0 International - Creative Commons"/>
    <hyperlink ref="H1562" r:id="rId3120" display="https://www.inaturalist.org/observations/383156740"/>
    <hyperlink ref="G1563" r:id="rId3121" display="Deed - Attribution-NonCommercial 4.0 International - Creative Commons"/>
    <hyperlink ref="H1563" r:id="rId3122" display="https://www.inaturalist.org/observations/383156727"/>
    <hyperlink ref="G1564" r:id="rId3123" display="Deed - Attribution-NonCommercial 4.0 International - Creative Commons"/>
    <hyperlink ref="H1564" r:id="rId3124" display="https://www.inaturalist.org/observations/383156693"/>
    <hyperlink ref="G1565" r:id="rId3125" display="Deed - Attribution-NonCommercial 4.0 International - Creative Commons"/>
    <hyperlink ref="H1565" r:id="rId3126" display="https://www.inaturalist.org/observations/383156539"/>
    <hyperlink ref="G1566" r:id="rId3127" display="Deed - Attribution-NonCommercial 4.0 International - Creative Commons"/>
    <hyperlink ref="H1566" r:id="rId3128" display="https://www.inaturalist.org/observations/383156538"/>
    <hyperlink ref="G1567" r:id="rId3129" display="Deed - Attribution-NonCommercial 4.0 International - Creative Commons"/>
    <hyperlink ref="H1567" r:id="rId3130" display="https://www.inaturalist.org/observations/383156522"/>
    <hyperlink ref="G1568" r:id="rId3131" display="Deed - Attribution-NonCommercial 4.0 International - Creative Commons"/>
    <hyperlink ref="H1568" r:id="rId3132" display="https://www.inaturalist.org/observations/383156452"/>
    <hyperlink ref="G1569" r:id="rId3133" display="Deed - Attribution-NonCommercial 4.0 International - Creative Commons"/>
    <hyperlink ref="H1569" r:id="rId3134" display="https://www.inaturalist.org/observations/383156386"/>
    <hyperlink ref="G1570" r:id="rId3135" display="Deed - Attribution-NonCommercial 4.0 International - Creative Commons"/>
    <hyperlink ref="H1570" r:id="rId3136" display="https://www.inaturalist.org/observations/383156364"/>
    <hyperlink ref="G1571" r:id="rId3137" display="Deed - Attribution-NonCommercial 4.0 International - Creative Commons"/>
    <hyperlink ref="H1571" r:id="rId3138" display="https://www.inaturalist.org/observations/383156330"/>
    <hyperlink ref="G1572" r:id="rId3139" display="Deed - Attribution-NonCommercial 4.0 International - Creative Commons"/>
    <hyperlink ref="H1572" r:id="rId3140" display="https://www.inaturalist.org/observations/383156290"/>
    <hyperlink ref="G1573" r:id="rId3141" display="Deed - Attribution-NonCommercial 4.0 International - Creative Commons"/>
    <hyperlink ref="H1573" r:id="rId3142" display="https://www.inaturalist.org/observations/383156125"/>
    <hyperlink ref="G1574" r:id="rId3143" display="Deed - Attribution-NonCommercial 4.0 International - Creative Commons"/>
    <hyperlink ref="H1574" r:id="rId3144" display="https://www.inaturalist.org/observations/383156096"/>
    <hyperlink ref="G1575" r:id="rId3145" display="Deed - Attribution-NonCommercial 4.0 International - Creative Commons"/>
    <hyperlink ref="H1575" r:id="rId3146" display="https://www.inaturalist.org/observations/383156088"/>
    <hyperlink ref="G1576" r:id="rId3147" display="Deed - Attribution-NonCommercial 4.0 International - Creative Commons"/>
    <hyperlink ref="H1576" r:id="rId3148" display="https://www.inaturalist.org/observations/383156064"/>
    <hyperlink ref="G1577" r:id="rId3149" display="Deed - Attribution-NonCommercial 4.0 International - Creative Commons"/>
    <hyperlink ref="H1577" r:id="rId3150" display="https://www.inaturalist.org/observations/383156056"/>
    <hyperlink ref="G1578" r:id="rId3151" display="Deed - Attribution-NonCommercial 4.0 International - Creative Commons"/>
    <hyperlink ref="H1578" r:id="rId3152" display="https://www.inaturalist.org/observations/383156004"/>
    <hyperlink ref="G1579" r:id="rId3153" display="Deed - Attribution-NonCommercial 4.0 International - Creative Commons"/>
    <hyperlink ref="H1579" r:id="rId3154" display="https://www.inaturalist.org/observations/383155816"/>
    <hyperlink ref="G1580" r:id="rId3155" display="Deed - Attribution-NonCommercial 4.0 International - Creative Commons"/>
    <hyperlink ref="H1580" r:id="rId3156" display="https://www.inaturalist.org/observations/383155570"/>
    <hyperlink ref="G1581" r:id="rId3157" display="Deed - Attribution-NonCommercial 4.0 International - Creative Commons"/>
    <hyperlink ref="H1581" r:id="rId3158" display="https://www.inaturalist.org/observations/383155550"/>
    <hyperlink ref="G1582" r:id="rId3159" display="Deed - Attribution-NonCommercial 4.0 International - Creative Commons"/>
    <hyperlink ref="H1582" r:id="rId3160" display="https://www.inaturalist.org/observations/383155515"/>
    <hyperlink ref="G1583" r:id="rId3161" display="Deed - Attribution-NonCommercial 4.0 International - Creative Commons"/>
    <hyperlink ref="H1583" r:id="rId3162" display="https://www.inaturalist.org/observations/383155511"/>
    <hyperlink ref="G1584" r:id="rId3163" display="Deed - Attribution-NonCommercial 4.0 International - Creative Commons"/>
    <hyperlink ref="H1584" r:id="rId3164" display="https://www.inaturalist.org/observations/383155457"/>
    <hyperlink ref="G1585" r:id="rId3165" display="Deed - Attribution-NonCommercial 4.0 International - Creative Commons"/>
    <hyperlink ref="H1585" r:id="rId3166" display="https://www.inaturalist.org/observations/383155373"/>
    <hyperlink ref="G1586" r:id="rId3167" display="Deed - Attribution-NonCommercial 4.0 International - Creative Commons"/>
    <hyperlink ref="H1586" r:id="rId3168" display="https://www.inaturalist.org/observations/383155264"/>
    <hyperlink ref="G1587" r:id="rId3169" display="Deed - Attribution-NonCommercial 4.0 International - Creative Commons"/>
    <hyperlink ref="H1587" r:id="rId3170" display="https://www.inaturalist.org/observations/383155192"/>
    <hyperlink ref="G1588" r:id="rId3171" display="Deed - Attribution-NonCommercial 4.0 International - Creative Commons"/>
    <hyperlink ref="H1588" r:id="rId3172" display="https://www.inaturalist.org/observations/383155122"/>
    <hyperlink ref="G1589" r:id="rId3173" display="Deed - Attribution-NonCommercial 4.0 International - Creative Commons"/>
    <hyperlink ref="H1589" r:id="rId3174" display="https://www.inaturalist.org/observations/383155084"/>
    <hyperlink ref="G1590" r:id="rId3175" display="Deed - Attribution-NonCommercial 4.0 International - Creative Commons"/>
    <hyperlink ref="H1590" r:id="rId3176" display="https://www.inaturalist.org/observations/383155013"/>
    <hyperlink ref="G1591" r:id="rId3177" display="Deed - Attribution-NonCommercial 4.0 International - Creative Commons"/>
    <hyperlink ref="H1591" r:id="rId3178" display="https://www.inaturalist.org/observations/383154978"/>
    <hyperlink ref="G1592" r:id="rId3179" display="Deed - Attribution-NonCommercial 4.0 International - Creative Commons"/>
    <hyperlink ref="H1592" r:id="rId3180" display="https://www.inaturalist.org/observations/383154924"/>
    <hyperlink ref="G1593" r:id="rId3181" display="Deed - Attribution-NonCommercial 4.0 International - Creative Commons"/>
    <hyperlink ref="H1593" r:id="rId3182" display="https://www.inaturalist.org/observations/383154910"/>
    <hyperlink ref="G1594" r:id="rId3183" display="Deed - Attribution-NonCommercial 4.0 International - Creative Commons"/>
    <hyperlink ref="H1594" r:id="rId3184" display="https://www.inaturalist.org/observations/383154882"/>
    <hyperlink ref="G1595" r:id="rId3185" display="Deed - Attribution-NonCommercial 4.0 International - Creative Commons"/>
    <hyperlink ref="H1595" r:id="rId3186" display="https://www.inaturalist.org/observations/383154869"/>
    <hyperlink ref="G1596" r:id="rId3187" display="Deed - Attribution-NonCommercial 4.0 International - Creative Commons"/>
    <hyperlink ref="H1596" r:id="rId3188" display="https://www.inaturalist.org/observations/383154748"/>
    <hyperlink ref="G1597" r:id="rId3189" display="Deed - Attribution-NonCommercial 4.0 International - Creative Commons"/>
    <hyperlink ref="H1597" r:id="rId3190" display="https://www.inaturalist.org/observations/383154641"/>
    <hyperlink ref="G1598" r:id="rId3191" display="Deed - Attribution-NonCommercial 4.0 International - Creative Commons"/>
    <hyperlink ref="H1598" r:id="rId3192" display="https://www.inaturalist.org/observations/383154634"/>
    <hyperlink ref="G1599" r:id="rId3193" display="Deed - Attribution-NonCommercial 4.0 International - Creative Commons"/>
    <hyperlink ref="H1599" r:id="rId3194" display="https://www.inaturalist.org/observations/383154609"/>
    <hyperlink ref="G1600" r:id="rId3195" display="Deed - Attribution-NonCommercial 4.0 International - Creative Commons"/>
    <hyperlink ref="H1600" r:id="rId3196" display="https://www.inaturalist.org/observations/383154503"/>
    <hyperlink ref="G1601" r:id="rId3197" display="Deed - Attribution-NonCommercial 4.0 International - Creative Commons"/>
    <hyperlink ref="H1601" r:id="rId3198" display="https://www.inaturalist.org/observations/383154040"/>
    <hyperlink ref="G1602" r:id="rId3199" display="Deed - Attribution-NonCommercial 4.0 International - Creative Commons"/>
    <hyperlink ref="H1602" r:id="rId3200" display="https://www.inaturalist.org/observations/383153935"/>
    <hyperlink ref="G1603" r:id="rId3201" display="Deed - Attribution-NonCommercial 4.0 International - Creative Commons"/>
    <hyperlink ref="H1603" r:id="rId3202" display="https://www.inaturalist.org/observations/383153877"/>
    <hyperlink ref="G1604" r:id="rId3203" display="Deed - Attribution-NonCommercial 4.0 International - Creative Commons"/>
    <hyperlink ref="H1604" r:id="rId3204" display="https://www.inaturalist.org/observations/383153838"/>
    <hyperlink ref="G1605" r:id="rId3205" display="Deed - Attribution-NonCommercial 4.0 International - Creative Commons"/>
    <hyperlink ref="H1605" r:id="rId3206" display="https://www.inaturalist.org/observations/383153778"/>
    <hyperlink ref="G1606" r:id="rId3207" display="Deed - Attribution-NonCommercial 4.0 International - Creative Commons"/>
    <hyperlink ref="H1606" r:id="rId3208" display="https://www.inaturalist.org/observations/383153777"/>
    <hyperlink ref="G1607" r:id="rId3209" display="Deed - Attribution-NonCommercial 4.0 International - Creative Commons"/>
    <hyperlink ref="H1607" r:id="rId3210" display="https://www.inaturalist.org/observations/383153703"/>
    <hyperlink ref="G1608" r:id="rId3211" display="Deed - Attribution-NonCommercial 4.0 International - Creative Commons"/>
    <hyperlink ref="H1608" r:id="rId3212" display="https://www.inaturalist.org/observations/383153702"/>
    <hyperlink ref="G1609" r:id="rId3213" display="Deed - Attribution-NonCommercial 4.0 International - Creative Commons"/>
    <hyperlink ref="H1609" r:id="rId3214" display="https://www.inaturalist.org/observations/383153670"/>
    <hyperlink ref="G1610" r:id="rId3215" display="Deed - Attribution-NonCommercial 4.0 International - Creative Commons"/>
    <hyperlink ref="H1610" r:id="rId3216" display="https://www.inaturalist.org/observations/383153634"/>
    <hyperlink ref="G1611" r:id="rId3217" display="Deed - Attribution-NonCommercial 4.0 International - Creative Commons"/>
    <hyperlink ref="H1611" r:id="rId3218" display="https://www.inaturalist.org/observations/383153602"/>
    <hyperlink ref="G1612" r:id="rId3219" display="Deed - Attribution-NonCommercial 4.0 International - Creative Commons"/>
    <hyperlink ref="H1612" r:id="rId3220" display="https://www.inaturalist.org/observations/383153579"/>
    <hyperlink ref="G1613" r:id="rId3221" display="Deed - Attribution-NonCommercial 4.0 International - Creative Commons"/>
    <hyperlink ref="H1613" r:id="rId3222" display="https://www.inaturalist.org/observations/383153568"/>
    <hyperlink ref="G1614" r:id="rId3223" display="Deed - Attribution-NonCommercial 4.0 International - Creative Commons"/>
    <hyperlink ref="H1614" r:id="rId3224" display="https://www.inaturalist.org/observations/383153523"/>
    <hyperlink ref="G1615" r:id="rId3225" display="Deed - Attribution-NonCommercial 4.0 International - Creative Commons"/>
    <hyperlink ref="H1615" r:id="rId3226" display="https://www.inaturalist.org/observations/383153513"/>
    <hyperlink ref="G1616" r:id="rId3227" display="Deed - Attribution-NonCommercial 4.0 International - Creative Commons"/>
    <hyperlink ref="H1616" r:id="rId3228" display="https://www.inaturalist.org/observations/383153457"/>
    <hyperlink ref="G1617" r:id="rId3229" display="Deed - Attribution-NonCommercial 4.0 International - Creative Commons"/>
    <hyperlink ref="H1617" r:id="rId3230" display="https://www.inaturalist.org/observations/383153454"/>
    <hyperlink ref="G1618" r:id="rId3231" display="Deed - Attribution-NonCommercial 4.0 International - Creative Commons"/>
    <hyperlink ref="H1618" r:id="rId3232" display="https://www.inaturalist.org/observations/383153453"/>
    <hyperlink ref="G1619" r:id="rId3233" display="Deed - Attribution-NonCommercial 4.0 International - Creative Commons"/>
    <hyperlink ref="H1619" r:id="rId3234" display="https://www.inaturalist.org/observations/383153408"/>
    <hyperlink ref="G1620" r:id="rId3235" display="Deed - Attribution-NonCommercial 4.0 International - Creative Commons"/>
    <hyperlink ref="H1620" r:id="rId3236" display="https://www.inaturalist.org/observations/383153399"/>
    <hyperlink ref="G1621" r:id="rId3237" display="Deed - Attribution-NonCommercial 4.0 International - Creative Commons"/>
    <hyperlink ref="H1621" r:id="rId3238" display="https://www.inaturalist.org/observations/383153345"/>
    <hyperlink ref="G1622" r:id="rId3239" display="Deed - Attribution-NonCommercial 4.0 International - Creative Commons"/>
    <hyperlink ref="H1622" r:id="rId3240" display="https://www.inaturalist.org/observations/383153303"/>
    <hyperlink ref="G1623" r:id="rId3241" display="Deed - Attribution-NonCommercial 4.0 International - Creative Commons"/>
    <hyperlink ref="H1623" r:id="rId3242" display="https://www.inaturalist.org/observations/383153280"/>
    <hyperlink ref="G1624" r:id="rId3243" display="Deed - Attribution-NonCommercial 4.0 International - Creative Commons"/>
    <hyperlink ref="H1624" r:id="rId3244" display="https://www.inaturalist.org/observations/383153278"/>
    <hyperlink ref="G1625" r:id="rId3245" display="Deed - Attribution-NonCommercial 4.0 International - Creative Commons"/>
    <hyperlink ref="H1625" r:id="rId3246" display="https://www.inaturalist.org/observations/383153205"/>
    <hyperlink ref="G1626" r:id="rId3247" display="Deed - Attribution-NonCommercial 4.0 International - Creative Commons"/>
    <hyperlink ref="H1626" r:id="rId3248" display="https://www.inaturalist.org/observations/383153147"/>
    <hyperlink ref="G1627" r:id="rId3249" display="Deed - Attribution-NonCommercial 4.0 International - Creative Commons"/>
    <hyperlink ref="H1627" r:id="rId3250" display="https://www.inaturalist.org/observations/383153110"/>
    <hyperlink ref="G1628" r:id="rId3251" display="Deed - Attribution-NonCommercial 4.0 International - Creative Commons"/>
    <hyperlink ref="H1628" r:id="rId3252" display="https://www.inaturalist.org/observations/383152815"/>
    <hyperlink ref="G1629" r:id="rId3253" display="Deed - Attribution-NonCommercial 4.0 International - Creative Commons"/>
    <hyperlink ref="H1629" r:id="rId3254" display="https://www.inaturalist.org/observations/383152762"/>
    <hyperlink ref="G1630" r:id="rId3255" display="Deed - Attribution-NonCommercial 4.0 International - Creative Commons"/>
    <hyperlink ref="H1630" r:id="rId3256" display="https://www.inaturalist.org/observations/383152569"/>
    <hyperlink ref="G1631" r:id="rId3257" display="Deed - Attribution-NonCommercial 4.0 International - Creative Commons"/>
    <hyperlink ref="H1631" r:id="rId3258" display="https://www.inaturalist.org/observations/383152411"/>
    <hyperlink ref="G1632" r:id="rId3259" display="Deed - Attribution-NonCommercial 4.0 International - Creative Commons"/>
    <hyperlink ref="H1632" r:id="rId3260" display="https://www.inaturalist.org/observations/383152332"/>
    <hyperlink ref="G1633" r:id="rId3261" display="Deed - Attribution-NonCommercial 4.0 International - Creative Commons"/>
    <hyperlink ref="H1633" r:id="rId3262" display="https://www.inaturalist.org/observations/383152313"/>
    <hyperlink ref="G1634" r:id="rId3263" display="Deed - Attribution-NonCommercial 4.0 International - Creative Commons"/>
    <hyperlink ref="H1634" r:id="rId3264" display="https://www.inaturalist.org/observations/383152160"/>
    <hyperlink ref="G1635" r:id="rId3265" display="Deed - Attribution-NonCommercial 4.0 International - Creative Commons"/>
    <hyperlink ref="H1635" r:id="rId3266" display="https://www.inaturalist.org/observations/383152124"/>
    <hyperlink ref="G1636" r:id="rId3267" display="Deed - Attribution-NonCommercial 4.0 International - Creative Commons"/>
    <hyperlink ref="H1636" r:id="rId3268" display="https://www.inaturalist.org/observations/383151996"/>
    <hyperlink ref="G1637" r:id="rId3269" display="Deed - Attribution-NonCommercial 4.0 International - Creative Commons"/>
    <hyperlink ref="H1637" r:id="rId3270" display="https://www.inaturalist.org/observations/383151982"/>
    <hyperlink ref="G1638" r:id="rId3271" display="Deed - Attribution-NonCommercial 4.0 International - Creative Commons"/>
    <hyperlink ref="H1638" r:id="rId3272" display="https://www.inaturalist.org/observations/383151969"/>
    <hyperlink ref="G1639" r:id="rId3273" display="Deed - Attribution-NonCommercial 4.0 International - Creative Commons"/>
    <hyperlink ref="H1639" r:id="rId3274" display="https://www.inaturalist.org/observations/383151922"/>
    <hyperlink ref="G1640" r:id="rId3275" display="Deed - Attribution-NonCommercial 4.0 International - Creative Commons"/>
    <hyperlink ref="H1640" r:id="rId3276" display="https://www.inaturalist.org/observations/383151631"/>
    <hyperlink ref="G1641" r:id="rId3277" display="Deed - Attribution-NonCommercial 4.0 International - Creative Commons"/>
    <hyperlink ref="H1641" r:id="rId3278" display="https://www.inaturalist.org/observations/383151627"/>
    <hyperlink ref="G1642" r:id="rId3279" display="Deed - Attribution-NonCommercial 4.0 International - Creative Commons"/>
    <hyperlink ref="H1642" r:id="rId3280" display="https://www.inaturalist.org/observations/383151424"/>
    <hyperlink ref="G1643" r:id="rId3281" display="Deed - Attribution-NonCommercial 4.0 International - Creative Commons"/>
    <hyperlink ref="H1643" r:id="rId3282" display="https://www.inaturalist.org/observations/383151032"/>
    <hyperlink ref="G1644" r:id="rId3283" display="Deed - Attribution-NonCommercial 4.0 International - Creative Commons"/>
    <hyperlink ref="H1644" r:id="rId3284" display="https://www.inaturalist.org/observations/383150881"/>
    <hyperlink ref="G1645" r:id="rId3285" display="Deed - Attribution-NonCommercial 4.0 International - Creative Commons"/>
    <hyperlink ref="H1645" r:id="rId3286" display="https://www.inaturalist.org/observations/383150766"/>
    <hyperlink ref="G1646" r:id="rId3287" display="Deed - Attribution-NonCommercial 4.0 International - Creative Commons"/>
    <hyperlink ref="H1646" r:id="rId3288" display="https://www.inaturalist.org/observations/383150760"/>
    <hyperlink ref="G1647" r:id="rId3289" display="Deed - Attribution-NonCommercial 4.0 International - Creative Commons"/>
    <hyperlink ref="H1647" r:id="rId3290" display="https://www.inaturalist.org/observations/383150756"/>
    <hyperlink ref="G1648" r:id="rId3291" display="Deed - Attribution-NonCommercial 4.0 International - Creative Commons"/>
    <hyperlink ref="H1648" r:id="rId3292" display="https://www.inaturalist.org/observations/383150737"/>
    <hyperlink ref="G1649" r:id="rId3293" display="Deed - Attribution-NonCommercial 4.0 International - Creative Commons"/>
    <hyperlink ref="H1649" r:id="rId3294" display="https://www.inaturalist.org/observations/383150722"/>
    <hyperlink ref="G1650" r:id="rId3295" display="Deed - Attribution-NonCommercial 4.0 International - Creative Commons"/>
    <hyperlink ref="H1650" r:id="rId3296" display="https://www.inaturalist.org/observations/383150534"/>
    <hyperlink ref="G1651" r:id="rId3297" display="Deed - Attribution-NonCommercial 4.0 International - Creative Commons"/>
    <hyperlink ref="H1651" r:id="rId3298" display="https://www.inaturalist.org/observations/383150517"/>
    <hyperlink ref="G1652" r:id="rId3299" display="Deed - Attribution-NonCommercial 4.0 International - Creative Commons"/>
    <hyperlink ref="H1652" r:id="rId3300" display="https://www.inaturalist.org/observations/383150234"/>
    <hyperlink ref="G1653" r:id="rId3301" display="Deed - Attribution-NonCommercial 4.0 International - Creative Commons"/>
    <hyperlink ref="H1653" r:id="rId3302" display="https://www.inaturalist.org/observations/383150193"/>
    <hyperlink ref="G1654" r:id="rId3303" display="Deed - Attribution-NonCommercial 4.0 International - Creative Commons"/>
    <hyperlink ref="H1654" r:id="rId3304" display="https://www.inaturalist.org/observations/383150139"/>
    <hyperlink ref="G1655" r:id="rId3305" display="Deed - Attribution-NonCommercial 4.0 International - Creative Commons"/>
    <hyperlink ref="H1655" r:id="rId3306" display="https://www.inaturalist.org/observations/383149872"/>
    <hyperlink ref="G1656" r:id="rId3307" display="Deed - Attribution-NonCommercial 4.0 International - Creative Commons"/>
    <hyperlink ref="H1656" r:id="rId3308" display="https://www.inaturalist.org/observations/383149795"/>
    <hyperlink ref="G1657" r:id="rId3309" display="Deed - Attribution-NonCommercial 4.0 International - Creative Commons"/>
    <hyperlink ref="H1657" r:id="rId3310" display="https://www.inaturalist.org/observations/383149740"/>
    <hyperlink ref="G1658" r:id="rId3311" display="Deed - Attribution-NonCommercial 4.0 International - Creative Commons"/>
    <hyperlink ref="H1658" r:id="rId3312" display="https://www.inaturalist.org/observations/383149711"/>
    <hyperlink ref="G1659" r:id="rId3313" display="Deed - Attribution-NonCommercial 4.0 International - Creative Commons"/>
    <hyperlink ref="H1659" r:id="rId3314" display="https://www.inaturalist.org/observations/383149703"/>
    <hyperlink ref="G1660" r:id="rId3315" display="Deed - Attribution-NonCommercial 4.0 International - Creative Commons"/>
    <hyperlink ref="H1660" r:id="rId3316" display="https://www.inaturalist.org/observations/383149620"/>
    <hyperlink ref="G1661" r:id="rId3317" display="Deed - Attribution-NonCommercial 4.0 International - Creative Commons"/>
    <hyperlink ref="H1661" r:id="rId3318" display="https://www.inaturalist.org/observations/383149579"/>
    <hyperlink ref="G1662" r:id="rId3319" display="Deed - Attribution-NonCommercial 4.0 International - Creative Commons"/>
    <hyperlink ref="H1662" r:id="rId3320" display="https://www.inaturalist.org/observations/383149472"/>
    <hyperlink ref="G1663" r:id="rId3321" display="Deed - Attribution-NonCommercial 4.0 International - Creative Commons"/>
    <hyperlink ref="H1663" r:id="rId3322" display="https://www.inaturalist.org/observations/383149434"/>
    <hyperlink ref="G1664" r:id="rId3323" display="Deed - Attribution-NonCommercial 4.0 International - Creative Commons"/>
    <hyperlink ref="H1664" r:id="rId3324" display="https://www.inaturalist.org/observations/383149328"/>
    <hyperlink ref="G1665" r:id="rId3325" display="Deed - Attribution-NonCommercial 4.0 International - Creative Commons"/>
    <hyperlink ref="H1665" r:id="rId3326" display="https://www.inaturalist.org/observations/383149287"/>
    <hyperlink ref="G1666" r:id="rId3327" display="Deed - Attribution-NonCommercial 4.0 International - Creative Commons"/>
    <hyperlink ref="H1666" r:id="rId3328" display="https://www.inaturalist.org/observations/383149283"/>
    <hyperlink ref="G1667" r:id="rId3329" display="Deed - Attribution-NonCommercial 4.0 International - Creative Commons"/>
    <hyperlink ref="H1667" r:id="rId3330" display="https://www.inaturalist.org/observations/383149033"/>
    <hyperlink ref="G1668" r:id="rId3331" display="Deed - Attribution-NonCommercial 4.0 International - Creative Commons"/>
    <hyperlink ref="H1668" r:id="rId3332" display="https://www.inaturalist.org/observations/383148831"/>
    <hyperlink ref="G1669" r:id="rId3333" display="Deed - Attribution-NonCommercial 4.0 International - Creative Commons"/>
    <hyperlink ref="H1669" r:id="rId3334" display="https://www.inaturalist.org/observations/383148772"/>
    <hyperlink ref="G1670" r:id="rId3335" display="Deed - Attribution-NonCommercial 4.0 International - Creative Commons"/>
    <hyperlink ref="H1670" r:id="rId3336" display="https://www.inaturalist.org/observations/383148724"/>
    <hyperlink ref="G1671" r:id="rId3337" display="Deed - Attribution-NonCommercial 4.0 International - Creative Commons"/>
    <hyperlink ref="H1671" r:id="rId3338" display="https://www.inaturalist.org/observations/383148681"/>
    <hyperlink ref="G1672" r:id="rId3339" display="Deed - Attribution-NonCommercial 4.0 International - Creative Commons"/>
    <hyperlink ref="H1672" r:id="rId3340" display="https://www.inaturalist.org/observations/383148616"/>
    <hyperlink ref="G1673" r:id="rId3341" display="Deed - Attribution-NonCommercial 4.0 International - Creative Commons"/>
    <hyperlink ref="H1673" r:id="rId3342" display="https://www.inaturalist.org/observations/383148557"/>
    <hyperlink ref="G1674" r:id="rId3343" display="Deed - Attribution-NonCommercial 4.0 International - Creative Commons"/>
    <hyperlink ref="H1674" r:id="rId3344" display="https://www.inaturalist.org/observations/383148485"/>
    <hyperlink ref="G1675" r:id="rId3345" display="Deed - Attribution-NonCommercial 4.0 International - Creative Commons"/>
    <hyperlink ref="H1675" r:id="rId3346" display="https://www.inaturalist.org/observations/383148478"/>
    <hyperlink ref="G1676" r:id="rId3347" display="Deed - Attribution-NonCommercial 4.0 International - Creative Commons"/>
    <hyperlink ref="H1676" r:id="rId3348" display="https://www.inaturalist.org/observations/383148428"/>
    <hyperlink ref="G1677" r:id="rId3349" display="Deed - Attribution-NonCommercial 4.0 International - Creative Commons"/>
    <hyperlink ref="H1677" r:id="rId3350" display="https://www.inaturalist.org/observations/383148333"/>
    <hyperlink ref="G1678" r:id="rId3351" display="Deed - Attribution-NonCommercial 4.0 International - Creative Commons"/>
    <hyperlink ref="H1678" r:id="rId3352" display="https://www.inaturalist.org/observations/383148252"/>
    <hyperlink ref="G1679" r:id="rId3353" display="Deed - Attribution-NonCommercial 4.0 International - Creative Commons"/>
    <hyperlink ref="H1679" r:id="rId3354" display="https://www.inaturalist.org/observations/383148232"/>
    <hyperlink ref="G1680" r:id="rId3355" display="Deed - Attribution-NonCommercial 4.0 International - Creative Commons"/>
    <hyperlink ref="H1680" r:id="rId3356" display="https://www.inaturalist.org/observations/383148105"/>
    <hyperlink ref="G1681" r:id="rId3357" display="Deed - Attribution-NonCommercial 4.0 International - Creative Commons"/>
    <hyperlink ref="H1681" r:id="rId3358" display="https://www.inaturalist.org/observations/383148094"/>
    <hyperlink ref="G1682" r:id="rId3359" display="Deed - Attribution-NonCommercial 4.0 International - Creative Commons"/>
    <hyperlink ref="H1682" r:id="rId3360" display="https://www.inaturalist.org/observations/383148092"/>
    <hyperlink ref="G1683" r:id="rId3361" display="Deed - Attribution-NonCommercial 4.0 International - Creative Commons"/>
    <hyperlink ref="H1683" r:id="rId3362" display="https://www.inaturalist.org/observations/383148049"/>
    <hyperlink ref="G1684" r:id="rId3363" display="Deed - Attribution-NonCommercial 4.0 International - Creative Commons"/>
    <hyperlink ref="H1684" r:id="rId3364" display="https://www.inaturalist.org/observations/383147985"/>
    <hyperlink ref="G1685" r:id="rId3365" display="Deed - Attribution-NonCommercial 4.0 International - Creative Commons"/>
    <hyperlink ref="H1685" r:id="rId3366" display="https://www.inaturalist.org/observations/383147896"/>
    <hyperlink ref="G1686" r:id="rId3367" display="Deed - Attribution-NonCommercial 4.0 International - Creative Commons"/>
    <hyperlink ref="H1686" r:id="rId3368" display="https://www.inaturalist.org/observations/383147808"/>
    <hyperlink ref="G1687" r:id="rId3369" display="Deed - Attribution-NonCommercial 4.0 International - Creative Commons"/>
    <hyperlink ref="H1687" r:id="rId3370" display="https://www.inaturalist.org/observations/383147734"/>
    <hyperlink ref="G1688" r:id="rId3371" display="Deed - Attribution-NonCommercial 4.0 International - Creative Commons"/>
    <hyperlink ref="H1688" r:id="rId3372" display="https://www.inaturalist.org/observations/383147687"/>
    <hyperlink ref="G1689" r:id="rId3373" display="Deed - Attribution-NonCommercial 4.0 International - Creative Commons"/>
    <hyperlink ref="H1689" r:id="rId3374" display="https://www.inaturalist.org/observations/383147622"/>
    <hyperlink ref="G1690" r:id="rId3375" display="Deed - Attribution-NonCommercial 4.0 International - Creative Commons"/>
    <hyperlink ref="H1690" r:id="rId3376" display="https://www.inaturalist.org/observations/383147618"/>
    <hyperlink ref="G1691" r:id="rId3377" display="Deed - Attribution-NonCommercial 4.0 International - Creative Commons"/>
    <hyperlink ref="H1691" r:id="rId3378" display="https://www.inaturalist.org/observations/383147508"/>
    <hyperlink ref="G1692" r:id="rId3379" display="Deed - Attribution-NonCommercial 4.0 International - Creative Commons"/>
    <hyperlink ref="H1692" r:id="rId3380" display="https://www.inaturalist.org/observations/383147349"/>
    <hyperlink ref="G1693" r:id="rId3381" display="Deed - Attribution-NonCommercial 4.0 International - Creative Commons"/>
    <hyperlink ref="H1693" r:id="rId3382" display="https://www.inaturalist.org/observations/383147232"/>
    <hyperlink ref="G1694" r:id="rId3383" display="Deed - Attribution-NonCommercial 4.0 International - Creative Commons"/>
    <hyperlink ref="H1694" r:id="rId3384" display="https://www.inaturalist.org/observations/383147199"/>
    <hyperlink ref="G1695" r:id="rId3385" display="Deed - Attribution-NonCommercial 4.0 International - Creative Commons"/>
    <hyperlink ref="H1695" r:id="rId3386" display="https://www.inaturalist.org/observations/383147014"/>
    <hyperlink ref="G1696" r:id="rId3387" display="Deed - Attribution-NonCommercial 4.0 International - Creative Commons"/>
    <hyperlink ref="H1696" r:id="rId3388" display="https://www.inaturalist.org/observations/383146987"/>
    <hyperlink ref="G1697" r:id="rId3389" display="Deed - Attribution-NonCommercial 4.0 International - Creative Commons"/>
    <hyperlink ref="H1697" r:id="rId3390" display="https://www.inaturalist.org/observations/383146971"/>
    <hyperlink ref="G1698" r:id="rId3391" display="Deed - Attribution-NonCommercial 4.0 International - Creative Commons"/>
    <hyperlink ref="H1698" r:id="rId3392" display="https://www.inaturalist.org/observations/383146934"/>
    <hyperlink ref="G1699" r:id="rId3393" display="Deed - Attribution-NonCommercial 4.0 International - Creative Commons"/>
    <hyperlink ref="H1699" r:id="rId3394" display="https://www.inaturalist.org/observations/383146905"/>
    <hyperlink ref="G1700" r:id="rId3395" display="Deed - Attribution-NonCommercial 4.0 International - Creative Commons"/>
    <hyperlink ref="H1700" r:id="rId3396" display="https://www.inaturalist.org/observations/383146864"/>
    <hyperlink ref="G1701" r:id="rId3397" display="Deed - Attribution-NonCommercial 4.0 International - Creative Commons"/>
    <hyperlink ref="H1701" r:id="rId3398" display="https://www.inaturalist.org/observations/383146647"/>
    <hyperlink ref="G1702" r:id="rId3399" display="Deed - Attribution-NonCommercial 4.0 International - Creative Commons"/>
    <hyperlink ref="H1702" r:id="rId3400" display="https://www.inaturalist.org/observations/383146607"/>
    <hyperlink ref="G1703" r:id="rId3401" display="Deed - Attribution-NonCommercial 4.0 International - Creative Commons"/>
    <hyperlink ref="H1703" r:id="rId3402" display="https://www.inaturalist.org/observations/383146577"/>
    <hyperlink ref="G1704" r:id="rId3403" display="Deed - Attribution-NonCommercial 4.0 International - Creative Commons"/>
    <hyperlink ref="H1704" r:id="rId3404" display="https://www.inaturalist.org/observations/383146514"/>
    <hyperlink ref="G1705" r:id="rId3405" display="Deed - Attribution-NonCommercial 4.0 International - Creative Commons"/>
    <hyperlink ref="H1705" r:id="rId3406" display="https://www.inaturalist.org/observations/383146494"/>
    <hyperlink ref="G1706" r:id="rId3407" display="Deed - Attribution-NonCommercial 4.0 International - Creative Commons"/>
    <hyperlink ref="H1706" r:id="rId3408" display="https://www.inaturalist.org/observations/383146470"/>
    <hyperlink ref="G1707" r:id="rId3409" display="Deed - Attribution-NonCommercial 4.0 International - Creative Commons"/>
    <hyperlink ref="H1707" r:id="rId3410" display="https://www.inaturalist.org/observations/383146458"/>
    <hyperlink ref="G1708" r:id="rId3411" display="Deed - Attribution-NonCommercial 4.0 International - Creative Commons"/>
    <hyperlink ref="H1708" r:id="rId3412" display="https://www.inaturalist.org/observations/383146457"/>
    <hyperlink ref="G1709" r:id="rId3413" display="Deed - Attribution-NonCommercial 4.0 International - Creative Commons"/>
    <hyperlink ref="H1709" r:id="rId3414" display="https://www.inaturalist.org/observations/383146202"/>
    <hyperlink ref="G1710" r:id="rId3415" display="Deed - Attribution-NonCommercial 4.0 International - Creative Commons"/>
    <hyperlink ref="H1710" r:id="rId3416" display="https://www.inaturalist.org/observations/383146107"/>
    <hyperlink ref="G1711" r:id="rId3417" display="Deed - Attribution-NonCommercial 4.0 International - Creative Commons"/>
    <hyperlink ref="H1711" r:id="rId3418" display="https://www.inaturalist.org/observations/383146072"/>
    <hyperlink ref="G1712" r:id="rId3419" display="Deed - Attribution-NonCommercial 4.0 International - Creative Commons"/>
    <hyperlink ref="H1712" r:id="rId3420" display="https://www.inaturalist.org/observations/383146049"/>
    <hyperlink ref="G1713" r:id="rId3421" display="Deed - Attribution-NonCommercial 4.0 International - Creative Commons"/>
    <hyperlink ref="H1713" r:id="rId3422" display="https://www.inaturalist.org/observations/383146001"/>
    <hyperlink ref="G1714" r:id="rId3423" display="Deed - Attribution-NonCommercial 4.0 International - Creative Commons"/>
    <hyperlink ref="H1714" r:id="rId3424" display="https://www.inaturalist.org/observations/383146000"/>
    <hyperlink ref="G1715" r:id="rId3425" display="Deed - Attribution-NonCommercial 4.0 International - Creative Commons"/>
    <hyperlink ref="H1715" r:id="rId3426" display="https://www.inaturalist.org/observations/383145993"/>
    <hyperlink ref="G1716" r:id="rId3427" display="Deed - Attribution-NonCommercial 4.0 International - Creative Commons"/>
    <hyperlink ref="H1716" r:id="rId3428" display="https://www.inaturalist.org/observations/383145915"/>
    <hyperlink ref="G1717" r:id="rId3429" display="Deed - Attribution-NonCommercial 4.0 International - Creative Commons"/>
    <hyperlink ref="H1717" r:id="rId3430" display="https://www.inaturalist.org/observations/383145816"/>
    <hyperlink ref="G1718" r:id="rId3431" display="Deed - Attribution-NonCommercial 4.0 International - Creative Commons"/>
    <hyperlink ref="H1718" r:id="rId3432" display="https://www.inaturalist.org/observations/383145774"/>
    <hyperlink ref="G1719" r:id="rId3433" display="Deed - Attribution-NonCommercial 4.0 International - Creative Commons"/>
    <hyperlink ref="H1719" r:id="rId3434" display="https://www.inaturalist.org/observations/383145765"/>
    <hyperlink ref="G1720" r:id="rId3435" display="Deed - Attribution-NonCommercial 4.0 International - Creative Commons"/>
    <hyperlink ref="H1720" r:id="rId3436" display="https://www.inaturalist.org/observations/383145730"/>
    <hyperlink ref="G1721" r:id="rId3437" display="Deed - Attribution-NonCommercial 4.0 International - Creative Commons"/>
    <hyperlink ref="H1721" r:id="rId3438" display="https://www.inaturalist.org/observations/383145615"/>
    <hyperlink ref="G1722" r:id="rId3439" display="Deed - Attribution-NonCommercial 4.0 International - Creative Commons"/>
    <hyperlink ref="H1722" r:id="rId3440" display="https://www.inaturalist.org/observations/383145590"/>
    <hyperlink ref="G1723" r:id="rId3441" display="Deed - Attribution-NonCommercial 4.0 International - Creative Commons"/>
    <hyperlink ref="H1723" r:id="rId3442" display="https://www.inaturalist.org/observations/383145570"/>
    <hyperlink ref="G1724" r:id="rId3443" display="Deed - Attribution-NonCommercial 4.0 International - Creative Commons"/>
    <hyperlink ref="H1724" r:id="rId3444" display="https://www.inaturalist.org/observations/383145543"/>
    <hyperlink ref="G1725" r:id="rId3445" display="Deed - Attribution-NonCommercial 4.0 International - Creative Commons"/>
    <hyperlink ref="H1725" r:id="rId3446" display="https://www.inaturalist.org/observations/383145445"/>
    <hyperlink ref="G1726" r:id="rId3447" display="Deed - Attribution-NonCommercial 4.0 International - Creative Commons"/>
    <hyperlink ref="H1726" r:id="rId3448" display="https://www.inaturalist.org/observations/383145432"/>
    <hyperlink ref="G1727" r:id="rId3449" display="Deed - Attribution-NonCommercial 4.0 International - Creative Commons"/>
    <hyperlink ref="H1727" r:id="rId3450" display="https://www.inaturalist.org/observations/383145337"/>
    <hyperlink ref="G1728" r:id="rId3451" display="Deed - Attribution-NonCommercial 4.0 International - Creative Commons"/>
    <hyperlink ref="H1728" r:id="rId3452" display="https://www.inaturalist.org/observations/383145168"/>
    <hyperlink ref="G1729" r:id="rId3453" display="Deed - Attribution-NonCommercial 4.0 International - Creative Commons"/>
    <hyperlink ref="H1729" r:id="rId3454" display="https://www.inaturalist.org/observations/383145142"/>
    <hyperlink ref="G1730" r:id="rId3455" display="Deed - Attribution-NonCommercial 4.0 International - Creative Commons"/>
    <hyperlink ref="H1730" r:id="rId3456" display="https://www.inaturalist.org/observations/383145101"/>
    <hyperlink ref="G1731" r:id="rId3457" display="Deed - Attribution-NonCommercial 4.0 International - Creative Commons"/>
    <hyperlink ref="H1731" r:id="rId3458" display="https://www.inaturalist.org/observations/383145017"/>
    <hyperlink ref="G1732" r:id="rId3459" display="Deed - Attribution-NonCommercial 4.0 International - Creative Commons"/>
    <hyperlink ref="H1732" r:id="rId3460" display="https://www.inaturalist.org/observations/383145016"/>
    <hyperlink ref="G1733" r:id="rId3461" display="Deed - Attribution-NonCommercial 4.0 International - Creative Commons"/>
    <hyperlink ref="H1733" r:id="rId3462" display="https://www.inaturalist.org/observations/383144954"/>
    <hyperlink ref="G1734" r:id="rId3463" display="Deed - Attribution-NonCommercial 4.0 International - Creative Commons"/>
    <hyperlink ref="H1734" r:id="rId3464" display="https://www.inaturalist.org/observations/383144928"/>
    <hyperlink ref="G1735" r:id="rId3465" display="Deed - Attribution-NonCommercial 4.0 International - Creative Commons"/>
    <hyperlink ref="H1735" r:id="rId3466" display="https://www.inaturalist.org/observations/383144919"/>
    <hyperlink ref="G1736" r:id="rId3467" display="Deed - Attribution-NonCommercial 4.0 International - Creative Commons"/>
    <hyperlink ref="H1736" r:id="rId3468" display="https://www.inaturalist.org/observations/383144917"/>
    <hyperlink ref="G1737" r:id="rId3469" display="Deed - Attribution-NonCommercial 4.0 International - Creative Commons"/>
    <hyperlink ref="H1737" r:id="rId3470" display="https://www.inaturalist.org/observations/383144870"/>
    <hyperlink ref="G1738" r:id="rId3471" display="Deed - Attribution-NonCommercial 4.0 International - Creative Commons"/>
    <hyperlink ref="H1738" r:id="rId3472" display="https://www.inaturalist.org/observations/383144752"/>
    <hyperlink ref="G1739" r:id="rId3473" display="Deed - Attribution-NonCommercial 4.0 International - Creative Commons"/>
    <hyperlink ref="H1739" r:id="rId3474" display="https://www.inaturalist.org/observations/383144721"/>
    <hyperlink ref="G1740" r:id="rId3475" display="Deed - Attribution-NonCommercial 4.0 International - Creative Commons"/>
    <hyperlink ref="H1740" r:id="rId3476" display="https://www.inaturalist.org/observations/383144662"/>
    <hyperlink ref="G1741" r:id="rId3477" display="Deed - Attribution-NonCommercial 4.0 International - Creative Commons"/>
    <hyperlink ref="H1741" r:id="rId3478" display="https://www.inaturalist.org/observations/383144593"/>
    <hyperlink ref="G1742" r:id="rId3479" display="Deed - Attribution-NonCommercial 4.0 International - Creative Commons"/>
    <hyperlink ref="H1742" r:id="rId3480" display="https://www.inaturalist.org/observations/383144575"/>
    <hyperlink ref="G1743" r:id="rId3481" display="Deed - Attribution-NonCommercial 4.0 International - Creative Commons"/>
    <hyperlink ref="H1743" r:id="rId3482" display="https://www.inaturalist.org/observations/383144432"/>
    <hyperlink ref="G1744" r:id="rId3483" display="Deed - Attribution-NonCommercial 4.0 International - Creative Commons"/>
    <hyperlink ref="H1744" r:id="rId3484" display="https://www.inaturalist.org/observations/383144404"/>
    <hyperlink ref="G1745" r:id="rId3485" display="Deed - Attribution-NonCommercial 4.0 International - Creative Commons"/>
    <hyperlink ref="H1745" r:id="rId3486" display="https://www.inaturalist.org/observations/383144401"/>
    <hyperlink ref="G1746" r:id="rId3487" display="Deed - Attribution-NonCommercial 4.0 International - Creative Commons"/>
    <hyperlink ref="H1746" r:id="rId3488" display="https://www.inaturalist.org/observations/383144302"/>
    <hyperlink ref="G1747" r:id="rId3489" display="Deed - Attribution-NonCommercial 4.0 International - Creative Commons"/>
    <hyperlink ref="H1747" r:id="rId3490" display="https://www.inaturalist.org/observations/383144256"/>
    <hyperlink ref="G1748" r:id="rId3491" display="Deed - Attribution-NonCommercial 4.0 International - Creative Commons"/>
    <hyperlink ref="H1748" r:id="rId3492" display="https://www.inaturalist.org/observations/383144231"/>
    <hyperlink ref="G1749" r:id="rId3493" display="Deed - Attribution-NonCommercial 4.0 International - Creative Commons"/>
    <hyperlink ref="H1749" r:id="rId3494" display="https://www.inaturalist.org/observations/383144227"/>
    <hyperlink ref="G1750" r:id="rId3495" display="Deed - Attribution-NonCommercial 4.0 International - Creative Commons"/>
    <hyperlink ref="H1750" r:id="rId3496" display="https://www.inaturalist.org/observations/383144193"/>
    <hyperlink ref="G1751" r:id="rId3497" display="Deed - Attribution-NonCommercial 4.0 International - Creative Commons"/>
    <hyperlink ref="H1751" r:id="rId3498" display="https://www.inaturalist.org/observations/383144039"/>
    <hyperlink ref="G1752" r:id="rId3499" display="Deed - Attribution-NonCommercial 4.0 International - Creative Commons"/>
    <hyperlink ref="H1752" r:id="rId3500" display="https://www.inaturalist.org/observations/383144021"/>
    <hyperlink ref="G1753" r:id="rId3501" display="Deed - Attribution-NonCommercial 4.0 International - Creative Commons"/>
    <hyperlink ref="H1753" r:id="rId3502" display="https://www.inaturalist.org/observations/383143997"/>
    <hyperlink ref="G1754" r:id="rId3503" display="Deed - Attribution-NonCommercial 4.0 International - Creative Commons"/>
    <hyperlink ref="H1754" r:id="rId3504" display="https://www.inaturalist.org/observations/383143808"/>
    <hyperlink ref="G1755" r:id="rId3505" display="Deed - Attribution-NonCommercial 4.0 International - Creative Commons"/>
    <hyperlink ref="H1755" r:id="rId3506" display="https://www.inaturalist.org/observations/383143801"/>
    <hyperlink ref="G1756" r:id="rId3507" display="Deed - Attribution-NonCommercial 4.0 International - Creative Commons"/>
    <hyperlink ref="H1756" r:id="rId3508" display="https://www.inaturalist.org/observations/383143720"/>
    <hyperlink ref="G1757" r:id="rId3509" display="Deed - Attribution-NonCommercial 4.0 International - Creative Commons"/>
    <hyperlink ref="H1757" r:id="rId3510" display="https://www.inaturalist.org/observations/383143703"/>
    <hyperlink ref="G1758" r:id="rId3511" display="Deed - Attribution-NonCommercial 4.0 International - Creative Commons"/>
    <hyperlink ref="H1758" r:id="rId3512" display="https://www.inaturalist.org/observations/383143682"/>
    <hyperlink ref="G1759" r:id="rId3513" display="Deed - Attribution-NonCommercial 4.0 International - Creative Commons"/>
    <hyperlink ref="H1759" r:id="rId3514" display="https://www.inaturalist.org/observations/383143596"/>
    <hyperlink ref="G1760" r:id="rId3515" display="Deed - Attribution-NonCommercial 4.0 International - Creative Commons"/>
    <hyperlink ref="H1760" r:id="rId3516" display="https://www.inaturalist.org/observations/383143415"/>
    <hyperlink ref="G1761" r:id="rId3517" display="Deed - Attribution-NonCommercial 4.0 International - Creative Commons"/>
    <hyperlink ref="H1761" r:id="rId3518" display="https://www.inaturalist.org/observations/383143329"/>
    <hyperlink ref="G1762" r:id="rId3519" display="Deed - Attribution-NonCommercial 4.0 International - Creative Commons"/>
    <hyperlink ref="H1762" r:id="rId3520" display="https://www.inaturalist.org/observations/383143251"/>
    <hyperlink ref="G1763" r:id="rId3521" display="Deed - Attribution-NonCommercial 4.0 International - Creative Commons"/>
    <hyperlink ref="H1763" r:id="rId3522" display="https://www.inaturalist.org/observations/383143196"/>
    <hyperlink ref="G1764" r:id="rId3523" display="Deed - Attribution-NonCommercial 4.0 International - Creative Commons"/>
    <hyperlink ref="H1764" r:id="rId3524" display="https://www.inaturalist.org/observations/383143049"/>
    <hyperlink ref="G1765" r:id="rId3525" display="Deed - Attribution-NonCommercial 4.0 International - Creative Commons"/>
    <hyperlink ref="H1765" r:id="rId3526" display="https://www.inaturalist.org/observations/383142919"/>
    <hyperlink ref="G1766" r:id="rId3527" display="Deed - Attribution-NonCommercial 4.0 International - Creative Commons"/>
    <hyperlink ref="H1766" r:id="rId3528" display="https://www.inaturalist.org/observations/383142865"/>
    <hyperlink ref="G1767" r:id="rId3529" display="Deed - Attribution-NonCommercial 4.0 International - Creative Commons"/>
    <hyperlink ref="H1767" r:id="rId3530" display="https://www.inaturalist.org/observations/383142852"/>
    <hyperlink ref="G1768" r:id="rId3531" display="Deed - Attribution-NonCommercial 4.0 International - Creative Commons"/>
    <hyperlink ref="H1768" r:id="rId3532" display="https://www.inaturalist.org/observations/383142821"/>
    <hyperlink ref="G1769" r:id="rId3533" display="Deed - Attribution-NonCommercial 4.0 International - Creative Commons"/>
    <hyperlink ref="H1769" r:id="rId3534" display="https://www.inaturalist.org/observations/383142806"/>
    <hyperlink ref="G1770" r:id="rId3535" display="Deed - Attribution-NonCommercial 4.0 International - Creative Commons"/>
    <hyperlink ref="H1770" r:id="rId3536" display="https://www.inaturalist.org/observations/383142796"/>
    <hyperlink ref="G1771" r:id="rId3537" display="Deed - Attribution-NonCommercial 4.0 International - Creative Commons"/>
    <hyperlink ref="H1771" r:id="rId3538" display="https://www.inaturalist.org/observations/383142748"/>
    <hyperlink ref="G1772" r:id="rId3539" display="Deed - Attribution-NonCommercial 4.0 International - Creative Commons"/>
    <hyperlink ref="H1772" r:id="rId3540" display="https://www.inaturalist.org/observations/383142735"/>
    <hyperlink ref="G1773" r:id="rId3541" display="Deed - Attribution-NonCommercial 4.0 International - Creative Commons"/>
    <hyperlink ref="H1773" r:id="rId3542" display="https://www.inaturalist.org/observations/383142718"/>
    <hyperlink ref="G1774" r:id="rId3543" display="Deed - Attribution-NonCommercial 4.0 International - Creative Commons"/>
    <hyperlink ref="H1774" r:id="rId3544" display="https://www.inaturalist.org/observations/383142680"/>
    <hyperlink ref="G1775" r:id="rId3545" display="Deed - Attribution-NonCommercial 4.0 International - Creative Commons"/>
    <hyperlink ref="H1775" r:id="rId3546" display="https://www.inaturalist.org/observations/383142650"/>
    <hyperlink ref="G1776" r:id="rId3547" display="Deed - Attribution-NonCommercial 4.0 International - Creative Commons"/>
    <hyperlink ref="H1776" r:id="rId3548" display="https://www.inaturalist.org/observations/383142631"/>
    <hyperlink ref="G1777" r:id="rId3549" display="Deed - Attribution-NonCommercial 4.0 International - Creative Commons"/>
    <hyperlink ref="H1777" r:id="rId3550" display="https://www.inaturalist.org/observations/383142605"/>
    <hyperlink ref="G1778" r:id="rId3551" display="Deed - Attribution-NonCommercial 4.0 International - Creative Commons"/>
    <hyperlink ref="H1778" r:id="rId3552" display="https://www.inaturalist.org/observations/383142551"/>
    <hyperlink ref="G1779" r:id="rId3553" display="Deed - Attribution-NonCommercial 4.0 International - Creative Commons"/>
    <hyperlink ref="H1779" r:id="rId3554" display="https://www.inaturalist.org/observations/383142462"/>
    <hyperlink ref="G1780" r:id="rId3555" display="Deed - Attribution-NonCommercial 4.0 International - Creative Commons"/>
    <hyperlink ref="H1780" r:id="rId3556" display="https://www.inaturalist.org/observations/383142291"/>
    <hyperlink ref="G1781" r:id="rId3557" display="Deed - Attribution-NonCommercial 4.0 International - Creative Commons"/>
    <hyperlink ref="H1781" r:id="rId3558" display="https://www.inaturalist.org/observations/383142278"/>
    <hyperlink ref="G1782" r:id="rId3559" display="Deed - Attribution-NonCommercial 4.0 International - Creative Commons"/>
    <hyperlink ref="H1782" r:id="rId3560" display="https://www.inaturalist.org/observations/383142230"/>
    <hyperlink ref="G1783" r:id="rId3561" display="Deed - Attribution-NonCommercial 4.0 International - Creative Commons"/>
    <hyperlink ref="H1783" r:id="rId3562" display="https://www.inaturalist.org/observations/383142188"/>
    <hyperlink ref="G1784" r:id="rId3563" display="Deed - Attribution-NonCommercial 4.0 International - Creative Commons"/>
    <hyperlink ref="H1784" r:id="rId3564" display="https://www.inaturalist.org/observations/383142085"/>
    <hyperlink ref="G1785" r:id="rId3565" display="Deed - Attribution-NonCommercial 4.0 International - Creative Commons"/>
    <hyperlink ref="H1785" r:id="rId3566" display="https://www.inaturalist.org/observations/383141951"/>
    <hyperlink ref="G1786" r:id="rId3567" display="Deed - Attribution-NonCommercial 4.0 International - Creative Commons"/>
    <hyperlink ref="H1786" r:id="rId3568" display="https://www.inaturalist.org/observations/383141896"/>
    <hyperlink ref="G1787" r:id="rId3569" display="Deed - Attribution-NonCommercial 4.0 International - Creative Commons"/>
    <hyperlink ref="H1787" r:id="rId3570" display="https://www.inaturalist.org/observations/383141701"/>
    <hyperlink ref="G1788" r:id="rId3571" display="Deed - Attribution-NonCommercial 4.0 International - Creative Commons"/>
    <hyperlink ref="H1788" r:id="rId3572" display="https://www.inaturalist.org/observations/383141615"/>
    <hyperlink ref="G1789" r:id="rId3573" display="Deed - Attribution-NonCommercial 4.0 International - Creative Commons"/>
    <hyperlink ref="H1789" r:id="rId3574" display="https://www.inaturalist.org/observations/383141577"/>
    <hyperlink ref="G1790" r:id="rId3575" display="Deed - Attribution-NonCommercial 4.0 International - Creative Commons"/>
    <hyperlink ref="H1790" r:id="rId3576" display="https://www.inaturalist.org/observations/383141405"/>
    <hyperlink ref="G1791" r:id="rId3577" display="Deed - Attribution-NonCommercial 4.0 International - Creative Commons"/>
    <hyperlink ref="H1791" r:id="rId3578" display="https://www.inaturalist.org/observations/383141135"/>
    <hyperlink ref="G1792" r:id="rId3579" display="Deed - Attribution-NonCommercial 4.0 International - Creative Commons"/>
    <hyperlink ref="H1792" r:id="rId3580" display="https://www.inaturalist.org/observations/383141125"/>
    <hyperlink ref="G1793" r:id="rId3581" display="Deed - Attribution-NonCommercial 4.0 International - Creative Commons"/>
    <hyperlink ref="H1793" r:id="rId3582" display="https://www.inaturalist.org/observations/383141099"/>
    <hyperlink ref="G1794" r:id="rId3583" display="Deed - Attribution-NonCommercial 4.0 International - Creative Commons"/>
    <hyperlink ref="H1794" r:id="rId3584" display="https://www.inaturalist.org/observations/383140945"/>
    <hyperlink ref="G1795" r:id="rId3585" display="Deed - Attribution-NonCommercial 4.0 International - Creative Commons"/>
    <hyperlink ref="H1795" r:id="rId3586" display="https://www.inaturalist.org/observations/383140919"/>
    <hyperlink ref="G1796" r:id="rId3587" display="Deed - Attribution-NonCommercial 4.0 International - Creative Commons"/>
    <hyperlink ref="H1796" r:id="rId3588" display="https://www.inaturalist.org/observations/383140908"/>
    <hyperlink ref="G1797" r:id="rId3589" display="Deed - Attribution-NonCommercial 4.0 International - Creative Commons"/>
    <hyperlink ref="H1797" r:id="rId3590" display="https://www.inaturalist.org/observations/383140823"/>
    <hyperlink ref="G1798" r:id="rId3591" display="Deed - Attribution-NonCommercial 4.0 International - Creative Commons"/>
    <hyperlink ref="H1798" r:id="rId3592" display="https://www.inaturalist.org/observations/383140820"/>
    <hyperlink ref="G1799" r:id="rId3593" display="Deed - Attribution-NonCommercial 4.0 International - Creative Commons"/>
    <hyperlink ref="H1799" r:id="rId3594" display="https://www.inaturalist.org/observations/383140642"/>
    <hyperlink ref="G1800" r:id="rId3595" display="Deed - Attribution-NonCommercial 4.0 International - Creative Commons"/>
    <hyperlink ref="H1800" r:id="rId3596" display="https://www.inaturalist.org/observations/383140529"/>
    <hyperlink ref="G1801" r:id="rId3597" display="Deed - Attribution-NonCommercial 4.0 International - Creative Commons"/>
    <hyperlink ref="H1801" r:id="rId3598" display="https://www.inaturalist.org/observations/383140410"/>
    <hyperlink ref="G1802" r:id="rId3599" display="Deed - Attribution-NonCommercial 4.0 International - Creative Commons"/>
    <hyperlink ref="H1802" r:id="rId3600" display="https://www.inaturalist.org/observations/383140304"/>
    <hyperlink ref="G1803" r:id="rId3601" display="Deed - Attribution-NonCommercial 4.0 International - Creative Commons"/>
    <hyperlink ref="H1803" r:id="rId3602" display="https://www.inaturalist.org/observations/383140171"/>
    <hyperlink ref="G1804" r:id="rId3603" display="Deed - Attribution-NonCommercial 4.0 International - Creative Commons"/>
    <hyperlink ref="H1804" r:id="rId3604" display="https://www.inaturalist.org/observations/383140089"/>
    <hyperlink ref="G1805" r:id="rId3605" display="Deed - Attribution-NonCommercial 4.0 International - Creative Commons"/>
    <hyperlink ref="H1805" r:id="rId3606" display="https://www.inaturalist.org/observations/383140080"/>
    <hyperlink ref="G1806" r:id="rId3607" display="Deed - Attribution-NonCommercial 4.0 International - Creative Commons"/>
    <hyperlink ref="H1806" r:id="rId3608" display="https://www.inaturalist.org/observations/383140023"/>
    <hyperlink ref="G1807" r:id="rId3609" display="Deed - Attribution-NonCommercial 4.0 International - Creative Commons"/>
    <hyperlink ref="H1807" r:id="rId3610" display="https://www.inaturalist.org/observations/383139986"/>
    <hyperlink ref="G1808" r:id="rId3611" display="Deed - Attribution-NonCommercial 4.0 International - Creative Commons"/>
    <hyperlink ref="H1808" r:id="rId3612" display="https://www.inaturalist.org/observations/383139939"/>
    <hyperlink ref="G1809" r:id="rId3613" display="Deed - Attribution-NonCommercial 4.0 International - Creative Commons"/>
    <hyperlink ref="H1809" r:id="rId3614" display="https://www.inaturalist.org/observations/383139851"/>
    <hyperlink ref="G1810" r:id="rId3615" display="Deed - Attribution-NonCommercial 4.0 International - Creative Commons"/>
    <hyperlink ref="H1810" r:id="rId3616" display="https://www.inaturalist.org/observations/383139843"/>
    <hyperlink ref="G1811" r:id="rId3617" display="Deed - Attribution-NonCommercial 4.0 International - Creative Commons"/>
    <hyperlink ref="H1811" r:id="rId3618" display="https://www.inaturalist.org/observations/383139740"/>
    <hyperlink ref="G1812" r:id="rId3619" display="Deed - Attribution-NonCommercial 4.0 International - Creative Commons"/>
    <hyperlink ref="H1812" r:id="rId3620" display="https://www.inaturalist.org/observations/383139733"/>
    <hyperlink ref="G1813" r:id="rId3621" display="Deed - Attribution-NonCommercial 4.0 International - Creative Commons"/>
    <hyperlink ref="H1813" r:id="rId3622" display="https://www.inaturalist.org/observations/383139688"/>
    <hyperlink ref="G1814" r:id="rId3623" display="Deed - Attribution-NonCommercial 4.0 International - Creative Commons"/>
    <hyperlink ref="H1814" r:id="rId3624" display="https://www.inaturalist.org/observations/383139436"/>
    <hyperlink ref="G1815" r:id="rId3625" display="Deed - Attribution-NonCommercial 4.0 International - Creative Commons"/>
    <hyperlink ref="H1815" r:id="rId3626" display="https://www.inaturalist.org/observations/383139425"/>
    <hyperlink ref="G1816" r:id="rId3627" display="Deed - Attribution-NonCommercial 4.0 International - Creative Commons"/>
    <hyperlink ref="H1816" r:id="rId3628" display="https://www.inaturalist.org/observations/383139421"/>
    <hyperlink ref="G1817" r:id="rId3629" display="Deed - Attribution-NonCommercial 4.0 International - Creative Commons"/>
    <hyperlink ref="H1817" r:id="rId3630" display="https://www.inaturalist.org/observations/383139372"/>
    <hyperlink ref="G1818" r:id="rId3631" display="Deed - Attribution-NonCommercial 4.0 International - Creative Commons"/>
    <hyperlink ref="H1818" r:id="rId3632" display="https://www.inaturalist.org/observations/383139227"/>
    <hyperlink ref="G1819" r:id="rId3633" display="Deed - Attribution-NonCommercial 4.0 International - Creative Commons"/>
    <hyperlink ref="H1819" r:id="rId3634" display="https://www.inaturalist.org/observations/383139200"/>
    <hyperlink ref="G1820" r:id="rId3635" display="Deed - Attribution-NonCommercial 4.0 International - Creative Commons"/>
    <hyperlink ref="H1820" r:id="rId3636" display="https://www.inaturalist.org/observations/383139197"/>
    <hyperlink ref="G1821" r:id="rId3637" display="Deed - Attribution-NonCommercial 4.0 International - Creative Commons"/>
    <hyperlink ref="H1821" r:id="rId3638" display="https://www.inaturalist.org/observations/383139186"/>
    <hyperlink ref="G1822" r:id="rId3639" display="Deed - Attribution-NonCommercial 4.0 International - Creative Commons"/>
    <hyperlink ref="H1822" r:id="rId3640" display="https://www.inaturalist.org/observations/383139183"/>
    <hyperlink ref="G1823" r:id="rId3641" display="Deed - Attribution-NonCommercial 4.0 International - Creative Commons"/>
    <hyperlink ref="H1823" r:id="rId3642" display="https://www.inaturalist.org/observations/383182669"/>
    <hyperlink ref="G1824" r:id="rId3643" display="Deed - Attribution-NonCommercial 4.0 International - Creative Commons"/>
    <hyperlink ref="H1824" r:id="rId3644" display="https://www.inaturalist.org/observations/383182478"/>
    <hyperlink ref="G1825" r:id="rId3645" display="Deed - Attribution-NonCommercial 4.0 International - Creative Commons"/>
    <hyperlink ref="H1825" r:id="rId3646" display="https://www.inaturalist.org/observations/383182454"/>
    <hyperlink ref="G1826" r:id="rId3647" display="Deed - Attribution-NonCommercial 4.0 International - Creative Commons"/>
    <hyperlink ref="H1826" r:id="rId3648" display="https://www.inaturalist.org/observations/383182112"/>
    <hyperlink ref="G1827" r:id="rId3649" display="Deed - Attribution-NonCommercial 4.0 International - Creative Commons"/>
    <hyperlink ref="H1827" r:id="rId3650" display="https://www.inaturalist.org/observations/383181266"/>
    <hyperlink ref="G1828" r:id="rId3651" display="Deed - Attribution-NonCommercial 4.0 International - Creative Commons"/>
    <hyperlink ref="H1828" r:id="rId3652" display="https://www.inaturalist.org/observations/383181170"/>
    <hyperlink ref="G1829" r:id="rId3653" display="Deed - Attribution-NonCommercial 4.0 International - Creative Commons"/>
    <hyperlink ref="H1829" r:id="rId3654" display="https://www.inaturalist.org/observations/383181160"/>
    <hyperlink ref="G1830" r:id="rId3655" display="Deed - Attribution-NonCommercial 4.0 International - Creative Commons"/>
    <hyperlink ref="H1830" r:id="rId3656" display="https://www.inaturalist.org/observations/383180816"/>
    <hyperlink ref="G1831" r:id="rId3657" display="Deed - Attribution-NonCommercial 4.0 International - Creative Commons"/>
    <hyperlink ref="H1831" r:id="rId3658" display="https://www.inaturalist.org/observations/383180448"/>
    <hyperlink ref="G1832" r:id="rId3659" display="Deed - Attribution-NonCommercial 4.0 International - Creative Commons"/>
    <hyperlink ref="H1832" r:id="rId3660" display="https://www.inaturalist.org/observations/383180148"/>
    <hyperlink ref="G1833" r:id="rId3661" display="Deed - Attribution-NonCommercial 4.0 International - Creative Commons"/>
    <hyperlink ref="H1833" r:id="rId3662" display="https://www.inaturalist.org/observations/383180002"/>
    <hyperlink ref="G1834" r:id="rId3663" display="Deed - Attribution-NonCommercial 4.0 International - Creative Commons"/>
    <hyperlink ref="H1834" r:id="rId3664" display="https://www.inaturalist.org/observations/383179878"/>
    <hyperlink ref="G1835" r:id="rId3665" display="Deed - Attribution-NonCommercial 4.0 International - Creative Commons"/>
    <hyperlink ref="H1835" r:id="rId3666" display="https://www.inaturalist.org/observations/383179752"/>
    <hyperlink ref="G1836" r:id="rId3667" display="Deed - Attribution-NonCommercial 4.0 International - Creative Commons"/>
    <hyperlink ref="H1836" r:id="rId3668" display="https://www.inaturalist.org/observations/383179387"/>
    <hyperlink ref="G1837" r:id="rId3669" display="Deed - Attribution-NonCommercial 4.0 International - Creative Commons"/>
    <hyperlink ref="H1837" r:id="rId3670" display="https://www.inaturalist.org/observations/383179385"/>
    <hyperlink ref="G1838" r:id="rId3671" display="Deed - Attribution-NonCommercial 4.0 International - Creative Commons"/>
    <hyperlink ref="H1838" r:id="rId3672" display="https://www.inaturalist.org/observations/383179313"/>
    <hyperlink ref="G1839" r:id="rId3673" display="Deed - Attribution-NonCommercial 4.0 International - Creative Commons"/>
    <hyperlink ref="H1839" r:id="rId3674" display="https://www.inaturalist.org/observations/383179307"/>
    <hyperlink ref="G1840" r:id="rId3675" display="Deed - Attribution-NonCommercial 4.0 International - Creative Commons"/>
    <hyperlink ref="H1840" r:id="rId3676" display="https://www.inaturalist.org/observations/383179304"/>
    <hyperlink ref="G1841" r:id="rId3677" display="Deed - Attribution-NonCommercial 4.0 International - Creative Commons"/>
    <hyperlink ref="H1841" r:id="rId3678" display="https://www.inaturalist.org/observations/383179183"/>
    <hyperlink ref="G1842" r:id="rId3679" display="Deed - Attribution-NonCommercial 4.0 International - Creative Commons"/>
    <hyperlink ref="H1842" r:id="rId3680" display="https://www.inaturalist.org/observations/383179118"/>
    <hyperlink ref="G1843" r:id="rId3681" display="Deed - Attribution-NonCommercial 4.0 International - Creative Commons"/>
    <hyperlink ref="H1843" r:id="rId3682" display="https://www.inaturalist.org/observations/383179094"/>
    <hyperlink ref="G1844" r:id="rId3683" display="Deed - Attribution-NonCommercial 4.0 International - Creative Commons"/>
    <hyperlink ref="H1844" r:id="rId3684" display="https://www.inaturalist.org/observations/383179075"/>
    <hyperlink ref="G1845" r:id="rId3685" display="Deed - Attribution-NonCommercial 4.0 International - Creative Commons"/>
    <hyperlink ref="H1845" r:id="rId3686" display="https://www.inaturalist.org/observations/383179039"/>
    <hyperlink ref="G1846" r:id="rId3687" display="Deed - Attribution-NonCommercial 4.0 International - Creative Commons"/>
    <hyperlink ref="H1846" r:id="rId3688" display="https://www.inaturalist.org/observations/383178910"/>
    <hyperlink ref="G1847" r:id="rId3689" display="Deed - Attribution-NonCommercial 4.0 International - Creative Commons"/>
    <hyperlink ref="H1847" r:id="rId3690" display="https://www.inaturalist.org/observations/383178772"/>
    <hyperlink ref="G1848" r:id="rId3691" display="Deed - Attribution-NonCommercial 4.0 International - Creative Commons"/>
    <hyperlink ref="H1848" r:id="rId3692" display="https://www.inaturalist.org/observations/383178731"/>
    <hyperlink ref="G1849" r:id="rId3693" display="Deed - Attribution-NonCommercial 4.0 International - Creative Commons"/>
    <hyperlink ref="H1849" r:id="rId3694" display="https://www.inaturalist.org/observations/383178594"/>
    <hyperlink ref="G1850" r:id="rId3695" display="Deed - Attribution-NonCommercial 4.0 International - Creative Commons"/>
    <hyperlink ref="H1850" r:id="rId3696" display="https://www.inaturalist.org/observations/383178353"/>
    <hyperlink ref="G1851" r:id="rId3697" display="Deed - Attribution-NonCommercial 4.0 International - Creative Commons"/>
    <hyperlink ref="H1851" r:id="rId3698" display="https://www.inaturalist.org/observations/383178341"/>
    <hyperlink ref="G1852" r:id="rId3699" display="Deed - Attribution-NonCommercial 4.0 International - Creative Commons"/>
    <hyperlink ref="H1852" r:id="rId3700" display="https://www.inaturalist.org/observations/383178313"/>
    <hyperlink ref="G1853" r:id="rId3701" display="Deed - Attribution-NonCommercial 4.0 International - Creative Commons"/>
    <hyperlink ref="H1853" r:id="rId3702" display="https://www.inaturalist.org/observations/383178207"/>
    <hyperlink ref="G1854" r:id="rId3703" display="Deed - Attribution-NonCommercial 4.0 International - Creative Commons"/>
    <hyperlink ref="H1854" r:id="rId3704" display="https://www.inaturalist.org/observations/383178197"/>
    <hyperlink ref="G1855" r:id="rId3705" display="Deed - Attribution-NonCommercial 4.0 International - Creative Commons"/>
    <hyperlink ref="H1855" r:id="rId3706" display="https://www.inaturalist.org/observations/383178109"/>
    <hyperlink ref="G1856" r:id="rId3707" display="Deed - Attribution-NonCommercial 4.0 International - Creative Commons"/>
    <hyperlink ref="H1856" r:id="rId3708" display="https://www.inaturalist.org/observations/383178080"/>
    <hyperlink ref="G1857" r:id="rId3709" display="Deed - Attribution-NonCommercial 4.0 International - Creative Commons"/>
    <hyperlink ref="H1857" r:id="rId3710" display="https://www.inaturalist.org/observations/383177935"/>
    <hyperlink ref="G1858" r:id="rId3711" display="Deed - Attribution-NonCommercial 4.0 International - Creative Commons"/>
    <hyperlink ref="H1858" r:id="rId3712" display="https://www.inaturalist.org/observations/383177796"/>
    <hyperlink ref="G1859" r:id="rId3713" display="Deed - Attribution-NonCommercial 4.0 International - Creative Commons"/>
    <hyperlink ref="H1859" r:id="rId3714" display="https://www.inaturalist.org/observations/383177588"/>
    <hyperlink ref="G1860" r:id="rId3715" display="Deed - Attribution-NonCommercial 4.0 International - Creative Commons"/>
    <hyperlink ref="H1860" r:id="rId3716" display="https://www.inaturalist.org/observations/383177371"/>
    <hyperlink ref="G1861" r:id="rId3717" display="Deed - Attribution-NonCommercial 4.0 International - Creative Commons"/>
    <hyperlink ref="H1861" r:id="rId3718" display="https://www.inaturalist.org/observations/383177068"/>
    <hyperlink ref="G1862" r:id="rId3719" display="Deed - Attribution-NonCommercial 4.0 International - Creative Commons"/>
    <hyperlink ref="H1862" r:id="rId3720" display="https://www.inaturalist.org/observations/383177035"/>
    <hyperlink ref="G1863" r:id="rId3721" display="Deed - Attribution-NonCommercial 4.0 International - Creative Commons"/>
    <hyperlink ref="H1863" r:id="rId3722" display="https://www.inaturalist.org/observations/383176742"/>
    <hyperlink ref="G1864" r:id="rId3723" display="Deed - Attribution-NonCommercial 4.0 International - Creative Commons"/>
    <hyperlink ref="H1864" r:id="rId3724" display="https://www.inaturalist.org/observations/383176527"/>
    <hyperlink ref="G1865" r:id="rId3725" display="Deed - Attribution-NonCommercial 4.0 International - Creative Commons"/>
    <hyperlink ref="H1865" r:id="rId3726" display="https://www.inaturalist.org/observations/383176395"/>
    <hyperlink ref="G1866" r:id="rId3727" display="Deed - Attribution-NonCommercial 4.0 International - Creative Commons"/>
    <hyperlink ref="H1866" r:id="rId3728" display="https://www.inaturalist.org/observations/383176374"/>
    <hyperlink ref="G1867" r:id="rId3729" display="Deed - Attribution-NonCommercial 4.0 International - Creative Commons"/>
    <hyperlink ref="H1867" r:id="rId3730" display="https://www.inaturalist.org/observations/383176335"/>
    <hyperlink ref="G1868" r:id="rId3731" display="Deed - Attribution-NonCommercial 4.0 International - Creative Commons"/>
    <hyperlink ref="H1868" r:id="rId3732" display="https://www.inaturalist.org/observations/383176204"/>
    <hyperlink ref="G1869" r:id="rId3733" display="Deed - Attribution-NonCommercial 4.0 International - Creative Commons"/>
    <hyperlink ref="H1869" r:id="rId3734" display="https://www.inaturalist.org/observations/383176159"/>
    <hyperlink ref="G1870" r:id="rId3735" display="Deed - Attribution-NonCommercial 4.0 International - Creative Commons"/>
    <hyperlink ref="H1870" r:id="rId3736" display="https://www.inaturalist.org/observations/383176148"/>
    <hyperlink ref="G1871" r:id="rId3737" display="Deed - Attribution-NonCommercial 4.0 International - Creative Commons"/>
    <hyperlink ref="H1871" r:id="rId3738" display="https://www.inaturalist.org/observations/383175840"/>
    <hyperlink ref="G1872" r:id="rId3739" display="Deed - Attribution-NonCommercial 4.0 International - Creative Commons"/>
    <hyperlink ref="H1872" r:id="rId3740" display="https://www.inaturalist.org/observations/383175670"/>
    <hyperlink ref="G1873" r:id="rId3741" display="Deed - Attribution-NonCommercial 4.0 International - Creative Commons"/>
    <hyperlink ref="H1873" r:id="rId3742" display="https://www.inaturalist.org/observations/383175322"/>
    <hyperlink ref="G1874" r:id="rId3743" display="Deed - Attribution-NonCommercial 4.0 International - Creative Commons"/>
    <hyperlink ref="H1874" r:id="rId3744" display="https://www.inaturalist.org/observations/383175303"/>
    <hyperlink ref="G1875" r:id="rId3745" display="Deed - Attribution-NonCommercial 4.0 International - Creative Commons"/>
    <hyperlink ref="H1875" r:id="rId3746" display="https://www.inaturalist.org/observations/383175284"/>
    <hyperlink ref="G1876" r:id="rId3747" display="Deed - Attribution-NonCommercial 4.0 International - Creative Commons"/>
    <hyperlink ref="H1876" r:id="rId3748" display="https://www.inaturalist.org/observations/383175250"/>
    <hyperlink ref="G1877" r:id="rId3749" display="Deed - Attribution-NonCommercial 4.0 International - Creative Commons"/>
    <hyperlink ref="H1877" r:id="rId3750" display="https://www.inaturalist.org/observations/383175236"/>
    <hyperlink ref="G1878" r:id="rId3751" display="Deed - Attribution-NonCommercial 4.0 International - Creative Commons"/>
    <hyperlink ref="H1878" r:id="rId3752" display="https://www.inaturalist.org/observations/383175199"/>
    <hyperlink ref="G1879" r:id="rId3753" display="Deed - Attribution-NonCommercial 4.0 International - Creative Commons"/>
    <hyperlink ref="H1879" r:id="rId3754" display="https://www.inaturalist.org/observations/383175022"/>
    <hyperlink ref="G1880" r:id="rId3755" display="Deed - Attribution-NonCommercial 4.0 International - Creative Commons"/>
    <hyperlink ref="H1880" r:id="rId3756" display="https://www.inaturalist.org/observations/383174996"/>
    <hyperlink ref="G1881" r:id="rId3757" display="Deed - Attribution-NonCommercial 4.0 International - Creative Commons"/>
    <hyperlink ref="H1881" r:id="rId3758" display="https://www.inaturalist.org/observations/383174922"/>
    <hyperlink ref="G1882" r:id="rId3759" display="Deed - Attribution-NonCommercial 4.0 International - Creative Commons"/>
    <hyperlink ref="H1882" r:id="rId3760" display="https://www.inaturalist.org/observations/383174877"/>
    <hyperlink ref="G1883" r:id="rId3761" display="Deed - Attribution-NonCommercial 4.0 International - Creative Commons"/>
    <hyperlink ref="H1883" r:id="rId3762" display="https://www.inaturalist.org/observations/383174803"/>
    <hyperlink ref="G1884" r:id="rId3763" display="Deed - Attribution-NonCommercial 4.0 International - Creative Commons"/>
    <hyperlink ref="H1884" r:id="rId3764" display="https://www.inaturalist.org/observations/383174749"/>
    <hyperlink ref="G1885" r:id="rId3765" display="Deed - Attribution-NonCommercial 4.0 International - Creative Commons"/>
    <hyperlink ref="H1885" r:id="rId3766" display="https://www.inaturalist.org/observations/383174562"/>
    <hyperlink ref="G1886" r:id="rId3767" display="Deed - Attribution-NonCommercial 4.0 International - Creative Commons"/>
    <hyperlink ref="H1886" r:id="rId3768" display="https://www.inaturalist.org/observations/383174542"/>
    <hyperlink ref="G1887" r:id="rId3769" display="Deed - Attribution-NonCommercial 4.0 International - Creative Commons"/>
    <hyperlink ref="H1887" r:id="rId3770" display="https://www.inaturalist.org/observations/383174513"/>
    <hyperlink ref="G1888" r:id="rId3771" display="Deed - Attribution-NonCommercial 4.0 International - Creative Commons"/>
    <hyperlink ref="H1888" r:id="rId3772" display="https://www.inaturalist.org/observations/383174415"/>
    <hyperlink ref="G1889" r:id="rId3773" display="Deed - Attribution-NonCommercial 4.0 International - Creative Commons"/>
    <hyperlink ref="H1889" r:id="rId3774" display="https://www.inaturalist.org/observations/383174323"/>
    <hyperlink ref="G1890" r:id="rId3775" display="Deed - Attribution-NonCommercial 4.0 International - Creative Commons"/>
    <hyperlink ref="H1890" r:id="rId3776" display="https://www.inaturalist.org/observations/383174250"/>
    <hyperlink ref="G1891" r:id="rId3777" display="Deed - Attribution-NonCommercial 4.0 International - Creative Commons"/>
    <hyperlink ref="H1891" r:id="rId3778" display="https://www.inaturalist.org/observations/383174231"/>
    <hyperlink ref="G1892" r:id="rId3779" display="Deed - Attribution-NonCommercial 4.0 International - Creative Commons"/>
    <hyperlink ref="H1892" r:id="rId3780" display="https://www.inaturalist.org/observations/383174204"/>
    <hyperlink ref="G1893" r:id="rId3781" display="Deed - Attribution-NonCommercial 4.0 International - Creative Commons"/>
    <hyperlink ref="H1893" r:id="rId3782" display="https://www.inaturalist.org/observations/383174180"/>
    <hyperlink ref="G1894" r:id="rId3783" display="Deed - Attribution-NonCommercial 4.0 International - Creative Commons"/>
    <hyperlink ref="H1894" r:id="rId3784" display="https://www.inaturalist.org/observations/383174164"/>
    <hyperlink ref="G1895" r:id="rId3785" display="Deed - Attribution-NonCommercial 4.0 International - Creative Commons"/>
    <hyperlink ref="H1895" r:id="rId3786" display="https://www.inaturalist.org/observations/383174094"/>
    <hyperlink ref="G1896" r:id="rId3787" display="Deed - Attribution-NonCommercial 4.0 International - Creative Commons"/>
    <hyperlink ref="H1896" r:id="rId3788" display="https://www.inaturalist.org/observations/383173918"/>
    <hyperlink ref="G1897" r:id="rId3789" display="Deed - Attribution-NonCommercial 4.0 International - Creative Commons"/>
    <hyperlink ref="H1897" r:id="rId3790" display="https://www.inaturalist.org/observations/383173873"/>
    <hyperlink ref="G1898" r:id="rId3791" display="Deed - Attribution-NonCommercial 4.0 International - Creative Commons"/>
    <hyperlink ref="H1898" r:id="rId3792" display="https://www.inaturalist.org/observations/383173825"/>
    <hyperlink ref="G1899" r:id="rId3793" display="Deed - Attribution-NonCommercial 4.0 International - Creative Commons"/>
    <hyperlink ref="H1899" r:id="rId3794" display="https://www.inaturalist.org/observations/383173474"/>
    <hyperlink ref="G1900" r:id="rId3795" display="Deed - Attribution-NonCommercial 4.0 International - Creative Commons"/>
    <hyperlink ref="H1900" r:id="rId3796" display="https://www.inaturalist.org/observations/383173467"/>
    <hyperlink ref="G1901" r:id="rId3797" display="Deed - Attribution-NonCommercial 4.0 International - Creative Commons"/>
    <hyperlink ref="H1901" r:id="rId3798" display="https://www.inaturalist.org/observations/383173466"/>
    <hyperlink ref="G1902" r:id="rId3799" display="Deed - Attribution-NonCommercial 4.0 International - Creative Commons"/>
    <hyperlink ref="H1902" r:id="rId3800" display="https://www.inaturalist.org/observations/383173422"/>
    <hyperlink ref="G1903" r:id="rId3801" display="Deed - Attribution-NonCommercial 4.0 International - Creative Commons"/>
    <hyperlink ref="H1903" r:id="rId3802" display="https://www.inaturalist.org/observations/383173413"/>
    <hyperlink ref="G1904" r:id="rId3803" display="Deed - Attribution-NonCommercial 4.0 International - Creative Commons"/>
    <hyperlink ref="H1904" r:id="rId3804" display="https://www.inaturalist.org/observations/383173301"/>
    <hyperlink ref="G1905" r:id="rId3805" display="Deed - Attribution-NonCommercial 4.0 International - Creative Commons"/>
    <hyperlink ref="H1905" r:id="rId3806" display="https://www.inaturalist.org/observations/383173196"/>
    <hyperlink ref="G1906" r:id="rId3807" display="Deed - Attribution-NonCommercial 4.0 International - Creative Commons"/>
    <hyperlink ref="H1906" r:id="rId3808" display="https://www.inaturalist.org/observations/383173134"/>
    <hyperlink ref="G1907" r:id="rId3809" display="Deed - Attribution-NonCommercial 4.0 International - Creative Commons"/>
    <hyperlink ref="H1907" r:id="rId3810" display="https://www.inaturalist.org/observations/383173128"/>
    <hyperlink ref="G1908" r:id="rId3811" display="Deed - Attribution-NonCommercial 4.0 International - Creative Commons"/>
    <hyperlink ref="H1908" r:id="rId3812" display="https://www.inaturalist.org/observations/383173116"/>
    <hyperlink ref="G1909" r:id="rId3813" display="Deed - Attribution-NonCommercial 4.0 International - Creative Commons"/>
    <hyperlink ref="H1909" r:id="rId3814" display="https://www.inaturalist.org/observations/383173079"/>
    <hyperlink ref="G1910" r:id="rId3815" display="Deed - Attribution-NonCommercial 4.0 International - Creative Commons"/>
    <hyperlink ref="H1910" r:id="rId3816" display="https://www.inaturalist.org/observations/383172969"/>
    <hyperlink ref="G1911" r:id="rId3817" display="Deed - Attribution-NonCommercial 4.0 International - Creative Commons"/>
    <hyperlink ref="H1911" r:id="rId3818" display="https://www.inaturalist.org/observations/383172966"/>
    <hyperlink ref="G1912" r:id="rId3819" display="Deed - Attribution-NonCommercial 4.0 International - Creative Commons"/>
    <hyperlink ref="H1912" r:id="rId3820" display="https://www.inaturalist.org/observations/383172913"/>
    <hyperlink ref="G1913" r:id="rId3821" display="Deed - Attribution-NonCommercial 4.0 International - Creative Commons"/>
    <hyperlink ref="H1913" r:id="rId3822" display="https://www.inaturalist.org/observations/383172630"/>
    <hyperlink ref="G1914" r:id="rId3823" display="Deed - Attribution-NonCommercial 4.0 International - Creative Commons"/>
    <hyperlink ref="H1914" r:id="rId3824" display="https://www.inaturalist.org/observations/383172625"/>
    <hyperlink ref="G1915" r:id="rId3825" display="Deed - Attribution-NonCommercial 4.0 International - Creative Commons"/>
    <hyperlink ref="H1915" r:id="rId3826" display="https://www.inaturalist.org/observations/383172623"/>
    <hyperlink ref="G1916" r:id="rId3827" display="Deed - Attribution-NonCommercial 4.0 International - Creative Commons"/>
    <hyperlink ref="H1916" r:id="rId3828" display="https://www.inaturalist.org/observations/383172435"/>
    <hyperlink ref="G1917" r:id="rId3829" display="Deed - Attribution-NonCommercial 4.0 International - Creative Commons"/>
    <hyperlink ref="H1917" r:id="rId3830" display="https://www.inaturalist.org/observations/383172374"/>
    <hyperlink ref="G1918" r:id="rId3831" display="Deed - Attribution-NonCommercial 4.0 International - Creative Commons"/>
    <hyperlink ref="H1918" r:id="rId3832" display="https://www.inaturalist.org/observations/383172357"/>
    <hyperlink ref="G1919" r:id="rId3833" display="Deed - Attribution-NonCommercial 4.0 International - Creative Commons"/>
    <hyperlink ref="H1919" r:id="rId3834" display="https://www.inaturalist.org/observations/383172326"/>
    <hyperlink ref="G1920" r:id="rId3835" display="Deed - Attribution-NonCommercial 4.0 International - Creative Commons"/>
    <hyperlink ref="H1920" r:id="rId3836" display="https://www.inaturalist.org/observations/383172084"/>
    <hyperlink ref="G1921" r:id="rId3837" display="Deed - Attribution-NonCommercial 4.0 International - Creative Commons"/>
    <hyperlink ref="H1921" r:id="rId3838" display="https://www.inaturalist.org/observations/383171845"/>
    <hyperlink ref="G1922" r:id="rId3839" display="Deed - Attribution-NonCommercial 4.0 International - Creative Commons"/>
    <hyperlink ref="H1922" r:id="rId3840" display="https://www.inaturalist.org/observations/383171716"/>
    <hyperlink ref="G1923" r:id="rId3841" display="Deed - Attribution-NonCommercial 4.0 International - Creative Commons"/>
    <hyperlink ref="H1923" r:id="rId3842" display="https://www.inaturalist.org/observations/383171303"/>
    <hyperlink ref="G1924" r:id="rId3843" display="Deed - Attribution-NonCommercial 4.0 International - Creative Commons"/>
    <hyperlink ref="H1924" r:id="rId3844" display="https://www.inaturalist.org/observations/383170857"/>
    <hyperlink ref="G1925" r:id="rId3845" display="Deed - Attribution-NonCommercial 4.0 International - Creative Commons"/>
    <hyperlink ref="H1925" r:id="rId3846" display="https://www.inaturalist.org/observations/383170809"/>
    <hyperlink ref="G1926" r:id="rId3847" display="Deed - Attribution-NonCommercial 4.0 International - Creative Commons"/>
    <hyperlink ref="H1926" r:id="rId3848" display="https://www.inaturalist.org/observations/383170802"/>
    <hyperlink ref="G1927" r:id="rId3849" display="Deed - Attribution-NonCommercial 4.0 International - Creative Commons"/>
    <hyperlink ref="H1927" r:id="rId3850" display="https://www.inaturalist.org/observations/383170697"/>
    <hyperlink ref="G1928" r:id="rId3851" display="Deed - Attribution-NonCommercial 4.0 International - Creative Commons"/>
    <hyperlink ref="H1928" r:id="rId3852" display="https://www.inaturalist.org/observations/383170645"/>
    <hyperlink ref="G1929" r:id="rId3853" display="Deed - Attribution-NonCommercial 4.0 International - Creative Commons"/>
    <hyperlink ref="H1929" r:id="rId3854" display="https://www.inaturalist.org/observations/383170494"/>
    <hyperlink ref="G1930" r:id="rId3855" display="Deed - Attribution-NonCommercial 4.0 International - Creative Commons"/>
    <hyperlink ref="H1930" r:id="rId3856" display="https://www.inaturalist.org/observations/383170486"/>
    <hyperlink ref="G1931" r:id="rId3857" display="Deed - Attribution-NonCommercial 4.0 International - Creative Commons"/>
    <hyperlink ref="H1931" r:id="rId3858" display="https://www.inaturalist.org/observations/383170411"/>
    <hyperlink ref="G1932" r:id="rId3859" display="Deed - Attribution-NonCommercial 4.0 International - Creative Commons"/>
    <hyperlink ref="H1932" r:id="rId3860" display="https://www.inaturalist.org/observations/383170380"/>
    <hyperlink ref="G1933" r:id="rId3861" display="Deed - Attribution-NonCommercial 4.0 International - Creative Commons"/>
    <hyperlink ref="H1933" r:id="rId3862" display="https://www.inaturalist.org/observations/383170317"/>
    <hyperlink ref="G1934" r:id="rId3863" display="Deed - Attribution-NonCommercial 4.0 International - Creative Commons"/>
    <hyperlink ref="H1934" r:id="rId3864" display="https://www.inaturalist.org/observations/383170037"/>
    <hyperlink ref="G1935" r:id="rId3865" display="Deed - Attribution-NonCommercial 4.0 International - Creative Commons"/>
    <hyperlink ref="H1935" r:id="rId3866" display="https://www.inaturalist.org/observations/383170015"/>
    <hyperlink ref="G1936" r:id="rId3867" display="Deed - Attribution-NonCommercial 4.0 International - Creative Commons"/>
    <hyperlink ref="H1936" r:id="rId3868" display="https://www.inaturalist.org/observations/383169893"/>
    <hyperlink ref="G1937" r:id="rId3869" display="Deed - Attribution-NonCommercial 4.0 International - Creative Commons"/>
    <hyperlink ref="H1937" r:id="rId3870" display="https://www.inaturalist.org/observations/383169824"/>
    <hyperlink ref="G1938" r:id="rId3871" display="Deed - Attribution-NonCommercial 4.0 International - Creative Commons"/>
    <hyperlink ref="H1938" r:id="rId3872" display="https://www.inaturalist.org/observations/383169390"/>
    <hyperlink ref="G1939" r:id="rId3873" display="Deed - Attribution-NonCommercial 4.0 International - Creative Commons"/>
    <hyperlink ref="H1939" r:id="rId3874" display="https://www.inaturalist.org/observations/383168908"/>
    <hyperlink ref="G1940" r:id="rId3875" display="Deed - Attribution-NonCommercial 4.0 International - Creative Commons"/>
    <hyperlink ref="H1940" r:id="rId3876" display="https://www.inaturalist.org/observations/383168867"/>
    <hyperlink ref="G1941" r:id="rId3877" display="Deed - Attribution-NonCommercial 4.0 International - Creative Commons"/>
    <hyperlink ref="H1941" r:id="rId3878" display="https://www.inaturalist.org/observations/383168847"/>
    <hyperlink ref="G1942" r:id="rId3879" display="Deed - Attribution-NonCommercial 4.0 International - Creative Commons"/>
    <hyperlink ref="H1942" r:id="rId3880" display="https://www.inaturalist.org/observations/383168825"/>
    <hyperlink ref="G1943" r:id="rId3881" display="Deed - Attribution-NonCommercial 4.0 International - Creative Commons"/>
    <hyperlink ref="H1943" r:id="rId3882" display="https://www.inaturalist.org/observations/383168817"/>
    <hyperlink ref="G1944" r:id="rId3883" display="Deed - Attribution-NonCommercial 4.0 International - Creative Commons"/>
    <hyperlink ref="H1944" r:id="rId3884" display="https://www.inaturalist.org/observations/383168731"/>
    <hyperlink ref="G1945" r:id="rId3885" display="Deed - Attribution-NonCommercial 4.0 International - Creative Commons"/>
    <hyperlink ref="H1945" r:id="rId3886" display="https://www.inaturalist.org/observations/383168713"/>
    <hyperlink ref="G1946" r:id="rId3887" display="Deed - Attribution-NonCommercial 4.0 International - Creative Commons"/>
    <hyperlink ref="H1946" r:id="rId3888" display="https://www.inaturalist.org/observations/383168706"/>
    <hyperlink ref="G1947" r:id="rId3889" display="Deed - Attribution-NonCommercial 4.0 International - Creative Commons"/>
    <hyperlink ref="H1947" r:id="rId3890" display="https://www.inaturalist.org/observations/383168538"/>
    <hyperlink ref="G1948" r:id="rId3891" display="Deed - Attribution-NonCommercial 4.0 International - Creative Commons"/>
    <hyperlink ref="H1948" r:id="rId3892" display="https://www.inaturalist.org/observations/383168479"/>
    <hyperlink ref="G1949" r:id="rId3893" display="Deed - Attribution-NonCommercial 4.0 International - Creative Commons"/>
    <hyperlink ref="H1949" r:id="rId3894" display="https://www.inaturalist.org/observations/383168420"/>
    <hyperlink ref="G1950" r:id="rId3895" display="Deed - Attribution-NonCommercial 4.0 International - Creative Commons"/>
    <hyperlink ref="H1950" r:id="rId3896" display="https://www.inaturalist.org/observations/383168213"/>
    <hyperlink ref="G1951" r:id="rId3897" display="Deed - Attribution-NonCommercial 4.0 International - Creative Commons"/>
    <hyperlink ref="H1951" r:id="rId3898" display="https://www.inaturalist.org/observations/383168154"/>
    <hyperlink ref="G1952" r:id="rId3899" display="Deed - Attribution-NonCommercial 4.0 International - Creative Commons"/>
    <hyperlink ref="H1952" r:id="rId3900" display="https://www.inaturalist.org/observations/383168138"/>
    <hyperlink ref="G1953" r:id="rId3901" display="Deed - Attribution-NonCommercial 4.0 International - Creative Commons"/>
    <hyperlink ref="H1953" r:id="rId3902" display="https://www.inaturalist.org/observations/383168008"/>
    <hyperlink ref="G1954" r:id="rId3903" display="Deed - Attribution-NonCommercial 4.0 International - Creative Commons"/>
    <hyperlink ref="H1954" r:id="rId3904" display="https://www.inaturalist.org/observations/383167910"/>
    <hyperlink ref="G1955" r:id="rId3905" display="Deed - Attribution-NonCommercial 4.0 International - Creative Commons"/>
    <hyperlink ref="H1955" r:id="rId3906" display="https://www.inaturalist.org/observations/383167838"/>
    <hyperlink ref="G1956" r:id="rId3907" display="Deed - Attribution-NonCommercial 4.0 International - Creative Commons"/>
    <hyperlink ref="H1956" r:id="rId3908" display="https://www.inaturalist.org/observations/383167682"/>
    <hyperlink ref="G1957" r:id="rId3909" display="Deed - Attribution-NonCommercial 4.0 International - Creative Commons"/>
    <hyperlink ref="H1957" r:id="rId3910" display="https://www.inaturalist.org/observations/383167634"/>
    <hyperlink ref="G1958" r:id="rId3911" display="Deed - Attribution-NonCommercial 4.0 International - Creative Commons"/>
    <hyperlink ref="H1958" r:id="rId3912" display="https://www.inaturalist.org/observations/383167594"/>
    <hyperlink ref="G1959" r:id="rId3913" display="Deed - Attribution-NonCommercial 4.0 International - Creative Commons"/>
    <hyperlink ref="H1959" r:id="rId3914" display="https://www.inaturalist.org/observations/383167587"/>
    <hyperlink ref="G1960" r:id="rId3915" display="Deed - Attribution-NonCommercial 4.0 International - Creative Commons"/>
    <hyperlink ref="H1960" r:id="rId3916" display="https://www.inaturalist.org/observations/383167560"/>
    <hyperlink ref="G1961" r:id="rId3917" display="Deed - Attribution-NonCommercial 4.0 International - Creative Commons"/>
    <hyperlink ref="H1961" r:id="rId3918" display="https://www.inaturalist.org/observations/383167556"/>
    <hyperlink ref="G1962" r:id="rId3919" display="Deed - Attribution-NonCommercial 4.0 International - Creative Commons"/>
    <hyperlink ref="H1962" r:id="rId3920" display="https://www.inaturalist.org/observations/383167545"/>
    <hyperlink ref="G1963" r:id="rId3921" display="Deed - Attribution-NonCommercial 4.0 International - Creative Commons"/>
    <hyperlink ref="H1963" r:id="rId3922" display="https://www.inaturalist.org/observations/383167543"/>
    <hyperlink ref="G1964" r:id="rId3923" display="Deed - Attribution-NonCommercial 4.0 International - Creative Commons"/>
    <hyperlink ref="H1964" r:id="rId3924" display="https://www.inaturalist.org/observations/383167205"/>
    <hyperlink ref="G1965" r:id="rId3925" display="Deed - Attribution-NonCommercial 4.0 International - Creative Commons"/>
    <hyperlink ref="H1965" r:id="rId3926" display="https://www.inaturalist.org/observations/383166956"/>
    <hyperlink ref="G1966" r:id="rId3927" display="Deed - Attribution-NonCommercial 4.0 International - Creative Commons"/>
    <hyperlink ref="H1966" r:id="rId3928" display="https://www.inaturalist.org/observations/383166943"/>
    <hyperlink ref="G1967" r:id="rId3929" display="Deed - Attribution-NonCommercial 4.0 International - Creative Commons"/>
    <hyperlink ref="H1967" r:id="rId3930" display="https://www.inaturalist.org/observations/383166884"/>
    <hyperlink ref="G1968" r:id="rId3931" display="Deed - Attribution-NonCommercial 4.0 International - Creative Commons"/>
    <hyperlink ref="H1968" r:id="rId3932" display="https://www.inaturalist.org/observations/383166794"/>
    <hyperlink ref="G1969" r:id="rId3933" display="Deed - Attribution-NonCommercial 4.0 International - Creative Commons"/>
    <hyperlink ref="H1969" r:id="rId3934" display="https://www.inaturalist.org/observations/383166503"/>
    <hyperlink ref="G1970" r:id="rId3935" display="Deed - Attribution-NonCommercial 4.0 International - Creative Commons"/>
    <hyperlink ref="H1970" r:id="rId3936" display="https://www.inaturalist.org/observations/383166500"/>
    <hyperlink ref="G1971" r:id="rId3937" display="Deed - Attribution-NonCommercial 4.0 International - Creative Commons"/>
    <hyperlink ref="H1971" r:id="rId3938" display="https://www.inaturalist.org/observations/383166465"/>
    <hyperlink ref="G1972" r:id="rId3939" display="Deed - Attribution-NonCommercial 4.0 International - Creative Commons"/>
    <hyperlink ref="H1972" r:id="rId3940" display="https://www.inaturalist.org/observations/383166463"/>
    <hyperlink ref="G1973" r:id="rId3941" display="Deed - Attribution-NonCommercial 4.0 International - Creative Commons"/>
    <hyperlink ref="H1973" r:id="rId3942" display="https://www.inaturalist.org/observations/383166412"/>
    <hyperlink ref="G1974" r:id="rId3943" display="Deed - Attribution-NonCommercial 4.0 International - Creative Commons"/>
    <hyperlink ref="H1974" r:id="rId3944" display="https://www.inaturalist.org/observations/383166337"/>
    <hyperlink ref="G1975" r:id="rId3945" display="Deed - Attribution-NonCommercial 4.0 International - Creative Commons"/>
    <hyperlink ref="H1975" r:id="rId3946" display="https://www.inaturalist.org/observations/383165978"/>
    <hyperlink ref="G1976" r:id="rId3947" display="Deed - Attribution-NonCommercial 4.0 International - Creative Commons"/>
    <hyperlink ref="H1976" r:id="rId3948" display="https://www.inaturalist.org/observations/383165858"/>
    <hyperlink ref="G1977" r:id="rId3949" display="Deed - Attribution-NonCommercial 4.0 International - Creative Commons"/>
    <hyperlink ref="H1977" r:id="rId3950" display="https://www.inaturalist.org/observations/383165820"/>
    <hyperlink ref="G1978" r:id="rId3951" display="Deed - Attribution-NonCommercial 4.0 International - Creative Commons"/>
    <hyperlink ref="H1978" r:id="rId3952" display="https://www.inaturalist.org/observations/383165773"/>
    <hyperlink ref="G1979" r:id="rId3953" display="Deed - Attribution-NonCommercial 4.0 International - Creative Commons"/>
    <hyperlink ref="H1979" r:id="rId3954" display="https://www.inaturalist.org/observations/383165755"/>
    <hyperlink ref="G1980" r:id="rId3955" display="Deed - Attribution-NonCommercial 4.0 International - Creative Commons"/>
    <hyperlink ref="H1980" r:id="rId3956" display="https://www.inaturalist.org/observations/383165493"/>
    <hyperlink ref="G1981" r:id="rId3957" display="Deed - Attribution-NonCommercial 4.0 International - Creative Commons"/>
    <hyperlink ref="H1981" r:id="rId3958" display="https://www.inaturalist.org/observations/383165403"/>
    <hyperlink ref="G1982" r:id="rId3959" display="Deed - Attribution-NonCommercial 4.0 International - Creative Commons"/>
    <hyperlink ref="H1982" r:id="rId3960" display="https://www.inaturalist.org/observations/383165299"/>
    <hyperlink ref="G1983" r:id="rId3961" display="Deed - Attribution-NonCommercial 4.0 International - Creative Commons"/>
    <hyperlink ref="H1983" r:id="rId3962" display="https://www.inaturalist.org/observations/383165207"/>
    <hyperlink ref="G1984" r:id="rId3963" display="Deed - Attribution-NonCommercial 4.0 International - Creative Commons"/>
    <hyperlink ref="H1984" r:id="rId3964" display="https://www.inaturalist.org/observations/383165172"/>
    <hyperlink ref="G1985" r:id="rId3965" display="Deed - Attribution-NonCommercial 4.0 International - Creative Commons"/>
    <hyperlink ref="H1985" r:id="rId3966" display="https://www.inaturalist.org/observations/383165167"/>
    <hyperlink ref="G1986" r:id="rId3967" display="Deed - Attribution-NonCommercial 4.0 International - Creative Commons"/>
    <hyperlink ref="H1986" r:id="rId3968" display="https://www.inaturalist.org/observations/383164826"/>
    <hyperlink ref="G1987" r:id="rId3969" display="Deed - Attribution-NonCommercial 4.0 International - Creative Commons"/>
    <hyperlink ref="H1987" r:id="rId3970" display="https://www.inaturalist.org/observations/383164656"/>
    <hyperlink ref="G1988" r:id="rId3971" display="Deed - Attribution-NonCommercial 4.0 International - Creative Commons"/>
    <hyperlink ref="H1988" r:id="rId3972" display="https://www.inaturalist.org/observations/383164539"/>
    <hyperlink ref="G1989" r:id="rId3973" display="Deed - Attribution-NonCommercial 4.0 International - Creative Commons"/>
    <hyperlink ref="H1989" r:id="rId3974" display="https://www.inaturalist.org/observations/383164534"/>
    <hyperlink ref="G1990" r:id="rId3975" display="Deed - Attribution-NonCommercial 4.0 International - Creative Commons"/>
    <hyperlink ref="H1990" r:id="rId3976" display="https://www.inaturalist.org/observations/383164475"/>
    <hyperlink ref="G1991" r:id="rId3977" display="Deed - Attribution-NonCommercial 4.0 International - Creative Commons"/>
    <hyperlink ref="H1991" r:id="rId3978" display="https://www.inaturalist.org/observations/383164361"/>
    <hyperlink ref="G1992" r:id="rId3979" display="Deed - Attribution-NonCommercial 4.0 International - Creative Commons"/>
    <hyperlink ref="H1992" r:id="rId3980" display="https://www.inaturalist.org/observations/383164128"/>
    <hyperlink ref="G1993" r:id="rId3981" display="Deed - Attribution-NonCommercial 4.0 International - Creative Commons"/>
    <hyperlink ref="H1993" r:id="rId3982" display="https://www.inaturalist.org/observations/383164112"/>
    <hyperlink ref="G1994" r:id="rId3983" display="Deed - Attribution-NonCommercial 4.0 International - Creative Commons"/>
    <hyperlink ref="H1994" r:id="rId3984" display="https://www.inaturalist.org/observations/383164104"/>
    <hyperlink ref="G1995" r:id="rId3985" display="Deed - Attribution-NonCommercial 4.0 International - Creative Commons"/>
    <hyperlink ref="H1995" r:id="rId3986" display="https://www.inaturalist.org/observations/383164022"/>
    <hyperlink ref="G1996" r:id="rId3987" display="Deed - Attribution-NonCommercial 4.0 International - Creative Commons"/>
    <hyperlink ref="H1996" r:id="rId3988" display="https://www.inaturalist.org/observations/383163892"/>
    <hyperlink ref="G1997" r:id="rId3989" display="Deed - Attribution-NonCommercial 4.0 International - Creative Commons"/>
    <hyperlink ref="H1997" r:id="rId3990" display="https://www.inaturalist.org/observations/383163879"/>
    <hyperlink ref="G1998" r:id="rId3991" display="Deed - Attribution-NonCommercial 4.0 International - Creative Commons"/>
    <hyperlink ref="H1998" r:id="rId3992" display="https://www.inaturalist.org/observations/383163830"/>
    <hyperlink ref="G1999" r:id="rId3993" display="Deed - Attribution-NonCommercial 4.0 International - Creative Commons"/>
    <hyperlink ref="H1999" r:id="rId3994" display="https://www.inaturalist.org/observations/383163736"/>
    <hyperlink ref="G2000" r:id="rId3995" display="Deed - Attribution-NonCommercial 4.0 International - Creative Commons"/>
    <hyperlink ref="H2000" r:id="rId3996" display="https://www.inaturalist.org/observations/383163657"/>
    <hyperlink ref="G2001" r:id="rId3997" display="Deed - Attribution-NonCommercial 4.0 International - Creative Commons"/>
    <hyperlink ref="H2001" r:id="rId3998" display="https://www.inaturalist.org/observations/383163590"/>
    <hyperlink ref="G2002" r:id="rId3999" display="Deed - Attribution-NonCommercial 4.0 International - Creative Commons"/>
    <hyperlink ref="H2002" r:id="rId4000" display="https://www.inaturalist.org/observations/383163467"/>
    <hyperlink ref="G2003" r:id="rId4001" display="Deed - Attribution-NonCommercial 4.0 International - Creative Commons"/>
    <hyperlink ref="H2003" r:id="rId4002" display="https://www.inaturalist.org/observations/383163362"/>
    <hyperlink ref="G2004" r:id="rId4003" display="Deed - Attribution-NonCommercial 4.0 International - Creative Commons"/>
    <hyperlink ref="H2004" r:id="rId4004" display="https://www.inaturalist.org/observations/383163114"/>
    <hyperlink ref="G2005" r:id="rId4005" display="Deed - Attribution-NonCommercial 4.0 International - Creative Commons"/>
    <hyperlink ref="H2005" r:id="rId4006" display="https://www.inaturalist.org/observations/383163001"/>
    <hyperlink ref="G2006" r:id="rId4007" display="Deed - Attribution-NonCommercial 4.0 International - Creative Commons"/>
    <hyperlink ref="H2006" r:id="rId4008" display="https://www.inaturalist.org/observations/383162984"/>
    <hyperlink ref="G2007" r:id="rId4009" display="Deed - Attribution-NonCommercial 4.0 International - Creative Commons"/>
    <hyperlink ref="H2007" r:id="rId4010" display="https://www.inaturalist.org/observations/383162939"/>
    <hyperlink ref="G2008" r:id="rId4011" display="Deed - Attribution-NonCommercial 4.0 International - Creative Commons"/>
    <hyperlink ref="H2008" r:id="rId4012" display="https://www.inaturalist.org/observations/383162867"/>
    <hyperlink ref="G2009" r:id="rId4013" display="Deed - Attribution-NonCommercial 4.0 International - Creative Commons"/>
    <hyperlink ref="H2009" r:id="rId4014" display="https://www.inaturalist.org/observations/383162775"/>
    <hyperlink ref="G2010" r:id="rId4015" display="Deed - Attribution-NonCommercial 4.0 International - Creative Commons"/>
    <hyperlink ref="H2010" r:id="rId4016" display="https://www.inaturalist.org/observations/383162639"/>
    <hyperlink ref="G2011" r:id="rId4017" display="Deed - Attribution-NonCommercial 4.0 International - Creative Commons"/>
    <hyperlink ref="H2011" r:id="rId4018" display="https://www.inaturalist.org/observations/383162592"/>
    <hyperlink ref="G2012" r:id="rId4019" display="Deed - Attribution-NonCommercial 4.0 International - Creative Commons"/>
    <hyperlink ref="H2012" r:id="rId4020" display="https://www.inaturalist.org/observations/383162505"/>
    <hyperlink ref="G2013" r:id="rId4021" display="Deed - Attribution-NonCommercial 4.0 International - Creative Commons"/>
    <hyperlink ref="H2013" r:id="rId4022" display="https://www.inaturalist.org/observations/383162435"/>
    <hyperlink ref="G2014" r:id="rId4023" display="Deed - Attribution-NonCommercial 4.0 International - Creative Commons"/>
    <hyperlink ref="H2014" r:id="rId4024" display="https://www.inaturalist.org/observations/383162402"/>
    <hyperlink ref="G2015" r:id="rId4025" display="Deed - Attribution-NonCommercial 4.0 International - Creative Commons"/>
    <hyperlink ref="H2015" r:id="rId4026" display="https://www.inaturalist.org/observations/383162391"/>
    <hyperlink ref="G2016" r:id="rId4027" display="Deed - Attribution-NonCommercial 4.0 International - Creative Commons"/>
    <hyperlink ref="H2016" r:id="rId4028" display="https://www.inaturalist.org/observations/383162244"/>
    <hyperlink ref="G2017" r:id="rId4029" display="Deed - Attribution-NonCommercial 4.0 International - Creative Commons"/>
    <hyperlink ref="H2017" r:id="rId4030" display="https://www.inaturalist.org/observations/383162226"/>
    <hyperlink ref="G2018" r:id="rId4031" display="Deed - Attribution-NonCommercial 4.0 International - Creative Commons"/>
    <hyperlink ref="H2018" r:id="rId4032" display="https://www.inaturalist.org/observations/383162033"/>
    <hyperlink ref="G2019" r:id="rId4033" display="Deed - Attribution-NonCommercial 4.0 International - Creative Commons"/>
    <hyperlink ref="H2019" r:id="rId4034" display="https://www.inaturalist.org/observations/383161950"/>
    <hyperlink ref="G2020" r:id="rId4035" display="Deed - Attribution-NonCommercial 4.0 International - Creative Commons"/>
    <hyperlink ref="H2020" r:id="rId4036" display="https://www.inaturalist.org/observations/383161938"/>
    <hyperlink ref="G2021" r:id="rId4037" display="Deed - Attribution-NonCommercial 4.0 International - Creative Commons"/>
    <hyperlink ref="H2021" r:id="rId4038" display="https://www.inaturalist.org/observations/383161602"/>
    <hyperlink ref="G2022" r:id="rId4039" display="Deed - Attribution-NonCommercial 4.0 International - Creative Commons"/>
    <hyperlink ref="H2022" r:id="rId4040" display="https://www.inaturalist.org/observations/383161559"/>
    <hyperlink ref="G2023" r:id="rId4041" display="Deed - Attribution-NonCommercial 4.0 International - Creative Commons"/>
    <hyperlink ref="H2023" r:id="rId4042" display="https://www.inaturalist.org/observations/383161454"/>
    <hyperlink ref="G2024" r:id="rId4043" display="Deed - Attribution-NonCommercial 4.0 International - Creative Commons"/>
    <hyperlink ref="H2024" r:id="rId4044" display="https://www.inaturalist.org/observations/383161449"/>
    <hyperlink ref="G2025" r:id="rId4045" display="Deed - Attribution-NonCommercial 4.0 International - Creative Commons"/>
    <hyperlink ref="H2025" r:id="rId4046" display="https://www.inaturalist.org/observations/383161333"/>
    <hyperlink ref="G2026" r:id="rId4047" display="Deed - Attribution-NonCommercial 4.0 International - Creative Commons"/>
    <hyperlink ref="H2026" r:id="rId4048" display="https://www.inaturalist.org/observations/383161319"/>
    <hyperlink ref="G2027" r:id="rId4049" display="Deed - Attribution-NonCommercial 4.0 International - Creative Commons"/>
    <hyperlink ref="H2027" r:id="rId4050" display="https://www.inaturalist.org/observations/383161232"/>
    <hyperlink ref="G2028" r:id="rId4051" display="Deed - Attribution-NonCommercial 4.0 International - Creative Commons"/>
    <hyperlink ref="H2028" r:id="rId4052" display="https://www.inaturalist.org/observations/383161177"/>
    <hyperlink ref="G2029" r:id="rId4053" display="Deed - Attribution-NonCommercial 4.0 International - Creative Commons"/>
    <hyperlink ref="H2029" r:id="rId4054" display="https://www.inaturalist.org/observations/383161125"/>
    <hyperlink ref="G2030" r:id="rId4055" display="Deed - Attribution-NonCommercial 4.0 International - Creative Commons"/>
    <hyperlink ref="H2030" r:id="rId4056" display="https://www.inaturalist.org/observations/383161095"/>
    <hyperlink ref="G2031" r:id="rId4057" display="Deed - Attribution-NonCommercial 4.0 International - Creative Commons"/>
    <hyperlink ref="H2031" r:id="rId4058" display="https://www.inaturalist.org/observations/383161088"/>
    <hyperlink ref="G2032" r:id="rId4059" display="Deed - Attribution-NonCommercial 4.0 International - Creative Commons"/>
    <hyperlink ref="H2032" r:id="rId4060" display="https://www.inaturalist.org/observations/383161083"/>
    <hyperlink ref="G2033" r:id="rId4061" display="Deed - Attribution-NonCommercial 4.0 International - Creative Commons"/>
    <hyperlink ref="H2033" r:id="rId4062" display="https://www.inaturalist.org/observations/383161023"/>
    <hyperlink ref="G2034" r:id="rId4063" display="Deed - Attribution-NonCommercial 4.0 International - Creative Commons"/>
    <hyperlink ref="H2034" r:id="rId4064" display="https://www.inaturalist.org/observations/383161009"/>
    <hyperlink ref="G2035" r:id="rId4065" display="Deed - Attribution-NonCommercial 4.0 International - Creative Commons"/>
    <hyperlink ref="H2035" r:id="rId4066" display="https://www.inaturalist.org/observations/383160821"/>
    <hyperlink ref="G2036" r:id="rId4067" display="Deed - Attribution-NonCommercial 4.0 International - Creative Commons"/>
    <hyperlink ref="H2036" r:id="rId4068" display="https://www.inaturalist.org/observations/383160654"/>
    <hyperlink ref="G2037" r:id="rId4069" display="Deed - Attribution-NonCommercial 4.0 International - Creative Commons"/>
    <hyperlink ref="H2037" r:id="rId4070" display="https://www.inaturalist.org/observations/383160637"/>
    <hyperlink ref="G2038" r:id="rId4071" display="Deed - Attribution-NonCommercial 4.0 International - Creative Commons"/>
    <hyperlink ref="H2038" r:id="rId4072" display="https://www.inaturalist.org/observations/383160541"/>
    <hyperlink ref="G2039" r:id="rId4073" display="Deed - Attribution-NonCommercial 4.0 International - Creative Commons"/>
    <hyperlink ref="H2039" r:id="rId4074" display="https://www.inaturalist.org/observations/383160534"/>
    <hyperlink ref="G2040" r:id="rId4075" display="Deed - Attribution-NonCommercial 4.0 International - Creative Commons"/>
    <hyperlink ref="H2040" r:id="rId4076" display="https://www.inaturalist.org/observations/383160501"/>
    <hyperlink ref="G2041" r:id="rId4077" display="Deed - Attribution-NonCommercial 4.0 International - Creative Commons"/>
    <hyperlink ref="H2041" r:id="rId4078" display="https://www.inaturalist.org/observations/383160493"/>
    <hyperlink ref="G2042" r:id="rId4079" display="Deed - Attribution-NonCommercial 4.0 International - Creative Commons"/>
    <hyperlink ref="H2042" r:id="rId4080" display="https://www.inaturalist.org/observations/383160491"/>
    <hyperlink ref="G2043" r:id="rId4081" display="Deed - Attribution-NonCommercial 4.0 International - Creative Commons"/>
    <hyperlink ref="H2043" r:id="rId4082" display="https://www.inaturalist.org/observations/383160374"/>
    <hyperlink ref="G2044" r:id="rId4083" display="Deed - Attribution-NonCommercial 4.0 International - Creative Commons"/>
    <hyperlink ref="H2044" r:id="rId4084" display="https://www.inaturalist.org/observations/383160151"/>
    <hyperlink ref="G2045" r:id="rId4085" display="Deed - Attribution-NonCommercial 4.0 International - Creative Commons"/>
    <hyperlink ref="H2045" r:id="rId4086" display="https://www.inaturalist.org/observations/383159658"/>
    <hyperlink ref="G2046" r:id="rId4087" display="Deed - Attribution-NonCommercial 4.0 International - Creative Commons"/>
    <hyperlink ref="H2046" r:id="rId4088" display="https://www.inaturalist.org/observations/383159583"/>
    <hyperlink ref="G2047" r:id="rId4089" display="Deed - Attribution-NonCommercial 4.0 International - Creative Commons"/>
    <hyperlink ref="H2047" r:id="rId4090" display="https://www.inaturalist.org/observations/383159569"/>
    <hyperlink ref="G2048" r:id="rId4091" display="Deed - Attribution-NonCommercial 4.0 International - Creative Commons"/>
    <hyperlink ref="H2048" r:id="rId4092" display="https://www.inaturalist.org/observations/383159288"/>
    <hyperlink ref="G2049" r:id="rId4093" display="Deed - Attribution-NonCommercial 4.0 International - Creative Commons"/>
    <hyperlink ref="H2049" r:id="rId4094" display="https://www.inaturalist.org/observations/383159135"/>
    <hyperlink ref="G2050" r:id="rId4095" display="Deed - Attribution-NonCommercial 4.0 International - Creative Commons"/>
    <hyperlink ref="H2050" r:id="rId4096" display="https://www.inaturalist.org/observations/383159108"/>
    <hyperlink ref="G2051" r:id="rId4097" display="Deed - Attribution-NonCommercial 4.0 International - Creative Commons"/>
    <hyperlink ref="H2051" r:id="rId4098" display="https://www.inaturalist.org/observations/383159093"/>
    <hyperlink ref="G2052" r:id="rId4099" display="Deed - Attribution-NonCommercial 4.0 International - Creative Commons"/>
    <hyperlink ref="H2052" r:id="rId4100" display="https://www.inaturalist.org/observations/383159081"/>
    <hyperlink ref="G2053" r:id="rId4101" display="Deed - Attribution-NonCommercial 4.0 International - Creative Commons"/>
    <hyperlink ref="H2053" r:id="rId4102" display="https://www.inaturalist.org/observations/383159064"/>
    <hyperlink ref="G2054" r:id="rId4103" display="Deed - Attribution-NonCommercial 4.0 International - Creative Commons"/>
    <hyperlink ref="H2054" r:id="rId4104" display="https://www.inaturalist.org/observations/383159045"/>
    <hyperlink ref="G2055" r:id="rId4105" display="Deed - Attribution-NonCommercial 4.0 International - Creative Commons"/>
    <hyperlink ref="H2055" r:id="rId4106" display="https://www.inaturalist.org/observations/383158991"/>
    <hyperlink ref="G2056" r:id="rId4107" display="Deed - Attribution-NonCommercial 4.0 International - Creative Commons"/>
    <hyperlink ref="H2056" r:id="rId4108" display="https://www.inaturalist.org/observations/383158911"/>
    <hyperlink ref="G2057" r:id="rId4109" display="Deed - Attribution-NonCommercial 4.0 International - Creative Commons"/>
    <hyperlink ref="H2057" r:id="rId4110" display="https://www.inaturalist.org/observations/383158910"/>
    <hyperlink ref="G2058" r:id="rId4111" display="Deed - Attribution-NonCommercial 4.0 International - Creative Commons"/>
    <hyperlink ref="H2058" r:id="rId4112" display="https://www.inaturalist.org/observations/383158901"/>
    <hyperlink ref="G2059" r:id="rId4113" display="Deed - Attribution-NonCommercial 4.0 International - Creative Commons"/>
    <hyperlink ref="H2059" r:id="rId4114" display="https://www.inaturalist.org/observations/383158888"/>
    <hyperlink ref="G2060" r:id="rId4115" display="Deed - Attribution-NonCommercial 4.0 International - Creative Commons"/>
    <hyperlink ref="H2060" r:id="rId4116" display="https://www.inaturalist.org/observations/383158870"/>
    <hyperlink ref="G2061" r:id="rId4117" display="Deed - Attribution-NonCommercial 4.0 International - Creative Commons"/>
    <hyperlink ref="H2061" r:id="rId4118" display="https://www.inaturalist.org/observations/383158854"/>
    <hyperlink ref="G2062" r:id="rId4119" display="Deed - Attribution-NonCommercial 4.0 International - Creative Commons"/>
    <hyperlink ref="H2062" r:id="rId4120" display="https://www.inaturalist.org/observations/383158847"/>
    <hyperlink ref="G2063" r:id="rId4121" display="Deed - Attribution-NonCommercial 4.0 International - Creative Commons"/>
    <hyperlink ref="H2063" r:id="rId4122" display="https://www.inaturalist.org/observations/383158843"/>
    <hyperlink ref="G2064" r:id="rId4123" display="Deed - Attribution-NonCommercial 4.0 International - Creative Commons"/>
    <hyperlink ref="H2064" r:id="rId4124" display="https://www.inaturalist.org/observations/383158828"/>
    <hyperlink ref="G2065" r:id="rId4125" display="Deed - Attribution-NonCommercial 4.0 International - Creative Commons"/>
    <hyperlink ref="H2065" r:id="rId4126" display="https://www.inaturalist.org/observations/383158767"/>
    <hyperlink ref="G2066" r:id="rId4127" display="Deed - Attribution-NonCommercial 4.0 International - Creative Commons"/>
    <hyperlink ref="H2066" r:id="rId4128" display="https://www.inaturalist.org/observations/383158721"/>
    <hyperlink ref="G2067" r:id="rId4129" display="Deed - Attribution-NonCommercial 4.0 International - Creative Commons"/>
    <hyperlink ref="H2067" r:id="rId4130" display="https://www.inaturalist.org/observations/383158684"/>
    <hyperlink ref="G2068" r:id="rId4131" display="Deed - Attribution-NonCommercial 4.0 International - Creative Commons"/>
    <hyperlink ref="H2068" r:id="rId4132" display="https://www.inaturalist.org/observations/383158629"/>
    <hyperlink ref="G2069" r:id="rId4133" display="Deed - Attribution-NonCommercial 4.0 International - Creative Commons"/>
    <hyperlink ref="H2069" r:id="rId4134" display="https://www.inaturalist.org/observations/383158625"/>
    <hyperlink ref="G2070" r:id="rId4135" display="Deed - Attribution-NonCommercial 4.0 International - Creative Commons"/>
    <hyperlink ref="H2070" r:id="rId4136" display="https://www.inaturalist.org/observations/383158474"/>
    <hyperlink ref="G2071" r:id="rId4137" display="Deed - Attribution-NonCommercial 4.0 International - Creative Commons"/>
    <hyperlink ref="H2071" r:id="rId4138" display="https://www.inaturalist.org/observations/383158470"/>
    <hyperlink ref="G2072" r:id="rId4139" display="Deed - Attribution-NonCommercial 4.0 International - Creative Commons"/>
    <hyperlink ref="H2072" r:id="rId4140" display="https://www.inaturalist.org/observations/383158407"/>
    <hyperlink ref="G2073" r:id="rId4141" display="Deed - Attribution-NonCommercial 4.0 International - Creative Commons"/>
    <hyperlink ref="H2073" r:id="rId4142" display="https://www.inaturalist.org/observations/383158334"/>
    <hyperlink ref="G2074" r:id="rId4143" display="Deed - Attribution-NonCommercial 4.0 International - Creative Commons"/>
    <hyperlink ref="H2074" r:id="rId4144" display="https://www.inaturalist.org/observations/383158326"/>
    <hyperlink ref="G2075" r:id="rId4145" display="Deed - Attribution-NonCommercial 4.0 International - Creative Commons"/>
    <hyperlink ref="H2075" r:id="rId4146" display="https://www.inaturalist.org/observations/383158275"/>
    <hyperlink ref="G2076" r:id="rId4147" display="Deed - Attribution-NonCommercial 4.0 International - Creative Commons"/>
    <hyperlink ref="H2076" r:id="rId4148" display="https://www.inaturalist.org/observations/383158199"/>
    <hyperlink ref="G2077" r:id="rId4149" display="Deed - Attribution-NonCommercial 4.0 International - Creative Commons"/>
    <hyperlink ref="H2077" r:id="rId4150" display="https://www.inaturalist.org/observations/383158198"/>
    <hyperlink ref="G2078" r:id="rId4151" display="Deed - Attribution-NonCommercial 4.0 International - Creative Commons"/>
    <hyperlink ref="H2078" r:id="rId4152" display="https://www.inaturalist.org/observations/383158181"/>
    <hyperlink ref="G2079" r:id="rId4153" display="Deed - Attribution-NonCommercial 4.0 International - Creative Commons"/>
    <hyperlink ref="H2079" r:id="rId4154" display="https://www.inaturalist.org/observations/383158176"/>
    <hyperlink ref="G2080" r:id="rId4155" display="Deed - Attribution-NonCommercial 4.0 International - Creative Commons"/>
    <hyperlink ref="H2080" r:id="rId4156" display="https://www.inaturalist.org/observations/383158070"/>
    <hyperlink ref="G2081" r:id="rId4157" display="Deed - Attribution-NonCommercial 4.0 International - Creative Commons"/>
    <hyperlink ref="H2081" r:id="rId4158" display="https://www.inaturalist.org/observations/383158064"/>
    <hyperlink ref="G2082" r:id="rId4159" display="Deed - Attribution-NonCommercial 4.0 International - Creative Commons"/>
    <hyperlink ref="H2082" r:id="rId4160" display="https://www.inaturalist.org/observations/383157969"/>
    <hyperlink ref="G2083" r:id="rId4161" display="Deed - Attribution-NonCommercial 4.0 International - Creative Commons"/>
    <hyperlink ref="H2083" r:id="rId4162" display="https://www.inaturalist.org/observations/383157887"/>
    <hyperlink ref="G2084" r:id="rId4163" display="Deed - Attribution-NonCommercial 4.0 International - Creative Commons"/>
    <hyperlink ref="H2084" r:id="rId4164" display="https://www.inaturalist.org/observations/383157871"/>
    <hyperlink ref="G2085" r:id="rId4165" display="Deed - Attribution-NonCommercial 4.0 International - Creative Commons"/>
    <hyperlink ref="H2085" r:id="rId4166" display="https://www.inaturalist.org/observations/383157585"/>
    <hyperlink ref="G2086" r:id="rId4167" display="Deed - Attribution-NonCommercial 4.0 International - Creative Commons"/>
    <hyperlink ref="H2086" r:id="rId4168" display="https://www.inaturalist.org/observations/383157533"/>
    <hyperlink ref="G2087" r:id="rId4169" display="Deed - Attribution-NonCommercial 4.0 International - Creative Commons"/>
    <hyperlink ref="H2087" r:id="rId4170" display="https://www.inaturalist.org/observations/383157521"/>
    <hyperlink ref="G2088" r:id="rId4171" display="Deed - Attribution-NonCommercial 4.0 International - Creative Commons"/>
    <hyperlink ref="H2088" r:id="rId4172" display="https://www.inaturalist.org/observations/383157326"/>
    <hyperlink ref="G2089" r:id="rId4173" display="Deed - Attribution-NonCommercial 4.0 International - Creative Commons"/>
    <hyperlink ref="H2089" r:id="rId4174" display="https://www.inaturalist.org/observations/383157188"/>
    <hyperlink ref="G2090" r:id="rId4175" display="Deed - Attribution-NonCommercial 4.0 International - Creative Commons"/>
    <hyperlink ref="H2090" r:id="rId4176" display="https://www.inaturalist.org/observations/383156963"/>
    <hyperlink ref="G2091" r:id="rId4177" display="Deed - Attribution-NonCommercial 4.0 International - Creative Commons"/>
    <hyperlink ref="H2091" r:id="rId4178" display="https://www.inaturalist.org/observations/383156777"/>
    <hyperlink ref="G2092" r:id="rId4179" display="Deed - Attribution-NonCommercial 4.0 International - Creative Commons"/>
    <hyperlink ref="H2092" r:id="rId4180" display="https://www.inaturalist.org/observations/383156703"/>
    <hyperlink ref="G2093" r:id="rId4181" display="Deed - Attribution-NonCommercial 4.0 International - Creative Commons"/>
    <hyperlink ref="H2093" r:id="rId4182" display="https://www.inaturalist.org/observations/383156663"/>
    <hyperlink ref="G2094" r:id="rId4183" display="Deed - Attribution-NonCommercial 4.0 International - Creative Commons"/>
    <hyperlink ref="H2094" r:id="rId4184" display="https://www.inaturalist.org/observations/383156623"/>
    <hyperlink ref="G2095" r:id="rId4185" display="Deed - Attribution-NonCommercial 4.0 International - Creative Commons"/>
    <hyperlink ref="H2095" r:id="rId4186" display="https://www.inaturalist.org/observations/383156593"/>
    <hyperlink ref="G2096" r:id="rId4187" display="Deed - Attribution-NonCommercial 4.0 International - Creative Commons"/>
    <hyperlink ref="H2096" r:id="rId4188" display="https://www.inaturalist.org/observations/383156554"/>
    <hyperlink ref="G2097" r:id="rId4189" display="Deed - Attribution-NonCommercial 4.0 International - Creative Commons"/>
    <hyperlink ref="H2097" r:id="rId4190" display="https://www.inaturalist.org/observations/383156379"/>
    <hyperlink ref="G2098" r:id="rId4191" display="Deed - Attribution-NonCommercial 4.0 International - Creative Commons"/>
    <hyperlink ref="H2098" r:id="rId4192" display="https://www.inaturalist.org/observations/383156365"/>
    <hyperlink ref="G2099" r:id="rId4193" display="Deed - Attribution-NonCommercial 4.0 International - Creative Commons"/>
    <hyperlink ref="H2099" r:id="rId4194" display="https://www.inaturalist.org/observations/383156340"/>
    <hyperlink ref="G2100" r:id="rId4195" display="Deed - Attribution-NonCommercial 4.0 International - Creative Commons"/>
    <hyperlink ref="H2100" r:id="rId4196" display="https://www.inaturalist.org/observations/383156313"/>
    <hyperlink ref="G2101" r:id="rId4197" display="Deed - Attribution-NonCommercial 4.0 International - Creative Commons"/>
    <hyperlink ref="H2101" r:id="rId4198" display="https://www.inaturalist.org/observations/383156264"/>
    <hyperlink ref="G2102" r:id="rId4199" display="Deed - Attribution-NonCommercial 4.0 International - Creative Commons"/>
    <hyperlink ref="H2102" r:id="rId4200" display="https://www.inaturalist.org/observations/383156204"/>
    <hyperlink ref="G2103" r:id="rId4201" display="Deed - Attribution-NonCommercial 4.0 International - Creative Commons"/>
    <hyperlink ref="H2103" r:id="rId4202" display="https://www.inaturalist.org/observations/383156195"/>
    <hyperlink ref="G2104" r:id="rId4203" display="Deed - Attribution-NonCommercial 4.0 International - Creative Commons"/>
    <hyperlink ref="H2104" r:id="rId4204" display="https://www.inaturalist.org/observations/383156086"/>
    <hyperlink ref="G2105" r:id="rId4205" display="Deed - Attribution-NonCommercial 4.0 International - Creative Commons"/>
    <hyperlink ref="H2105" r:id="rId4206" display="https://www.inaturalist.org/observations/383156068"/>
    <hyperlink ref="G2106" r:id="rId4207" display="Deed - Attribution-NonCommercial 4.0 International - Creative Commons"/>
    <hyperlink ref="H2106" r:id="rId4208" display="https://www.inaturalist.org/observations/383156066"/>
    <hyperlink ref="G2107" r:id="rId4209" display="Deed - Attribution-NonCommercial 4.0 International - Creative Commons"/>
    <hyperlink ref="H2107" r:id="rId4210" display="https://www.inaturalist.org/observations/383156043"/>
    <hyperlink ref="G2108" r:id="rId4211" display="Deed - Attribution-NonCommercial 4.0 International - Creative Commons"/>
    <hyperlink ref="H2108" r:id="rId4212" display="https://www.inaturalist.org/observations/383156008"/>
    <hyperlink ref="G2109" r:id="rId4213" display="Deed - Attribution-NonCommercial 4.0 International - Creative Commons"/>
    <hyperlink ref="H2109" r:id="rId4214" display="https://www.inaturalist.org/observations/383155921"/>
    <hyperlink ref="G2110" r:id="rId4215" display="Deed - Attribution-NonCommercial 4.0 International - Creative Commons"/>
    <hyperlink ref="H2110" r:id="rId4216" display="https://www.inaturalist.org/observations/383155892"/>
    <hyperlink ref="G2111" r:id="rId4217" display="Deed - Attribution-NonCommercial 4.0 International - Creative Commons"/>
    <hyperlink ref="H2111" r:id="rId4218" display="https://www.inaturalist.org/observations/383155830"/>
    <hyperlink ref="G2112" r:id="rId4219" display="Deed - Attribution-NonCommercial 4.0 International - Creative Commons"/>
    <hyperlink ref="H2112" r:id="rId4220" display="https://www.inaturalist.org/observations/383155730"/>
    <hyperlink ref="G2113" r:id="rId4221" display="Deed - Attribution-NonCommercial 4.0 International - Creative Commons"/>
    <hyperlink ref="H2113" r:id="rId4222" display="https://www.inaturalist.org/observations/383155701"/>
    <hyperlink ref="G2114" r:id="rId4223" display="Deed - Attribution-NonCommercial 4.0 International - Creative Commons"/>
    <hyperlink ref="H2114" r:id="rId4224" display="https://www.inaturalist.org/observations/383155641"/>
    <hyperlink ref="G2115" r:id="rId4225" display="Deed - Attribution-NonCommercial 4.0 International - Creative Commons"/>
    <hyperlink ref="H2115" r:id="rId4226" display="https://www.inaturalist.org/observations/383155597"/>
    <hyperlink ref="G2116" r:id="rId4227" display="Deed - Attribution-NonCommercial 4.0 International - Creative Commons"/>
    <hyperlink ref="H2116" r:id="rId4228" display="https://www.inaturalist.org/observations/383155553"/>
    <hyperlink ref="G2117" r:id="rId4229" display="Deed - Attribution-NonCommercial 4.0 International - Creative Commons"/>
    <hyperlink ref="H2117" r:id="rId4230" display="https://www.inaturalist.org/observations/383155546"/>
    <hyperlink ref="G2118" r:id="rId4231" display="Deed - Attribution-NonCommercial 4.0 International - Creative Commons"/>
    <hyperlink ref="H2118" r:id="rId4232" display="https://www.inaturalist.org/observations/383155508"/>
    <hyperlink ref="G2119" r:id="rId4233" display="Deed - Attribution-NonCommercial 4.0 International - Creative Commons"/>
    <hyperlink ref="H2119" r:id="rId4234" display="https://www.inaturalist.org/observations/383155494"/>
    <hyperlink ref="G2120" r:id="rId4235" display="Deed - Attribution-NonCommercial 4.0 International - Creative Commons"/>
    <hyperlink ref="H2120" r:id="rId4236" display="https://www.inaturalist.org/observations/383155481"/>
    <hyperlink ref="G2121" r:id="rId4237" display="Deed - Attribution-NonCommercial 4.0 International - Creative Commons"/>
    <hyperlink ref="H2121" r:id="rId4238" display="https://www.inaturalist.org/observations/383155446"/>
    <hyperlink ref="G2122" r:id="rId4239" display="Deed - Attribution-NonCommercial 4.0 International - Creative Commons"/>
    <hyperlink ref="H2122" r:id="rId4240" display="https://www.inaturalist.org/observations/383155217"/>
    <hyperlink ref="G2123" r:id="rId4241" display="Deed - Attribution-NonCommercial 4.0 International - Creative Commons"/>
    <hyperlink ref="H2123" r:id="rId4242" display="https://www.inaturalist.org/observations/383183329"/>
    <hyperlink ref="G2124" r:id="rId4243" display="Deed - Attribution-NonCommercial 4.0 International - Creative Commons"/>
    <hyperlink ref="H2124" r:id="rId4244" display="https://www.inaturalist.org/observations/383181945"/>
    <hyperlink ref="G2125" r:id="rId4245" display="Deed - Attribution-NonCommercial 4.0 International - Creative Commons"/>
    <hyperlink ref="H2125" r:id="rId4246" display="https://www.inaturalist.org/observations/383181398"/>
    <hyperlink ref="G2126" r:id="rId4247" display="Deed - Attribution-NonCommercial 4.0 International - Creative Commons"/>
    <hyperlink ref="H2126" r:id="rId4248" display="https://www.inaturalist.org/observations/383180574"/>
    <hyperlink ref="G2127" r:id="rId4249" display="Deed - Attribution-NonCommercial 4.0 International - Creative Commons"/>
    <hyperlink ref="H2127" r:id="rId4250" display="https://www.inaturalist.org/observations/383180009"/>
    <hyperlink ref="G2128" r:id="rId4251" display="Deed - Attribution-NonCommercial 4.0 International - Creative Commons"/>
    <hyperlink ref="H2128" r:id="rId4252" display="https://www.inaturalist.org/observations/383179963"/>
    <hyperlink ref="G2129" r:id="rId4253" display="Deed - Attribution-NonCommercial 4.0 International - Creative Commons"/>
    <hyperlink ref="H2129" r:id="rId4254" display="https://www.inaturalist.org/observations/383178624"/>
    <hyperlink ref="G2130" r:id="rId4255" display="Deed - Attribution-NonCommercial 4.0 International - Creative Commons"/>
    <hyperlink ref="H2130" r:id="rId4256" display="https://www.inaturalist.org/observations/383176864"/>
    <hyperlink ref="G2131" r:id="rId4257" display="Deed - Attribution-NonCommercial 4.0 International - Creative Commons"/>
    <hyperlink ref="H2131" r:id="rId4258" display="https://www.inaturalist.org/observations/383174873"/>
    <hyperlink ref="G2132" r:id="rId4259" display="Deed - Attribution-NonCommercial 4.0 International - Creative Commons"/>
    <hyperlink ref="H2132" r:id="rId4260" display="https://www.inaturalist.org/observations/383172554"/>
    <hyperlink ref="G2133" r:id="rId4261" display="Deed - Attribution-NonCommercial 4.0 International - Creative Commons"/>
    <hyperlink ref="H2133" r:id="rId4262" display="https://www.inaturalist.org/observations/383170233"/>
    <hyperlink ref="G2134" r:id="rId4263" display="Deed - Attribution-NonCommercial 4.0 International - Creative Commons"/>
    <hyperlink ref="H2134" r:id="rId4264" display="https://www.inaturalist.org/observations/383169667"/>
    <hyperlink ref="G2135" r:id="rId4265" display="Deed - Attribution-NonCommercial 4.0 International - Creative Commons"/>
    <hyperlink ref="H2135" r:id="rId4266" display="https://www.inaturalist.org/observations/383169398"/>
    <hyperlink ref="G2136" r:id="rId4267" display="Deed - Attribution-NonCommercial 4.0 International - Creative Commons"/>
    <hyperlink ref="H2136" r:id="rId4268" display="https://www.inaturalist.org/observations/383168746"/>
    <hyperlink ref="G2137" r:id="rId4269" display="Deed - Attribution-NonCommercial 4.0 International - Creative Commons"/>
    <hyperlink ref="H2137" r:id="rId4270" display="https://www.inaturalist.org/observations/383167993"/>
    <hyperlink ref="G2138" r:id="rId4271" display="Deed - Attribution-NonCommercial 4.0 International - Creative Commons"/>
    <hyperlink ref="H2138" r:id="rId4272" display="https://www.inaturalist.org/observations/383165694"/>
    <hyperlink ref="G2139" r:id="rId4273" display="Deed - Attribution-NonCommercial 4.0 International - Creative Commons"/>
    <hyperlink ref="H2139" r:id="rId4274" display="https://www.inaturalist.org/observations/383165332"/>
    <hyperlink ref="G2140" r:id="rId4275" display="Deed - Attribution-NonCommercial 4.0 International - Creative Commons"/>
    <hyperlink ref="H2140" r:id="rId4276" display="https://www.inaturalist.org/observations/383165283"/>
    <hyperlink ref="G2141" r:id="rId4277" display="Deed - Attribution-NonCommercial 4.0 International - Creative Commons"/>
    <hyperlink ref="H2141" r:id="rId4278" display="https://www.inaturalist.org/observations/383163747"/>
    <hyperlink ref="G2142" r:id="rId4279" display="Deed - Attribution-NonCommercial 4.0 International - Creative Commons"/>
    <hyperlink ref="H2142" r:id="rId4280" display="https://www.inaturalist.org/observations/383163184"/>
    <hyperlink ref="G2143" r:id="rId4281" display="Deed - Attribution-NonCommercial 4.0 International - Creative Commons"/>
    <hyperlink ref="H2143" r:id="rId4282" display="https://www.inaturalist.org/observations/383162386"/>
    <hyperlink ref="G2144" r:id="rId4283" display="Deed - Attribution-NonCommercial 4.0 International - Creative Commons"/>
    <hyperlink ref="H2144" r:id="rId4284" display="https://www.inaturalist.org/observations/383162299"/>
    <hyperlink ref="G2145" r:id="rId4285" display="Deed - Attribution-NonCommercial 4.0 International - Creative Commons"/>
    <hyperlink ref="H2145" r:id="rId4286" display="https://www.inaturalist.org/observations/383161936"/>
    <hyperlink ref="G2146" r:id="rId4287" display="Deed - Attribution-NonCommercial 4.0 International - Creative Commons"/>
    <hyperlink ref="H2146" r:id="rId4288" display="https://www.inaturalist.org/observations/383158388"/>
    <hyperlink ref="G2147" r:id="rId4289" display="Deed - Attribution-NonCommercial 4.0 International - Creative Commons"/>
    <hyperlink ref="H2147" r:id="rId4290" display="https://www.inaturalist.org/observations/383157954"/>
    <hyperlink ref="G2148" r:id="rId4291" display="Deed - Attribution-NonCommercial 4.0 International - Creative Commons"/>
    <hyperlink ref="H2148" r:id="rId4292" display="https://www.inaturalist.org/observations/383154095"/>
    <hyperlink ref="G2149" r:id="rId4293" display="Deed - Attribution-NonCommercial 4.0 International - Creative Commons"/>
    <hyperlink ref="H2149" r:id="rId4294" display="https://www.inaturalist.org/observations/383152953"/>
    <hyperlink ref="G2150" r:id="rId4295" display="Deed - Attribution-NonCommercial 4.0 International - Creative Commons"/>
    <hyperlink ref="H2150" r:id="rId4296" display="https://www.inaturalist.org/observations/383152811"/>
    <hyperlink ref="G2151" r:id="rId4297" display="Deed - Attribution-NonCommercial 4.0 International - Creative Commons"/>
    <hyperlink ref="H2151" r:id="rId4298" display="https://www.inaturalist.org/observations/383152630"/>
    <hyperlink ref="G2152" r:id="rId4299" display="Deed - Attribution-NonCommercial 4.0 International - Creative Commons"/>
    <hyperlink ref="H2152" r:id="rId4300" display="https://www.inaturalist.org/observations/383152012"/>
    <hyperlink ref="G2153" r:id="rId4301" display="Deed - Attribution-NonCommercial 4.0 International - Creative Commons"/>
    <hyperlink ref="H2153" r:id="rId4302" display="https://www.inaturalist.org/observations/383151943"/>
    <hyperlink ref="G2154" r:id="rId4303" display="Deed - Attribution-NonCommercial 4.0 International - Creative Commons"/>
    <hyperlink ref="H2154" r:id="rId4304" display="https://www.inaturalist.org/observations/383148579"/>
    <hyperlink ref="G2155" r:id="rId4305" display="Deed - Attribution-NonCommercial 4.0 International - Creative Commons"/>
    <hyperlink ref="H2155" r:id="rId4306" display="https://www.inaturalist.org/observations/383148216"/>
    <hyperlink ref="G2156" r:id="rId4307" display="Deed - Attribution-NonCommercial 4.0 International - Creative Commons"/>
    <hyperlink ref="H2156" r:id="rId4308" display="https://www.inaturalist.org/observations/383146774"/>
    <hyperlink ref="G2157" r:id="rId4309" display="Deed - Attribution-NonCommercial 4.0 International - Creative Commons"/>
    <hyperlink ref="H2157" r:id="rId4310" display="https://www.inaturalist.org/observations/383146444"/>
    <hyperlink ref="G2158" r:id="rId4311" display="Deed - Attribution-NonCommercial 4.0 International - Creative Commons"/>
    <hyperlink ref="H2158" r:id="rId4312" display="https://www.inaturalist.org/observations/383145126"/>
    <hyperlink ref="G2159" r:id="rId4313" display="Deed - Attribution-NonCommercial 4.0 International - Creative Commons"/>
    <hyperlink ref="H2159" r:id="rId4314" display="https://www.inaturalist.org/observations/383144728"/>
    <hyperlink ref="G2160" r:id="rId4315" display="Deed - Attribution-NonCommercial 4.0 International - Creative Commons"/>
    <hyperlink ref="H2160" r:id="rId4316" display="https://www.inaturalist.org/observations/383143757"/>
    <hyperlink ref="G2161" r:id="rId4317" display="Deed - Attribution-NonCommercial 4.0 International - Creative Commons"/>
    <hyperlink ref="H2161" r:id="rId4318" display="https://www.inaturalist.org/observations/383143691"/>
    <hyperlink ref="G2162" r:id="rId4319" display="Deed - Attribution-NonCommercial 4.0 International - Creative Commons"/>
    <hyperlink ref="H2162" r:id="rId4320" display="https://www.inaturalist.org/observations/383142549"/>
    <hyperlink ref="G2163" r:id="rId4321" display="Deed - Attribution-NonCommercial 4.0 International - Creative Commons"/>
    <hyperlink ref="H2163" r:id="rId4322" display="https://www.inaturalist.org/observations/383138115"/>
    <hyperlink ref="G2164" r:id="rId4323" display="Deed - Attribution-NonCommercial 4.0 International - Creative Commons"/>
    <hyperlink ref="H2164" r:id="rId4324" display="https://www.inaturalist.org/observations/383138106"/>
    <hyperlink ref="G2165" r:id="rId4325" display="Deed - Attribution-NonCommercial 4.0 International - Creative Commons"/>
    <hyperlink ref="H2165" r:id="rId4326" display="https://www.inaturalist.org/observations/383138041"/>
    <hyperlink ref="G2166" r:id="rId4327" display="Deed - Attribution-NonCommercial 4.0 International - Creative Commons"/>
    <hyperlink ref="H2166" r:id="rId4328" display="https://www.inaturalist.org/observations/383137997"/>
    <hyperlink ref="G2167" r:id="rId4329" display="Deed - Attribution-NonCommercial 4.0 International - Creative Commons"/>
    <hyperlink ref="H2167" r:id="rId4330" display="https://www.inaturalist.org/observations/383137242"/>
    <hyperlink ref="G2168" r:id="rId4331" display="Deed - Attribution-NonCommercial 4.0 International - Creative Commons"/>
    <hyperlink ref="H2168" r:id="rId4332" display="https://www.inaturalist.org/observations/383136831"/>
    <hyperlink ref="G2169" r:id="rId4333" display="Deed - Attribution-NonCommercial 4.0 International - Creative Commons"/>
    <hyperlink ref="H2169" r:id="rId4334" display="https://www.inaturalist.org/observations/383135858"/>
    <hyperlink ref="G2170" r:id="rId4335" display="Deed - Attribution-NonCommercial 4.0 International - Creative Commons"/>
    <hyperlink ref="H2170" r:id="rId4336" display="https://www.inaturalist.org/observations/383134668"/>
    <hyperlink ref="G2171" r:id="rId4337" display="Deed - Attribution-NonCommercial 4.0 International - Creative Commons"/>
    <hyperlink ref="H2171" r:id="rId4338" display="https://www.inaturalist.org/observations/383132747"/>
    <hyperlink ref="G2172" r:id="rId4339" display="Deed - Attribution-NonCommercial 4.0 International - Creative Commons"/>
    <hyperlink ref="H2172" r:id="rId4340" display="https://www.inaturalist.org/observations/383131755"/>
    <hyperlink ref="G2173" r:id="rId4341" display="Deed - Attribution-NonCommercial 4.0 International - Creative Commons"/>
    <hyperlink ref="H2173" r:id="rId4342" display="https://www.inaturalist.org/observations/383129891"/>
    <hyperlink ref="G2174" r:id="rId4343" display="Deed - Attribution-NonCommercial 4.0 International - Creative Commons"/>
    <hyperlink ref="H2174" r:id="rId4344" display="https://www.inaturalist.org/observations/383128914"/>
    <hyperlink ref="G2175" r:id="rId4345" display="Deed - Attribution-NonCommercial 4.0 International - Creative Commons"/>
    <hyperlink ref="H2175" r:id="rId4346" display="https://www.inaturalist.org/observations/383126122"/>
    <hyperlink ref="G2176" r:id="rId4347" display="Deed - Attribution-NonCommercial 4.0 International - Creative Commons"/>
    <hyperlink ref="H2176" r:id="rId4348" display="https://www.inaturalist.org/observations/383125503"/>
    <hyperlink ref="G2177" r:id="rId4349" display="Deed - Attribution-NonCommercial 4.0 International - Creative Commons"/>
    <hyperlink ref="H2177" r:id="rId4350" display="https://www.inaturalist.org/observations/383124590"/>
    <hyperlink ref="G2178" r:id="rId4351" display="Deed - Attribution-NonCommercial 4.0 International - Creative Commons"/>
    <hyperlink ref="H2178" r:id="rId4352" display="https://www.inaturalist.org/observations/383123415"/>
    <hyperlink ref="G2179" r:id="rId4353" display="Deed - Attribution-NonCommercial 4.0 International - Creative Commons"/>
    <hyperlink ref="H2179" r:id="rId4354" display="https://www.inaturalist.org/observations/383122106"/>
    <hyperlink ref="G2180" r:id="rId4355" display="Deed - Attribution-NonCommercial 4.0 International - Creative Commons"/>
    <hyperlink ref="H2180" r:id="rId4356" display="https://www.inaturalist.org/observations/383120292"/>
    <hyperlink ref="G2181" r:id="rId4357" display="Deed - Attribution-NonCommercial 4.0 International - Creative Commons"/>
    <hyperlink ref="H2181" r:id="rId4358" display="https://www.inaturalist.org/observations/383120082"/>
    <hyperlink ref="G2182" r:id="rId4359" display="Deed - Attribution-NonCommercial 4.0 International - Creative Commons"/>
    <hyperlink ref="H2182" r:id="rId4360" display="https://www.inaturalist.org/observations/383119607"/>
    <hyperlink ref="G2183" r:id="rId4361" display="Deed - Attribution-NonCommercial 4.0 International - Creative Commons"/>
    <hyperlink ref="H2183" r:id="rId4362" display="https://www.inaturalist.org/observations/383119564"/>
    <hyperlink ref="G2184" r:id="rId4363" display="Deed - Attribution-NonCommercial 4.0 International - Creative Commons"/>
    <hyperlink ref="H2184" r:id="rId4364" display="https://www.inaturalist.org/observations/383118711"/>
    <hyperlink ref="G2185" r:id="rId4365" display="Deed - Attribution-NonCommercial 4.0 International - Creative Commons"/>
    <hyperlink ref="H2185" r:id="rId4366" display="https://www.inaturalist.org/observations/383117950"/>
    <hyperlink ref="G2186" r:id="rId4367" display="Deed - Attribution-NonCommercial 4.0 International - Creative Commons"/>
    <hyperlink ref="H2186" r:id="rId4368" display="https://www.inaturalist.org/observations/383117946"/>
    <hyperlink ref="G2187" r:id="rId4369" display="Deed - Attribution-NonCommercial 4.0 International - Creative Commons"/>
    <hyperlink ref="H2187" r:id="rId4370" display="https://www.inaturalist.org/observations/383117258"/>
    <hyperlink ref="G2188" r:id="rId4371" display="Deed - Attribution-NonCommercial 4.0 International - Creative Commons"/>
    <hyperlink ref="H2188" r:id="rId4372" display="https://www.inaturalist.org/observations/383116105"/>
    <hyperlink ref="G2189" r:id="rId4373" display="Deed - Attribution-NonCommercial 4.0 International - Creative Commons"/>
    <hyperlink ref="H2189" r:id="rId4374" display="https://www.inaturalist.org/observations/383115198"/>
    <hyperlink ref="G2190" r:id="rId4375" display="Deed - Attribution-NonCommercial 4.0 International - Creative Commons"/>
    <hyperlink ref="H2190" r:id="rId4376" display="https://www.inaturalist.org/observations/383112936"/>
    <hyperlink ref="G2191" r:id="rId4377" display="Deed - Attribution-NonCommercial 4.0 International - Creative Commons"/>
    <hyperlink ref="H2191" r:id="rId4378" display="https://www.inaturalist.org/observations/383112320"/>
    <hyperlink ref="G2192" r:id="rId4379" display="Deed - Attribution-NonCommercial 4.0 International - Creative Commons"/>
    <hyperlink ref="H2192" r:id="rId4380" display="https://www.inaturalist.org/observations/383112119"/>
    <hyperlink ref="G2193" r:id="rId4381" display="Deed - Attribution-NonCommercial 4.0 International - Creative Commons"/>
    <hyperlink ref="H2193" r:id="rId4382" display="https://www.inaturalist.org/observations/383112069"/>
    <hyperlink ref="G2194" r:id="rId4383" display="Deed - Attribution-NonCommercial 4.0 International - Creative Commons"/>
    <hyperlink ref="H2194" r:id="rId4384" display="https://www.inaturalist.org/observations/383109191"/>
    <hyperlink ref="G2195" r:id="rId4385" display="Deed - Attribution-NonCommercial 4.0 International - Creative Commons"/>
    <hyperlink ref="H2195" r:id="rId4386" display="https://www.inaturalist.org/observations/383107346"/>
    <hyperlink ref="G2196" r:id="rId4387" display="Deed - Attribution-NonCommercial 4.0 International - Creative Commons"/>
    <hyperlink ref="H2196" r:id="rId4388" display="https://www.inaturalist.org/observations/383106459"/>
    <hyperlink ref="G2197" r:id="rId4389" display="Deed - Attribution-NonCommercial 4.0 International - Creative Commons"/>
    <hyperlink ref="H2197" r:id="rId4390" display="https://www.inaturalist.org/observations/383106437"/>
    <hyperlink ref="G2198" r:id="rId4391" display="Deed - Attribution-NonCommercial 4.0 International - Creative Commons"/>
    <hyperlink ref="H2198" r:id="rId4392" display="https://www.inaturalist.org/observations/383106207"/>
    <hyperlink ref="G2199" r:id="rId4393" display="Deed - Attribution-NonCommercial 4.0 International - Creative Commons"/>
    <hyperlink ref="H2199" r:id="rId4394" display="https://www.inaturalist.org/observations/383106004"/>
    <hyperlink ref="G2200" r:id="rId4395" display="Deed - Attribution-NonCommercial 4.0 International - Creative Commons"/>
    <hyperlink ref="H2200" r:id="rId4396" display="https://www.inaturalist.org/observations/383105514"/>
    <hyperlink ref="G2201" r:id="rId4397" display="Deed - Attribution-NonCommercial 4.0 International - Creative Commons"/>
    <hyperlink ref="H2201" r:id="rId4398" display="https://www.inaturalist.org/observations/383104157"/>
    <hyperlink ref="G2202" r:id="rId4399" display="Deed - Attribution-NonCommercial 4.0 International - Creative Commons"/>
    <hyperlink ref="H2202" r:id="rId4400" display="https://www.inaturalist.org/observations/383102177"/>
    <hyperlink ref="G2203" r:id="rId4401" display="Deed - Attribution-NonCommercial 4.0 International - Creative Commons"/>
    <hyperlink ref="H2203" r:id="rId4402" display="https://www.inaturalist.org/observations/383101715"/>
    <hyperlink ref="G2204" r:id="rId4403" display="Deed - Attribution-NonCommercial 4.0 International - Creative Commons"/>
    <hyperlink ref="H2204" r:id="rId4404" display="https://www.inaturalist.org/observations/383101492"/>
    <hyperlink ref="G2205" r:id="rId4405" display="Deed - Attribution-NonCommercial 4.0 International - Creative Commons"/>
    <hyperlink ref="H2205" r:id="rId4406" display="https://www.inaturalist.org/observations/383101319"/>
    <hyperlink ref="G2206" r:id="rId4407" display="Deed - Attribution-NonCommercial 4.0 International - Creative Commons"/>
    <hyperlink ref="H2206" r:id="rId4408" display="https://www.inaturalist.org/observations/383099664"/>
    <hyperlink ref="G2207" r:id="rId4409" display="Deed - Attribution-NonCommercial 4.0 International - Creative Commons"/>
    <hyperlink ref="H2207" r:id="rId4410" display="https://www.inaturalist.org/observations/383098349"/>
    <hyperlink ref="G2208" r:id="rId4411" display="Deed - Attribution-NonCommercial 4.0 International - Creative Commons"/>
    <hyperlink ref="H2208" r:id="rId4412" display="https://www.inaturalist.org/observations/383095922"/>
    <hyperlink ref="G2209" r:id="rId4413" display="Deed - Attribution-NonCommercial 4.0 International - Creative Commons"/>
    <hyperlink ref="H2209" r:id="rId4414" display="https://www.inaturalist.org/observations/383095549"/>
    <hyperlink ref="G2210" r:id="rId4415" display="Deed - Attribution-NonCommercial 4.0 International - Creative Commons"/>
    <hyperlink ref="H2210" r:id="rId4416" display="https://www.inaturalist.org/observations/383093829"/>
    <hyperlink ref="G2211" r:id="rId4417" display="Deed - Attribution-NonCommercial 4.0 International - Creative Commons"/>
    <hyperlink ref="H2211" r:id="rId4418" display="https://www.inaturalist.org/observations/383093084"/>
    <hyperlink ref="G2212" r:id="rId4419" display="Deed - Attribution-NonCommercial 4.0 International - Creative Commons"/>
    <hyperlink ref="H2212" r:id="rId4420" display="https://www.inaturalist.org/observations/383090817"/>
    <hyperlink ref="G2213" r:id="rId4421" display="Deed - Attribution-NonCommercial 4.0 International - Creative Commons"/>
    <hyperlink ref="H2213" r:id="rId4422" display="https://www.inaturalist.org/observations/383090175"/>
    <hyperlink ref="G2214" r:id="rId4423" display="Deed - Attribution-NonCommercial 4.0 International - Creative Commons"/>
    <hyperlink ref="H2214" r:id="rId4424" display="https://www.inaturalist.org/observations/383090034"/>
    <hyperlink ref="G2215" r:id="rId4425" display="Deed - Attribution-NonCommercial 4.0 International - Creative Commons"/>
    <hyperlink ref="H2215" r:id="rId4426" display="https://www.inaturalist.org/observations/383089320"/>
    <hyperlink ref="G2216" r:id="rId4427" display="Deed - Attribution-NonCommercial 4.0 International - Creative Commons"/>
    <hyperlink ref="H2216" r:id="rId4428" display="https://www.inaturalist.org/observations/383088958"/>
    <hyperlink ref="G2217" r:id="rId4429" display="Deed - Attribution-NonCommercial 4.0 International - Creative Commons"/>
    <hyperlink ref="H2217" r:id="rId4430" display="https://www.inaturalist.org/observations/383087293"/>
    <hyperlink ref="G2218" r:id="rId4431" display="Deed - Attribution-NonCommercial 4.0 International - Creative Commons"/>
    <hyperlink ref="H2218" r:id="rId4432" display="https://www.inaturalist.org/observations/383086329"/>
    <hyperlink ref="G2219" r:id="rId4433" display="Deed - Attribution-NonCommercial 4.0 International - Creative Commons"/>
    <hyperlink ref="H2219" r:id="rId4434" display="https://www.inaturalist.org/observations/383083933"/>
    <hyperlink ref="G2220" r:id="rId4435" display="Deed - Attribution-NonCommercial 4.0 International - Creative Commons"/>
    <hyperlink ref="H2220" r:id="rId4436" display="https://www.inaturalist.org/observations/383083850"/>
    <hyperlink ref="G2221" r:id="rId4437" display="Deed - Attribution-NonCommercial 4.0 International - Creative Commons"/>
    <hyperlink ref="H2221" r:id="rId4438" display="https://www.inaturalist.org/observations/383083762"/>
    <hyperlink ref="G2222" r:id="rId4439" display="Deed - Attribution-NonCommercial 4.0 International - Creative Commons"/>
    <hyperlink ref="H2222" r:id="rId4440" display="https://www.inaturalist.org/observations/383083570"/>
    <hyperlink ref="G2223" r:id="rId4441" display="Deed - Attribution-NonCommercial 4.0 International - Creative Commons"/>
    <hyperlink ref="H2223" r:id="rId4442" display="https://www.inaturalist.org/observations/383083418"/>
    <hyperlink ref="G2224" r:id="rId4443" display="Deed - Attribution-NonCommercial 4.0 International - Creative Commons"/>
    <hyperlink ref="H2224" r:id="rId4444" display="https://www.inaturalist.org/observations/383082938"/>
    <hyperlink ref="G2225" r:id="rId4445" display="Deed - Attribution-NonCommercial 4.0 International - Creative Commons"/>
    <hyperlink ref="H2225" r:id="rId4446" display="https://www.inaturalist.org/observations/383080511"/>
    <hyperlink ref="G2226" r:id="rId4447" display="Deed - Attribution-NonCommercial 4.0 International - Creative Commons"/>
    <hyperlink ref="H2226" r:id="rId4448" display="https://www.inaturalist.org/observations/383079450"/>
    <hyperlink ref="G2227" r:id="rId4449" display="Deed - Attribution-NonCommercial 4.0 International - Creative Commons"/>
    <hyperlink ref="H2227" r:id="rId4450" display="https://www.inaturalist.org/observations/383078792"/>
    <hyperlink ref="G2228" r:id="rId4451" display="Deed - Attribution-NonCommercial 4.0 International - Creative Commons"/>
    <hyperlink ref="H2228" r:id="rId4452" display="https://www.inaturalist.org/observations/383078693"/>
    <hyperlink ref="G2229" r:id="rId4453" display="Deed - Attribution-NonCommercial 4.0 International - Creative Commons"/>
    <hyperlink ref="H2229" r:id="rId4454" display="https://www.inaturalist.org/observations/383078432"/>
    <hyperlink ref="G2230" r:id="rId4455" display="Deed - Attribution-NonCommercial 4.0 International - Creative Commons"/>
    <hyperlink ref="H2230" r:id="rId4456" display="https://www.inaturalist.org/observations/383078057"/>
    <hyperlink ref="G2231" r:id="rId4457" display="Deed - Attribution-NonCommercial 4.0 International - Creative Commons"/>
    <hyperlink ref="H2231" r:id="rId4458" display="https://www.inaturalist.org/observations/383077399"/>
    <hyperlink ref="G2232" r:id="rId4459" display="Deed - Attribution-NonCommercial 4.0 International - Creative Commons"/>
    <hyperlink ref="H2232" r:id="rId4460" display="https://www.inaturalist.org/observations/383076649"/>
    <hyperlink ref="G2233" r:id="rId4461" display="Deed - Attribution-NonCommercial 4.0 International - Creative Commons"/>
    <hyperlink ref="H2233" r:id="rId4462" display="https://www.inaturalist.org/observations/383076415"/>
    <hyperlink ref="G2234" r:id="rId4463" display="Deed - Attribution-NonCommercial 4.0 International - Creative Commons"/>
    <hyperlink ref="H2234" r:id="rId4464" display="https://www.inaturalist.org/observations/383075125"/>
    <hyperlink ref="G2235" r:id="rId4465" display="Deed - Attribution-NonCommercial 4.0 International - Creative Commons"/>
    <hyperlink ref="H2235" r:id="rId4466" display="https://www.inaturalist.org/observations/383071406"/>
    <hyperlink ref="G2236" r:id="rId4467" display="Deed - Attribution-NonCommercial 4.0 International - Creative Commons"/>
    <hyperlink ref="H2236" r:id="rId4468" display="https://www.inaturalist.org/observations/383070563"/>
    <hyperlink ref="G2237" r:id="rId4469" display="Deed - Attribution-NonCommercial 4.0 International - Creative Commons"/>
    <hyperlink ref="H2237" r:id="rId4470" display="https://www.inaturalist.org/observations/383070484"/>
    <hyperlink ref="G2238" r:id="rId4471" display="Deed - Attribution-NonCommercial 4.0 International - Creative Commons"/>
    <hyperlink ref="H2238" r:id="rId4472" display="https://www.inaturalist.org/observations/383070258"/>
    <hyperlink ref="G2239" r:id="rId4473" display="Deed - Attribution-NonCommercial 4.0 International - Creative Commons"/>
    <hyperlink ref="H2239" r:id="rId4474" display="https://www.inaturalist.org/observations/383069893"/>
    <hyperlink ref="G2240" r:id="rId4475" display="Deed - Attribution-NonCommercial 4.0 International - Creative Commons"/>
    <hyperlink ref="H2240" r:id="rId4476" display="https://www.inaturalist.org/observations/383068772"/>
    <hyperlink ref="G2241" r:id="rId4477" display="Deed - Attribution-NonCommercial 4.0 International - Creative Commons"/>
    <hyperlink ref="H2241" r:id="rId4478" display="https://www.inaturalist.org/observations/383067294"/>
    <hyperlink ref="G2242" r:id="rId4479" display="Deed - Attribution-NonCommercial 4.0 International - Creative Commons"/>
    <hyperlink ref="H2242" r:id="rId4480" display="https://www.inaturalist.org/observations/383066271"/>
    <hyperlink ref="G2243" r:id="rId4481" display="Deed - Attribution-NonCommercial 4.0 International - Creative Commons"/>
    <hyperlink ref="H2243" r:id="rId4482" display="https://www.inaturalist.org/observations/383065123"/>
    <hyperlink ref="G2244" r:id="rId4483" display="Deed - Attribution-NonCommercial 4.0 International - Creative Commons"/>
    <hyperlink ref="H2244" r:id="rId4484" display="https://www.inaturalist.org/observations/383064619"/>
    <hyperlink ref="G2245" r:id="rId4485" display="Deed - Attribution-NonCommercial 4.0 International - Creative Commons"/>
    <hyperlink ref="H2245" r:id="rId4486" display="https://www.inaturalist.org/observations/383064450"/>
    <hyperlink ref="G2246" r:id="rId4487" display="Deed - Attribution-NonCommercial 4.0 International - Creative Commons"/>
    <hyperlink ref="H2246" r:id="rId4488" display="https://www.inaturalist.org/observations/383063793"/>
    <hyperlink ref="G2247" r:id="rId4489" display="Deed - Attribution-NonCommercial 4.0 International - Creative Commons"/>
    <hyperlink ref="H2247" r:id="rId4490" display="https://www.inaturalist.org/observations/383060282"/>
    <hyperlink ref="G2248" r:id="rId4491" display="Deed - Attribution-NonCommercial 4.0 International - Creative Commons"/>
    <hyperlink ref="H2248" r:id="rId4492" display="https://www.inaturalist.org/observations/383058902"/>
    <hyperlink ref="G2249" r:id="rId4493" display="Deed - Attribution-NonCommercial 4.0 International - Creative Commons"/>
    <hyperlink ref="H2249" r:id="rId4494" display="https://www.inaturalist.org/observations/383058413"/>
    <hyperlink ref="G2250" r:id="rId4495" display="Deed - Attribution-NonCommercial 4.0 International - Creative Commons"/>
    <hyperlink ref="H2250" r:id="rId4496" display="https://www.inaturalist.org/observations/383057937"/>
    <hyperlink ref="G2251" r:id="rId4497" display="Deed - Attribution-NonCommercial 4.0 International - Creative Commons"/>
    <hyperlink ref="H2251" r:id="rId4498" display="https://www.inaturalist.org/observations/383053820"/>
    <hyperlink ref="G2252" r:id="rId4499" display="Deed - Attribution-NonCommercial 4.0 International - Creative Commons"/>
    <hyperlink ref="H2252" r:id="rId4500" display="https://www.inaturalist.org/observations/383052433"/>
    <hyperlink ref="G2253" r:id="rId4501" display="Deed - Attribution-NonCommercial 4.0 International - Creative Commons"/>
    <hyperlink ref="H2253" r:id="rId4502" display="https://www.inaturalist.org/observations/383052034"/>
    <hyperlink ref="G2254" r:id="rId4503" display="Deed - Attribution-NonCommercial 4.0 International - Creative Commons"/>
    <hyperlink ref="H2254" r:id="rId4504" display="https://www.inaturalist.org/observations/383051555"/>
    <hyperlink ref="G2255" r:id="rId4505" display="Deed - Attribution-NonCommercial 4.0 International - Creative Commons"/>
    <hyperlink ref="H2255" r:id="rId4506" display="https://www.inaturalist.org/observations/383050205"/>
    <hyperlink ref="G2256" r:id="rId4507" display="Deed - Attribution-NonCommercial 4.0 International - Creative Commons"/>
    <hyperlink ref="H2256" r:id="rId4508" display="https://www.inaturalist.org/observations/383047723"/>
    <hyperlink ref="G2257" r:id="rId4509" display="Deed - Attribution-NonCommercial 4.0 International - Creative Commons"/>
    <hyperlink ref="H2257" r:id="rId4510" display="https://www.inaturalist.org/observations/383046016"/>
    <hyperlink ref="G2258" r:id="rId4511" display="Deed - Attribution-NonCommercial 4.0 International - Creative Commons"/>
    <hyperlink ref="H2258" r:id="rId4512" display="https://www.inaturalist.org/observations/383045762"/>
    <hyperlink ref="G2259" r:id="rId4513" display="Deed - Attribution-NonCommercial 4.0 International - Creative Commons"/>
    <hyperlink ref="H2259" r:id="rId4514" display="https://www.inaturalist.org/observations/383043286"/>
    <hyperlink ref="G2260" r:id="rId4515" display="Deed - Attribution-NonCommercial 4.0 International - Creative Commons"/>
    <hyperlink ref="H2260" r:id="rId4516" display="https://www.inaturalist.org/observations/383041404"/>
    <hyperlink ref="G2261" r:id="rId4517" display="Deed - Attribution-NonCommercial 4.0 International - Creative Commons"/>
    <hyperlink ref="H2261" r:id="rId4518" display="https://www.inaturalist.org/observations/383039344"/>
    <hyperlink ref="G2262" r:id="rId4519" display="Deed - Attribution-NonCommercial 4.0 International - Creative Commons"/>
    <hyperlink ref="H2262" r:id="rId4520" display="https://www.inaturalist.org/observations/383039193"/>
    <hyperlink ref="G2263" r:id="rId4521" display="Deed - Attribution-NonCommercial 4.0 International - Creative Commons"/>
    <hyperlink ref="H2263" r:id="rId4522" display="https://www.inaturalist.org/observations/383039191"/>
    <hyperlink ref="G2264" r:id="rId4523" display="Deed - Attribution-NonCommercial 4.0 International - Creative Commons"/>
    <hyperlink ref="H2264" r:id="rId4524" display="https://www.inaturalist.org/observations/383036307"/>
    <hyperlink ref="G2265" r:id="rId4525" display="Deed - Attribution-NonCommercial 4.0 International - Creative Commons"/>
    <hyperlink ref="H2265" r:id="rId4526" display="https://www.inaturalist.org/observations/383036194"/>
    <hyperlink ref="G2266" r:id="rId4527" display="Deed - Attribution-NonCommercial 4.0 International - Creative Commons"/>
    <hyperlink ref="H2266" r:id="rId4528" display="https://www.inaturalist.org/observations/383036078"/>
    <hyperlink ref="G2267" r:id="rId4529" display="Deed - Attribution-NonCommercial 4.0 International - Creative Commons"/>
    <hyperlink ref="H2267" r:id="rId4530" display="https://www.inaturalist.org/observations/383035772"/>
    <hyperlink ref="G2268" r:id="rId4531" display="Deed - Attribution-NonCommercial 4.0 International - Creative Commons"/>
    <hyperlink ref="H2268" r:id="rId4532" display="https://www.inaturalist.org/observations/383035646"/>
    <hyperlink ref="G2269" r:id="rId4533" display="Deed - Attribution-NonCommercial 4.0 International - Creative Commons"/>
    <hyperlink ref="H2269" r:id="rId4534" display="https://www.inaturalist.org/observations/383035589"/>
    <hyperlink ref="G2270" r:id="rId4535" display="Deed - Attribution-NonCommercial 4.0 International - Creative Commons"/>
    <hyperlink ref="H2270" r:id="rId4536" display="https://www.inaturalist.org/observations/383035452"/>
    <hyperlink ref="G2271" r:id="rId4537" display="Deed - Attribution-NonCommercial 4.0 International - Creative Commons"/>
    <hyperlink ref="H2271" r:id="rId4538" display="https://www.inaturalist.org/observations/383034994"/>
    <hyperlink ref="G2272" r:id="rId4539" display="Deed - Attribution-NonCommercial 4.0 International - Creative Commons"/>
    <hyperlink ref="H2272" r:id="rId4540" display="https://www.inaturalist.org/observations/383032981"/>
    <hyperlink ref="G2273" r:id="rId4541" display="Deed - Attribution-NonCommercial 4.0 International - Creative Commons"/>
    <hyperlink ref="H2273" r:id="rId4542" display="https://www.inaturalist.org/observations/383032726"/>
    <hyperlink ref="G2274" r:id="rId4543" display="Deed - Attribution-NonCommercial 4.0 International - Creative Commons"/>
    <hyperlink ref="H2274" r:id="rId4544" display="https://www.inaturalist.org/observations/383032633"/>
    <hyperlink ref="G2275" r:id="rId4545" display="Deed - Attribution-NonCommercial 4.0 International - Creative Commons"/>
    <hyperlink ref="H2275" r:id="rId4546" display="https://www.inaturalist.org/observations/383031912"/>
    <hyperlink ref="G2276" r:id="rId4547" display="Deed - Attribution-NonCommercial 4.0 International - Creative Commons"/>
    <hyperlink ref="H2276" r:id="rId4548" display="https://www.inaturalist.org/observations/383030295"/>
    <hyperlink ref="G2277" r:id="rId4549" display="Deed - Attribution-NonCommercial 4.0 International - Creative Commons"/>
    <hyperlink ref="H2277" r:id="rId4550" display="https://www.inaturalist.org/observations/383030169"/>
    <hyperlink ref="G2278" r:id="rId4551" display="Deed - Attribution-NonCommercial 4.0 International - Creative Commons"/>
    <hyperlink ref="H2278" r:id="rId4552" display="https://www.inaturalist.org/observations/383029013"/>
    <hyperlink ref="G2279" r:id="rId4553" display="Deed - Attribution-NonCommercial 4.0 International - Creative Commons"/>
    <hyperlink ref="H2279" r:id="rId4554" display="https://www.inaturalist.org/observations/383028304"/>
    <hyperlink ref="G2280" r:id="rId4555" display="Deed - Attribution-NonCommercial 4.0 International - Creative Commons"/>
    <hyperlink ref="H2280" r:id="rId4556" display="https://www.inaturalist.org/observations/383027411"/>
    <hyperlink ref="G2281" r:id="rId4557" display="Deed - Attribution-NonCommercial 4.0 International - Creative Commons"/>
    <hyperlink ref="H2281" r:id="rId4558" display="https://www.inaturalist.org/observations/383021855"/>
    <hyperlink ref="G2282" r:id="rId4559" display="Deed - Attribution-NonCommercial 4.0 International - Creative Commons"/>
    <hyperlink ref="H2282" r:id="rId4560" display="https://www.inaturalist.org/observations/383021804"/>
    <hyperlink ref="G2283" r:id="rId4561" display="Deed - Attribution-NonCommercial 4.0 International - Creative Commons"/>
    <hyperlink ref="H2283" r:id="rId4562" display="https://www.inaturalist.org/observations/383021747"/>
    <hyperlink ref="G2284" r:id="rId4563" display="Deed - Attribution-NonCommercial 4.0 International - Creative Commons"/>
    <hyperlink ref="H2284" r:id="rId4564" display="https://www.inaturalist.org/observations/383021198"/>
    <hyperlink ref="G2285" r:id="rId4565" display="Deed - Attribution-NonCommercial 4.0 International - Creative Commons"/>
    <hyperlink ref="H2285" r:id="rId4566" display="https://www.inaturalist.org/observations/383018335"/>
    <hyperlink ref="G2286" r:id="rId4567" display="Deed - Attribution-NonCommercial 4.0 International - Creative Commons"/>
    <hyperlink ref="H2286" r:id="rId4568" display="https://www.inaturalist.org/observations/383018022"/>
    <hyperlink ref="G2287" r:id="rId4569" display="Deed - Attribution-NonCommercial 4.0 International - Creative Commons"/>
    <hyperlink ref="H2287" r:id="rId4570" display="https://www.inaturalist.org/observations/383017369"/>
    <hyperlink ref="G2288" r:id="rId4571" display="Deed - Attribution-NonCommercial 4.0 International - Creative Commons"/>
    <hyperlink ref="H2288" r:id="rId4572" display="https://www.inaturalist.org/observations/383014925"/>
    <hyperlink ref="G2289" r:id="rId4573" display="Deed - Attribution-NonCommercial 4.0 International - Creative Commons"/>
    <hyperlink ref="H2289" r:id="rId4574" display="https://www.inaturalist.org/observations/383014570"/>
    <hyperlink ref="G2290" r:id="rId4575" display="Deed - Attribution-NonCommercial 4.0 International - Creative Commons"/>
    <hyperlink ref="H2290" r:id="rId4576" display="https://www.inaturalist.org/observations/383012943"/>
    <hyperlink ref="G2291" r:id="rId4577" display="Deed - Attribution-NonCommercial 4.0 International - Creative Commons"/>
    <hyperlink ref="H2291" r:id="rId4578" display="https://www.inaturalist.org/observations/383012879"/>
    <hyperlink ref="G2292" r:id="rId4579" display="Deed - Attribution-NonCommercial 4.0 International - Creative Commons"/>
    <hyperlink ref="H2292" r:id="rId4580" display="https://www.inaturalist.org/observations/383012872"/>
    <hyperlink ref="G2293" r:id="rId4581" display="Deed - Attribution-NonCommercial 4.0 International - Creative Commons"/>
    <hyperlink ref="H2293" r:id="rId4582" display="https://www.inaturalist.org/observations/383010385"/>
    <hyperlink ref="G2294" r:id="rId4583" display="Deed - Attribution-NonCommercial 4.0 International - Creative Commons"/>
    <hyperlink ref="H2294" r:id="rId4584" display="https://www.inaturalist.org/observations/383009429"/>
    <hyperlink ref="G2295" r:id="rId4585" display="Deed - Attribution-NonCommercial 4.0 International - Creative Commons"/>
    <hyperlink ref="H2295" r:id="rId4586" display="https://www.inaturalist.org/observations/383009064"/>
    <hyperlink ref="G2296" r:id="rId4587" display="Deed - Attribution-NonCommercial 4.0 International - Creative Commons"/>
    <hyperlink ref="H2296" r:id="rId4588" display="https://www.inaturalist.org/observations/383005672"/>
    <hyperlink ref="G2297" r:id="rId4589" display="Deed - Attribution-NonCommercial 4.0 International - Creative Commons"/>
    <hyperlink ref="H2297" r:id="rId4590" display="https://www.inaturalist.org/observations/383005393"/>
    <hyperlink ref="G2298" r:id="rId4591" display="Deed - Attribution-NonCommercial 4.0 International - Creative Commons"/>
    <hyperlink ref="H2298" r:id="rId4592" display="https://www.inaturalist.org/observations/383003650"/>
    <hyperlink ref="G2299" r:id="rId4593" display="Deed - Attribution-NonCommercial 4.0 International - Creative Commons"/>
    <hyperlink ref="H2299" r:id="rId4594" display="https://www.inaturalist.org/observations/383002650"/>
    <hyperlink ref="G2300" r:id="rId4595" display="Deed - Attribution-NonCommercial 4.0 International - Creative Commons"/>
    <hyperlink ref="H2300" r:id="rId4596" display="https://www.inaturalist.org/observations/383002072"/>
    <hyperlink ref="G2301" r:id="rId4597" display="Deed - Attribution-NonCommercial 4.0 International - Creative Commons"/>
    <hyperlink ref="H2301" r:id="rId4598" display="https://www.inaturalist.org/observations/382995048"/>
    <hyperlink ref="G2302" r:id="rId4599" display="Deed - Attribution-NonCommercial 4.0 International - Creative Commons"/>
    <hyperlink ref="H2302" r:id="rId4600" display="https://www.inaturalist.org/observations/382993175"/>
    <hyperlink ref="G2303" r:id="rId4601" display="Deed - Attribution-NonCommercial 4.0 International - Creative Commons"/>
    <hyperlink ref="H2303" r:id="rId4602" display="https://www.inaturalist.org/observations/382991492"/>
    <hyperlink ref="G2304" r:id="rId4603" display="Deed - Attribution-NonCommercial 4.0 International - Creative Commons"/>
    <hyperlink ref="H2304" r:id="rId4604" display="https://www.inaturalist.org/observations/382991082"/>
    <hyperlink ref="G2305" r:id="rId4605" display="Deed - Attribution-NonCommercial 4.0 International - Creative Commons"/>
    <hyperlink ref="H2305" r:id="rId4606" display="https://www.inaturalist.org/observations/382990000"/>
    <hyperlink ref="G2306" r:id="rId4607" display="Deed - Attribution-NonCommercial 4.0 International - Creative Commons"/>
    <hyperlink ref="H2306" r:id="rId4608" display="https://www.inaturalist.org/observations/382988743"/>
    <hyperlink ref="G2307" r:id="rId4609" display="Deed - Attribution-NonCommercial 4.0 International - Creative Commons"/>
    <hyperlink ref="H2307" r:id="rId4610" display="https://www.inaturalist.org/observations/382986772"/>
    <hyperlink ref="G2308" r:id="rId4611" display="Deed - Attribution-NonCommercial 4.0 International - Creative Commons"/>
    <hyperlink ref="H2308" r:id="rId4612" display="https://www.inaturalist.org/observations/382986569"/>
    <hyperlink ref="G2309" r:id="rId4613" display="Deed - Attribution-NonCommercial 4.0 International - Creative Commons"/>
    <hyperlink ref="H2309" r:id="rId4614" display="https://www.inaturalist.org/observations/382985413"/>
    <hyperlink ref="G2310" r:id="rId4615" display="Deed - Attribution-NonCommercial 4.0 International - Creative Commons"/>
    <hyperlink ref="H2310" r:id="rId4616" display="https://www.inaturalist.org/observations/382980447"/>
    <hyperlink ref="G2311" r:id="rId4617" display="Deed - Attribution-NonCommercial 4.0 International - Creative Commons"/>
    <hyperlink ref="H2311" r:id="rId4618" display="https://www.inaturalist.org/observations/382979300"/>
    <hyperlink ref="G2312" r:id="rId4619" display="Deed - Attribution-NonCommercial 4.0 International - Creative Commons"/>
    <hyperlink ref="H2312" r:id="rId4620" display="https://www.inaturalist.org/observations/382978953"/>
    <hyperlink ref="G2313" r:id="rId4621" display="Deed - Attribution-NonCommercial 4.0 International - Creative Commons"/>
    <hyperlink ref="H2313" r:id="rId4622" display="https://www.inaturalist.org/observations/382978219"/>
    <hyperlink ref="G2314" r:id="rId4623" display="Deed - Attribution-NonCommercial 4.0 International - Creative Commons"/>
    <hyperlink ref="H2314" r:id="rId4624" display="https://www.inaturalist.org/observations/382977281"/>
    <hyperlink ref="G2315" r:id="rId4625" display="Deed - Attribution-NonCommercial 4.0 International - Creative Commons"/>
    <hyperlink ref="H2315" r:id="rId4626" display="https://www.inaturalist.org/observations/382977276"/>
    <hyperlink ref="G2316" r:id="rId4627" display="Deed - Attribution-NonCommercial 4.0 International - Creative Commons"/>
    <hyperlink ref="H2316" r:id="rId4628" display="https://www.inaturalist.org/observations/382977272"/>
    <hyperlink ref="G2317" r:id="rId4629" display="Deed - Attribution-NonCommercial 4.0 International - Creative Commons"/>
    <hyperlink ref="H2317" r:id="rId4630" display="https://www.inaturalist.org/observations/382976501"/>
    <hyperlink ref="G2318" r:id="rId4631" display="Deed - Attribution-NonCommercial 4.0 International - Creative Commons"/>
    <hyperlink ref="H2318" r:id="rId4632" display="https://www.inaturalist.org/observations/382974511"/>
    <hyperlink ref="G2319" r:id="rId4633" display="Deed - Attribution-NonCommercial 4.0 International - Creative Commons"/>
    <hyperlink ref="H2319" r:id="rId4634" display="https://www.inaturalist.org/observations/382973709"/>
    <hyperlink ref="G2320" r:id="rId4635" display="Deed - Attribution-NonCommercial 4.0 International - Creative Commons"/>
    <hyperlink ref="H2320" r:id="rId4636" display="https://www.inaturalist.org/observations/382969359"/>
    <hyperlink ref="G2321" r:id="rId4637" display="Deed - Attribution-NonCommercial 4.0 International - Creative Commons"/>
    <hyperlink ref="H2321" r:id="rId4638" display="https://www.inaturalist.org/observations/382965122"/>
    <hyperlink ref="G2322" r:id="rId4639" display="Deed - Attribution-NonCommercial 4.0 International - Creative Commons"/>
    <hyperlink ref="H2322" r:id="rId4640" display="https://www.inaturalist.org/observations/382963555"/>
    <hyperlink ref="G2323" r:id="rId4641" display="Deed - Attribution-NonCommercial 4.0 International - Creative Commons"/>
    <hyperlink ref="H2323" r:id="rId4642" display="https://www.inaturalist.org/observations/382960621"/>
    <hyperlink ref="G2324" r:id="rId4643" display="Deed - Attribution-NonCommercial 4.0 International - Creative Commons"/>
    <hyperlink ref="H2324" r:id="rId4644" display="https://www.inaturalist.org/observations/382959011"/>
    <hyperlink ref="G2325" r:id="rId4645" display="Deed - Attribution-NonCommercial 4.0 International - Creative Commons"/>
    <hyperlink ref="H2325" r:id="rId4646" display="https://www.inaturalist.org/observations/382957418"/>
    <hyperlink ref="G2326" r:id="rId4647" display="Deed - Attribution-NonCommercial 4.0 International - Creative Commons"/>
    <hyperlink ref="H2326" r:id="rId4648" display="https://www.inaturalist.org/observations/382957341"/>
    <hyperlink ref="G2327" r:id="rId4649" display="Deed - Attribution-NonCommercial 4.0 International - Creative Commons"/>
    <hyperlink ref="H2327" r:id="rId4650" display="https://www.inaturalist.org/observations/382956570"/>
    <hyperlink ref="G2328" r:id="rId4651" display="Deed - Attribution-NonCommercial 4.0 International - Creative Commons"/>
    <hyperlink ref="H2328" r:id="rId4652" display="https://www.inaturalist.org/observations/382955971"/>
    <hyperlink ref="G2329" r:id="rId4653" display="Deed - Attribution-NonCommercial 4.0 International - Creative Commons"/>
    <hyperlink ref="H2329" r:id="rId4654" display="https://www.inaturalist.org/observations/382952047"/>
    <hyperlink ref="G2330" r:id="rId4655" display="Deed - Attribution-NonCommercial 4.0 International - Creative Commons"/>
    <hyperlink ref="H2330" r:id="rId4656" display="https://www.inaturalist.org/observations/382949600"/>
    <hyperlink ref="G2331" r:id="rId4657" display="Deed - Attribution-NonCommercial 4.0 International - Creative Commons"/>
    <hyperlink ref="H2331" r:id="rId4658" display="https://www.inaturalist.org/observations/382948788"/>
    <hyperlink ref="G2332" r:id="rId4659" display="Deed - Attribution-NonCommercial 4.0 International - Creative Commons"/>
    <hyperlink ref="H2332" r:id="rId4660" display="https://www.inaturalist.org/observations/382946918"/>
    <hyperlink ref="G2333" r:id="rId4661" display="Deed - Attribution-NonCommercial 4.0 International - Creative Commons"/>
    <hyperlink ref="H2333" r:id="rId4662" display="https://www.inaturalist.org/observations/382946289"/>
    <hyperlink ref="G2334" r:id="rId4663" display="Deed - Attribution-NonCommercial 4.0 International - Creative Commons"/>
    <hyperlink ref="H2334" r:id="rId4664" display="https://www.inaturalist.org/observations/382946025"/>
    <hyperlink ref="G2335" r:id="rId4665" display="Deed - Attribution-NonCommercial 4.0 International - Creative Commons"/>
    <hyperlink ref="H2335" r:id="rId4666" display="https://www.inaturalist.org/observations/382942749"/>
    <hyperlink ref="G2336" r:id="rId4667" display="Deed - Attribution-NonCommercial 4.0 International - Creative Commons"/>
    <hyperlink ref="H2336" r:id="rId4668" display="https://www.inaturalist.org/observations/382937767"/>
    <hyperlink ref="G2337" r:id="rId4669" display="Deed - Attribution-NonCommercial 4.0 International - Creative Commons"/>
    <hyperlink ref="H2337" r:id="rId4670" display="https://www.inaturalist.org/observations/382937597"/>
    <hyperlink ref="G2338" r:id="rId4671" display="Deed - Attribution-NonCommercial 4.0 International - Creative Commons"/>
    <hyperlink ref="H2338" r:id="rId4672" display="https://www.inaturalist.org/observations/382932200"/>
    <hyperlink ref="G2339" r:id="rId4673" display="Deed - Attribution-NonCommercial 4.0 International - Creative Commons"/>
    <hyperlink ref="H2339" r:id="rId4674" display="https://www.inaturalist.org/observations/382931865"/>
    <hyperlink ref="G2340" r:id="rId4675" display="Deed - Attribution-NonCommercial 4.0 International - Creative Commons"/>
    <hyperlink ref="H2340" r:id="rId4676" display="https://www.inaturalist.org/observations/382930385"/>
    <hyperlink ref="G2341" r:id="rId4677" display="Deed - Attribution-NonCommercial 4.0 International - Creative Commons"/>
    <hyperlink ref="H2341" r:id="rId4678" display="https://www.inaturalist.org/observations/382927627"/>
    <hyperlink ref="G2342" r:id="rId4679" display="Deed - Attribution-NonCommercial 4.0 International - Creative Commons"/>
    <hyperlink ref="H2342" r:id="rId4680" display="https://www.inaturalist.org/observations/382926588"/>
    <hyperlink ref="G2343" r:id="rId4681" display="Deed - Attribution-NonCommercial 4.0 International - Creative Commons"/>
    <hyperlink ref="H2343" r:id="rId4682" display="https://www.inaturalist.org/observations/382925160"/>
    <hyperlink ref="G2344" r:id="rId4683" display="Deed - Attribution-NonCommercial 4.0 International - Creative Commons"/>
    <hyperlink ref="H2344" r:id="rId4684" display="https://www.inaturalist.org/observations/382924968"/>
    <hyperlink ref="G2345" r:id="rId4685" display="Deed - Attribution-NonCommercial 4.0 International - Creative Commons"/>
    <hyperlink ref="H2345" r:id="rId4686" display="https://www.inaturalist.org/observations/382924499"/>
    <hyperlink ref="G2346" r:id="rId4687" display="Deed - Attribution-NonCommercial 4.0 International - Creative Commons"/>
    <hyperlink ref="H2346" r:id="rId4688" display="https://www.inaturalist.org/observations/382924308"/>
    <hyperlink ref="G2347" r:id="rId4689" display="Deed - Attribution-NonCommercial 4.0 International - Creative Commons"/>
    <hyperlink ref="H2347" r:id="rId4690" display="https://www.inaturalist.org/observations/382924012"/>
    <hyperlink ref="G2348" r:id="rId4691" display="Deed - Attribution-NonCommercial 4.0 International - Creative Commons"/>
    <hyperlink ref="H2348" r:id="rId4692" display="https://www.inaturalist.org/observations/382923901"/>
    <hyperlink ref="G2349" r:id="rId4693" display="Deed - Attribution-NonCommercial 4.0 International - Creative Commons"/>
    <hyperlink ref="H2349" r:id="rId4694" display="https://www.inaturalist.org/observations/382923855"/>
    <hyperlink ref="G2350" r:id="rId4695" display="Deed - Attribution-NonCommercial 4.0 International - Creative Commons"/>
    <hyperlink ref="H2350" r:id="rId4696" display="https://www.inaturalist.org/observations/382923027"/>
    <hyperlink ref="G2351" r:id="rId4697" display="Deed - Attribution-NonCommercial 4.0 International - Creative Commons"/>
    <hyperlink ref="H2351" r:id="rId4698" display="https://www.inaturalist.org/observations/382922034"/>
    <hyperlink ref="G2352" r:id="rId4699" display="Deed - Attribution-NonCommercial 4.0 International - Creative Commons"/>
    <hyperlink ref="H2352" r:id="rId4700" display="https://www.inaturalist.org/observations/382919554"/>
    <hyperlink ref="G2353" r:id="rId4701" display="Deed - Attribution-NonCommercial 4.0 International - Creative Commons"/>
    <hyperlink ref="H2353" r:id="rId4702" display="https://www.inaturalist.org/observations/382918462"/>
    <hyperlink ref="G2354" r:id="rId4703" display="Deed - Attribution-NonCommercial 4.0 International - Creative Commons"/>
    <hyperlink ref="H2354" r:id="rId4704" display="https://www.inaturalist.org/observations/382917325"/>
    <hyperlink ref="G2355" r:id="rId4705" display="Deed - Attribution-NonCommercial 4.0 International - Creative Commons"/>
    <hyperlink ref="H2355" r:id="rId4706" display="https://www.inaturalist.org/observations/382910113"/>
    <hyperlink ref="G2356" r:id="rId4707" display="Deed - Attribution-NonCommercial 4.0 International - Creative Commons"/>
    <hyperlink ref="H2356" r:id="rId4708" display="https://www.inaturalist.org/observations/382908130"/>
    <hyperlink ref="G2357" r:id="rId4709" display="Deed - Attribution-NonCommercial 4.0 International - Creative Commons"/>
    <hyperlink ref="H2357" r:id="rId4710" display="https://www.inaturalist.org/observations/382908122"/>
    <hyperlink ref="G2358" r:id="rId4711" display="Deed - Attribution-NonCommercial 4.0 International - Creative Commons"/>
    <hyperlink ref="H2358" r:id="rId4712" display="https://www.inaturalist.org/observations/382908080"/>
    <hyperlink ref="G2359" r:id="rId4713" display="Deed - Attribution-NonCommercial 4.0 International - Creative Commons"/>
    <hyperlink ref="H2359" r:id="rId4714" display="https://www.inaturalist.org/observations/382908027"/>
    <hyperlink ref="G2360" r:id="rId4715" display="Deed - Attribution-NonCommercial 4.0 International - Creative Commons"/>
    <hyperlink ref="H2360" r:id="rId4716" display="https://www.inaturalist.org/observations/382907922"/>
    <hyperlink ref="G2361" r:id="rId4717" display="Deed - Attribution-NonCommercial 4.0 International - Creative Commons"/>
    <hyperlink ref="H2361" r:id="rId4718" display="https://www.inaturalist.org/observations/382907893"/>
    <hyperlink ref="G2362" r:id="rId4719" display="Deed - Attribution-NonCommercial 4.0 International - Creative Commons"/>
    <hyperlink ref="H2362" r:id="rId4720" display="https://www.inaturalist.org/observations/382907867"/>
    <hyperlink ref="G2363" r:id="rId4721" display="Deed - Attribution-NonCommercial 4.0 International - Creative Commons"/>
    <hyperlink ref="H2363" r:id="rId4722" display="https://www.inaturalist.org/observations/382907835"/>
    <hyperlink ref="G2364" r:id="rId4723" display="Deed - Attribution-NonCommercial 4.0 International - Creative Commons"/>
    <hyperlink ref="H2364" r:id="rId4724" display="https://www.inaturalist.org/observations/382907732"/>
    <hyperlink ref="G2365" r:id="rId4725" display="Deed - Attribution-NonCommercial 4.0 International - Creative Commons"/>
    <hyperlink ref="H2365" r:id="rId4726" display="https://www.inaturalist.org/observations/382907692"/>
    <hyperlink ref="G2366" r:id="rId4727" display="Deed - Attribution-NonCommercial 4.0 International - Creative Commons"/>
    <hyperlink ref="H2366" r:id="rId4728" display="https://www.inaturalist.org/observations/382907648"/>
    <hyperlink ref="G2367" r:id="rId4729" display="Deed - Attribution-NonCommercial 4.0 International - Creative Commons"/>
    <hyperlink ref="H2367" r:id="rId4730" display="https://www.inaturalist.org/observations/382907646"/>
    <hyperlink ref="G2368" r:id="rId4731" display="Deed - Attribution-NonCommercial 4.0 International - Creative Commons"/>
    <hyperlink ref="H2368" r:id="rId4732" display="https://www.inaturalist.org/observations/382906586"/>
    <hyperlink ref="G2369" r:id="rId4733" display="Deed - Attribution-NonCommercial 4.0 International - Creative Commons"/>
    <hyperlink ref="H2369" r:id="rId4734" display="https://www.inaturalist.org/observations/382906138"/>
    <hyperlink ref="G2370" r:id="rId4735" display="Deed - Attribution-NonCommercial 4.0 International - Creative Commons"/>
    <hyperlink ref="H2370" r:id="rId4736" display="https://www.inaturalist.org/observations/382904756"/>
    <hyperlink ref="G2371" r:id="rId4737" display="Deed - Attribution-NonCommercial 4.0 International - Creative Commons"/>
    <hyperlink ref="H2371" r:id="rId4738" display="https://www.inaturalist.org/observations/382904235"/>
    <hyperlink ref="G2372" r:id="rId4739" display="Deed - Attribution-NonCommercial 4.0 International - Creative Commons"/>
    <hyperlink ref="H2372" r:id="rId4740" display="https://www.inaturalist.org/observations/382901569"/>
    <hyperlink ref="G2373" r:id="rId4741" display="Deed - Attribution-NonCommercial 4.0 International - Creative Commons"/>
    <hyperlink ref="H2373" r:id="rId4742" display="https://www.inaturalist.org/observations/382901309"/>
    <hyperlink ref="G2374" r:id="rId4743" display="Deed - Attribution-NonCommercial 4.0 International - Creative Commons"/>
    <hyperlink ref="H2374" r:id="rId4744" display="https://www.inaturalist.org/observations/382899481"/>
    <hyperlink ref="G2375" r:id="rId4745" display="Deed - Attribution-NonCommercial 4.0 International - Creative Commons"/>
    <hyperlink ref="H2375" r:id="rId4746" display="https://www.inaturalist.org/observations/382899361"/>
    <hyperlink ref="G2376" r:id="rId4747" display="Deed - Attribution-NonCommercial 4.0 International - Creative Commons"/>
    <hyperlink ref="H2376" r:id="rId4748" display="https://www.inaturalist.org/observations/382899087"/>
    <hyperlink ref="G2377" r:id="rId4749" display="Deed - Attribution-NonCommercial 4.0 International - Creative Commons"/>
    <hyperlink ref="H2377" r:id="rId4750" display="https://www.inaturalist.org/observations/382897409"/>
    <hyperlink ref="G2378" r:id="rId4751" display="Deed - Attribution-NonCommercial 4.0 International - Creative Commons"/>
    <hyperlink ref="H2378" r:id="rId4752" display="https://www.inaturalist.org/observations/382896905"/>
    <hyperlink ref="G2379" r:id="rId4753" display="Deed - Attribution-NonCommercial 4.0 International - Creative Commons"/>
    <hyperlink ref="H2379" r:id="rId4754" display="https://www.inaturalist.org/observations/382893641"/>
    <hyperlink ref="G2380" r:id="rId4755" display="Deed - Attribution-NonCommercial 4.0 International - Creative Commons"/>
    <hyperlink ref="H2380" r:id="rId4756" display="https://www.inaturalist.org/observations/382893468"/>
    <hyperlink ref="G2381" r:id="rId4757" display="Deed - Attribution-NonCommercial 4.0 International - Creative Commons"/>
    <hyperlink ref="H2381" r:id="rId4758" display="https://www.inaturalist.org/observations/382893429"/>
    <hyperlink ref="G2382" r:id="rId4759" display="Deed - Attribution-NonCommercial 4.0 International - Creative Commons"/>
    <hyperlink ref="H2382" r:id="rId4760" display="https://www.inaturalist.org/observations/382893366"/>
    <hyperlink ref="G2383" r:id="rId4761" display="Deed - Attribution-NonCommercial 4.0 International - Creative Commons"/>
    <hyperlink ref="H2383" r:id="rId4762" display="https://www.inaturalist.org/observations/382893287"/>
    <hyperlink ref="G2384" r:id="rId4763" display="Deed - Attribution-NonCommercial 4.0 International - Creative Commons"/>
    <hyperlink ref="H2384" r:id="rId4764" display="https://www.inaturalist.org/observations/382893256"/>
    <hyperlink ref="G2385" r:id="rId4765" display="Deed - Attribution-NonCommercial 4.0 International - Creative Commons"/>
    <hyperlink ref="H2385" r:id="rId4766" display="https://www.inaturalist.org/observations/382893233"/>
    <hyperlink ref="G2386" r:id="rId4767" display="Deed - Attribution-NonCommercial 4.0 International - Creative Commons"/>
    <hyperlink ref="H2386" r:id="rId4768" display="https://www.inaturalist.org/observations/382893202"/>
    <hyperlink ref="G2387" r:id="rId4769" display="Deed - Attribution-NonCommercial 4.0 International - Creative Commons"/>
    <hyperlink ref="H2387" r:id="rId4770" display="https://www.inaturalist.org/observations/382893181"/>
    <hyperlink ref="G2388" r:id="rId4771" display="Deed - Attribution-NonCommercial 4.0 International - Creative Commons"/>
    <hyperlink ref="H2388" r:id="rId4772" display="https://www.inaturalist.org/observations/382893178"/>
    <hyperlink ref="G2389" r:id="rId4773" display="Deed - Attribution-NonCommercial 4.0 International - Creative Commons"/>
    <hyperlink ref="H2389" r:id="rId4774" display="https://www.inaturalist.org/observations/382893115"/>
    <hyperlink ref="G2390" r:id="rId4775" display="Deed - Attribution-NonCommercial 4.0 International - Creative Commons"/>
    <hyperlink ref="H2390" r:id="rId4776" display="https://www.inaturalist.org/observations/382892618"/>
    <hyperlink ref="G2391" r:id="rId4777" display="Deed - Attribution-NonCommercial 4.0 International - Creative Commons"/>
    <hyperlink ref="H2391" r:id="rId4778" display="https://www.inaturalist.org/observations/382891594"/>
    <hyperlink ref="G2392" r:id="rId4779" display="Deed - Attribution-NonCommercial 4.0 International - Creative Commons"/>
    <hyperlink ref="H2392" r:id="rId4780" display="https://www.inaturalist.org/observations/382889412"/>
    <hyperlink ref="G2393" r:id="rId4781" display="Deed - Attribution-NonCommercial 4.0 International - Creative Commons"/>
    <hyperlink ref="H2393" r:id="rId4782" display="https://www.inaturalist.org/observations/382887335"/>
    <hyperlink ref="G2394" r:id="rId4783" display="Deed - Attribution-NonCommercial 4.0 International - Creative Commons"/>
    <hyperlink ref="H2394" r:id="rId4784" display="https://www.inaturalist.org/observations/382887314"/>
    <hyperlink ref="G2395" r:id="rId4785" display="Deed - Attribution-NonCommercial 4.0 International - Creative Commons"/>
    <hyperlink ref="H2395" r:id="rId4786" display="https://www.inaturalist.org/observations/382887271"/>
    <hyperlink ref="G2396" r:id="rId4787" display="Deed - Attribution-NonCommercial 4.0 International - Creative Commons"/>
    <hyperlink ref="H2396" r:id="rId4788" display="https://www.inaturalist.org/observations/382887202"/>
    <hyperlink ref="G2397" r:id="rId4789" display="Deed - Attribution-NonCommercial 4.0 International - Creative Commons"/>
    <hyperlink ref="H2397" r:id="rId4790" display="https://www.inaturalist.org/observations/382887170"/>
    <hyperlink ref="G2398" r:id="rId4791" display="Deed - Attribution-NonCommercial 4.0 International - Creative Commons"/>
    <hyperlink ref="H2398" r:id="rId4792" display="https://www.inaturalist.org/observations/382887111"/>
    <hyperlink ref="G2399" r:id="rId4793" display="Deed - Attribution-NonCommercial 4.0 International - Creative Commons"/>
    <hyperlink ref="H2399" r:id="rId4794" display="https://www.inaturalist.org/observations/382887071"/>
    <hyperlink ref="G2400" r:id="rId4795" display="Deed - Attribution-NonCommercial 4.0 International - Creative Commons"/>
    <hyperlink ref="H2400" r:id="rId4796" display="https://www.inaturalist.org/observations/382887053"/>
    <hyperlink ref="G2401" r:id="rId4797" display="Deed - Attribution-NonCommercial 4.0 International - Creative Commons"/>
    <hyperlink ref="H2401" r:id="rId4798" display="https://www.inaturalist.org/observations/382886994"/>
    <hyperlink ref="G2402" r:id="rId4799" display="Deed - Attribution-NonCommercial 4.0 International - Creative Commons"/>
    <hyperlink ref="H2402" r:id="rId4800" display="https://www.inaturalist.org/observations/382886909"/>
    <hyperlink ref="G2403" r:id="rId4801" display="Deed - Attribution-NonCommercial 4.0 International - Creative Commons"/>
    <hyperlink ref="H2403" r:id="rId4802" display="https://www.inaturalist.org/observations/382883218"/>
    <hyperlink ref="G2404" r:id="rId4803" display="Deed - Attribution-NonCommercial 4.0 International - Creative Commons"/>
    <hyperlink ref="H2404" r:id="rId4804" display="https://www.inaturalist.org/observations/382882366"/>
    <hyperlink ref="G2405" r:id="rId4805" display="Deed - Attribution-NonCommercial 4.0 International - Creative Commons"/>
    <hyperlink ref="H2405" r:id="rId4806" display="https://www.inaturalist.org/observations/382881127"/>
    <hyperlink ref="G2406" r:id="rId4807" display="Deed - Attribution-NonCommercial 4.0 International - Creative Commons"/>
    <hyperlink ref="H2406" r:id="rId4808" display="https://www.inaturalist.org/observations/382878566"/>
    <hyperlink ref="G2407" r:id="rId4809" display="Deed - Attribution-NonCommercial 4.0 International - Creative Commons"/>
    <hyperlink ref="H2407" r:id="rId4810" display="https://www.inaturalist.org/observations/382878308"/>
    <hyperlink ref="G2408" r:id="rId4811" display="Deed - Attribution-NonCommercial 4.0 International - Creative Commons"/>
    <hyperlink ref="H2408" r:id="rId4812" display="https://www.inaturalist.org/observations/382878172"/>
    <hyperlink ref="G2409" r:id="rId4813" display="Deed - Attribution-NonCommercial 4.0 International - Creative Commons"/>
    <hyperlink ref="H2409" r:id="rId4814" display="https://www.inaturalist.org/observations/382878161"/>
    <hyperlink ref="G2410" r:id="rId4815" display="Deed - Attribution-NonCommercial 4.0 International - Creative Commons"/>
    <hyperlink ref="H2410" r:id="rId4816" display="https://www.inaturalist.org/observations/382878160"/>
    <hyperlink ref="G2411" r:id="rId4817" display="Deed - Attribution-NonCommercial 4.0 International - Creative Commons"/>
    <hyperlink ref="H2411" r:id="rId4818" display="https://www.inaturalist.org/observations/382878147"/>
    <hyperlink ref="G2412" r:id="rId4819" display="Deed - Attribution-NonCommercial 4.0 International - Creative Commons"/>
    <hyperlink ref="H2412" r:id="rId4820" display="https://www.inaturalist.org/observations/382878146"/>
    <hyperlink ref="G2413" r:id="rId4821" display="Deed - Attribution-NonCommercial 4.0 International - Creative Commons"/>
    <hyperlink ref="H2413" r:id="rId4822" display="https://www.inaturalist.org/observations/382878117"/>
    <hyperlink ref="G2414" r:id="rId4823" display="Deed - Attribution-NonCommercial 4.0 International - Creative Commons"/>
    <hyperlink ref="H2414" r:id="rId4824" display="https://www.inaturalist.org/observations/382877672"/>
    <hyperlink ref="G2415" r:id="rId4825" display="Deed - Attribution-NonCommercial 4.0 International - Creative Commons"/>
    <hyperlink ref="H2415" r:id="rId4826" display="https://www.inaturalist.org/observations/382877504"/>
    <hyperlink ref="G2416" r:id="rId4827" display="Deed - Attribution-NonCommercial 4.0 International - Creative Commons"/>
    <hyperlink ref="H2416" r:id="rId4828" display="https://www.inaturalist.org/observations/382876965"/>
    <hyperlink ref="G2417" r:id="rId4829" display="Deed - Attribution-NonCommercial 4.0 International - Creative Commons"/>
    <hyperlink ref="H2417" r:id="rId4830" display="https://www.inaturalist.org/observations/382876716"/>
    <hyperlink ref="G2418" r:id="rId4831" display="Deed - Attribution-NonCommercial 4.0 International - Creative Commons"/>
    <hyperlink ref="H2418" r:id="rId4832" display="https://www.inaturalist.org/observations/382876422"/>
    <hyperlink ref="G2419" r:id="rId4833" display="Deed - Attribution-NonCommercial 4.0 International - Creative Commons"/>
    <hyperlink ref="H2419" r:id="rId4834" display="https://www.inaturalist.org/observations/382875452"/>
    <hyperlink ref="G2420" r:id="rId4835" display="Deed - Attribution-NonCommercial 4.0 International - Creative Commons"/>
    <hyperlink ref="H2420" r:id="rId4836" display="https://www.inaturalist.org/observations/382874797"/>
    <hyperlink ref="G2421" r:id="rId4837" display="Deed - Attribution-NonCommercial 4.0 International - Creative Commons"/>
    <hyperlink ref="H2421" r:id="rId4838" display="https://www.inaturalist.org/observations/382873577"/>
    <hyperlink ref="G2422" r:id="rId4839" display="Deed - Attribution-NonCommercial 4.0 International - Creative Commons"/>
    <hyperlink ref="H2422" r:id="rId4840" display="https://www.inaturalist.org/observations/382872007"/>
    <hyperlink ref="G2423" r:id="rId4841" display="Deed - Attribution-NonCommercial 4.0 International - Creative Commons"/>
    <hyperlink ref="H2423" r:id="rId4842" display="https://www.inaturalist.org/observations/383184669"/>
    <hyperlink ref="G2424" r:id="rId4843" display="Deed - Attribution-NonCommercial 4.0 International - Creative Commons"/>
    <hyperlink ref="H2424" r:id="rId4844" display="https://www.inaturalist.org/observations/383183780"/>
    <hyperlink ref="G2425" r:id="rId4845" display="Deed - Attribution-NonCommercial 4.0 International - Creative Commons"/>
    <hyperlink ref="H2425" r:id="rId4846" display="https://www.inaturalist.org/observations/383183717"/>
    <hyperlink ref="G2426" r:id="rId4847" display="Deed - Attribution-NonCommercial 4.0 International - Creative Commons"/>
    <hyperlink ref="H2426" r:id="rId4848" display="https://www.inaturalist.org/observations/383183532"/>
    <hyperlink ref="G2427" r:id="rId4849" display="Deed - Attribution-NonCommercial 4.0 International - Creative Commons"/>
    <hyperlink ref="H2427" r:id="rId4850" display="https://www.inaturalist.org/observations/383183055"/>
    <hyperlink ref="G2428" r:id="rId4851" display="Deed - Attribution-NonCommercial 4.0 International - Creative Commons"/>
    <hyperlink ref="H2428" r:id="rId4852" display="https://www.inaturalist.org/observations/383182654"/>
    <hyperlink ref="G2429" r:id="rId4853" display="Deed - Attribution-NonCommercial 4.0 International - Creative Commons"/>
    <hyperlink ref="H2429" r:id="rId4854" display="https://www.inaturalist.org/observations/383182585"/>
    <hyperlink ref="G2430" r:id="rId4855" display="Deed - Attribution-NonCommercial 4.0 International - Creative Commons"/>
    <hyperlink ref="H2430" r:id="rId4856" display="https://www.inaturalist.org/observations/383182378"/>
    <hyperlink ref="G2431" r:id="rId4857" display="Deed - Attribution-NonCommercial 4.0 International - Creative Commons"/>
    <hyperlink ref="H2431" r:id="rId4858" display="https://www.inaturalist.org/observations/383182041"/>
    <hyperlink ref="G2432" r:id="rId4859" display="Deed - Attribution-NonCommercial 4.0 International - Creative Commons"/>
    <hyperlink ref="H2432" r:id="rId4860" display="https://www.inaturalist.org/observations/383181730"/>
    <hyperlink ref="G2433" r:id="rId4861" display="Deed - Attribution-NonCommercial 4.0 International - Creative Commons"/>
    <hyperlink ref="H2433" r:id="rId4862" display="https://www.inaturalist.org/observations/383180026"/>
    <hyperlink ref="G2434" r:id="rId4863" display="Deed - Attribution-NonCommercial 4.0 International - Creative Commons"/>
    <hyperlink ref="H2434" r:id="rId4864" display="https://www.inaturalist.org/observations/383179675"/>
    <hyperlink ref="G2435" r:id="rId4865" display="Deed - Attribution-NonCommercial 4.0 International - Creative Commons"/>
    <hyperlink ref="H2435" r:id="rId4866" display="https://www.inaturalist.org/observations/383179485"/>
    <hyperlink ref="G2436" r:id="rId4867" display="Deed - Attribution-NonCommercial 4.0 International - Creative Commons"/>
    <hyperlink ref="H2436" r:id="rId4868" display="https://www.inaturalist.org/observations/383178619"/>
    <hyperlink ref="G2437" r:id="rId4869" display="Deed - Attribution-NonCommercial 4.0 International - Creative Commons"/>
    <hyperlink ref="H2437" r:id="rId4870" display="https://www.inaturalist.org/observations/383176938"/>
    <hyperlink ref="G2438" r:id="rId4871" display="Deed - Attribution-NonCommercial 4.0 International - Creative Commons"/>
    <hyperlink ref="H2438" r:id="rId4872" display="https://www.inaturalist.org/observations/383176904"/>
    <hyperlink ref="G2439" r:id="rId4873" display="Deed - Attribution-NonCommercial 4.0 International - Creative Commons"/>
    <hyperlink ref="H2439" r:id="rId4874" display="https://www.inaturalist.org/observations/383176853"/>
    <hyperlink ref="G2440" r:id="rId4875" display="Deed - Attribution-NonCommercial 4.0 International - Creative Commons"/>
    <hyperlink ref="H2440" r:id="rId4876" display="https://www.inaturalist.org/observations/383176809"/>
    <hyperlink ref="G2441" r:id="rId4877" display="Deed - Attribution-NonCommercial 4.0 International - Creative Commons"/>
    <hyperlink ref="H2441" r:id="rId4878" display="https://www.inaturalist.org/observations/383175611"/>
    <hyperlink ref="G2442" r:id="rId4879" display="Deed - Attribution-NonCommercial 4.0 International - Creative Commons"/>
    <hyperlink ref="H2442" r:id="rId4880" display="https://www.inaturalist.org/observations/383175586"/>
    <hyperlink ref="G2443" r:id="rId4881" display="Deed - Attribution-NonCommercial 4.0 International - Creative Commons"/>
    <hyperlink ref="H2443" r:id="rId4882" display="https://www.inaturalist.org/observations/383175521"/>
    <hyperlink ref="G2444" r:id="rId4883" display="Deed - Attribution-NonCommercial 4.0 International - Creative Commons"/>
    <hyperlink ref="H2444" r:id="rId4884" display="https://www.inaturalist.org/observations/383175475"/>
    <hyperlink ref="G2445" r:id="rId4885" display="Deed - Attribution-NonCommercial 4.0 International - Creative Commons"/>
    <hyperlink ref="H2445" r:id="rId4886" display="https://www.inaturalist.org/observations/383175423"/>
    <hyperlink ref="G2446" r:id="rId4887" display="Deed - Attribution-NonCommercial 4.0 International - Creative Commons"/>
    <hyperlink ref="H2446" r:id="rId4888" display="https://www.inaturalist.org/observations/383174565"/>
    <hyperlink ref="G2447" r:id="rId4889" display="Deed - Attribution-NonCommercial 4.0 International - Creative Commons"/>
    <hyperlink ref="H2447" r:id="rId4890" display="https://www.inaturalist.org/observations/383172016"/>
    <hyperlink ref="G2448" r:id="rId4891" display="Deed - Attribution-NonCommercial 4.0 International - Creative Commons"/>
    <hyperlink ref="H2448" r:id="rId4892" display="https://www.inaturalist.org/observations/383171707"/>
    <hyperlink ref="G2449" r:id="rId4893" display="Deed - Attribution-NonCommercial 4.0 International - Creative Commons"/>
    <hyperlink ref="H2449" r:id="rId4894" display="https://www.inaturalist.org/observations/383169619"/>
    <hyperlink ref="G2450" r:id="rId4895" display="Deed - Attribution-NonCommercial 4.0 International - Creative Commons"/>
    <hyperlink ref="H2450" r:id="rId4896" display="https://www.inaturalist.org/observations/383169300"/>
    <hyperlink ref="G2451" r:id="rId4897" display="Deed - Attribution-NonCommercial 4.0 International - Creative Commons"/>
    <hyperlink ref="H2451" r:id="rId4898" display="https://www.inaturalist.org/observations/383168047"/>
    <hyperlink ref="G2452" r:id="rId4899" display="Deed - Attribution-NonCommercial 4.0 International - Creative Commons"/>
    <hyperlink ref="H2452" r:id="rId4900" display="https://www.inaturalist.org/observations/383167200"/>
    <hyperlink ref="G2453" r:id="rId4901" display="Deed - Attribution-NonCommercial 4.0 International - Creative Commons"/>
    <hyperlink ref="H2453" r:id="rId4902" display="https://www.inaturalist.org/observations/383167121"/>
    <hyperlink ref="G2454" r:id="rId4903" display="Deed - Attribution-NonCommercial 4.0 International - Creative Commons"/>
    <hyperlink ref="H2454" r:id="rId4904" display="https://www.inaturalist.org/observations/383167007"/>
    <hyperlink ref="G2455" r:id="rId4905" display="Deed - Attribution-NonCommercial 4.0 International - Creative Commons"/>
    <hyperlink ref="H2455" r:id="rId4906" display="https://www.inaturalist.org/observations/383164363"/>
    <hyperlink ref="G2456" r:id="rId4907" display="Deed - Attribution-NonCommercial 4.0 International - Creative Commons"/>
    <hyperlink ref="H2456" r:id="rId4908" display="https://www.inaturalist.org/observations/383163617"/>
    <hyperlink ref="G2457" r:id="rId4909" display="Deed - Attribution-NonCommercial 4.0 International - Creative Commons"/>
    <hyperlink ref="H2457" r:id="rId4910" display="https://www.inaturalist.org/observations/383163616"/>
    <hyperlink ref="G2458" r:id="rId4911" display="Deed - Attribution-NonCommercial 4.0 International - Creative Commons"/>
    <hyperlink ref="H2458" r:id="rId4912" display="https://www.inaturalist.org/observations/383162873"/>
    <hyperlink ref="G2459" r:id="rId4913" display="Deed - Attribution-NonCommercial 4.0 International - Creative Commons"/>
    <hyperlink ref="H2459" r:id="rId4914" display="https://www.inaturalist.org/observations/383162187"/>
    <hyperlink ref="G2460" r:id="rId4915" display="Deed - Attribution-NonCommercial 4.0 International - Creative Commons"/>
    <hyperlink ref="H2460" r:id="rId4916" display="https://www.inaturalist.org/observations/383161675"/>
    <hyperlink ref="G2461" r:id="rId4917" display="Deed - Attribution-NonCommercial 4.0 International - Creative Commons"/>
    <hyperlink ref="H2461" r:id="rId4918" display="https://www.inaturalist.org/observations/383161660"/>
    <hyperlink ref="G2462" r:id="rId4919" display="Deed - Attribution-NonCommercial 4.0 International - Creative Commons"/>
    <hyperlink ref="H2462" r:id="rId4920" display="https://www.inaturalist.org/observations/383159957"/>
    <hyperlink ref="G2463" r:id="rId4921" display="Deed - Attribution-NonCommercial 4.0 International - Creative Commons"/>
    <hyperlink ref="H2463" r:id="rId4922" display="https://www.inaturalist.org/observations/383159655"/>
    <hyperlink ref="G2464" r:id="rId4923" display="Deed - Attribution-NonCommercial 4.0 International - Creative Commons"/>
    <hyperlink ref="H2464" r:id="rId4924" display="https://www.inaturalist.org/observations/383159187"/>
    <hyperlink ref="G2465" r:id="rId4925" display="Deed - Attribution-NonCommercial 4.0 International - Creative Commons"/>
    <hyperlink ref="H2465" r:id="rId4926" display="https://www.inaturalist.org/observations/383159140"/>
    <hyperlink ref="G2466" r:id="rId4927" display="Deed - Attribution-NonCommercial 4.0 International - Creative Commons"/>
    <hyperlink ref="H2466" r:id="rId4928" display="https://www.inaturalist.org/observations/383159128"/>
    <hyperlink ref="G2467" r:id="rId4929" display="Deed - Attribution-NonCommercial 4.0 International - Creative Commons"/>
    <hyperlink ref="H2467" r:id="rId4930" display="https://www.inaturalist.org/observations/383159119"/>
    <hyperlink ref="G2468" r:id="rId4931" display="Deed - Attribution-NonCommercial 4.0 International - Creative Commons"/>
    <hyperlink ref="H2468" r:id="rId4932" display="https://www.inaturalist.org/observations/383157555"/>
    <hyperlink ref="G2469" r:id="rId4933" display="Deed - Attribution-NonCommercial 4.0 International - Creative Commons"/>
    <hyperlink ref="H2469" r:id="rId4934" display="https://www.inaturalist.org/observations/383157409"/>
    <hyperlink ref="G2470" r:id="rId4935" display="Deed - Attribution-NonCommercial 4.0 International - Creative Commons"/>
    <hyperlink ref="H2470" r:id="rId4936" display="https://www.inaturalist.org/observations/383156679"/>
    <hyperlink ref="G2471" r:id="rId4937" display="Deed - Attribution-NonCommercial 4.0 International - Creative Commons"/>
    <hyperlink ref="H2471" r:id="rId4938" display="https://www.inaturalist.org/observations/383155635"/>
    <hyperlink ref="G2472" r:id="rId4939" display="Deed - Attribution-NonCommercial 4.0 International - Creative Commons"/>
    <hyperlink ref="H2472" r:id="rId4940" display="https://www.inaturalist.org/observations/383155589"/>
    <hyperlink ref="G2473" r:id="rId4941" display="Deed - Attribution-NonCommercial 4.0 International - Creative Commons"/>
    <hyperlink ref="H2473" r:id="rId4942" display="https://www.inaturalist.org/observations/383154893"/>
    <hyperlink ref="G2474" r:id="rId4943" display="Deed - Attribution-NonCommercial 4.0 International - Creative Commons"/>
    <hyperlink ref="H2474" r:id="rId4944" display="https://www.inaturalist.org/observations/383154857"/>
    <hyperlink ref="G2475" r:id="rId4945" display="Deed - Attribution-NonCommercial 4.0 International - Creative Commons"/>
    <hyperlink ref="H2475" r:id="rId4946" display="https://www.inaturalist.org/observations/383153161"/>
    <hyperlink ref="G2476" r:id="rId4947" display="Deed - Attribution-NonCommercial 4.0 International - Creative Commons"/>
    <hyperlink ref="H2476" r:id="rId4948" display="https://www.inaturalist.org/observations/383152062"/>
    <hyperlink ref="G2477" r:id="rId4949" display="Deed - Attribution-NonCommercial 4.0 International - Creative Commons"/>
    <hyperlink ref="H2477" r:id="rId4950" display="https://www.inaturalist.org/observations/383148828"/>
    <hyperlink ref="G2478" r:id="rId4951" display="Deed - Attribution-NonCommercial 4.0 International - Creative Commons"/>
    <hyperlink ref="H2478" r:id="rId4952" display="https://www.inaturalist.org/observations/383145270"/>
    <hyperlink ref="G2479" r:id="rId4953" display="Deed - Attribution-NonCommercial 4.0 International - Creative Commons"/>
    <hyperlink ref="H2479" r:id="rId4954" display="https://www.inaturalist.org/observations/383143926"/>
    <hyperlink ref="G2480" r:id="rId4955" display="Deed - Attribution-NonCommercial 4.0 International - Creative Commons"/>
    <hyperlink ref="H2480" r:id="rId4956" display="https://www.inaturalist.org/observations/383143490"/>
    <hyperlink ref="G2481" r:id="rId4957" display="Deed - Attribution-NonCommercial 4.0 International - Creative Commons"/>
    <hyperlink ref="H2481" r:id="rId4958" display="https://www.inaturalist.org/observations/383143348"/>
    <hyperlink ref="G2482" r:id="rId4959" display="Deed - Attribution-NonCommercial 4.0 International - Creative Commons"/>
    <hyperlink ref="H2482" r:id="rId4960" display="https://www.inaturalist.org/observations/383142545"/>
    <hyperlink ref="G2483" r:id="rId4961" display="Deed - Attribution-NonCommercial 4.0 International - Creative Commons"/>
    <hyperlink ref="H2483" r:id="rId4962" display="https://www.inaturalist.org/observations/383141664"/>
    <hyperlink ref="G2484" r:id="rId4963" display="Deed - Attribution-NonCommercial 4.0 International - Creative Commons"/>
    <hyperlink ref="H2484" r:id="rId4964" display="https://www.inaturalist.org/observations/383141576"/>
    <hyperlink ref="G2485" r:id="rId4965" display="Deed - Attribution-NonCommercial 4.0 International - Creative Commons"/>
    <hyperlink ref="H2485" r:id="rId4966" display="https://www.inaturalist.org/observations/383141520"/>
    <hyperlink ref="G2486" r:id="rId4967" display="Deed - Attribution-NonCommercial 4.0 International - Creative Commons"/>
    <hyperlink ref="H2486" r:id="rId4968" display="https://www.inaturalist.org/observations/383141366"/>
    <hyperlink ref="G2487" r:id="rId4969" display="Deed - Attribution-NonCommercial 4.0 International - Creative Commons"/>
    <hyperlink ref="H2487" r:id="rId4970" display="https://www.inaturalist.org/observations/383141033"/>
    <hyperlink ref="G2488" r:id="rId4971" display="Deed - Attribution-NonCommercial 4.0 International - Creative Commons"/>
    <hyperlink ref="H2488" r:id="rId4972" display="https://www.inaturalist.org/observations/383141028"/>
    <hyperlink ref="G2489" r:id="rId4973" display="Deed - Attribution-NonCommercial 4.0 International - Creative Commons"/>
    <hyperlink ref="H2489" r:id="rId4974" display="https://www.inaturalist.org/observations/383140933"/>
    <hyperlink ref="G2490" r:id="rId4975" display="Deed - Attribution-NonCommercial 4.0 International - Creative Commons"/>
    <hyperlink ref="H2490" r:id="rId4976" display="https://www.inaturalist.org/observations/383140085"/>
    <hyperlink ref="G2491" r:id="rId4977" display="Deed - Attribution-NonCommercial 4.0 International - Creative Commons"/>
    <hyperlink ref="H2491" r:id="rId4978" display="https://www.inaturalist.org/observations/383139873"/>
    <hyperlink ref="G2492" r:id="rId4979" display="Deed - Attribution-NonCommercial 4.0 International - Creative Commons"/>
    <hyperlink ref="H2492" r:id="rId4980" display="https://www.inaturalist.org/observations/383139829"/>
    <hyperlink ref="G2493" r:id="rId4981" display="Deed - Attribution-NonCommercial 4.0 International - Creative Commons"/>
    <hyperlink ref="H2493" r:id="rId4982" display="https://www.inaturalist.org/observations/383139758"/>
    <hyperlink ref="G2494" r:id="rId4983" display="Deed - Attribution-NonCommercial 4.0 International - Creative Commons"/>
    <hyperlink ref="H2494" r:id="rId4984" display="https://www.inaturalist.org/observations/383138909"/>
    <hyperlink ref="G2495" r:id="rId4985" display="Deed - Attribution-NonCommercial 4.0 International - Creative Commons"/>
    <hyperlink ref="H2495" r:id="rId4986" display="https://www.inaturalist.org/observations/383138868"/>
    <hyperlink ref="G2496" r:id="rId4987" display="Deed - Attribution-NonCommercial 4.0 International - Creative Commons"/>
    <hyperlink ref="H2496" r:id="rId4988" display="https://www.inaturalist.org/observations/383138834"/>
    <hyperlink ref="G2497" r:id="rId4989" display="Deed - Attribution-NonCommercial 4.0 International - Creative Commons"/>
    <hyperlink ref="H2497" r:id="rId4990" display="https://www.inaturalist.org/observations/383137461"/>
    <hyperlink ref="G2498" r:id="rId4991" display="Deed - Attribution-NonCommercial 4.0 International - Creative Commons"/>
    <hyperlink ref="H2498" r:id="rId4992" display="https://www.inaturalist.org/observations/383137291"/>
    <hyperlink ref="G2499" r:id="rId4993" display="Deed - Attribution-NonCommercial 4.0 International - Creative Commons"/>
    <hyperlink ref="H2499" r:id="rId4994" display="https://www.inaturalist.org/observations/383137179"/>
    <hyperlink ref="G2500" r:id="rId4995" display="Deed - Attribution-NonCommercial 4.0 International - Creative Commons"/>
    <hyperlink ref="H2500" r:id="rId4996" display="https://www.inaturalist.org/observations/383136987"/>
    <hyperlink ref="G2501" r:id="rId4997" display="Deed - Attribution-NonCommercial 4.0 International - Creative Commons"/>
    <hyperlink ref="H2501" r:id="rId4998" display="https://www.inaturalist.org/observations/383136499"/>
    <hyperlink ref="G2502" r:id="rId4999" display="Deed - Attribution-NonCommercial 4.0 International - Creative Commons"/>
    <hyperlink ref="H2502" r:id="rId5000" display="https://www.inaturalist.org/observations/383136330"/>
    <hyperlink ref="G2503" r:id="rId5001" display="Deed - Attribution-NonCommercial 4.0 International - Creative Commons"/>
    <hyperlink ref="H2503" r:id="rId5002" display="https://www.inaturalist.org/observations/383135849"/>
    <hyperlink ref="G2504" r:id="rId5003" display="Deed - Attribution-NonCommercial 4.0 International - Creative Commons"/>
    <hyperlink ref="H2504" r:id="rId5004" display="https://www.inaturalist.org/observations/383135768"/>
    <hyperlink ref="G2505" r:id="rId5005" display="Deed - Attribution-NonCommercial 4.0 International - Creative Commons"/>
    <hyperlink ref="H2505" r:id="rId5006" display="https://www.inaturalist.org/observations/383135510"/>
    <hyperlink ref="G2506" r:id="rId5007" display="Deed - Attribution-NonCommercial 4.0 International - Creative Commons"/>
    <hyperlink ref="H2506" r:id="rId5008" display="https://www.inaturalist.org/observations/383134974"/>
    <hyperlink ref="G2507" r:id="rId5009" display="Deed - Attribution-NonCommercial 4.0 International - Creative Commons"/>
    <hyperlink ref="H2507" r:id="rId5010" display="https://www.inaturalist.org/observations/383134810"/>
    <hyperlink ref="G2508" r:id="rId5011" display="Deed - Attribution-NonCommercial 4.0 International - Creative Commons"/>
    <hyperlink ref="H2508" r:id="rId5012" display="https://www.inaturalist.org/observations/383134317"/>
    <hyperlink ref="G2509" r:id="rId5013" display="Deed - Attribution-NonCommercial 4.0 International - Creative Commons"/>
    <hyperlink ref="H2509" r:id="rId5014" display="https://www.inaturalist.org/observations/383134123"/>
    <hyperlink ref="G2510" r:id="rId5015" display="Deed - Attribution-NonCommercial 4.0 International - Creative Commons"/>
    <hyperlink ref="H2510" r:id="rId5016" display="https://www.inaturalist.org/observations/383133616"/>
    <hyperlink ref="G2511" r:id="rId5017" display="Deed - Attribution-NonCommercial 4.0 International - Creative Commons"/>
    <hyperlink ref="H2511" r:id="rId5018" display="https://www.inaturalist.org/observations/383132955"/>
    <hyperlink ref="G2512" r:id="rId5019" display="Deed - Attribution-NonCommercial 4.0 International - Creative Commons"/>
    <hyperlink ref="H2512" r:id="rId5020" display="https://www.inaturalist.org/observations/383132471"/>
    <hyperlink ref="G2513" r:id="rId5021" display="Deed - Attribution-NonCommercial 4.0 International - Creative Commons"/>
    <hyperlink ref="H2513" r:id="rId5022" display="https://www.inaturalist.org/observations/383132212"/>
    <hyperlink ref="G2514" r:id="rId5023" display="Deed - Attribution-NonCommercial 4.0 International - Creative Commons"/>
    <hyperlink ref="H2514" r:id="rId5024" display="https://www.inaturalist.org/observations/383131869"/>
    <hyperlink ref="G2515" r:id="rId5025" display="Deed - Attribution-NonCommercial 4.0 International - Creative Commons"/>
    <hyperlink ref="H2515" r:id="rId5026" display="https://www.inaturalist.org/observations/383131804"/>
    <hyperlink ref="G2516" r:id="rId5027" display="Deed - Attribution-NonCommercial 4.0 International - Creative Commons"/>
    <hyperlink ref="H2516" r:id="rId5028" display="https://www.inaturalist.org/observations/383130430"/>
    <hyperlink ref="G2517" r:id="rId5029" display="Deed - Attribution-NonCommercial 4.0 International - Creative Commons"/>
    <hyperlink ref="H2517" r:id="rId5030" display="https://www.inaturalist.org/observations/383130075"/>
    <hyperlink ref="G2518" r:id="rId5031" display="Deed - Attribution-NonCommercial 4.0 International - Creative Commons"/>
    <hyperlink ref="H2518" r:id="rId5032" display="https://www.inaturalist.org/observations/383129133"/>
    <hyperlink ref="G2519" r:id="rId5033" display="Deed - Attribution-NonCommercial 4.0 International - Creative Commons"/>
    <hyperlink ref="H2519" r:id="rId5034" display="https://www.inaturalist.org/observations/383129092"/>
    <hyperlink ref="G2520" r:id="rId5035" display="Deed - Attribution-NonCommercial 4.0 International - Creative Commons"/>
    <hyperlink ref="H2520" r:id="rId5036" display="https://www.inaturalist.org/observations/383126401"/>
    <hyperlink ref="G2521" r:id="rId5037" display="Deed - Attribution-NonCommercial 4.0 International - Creative Commons"/>
    <hyperlink ref="H2521" r:id="rId5038" display="https://www.inaturalist.org/observations/383120108"/>
    <hyperlink ref="G2522" r:id="rId5039" display="Deed - Attribution-NonCommercial 4.0 International - Creative Commons"/>
    <hyperlink ref="H2522" r:id="rId5040" display="https://www.inaturalist.org/observations/383119041"/>
    <hyperlink ref="G2523" r:id="rId5041" display="Deed - Attribution-NonCommercial 4.0 International - Creative Commons"/>
    <hyperlink ref="H2523" r:id="rId5042" display="https://www.inaturalist.org/observations/400559600"/>
    <hyperlink ref="G2524" r:id="rId5043" display="Deed - Attribution-NonCommercial 4.0 International - Creative Commons"/>
    <hyperlink ref="H2524" r:id="rId5044" display="https://www.inaturalist.org/observations/400557588"/>
    <hyperlink ref="G2525" r:id="rId5045" display="Deed - Attribution-NonCommercial 4.0 International - Creative Commons"/>
    <hyperlink ref="H2525" r:id="rId5046" display="https://www.inaturalist.org/observations/400551344"/>
    <hyperlink ref="G2526" r:id="rId5047" display="Deed - Attribution-NonCommercial 4.0 International - Creative Commons"/>
    <hyperlink ref="H2526" r:id="rId5048" display="https://www.inaturalist.org/observations/400550954"/>
    <hyperlink ref="G2527" r:id="rId5049" display="Deed - Attribution-NonCommercial 4.0 International - Creative Commons"/>
    <hyperlink ref="H2527" r:id="rId5050" display="https://www.inaturalist.org/observations/400541437"/>
    <hyperlink ref="G2528" r:id="rId5051" display="Deed - Attribution-NonCommercial 4.0 International - Creative Commons"/>
    <hyperlink ref="H2528" r:id="rId5052" display="https://www.inaturalist.org/observations/400538823"/>
    <hyperlink ref="G2529" r:id="rId5053" display="Deed - Attribution-NonCommercial 4.0 International - Creative Commons"/>
    <hyperlink ref="H2529" r:id="rId5054" display="https://www.inaturalist.org/observations/400523045"/>
    <hyperlink ref="G2530" r:id="rId5055" display="Deed - Attribution-NonCommercial 4.0 International - Creative Commons"/>
    <hyperlink ref="H2530" r:id="rId5056" display="https://www.inaturalist.org/observations/400514821"/>
    <hyperlink ref="G2531" r:id="rId5057" display="Deed - Attribution-NonCommercial 4.0 International - Creative Commons"/>
    <hyperlink ref="H2531" r:id="rId5058" display="https://www.inaturalist.org/observations/400479243"/>
    <hyperlink ref="G2532" r:id="rId5059" display="Deed - Attribution-NonCommercial 4.0 International - Creative Commons"/>
    <hyperlink ref="H2532" r:id="rId5060" display="https://www.inaturalist.org/observations/400469471"/>
    <hyperlink ref="G2533" r:id="rId5061" display="Deed - Attribution-NonCommercial 4.0 International - Creative Commons"/>
    <hyperlink ref="H2533" r:id="rId5062" display="https://www.inaturalist.org/observations/400456510"/>
    <hyperlink ref="G2534" r:id="rId5063" display="Deed - Attribution-NonCommercial 4.0 International - Creative Commons"/>
    <hyperlink ref="H2534" r:id="rId5064" display="https://www.inaturalist.org/observations/400455865"/>
    <hyperlink ref="G2535" r:id="rId5065" display="Deed - Attribution-NonCommercial 4.0 International - Creative Commons"/>
    <hyperlink ref="H2535" r:id="rId5066" display="https://www.inaturalist.org/observations/400441773"/>
    <hyperlink ref="G2536" r:id="rId5067" display="Deed - Attribution-NonCommercial 4.0 International - Creative Commons"/>
    <hyperlink ref="H2536" r:id="rId5068" display="https://www.inaturalist.org/observations/400414568"/>
    <hyperlink ref="G2537" r:id="rId5069" display="Deed - Attribution-NonCommercial 4.0 International - Creative Commons"/>
    <hyperlink ref="H2537" r:id="rId5070" display="https://www.inaturalist.org/observations/400398800"/>
    <hyperlink ref="G2538" r:id="rId5071" display="Deed - Attribution-NonCommercial 4.0 International - Creative Commons"/>
    <hyperlink ref="H2538" r:id="rId5072" display="https://www.inaturalist.org/observations/400385218"/>
    <hyperlink ref="G2539" r:id="rId5073" display="Deed - Attribution-NonCommercial 4.0 International - Creative Commons"/>
    <hyperlink ref="H2539" r:id="rId5074" display="https://www.inaturalist.org/observations/400381453"/>
    <hyperlink ref="G2540" r:id="rId5075" display="Deed - Attribution-NonCommercial 4.0 International - Creative Commons"/>
    <hyperlink ref="H2540" r:id="rId5076" display="https://www.inaturalist.org/observations/400380377"/>
    <hyperlink ref="G2541" r:id="rId5077" display="Deed - Attribution-NonCommercial 4.0 International - Creative Commons"/>
    <hyperlink ref="H2541" r:id="rId5078" display="https://www.inaturalist.org/observations/400379671"/>
    <hyperlink ref="G2542" r:id="rId5079" display="Deed - Attribution-NonCommercial 4.0 International - Creative Commons"/>
    <hyperlink ref="H2542" r:id="rId5080" display="https://www.inaturalist.org/observations/400351885"/>
    <hyperlink ref="G2543" r:id="rId5081" display="Deed - Attribution-NonCommercial 4.0 International - Creative Commons"/>
    <hyperlink ref="H2543" r:id="rId5082" display="https://www.inaturalist.org/observations/400347363"/>
    <hyperlink ref="G2544" r:id="rId5083" display="Deed - Attribution-NonCommercial 4.0 International - Creative Commons"/>
    <hyperlink ref="H2544" r:id="rId5084" display="https://www.inaturalist.org/observations/400343731"/>
    <hyperlink ref="G2545" r:id="rId5085" display="Deed - Attribution-NonCommercial 4.0 International - Creative Commons"/>
    <hyperlink ref="H2545" r:id="rId5086" display="https://www.inaturalist.org/observations/400343033"/>
    <hyperlink ref="G2546" r:id="rId5087" display="Deed - Attribution-NonCommercial 4.0 International - Creative Commons"/>
    <hyperlink ref="H2546" r:id="rId5088" display="https://www.inaturalist.org/observations/400312691"/>
    <hyperlink ref="G2547" r:id="rId5089" display="Deed - Attribution-NonCommercial 4.0 International - Creative Commons"/>
    <hyperlink ref="H2547" r:id="rId5090" display="https://www.inaturalist.org/observations/400310664"/>
    <hyperlink ref="G2548" r:id="rId5091" display="Deed - Attribution-NonCommercial 4.0 International - Creative Commons"/>
    <hyperlink ref="H2548" r:id="rId5092" display="https://www.inaturalist.org/observations/400302978"/>
    <hyperlink ref="G2549" r:id="rId5093" display="Deed - Attribution-NonCommercial 4.0 International - Creative Commons"/>
    <hyperlink ref="H2549" r:id="rId5094" display="https://www.inaturalist.org/observations/400301070"/>
    <hyperlink ref="G2550" r:id="rId5095" display="Deed - Attribution-NonCommercial 4.0 International - Creative Commons"/>
    <hyperlink ref="H2550" r:id="rId5096" display="https://www.inaturalist.org/observations/400291893"/>
    <hyperlink ref="G2551" r:id="rId5097" display="Deed - Attribution-NonCommercial 4.0 International - Creative Commons"/>
    <hyperlink ref="H2551" r:id="rId5098" display="https://www.inaturalist.org/observations/400273508"/>
    <hyperlink ref="G2552" r:id="rId5099" display="Deed - Attribution-NonCommercial 4.0 International - Creative Commons"/>
    <hyperlink ref="H2552" r:id="rId5100" display="https://www.inaturalist.org/observations/400251819"/>
    <hyperlink ref="G2553" r:id="rId5101" display="Deed - Attribution-NonCommercial 4.0 International - Creative Commons"/>
    <hyperlink ref="H2553" r:id="rId5102" display="https://www.inaturalist.org/observations/400235162"/>
    <hyperlink ref="G2554" r:id="rId5103" display="Deed - Attribution-NonCommercial 4.0 International - Creative Commons"/>
    <hyperlink ref="H2554" r:id="rId5104" display="https://www.inaturalist.org/observations/400231782"/>
    <hyperlink ref="G2555" r:id="rId5105" display="Deed - Attribution-NonCommercial 4.0 International - Creative Commons"/>
    <hyperlink ref="H2555" r:id="rId5106" display="https://www.inaturalist.org/observations/400203139"/>
    <hyperlink ref="G2556" r:id="rId5107" display="Deed - Attribution-NonCommercial 4.0 International - Creative Commons"/>
    <hyperlink ref="H2556" r:id="rId5108" display="https://www.inaturalist.org/observations/400161510"/>
    <hyperlink ref="G2557" r:id="rId5109" display="Deed - Attribution-NonCommercial 4.0 International - Creative Commons"/>
    <hyperlink ref="H2557" r:id="rId5110" display="https://www.inaturalist.org/observations/400141949"/>
    <hyperlink ref="G2558" r:id="rId5111" display="Deed - Attribution-NonCommercial 4.0 International - Creative Commons"/>
    <hyperlink ref="H2558" r:id="rId5112" display="https://www.inaturalist.org/observations/400138986"/>
    <hyperlink ref="G2559" r:id="rId5113" display="Deed - Attribution-NonCommercial 4.0 International - Creative Commons"/>
    <hyperlink ref="H2559" r:id="rId5114" display="https://www.inaturalist.org/observations/400134891"/>
    <hyperlink ref="G2560" r:id="rId5115" display="Deed - Attribution-NonCommercial 4.0 International - Creative Commons"/>
    <hyperlink ref="H2560" r:id="rId5116" display="https://www.inaturalist.org/observations/400130332"/>
    <hyperlink ref="G2561" r:id="rId5117" display="Deed - Attribution-NonCommercial 4.0 International - Creative Commons"/>
    <hyperlink ref="H2561" r:id="rId5118" display="https://www.inaturalist.org/observations/400125029"/>
    <hyperlink ref="G2562" r:id="rId5119" display="Deed - Attribution-NonCommercial 4.0 International - Creative Commons"/>
    <hyperlink ref="H2562" r:id="rId5120" display="https://www.inaturalist.org/observations/400091125"/>
    <hyperlink ref="G2563" r:id="rId5121" display="Deed - Attribution-NonCommercial 4.0 International - Creative Commons"/>
    <hyperlink ref="H2563" r:id="rId5122" display="https://www.inaturalist.org/observations/400049740"/>
    <hyperlink ref="G2564" r:id="rId5123" display="Deed - Attribution-NonCommercial 4.0 International - Creative Commons"/>
    <hyperlink ref="H2564" r:id="rId5124" display="https://www.inaturalist.org/observations/400040537"/>
    <hyperlink ref="G2565" r:id="rId5125" display="Deed - Attribution-NonCommercial 4.0 International - Creative Commons"/>
    <hyperlink ref="H2565" r:id="rId5126" display="https://www.inaturalist.org/observations/400032018"/>
    <hyperlink ref="G2566" r:id="rId5127" display="Deed - Attribution-NonCommercial 4.0 International - Creative Commons"/>
    <hyperlink ref="H2566" r:id="rId5128" display="https://www.inaturalist.org/observations/400028344"/>
    <hyperlink ref="G2567" r:id="rId5129" display="Deed - Attribution-NonCommercial 4.0 International - Creative Commons"/>
    <hyperlink ref="H2567" r:id="rId5130" display="https://www.inaturalist.org/observations/400026301"/>
    <hyperlink ref="G2568" r:id="rId5131" display="Deed - Attribution-NonCommercial 4.0 International - Creative Commons"/>
    <hyperlink ref="H2568" r:id="rId5132" display="https://www.inaturalist.org/observations/400018234"/>
    <hyperlink ref="G2569" r:id="rId5133" display="Deed - Attribution-NonCommercial 4.0 International - Creative Commons"/>
    <hyperlink ref="H2569" r:id="rId5134" display="https://www.inaturalist.org/observations/400005826"/>
    <hyperlink ref="G2570" r:id="rId5135" display="Deed - Attribution-NonCommercial 4.0 International - Creative Commons"/>
    <hyperlink ref="H2570" r:id="rId5136" display="https://www.inaturalist.org/observations/400003371"/>
    <hyperlink ref="G2571" r:id="rId5137" display="Deed - Attribution-NonCommercial 4.0 International - Creative Commons"/>
    <hyperlink ref="H2571" r:id="rId5138" display="https://www.inaturalist.org/observations/399990177"/>
    <hyperlink ref="G2572" r:id="rId5139" display="Deed - Attribution-NonCommercial 4.0 International - Creative Commons"/>
    <hyperlink ref="H2572" r:id="rId5140" display="https://www.inaturalist.org/observations/399979193"/>
    <hyperlink ref="G2573" r:id="rId5141" display="Deed - Attribution-NonCommercial 4.0 International - Creative Commons"/>
    <hyperlink ref="H2573" r:id="rId5142" display="https://www.inaturalist.org/observations/399957762"/>
    <hyperlink ref="G2574" r:id="rId5143" display="Deed - Attribution-NonCommercial 4.0 International - Creative Commons"/>
    <hyperlink ref="H2574" r:id="rId5144" display="https://www.inaturalist.org/observations/399943090"/>
    <hyperlink ref="G2575" r:id="rId5145" display="Deed - Attribution-NonCommercial 4.0 International - Creative Commons"/>
    <hyperlink ref="H2575" r:id="rId5146" display="https://www.inaturalist.org/observations/399933288"/>
    <hyperlink ref="G2576" r:id="rId5147" display="Deed - Attribution-NonCommercial 4.0 International - Creative Commons"/>
    <hyperlink ref="H2576" r:id="rId5148" display="https://www.inaturalist.org/observations/399875055"/>
    <hyperlink ref="G2577" r:id="rId5149" display="Deed - Attribution-NonCommercial 4.0 International - Creative Commons"/>
    <hyperlink ref="H2577" r:id="rId5150" display="https://www.inaturalist.org/observations/399849833"/>
    <hyperlink ref="G2578" r:id="rId5151" display="Deed - Attribution-NonCommercial 4.0 International - Creative Commons"/>
    <hyperlink ref="H2578" r:id="rId5152" display="https://www.inaturalist.org/observations/399840842"/>
    <hyperlink ref="G2579" r:id="rId5153" display="Deed - Attribution-NonCommercial 4.0 International - Creative Commons"/>
    <hyperlink ref="H2579" r:id="rId5154" display="https://www.inaturalist.org/observations/399807402"/>
    <hyperlink ref="G2580" r:id="rId5155" display="Deed - Attribution-NonCommercial 4.0 International - Creative Commons"/>
    <hyperlink ref="H2580" r:id="rId5156" display="https://www.inaturalist.org/observations/399776855"/>
    <hyperlink ref="G2581" r:id="rId5157" display="Deed - Attribution-NonCommercial 4.0 International - Creative Commons"/>
    <hyperlink ref="H2581" r:id="rId5158" display="https://www.inaturalist.org/observations/399771029"/>
    <hyperlink ref="G2582" r:id="rId5159" display="Deed - Attribution-NonCommercial 4.0 International - Creative Commons"/>
    <hyperlink ref="H2582" r:id="rId5160" display="https://www.inaturalist.org/observations/399746004"/>
    <hyperlink ref="G2583" r:id="rId5161" display="Deed - Attribution-NonCommercial 4.0 International - Creative Commons"/>
    <hyperlink ref="H2583" r:id="rId5162" display="https://www.inaturalist.org/observations/399725418"/>
    <hyperlink ref="G2584" r:id="rId5163" display="Deed - Attribution-NonCommercial 4.0 International - Creative Commons"/>
    <hyperlink ref="H2584" r:id="rId5164" display="https://www.inaturalist.org/observations/399713141"/>
    <hyperlink ref="G2585" r:id="rId5165" display="Deed - Attribution-NonCommercial 4.0 International - Creative Commons"/>
    <hyperlink ref="H2585" r:id="rId5166" display="https://www.inaturalist.org/observations/399701245"/>
    <hyperlink ref="G2586" r:id="rId5167" display="Deed - Attribution-NonCommercial 4.0 International - Creative Commons"/>
    <hyperlink ref="H2586" r:id="rId5168" display="https://www.inaturalist.org/observations/399700234"/>
    <hyperlink ref="G2587" r:id="rId5169" display="Deed - Attribution-NonCommercial 4.0 International - Creative Commons"/>
    <hyperlink ref="H2587" r:id="rId5170" display="https://www.inaturalist.org/observations/399695778"/>
    <hyperlink ref="G2588" r:id="rId5171" display="Deed - Attribution-NonCommercial 4.0 International - Creative Commons"/>
    <hyperlink ref="H2588" r:id="rId5172" display="https://www.inaturalist.org/observations/399654065"/>
    <hyperlink ref="G2589" r:id="rId5173" display="Deed - Attribution-NonCommercial 4.0 International - Creative Commons"/>
    <hyperlink ref="H2589" r:id="rId5174" display="https://www.inaturalist.org/observations/399557208"/>
    <hyperlink ref="G2590" r:id="rId5175" display="Deed - Attribution-NonCommercial 4.0 International - Creative Commons"/>
    <hyperlink ref="H2590" r:id="rId5176" display="https://www.inaturalist.org/observations/399540091"/>
    <hyperlink ref="G2591" r:id="rId5177" display="Deed - Attribution-NonCommercial 4.0 International - Creative Commons"/>
    <hyperlink ref="H2591" r:id="rId5178" display="https://www.inaturalist.org/observations/399521553"/>
    <hyperlink ref="G2592" r:id="rId5179" display="Deed - Attribution-NonCommercial 4.0 International - Creative Commons"/>
    <hyperlink ref="H2592" r:id="rId5180" display="https://www.inaturalist.org/observations/399511318"/>
    <hyperlink ref="G2593" r:id="rId5181" display="Deed - Attribution-NonCommercial 4.0 International - Creative Commons"/>
    <hyperlink ref="H2593" r:id="rId5182" display="https://www.inaturalist.org/observations/399487106"/>
    <hyperlink ref="G2594" r:id="rId5183" display="Deed - Attribution-NonCommercial 4.0 International - Creative Commons"/>
    <hyperlink ref="H2594" r:id="rId5184" display="https://www.inaturalist.org/observations/399479223"/>
    <hyperlink ref="G2595" r:id="rId5185" display="Deed - Attribution-NonCommercial 4.0 International - Creative Commons"/>
    <hyperlink ref="H2595" r:id="rId5186" display="https://www.inaturalist.org/observations/399463657"/>
    <hyperlink ref="G2596" r:id="rId5187" display="Deed - Attribution-NonCommercial 4.0 International - Creative Commons"/>
    <hyperlink ref="H2596" r:id="rId5188" display="https://www.inaturalist.org/observations/399426259"/>
    <hyperlink ref="G2597" r:id="rId5189" display="Deed - Attribution-NonCommercial 4.0 International - Creative Commons"/>
    <hyperlink ref="H2597" r:id="rId5190" display="https://www.inaturalist.org/observations/399400020"/>
    <hyperlink ref="G2598" r:id="rId5191" display="Deed - Attribution-NonCommercial 4.0 International - Creative Commons"/>
    <hyperlink ref="H2598" r:id="rId5192" display="https://www.inaturalist.org/observations/399389821"/>
    <hyperlink ref="G2599" r:id="rId5193" display="Deed - Attribution-NonCommercial 4.0 International - Creative Commons"/>
    <hyperlink ref="H2599" r:id="rId5194" display="https://www.inaturalist.org/observations/399312248"/>
    <hyperlink ref="G2600" r:id="rId5195" display="Deed - Attribution-NonCommercial 4.0 International - Creative Commons"/>
    <hyperlink ref="H2600" r:id="rId5196" display="https://www.inaturalist.org/observations/399279191"/>
    <hyperlink ref="G2601" r:id="rId5197" display="Deed - Attribution-NonCommercial 4.0 International - Creative Commons"/>
    <hyperlink ref="H2601" r:id="rId5198" display="https://www.inaturalist.org/observations/399274004"/>
    <hyperlink ref="G2602" r:id="rId5199" display="Deed - Attribution-NonCommercial 4.0 International - Creative Commons"/>
    <hyperlink ref="H2602" r:id="rId5200" display="https://www.inaturalist.org/observations/399273937"/>
    <hyperlink ref="G2603" r:id="rId5201" display="Deed - Attribution-NonCommercial 4.0 International - Creative Commons"/>
    <hyperlink ref="H2603" r:id="rId5202" display="https://www.inaturalist.org/observations/399205764"/>
    <hyperlink ref="G2604" r:id="rId5203" display="Deed - Attribution-NonCommercial 4.0 International - Creative Commons"/>
    <hyperlink ref="H2604" r:id="rId5204" display="https://www.inaturalist.org/observations/399203542"/>
    <hyperlink ref="G2605" r:id="rId5205" display="Deed - Attribution-NonCommercial 4.0 International - Creative Commons"/>
    <hyperlink ref="H2605" r:id="rId5206" display="https://www.inaturalist.org/observations/399176732"/>
    <hyperlink ref="G2606" r:id="rId5207" display="Deed - Attribution-NonCommercial 4.0 International - Creative Commons"/>
    <hyperlink ref="H2606" r:id="rId5208" display="https://www.inaturalist.org/observations/399176527"/>
    <hyperlink ref="G2607" r:id="rId5209" display="Deed - Attribution-NonCommercial 4.0 International - Creative Commons"/>
    <hyperlink ref="H2607" r:id="rId5210" display="https://www.inaturalist.org/observations/399159087"/>
    <hyperlink ref="G2608" r:id="rId5211" display="Deed - Attribution-NonCommercial 4.0 International - Creative Commons"/>
    <hyperlink ref="H2608" r:id="rId5212" display="https://www.inaturalist.org/observations/399158580"/>
    <hyperlink ref="G2609" r:id="rId5213" display="Deed - Attribution-NonCommercial 4.0 International - Creative Commons"/>
    <hyperlink ref="H2609" r:id="rId5214" display="https://www.inaturalist.org/observations/399147244"/>
    <hyperlink ref="G2610" r:id="rId5215" display="Deed - Attribution-NonCommercial 4.0 International - Creative Commons"/>
    <hyperlink ref="H2610" r:id="rId5216" display="https://www.inaturalist.org/observations/399147243"/>
    <hyperlink ref="G2611" r:id="rId5217" display="Deed - Attribution-NonCommercial 4.0 International - Creative Commons"/>
    <hyperlink ref="H2611" r:id="rId5218" display="https://www.inaturalist.org/observations/399147237"/>
    <hyperlink ref="G2612" r:id="rId5219" display="Deed - Attribution-NonCommercial 4.0 International - Creative Commons"/>
    <hyperlink ref="H2612" r:id="rId5220" display="https://www.inaturalist.org/observations/399147225"/>
    <hyperlink ref="G2613" r:id="rId5221" display="Deed - Attribution-NonCommercial 4.0 International - Creative Commons"/>
    <hyperlink ref="H2613" r:id="rId5222" display="https://www.inaturalist.org/observations/399147214"/>
    <hyperlink ref="G2614" r:id="rId5223" display="Deed - Attribution-NonCommercial 4.0 International - Creative Commons"/>
    <hyperlink ref="H2614" r:id="rId5224" display="https://www.inaturalist.org/observations/399139978"/>
    <hyperlink ref="G2615" r:id="rId5225" display="Deed - Attribution-NonCommercial 4.0 International - Creative Commons"/>
    <hyperlink ref="H2615" r:id="rId5226" display="https://www.inaturalist.org/observations/399059119"/>
    <hyperlink ref="G2616" r:id="rId5227" display="Deed - Attribution-NonCommercial 4.0 International - Creative Commons"/>
    <hyperlink ref="H2616" r:id="rId5228" display="https://www.inaturalist.org/observations/398927191"/>
    <hyperlink ref="G2617" r:id="rId5229" display="Deed - Attribution-NonCommercial 4.0 International - Creative Commons"/>
    <hyperlink ref="H2617" r:id="rId5230" display="https://www.inaturalist.org/observations/398927189"/>
    <hyperlink ref="G2618" r:id="rId5231" display="Deed - Attribution-NonCommercial 4.0 International - Creative Commons"/>
    <hyperlink ref="H2618" r:id="rId5232" display="https://www.inaturalist.org/observations/398923900"/>
    <hyperlink ref="G2619" r:id="rId5233" display="Deed - Attribution-NonCommercial 4.0 International - Creative Commons"/>
    <hyperlink ref="H2619" r:id="rId5234" display="https://www.inaturalist.org/observations/398866772"/>
    <hyperlink ref="G2620" r:id="rId5235" display="Deed - Attribution-NonCommercial 4.0 International - Creative Commons"/>
    <hyperlink ref="H2620" r:id="rId5236" display="https://www.inaturalist.org/observations/398866737"/>
    <hyperlink ref="G2621" r:id="rId5237" display="Deed - Attribution-NonCommercial 4.0 International - Creative Commons"/>
    <hyperlink ref="H2621" r:id="rId5238" display="https://www.inaturalist.org/observations/398859644"/>
    <hyperlink ref="G2622" r:id="rId5239" display="Deed - Attribution-NonCommercial 4.0 International - Creative Commons"/>
    <hyperlink ref="H2622" r:id="rId5240" display="https://www.inaturalist.org/observations/398859030"/>
    <hyperlink ref="G2623" r:id="rId5241" display="Deed - Attribution-NonCommercial 4.0 International - Creative Commons"/>
    <hyperlink ref="H2623" r:id="rId5242" display="https://www.inaturalist.org/observations/398858963"/>
    <hyperlink ref="G2624" r:id="rId5243" display="Deed - Attribution-NonCommercial 4.0 International - Creative Commons"/>
    <hyperlink ref="H2624" r:id="rId5244" display="https://www.inaturalist.org/observations/398809508"/>
    <hyperlink ref="G2625" r:id="rId5245" display="Deed - Attribution-NonCommercial 4.0 International - Creative Commons"/>
    <hyperlink ref="H2625" r:id="rId5246" display="https://www.inaturalist.org/observations/398766233"/>
    <hyperlink ref="G2626" r:id="rId5247" display="Deed - Attribution-NonCommercial 4.0 International - Creative Commons"/>
    <hyperlink ref="H2626" r:id="rId5248" display="https://www.inaturalist.org/observations/398762946"/>
    <hyperlink ref="G2627" r:id="rId5249" display="Deed - Attribution-NonCommercial 4.0 International - Creative Commons"/>
    <hyperlink ref="H2627" r:id="rId5250" display="https://www.inaturalist.org/observations/398751912"/>
    <hyperlink ref="G2628" r:id="rId5251" display="Deed - Attribution-NonCommercial 4.0 International - Creative Commons"/>
    <hyperlink ref="H2628" r:id="rId5252" display="https://www.inaturalist.org/observations/398728455"/>
    <hyperlink ref="G2629" r:id="rId5253" display="Deed - Attribution-NonCommercial 4.0 International - Creative Commons"/>
    <hyperlink ref="H2629" r:id="rId5254" display="https://www.inaturalist.org/observations/398647409"/>
    <hyperlink ref="G2630" r:id="rId5255" display="Deed - Attribution-NonCommercial 4.0 International - Creative Commons"/>
    <hyperlink ref="H2630" r:id="rId5256" display="https://www.inaturalist.org/observations/398641007"/>
    <hyperlink ref="G2631" r:id="rId5257" display="Deed - Attribution-NonCommercial 4.0 International - Creative Commons"/>
    <hyperlink ref="H2631" r:id="rId5258" display="https://www.inaturalist.org/observations/398622717"/>
    <hyperlink ref="G2632" r:id="rId5259" display="Deed - Attribution-NonCommercial 4.0 International - Creative Commons"/>
    <hyperlink ref="H2632" r:id="rId5260" display="https://www.inaturalist.org/observations/398568379"/>
    <hyperlink ref="G2633" r:id="rId5261" display="Deed - Attribution-NonCommercial 4.0 International - Creative Commons"/>
    <hyperlink ref="H2633" r:id="rId5262" display="https://www.inaturalist.org/observations/398375206"/>
    <hyperlink ref="G2634" r:id="rId5263" display="Deed - Attribution-NonCommercial 4.0 International - Creative Commons"/>
    <hyperlink ref="H2634" r:id="rId5264" display="https://www.inaturalist.org/observations/398366738"/>
    <hyperlink ref="G2635" r:id="rId5265" display="Deed - Attribution-NonCommercial 4.0 International - Creative Commons"/>
    <hyperlink ref="H2635" r:id="rId5266" display="https://www.inaturalist.org/observations/398290093"/>
    <hyperlink ref="G2636" r:id="rId5267" display="Deed - Attribution-NonCommercial 4.0 International - Creative Commons"/>
    <hyperlink ref="H2636" r:id="rId5268" display="https://www.inaturalist.org/observations/398284306"/>
    <hyperlink ref="G2637" r:id="rId5269" display="Deed - Attribution-NonCommercial 4.0 International - Creative Commons"/>
    <hyperlink ref="H2637" r:id="rId5270" display="https://www.inaturalist.org/observations/398186183"/>
    <hyperlink ref="G2638" r:id="rId5271" display="Deed - Attribution-NonCommercial 4.0 International - Creative Commons"/>
    <hyperlink ref="H2638" r:id="rId5272" display="https://www.inaturalist.org/observations/398185594"/>
    <hyperlink ref="G2639" r:id="rId5273" display="Deed - Attribution-NonCommercial 4.0 International - Creative Commons"/>
    <hyperlink ref="H2639" r:id="rId5274" display="https://www.inaturalist.org/observations/398140578"/>
    <hyperlink ref="G2640" r:id="rId5275" display="Deed - Attribution-NonCommercial 4.0 International - Creative Commons"/>
    <hyperlink ref="H2640" r:id="rId5276" display="https://www.inaturalist.org/observations/398087671"/>
    <hyperlink ref="G2641" r:id="rId5277" display="Deed - Attribution-NonCommercial 4.0 International - Creative Commons"/>
    <hyperlink ref="H2641" r:id="rId5278" display="https://www.inaturalist.org/observations/398049881"/>
    <hyperlink ref="G2642" r:id="rId5279" display="Deed - Attribution-NonCommercial 4.0 International - Creative Commons"/>
    <hyperlink ref="H2642" r:id="rId5280" display="https://www.inaturalist.org/observations/398008728"/>
    <hyperlink ref="G2643" r:id="rId5281" display="Deed - Attribution-NonCommercial 4.0 International - Creative Commons"/>
    <hyperlink ref="H2643" r:id="rId5282" display="https://www.inaturalist.org/observations/398008657"/>
    <hyperlink ref="G2644" r:id="rId5283" display="Deed - Attribution-NonCommercial 4.0 International - Creative Commons"/>
    <hyperlink ref="H2644" r:id="rId5284" display="https://www.inaturalist.org/observations/397991396"/>
    <hyperlink ref="G2645" r:id="rId5285" display="Deed - Attribution-NonCommercial 4.0 International - Creative Commons"/>
    <hyperlink ref="H2645" r:id="rId5286" display="https://www.inaturalist.org/observations/397892803"/>
    <hyperlink ref="G2646" r:id="rId5287" display="Deed - Attribution-NonCommercial 4.0 International - Creative Commons"/>
    <hyperlink ref="H2646" r:id="rId5288" display="https://www.inaturalist.org/observations/397800834"/>
    <hyperlink ref="G2647" r:id="rId5289" display="Deed - Attribution-NonCommercial 4.0 International - Creative Commons"/>
    <hyperlink ref="H2647" r:id="rId5290" display="https://www.inaturalist.org/observations/397659887"/>
    <hyperlink ref="G2648" r:id="rId5291" display="Deed - Attribution-NonCommercial 4.0 International - Creative Commons"/>
    <hyperlink ref="H2648" r:id="rId5292" display="https://www.inaturalist.org/observations/397645105"/>
    <hyperlink ref="G2649" r:id="rId5293" display="Deed - Attribution-NonCommercial 4.0 International - Creative Commons"/>
    <hyperlink ref="H2649" r:id="rId5294" display="https://www.inaturalist.org/observations/397637762"/>
    <hyperlink ref="G2650" r:id="rId5295" display="Deed - Attribution-NonCommercial 4.0 International - Creative Commons"/>
    <hyperlink ref="H2650" r:id="rId5296" display="https://www.inaturalist.org/observations/397511971"/>
    <hyperlink ref="G2651" r:id="rId5297" display="Deed - Attribution-NonCommercial 4.0 International - Creative Commons"/>
    <hyperlink ref="H2651" r:id="rId5298" display="https://www.inaturalist.org/observations/397468272"/>
    <hyperlink ref="G2652" r:id="rId5299" display="Deed - Attribution-NonCommercial 4.0 International - Creative Commons"/>
    <hyperlink ref="H2652" r:id="rId5300" display="https://www.inaturalist.org/observations/397370441"/>
    <hyperlink ref="G2653" r:id="rId5301" display="Deed - Attribution-NonCommercial 4.0 International - Creative Commons"/>
    <hyperlink ref="H2653" r:id="rId5302" display="https://www.inaturalist.org/observations/397343161"/>
    <hyperlink ref="G2654" r:id="rId5303" display="Deed - Attribution-NonCommercial 4.0 International - Creative Commons"/>
    <hyperlink ref="H2654" r:id="rId5304" display="https://www.inaturalist.org/observations/397328363"/>
    <hyperlink ref="G2655" r:id="rId5305" display="Deed - Attribution-NonCommercial 4.0 International - Creative Commons"/>
    <hyperlink ref="H2655" r:id="rId5306" display="https://www.inaturalist.org/observations/397304355"/>
    <hyperlink ref="G2656" r:id="rId5307" display="Deed - Attribution-NonCommercial 4.0 International - Creative Commons"/>
    <hyperlink ref="H2656" r:id="rId5308" display="https://www.inaturalist.org/observations/397272857"/>
    <hyperlink ref="G2657" r:id="rId5309" display="Deed - Attribution-NonCommercial 4.0 International - Creative Commons"/>
    <hyperlink ref="H2657" r:id="rId5310" display="https://www.inaturalist.org/observations/397220747"/>
    <hyperlink ref="G2658" r:id="rId5311" display="Deed - Attribution-NonCommercial 4.0 International - Creative Commons"/>
    <hyperlink ref="H2658" r:id="rId5312" display="https://www.inaturalist.org/observations/397119068"/>
    <hyperlink ref="G2659" r:id="rId5313" display="Deed - Attribution-NonCommercial 4.0 International - Creative Commons"/>
    <hyperlink ref="H2659" r:id="rId5314" display="https://www.inaturalist.org/observations/397092403"/>
    <hyperlink ref="G2660" r:id="rId5315" display="Deed - Attribution-NonCommercial 4.0 International - Creative Commons"/>
    <hyperlink ref="H2660" r:id="rId5316" display="https://www.inaturalist.org/observations/397020732"/>
    <hyperlink ref="G2661" r:id="rId5317" display="Deed - Attribution-NonCommercial 4.0 International - Creative Commons"/>
    <hyperlink ref="H2661" r:id="rId5318" display="https://www.inaturalist.org/observations/396968764"/>
    <hyperlink ref="G2662" r:id="rId5319" display="Deed - Attribution-NonCommercial 4.0 International - Creative Commons"/>
    <hyperlink ref="H2662" r:id="rId5320" display="https://www.inaturalist.org/observations/396926281"/>
    <hyperlink ref="G2663" r:id="rId5321" display="Deed - Attribution-NonCommercial 4.0 International - Creative Commons"/>
    <hyperlink ref="H2663" r:id="rId5322" display="https://www.inaturalist.org/observations/396915518"/>
    <hyperlink ref="G2664" r:id="rId5323" display="Deed - Attribution-NonCommercial 4.0 International - Creative Commons"/>
    <hyperlink ref="H2664" r:id="rId5324" display="https://www.inaturalist.org/observations/396913139"/>
    <hyperlink ref="G2665" r:id="rId5325" display="Deed - Attribution-NonCommercial 4.0 International - Creative Commons"/>
    <hyperlink ref="H2665" r:id="rId5326" display="https://www.inaturalist.org/observations/396912286"/>
    <hyperlink ref="G2666" r:id="rId5327" display="Deed - Attribution-NonCommercial 4.0 International - Creative Commons"/>
    <hyperlink ref="H2666" r:id="rId5328" display="https://www.inaturalist.org/observations/396752059"/>
    <hyperlink ref="G2667" r:id="rId5329" display="Deed - Attribution-NonCommercial 4.0 International - Creative Commons"/>
    <hyperlink ref="H2667" r:id="rId5330" display="https://www.inaturalist.org/observations/396688776"/>
    <hyperlink ref="G2668" r:id="rId5331" display="Deed - Attribution-NonCommercial 4.0 International - Creative Commons"/>
    <hyperlink ref="H2668" r:id="rId5332" display="https://www.inaturalist.org/observations/396679017"/>
    <hyperlink ref="G2669" r:id="rId5333" display="Deed - Attribution-NonCommercial 4.0 International - Creative Commons"/>
    <hyperlink ref="H2669" r:id="rId5334" display="https://www.inaturalist.org/observations/396623122"/>
    <hyperlink ref="G2670" r:id="rId5335" display="Deed - Attribution-NonCommercial 4.0 International - Creative Commons"/>
    <hyperlink ref="H2670" r:id="rId5336" display="https://www.inaturalist.org/observations/396606769"/>
    <hyperlink ref="G2671" r:id="rId5337" display="Deed - Attribution-NonCommercial 4.0 International - Creative Commons"/>
    <hyperlink ref="H2671" r:id="rId5338" display="https://www.inaturalist.org/observations/396563538"/>
    <hyperlink ref="G2672" r:id="rId5339" display="Deed - Attribution-NonCommercial 4.0 International - Creative Commons"/>
    <hyperlink ref="H2672" r:id="rId5340" display="https://www.inaturalist.org/observations/396491946"/>
    <hyperlink ref="G2673" r:id="rId5341" display="Deed - Attribution-NonCommercial 4.0 International - Creative Commons"/>
    <hyperlink ref="H2673" r:id="rId5342" display="https://www.inaturalist.org/observations/396363937"/>
    <hyperlink ref="G2674" r:id="rId5343" display="Deed - Attribution-NonCommercial 4.0 International - Creative Commons"/>
    <hyperlink ref="H2674" r:id="rId5344" display="https://www.inaturalist.org/observations/396294105"/>
    <hyperlink ref="G2675" r:id="rId5345" display="Deed - Attribution-NonCommercial 4.0 International - Creative Commons"/>
    <hyperlink ref="H2675" r:id="rId5346" display="https://www.inaturalist.org/observations/396044484"/>
    <hyperlink ref="G2676" r:id="rId5347" display="Deed - Attribution-NonCommercial 4.0 International - Creative Commons"/>
    <hyperlink ref="H2676" r:id="rId5348" display="https://www.inaturalist.org/observations/396022571"/>
    <hyperlink ref="G2677" r:id="rId5349" display="Deed - Attribution-NonCommercial 4.0 International - Creative Commons"/>
    <hyperlink ref="H2677" r:id="rId5350" display="https://www.inaturalist.org/observations/396011071"/>
    <hyperlink ref="G2678" r:id="rId5351" display="Deed - Attribution-NonCommercial 4.0 International - Creative Commons"/>
    <hyperlink ref="H2678" r:id="rId5352" display="https://www.inaturalist.org/observations/395924821"/>
    <hyperlink ref="G2679" r:id="rId5353" display="Deed - Attribution-NonCommercial 4.0 International - Creative Commons"/>
    <hyperlink ref="H2679" r:id="rId5354" display="https://www.inaturalist.org/observations/395726686"/>
    <hyperlink ref="G2680" r:id="rId5355" display="Deed - Attribution-NonCommercial 4.0 International - Creative Commons"/>
    <hyperlink ref="H2680" r:id="rId5356" display="https://www.inaturalist.org/observations/395715095"/>
    <hyperlink ref="G2681" r:id="rId5357" display="Deed - Attribution-NonCommercial 4.0 International - Creative Commons"/>
    <hyperlink ref="H2681" r:id="rId5358" display="https://www.inaturalist.org/observations/395548161"/>
    <hyperlink ref="G2682" r:id="rId5359" display="Deed - Attribution-NonCommercial 4.0 International - Creative Commons"/>
    <hyperlink ref="H2682" r:id="rId5360" display="https://www.inaturalist.org/observations/395293751"/>
    <hyperlink ref="G2683" r:id="rId5361" display="Deed - Attribution-NonCommercial 4.0 International - Creative Commons"/>
    <hyperlink ref="H2683" r:id="rId5362" display="https://www.inaturalist.org/observations/395151592"/>
    <hyperlink ref="G2684" r:id="rId5363" display="Deed - Attribution-NonCommercial 4.0 International - Creative Commons"/>
    <hyperlink ref="H2684" r:id="rId5364" display="https://www.inaturalist.org/observations/395146688"/>
    <hyperlink ref="G2685" r:id="rId5365" display="Deed - Attribution-NonCommercial 4.0 International - Creative Commons"/>
    <hyperlink ref="H2685" r:id="rId5366" display="https://www.inaturalist.org/observations/394960084"/>
    <hyperlink ref="G2686" r:id="rId5367" display="Deed - Attribution-NonCommercial 4.0 International - Creative Commons"/>
    <hyperlink ref="H2686" r:id="rId5368" display="https://www.inaturalist.org/observations/394857097"/>
    <hyperlink ref="G2687" r:id="rId5369" display="Deed - Attribution-NonCommercial 4.0 International - Creative Commons"/>
    <hyperlink ref="H2687" r:id="rId5370" display="https://www.inaturalist.org/observations/394829650"/>
    <hyperlink ref="G2688" r:id="rId5371" display="Deed - Attribution-NonCommercial 4.0 International - Creative Commons"/>
    <hyperlink ref="H2688" r:id="rId5372" display="https://www.inaturalist.org/observations/394741561"/>
    <hyperlink ref="G2689" r:id="rId5373" display="Deed - Attribution-NonCommercial 4.0 International - Creative Commons"/>
    <hyperlink ref="H2689" r:id="rId5374" display="https://www.inaturalist.org/observations/394607371"/>
    <hyperlink ref="G2690" r:id="rId5375" display="Deed - Attribution-NonCommercial 4.0 International - Creative Commons"/>
    <hyperlink ref="H2690" r:id="rId5376" display="https://www.inaturalist.org/observations/394228205"/>
    <hyperlink ref="G2691" r:id="rId5377" display="Deed - Attribution-NonCommercial 4.0 International - Creative Commons"/>
    <hyperlink ref="H2691" r:id="rId5378" display="https://www.inaturalist.org/observations/394227980"/>
    <hyperlink ref="G2692" r:id="rId5379" display="Deed - Attribution-NonCommercial 4.0 International - Creative Commons"/>
    <hyperlink ref="H2692" r:id="rId5380" display="https://www.inaturalist.org/observations/394107720"/>
    <hyperlink ref="G2693" r:id="rId5381" display="Deed - Attribution-NonCommercial 4.0 International - Creative Commons"/>
    <hyperlink ref="H2693" r:id="rId5382" display="https://www.inaturalist.org/observations/393999724"/>
    <hyperlink ref="G2694" r:id="rId5383" display="Deed - Attribution-NonCommercial 4.0 International - Creative Commons"/>
    <hyperlink ref="H2694" r:id="rId5384" display="https://www.inaturalist.org/observations/393698741"/>
    <hyperlink ref="G2695" r:id="rId5385" display="Deed - Attribution-NonCommercial 4.0 International - Creative Commons"/>
    <hyperlink ref="H2695" r:id="rId5386" display="https://www.inaturalist.org/observations/393554598"/>
    <hyperlink ref="G2696" r:id="rId5387" display="Deed - Attribution-NonCommercial 4.0 International - Creative Commons"/>
    <hyperlink ref="H2696" r:id="rId5388" display="https://www.inaturalist.org/observations/393319532"/>
    <hyperlink ref="G2697" r:id="rId5389" display="Deed - Attribution-NonCommercial 4.0 International - Creative Commons"/>
    <hyperlink ref="H2697" r:id="rId5390" display="https://www.inaturalist.org/observations/393207242"/>
    <hyperlink ref="G2698" r:id="rId5391" display="Deed - Attribution-NonCommercial 4.0 International - Creative Commons"/>
    <hyperlink ref="H2698" r:id="rId5392" display="https://www.inaturalist.org/observations/393191331"/>
    <hyperlink ref="G2699" r:id="rId5393" display="Deed - Attribution-NonCommercial 4.0 International - Creative Commons"/>
    <hyperlink ref="H2699" r:id="rId5394" display="https://www.inaturalist.org/observations/392846538"/>
    <hyperlink ref="G2700" r:id="rId5395" display="Deed - Attribution-NonCommercial 4.0 International - Creative Commons"/>
    <hyperlink ref="H2700" r:id="rId5396" display="https://www.inaturalist.org/observations/392637352"/>
    <hyperlink ref="G2701" r:id="rId5397" display="Deed - Attribution-NonCommercial 4.0 International - Creative Commons"/>
    <hyperlink ref="H2701" r:id="rId5398" display="https://www.inaturalist.org/observations/392627957"/>
    <hyperlink ref="G2702" r:id="rId5399" display="Deed - Attribution-NonCommercial 4.0 International - Creative Commons"/>
    <hyperlink ref="H2702" r:id="rId5400" display="https://www.inaturalist.org/observations/392489532"/>
    <hyperlink ref="G2703" r:id="rId5401" display="Deed - Attribution-NonCommercial 4.0 International - Creative Commons"/>
    <hyperlink ref="H2703" r:id="rId5402" display="https://www.inaturalist.org/observations/392486249"/>
    <hyperlink ref="G2704" r:id="rId5403" display="Deed - Attribution-NonCommercial 4.0 International - Creative Commons"/>
    <hyperlink ref="H2704" r:id="rId5404" display="https://www.inaturalist.org/observations/392479902"/>
    <hyperlink ref="G2705" r:id="rId5405" display="Deed - Attribution-NonCommercial 4.0 International - Creative Commons"/>
    <hyperlink ref="H2705" r:id="rId5406" display="https://www.inaturalist.org/observations/392379058"/>
    <hyperlink ref="G2706" r:id="rId5407" display="Deed - Attribution-NonCommercial 4.0 International - Creative Commons"/>
    <hyperlink ref="H2706" r:id="rId5408" display="https://www.inaturalist.org/observations/400585812"/>
    <hyperlink ref="G2707" r:id="rId5409" display="Deed - Attribution-NonCommercial 4.0 International - Creative Commons"/>
    <hyperlink ref="H2707" r:id="rId5410" display="https://www.inaturalist.org/observations/400581867"/>
    <hyperlink ref="G2708" r:id="rId5411" display="Deed - Attribution-NonCommercial 4.0 International - Creative Commons"/>
    <hyperlink ref="H2708" r:id="rId5412" display="https://www.inaturalist.org/observations/400581422"/>
    <hyperlink ref="G2709" r:id="rId5413" display="Deed - Attribution-NonCommercial 4.0 International - Creative Commons"/>
    <hyperlink ref="H2709" r:id="rId5414" display="https://www.inaturalist.org/observations/400581379"/>
    <hyperlink ref="G2710" r:id="rId5415" display="Deed - Attribution-NonCommercial 4.0 International - Creative Commons"/>
    <hyperlink ref="H2710" r:id="rId5416" display="https://www.inaturalist.org/observations/400581080"/>
    <hyperlink ref="G2711" r:id="rId5417" display="Deed - Attribution-NonCommercial 4.0 International - Creative Commons"/>
    <hyperlink ref="H2711" r:id="rId5418" display="https://www.inaturalist.org/observations/400580071"/>
    <hyperlink ref="G2712" r:id="rId5419" display="Deed - Attribution-NonCommercial 4.0 International - Creative Commons"/>
    <hyperlink ref="H2712" r:id="rId5420" display="https://www.inaturalist.org/observations/400579177"/>
    <hyperlink ref="G2713" r:id="rId5421" display="Deed - Attribution-NonCommercial 4.0 International - Creative Commons"/>
    <hyperlink ref="H2713" r:id="rId5422" display="https://www.inaturalist.org/observations/400578407"/>
    <hyperlink ref="G2714" r:id="rId5423" display="Deed - Attribution-NonCommercial 4.0 International - Creative Commons"/>
    <hyperlink ref="H2714" r:id="rId5424" display="https://www.inaturalist.org/observations/400577317"/>
    <hyperlink ref="G2715" r:id="rId5425" display="Deed - Attribution-NonCommercial 4.0 International - Creative Commons"/>
    <hyperlink ref="H2715" r:id="rId5426" display="https://www.inaturalist.org/observations/400576769"/>
    <hyperlink ref="G2716" r:id="rId5427" display="Deed - Attribution-NonCommercial 4.0 International - Creative Commons"/>
    <hyperlink ref="H2716" r:id="rId5428" display="https://www.inaturalist.org/observations/400576321"/>
    <hyperlink ref="G2717" r:id="rId5429" display="Deed - Attribution-NonCommercial 4.0 International - Creative Commons"/>
    <hyperlink ref="H2717" r:id="rId5430" display="https://www.inaturalist.org/observations/400576161"/>
    <hyperlink ref="G2718" r:id="rId5431" display="Deed - Attribution-NonCommercial 4.0 International - Creative Commons"/>
    <hyperlink ref="H2718" r:id="rId5432" display="https://www.inaturalist.org/observations/400576058"/>
    <hyperlink ref="G2719" r:id="rId5433" display="Deed - Attribution-NonCommercial 4.0 International - Creative Commons"/>
    <hyperlink ref="H2719" r:id="rId5434" display="https://www.inaturalist.org/observations/400575520"/>
    <hyperlink ref="G2720" r:id="rId5435" display="Deed - Attribution-NonCommercial 4.0 International - Creative Commons"/>
    <hyperlink ref="H2720" r:id="rId5436" display="https://www.inaturalist.org/observations/400574077"/>
    <hyperlink ref="G2721" r:id="rId5437" display="Deed - Attribution-NonCommercial 4.0 International - Creative Commons"/>
    <hyperlink ref="H2721" r:id="rId5438" display="https://www.inaturalist.org/observations/400573178"/>
    <hyperlink ref="G2722" r:id="rId5439" display="Deed - Attribution-NonCommercial 4.0 International - Creative Commons"/>
    <hyperlink ref="H2722" r:id="rId5440" display="https://www.inaturalist.org/observations/400571140"/>
    <hyperlink ref="G2723" r:id="rId5441" display="Deed - Attribution-NonCommercial 4.0 International - Creative Commons"/>
    <hyperlink ref="H2723" r:id="rId5442" display="https://www.inaturalist.org/observations/400568268"/>
    <hyperlink ref="G2724" r:id="rId5443" display="Deed - Attribution-NonCommercial 4.0 International - Creative Commons"/>
    <hyperlink ref="H2724" r:id="rId5444" display="https://www.inaturalist.org/observations/400568236"/>
    <hyperlink ref="G2725" r:id="rId5445" display="Deed - Attribution-NonCommercial 4.0 International - Creative Commons"/>
    <hyperlink ref="H2725" r:id="rId5446" display="https://www.inaturalist.org/observations/400567703"/>
    <hyperlink ref="G2726" r:id="rId5447" display="Deed - Attribution-NonCommercial 4.0 International - Creative Commons"/>
    <hyperlink ref="H2726" r:id="rId5448" display="https://www.inaturalist.org/observations/400567637"/>
    <hyperlink ref="G2727" r:id="rId5449" display="Deed - Attribution-NonCommercial 4.0 International - Creative Commons"/>
    <hyperlink ref="H2727" r:id="rId5450" display="https://www.inaturalist.org/observations/400566521"/>
    <hyperlink ref="G2728" r:id="rId5451" display="Deed - Attribution-NonCommercial 4.0 International - Creative Commons"/>
    <hyperlink ref="H2728" r:id="rId5452" display="https://www.inaturalist.org/observations/400566509"/>
    <hyperlink ref="G2729" r:id="rId5453" display="Deed - Attribution-NonCommercial 4.0 International - Creative Commons"/>
    <hyperlink ref="H2729" r:id="rId5454" display="https://www.inaturalist.org/observations/400564723"/>
    <hyperlink ref="G2730" r:id="rId5455" display="Deed - Attribution-NonCommercial 4.0 International - Creative Commons"/>
    <hyperlink ref="H2730" r:id="rId5456" display="https://www.inaturalist.org/observations/400563330"/>
    <hyperlink ref="G2731" r:id="rId5457" display="Deed - Attribution-NonCommercial 4.0 International - Creative Commons"/>
    <hyperlink ref="H2731" r:id="rId5458" display="https://www.inaturalist.org/observations/400562853"/>
    <hyperlink ref="G2732" r:id="rId5459" display="Deed - Attribution-NonCommercial 4.0 International - Creative Commons"/>
    <hyperlink ref="H2732" r:id="rId5460" display="https://www.inaturalist.org/observations/400562355"/>
    <hyperlink ref="G2733" r:id="rId5461" display="Deed - Attribution-NonCommercial 4.0 International - Creative Commons"/>
    <hyperlink ref="H2733" r:id="rId5462" display="https://www.inaturalist.org/observations/400562284"/>
    <hyperlink ref="G2734" r:id="rId5463" display="Deed - Attribution-NonCommercial 4.0 International - Creative Commons"/>
    <hyperlink ref="H2734" r:id="rId5464" display="https://www.inaturalist.org/observations/400561625"/>
    <hyperlink ref="G2735" r:id="rId5465" display="Deed - Attribution-NonCommercial 4.0 International - Creative Commons"/>
    <hyperlink ref="H2735" r:id="rId5466" display="https://www.inaturalist.org/observations/400559076"/>
    <hyperlink ref="G2736" r:id="rId5467" display="Deed - Attribution-NonCommercial 4.0 International - Creative Commons"/>
    <hyperlink ref="H2736" r:id="rId5468" display="https://www.inaturalist.org/observations/400558566"/>
    <hyperlink ref="G2737" r:id="rId5469" display="Deed - Attribution-NonCommercial 4.0 International - Creative Commons"/>
    <hyperlink ref="H2737" r:id="rId5470" display="https://www.inaturalist.org/observations/400558044"/>
    <hyperlink ref="G2738" r:id="rId5471" display="Deed - Attribution-NonCommercial 4.0 International - Creative Commons"/>
    <hyperlink ref="H2738" r:id="rId5472" display="https://www.inaturalist.org/observations/400557583"/>
    <hyperlink ref="G2739" r:id="rId5473" display="Deed - Attribution-NonCommercial 4.0 International - Creative Commons"/>
    <hyperlink ref="H2739" r:id="rId5474" display="https://www.inaturalist.org/observations/400554621"/>
    <hyperlink ref="G2740" r:id="rId5475" display="Deed - Attribution-NonCommercial 4.0 International - Creative Commons"/>
    <hyperlink ref="H2740" r:id="rId5476" display="https://www.inaturalist.org/observations/400554078"/>
    <hyperlink ref="G2741" r:id="rId5477" display="Deed - Attribution-NonCommercial 4.0 International - Creative Commons"/>
    <hyperlink ref="H2741" r:id="rId5478" display="https://www.inaturalist.org/observations/400553335"/>
    <hyperlink ref="G2742" r:id="rId5479" display="Deed - Attribution-NonCommercial 4.0 International - Creative Commons"/>
    <hyperlink ref="H2742" r:id="rId5480" display="https://www.inaturalist.org/observations/400553054"/>
    <hyperlink ref="G2743" r:id="rId5481" display="Deed - Attribution-NonCommercial 4.0 International - Creative Commons"/>
    <hyperlink ref="H2743" r:id="rId5482" display="https://www.inaturalist.org/observations/400552507"/>
    <hyperlink ref="G2744" r:id="rId5483" display="Deed - Attribution-NonCommercial 4.0 International - Creative Commons"/>
    <hyperlink ref="H2744" r:id="rId5484" display="https://www.inaturalist.org/observations/400550948"/>
    <hyperlink ref="G2745" r:id="rId5485" display="Deed - Attribution-NonCommercial 4.0 International - Creative Commons"/>
    <hyperlink ref="H2745" r:id="rId5486" display="https://www.inaturalist.org/observations/400549988"/>
    <hyperlink ref="G2746" r:id="rId5487" display="Deed - Attribution-NonCommercial 4.0 International - Creative Commons"/>
    <hyperlink ref="H2746" r:id="rId5488" display="https://www.inaturalist.org/observations/400549658"/>
    <hyperlink ref="G2747" r:id="rId5489" display="Deed - Attribution-NonCommercial 4.0 International - Creative Commons"/>
    <hyperlink ref="H2747" r:id="rId5490" display="https://www.inaturalist.org/observations/400545071"/>
    <hyperlink ref="G2748" r:id="rId5491" display="Deed - Attribution-NonCommercial 4.0 International - Creative Commons"/>
    <hyperlink ref="H2748" r:id="rId5492" display="https://www.inaturalist.org/observations/400540475"/>
    <hyperlink ref="G2749" r:id="rId5493" display="Deed - Attribution-NonCommercial 4.0 International - Creative Commons"/>
    <hyperlink ref="H2749" r:id="rId5494" display="https://www.inaturalist.org/observations/400539636"/>
    <hyperlink ref="G2750" r:id="rId5495" display="Deed - Attribution-NonCommercial 4.0 International - Creative Commons"/>
    <hyperlink ref="H2750" r:id="rId5496" display="https://www.inaturalist.org/observations/400539243"/>
    <hyperlink ref="G2751" r:id="rId5497" display="Deed - Attribution-NonCommercial 4.0 International - Creative Commons"/>
    <hyperlink ref="H2751" r:id="rId5498" display="https://www.inaturalist.org/observations/400538821"/>
    <hyperlink ref="G2752" r:id="rId5499" display="Deed - Attribution-NonCommercial 4.0 International - Creative Commons"/>
    <hyperlink ref="H2752" r:id="rId5500" display="https://www.inaturalist.org/observations/400538154"/>
    <hyperlink ref="G2753" r:id="rId5501" display="Deed - Attribution-NonCommercial 4.0 International - Creative Commons"/>
    <hyperlink ref="H2753" r:id="rId5502" display="https://www.inaturalist.org/observations/400537859"/>
    <hyperlink ref="G2754" r:id="rId5503" display="Deed - Attribution-NonCommercial 4.0 International - Creative Commons"/>
    <hyperlink ref="H2754" r:id="rId5504" display="https://www.inaturalist.org/observations/400527078"/>
    <hyperlink ref="G2755" r:id="rId5505" display="Deed - Attribution-NonCommercial 4.0 International - Creative Commons"/>
    <hyperlink ref="H2755" r:id="rId5506" display="https://www.inaturalist.org/observations/400524882"/>
    <hyperlink ref="G2756" r:id="rId5507" display="Deed - Attribution-NonCommercial 4.0 International - Creative Commons"/>
    <hyperlink ref="H2756" r:id="rId5508" display="https://www.inaturalist.org/observations/400523659"/>
    <hyperlink ref="G2757" r:id="rId5509" display="Deed - Attribution-NonCommercial 4.0 International - Creative Commons"/>
    <hyperlink ref="H2757" r:id="rId5510" display="https://www.inaturalist.org/observations/400522849"/>
    <hyperlink ref="G2758" r:id="rId5511" display="Deed - Attribution-NonCommercial 4.0 International - Creative Commons"/>
    <hyperlink ref="H2758" r:id="rId5512" display="https://www.inaturalist.org/observations/400521674"/>
    <hyperlink ref="G2759" r:id="rId5513" display="Deed - Attribution-NonCommercial 4.0 International - Creative Commons"/>
    <hyperlink ref="H2759" r:id="rId5514" display="https://www.inaturalist.org/observations/400517972"/>
    <hyperlink ref="G2760" r:id="rId5515" display="Deed - Attribution-NonCommercial 4.0 International - Creative Commons"/>
    <hyperlink ref="H2760" r:id="rId5516" display="https://www.inaturalist.org/observations/400517701"/>
    <hyperlink ref="G2761" r:id="rId5517" display="Deed - Attribution-NonCommercial 4.0 International - Creative Commons"/>
    <hyperlink ref="H2761" r:id="rId5518" display="https://www.inaturalist.org/observations/400516987"/>
    <hyperlink ref="G2762" r:id="rId5519" display="Deed - Attribution-NonCommercial 4.0 International - Creative Commons"/>
    <hyperlink ref="H2762" r:id="rId5520" display="https://www.inaturalist.org/observations/400515951"/>
    <hyperlink ref="G2763" r:id="rId5521" display="Deed - Attribution-NonCommercial 4.0 International - Creative Commons"/>
    <hyperlink ref="H2763" r:id="rId5522" display="https://www.inaturalist.org/observations/400515482"/>
    <hyperlink ref="G2764" r:id="rId5523" display="Deed - Attribution-NonCommercial 4.0 International - Creative Commons"/>
    <hyperlink ref="H2764" r:id="rId5524" display="https://www.inaturalist.org/observations/400515335"/>
    <hyperlink ref="G2765" r:id="rId5525" display="Deed - Attribution-NonCommercial 4.0 International - Creative Commons"/>
    <hyperlink ref="H2765" r:id="rId5526" display="https://www.inaturalist.org/observations/400513892"/>
    <hyperlink ref="G2766" r:id="rId5527" display="Deed - Attribution-NonCommercial 4.0 International - Creative Commons"/>
    <hyperlink ref="H2766" r:id="rId5528" display="https://www.inaturalist.org/observations/400513800"/>
    <hyperlink ref="G2767" r:id="rId5529" display="Deed - Attribution-NonCommercial 4.0 International - Creative Commons"/>
    <hyperlink ref="H2767" r:id="rId5530" display="https://www.inaturalist.org/observations/400513495"/>
    <hyperlink ref="G2768" r:id="rId5531" display="Deed - Attribution-NonCommercial 4.0 International - Creative Commons"/>
    <hyperlink ref="H2768" r:id="rId5532" display="https://www.inaturalist.org/observations/400512851"/>
    <hyperlink ref="G2769" r:id="rId5533" display="Deed - Attribution-NonCommercial 4.0 International - Creative Commons"/>
    <hyperlink ref="H2769" r:id="rId5534" display="https://www.inaturalist.org/observations/400510761"/>
    <hyperlink ref="G2770" r:id="rId5535" display="Deed - Attribution-NonCommercial 4.0 International - Creative Commons"/>
    <hyperlink ref="H2770" r:id="rId5536" display="https://www.inaturalist.org/observations/400509905"/>
    <hyperlink ref="G2771" r:id="rId5537" display="Deed - Attribution-NonCommercial 4.0 International - Creative Commons"/>
    <hyperlink ref="H2771" r:id="rId5538" display="https://www.inaturalist.org/observations/400509837"/>
    <hyperlink ref="G2772" r:id="rId5539" display="Deed - Attribution-NonCommercial 4.0 International - Creative Commons"/>
    <hyperlink ref="H2772" r:id="rId5540" display="https://www.inaturalist.org/observations/400508565"/>
    <hyperlink ref="G2773" r:id="rId5541" display="Deed - Attribution-NonCommercial 4.0 International - Creative Commons"/>
    <hyperlink ref="H2773" r:id="rId5542" display="https://www.inaturalist.org/observations/400508234"/>
    <hyperlink ref="G2774" r:id="rId5543" display="Deed - Attribution-NonCommercial 4.0 International - Creative Commons"/>
    <hyperlink ref="H2774" r:id="rId5544" display="https://www.inaturalist.org/observations/400507842"/>
    <hyperlink ref="G2775" r:id="rId5545" display="Deed - Attribution-NonCommercial 4.0 International - Creative Commons"/>
    <hyperlink ref="H2775" r:id="rId5546" display="https://www.inaturalist.org/observations/400507392"/>
    <hyperlink ref="G2776" r:id="rId5547" display="Deed - Attribution-NonCommercial 4.0 International - Creative Commons"/>
    <hyperlink ref="H2776" r:id="rId5548" display="https://www.inaturalist.org/observations/400506577"/>
    <hyperlink ref="G2777" r:id="rId5549" display="Deed - Attribution-NonCommercial 4.0 International - Creative Commons"/>
    <hyperlink ref="H2777" r:id="rId5550" display="https://www.inaturalist.org/observations/400505805"/>
    <hyperlink ref="G2778" r:id="rId5551" display="Deed - Attribution-NonCommercial 4.0 International - Creative Commons"/>
    <hyperlink ref="H2778" r:id="rId5552" display="https://www.inaturalist.org/observations/400505711"/>
    <hyperlink ref="G2779" r:id="rId5553" display="Deed - Attribution-NonCommercial 4.0 International - Creative Commons"/>
    <hyperlink ref="H2779" r:id="rId5554" display="https://www.inaturalist.org/observations/400505108"/>
    <hyperlink ref="G2780" r:id="rId5555" display="Deed - Attribution-NonCommercial 4.0 International - Creative Commons"/>
    <hyperlink ref="H2780" r:id="rId5556" display="https://www.inaturalist.org/observations/400503889"/>
    <hyperlink ref="G2781" r:id="rId5557" display="Deed - Attribution-NonCommercial 4.0 International - Creative Commons"/>
    <hyperlink ref="H2781" r:id="rId5558" display="https://www.inaturalist.org/observations/400503780"/>
    <hyperlink ref="G2782" r:id="rId5559" display="Deed - Attribution-NonCommercial 4.0 International - Creative Commons"/>
    <hyperlink ref="H2782" r:id="rId5560" display="https://www.inaturalist.org/observations/400503296"/>
    <hyperlink ref="G2783" r:id="rId5561" display="Deed - Attribution-NonCommercial 4.0 International - Creative Commons"/>
    <hyperlink ref="H2783" r:id="rId5562" display="https://www.inaturalist.org/observations/400502002"/>
    <hyperlink ref="G2784" r:id="rId5563" display="Deed - Attribution-NonCommercial 4.0 International - Creative Commons"/>
    <hyperlink ref="H2784" r:id="rId5564" display="https://www.inaturalist.org/observations/400501065"/>
    <hyperlink ref="G2785" r:id="rId5565" display="Deed - Attribution-NonCommercial 4.0 International - Creative Commons"/>
    <hyperlink ref="H2785" r:id="rId5566" display="https://www.inaturalist.org/observations/400499349"/>
    <hyperlink ref="G2786" r:id="rId5567" display="Deed - Attribution-NonCommercial 4.0 International - Creative Commons"/>
    <hyperlink ref="H2786" r:id="rId5568" display="https://www.inaturalist.org/observations/400496719"/>
    <hyperlink ref="G2787" r:id="rId5569" display="Deed - Attribution-NonCommercial 4.0 International - Creative Commons"/>
    <hyperlink ref="H2787" r:id="rId5570" display="https://www.inaturalist.org/observations/400496694"/>
    <hyperlink ref="G2788" r:id="rId5571" display="Deed - Attribution-NonCommercial 4.0 International - Creative Commons"/>
    <hyperlink ref="H2788" r:id="rId5572" display="https://www.inaturalist.org/observations/400496681"/>
    <hyperlink ref="G2789" r:id="rId5573" display="Deed - Attribution-NonCommercial 4.0 International - Creative Commons"/>
    <hyperlink ref="H2789" r:id="rId5574" display="https://www.inaturalist.org/observations/400495553"/>
    <hyperlink ref="G2790" r:id="rId5575" display="Deed - Attribution-NonCommercial 4.0 International - Creative Commons"/>
    <hyperlink ref="H2790" r:id="rId5576" display="https://www.inaturalist.org/observations/400494667"/>
    <hyperlink ref="G2791" r:id="rId5577" display="Deed - Attribution-NonCommercial 4.0 International - Creative Commons"/>
    <hyperlink ref="H2791" r:id="rId5578" display="https://www.inaturalist.org/observations/400493854"/>
    <hyperlink ref="G2792" r:id="rId5579" display="Deed - Attribution-NonCommercial 4.0 International - Creative Commons"/>
    <hyperlink ref="H2792" r:id="rId5580" display="https://www.inaturalist.org/observations/400492746"/>
    <hyperlink ref="G2793" r:id="rId5581" display="Deed - Attribution-NonCommercial 4.0 International - Creative Commons"/>
    <hyperlink ref="H2793" r:id="rId5582" display="https://www.inaturalist.org/observations/400492625"/>
    <hyperlink ref="G2794" r:id="rId5583" display="Deed - Attribution-NonCommercial 4.0 International - Creative Commons"/>
    <hyperlink ref="H2794" r:id="rId5584" display="https://www.inaturalist.org/observations/400492443"/>
    <hyperlink ref="G2795" r:id="rId5585" display="Deed - Attribution-NonCommercial 4.0 International - Creative Commons"/>
    <hyperlink ref="H2795" r:id="rId5586" display="https://www.inaturalist.org/observations/400490878"/>
    <hyperlink ref="G2796" r:id="rId5587" display="Deed - Attribution-NonCommercial 4.0 International - Creative Commons"/>
    <hyperlink ref="H2796" r:id="rId5588" display="https://www.inaturalist.org/observations/400490413"/>
    <hyperlink ref="G2797" r:id="rId5589" display="Deed - Attribution-NonCommercial 4.0 International - Creative Commons"/>
    <hyperlink ref="H2797" r:id="rId5590" display="https://www.inaturalist.org/observations/400486959"/>
    <hyperlink ref="G2798" r:id="rId5591" display="Deed - Attribution-NonCommercial 4.0 International - Creative Commons"/>
    <hyperlink ref="H2798" r:id="rId5592" display="https://www.inaturalist.org/observations/400486446"/>
    <hyperlink ref="G2799" r:id="rId5593" display="Deed - Attribution-NonCommercial 4.0 International - Creative Commons"/>
    <hyperlink ref="H2799" r:id="rId5594" display="https://www.inaturalist.org/observations/400486308"/>
    <hyperlink ref="G2800" r:id="rId5595" display="Deed - Attribution-NonCommercial 4.0 International - Creative Commons"/>
    <hyperlink ref="H2800" r:id="rId5596" display="https://www.inaturalist.org/observations/400485161"/>
    <hyperlink ref="G2801" r:id="rId5597" display="Deed - Attribution-NonCommercial 4.0 International - Creative Commons"/>
    <hyperlink ref="H2801" r:id="rId5598" display="https://www.inaturalist.org/observations/400484959"/>
    <hyperlink ref="G2802" r:id="rId5599" display="Deed - Attribution-NonCommercial 4.0 International - Creative Commons"/>
    <hyperlink ref="H2802" r:id="rId5600" display="https://www.inaturalist.org/observations/400484814"/>
    <hyperlink ref="G2803" r:id="rId5601" display="Deed - Attribution-NonCommercial 4.0 International - Creative Commons"/>
    <hyperlink ref="H2803" r:id="rId5602" display="https://www.inaturalist.org/observations/400484305"/>
    <hyperlink ref="G2804" r:id="rId5603" display="Deed - Attribution-NonCommercial 4.0 International - Creative Commons"/>
    <hyperlink ref="H2804" r:id="rId5604" display="https://www.inaturalist.org/observations/400477479"/>
    <hyperlink ref="G2805" r:id="rId5605" display="Deed - Attribution-NonCommercial 4.0 International - Creative Commons"/>
    <hyperlink ref="H2805" r:id="rId5606" display="https://www.inaturalist.org/observations/400477309"/>
    <hyperlink ref="G2806" r:id="rId5607" display="Deed - Attribution-NonCommercial 4.0 International - Creative Commons"/>
    <hyperlink ref="H2806" r:id="rId5608" display="https://www.inaturalist.org/observations/400475493"/>
    <hyperlink ref="G2807" r:id="rId5609" display="Deed - Attribution-NonCommercial 4.0 International - Creative Commons"/>
    <hyperlink ref="H2807" r:id="rId5610" display="https://www.inaturalist.org/observations/400475308"/>
    <hyperlink ref="G2808" r:id="rId5611" display="Deed - Attribution-NonCommercial 4.0 International - Creative Commons"/>
    <hyperlink ref="H2808" r:id="rId5612" display="https://www.inaturalist.org/observations/400474308"/>
    <hyperlink ref="G2809" r:id="rId5613" display="Deed - Attribution-NonCommercial 4.0 International - Creative Commons"/>
    <hyperlink ref="H2809" r:id="rId5614" display="https://www.inaturalist.org/observations/400473593"/>
    <hyperlink ref="G2810" r:id="rId5615" display="Deed - Attribution-NonCommercial 4.0 International - Creative Commons"/>
    <hyperlink ref="H2810" r:id="rId5616" display="https://www.inaturalist.org/observations/400472669"/>
    <hyperlink ref="G2811" r:id="rId5617" display="Deed - Attribution-NonCommercial 4.0 International - Creative Commons"/>
    <hyperlink ref="H2811" r:id="rId5618" display="https://www.inaturalist.org/observations/400471248"/>
    <hyperlink ref="G2812" r:id="rId5619" display="Deed - Attribution-NonCommercial 4.0 International - Creative Commons"/>
    <hyperlink ref="H2812" r:id="rId5620" display="https://www.inaturalist.org/observations/400469907"/>
    <hyperlink ref="G2813" r:id="rId5621" display="Deed - Attribution-NonCommercial 4.0 International - Creative Commons"/>
    <hyperlink ref="H2813" r:id="rId5622" display="https://www.inaturalist.org/observations/400469847"/>
    <hyperlink ref="G2814" r:id="rId5623" display="Deed - Attribution-NonCommercial 4.0 International - Creative Commons"/>
    <hyperlink ref="H2814" r:id="rId5624" display="https://www.inaturalist.org/observations/400469753"/>
    <hyperlink ref="G2815" r:id="rId5625" display="Deed - Attribution-NonCommercial 4.0 International - Creative Commons"/>
    <hyperlink ref="H2815" r:id="rId5626" display="https://www.inaturalist.org/observations/400469649"/>
    <hyperlink ref="G2816" r:id="rId5627" display="Deed - Attribution-NonCommercial 4.0 International - Creative Commons"/>
    <hyperlink ref="H2816" r:id="rId5628" display="https://www.inaturalist.org/observations/400469567"/>
    <hyperlink ref="G2817" r:id="rId5629" display="Deed - Attribution-NonCommercial 4.0 International - Creative Commons"/>
    <hyperlink ref="H2817" r:id="rId5630" display="https://www.inaturalist.org/observations/400469185"/>
    <hyperlink ref="G2818" r:id="rId5631" display="Deed - Attribution-NonCommercial 4.0 International - Creative Commons"/>
    <hyperlink ref="H2818" r:id="rId5632" display="https://www.inaturalist.org/observations/400465088"/>
    <hyperlink ref="G2819" r:id="rId5633" display="Deed - Attribution-NonCommercial 4.0 International - Creative Commons"/>
    <hyperlink ref="H2819" r:id="rId5634" display="https://www.inaturalist.org/observations/400464152"/>
    <hyperlink ref="G2820" r:id="rId5635" display="Deed - Attribution-NonCommercial 4.0 International - Creative Commons"/>
    <hyperlink ref="H2820" r:id="rId5636" display="https://www.inaturalist.org/observations/400463925"/>
    <hyperlink ref="G2821" r:id="rId5637" display="Deed - Attribution-NonCommercial 4.0 International - Creative Commons"/>
    <hyperlink ref="H2821" r:id="rId5638" display="https://www.inaturalist.org/observations/400463213"/>
    <hyperlink ref="G2822" r:id="rId5639" display="Deed - Attribution-NonCommercial 4.0 International - Creative Commons"/>
    <hyperlink ref="H2822" r:id="rId5640" display="https://www.inaturalist.org/observations/400463143"/>
    <hyperlink ref="G2823" r:id="rId5641" display="Deed - Attribution-NonCommercial 4.0 International - Creative Commons"/>
    <hyperlink ref="H2823" r:id="rId5642" display="https://www.inaturalist.org/observations/400463108"/>
    <hyperlink ref="G2824" r:id="rId5643" display="Deed - Attribution-NonCommercial 4.0 International - Creative Commons"/>
    <hyperlink ref="H2824" r:id="rId5644" display="https://www.inaturalist.org/observations/400463007"/>
    <hyperlink ref="G2825" r:id="rId5645" display="Deed - Attribution-NonCommercial 4.0 International - Creative Commons"/>
    <hyperlink ref="H2825" r:id="rId5646" display="https://www.inaturalist.org/observations/400462575"/>
    <hyperlink ref="G2826" r:id="rId5647" display="Deed - Attribution-NonCommercial 4.0 International - Creative Commons"/>
    <hyperlink ref="H2826" r:id="rId5648" display="https://www.inaturalist.org/observations/400462042"/>
    <hyperlink ref="G2827" r:id="rId5649" display="Deed - Attribution-NonCommercial 4.0 International - Creative Commons"/>
    <hyperlink ref="H2827" r:id="rId5650" display="https://www.inaturalist.org/observations/400461112"/>
    <hyperlink ref="G2828" r:id="rId5651" display="Deed - Attribution-NonCommercial 4.0 International - Creative Commons"/>
    <hyperlink ref="H2828" r:id="rId5652" display="https://www.inaturalist.org/observations/400460742"/>
    <hyperlink ref="G2829" r:id="rId5653" display="Deed - Attribution-NonCommercial 4.0 International - Creative Commons"/>
    <hyperlink ref="H2829" r:id="rId5654" display="https://www.inaturalist.org/observations/400460652"/>
    <hyperlink ref="G2830" r:id="rId5655" display="Deed - Attribution-NonCommercial 4.0 International - Creative Commons"/>
    <hyperlink ref="H2830" r:id="rId5656" display="https://www.inaturalist.org/observations/400460587"/>
    <hyperlink ref="G2831" r:id="rId5657" display="Deed - Attribution-NonCommercial 4.0 International - Creative Commons"/>
    <hyperlink ref="H2831" r:id="rId5658" display="https://www.inaturalist.org/observations/400460052"/>
    <hyperlink ref="G2832" r:id="rId5659" display="Deed - Attribution-NonCommercial 4.0 International - Creative Commons"/>
    <hyperlink ref="H2832" r:id="rId5660" display="https://www.inaturalist.org/observations/400459866"/>
    <hyperlink ref="G2833" r:id="rId5661" display="Deed - Attribution-NonCommercial 4.0 International - Creative Commons"/>
    <hyperlink ref="H2833" r:id="rId5662" display="https://www.inaturalist.org/observations/400456484"/>
    <hyperlink ref="G2834" r:id="rId5663" display="Deed - Attribution-NonCommercial 4.0 International - Creative Commons"/>
    <hyperlink ref="H2834" r:id="rId5664" display="https://www.inaturalist.org/observations/400456207"/>
    <hyperlink ref="G2835" r:id="rId5665" display="Deed - Attribution-NonCommercial 4.0 International - Creative Commons"/>
    <hyperlink ref="H2835" r:id="rId5666" display="https://www.inaturalist.org/observations/400455516"/>
    <hyperlink ref="G2836" r:id="rId5667" display="Deed - Attribution-NonCommercial 4.0 International - Creative Commons"/>
    <hyperlink ref="H2836" r:id="rId5668" display="https://www.inaturalist.org/observations/400455352"/>
    <hyperlink ref="G2837" r:id="rId5669" display="Deed - Attribution-NonCommercial 4.0 International - Creative Commons"/>
    <hyperlink ref="H2837" r:id="rId5670" display="https://www.inaturalist.org/observations/400454870"/>
    <hyperlink ref="G2838" r:id="rId5671" display="Deed - Attribution-NonCommercial 4.0 International - Creative Commons"/>
    <hyperlink ref="H2838" r:id="rId5672" display="https://www.inaturalist.org/observations/400453437"/>
    <hyperlink ref="G2839" r:id="rId5673" display="Deed - Attribution-NonCommercial 4.0 International - Creative Commons"/>
    <hyperlink ref="H2839" r:id="rId5674" display="https://www.inaturalist.org/observations/400451125"/>
    <hyperlink ref="G2840" r:id="rId5675" display="Deed - Attribution-NonCommercial 4.0 International - Creative Commons"/>
    <hyperlink ref="H2840" r:id="rId5676" display="https://www.inaturalist.org/observations/400451101"/>
    <hyperlink ref="G2841" r:id="rId5677" display="Deed - Attribution-NonCommercial 4.0 International - Creative Commons"/>
    <hyperlink ref="H2841" r:id="rId5678" display="https://www.inaturalist.org/observations/400451054"/>
    <hyperlink ref="G2842" r:id="rId5679" display="Deed - Attribution-NonCommercial 4.0 International - Creative Commons"/>
    <hyperlink ref="H2842" r:id="rId5680" display="https://www.inaturalist.org/observations/400450898"/>
    <hyperlink ref="G2843" r:id="rId5681" display="Deed - Attribution-NonCommercial 4.0 International - Creative Commons"/>
    <hyperlink ref="H2843" r:id="rId5682" display="https://www.inaturalist.org/observations/400448788"/>
    <hyperlink ref="G2844" r:id="rId5683" display="Deed - Attribution-NonCommercial 4.0 International - Creative Commons"/>
    <hyperlink ref="H2844" r:id="rId5684" display="https://www.inaturalist.org/observations/400448597"/>
    <hyperlink ref="G2845" r:id="rId5685" display="Deed - Attribution-NonCommercial 4.0 International - Creative Commons"/>
    <hyperlink ref="H2845" r:id="rId5686" display="https://www.inaturalist.org/observations/400446797"/>
    <hyperlink ref="G2846" r:id="rId5687" display="Deed - Attribution-NonCommercial 4.0 International - Creative Commons"/>
    <hyperlink ref="H2846" r:id="rId5688" display="https://www.inaturalist.org/observations/400445840"/>
    <hyperlink ref="G2847" r:id="rId5689" display="Deed - Attribution-NonCommercial 4.0 International - Creative Commons"/>
    <hyperlink ref="H2847" r:id="rId5690" display="https://www.inaturalist.org/observations/400444034"/>
    <hyperlink ref="G2848" r:id="rId5691" display="Deed - Attribution-NonCommercial 4.0 International - Creative Commons"/>
    <hyperlink ref="H2848" r:id="rId5692" display="https://www.inaturalist.org/observations/400443566"/>
    <hyperlink ref="G2849" r:id="rId5693" display="Deed - Attribution-NonCommercial 4.0 International - Creative Commons"/>
    <hyperlink ref="H2849" r:id="rId5694" display="https://www.inaturalist.org/observations/400443208"/>
    <hyperlink ref="G2850" r:id="rId5695" display="Deed - Attribution-NonCommercial 4.0 International - Creative Commons"/>
    <hyperlink ref="H2850" r:id="rId5696" display="https://www.inaturalist.org/observations/400442663"/>
    <hyperlink ref="G2851" r:id="rId5697" display="Deed - Attribution-NonCommercial 4.0 International - Creative Commons"/>
    <hyperlink ref="H2851" r:id="rId5698" display="https://www.inaturalist.org/observations/400442105"/>
    <hyperlink ref="G2852" r:id="rId5699" display="Deed - Attribution-NonCommercial 4.0 International - Creative Commons"/>
    <hyperlink ref="H2852" r:id="rId5700" display="https://www.inaturalist.org/observations/400442023"/>
    <hyperlink ref="G2853" r:id="rId5701" display="Deed - Attribution-NonCommercial 4.0 International - Creative Commons"/>
    <hyperlink ref="H2853" r:id="rId5702" display="https://www.inaturalist.org/observations/400441558"/>
    <hyperlink ref="G2854" r:id="rId5703" display="Deed - Attribution-NonCommercial 4.0 International - Creative Commons"/>
    <hyperlink ref="H2854" r:id="rId5704" display="https://www.inaturalist.org/observations/400441284"/>
    <hyperlink ref="G2855" r:id="rId5705" display="Deed - Attribution-NonCommercial 4.0 International - Creative Commons"/>
    <hyperlink ref="H2855" r:id="rId5706" display="https://www.inaturalist.org/observations/400440252"/>
    <hyperlink ref="G2856" r:id="rId5707" display="Deed - Attribution-NonCommercial 4.0 International - Creative Commons"/>
    <hyperlink ref="H2856" r:id="rId5708" display="https://www.inaturalist.org/observations/400440045"/>
    <hyperlink ref="G2857" r:id="rId5709" display="Deed - Attribution-NonCommercial 4.0 International - Creative Commons"/>
    <hyperlink ref="H2857" r:id="rId5710" display="https://www.inaturalist.org/observations/400439928"/>
    <hyperlink ref="G2858" r:id="rId5711" display="Deed - Attribution-NonCommercial 4.0 International - Creative Commons"/>
    <hyperlink ref="H2858" r:id="rId5712" display="https://www.inaturalist.org/observations/400439198"/>
    <hyperlink ref="G2859" r:id="rId5713" display="Deed - Attribution-NonCommercial 4.0 International - Creative Commons"/>
    <hyperlink ref="H2859" r:id="rId5714" display="https://www.inaturalist.org/observations/400437950"/>
    <hyperlink ref="G2860" r:id="rId5715" display="Deed - Attribution-NonCommercial 4.0 International - Creative Commons"/>
    <hyperlink ref="H2860" r:id="rId5716" display="https://www.inaturalist.org/observations/400435739"/>
    <hyperlink ref="G2861" r:id="rId5717" display="Deed - Attribution-NonCommercial 4.0 International - Creative Commons"/>
    <hyperlink ref="H2861" r:id="rId5718" display="https://www.inaturalist.org/observations/400432924"/>
    <hyperlink ref="G2862" r:id="rId5719" display="Deed - Attribution-NonCommercial 4.0 International - Creative Commons"/>
    <hyperlink ref="H2862" r:id="rId5720" display="https://www.inaturalist.org/observations/400432679"/>
    <hyperlink ref="G2863" r:id="rId5721" display="Deed - Attribution-NonCommercial 4.0 International - Creative Commons"/>
    <hyperlink ref="H2863" r:id="rId5722" display="https://www.inaturalist.org/observations/400431910"/>
    <hyperlink ref="G2864" r:id="rId5723" display="Deed - Attribution-NonCommercial 4.0 International - Creative Commons"/>
    <hyperlink ref="H2864" r:id="rId5724" display="https://www.inaturalist.org/observations/400431761"/>
    <hyperlink ref="G2865" r:id="rId5725" display="Deed - Attribution-NonCommercial 4.0 International - Creative Commons"/>
    <hyperlink ref="H2865" r:id="rId5726" display="https://www.inaturalist.org/observations/400429441"/>
    <hyperlink ref="G2866" r:id="rId5727" display="Deed - Attribution-NonCommercial 4.0 International - Creative Commons"/>
    <hyperlink ref="H2866" r:id="rId5728" display="https://www.inaturalist.org/observations/400428022"/>
    <hyperlink ref="G2867" r:id="rId5729" display="Deed - Attribution-NonCommercial 4.0 International - Creative Commons"/>
    <hyperlink ref="H2867" r:id="rId5730" display="https://www.inaturalist.org/observations/400426430"/>
    <hyperlink ref="G2868" r:id="rId5731" display="Deed - Attribution-NonCommercial 4.0 International - Creative Commons"/>
    <hyperlink ref="H2868" r:id="rId5732" display="https://www.inaturalist.org/observations/400426397"/>
    <hyperlink ref="G2869" r:id="rId5733" display="Deed - Attribution-NonCommercial 4.0 International - Creative Commons"/>
    <hyperlink ref="H2869" r:id="rId5734" display="https://www.inaturalist.org/observations/400425287"/>
    <hyperlink ref="G2870" r:id="rId5735" display="Deed - Attribution-NonCommercial 4.0 International - Creative Commons"/>
    <hyperlink ref="H2870" r:id="rId5736" display="https://www.inaturalist.org/observations/400425170"/>
    <hyperlink ref="G2871" r:id="rId5737" display="Deed - Attribution-NonCommercial 4.0 International - Creative Commons"/>
    <hyperlink ref="H2871" r:id="rId5738" display="https://www.inaturalist.org/observations/400425141"/>
    <hyperlink ref="G2872" r:id="rId5739" display="Deed - Attribution-NonCommercial 4.0 International - Creative Commons"/>
    <hyperlink ref="H2872" r:id="rId5740" display="https://www.inaturalist.org/observations/400422580"/>
    <hyperlink ref="G2873" r:id="rId5741" display="Deed - Attribution-NonCommercial 4.0 International - Creative Commons"/>
    <hyperlink ref="H2873" r:id="rId5742" display="https://www.inaturalist.org/observations/400422571"/>
    <hyperlink ref="G2874" r:id="rId5743" display="Deed - Attribution-NonCommercial 4.0 International - Creative Commons"/>
    <hyperlink ref="H2874" r:id="rId5744" display="https://www.inaturalist.org/observations/400420728"/>
    <hyperlink ref="G2875" r:id="rId5745" display="Deed - Attribution-NonCommercial 4.0 International - Creative Commons"/>
    <hyperlink ref="H2875" r:id="rId5746" display="https://www.inaturalist.org/observations/400420023"/>
    <hyperlink ref="G2876" r:id="rId5747" display="Deed - Attribution-NonCommercial 4.0 International - Creative Commons"/>
    <hyperlink ref="H2876" r:id="rId5748" display="https://www.inaturalist.org/observations/400419776"/>
    <hyperlink ref="G2877" r:id="rId5749" display="Deed - Attribution-NonCommercial 4.0 International - Creative Commons"/>
    <hyperlink ref="H2877" r:id="rId5750" display="https://www.inaturalist.org/observations/400418242"/>
    <hyperlink ref="G2878" r:id="rId5751" display="Deed - Attribution-NonCommercial 4.0 International - Creative Commons"/>
    <hyperlink ref="H2878" r:id="rId5752" display="https://www.inaturalist.org/observations/400417998"/>
    <hyperlink ref="G2879" r:id="rId5753" display="Deed - Attribution-NonCommercial 4.0 International - Creative Commons"/>
    <hyperlink ref="H2879" r:id="rId5754" display="https://www.inaturalist.org/observations/400417609"/>
    <hyperlink ref="G2880" r:id="rId5755" display="Deed - Attribution-NonCommercial 4.0 International - Creative Commons"/>
    <hyperlink ref="H2880" r:id="rId5756" display="https://www.inaturalist.org/observations/400416710"/>
    <hyperlink ref="G2881" r:id="rId5757" display="Deed - Attribution-NonCommercial 4.0 International - Creative Commons"/>
    <hyperlink ref="H2881" r:id="rId5758" display="https://www.inaturalist.org/observations/400413522"/>
    <hyperlink ref="G2882" r:id="rId5759" display="Deed - Attribution-NonCommercial 4.0 International - Creative Commons"/>
    <hyperlink ref="H2882" r:id="rId5760" display="https://www.inaturalist.org/observations/400410141"/>
    <hyperlink ref="G2883" r:id="rId5761" display="Deed - Attribution-NonCommercial 4.0 International - Creative Commons"/>
    <hyperlink ref="H2883" r:id="rId5762" display="https://www.inaturalist.org/observations/400409965"/>
    <hyperlink ref="G2884" r:id="rId5763" display="Deed - Attribution-NonCommercial 4.0 International - Creative Commons"/>
    <hyperlink ref="H2884" r:id="rId5764" display="https://www.inaturalist.org/observations/400404742"/>
    <hyperlink ref="G2885" r:id="rId5765" display="Deed - Attribution-NonCommercial 4.0 International - Creative Commons"/>
    <hyperlink ref="H2885" r:id="rId5766" display="https://www.inaturalist.org/observations/400404630"/>
    <hyperlink ref="G2886" r:id="rId5767" display="Deed - Attribution-NonCommercial 4.0 International - Creative Commons"/>
    <hyperlink ref="H2886" r:id="rId5768" display="https://www.inaturalist.org/observations/400404210"/>
    <hyperlink ref="G2887" r:id="rId5769" display="Deed - Attribution-NonCommercial 4.0 International - Creative Commons"/>
    <hyperlink ref="H2887" r:id="rId5770" display="https://www.inaturalist.org/observations/400403478"/>
    <hyperlink ref="G2888" r:id="rId5771" display="Deed - Attribution-NonCommercial 4.0 International - Creative Commons"/>
    <hyperlink ref="H2888" r:id="rId5772" display="https://www.inaturalist.org/observations/400401644"/>
    <hyperlink ref="G2889" r:id="rId5773" display="Deed - Attribution-NonCommercial 4.0 International - Creative Commons"/>
    <hyperlink ref="H2889" r:id="rId5774" display="https://www.inaturalist.org/observations/400401143"/>
    <hyperlink ref="G2890" r:id="rId5775" display="Deed - Attribution-NonCommercial 4.0 International - Creative Commons"/>
    <hyperlink ref="H2890" r:id="rId5776" display="https://www.inaturalist.org/observations/400400915"/>
    <hyperlink ref="G2891" r:id="rId5777" display="Deed - Attribution-NonCommercial 4.0 International - Creative Commons"/>
    <hyperlink ref="H2891" r:id="rId5778" display="https://www.inaturalist.org/observations/400400673"/>
    <hyperlink ref="G2892" r:id="rId5779" display="Deed - Attribution-NonCommercial 4.0 International - Creative Commons"/>
    <hyperlink ref="H2892" r:id="rId5780" display="https://www.inaturalist.org/observations/400400658"/>
    <hyperlink ref="G2893" r:id="rId5781" display="Deed - Attribution-NonCommercial 4.0 International - Creative Commons"/>
    <hyperlink ref="H2893" r:id="rId5782" display="https://www.inaturalist.org/observations/400400574"/>
    <hyperlink ref="G2894" r:id="rId5783" display="Deed - Attribution-NonCommercial 4.0 International - Creative Commons"/>
    <hyperlink ref="H2894" r:id="rId5784" display="https://www.inaturalist.org/observations/400400568"/>
    <hyperlink ref="G2895" r:id="rId5785" display="Deed - Attribution-NonCommercial 4.0 International - Creative Commons"/>
    <hyperlink ref="H2895" r:id="rId5786" display="https://www.inaturalist.org/observations/400400566"/>
    <hyperlink ref="G2896" r:id="rId5787" display="Deed - Attribution-NonCommercial 4.0 International - Creative Commons"/>
    <hyperlink ref="H2896" r:id="rId5788" display="https://www.inaturalist.org/observations/400400310"/>
    <hyperlink ref="G2897" r:id="rId5789" display="Deed - Attribution-NonCommercial 4.0 International - Creative Commons"/>
    <hyperlink ref="H2897" r:id="rId5790" display="https://www.inaturalist.org/observations/400398651"/>
    <hyperlink ref="G2898" r:id="rId5791" display="Deed - Attribution-NonCommercial 4.0 International - Creative Commons"/>
    <hyperlink ref="H2898" r:id="rId5792" display="https://www.inaturalist.org/observations/400396830"/>
    <hyperlink ref="G2899" r:id="rId5793" display="Deed - Attribution-NonCommercial 4.0 International - Creative Commons"/>
    <hyperlink ref="H2899" r:id="rId5794" display="https://www.inaturalist.org/observations/400394333"/>
    <hyperlink ref="G2900" r:id="rId5795" display="Deed - Attribution-NonCommercial 4.0 International - Creative Commons"/>
    <hyperlink ref="H2900" r:id="rId5796" display="https://www.inaturalist.org/observations/400392916"/>
    <hyperlink ref="G2901" r:id="rId5797" display="Deed - Attribution-NonCommercial 4.0 International - Creative Commons"/>
    <hyperlink ref="H2901" r:id="rId5798" display="https://www.inaturalist.org/observations/400392284"/>
    <hyperlink ref="G2902" r:id="rId5799" display="Deed - Attribution-NonCommercial 4.0 International - Creative Commons"/>
    <hyperlink ref="H2902" r:id="rId5800" display="https://www.inaturalist.org/observations/400392201"/>
    <hyperlink ref="G2903" r:id="rId5801" display="Deed - Attribution-NonCommercial 4.0 International - Creative Commons"/>
    <hyperlink ref="H2903" r:id="rId5802" display="https://www.inaturalist.org/observations/400391969"/>
    <hyperlink ref="G2904" r:id="rId5803" display="Deed - Attribution-NonCommercial 4.0 International - Creative Commons"/>
    <hyperlink ref="H2904" r:id="rId5804" display="https://www.inaturalist.org/observations/400391582"/>
    <hyperlink ref="G2905" r:id="rId5805" display="Deed - Attribution-NonCommercial 4.0 International - Creative Commons"/>
    <hyperlink ref="H2905" r:id="rId5806" display="https://www.inaturalist.org/observations/400391182"/>
    <hyperlink ref="G2906" r:id="rId5807" display="Deed - Attribution-NonCommercial 4.0 International - Creative Commons"/>
    <hyperlink ref="H2906" r:id="rId5808" display="https://www.inaturalist.org/observations/400390786"/>
    <hyperlink ref="G2907" r:id="rId5809" display="Deed - Attribution-NonCommercial 4.0 International - Creative Commons"/>
    <hyperlink ref="H2907" r:id="rId5810" display="https://www.inaturalist.org/observations/400390257"/>
    <hyperlink ref="G2908" r:id="rId5811" display="Deed - Attribution-NonCommercial 4.0 International - Creative Commons"/>
    <hyperlink ref="H2908" r:id="rId5812" display="https://www.inaturalist.org/observations/400389291"/>
    <hyperlink ref="G2909" r:id="rId5813" display="Deed - Attribution-NonCommercial 4.0 International - Creative Commons"/>
    <hyperlink ref="H2909" r:id="rId5814" display="https://www.inaturalist.org/observations/400388487"/>
    <hyperlink ref="G2910" r:id="rId5815" display="Deed - Attribution-NonCommercial 4.0 International - Creative Commons"/>
    <hyperlink ref="H2910" r:id="rId5816" display="https://www.inaturalist.org/observations/400388420"/>
    <hyperlink ref="G2911" r:id="rId5817" display="Deed - Attribution-NonCommercial 4.0 International - Creative Commons"/>
    <hyperlink ref="H2911" r:id="rId5818" display="https://www.inaturalist.org/observations/400387201"/>
    <hyperlink ref="G2912" r:id="rId5819" display="Deed - Attribution-NonCommercial 4.0 International - Creative Commons"/>
    <hyperlink ref="H2912" r:id="rId5820" display="https://www.inaturalist.org/observations/400386634"/>
    <hyperlink ref="G2913" r:id="rId5821" display="Deed - Attribution-NonCommercial 4.0 International - Creative Commons"/>
    <hyperlink ref="H2913" r:id="rId5822" display="https://www.inaturalist.org/observations/400386563"/>
    <hyperlink ref="G2914" r:id="rId5823" display="Deed - Attribution-NonCommercial 4.0 International - Creative Commons"/>
    <hyperlink ref="H2914" r:id="rId5824" display="https://www.inaturalist.org/observations/400385904"/>
    <hyperlink ref="G2915" r:id="rId5825" display="Deed - Attribution-NonCommercial 4.0 International - Creative Commons"/>
    <hyperlink ref="H2915" r:id="rId5826" display="https://www.inaturalist.org/observations/400385765"/>
    <hyperlink ref="G2916" r:id="rId5827" display="Deed - Attribution-NonCommercial 4.0 International - Creative Commons"/>
    <hyperlink ref="H2916" r:id="rId5828" display="https://www.inaturalist.org/observations/400382756"/>
    <hyperlink ref="G2917" r:id="rId5829" display="Deed - Attribution-NonCommercial 4.0 International - Creative Commons"/>
    <hyperlink ref="H2917" r:id="rId5830" display="https://www.inaturalist.org/observations/400381349"/>
    <hyperlink ref="G2918" r:id="rId5831" display="Deed - Attribution-NonCommercial 4.0 International - Creative Commons"/>
    <hyperlink ref="H2918" r:id="rId5832" display="https://www.inaturalist.org/observations/400381278"/>
    <hyperlink ref="G2919" r:id="rId5833" display="Deed - Attribution-NonCommercial 4.0 International - Creative Commons"/>
    <hyperlink ref="H2919" r:id="rId5834" display="https://www.inaturalist.org/observations/400379412"/>
    <hyperlink ref="G2920" r:id="rId5835" display="Deed - Attribution-NonCommercial 4.0 International - Creative Commons"/>
    <hyperlink ref="H2920" r:id="rId5836" display="https://www.inaturalist.org/observations/400378742"/>
    <hyperlink ref="G2921" r:id="rId5837" display="Deed - Attribution-NonCommercial 4.0 International - Creative Commons"/>
    <hyperlink ref="H2921" r:id="rId5838" display="https://www.inaturalist.org/observations/400377019"/>
    <hyperlink ref="G2922" r:id="rId5839" display="Deed - Attribution-NonCommercial 4.0 International - Creative Commons"/>
    <hyperlink ref="H2922" r:id="rId5840" display="https://www.inaturalist.org/observations/400375769"/>
    <hyperlink ref="G2923" r:id="rId5841" display="Deed - Attribution-NonCommercial 4.0 International - Creative Commons"/>
    <hyperlink ref="H2923" r:id="rId5842" display="https://www.inaturalist.org/observations/400375102"/>
    <hyperlink ref="G2924" r:id="rId5843" display="Deed - Attribution-NonCommercial 4.0 International - Creative Commons"/>
    <hyperlink ref="H2924" r:id="rId5844" display="https://www.inaturalist.org/observations/400374778"/>
    <hyperlink ref="G2925" r:id="rId5845" display="Deed - Attribution-NonCommercial 4.0 International - Creative Commons"/>
    <hyperlink ref="H2925" r:id="rId5846" display="https://www.inaturalist.org/observations/400374767"/>
    <hyperlink ref="G2926" r:id="rId5847" display="Deed - Attribution-NonCommercial 4.0 International - Creative Commons"/>
    <hyperlink ref="H2926" r:id="rId5848" display="https://www.inaturalist.org/observations/400374589"/>
    <hyperlink ref="G2927" r:id="rId5849" display="Deed - Attribution-NonCommercial 4.0 International - Creative Commons"/>
    <hyperlink ref="H2927" r:id="rId5850" display="https://www.inaturalist.org/observations/400373123"/>
    <hyperlink ref="G2928" r:id="rId5851" display="Deed - Attribution-NonCommercial 4.0 International - Creative Commons"/>
    <hyperlink ref="H2928" r:id="rId5852" display="https://www.inaturalist.org/observations/400373093"/>
    <hyperlink ref="G2929" r:id="rId5853" display="Deed - Attribution-NonCommercial 4.0 International - Creative Commons"/>
    <hyperlink ref="H2929" r:id="rId5854" display="https://www.inaturalist.org/observations/400371018"/>
    <hyperlink ref="G2930" r:id="rId5855" display="Deed - Attribution-NonCommercial 4.0 International - Creative Commons"/>
    <hyperlink ref="H2930" r:id="rId5856" display="https://www.inaturalist.org/observations/400370701"/>
    <hyperlink ref="G2931" r:id="rId5857" display="Deed - Attribution-NonCommercial 4.0 International - Creative Commons"/>
    <hyperlink ref="H2931" r:id="rId5858" display="https://www.inaturalist.org/observations/400369696"/>
    <hyperlink ref="G2932" r:id="rId5859" display="Deed - Attribution-NonCommercial 4.0 International - Creative Commons"/>
    <hyperlink ref="H2932" r:id="rId5860" display="https://www.inaturalist.org/observations/400369481"/>
    <hyperlink ref="G2933" r:id="rId5861" display="Deed - Attribution-NonCommercial 4.0 International - Creative Commons"/>
    <hyperlink ref="H2933" r:id="rId5862" display="https://www.inaturalist.org/observations/400369354"/>
    <hyperlink ref="G2934" r:id="rId5863" display="Deed - Attribution-NonCommercial 4.0 International - Creative Commons"/>
    <hyperlink ref="H2934" r:id="rId5864" display="https://www.inaturalist.org/observations/400369107"/>
    <hyperlink ref="G2935" r:id="rId5865" display="Deed - Attribution-NonCommercial 4.0 International - Creative Commons"/>
    <hyperlink ref="H2935" r:id="rId5866" display="https://www.inaturalist.org/observations/400368205"/>
    <hyperlink ref="G2936" r:id="rId5867" display="Deed - Attribution-NonCommercial 4.0 International - Creative Commons"/>
    <hyperlink ref="H2936" r:id="rId5868" display="https://www.inaturalist.org/observations/400368145"/>
    <hyperlink ref="G2937" r:id="rId5869" display="Deed - Attribution-NonCommercial 4.0 International - Creative Commons"/>
    <hyperlink ref="H2937" r:id="rId5870" display="https://www.inaturalist.org/observations/400367905"/>
    <hyperlink ref="G2938" r:id="rId5871" display="Deed - Attribution-NonCommercial 4.0 International - Creative Commons"/>
    <hyperlink ref="H2938" r:id="rId5872" display="https://www.inaturalist.org/observations/400366883"/>
    <hyperlink ref="G2939" r:id="rId5873" display="Deed - Attribution-NonCommercial 4.0 International - Creative Commons"/>
    <hyperlink ref="H2939" r:id="rId5874" display="https://www.inaturalist.org/observations/400363096"/>
    <hyperlink ref="G2940" r:id="rId5875" display="Deed - Attribution-NonCommercial 4.0 International - Creative Commons"/>
    <hyperlink ref="H2940" r:id="rId5876" display="https://www.inaturalist.org/observations/400363081"/>
    <hyperlink ref="G2941" r:id="rId5877" display="Deed - Attribution-NonCommercial 4.0 International - Creative Commons"/>
    <hyperlink ref="H2941" r:id="rId5878" display="https://www.inaturalist.org/observations/400361766"/>
    <hyperlink ref="G2942" r:id="rId5879" display="Deed - Attribution-NonCommercial 4.0 International - Creative Commons"/>
    <hyperlink ref="H2942" r:id="rId5880" display="https://www.inaturalist.org/observations/40036174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2026-09-29T21:20:31Z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